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LAPTOP\Documents\"/>
    </mc:Choice>
  </mc:AlternateContent>
  <xr:revisionPtr revIDLastSave="0" documentId="8_{F5B9BC8C-D1F5-4B70-9866-61EEF4AF1D8A}" xr6:coauthVersionLast="47" xr6:coauthVersionMax="47" xr10:uidLastSave="{00000000-0000-0000-0000-000000000000}"/>
  <bookViews>
    <workbookView xWindow="-108" yWindow="-108" windowWidth="23256" windowHeight="12456" activeTab="1" xr2:uid="{2D4661B2-CE87-436B-BD73-6D54EBF05411}"/>
  </bookViews>
  <sheets>
    <sheet name="Marketing" sheetId="2" r:id="rId1"/>
    <sheet name="Dashboad" sheetId="5" r:id="rId2"/>
    <sheet name="Pivot Table" sheetId="1" r:id="rId3"/>
  </sheets>
  <definedNames>
    <definedName name="ExternalData_1" localSheetId="0" hidden="1">Marketing!$A$1:$Q$5001</definedName>
    <definedName name="NativeTimeline_Date">#N/A</definedName>
    <definedName name="Slicer_Campaign_Type">#N/A</definedName>
    <definedName name="Slicer_Channel_Used">#N/A</definedName>
  </definedNames>
  <calcPr calcId="191029"/>
  <pivotCaches>
    <pivotCache cacheId="1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4407" i="2" l="1"/>
  <c r="J4588" i="2"/>
  <c r="I3" i="2"/>
  <c r="J3" i="2" s="1"/>
  <c r="I4" i="2"/>
  <c r="J4" i="2" s="1"/>
  <c r="I5" i="2"/>
  <c r="J5" i="2" s="1"/>
  <c r="I6" i="2"/>
  <c r="J6" i="2" s="1"/>
  <c r="I7" i="2"/>
  <c r="J7" i="2" s="1"/>
  <c r="I8" i="2"/>
  <c r="J8" i="2" s="1"/>
  <c r="I9" i="2"/>
  <c r="J9" i="2" s="1"/>
  <c r="I10" i="2"/>
  <c r="J10" i="2" s="1"/>
  <c r="I11" i="2"/>
  <c r="J11" i="2" s="1"/>
  <c r="I12" i="2"/>
  <c r="J12" i="2" s="1"/>
  <c r="I13" i="2"/>
  <c r="J13" i="2" s="1"/>
  <c r="I14" i="2"/>
  <c r="J14" i="2" s="1"/>
  <c r="I15" i="2"/>
  <c r="J15" i="2" s="1"/>
  <c r="I16" i="2"/>
  <c r="J16" i="2" s="1"/>
  <c r="I17" i="2"/>
  <c r="J17" i="2" s="1"/>
  <c r="I18" i="2"/>
  <c r="J18" i="2" s="1"/>
  <c r="I19" i="2"/>
  <c r="J19" i="2" s="1"/>
  <c r="I20" i="2"/>
  <c r="J20" i="2" s="1"/>
  <c r="I21" i="2"/>
  <c r="J21" i="2" s="1"/>
  <c r="I22" i="2"/>
  <c r="J22" i="2" s="1"/>
  <c r="I23" i="2"/>
  <c r="J23" i="2" s="1"/>
  <c r="I24" i="2"/>
  <c r="J24" i="2" s="1"/>
  <c r="I25" i="2"/>
  <c r="J25" i="2" s="1"/>
  <c r="I26" i="2"/>
  <c r="J26" i="2" s="1"/>
  <c r="I27" i="2"/>
  <c r="J27" i="2" s="1"/>
  <c r="I28" i="2"/>
  <c r="J28" i="2" s="1"/>
  <c r="I29" i="2"/>
  <c r="J29" i="2" s="1"/>
  <c r="I30" i="2"/>
  <c r="J30" i="2" s="1"/>
  <c r="I31" i="2"/>
  <c r="J31" i="2" s="1"/>
  <c r="I32" i="2"/>
  <c r="J32" i="2" s="1"/>
  <c r="I33" i="2"/>
  <c r="J33" i="2" s="1"/>
  <c r="I34" i="2"/>
  <c r="J34" i="2" s="1"/>
  <c r="I35" i="2"/>
  <c r="J35" i="2" s="1"/>
  <c r="I36" i="2"/>
  <c r="J36" i="2" s="1"/>
  <c r="I37" i="2"/>
  <c r="J37" i="2" s="1"/>
  <c r="I38" i="2"/>
  <c r="J38" i="2" s="1"/>
  <c r="I39" i="2"/>
  <c r="J39" i="2" s="1"/>
  <c r="I40" i="2"/>
  <c r="J40" i="2" s="1"/>
  <c r="I41" i="2"/>
  <c r="J41" i="2" s="1"/>
  <c r="I42" i="2"/>
  <c r="J42" i="2" s="1"/>
  <c r="I43" i="2"/>
  <c r="J43" i="2" s="1"/>
  <c r="I44" i="2"/>
  <c r="J44" i="2" s="1"/>
  <c r="I45" i="2"/>
  <c r="J45" i="2" s="1"/>
  <c r="I46" i="2"/>
  <c r="J46" i="2" s="1"/>
  <c r="I47" i="2"/>
  <c r="J47" i="2" s="1"/>
  <c r="I48" i="2"/>
  <c r="J48" i="2" s="1"/>
  <c r="I49" i="2"/>
  <c r="J49" i="2" s="1"/>
  <c r="I50" i="2"/>
  <c r="J50" i="2" s="1"/>
  <c r="I51" i="2"/>
  <c r="J51" i="2" s="1"/>
  <c r="I52" i="2"/>
  <c r="J52" i="2" s="1"/>
  <c r="I53" i="2"/>
  <c r="J53" i="2" s="1"/>
  <c r="I54" i="2"/>
  <c r="J54" i="2" s="1"/>
  <c r="I55" i="2"/>
  <c r="J55" i="2" s="1"/>
  <c r="I56" i="2"/>
  <c r="J56" i="2" s="1"/>
  <c r="I57" i="2"/>
  <c r="J57" i="2" s="1"/>
  <c r="I58" i="2"/>
  <c r="J58" i="2" s="1"/>
  <c r="I59" i="2"/>
  <c r="J59" i="2" s="1"/>
  <c r="I60" i="2"/>
  <c r="J60" i="2" s="1"/>
  <c r="I61" i="2"/>
  <c r="J61" i="2" s="1"/>
  <c r="I62" i="2"/>
  <c r="J62" i="2" s="1"/>
  <c r="I63" i="2"/>
  <c r="J63" i="2" s="1"/>
  <c r="I64" i="2"/>
  <c r="J64" i="2" s="1"/>
  <c r="I65" i="2"/>
  <c r="J65" i="2" s="1"/>
  <c r="I66" i="2"/>
  <c r="J66" i="2" s="1"/>
  <c r="I67" i="2"/>
  <c r="J67" i="2" s="1"/>
  <c r="I68" i="2"/>
  <c r="J68" i="2" s="1"/>
  <c r="I69" i="2"/>
  <c r="J69" i="2" s="1"/>
  <c r="I70" i="2"/>
  <c r="J70" i="2" s="1"/>
  <c r="I71" i="2"/>
  <c r="J71" i="2" s="1"/>
  <c r="I72" i="2"/>
  <c r="J72" i="2" s="1"/>
  <c r="I73" i="2"/>
  <c r="J73" i="2" s="1"/>
  <c r="I74" i="2"/>
  <c r="J74" i="2" s="1"/>
  <c r="I75" i="2"/>
  <c r="J75" i="2" s="1"/>
  <c r="I76" i="2"/>
  <c r="J76" i="2" s="1"/>
  <c r="I77" i="2"/>
  <c r="J77" i="2" s="1"/>
  <c r="I78" i="2"/>
  <c r="J78" i="2" s="1"/>
  <c r="I79" i="2"/>
  <c r="J79" i="2" s="1"/>
  <c r="I80" i="2"/>
  <c r="J80" i="2" s="1"/>
  <c r="I81" i="2"/>
  <c r="J81" i="2" s="1"/>
  <c r="I82" i="2"/>
  <c r="J82" i="2" s="1"/>
  <c r="I83" i="2"/>
  <c r="J83" i="2" s="1"/>
  <c r="I84" i="2"/>
  <c r="J84" i="2" s="1"/>
  <c r="I85" i="2"/>
  <c r="J85" i="2" s="1"/>
  <c r="I86" i="2"/>
  <c r="J86" i="2" s="1"/>
  <c r="I87" i="2"/>
  <c r="J87" i="2" s="1"/>
  <c r="I88" i="2"/>
  <c r="J88" i="2" s="1"/>
  <c r="I89" i="2"/>
  <c r="J89" i="2" s="1"/>
  <c r="I90" i="2"/>
  <c r="J90" i="2" s="1"/>
  <c r="I91" i="2"/>
  <c r="J91" i="2" s="1"/>
  <c r="I92" i="2"/>
  <c r="J92" i="2" s="1"/>
  <c r="I93" i="2"/>
  <c r="J93" i="2" s="1"/>
  <c r="I94" i="2"/>
  <c r="J94" i="2" s="1"/>
  <c r="I95" i="2"/>
  <c r="J95" i="2" s="1"/>
  <c r="I96" i="2"/>
  <c r="J96" i="2" s="1"/>
  <c r="I97" i="2"/>
  <c r="J97" i="2" s="1"/>
  <c r="I98" i="2"/>
  <c r="J98" i="2" s="1"/>
  <c r="I99" i="2"/>
  <c r="J99" i="2" s="1"/>
  <c r="I100" i="2"/>
  <c r="J100" i="2" s="1"/>
  <c r="I101" i="2"/>
  <c r="J101" i="2" s="1"/>
  <c r="I102" i="2"/>
  <c r="J102" i="2" s="1"/>
  <c r="I103" i="2"/>
  <c r="J103" i="2" s="1"/>
  <c r="I104" i="2"/>
  <c r="J104" i="2" s="1"/>
  <c r="I105" i="2"/>
  <c r="J105" i="2" s="1"/>
  <c r="I106" i="2"/>
  <c r="J106" i="2" s="1"/>
  <c r="I107" i="2"/>
  <c r="J107" i="2" s="1"/>
  <c r="I108" i="2"/>
  <c r="J108" i="2" s="1"/>
  <c r="I109" i="2"/>
  <c r="J109" i="2" s="1"/>
  <c r="I110" i="2"/>
  <c r="J110" i="2" s="1"/>
  <c r="I111" i="2"/>
  <c r="J111" i="2" s="1"/>
  <c r="I112" i="2"/>
  <c r="J112" i="2" s="1"/>
  <c r="I113" i="2"/>
  <c r="J113" i="2" s="1"/>
  <c r="I114" i="2"/>
  <c r="J114" i="2" s="1"/>
  <c r="I115" i="2"/>
  <c r="J115" i="2" s="1"/>
  <c r="I116" i="2"/>
  <c r="J116" i="2" s="1"/>
  <c r="I117" i="2"/>
  <c r="J117" i="2" s="1"/>
  <c r="I118" i="2"/>
  <c r="J118" i="2" s="1"/>
  <c r="I119" i="2"/>
  <c r="J119" i="2" s="1"/>
  <c r="I120" i="2"/>
  <c r="J120" i="2" s="1"/>
  <c r="I121" i="2"/>
  <c r="J121" i="2" s="1"/>
  <c r="I122" i="2"/>
  <c r="J122" i="2" s="1"/>
  <c r="I123" i="2"/>
  <c r="J123" i="2" s="1"/>
  <c r="I124" i="2"/>
  <c r="J124" i="2" s="1"/>
  <c r="I125" i="2"/>
  <c r="J125" i="2" s="1"/>
  <c r="I126" i="2"/>
  <c r="J126" i="2" s="1"/>
  <c r="I127" i="2"/>
  <c r="J127" i="2" s="1"/>
  <c r="I128" i="2"/>
  <c r="J128" i="2" s="1"/>
  <c r="I129" i="2"/>
  <c r="J129" i="2" s="1"/>
  <c r="I130" i="2"/>
  <c r="J130" i="2" s="1"/>
  <c r="I131" i="2"/>
  <c r="J131" i="2" s="1"/>
  <c r="I132" i="2"/>
  <c r="J132" i="2" s="1"/>
  <c r="I133" i="2"/>
  <c r="J133" i="2" s="1"/>
  <c r="I134" i="2"/>
  <c r="J134" i="2" s="1"/>
  <c r="I135" i="2"/>
  <c r="J135" i="2" s="1"/>
  <c r="I136" i="2"/>
  <c r="J136" i="2" s="1"/>
  <c r="I137" i="2"/>
  <c r="J137" i="2" s="1"/>
  <c r="I138" i="2"/>
  <c r="J138" i="2" s="1"/>
  <c r="I139" i="2"/>
  <c r="J139" i="2" s="1"/>
  <c r="I140" i="2"/>
  <c r="J140" i="2" s="1"/>
  <c r="I141" i="2"/>
  <c r="J141" i="2" s="1"/>
  <c r="I142" i="2"/>
  <c r="J142" i="2" s="1"/>
  <c r="I143" i="2"/>
  <c r="J143" i="2" s="1"/>
  <c r="I144" i="2"/>
  <c r="J144" i="2" s="1"/>
  <c r="I145" i="2"/>
  <c r="J145" i="2" s="1"/>
  <c r="I146" i="2"/>
  <c r="J146" i="2" s="1"/>
  <c r="I147" i="2"/>
  <c r="J147" i="2" s="1"/>
  <c r="I148" i="2"/>
  <c r="J148" i="2" s="1"/>
  <c r="I149" i="2"/>
  <c r="J149" i="2" s="1"/>
  <c r="I150" i="2"/>
  <c r="J150" i="2" s="1"/>
  <c r="I151" i="2"/>
  <c r="J151" i="2" s="1"/>
  <c r="I152" i="2"/>
  <c r="J152" i="2" s="1"/>
  <c r="I153" i="2"/>
  <c r="J153" i="2" s="1"/>
  <c r="I154" i="2"/>
  <c r="J154" i="2" s="1"/>
  <c r="I155" i="2"/>
  <c r="J155" i="2" s="1"/>
  <c r="I156" i="2"/>
  <c r="J156" i="2" s="1"/>
  <c r="I157" i="2"/>
  <c r="J157" i="2" s="1"/>
  <c r="I158" i="2"/>
  <c r="J158" i="2" s="1"/>
  <c r="I159" i="2"/>
  <c r="J159" i="2" s="1"/>
  <c r="I160" i="2"/>
  <c r="J160" i="2" s="1"/>
  <c r="I161" i="2"/>
  <c r="J161" i="2" s="1"/>
  <c r="I162" i="2"/>
  <c r="J162" i="2" s="1"/>
  <c r="I163" i="2"/>
  <c r="J163" i="2" s="1"/>
  <c r="I164" i="2"/>
  <c r="J164" i="2" s="1"/>
  <c r="I165" i="2"/>
  <c r="J165" i="2" s="1"/>
  <c r="I166" i="2"/>
  <c r="J166" i="2" s="1"/>
  <c r="I167" i="2"/>
  <c r="J167" i="2" s="1"/>
  <c r="I168" i="2"/>
  <c r="J168" i="2" s="1"/>
  <c r="I169" i="2"/>
  <c r="J169" i="2" s="1"/>
  <c r="I170" i="2"/>
  <c r="J170" i="2" s="1"/>
  <c r="I171" i="2"/>
  <c r="J171" i="2" s="1"/>
  <c r="I172" i="2"/>
  <c r="J172" i="2" s="1"/>
  <c r="I173" i="2"/>
  <c r="J173" i="2" s="1"/>
  <c r="I174" i="2"/>
  <c r="J174" i="2" s="1"/>
  <c r="I175" i="2"/>
  <c r="J175" i="2" s="1"/>
  <c r="I176" i="2"/>
  <c r="J176" i="2" s="1"/>
  <c r="I177" i="2"/>
  <c r="J177" i="2" s="1"/>
  <c r="I178" i="2"/>
  <c r="J178" i="2" s="1"/>
  <c r="I179" i="2"/>
  <c r="J179" i="2" s="1"/>
  <c r="I180" i="2"/>
  <c r="J180" i="2" s="1"/>
  <c r="I181" i="2"/>
  <c r="J181" i="2" s="1"/>
  <c r="I182" i="2"/>
  <c r="J182" i="2" s="1"/>
  <c r="I183" i="2"/>
  <c r="J183" i="2" s="1"/>
  <c r="I184" i="2"/>
  <c r="J184" i="2" s="1"/>
  <c r="I185" i="2"/>
  <c r="J185" i="2" s="1"/>
  <c r="I186" i="2"/>
  <c r="J186" i="2" s="1"/>
  <c r="I187" i="2"/>
  <c r="J187" i="2" s="1"/>
  <c r="I188" i="2"/>
  <c r="J188" i="2" s="1"/>
  <c r="I189" i="2"/>
  <c r="J189" i="2" s="1"/>
  <c r="I190" i="2"/>
  <c r="J190" i="2" s="1"/>
  <c r="I191" i="2"/>
  <c r="J191" i="2" s="1"/>
  <c r="I192" i="2"/>
  <c r="J192" i="2" s="1"/>
  <c r="I193" i="2"/>
  <c r="J193" i="2" s="1"/>
  <c r="I194" i="2"/>
  <c r="J194" i="2" s="1"/>
  <c r="I195" i="2"/>
  <c r="J195" i="2" s="1"/>
  <c r="I196" i="2"/>
  <c r="J196" i="2" s="1"/>
  <c r="I197" i="2"/>
  <c r="J197" i="2" s="1"/>
  <c r="I198" i="2"/>
  <c r="J198" i="2" s="1"/>
  <c r="I199" i="2"/>
  <c r="J199" i="2" s="1"/>
  <c r="I200" i="2"/>
  <c r="J200" i="2" s="1"/>
  <c r="I201" i="2"/>
  <c r="J201" i="2" s="1"/>
  <c r="I202" i="2"/>
  <c r="J202" i="2" s="1"/>
  <c r="I203" i="2"/>
  <c r="J203" i="2" s="1"/>
  <c r="I204" i="2"/>
  <c r="J204" i="2" s="1"/>
  <c r="I205" i="2"/>
  <c r="J205" i="2" s="1"/>
  <c r="I206" i="2"/>
  <c r="J206" i="2" s="1"/>
  <c r="I207" i="2"/>
  <c r="J207" i="2" s="1"/>
  <c r="I208" i="2"/>
  <c r="J208" i="2" s="1"/>
  <c r="I209" i="2"/>
  <c r="J209" i="2" s="1"/>
  <c r="I210" i="2"/>
  <c r="J210" i="2" s="1"/>
  <c r="I211" i="2"/>
  <c r="J211" i="2" s="1"/>
  <c r="I212" i="2"/>
  <c r="J212" i="2" s="1"/>
  <c r="I213" i="2"/>
  <c r="J213" i="2" s="1"/>
  <c r="I214" i="2"/>
  <c r="J214" i="2" s="1"/>
  <c r="I215" i="2"/>
  <c r="J215" i="2" s="1"/>
  <c r="I216" i="2"/>
  <c r="J216" i="2" s="1"/>
  <c r="I217" i="2"/>
  <c r="J217" i="2" s="1"/>
  <c r="I218" i="2"/>
  <c r="J218" i="2" s="1"/>
  <c r="I219" i="2"/>
  <c r="J219" i="2" s="1"/>
  <c r="I220" i="2"/>
  <c r="J220" i="2" s="1"/>
  <c r="I221" i="2"/>
  <c r="J221" i="2" s="1"/>
  <c r="I222" i="2"/>
  <c r="J222" i="2" s="1"/>
  <c r="I223" i="2"/>
  <c r="J223" i="2" s="1"/>
  <c r="I224" i="2"/>
  <c r="J224" i="2" s="1"/>
  <c r="I225" i="2"/>
  <c r="J225" i="2" s="1"/>
  <c r="I226" i="2"/>
  <c r="J226" i="2" s="1"/>
  <c r="I227" i="2"/>
  <c r="J227" i="2" s="1"/>
  <c r="I228" i="2"/>
  <c r="J228" i="2" s="1"/>
  <c r="I229" i="2"/>
  <c r="J229" i="2" s="1"/>
  <c r="I230" i="2"/>
  <c r="J230" i="2" s="1"/>
  <c r="I231" i="2"/>
  <c r="J231" i="2" s="1"/>
  <c r="I232" i="2"/>
  <c r="J232" i="2" s="1"/>
  <c r="I233" i="2"/>
  <c r="J233" i="2" s="1"/>
  <c r="I234" i="2"/>
  <c r="J234" i="2" s="1"/>
  <c r="I235" i="2"/>
  <c r="J235" i="2" s="1"/>
  <c r="I236" i="2"/>
  <c r="J236" i="2" s="1"/>
  <c r="I237" i="2"/>
  <c r="J237" i="2" s="1"/>
  <c r="I238" i="2"/>
  <c r="J238" i="2" s="1"/>
  <c r="I239" i="2"/>
  <c r="J239" i="2" s="1"/>
  <c r="I240" i="2"/>
  <c r="J240" i="2" s="1"/>
  <c r="I241" i="2"/>
  <c r="J241" i="2" s="1"/>
  <c r="I242" i="2"/>
  <c r="J242" i="2" s="1"/>
  <c r="I243" i="2"/>
  <c r="J243" i="2" s="1"/>
  <c r="I244" i="2"/>
  <c r="J244" i="2" s="1"/>
  <c r="I245" i="2"/>
  <c r="J245" i="2" s="1"/>
  <c r="I246" i="2"/>
  <c r="J246" i="2" s="1"/>
  <c r="I247" i="2"/>
  <c r="J247" i="2" s="1"/>
  <c r="I248" i="2"/>
  <c r="J248" i="2" s="1"/>
  <c r="I249" i="2"/>
  <c r="J249" i="2" s="1"/>
  <c r="I250" i="2"/>
  <c r="J250" i="2" s="1"/>
  <c r="I251" i="2"/>
  <c r="J251" i="2" s="1"/>
  <c r="I252" i="2"/>
  <c r="J252" i="2" s="1"/>
  <c r="I253" i="2"/>
  <c r="J253" i="2" s="1"/>
  <c r="I254" i="2"/>
  <c r="J254" i="2" s="1"/>
  <c r="I255" i="2"/>
  <c r="J255" i="2" s="1"/>
  <c r="I256" i="2"/>
  <c r="J256" i="2" s="1"/>
  <c r="I257" i="2"/>
  <c r="J257" i="2" s="1"/>
  <c r="I258" i="2"/>
  <c r="J258" i="2" s="1"/>
  <c r="I259" i="2"/>
  <c r="J259" i="2" s="1"/>
  <c r="I260" i="2"/>
  <c r="J260" i="2" s="1"/>
  <c r="I261" i="2"/>
  <c r="J261" i="2" s="1"/>
  <c r="I262" i="2"/>
  <c r="J262" i="2" s="1"/>
  <c r="I263" i="2"/>
  <c r="J263" i="2" s="1"/>
  <c r="I264" i="2"/>
  <c r="J264" i="2" s="1"/>
  <c r="I265" i="2"/>
  <c r="J265" i="2" s="1"/>
  <c r="I266" i="2"/>
  <c r="J266" i="2" s="1"/>
  <c r="I267" i="2"/>
  <c r="J267" i="2" s="1"/>
  <c r="I268" i="2"/>
  <c r="J268" i="2" s="1"/>
  <c r="I269" i="2"/>
  <c r="J269" i="2" s="1"/>
  <c r="I270" i="2"/>
  <c r="J270" i="2" s="1"/>
  <c r="I271" i="2"/>
  <c r="J271" i="2" s="1"/>
  <c r="I272" i="2"/>
  <c r="J272" i="2" s="1"/>
  <c r="I273" i="2"/>
  <c r="J273" i="2" s="1"/>
  <c r="I274" i="2"/>
  <c r="J274" i="2" s="1"/>
  <c r="I275" i="2"/>
  <c r="J275" i="2" s="1"/>
  <c r="I276" i="2"/>
  <c r="J276" i="2" s="1"/>
  <c r="I277" i="2"/>
  <c r="J277" i="2" s="1"/>
  <c r="I278" i="2"/>
  <c r="J278" i="2" s="1"/>
  <c r="I279" i="2"/>
  <c r="J279" i="2" s="1"/>
  <c r="I280" i="2"/>
  <c r="J280" i="2" s="1"/>
  <c r="I281" i="2"/>
  <c r="J281" i="2" s="1"/>
  <c r="I282" i="2"/>
  <c r="J282" i="2" s="1"/>
  <c r="I283" i="2"/>
  <c r="J283" i="2" s="1"/>
  <c r="I284" i="2"/>
  <c r="J284" i="2" s="1"/>
  <c r="I285" i="2"/>
  <c r="J285" i="2" s="1"/>
  <c r="I286" i="2"/>
  <c r="J286" i="2" s="1"/>
  <c r="I287" i="2"/>
  <c r="J287" i="2" s="1"/>
  <c r="I288" i="2"/>
  <c r="J288" i="2" s="1"/>
  <c r="I289" i="2"/>
  <c r="J289" i="2" s="1"/>
  <c r="I290" i="2"/>
  <c r="J290" i="2" s="1"/>
  <c r="I291" i="2"/>
  <c r="J291" i="2" s="1"/>
  <c r="I292" i="2"/>
  <c r="J292" i="2" s="1"/>
  <c r="I293" i="2"/>
  <c r="J293" i="2" s="1"/>
  <c r="I294" i="2"/>
  <c r="J294" i="2" s="1"/>
  <c r="I295" i="2"/>
  <c r="J295" i="2" s="1"/>
  <c r="I296" i="2"/>
  <c r="J296" i="2" s="1"/>
  <c r="I297" i="2"/>
  <c r="J297" i="2" s="1"/>
  <c r="I298" i="2"/>
  <c r="J298" i="2" s="1"/>
  <c r="I299" i="2"/>
  <c r="J299" i="2" s="1"/>
  <c r="I300" i="2"/>
  <c r="J300" i="2" s="1"/>
  <c r="I301" i="2"/>
  <c r="J301" i="2" s="1"/>
  <c r="I302" i="2"/>
  <c r="J302" i="2" s="1"/>
  <c r="I303" i="2"/>
  <c r="J303" i="2" s="1"/>
  <c r="I304" i="2"/>
  <c r="J304" i="2" s="1"/>
  <c r="I305" i="2"/>
  <c r="J305" i="2" s="1"/>
  <c r="I306" i="2"/>
  <c r="J306" i="2" s="1"/>
  <c r="I307" i="2"/>
  <c r="J307" i="2" s="1"/>
  <c r="I308" i="2"/>
  <c r="J308" i="2" s="1"/>
  <c r="I309" i="2"/>
  <c r="J309" i="2" s="1"/>
  <c r="I310" i="2"/>
  <c r="J310" i="2" s="1"/>
  <c r="I311" i="2"/>
  <c r="J311" i="2" s="1"/>
  <c r="I312" i="2"/>
  <c r="J312" i="2" s="1"/>
  <c r="I313" i="2"/>
  <c r="J313" i="2" s="1"/>
  <c r="I314" i="2"/>
  <c r="J314" i="2" s="1"/>
  <c r="I315" i="2"/>
  <c r="J315" i="2" s="1"/>
  <c r="I316" i="2"/>
  <c r="J316" i="2" s="1"/>
  <c r="I317" i="2"/>
  <c r="J317" i="2" s="1"/>
  <c r="I318" i="2"/>
  <c r="J318" i="2" s="1"/>
  <c r="I319" i="2"/>
  <c r="J319" i="2" s="1"/>
  <c r="I320" i="2"/>
  <c r="J320" i="2" s="1"/>
  <c r="I321" i="2"/>
  <c r="J321" i="2" s="1"/>
  <c r="I322" i="2"/>
  <c r="J322" i="2" s="1"/>
  <c r="I323" i="2"/>
  <c r="J323" i="2" s="1"/>
  <c r="I324" i="2"/>
  <c r="J324" i="2" s="1"/>
  <c r="I325" i="2"/>
  <c r="J325" i="2" s="1"/>
  <c r="I326" i="2"/>
  <c r="J326" i="2" s="1"/>
  <c r="I327" i="2"/>
  <c r="J327" i="2" s="1"/>
  <c r="I328" i="2"/>
  <c r="J328" i="2" s="1"/>
  <c r="I329" i="2"/>
  <c r="J329" i="2" s="1"/>
  <c r="I330" i="2"/>
  <c r="J330" i="2" s="1"/>
  <c r="I331" i="2"/>
  <c r="J331" i="2" s="1"/>
  <c r="I332" i="2"/>
  <c r="J332" i="2" s="1"/>
  <c r="I333" i="2"/>
  <c r="J333" i="2" s="1"/>
  <c r="I334" i="2"/>
  <c r="J334" i="2" s="1"/>
  <c r="I335" i="2"/>
  <c r="J335" i="2" s="1"/>
  <c r="I336" i="2"/>
  <c r="J336" i="2" s="1"/>
  <c r="I337" i="2"/>
  <c r="J337" i="2" s="1"/>
  <c r="I338" i="2"/>
  <c r="J338" i="2" s="1"/>
  <c r="I339" i="2"/>
  <c r="J339" i="2" s="1"/>
  <c r="I340" i="2"/>
  <c r="J340" i="2" s="1"/>
  <c r="I341" i="2"/>
  <c r="J341" i="2" s="1"/>
  <c r="I342" i="2"/>
  <c r="J342" i="2" s="1"/>
  <c r="I343" i="2"/>
  <c r="J343" i="2" s="1"/>
  <c r="I344" i="2"/>
  <c r="J344" i="2" s="1"/>
  <c r="I345" i="2"/>
  <c r="J345" i="2" s="1"/>
  <c r="I346" i="2"/>
  <c r="J346" i="2" s="1"/>
  <c r="I347" i="2"/>
  <c r="J347" i="2" s="1"/>
  <c r="I348" i="2"/>
  <c r="J348" i="2" s="1"/>
  <c r="I349" i="2"/>
  <c r="J349" i="2" s="1"/>
  <c r="I350" i="2"/>
  <c r="J350" i="2" s="1"/>
  <c r="I351" i="2"/>
  <c r="J351" i="2" s="1"/>
  <c r="I352" i="2"/>
  <c r="J352" i="2" s="1"/>
  <c r="I353" i="2"/>
  <c r="J353" i="2" s="1"/>
  <c r="I354" i="2"/>
  <c r="J354" i="2" s="1"/>
  <c r="I355" i="2"/>
  <c r="J355" i="2" s="1"/>
  <c r="I356" i="2"/>
  <c r="J356" i="2" s="1"/>
  <c r="I357" i="2"/>
  <c r="J357" i="2" s="1"/>
  <c r="I358" i="2"/>
  <c r="J358" i="2" s="1"/>
  <c r="I359" i="2"/>
  <c r="J359" i="2" s="1"/>
  <c r="I360" i="2"/>
  <c r="J360" i="2" s="1"/>
  <c r="I361" i="2"/>
  <c r="J361" i="2" s="1"/>
  <c r="I362" i="2"/>
  <c r="J362" i="2" s="1"/>
  <c r="I363" i="2"/>
  <c r="J363" i="2" s="1"/>
  <c r="I364" i="2"/>
  <c r="J364" i="2" s="1"/>
  <c r="I365" i="2"/>
  <c r="J365" i="2" s="1"/>
  <c r="I366" i="2"/>
  <c r="J366" i="2" s="1"/>
  <c r="I367" i="2"/>
  <c r="J367" i="2" s="1"/>
  <c r="I368" i="2"/>
  <c r="J368" i="2" s="1"/>
  <c r="I369" i="2"/>
  <c r="J369" i="2" s="1"/>
  <c r="I370" i="2"/>
  <c r="J370" i="2" s="1"/>
  <c r="I371" i="2"/>
  <c r="J371" i="2" s="1"/>
  <c r="I372" i="2"/>
  <c r="J372" i="2" s="1"/>
  <c r="I373" i="2"/>
  <c r="J373" i="2" s="1"/>
  <c r="I374" i="2"/>
  <c r="J374" i="2" s="1"/>
  <c r="I375" i="2"/>
  <c r="J375" i="2" s="1"/>
  <c r="I376" i="2"/>
  <c r="J376" i="2" s="1"/>
  <c r="I377" i="2"/>
  <c r="J377" i="2" s="1"/>
  <c r="I378" i="2"/>
  <c r="J378" i="2" s="1"/>
  <c r="I379" i="2"/>
  <c r="J379" i="2" s="1"/>
  <c r="I380" i="2"/>
  <c r="J380" i="2" s="1"/>
  <c r="I381" i="2"/>
  <c r="J381" i="2" s="1"/>
  <c r="I382" i="2"/>
  <c r="J382" i="2" s="1"/>
  <c r="I383" i="2"/>
  <c r="J383" i="2" s="1"/>
  <c r="I384" i="2"/>
  <c r="J384" i="2" s="1"/>
  <c r="I385" i="2"/>
  <c r="J385" i="2" s="1"/>
  <c r="I386" i="2"/>
  <c r="J386" i="2" s="1"/>
  <c r="I387" i="2"/>
  <c r="J387" i="2" s="1"/>
  <c r="I388" i="2"/>
  <c r="J388" i="2" s="1"/>
  <c r="I389" i="2"/>
  <c r="J389" i="2" s="1"/>
  <c r="I390" i="2"/>
  <c r="J390" i="2" s="1"/>
  <c r="I391" i="2"/>
  <c r="J391" i="2" s="1"/>
  <c r="I392" i="2"/>
  <c r="J392" i="2" s="1"/>
  <c r="I393" i="2"/>
  <c r="J393" i="2" s="1"/>
  <c r="I394" i="2"/>
  <c r="J394" i="2" s="1"/>
  <c r="I395" i="2"/>
  <c r="J395" i="2" s="1"/>
  <c r="I396" i="2"/>
  <c r="J396" i="2" s="1"/>
  <c r="I397" i="2"/>
  <c r="J397" i="2" s="1"/>
  <c r="I398" i="2"/>
  <c r="J398" i="2" s="1"/>
  <c r="I399" i="2"/>
  <c r="J399" i="2" s="1"/>
  <c r="I400" i="2"/>
  <c r="J400" i="2" s="1"/>
  <c r="I401" i="2"/>
  <c r="J401" i="2" s="1"/>
  <c r="I402" i="2"/>
  <c r="J402" i="2" s="1"/>
  <c r="I403" i="2"/>
  <c r="J403" i="2" s="1"/>
  <c r="I404" i="2"/>
  <c r="J404" i="2" s="1"/>
  <c r="I405" i="2"/>
  <c r="J405" i="2" s="1"/>
  <c r="I406" i="2"/>
  <c r="J406" i="2" s="1"/>
  <c r="I407" i="2"/>
  <c r="J407" i="2" s="1"/>
  <c r="I408" i="2"/>
  <c r="J408" i="2" s="1"/>
  <c r="I409" i="2"/>
  <c r="J409" i="2" s="1"/>
  <c r="I410" i="2"/>
  <c r="J410" i="2" s="1"/>
  <c r="I411" i="2"/>
  <c r="J411" i="2" s="1"/>
  <c r="I412" i="2"/>
  <c r="J412" i="2" s="1"/>
  <c r="I413" i="2"/>
  <c r="J413" i="2" s="1"/>
  <c r="I414" i="2"/>
  <c r="J414" i="2" s="1"/>
  <c r="I415" i="2"/>
  <c r="J415" i="2" s="1"/>
  <c r="I416" i="2"/>
  <c r="J416" i="2" s="1"/>
  <c r="I417" i="2"/>
  <c r="J417" i="2" s="1"/>
  <c r="I418" i="2"/>
  <c r="J418" i="2" s="1"/>
  <c r="I419" i="2"/>
  <c r="J419" i="2" s="1"/>
  <c r="I420" i="2"/>
  <c r="J420" i="2" s="1"/>
  <c r="I421" i="2"/>
  <c r="J421" i="2" s="1"/>
  <c r="I422" i="2"/>
  <c r="J422" i="2" s="1"/>
  <c r="I423" i="2"/>
  <c r="J423" i="2" s="1"/>
  <c r="I424" i="2"/>
  <c r="J424" i="2" s="1"/>
  <c r="I425" i="2"/>
  <c r="J425" i="2" s="1"/>
  <c r="I426" i="2"/>
  <c r="J426" i="2" s="1"/>
  <c r="I427" i="2"/>
  <c r="J427" i="2" s="1"/>
  <c r="I428" i="2"/>
  <c r="J428" i="2" s="1"/>
  <c r="I429" i="2"/>
  <c r="J429" i="2" s="1"/>
  <c r="I430" i="2"/>
  <c r="J430" i="2" s="1"/>
  <c r="I431" i="2"/>
  <c r="J431" i="2" s="1"/>
  <c r="I432" i="2"/>
  <c r="J432" i="2" s="1"/>
  <c r="I433" i="2"/>
  <c r="J433" i="2" s="1"/>
  <c r="I434" i="2"/>
  <c r="J434" i="2" s="1"/>
  <c r="I435" i="2"/>
  <c r="J435" i="2" s="1"/>
  <c r="I436" i="2"/>
  <c r="J436" i="2" s="1"/>
  <c r="I437" i="2"/>
  <c r="J437" i="2" s="1"/>
  <c r="I438" i="2"/>
  <c r="J438" i="2" s="1"/>
  <c r="I439" i="2"/>
  <c r="J439" i="2" s="1"/>
  <c r="I440" i="2"/>
  <c r="J440" i="2" s="1"/>
  <c r="I441" i="2"/>
  <c r="J441" i="2" s="1"/>
  <c r="I442" i="2"/>
  <c r="J442" i="2" s="1"/>
  <c r="I443" i="2"/>
  <c r="J443" i="2" s="1"/>
  <c r="I444" i="2"/>
  <c r="J444" i="2" s="1"/>
  <c r="I445" i="2"/>
  <c r="J445" i="2" s="1"/>
  <c r="I446" i="2"/>
  <c r="J446" i="2" s="1"/>
  <c r="I447" i="2"/>
  <c r="J447" i="2" s="1"/>
  <c r="I448" i="2"/>
  <c r="J448" i="2" s="1"/>
  <c r="I449" i="2"/>
  <c r="J449" i="2" s="1"/>
  <c r="I450" i="2"/>
  <c r="J450" i="2" s="1"/>
  <c r="I451" i="2"/>
  <c r="J451" i="2" s="1"/>
  <c r="I452" i="2"/>
  <c r="J452" i="2" s="1"/>
  <c r="I453" i="2"/>
  <c r="J453" i="2" s="1"/>
  <c r="I454" i="2"/>
  <c r="J454" i="2" s="1"/>
  <c r="I455" i="2"/>
  <c r="J455" i="2" s="1"/>
  <c r="I456" i="2"/>
  <c r="J456" i="2" s="1"/>
  <c r="I457" i="2"/>
  <c r="J457" i="2" s="1"/>
  <c r="I458" i="2"/>
  <c r="J458" i="2" s="1"/>
  <c r="I459" i="2"/>
  <c r="J459" i="2" s="1"/>
  <c r="I460" i="2"/>
  <c r="J460" i="2" s="1"/>
  <c r="I461" i="2"/>
  <c r="J461" i="2" s="1"/>
  <c r="I462" i="2"/>
  <c r="J462" i="2" s="1"/>
  <c r="I463" i="2"/>
  <c r="J463" i="2" s="1"/>
  <c r="I464" i="2"/>
  <c r="J464" i="2" s="1"/>
  <c r="I465" i="2"/>
  <c r="J465" i="2" s="1"/>
  <c r="I466" i="2"/>
  <c r="J466" i="2" s="1"/>
  <c r="I467" i="2"/>
  <c r="J467" i="2" s="1"/>
  <c r="I468" i="2"/>
  <c r="J468" i="2" s="1"/>
  <c r="I469" i="2"/>
  <c r="J469" i="2" s="1"/>
  <c r="I470" i="2"/>
  <c r="J470" i="2" s="1"/>
  <c r="I471" i="2"/>
  <c r="J471" i="2" s="1"/>
  <c r="I472" i="2"/>
  <c r="J472" i="2" s="1"/>
  <c r="I473" i="2"/>
  <c r="J473" i="2" s="1"/>
  <c r="I474" i="2"/>
  <c r="J474" i="2" s="1"/>
  <c r="I475" i="2"/>
  <c r="J475" i="2" s="1"/>
  <c r="I476" i="2"/>
  <c r="J476" i="2" s="1"/>
  <c r="I477" i="2"/>
  <c r="J477" i="2" s="1"/>
  <c r="I478" i="2"/>
  <c r="J478" i="2" s="1"/>
  <c r="I479" i="2"/>
  <c r="J479" i="2" s="1"/>
  <c r="I480" i="2"/>
  <c r="J480" i="2" s="1"/>
  <c r="I481" i="2"/>
  <c r="J481" i="2" s="1"/>
  <c r="I482" i="2"/>
  <c r="J482" i="2" s="1"/>
  <c r="I483" i="2"/>
  <c r="J483" i="2" s="1"/>
  <c r="I484" i="2"/>
  <c r="J484" i="2" s="1"/>
  <c r="I485" i="2"/>
  <c r="J485" i="2" s="1"/>
  <c r="I486" i="2"/>
  <c r="J486" i="2" s="1"/>
  <c r="I487" i="2"/>
  <c r="J487" i="2" s="1"/>
  <c r="I488" i="2"/>
  <c r="J488" i="2" s="1"/>
  <c r="I489" i="2"/>
  <c r="J489" i="2" s="1"/>
  <c r="I490" i="2"/>
  <c r="J490" i="2" s="1"/>
  <c r="I491" i="2"/>
  <c r="J491" i="2" s="1"/>
  <c r="I492" i="2"/>
  <c r="J492" i="2" s="1"/>
  <c r="I493" i="2"/>
  <c r="J493" i="2" s="1"/>
  <c r="I494" i="2"/>
  <c r="J494" i="2" s="1"/>
  <c r="I495" i="2"/>
  <c r="J495" i="2" s="1"/>
  <c r="I496" i="2"/>
  <c r="J496" i="2" s="1"/>
  <c r="I497" i="2"/>
  <c r="J497" i="2" s="1"/>
  <c r="I498" i="2"/>
  <c r="J498" i="2" s="1"/>
  <c r="I499" i="2"/>
  <c r="J499" i="2" s="1"/>
  <c r="I500" i="2"/>
  <c r="J500" i="2" s="1"/>
  <c r="I501" i="2"/>
  <c r="J501" i="2" s="1"/>
  <c r="I502" i="2"/>
  <c r="J502" i="2" s="1"/>
  <c r="I503" i="2"/>
  <c r="J503" i="2" s="1"/>
  <c r="I504" i="2"/>
  <c r="J504" i="2" s="1"/>
  <c r="I505" i="2"/>
  <c r="J505" i="2" s="1"/>
  <c r="I506" i="2"/>
  <c r="J506" i="2" s="1"/>
  <c r="I507" i="2"/>
  <c r="J507" i="2" s="1"/>
  <c r="I508" i="2"/>
  <c r="J508" i="2" s="1"/>
  <c r="I509" i="2"/>
  <c r="J509" i="2" s="1"/>
  <c r="I510" i="2"/>
  <c r="J510" i="2" s="1"/>
  <c r="I511" i="2"/>
  <c r="J511" i="2" s="1"/>
  <c r="I512" i="2"/>
  <c r="J512" i="2" s="1"/>
  <c r="I513" i="2"/>
  <c r="J513" i="2" s="1"/>
  <c r="I514" i="2"/>
  <c r="J514" i="2" s="1"/>
  <c r="I515" i="2"/>
  <c r="J515" i="2" s="1"/>
  <c r="I516" i="2"/>
  <c r="J516" i="2" s="1"/>
  <c r="I517" i="2"/>
  <c r="J517" i="2" s="1"/>
  <c r="I518" i="2"/>
  <c r="J518" i="2" s="1"/>
  <c r="I519" i="2"/>
  <c r="J519" i="2" s="1"/>
  <c r="I520" i="2"/>
  <c r="J520" i="2" s="1"/>
  <c r="I521" i="2"/>
  <c r="J521" i="2" s="1"/>
  <c r="I522" i="2"/>
  <c r="J522" i="2" s="1"/>
  <c r="I523" i="2"/>
  <c r="J523" i="2" s="1"/>
  <c r="I524" i="2"/>
  <c r="J524" i="2" s="1"/>
  <c r="I525" i="2"/>
  <c r="J525" i="2" s="1"/>
  <c r="I526" i="2"/>
  <c r="J526" i="2" s="1"/>
  <c r="I527" i="2"/>
  <c r="J527" i="2" s="1"/>
  <c r="I528" i="2"/>
  <c r="J528" i="2" s="1"/>
  <c r="I529" i="2"/>
  <c r="J529" i="2" s="1"/>
  <c r="I530" i="2"/>
  <c r="J530" i="2" s="1"/>
  <c r="I531" i="2"/>
  <c r="J531" i="2" s="1"/>
  <c r="I532" i="2"/>
  <c r="J532" i="2" s="1"/>
  <c r="I533" i="2"/>
  <c r="J533" i="2" s="1"/>
  <c r="I534" i="2"/>
  <c r="J534" i="2" s="1"/>
  <c r="I535" i="2"/>
  <c r="J535" i="2" s="1"/>
  <c r="I536" i="2"/>
  <c r="J536" i="2" s="1"/>
  <c r="I537" i="2"/>
  <c r="J537" i="2" s="1"/>
  <c r="I538" i="2"/>
  <c r="J538" i="2" s="1"/>
  <c r="I539" i="2"/>
  <c r="J539" i="2" s="1"/>
  <c r="I540" i="2"/>
  <c r="J540" i="2" s="1"/>
  <c r="I541" i="2"/>
  <c r="J541" i="2" s="1"/>
  <c r="I542" i="2"/>
  <c r="J542" i="2" s="1"/>
  <c r="I543" i="2"/>
  <c r="J543" i="2" s="1"/>
  <c r="I544" i="2"/>
  <c r="J544" i="2" s="1"/>
  <c r="I545" i="2"/>
  <c r="J545" i="2" s="1"/>
  <c r="I546" i="2"/>
  <c r="J546" i="2" s="1"/>
  <c r="I547" i="2"/>
  <c r="J547" i="2" s="1"/>
  <c r="I548" i="2"/>
  <c r="J548" i="2" s="1"/>
  <c r="I549" i="2"/>
  <c r="J549" i="2" s="1"/>
  <c r="I550" i="2"/>
  <c r="J550" i="2" s="1"/>
  <c r="I551" i="2"/>
  <c r="J551" i="2" s="1"/>
  <c r="I552" i="2"/>
  <c r="J552" i="2" s="1"/>
  <c r="I553" i="2"/>
  <c r="J553" i="2" s="1"/>
  <c r="I554" i="2"/>
  <c r="J554" i="2" s="1"/>
  <c r="I555" i="2"/>
  <c r="J555" i="2" s="1"/>
  <c r="I556" i="2"/>
  <c r="J556" i="2" s="1"/>
  <c r="I557" i="2"/>
  <c r="J557" i="2" s="1"/>
  <c r="I558" i="2"/>
  <c r="J558" i="2" s="1"/>
  <c r="I559" i="2"/>
  <c r="J559" i="2" s="1"/>
  <c r="I560" i="2"/>
  <c r="J560" i="2" s="1"/>
  <c r="I561" i="2"/>
  <c r="J561" i="2" s="1"/>
  <c r="I562" i="2"/>
  <c r="J562" i="2" s="1"/>
  <c r="I563" i="2"/>
  <c r="J563" i="2" s="1"/>
  <c r="I564" i="2"/>
  <c r="J564" i="2" s="1"/>
  <c r="I565" i="2"/>
  <c r="J565" i="2" s="1"/>
  <c r="I566" i="2"/>
  <c r="J566" i="2" s="1"/>
  <c r="I567" i="2"/>
  <c r="J567" i="2" s="1"/>
  <c r="I568" i="2"/>
  <c r="J568" i="2" s="1"/>
  <c r="I569" i="2"/>
  <c r="J569" i="2" s="1"/>
  <c r="I570" i="2"/>
  <c r="J570" i="2" s="1"/>
  <c r="I571" i="2"/>
  <c r="J571" i="2" s="1"/>
  <c r="I572" i="2"/>
  <c r="J572" i="2" s="1"/>
  <c r="I573" i="2"/>
  <c r="J573" i="2" s="1"/>
  <c r="I574" i="2"/>
  <c r="J574" i="2" s="1"/>
  <c r="I575" i="2"/>
  <c r="J575" i="2" s="1"/>
  <c r="I576" i="2"/>
  <c r="J576" i="2" s="1"/>
  <c r="I577" i="2"/>
  <c r="J577" i="2" s="1"/>
  <c r="I578" i="2"/>
  <c r="J578" i="2" s="1"/>
  <c r="I579" i="2"/>
  <c r="J579" i="2" s="1"/>
  <c r="I580" i="2"/>
  <c r="J580" i="2" s="1"/>
  <c r="I581" i="2"/>
  <c r="J581" i="2" s="1"/>
  <c r="I582" i="2"/>
  <c r="J582" i="2" s="1"/>
  <c r="I583" i="2"/>
  <c r="J583" i="2" s="1"/>
  <c r="I584" i="2"/>
  <c r="J584" i="2" s="1"/>
  <c r="I585" i="2"/>
  <c r="J585" i="2" s="1"/>
  <c r="I586" i="2"/>
  <c r="J586" i="2" s="1"/>
  <c r="I587" i="2"/>
  <c r="J587" i="2" s="1"/>
  <c r="I588" i="2"/>
  <c r="J588" i="2" s="1"/>
  <c r="I589" i="2"/>
  <c r="J589" i="2" s="1"/>
  <c r="I590" i="2"/>
  <c r="J590" i="2" s="1"/>
  <c r="I591" i="2"/>
  <c r="J591" i="2" s="1"/>
  <c r="I592" i="2"/>
  <c r="J592" i="2" s="1"/>
  <c r="I593" i="2"/>
  <c r="J593" i="2" s="1"/>
  <c r="I594" i="2"/>
  <c r="J594" i="2" s="1"/>
  <c r="I595" i="2"/>
  <c r="J595" i="2" s="1"/>
  <c r="I596" i="2"/>
  <c r="J596" i="2" s="1"/>
  <c r="I597" i="2"/>
  <c r="J597" i="2" s="1"/>
  <c r="I598" i="2"/>
  <c r="J598" i="2" s="1"/>
  <c r="I599" i="2"/>
  <c r="J599" i="2" s="1"/>
  <c r="I600" i="2"/>
  <c r="J600" i="2" s="1"/>
  <c r="I601" i="2"/>
  <c r="J601" i="2" s="1"/>
  <c r="I602" i="2"/>
  <c r="J602" i="2" s="1"/>
  <c r="I603" i="2"/>
  <c r="J603" i="2" s="1"/>
  <c r="I604" i="2"/>
  <c r="J604" i="2" s="1"/>
  <c r="I605" i="2"/>
  <c r="J605" i="2" s="1"/>
  <c r="I606" i="2"/>
  <c r="J606" i="2" s="1"/>
  <c r="I607" i="2"/>
  <c r="J607" i="2" s="1"/>
  <c r="I608" i="2"/>
  <c r="J608" i="2" s="1"/>
  <c r="I609" i="2"/>
  <c r="J609" i="2" s="1"/>
  <c r="I610" i="2"/>
  <c r="J610" i="2" s="1"/>
  <c r="I611" i="2"/>
  <c r="J611" i="2" s="1"/>
  <c r="I612" i="2"/>
  <c r="J612" i="2" s="1"/>
  <c r="I613" i="2"/>
  <c r="J613" i="2" s="1"/>
  <c r="I614" i="2"/>
  <c r="J614" i="2" s="1"/>
  <c r="I615" i="2"/>
  <c r="J615" i="2" s="1"/>
  <c r="I616" i="2"/>
  <c r="J616" i="2" s="1"/>
  <c r="I617" i="2"/>
  <c r="J617" i="2" s="1"/>
  <c r="I618" i="2"/>
  <c r="J618" i="2" s="1"/>
  <c r="I619" i="2"/>
  <c r="J619" i="2" s="1"/>
  <c r="I620" i="2"/>
  <c r="J620" i="2" s="1"/>
  <c r="I621" i="2"/>
  <c r="J621" i="2" s="1"/>
  <c r="I622" i="2"/>
  <c r="J622" i="2" s="1"/>
  <c r="I623" i="2"/>
  <c r="J623" i="2" s="1"/>
  <c r="I624" i="2"/>
  <c r="J624" i="2" s="1"/>
  <c r="I625" i="2"/>
  <c r="J625" i="2" s="1"/>
  <c r="I626" i="2"/>
  <c r="J626" i="2" s="1"/>
  <c r="I627" i="2"/>
  <c r="J627" i="2" s="1"/>
  <c r="I628" i="2"/>
  <c r="J628" i="2" s="1"/>
  <c r="I629" i="2"/>
  <c r="J629" i="2" s="1"/>
  <c r="I630" i="2"/>
  <c r="J630" i="2" s="1"/>
  <c r="I631" i="2"/>
  <c r="J631" i="2" s="1"/>
  <c r="I632" i="2"/>
  <c r="J632" i="2" s="1"/>
  <c r="I633" i="2"/>
  <c r="J633" i="2" s="1"/>
  <c r="I634" i="2"/>
  <c r="J634" i="2" s="1"/>
  <c r="I635" i="2"/>
  <c r="J635" i="2" s="1"/>
  <c r="I636" i="2"/>
  <c r="J636" i="2" s="1"/>
  <c r="I637" i="2"/>
  <c r="J637" i="2" s="1"/>
  <c r="I638" i="2"/>
  <c r="J638" i="2" s="1"/>
  <c r="I639" i="2"/>
  <c r="J639" i="2" s="1"/>
  <c r="I640" i="2"/>
  <c r="J640" i="2" s="1"/>
  <c r="I641" i="2"/>
  <c r="J641" i="2" s="1"/>
  <c r="I642" i="2"/>
  <c r="J642" i="2" s="1"/>
  <c r="I643" i="2"/>
  <c r="J643" i="2" s="1"/>
  <c r="I644" i="2"/>
  <c r="J644" i="2" s="1"/>
  <c r="I645" i="2"/>
  <c r="J645" i="2" s="1"/>
  <c r="I646" i="2"/>
  <c r="J646" i="2" s="1"/>
  <c r="I647" i="2"/>
  <c r="J647" i="2" s="1"/>
  <c r="I648" i="2"/>
  <c r="J648" i="2" s="1"/>
  <c r="I649" i="2"/>
  <c r="J649" i="2" s="1"/>
  <c r="I650" i="2"/>
  <c r="J650" i="2" s="1"/>
  <c r="I651" i="2"/>
  <c r="J651" i="2" s="1"/>
  <c r="I652" i="2"/>
  <c r="J652" i="2" s="1"/>
  <c r="I653" i="2"/>
  <c r="J653" i="2" s="1"/>
  <c r="I654" i="2"/>
  <c r="J654" i="2" s="1"/>
  <c r="I655" i="2"/>
  <c r="J655" i="2" s="1"/>
  <c r="I656" i="2"/>
  <c r="J656" i="2" s="1"/>
  <c r="I657" i="2"/>
  <c r="J657" i="2" s="1"/>
  <c r="I658" i="2"/>
  <c r="J658" i="2" s="1"/>
  <c r="I659" i="2"/>
  <c r="J659" i="2" s="1"/>
  <c r="I660" i="2"/>
  <c r="J660" i="2" s="1"/>
  <c r="I661" i="2"/>
  <c r="J661" i="2" s="1"/>
  <c r="I662" i="2"/>
  <c r="J662" i="2" s="1"/>
  <c r="I663" i="2"/>
  <c r="J663" i="2" s="1"/>
  <c r="I664" i="2"/>
  <c r="J664" i="2" s="1"/>
  <c r="I665" i="2"/>
  <c r="J665" i="2" s="1"/>
  <c r="I666" i="2"/>
  <c r="J666" i="2" s="1"/>
  <c r="I667" i="2"/>
  <c r="J667" i="2" s="1"/>
  <c r="I668" i="2"/>
  <c r="J668" i="2" s="1"/>
  <c r="I669" i="2"/>
  <c r="J669" i="2" s="1"/>
  <c r="I670" i="2"/>
  <c r="J670" i="2" s="1"/>
  <c r="I671" i="2"/>
  <c r="J671" i="2" s="1"/>
  <c r="I672" i="2"/>
  <c r="J672" i="2" s="1"/>
  <c r="I673" i="2"/>
  <c r="J673" i="2" s="1"/>
  <c r="I674" i="2"/>
  <c r="J674" i="2" s="1"/>
  <c r="I675" i="2"/>
  <c r="J675" i="2" s="1"/>
  <c r="I676" i="2"/>
  <c r="J676" i="2" s="1"/>
  <c r="I677" i="2"/>
  <c r="J677" i="2" s="1"/>
  <c r="I678" i="2"/>
  <c r="J678" i="2" s="1"/>
  <c r="I679" i="2"/>
  <c r="J679" i="2" s="1"/>
  <c r="I680" i="2"/>
  <c r="J680" i="2" s="1"/>
  <c r="I681" i="2"/>
  <c r="J681" i="2" s="1"/>
  <c r="I682" i="2"/>
  <c r="J682" i="2" s="1"/>
  <c r="I683" i="2"/>
  <c r="J683" i="2" s="1"/>
  <c r="I684" i="2"/>
  <c r="J684" i="2" s="1"/>
  <c r="I685" i="2"/>
  <c r="J685" i="2" s="1"/>
  <c r="I686" i="2"/>
  <c r="J686" i="2" s="1"/>
  <c r="I687" i="2"/>
  <c r="J687" i="2" s="1"/>
  <c r="I688" i="2"/>
  <c r="J688" i="2" s="1"/>
  <c r="I689" i="2"/>
  <c r="J689" i="2" s="1"/>
  <c r="I690" i="2"/>
  <c r="J690" i="2" s="1"/>
  <c r="I691" i="2"/>
  <c r="J691" i="2" s="1"/>
  <c r="I692" i="2"/>
  <c r="J692" i="2" s="1"/>
  <c r="I693" i="2"/>
  <c r="J693" i="2" s="1"/>
  <c r="I694" i="2"/>
  <c r="J694" i="2" s="1"/>
  <c r="I695" i="2"/>
  <c r="J695" i="2" s="1"/>
  <c r="I696" i="2"/>
  <c r="J696" i="2" s="1"/>
  <c r="I697" i="2"/>
  <c r="J697" i="2" s="1"/>
  <c r="I698" i="2"/>
  <c r="J698" i="2" s="1"/>
  <c r="I699" i="2"/>
  <c r="J699" i="2" s="1"/>
  <c r="I700" i="2"/>
  <c r="J700" i="2" s="1"/>
  <c r="I701" i="2"/>
  <c r="J701" i="2" s="1"/>
  <c r="I702" i="2"/>
  <c r="J702" i="2" s="1"/>
  <c r="I703" i="2"/>
  <c r="J703" i="2" s="1"/>
  <c r="I704" i="2"/>
  <c r="J704" i="2" s="1"/>
  <c r="I705" i="2"/>
  <c r="J705" i="2" s="1"/>
  <c r="I706" i="2"/>
  <c r="J706" i="2" s="1"/>
  <c r="I707" i="2"/>
  <c r="J707" i="2" s="1"/>
  <c r="I708" i="2"/>
  <c r="J708" i="2" s="1"/>
  <c r="I709" i="2"/>
  <c r="J709" i="2" s="1"/>
  <c r="I710" i="2"/>
  <c r="J710" i="2" s="1"/>
  <c r="I711" i="2"/>
  <c r="J711" i="2" s="1"/>
  <c r="I712" i="2"/>
  <c r="J712" i="2" s="1"/>
  <c r="I713" i="2"/>
  <c r="J713" i="2" s="1"/>
  <c r="I714" i="2"/>
  <c r="J714" i="2" s="1"/>
  <c r="I715" i="2"/>
  <c r="J715" i="2" s="1"/>
  <c r="I716" i="2"/>
  <c r="J716" i="2" s="1"/>
  <c r="I717" i="2"/>
  <c r="J717" i="2" s="1"/>
  <c r="I718" i="2"/>
  <c r="J718" i="2" s="1"/>
  <c r="I719" i="2"/>
  <c r="J719" i="2" s="1"/>
  <c r="I720" i="2"/>
  <c r="J720" i="2" s="1"/>
  <c r="I721" i="2"/>
  <c r="J721" i="2" s="1"/>
  <c r="I722" i="2"/>
  <c r="J722" i="2" s="1"/>
  <c r="I723" i="2"/>
  <c r="J723" i="2" s="1"/>
  <c r="I724" i="2"/>
  <c r="J724" i="2" s="1"/>
  <c r="I725" i="2"/>
  <c r="J725" i="2" s="1"/>
  <c r="I726" i="2"/>
  <c r="J726" i="2" s="1"/>
  <c r="I727" i="2"/>
  <c r="J727" i="2" s="1"/>
  <c r="I728" i="2"/>
  <c r="J728" i="2" s="1"/>
  <c r="I729" i="2"/>
  <c r="J729" i="2" s="1"/>
  <c r="I730" i="2"/>
  <c r="J730" i="2" s="1"/>
  <c r="I731" i="2"/>
  <c r="J731" i="2" s="1"/>
  <c r="I732" i="2"/>
  <c r="J732" i="2" s="1"/>
  <c r="I733" i="2"/>
  <c r="J733" i="2" s="1"/>
  <c r="I734" i="2"/>
  <c r="J734" i="2" s="1"/>
  <c r="I735" i="2"/>
  <c r="J735" i="2" s="1"/>
  <c r="I736" i="2"/>
  <c r="J736" i="2" s="1"/>
  <c r="I737" i="2"/>
  <c r="J737" i="2" s="1"/>
  <c r="I738" i="2"/>
  <c r="J738" i="2" s="1"/>
  <c r="I739" i="2"/>
  <c r="J739" i="2" s="1"/>
  <c r="I740" i="2"/>
  <c r="J740" i="2" s="1"/>
  <c r="I741" i="2"/>
  <c r="J741" i="2" s="1"/>
  <c r="I742" i="2"/>
  <c r="J742" i="2" s="1"/>
  <c r="I743" i="2"/>
  <c r="J743" i="2" s="1"/>
  <c r="I744" i="2"/>
  <c r="J744" i="2" s="1"/>
  <c r="I745" i="2"/>
  <c r="J745" i="2" s="1"/>
  <c r="I746" i="2"/>
  <c r="J746" i="2" s="1"/>
  <c r="I747" i="2"/>
  <c r="J747" i="2" s="1"/>
  <c r="I748" i="2"/>
  <c r="J748" i="2" s="1"/>
  <c r="I749" i="2"/>
  <c r="J749" i="2" s="1"/>
  <c r="I750" i="2"/>
  <c r="J750" i="2" s="1"/>
  <c r="I751" i="2"/>
  <c r="J751" i="2" s="1"/>
  <c r="I752" i="2"/>
  <c r="J752" i="2" s="1"/>
  <c r="I753" i="2"/>
  <c r="J753" i="2" s="1"/>
  <c r="I754" i="2"/>
  <c r="J754" i="2" s="1"/>
  <c r="I755" i="2"/>
  <c r="J755" i="2" s="1"/>
  <c r="I756" i="2"/>
  <c r="J756" i="2" s="1"/>
  <c r="I757" i="2"/>
  <c r="J757" i="2" s="1"/>
  <c r="I758" i="2"/>
  <c r="J758" i="2" s="1"/>
  <c r="I759" i="2"/>
  <c r="J759" i="2" s="1"/>
  <c r="I760" i="2"/>
  <c r="J760" i="2" s="1"/>
  <c r="I761" i="2"/>
  <c r="J761" i="2" s="1"/>
  <c r="I762" i="2"/>
  <c r="J762" i="2" s="1"/>
  <c r="I763" i="2"/>
  <c r="J763" i="2" s="1"/>
  <c r="I764" i="2"/>
  <c r="J764" i="2" s="1"/>
  <c r="I765" i="2"/>
  <c r="J765" i="2" s="1"/>
  <c r="I766" i="2"/>
  <c r="J766" i="2" s="1"/>
  <c r="I767" i="2"/>
  <c r="J767" i="2" s="1"/>
  <c r="I768" i="2"/>
  <c r="J768" i="2" s="1"/>
  <c r="I769" i="2"/>
  <c r="J769" i="2" s="1"/>
  <c r="I770" i="2"/>
  <c r="J770" i="2" s="1"/>
  <c r="I771" i="2"/>
  <c r="J771" i="2" s="1"/>
  <c r="I772" i="2"/>
  <c r="J772" i="2" s="1"/>
  <c r="I773" i="2"/>
  <c r="J773" i="2" s="1"/>
  <c r="I774" i="2"/>
  <c r="J774" i="2" s="1"/>
  <c r="I775" i="2"/>
  <c r="J775" i="2" s="1"/>
  <c r="I776" i="2"/>
  <c r="J776" i="2" s="1"/>
  <c r="I777" i="2"/>
  <c r="J777" i="2" s="1"/>
  <c r="I778" i="2"/>
  <c r="J778" i="2" s="1"/>
  <c r="I779" i="2"/>
  <c r="J779" i="2" s="1"/>
  <c r="I780" i="2"/>
  <c r="J780" i="2" s="1"/>
  <c r="I781" i="2"/>
  <c r="J781" i="2" s="1"/>
  <c r="I782" i="2"/>
  <c r="J782" i="2" s="1"/>
  <c r="I783" i="2"/>
  <c r="J783" i="2" s="1"/>
  <c r="I784" i="2"/>
  <c r="J784" i="2" s="1"/>
  <c r="I785" i="2"/>
  <c r="J785" i="2" s="1"/>
  <c r="I786" i="2"/>
  <c r="J786" i="2" s="1"/>
  <c r="I787" i="2"/>
  <c r="J787" i="2" s="1"/>
  <c r="I788" i="2"/>
  <c r="J788" i="2" s="1"/>
  <c r="I789" i="2"/>
  <c r="J789" i="2" s="1"/>
  <c r="I790" i="2"/>
  <c r="J790" i="2" s="1"/>
  <c r="I791" i="2"/>
  <c r="J791" i="2" s="1"/>
  <c r="I792" i="2"/>
  <c r="J792" i="2" s="1"/>
  <c r="I793" i="2"/>
  <c r="J793" i="2" s="1"/>
  <c r="I794" i="2"/>
  <c r="J794" i="2" s="1"/>
  <c r="I795" i="2"/>
  <c r="J795" i="2" s="1"/>
  <c r="I796" i="2"/>
  <c r="J796" i="2" s="1"/>
  <c r="I797" i="2"/>
  <c r="J797" i="2" s="1"/>
  <c r="I798" i="2"/>
  <c r="J798" i="2" s="1"/>
  <c r="I799" i="2"/>
  <c r="J799" i="2" s="1"/>
  <c r="I800" i="2"/>
  <c r="J800" i="2" s="1"/>
  <c r="I801" i="2"/>
  <c r="J801" i="2" s="1"/>
  <c r="I802" i="2"/>
  <c r="J802" i="2" s="1"/>
  <c r="I803" i="2"/>
  <c r="J803" i="2" s="1"/>
  <c r="I804" i="2"/>
  <c r="J804" i="2" s="1"/>
  <c r="I805" i="2"/>
  <c r="J805" i="2" s="1"/>
  <c r="I806" i="2"/>
  <c r="J806" i="2" s="1"/>
  <c r="I807" i="2"/>
  <c r="J807" i="2" s="1"/>
  <c r="I808" i="2"/>
  <c r="J808" i="2" s="1"/>
  <c r="I809" i="2"/>
  <c r="J809" i="2" s="1"/>
  <c r="I810" i="2"/>
  <c r="J810" i="2" s="1"/>
  <c r="I811" i="2"/>
  <c r="J811" i="2" s="1"/>
  <c r="I812" i="2"/>
  <c r="J812" i="2" s="1"/>
  <c r="I813" i="2"/>
  <c r="J813" i="2" s="1"/>
  <c r="I814" i="2"/>
  <c r="J814" i="2" s="1"/>
  <c r="I815" i="2"/>
  <c r="J815" i="2" s="1"/>
  <c r="I816" i="2"/>
  <c r="J816" i="2" s="1"/>
  <c r="I817" i="2"/>
  <c r="J817" i="2" s="1"/>
  <c r="I818" i="2"/>
  <c r="J818" i="2" s="1"/>
  <c r="I819" i="2"/>
  <c r="J819" i="2" s="1"/>
  <c r="I820" i="2"/>
  <c r="J820" i="2" s="1"/>
  <c r="I821" i="2"/>
  <c r="J821" i="2" s="1"/>
  <c r="I822" i="2"/>
  <c r="J822" i="2" s="1"/>
  <c r="I823" i="2"/>
  <c r="J823" i="2" s="1"/>
  <c r="I824" i="2"/>
  <c r="J824" i="2" s="1"/>
  <c r="I825" i="2"/>
  <c r="J825" i="2" s="1"/>
  <c r="I826" i="2"/>
  <c r="J826" i="2" s="1"/>
  <c r="I827" i="2"/>
  <c r="J827" i="2" s="1"/>
  <c r="I828" i="2"/>
  <c r="J828" i="2" s="1"/>
  <c r="I829" i="2"/>
  <c r="J829" i="2" s="1"/>
  <c r="I830" i="2"/>
  <c r="J830" i="2" s="1"/>
  <c r="I831" i="2"/>
  <c r="J831" i="2" s="1"/>
  <c r="I832" i="2"/>
  <c r="J832" i="2" s="1"/>
  <c r="I833" i="2"/>
  <c r="J833" i="2" s="1"/>
  <c r="I834" i="2"/>
  <c r="J834" i="2" s="1"/>
  <c r="I835" i="2"/>
  <c r="J835" i="2" s="1"/>
  <c r="I836" i="2"/>
  <c r="J836" i="2" s="1"/>
  <c r="I837" i="2"/>
  <c r="J837" i="2" s="1"/>
  <c r="I838" i="2"/>
  <c r="J838" i="2" s="1"/>
  <c r="I839" i="2"/>
  <c r="J839" i="2" s="1"/>
  <c r="I840" i="2"/>
  <c r="J840" i="2" s="1"/>
  <c r="I841" i="2"/>
  <c r="J841" i="2" s="1"/>
  <c r="I842" i="2"/>
  <c r="J842" i="2" s="1"/>
  <c r="I843" i="2"/>
  <c r="J843" i="2" s="1"/>
  <c r="I844" i="2"/>
  <c r="J844" i="2" s="1"/>
  <c r="I845" i="2"/>
  <c r="J845" i="2" s="1"/>
  <c r="I846" i="2"/>
  <c r="J846" i="2" s="1"/>
  <c r="I847" i="2"/>
  <c r="J847" i="2" s="1"/>
  <c r="I848" i="2"/>
  <c r="J848" i="2" s="1"/>
  <c r="I849" i="2"/>
  <c r="J849" i="2" s="1"/>
  <c r="I850" i="2"/>
  <c r="J850" i="2" s="1"/>
  <c r="I851" i="2"/>
  <c r="J851" i="2" s="1"/>
  <c r="I852" i="2"/>
  <c r="J852" i="2" s="1"/>
  <c r="I853" i="2"/>
  <c r="J853" i="2" s="1"/>
  <c r="I854" i="2"/>
  <c r="J854" i="2" s="1"/>
  <c r="I855" i="2"/>
  <c r="J855" i="2" s="1"/>
  <c r="I856" i="2"/>
  <c r="J856" i="2" s="1"/>
  <c r="I857" i="2"/>
  <c r="J857" i="2" s="1"/>
  <c r="I858" i="2"/>
  <c r="J858" i="2" s="1"/>
  <c r="I859" i="2"/>
  <c r="J859" i="2" s="1"/>
  <c r="I860" i="2"/>
  <c r="J860" i="2" s="1"/>
  <c r="I861" i="2"/>
  <c r="J861" i="2" s="1"/>
  <c r="I862" i="2"/>
  <c r="J862" i="2" s="1"/>
  <c r="I863" i="2"/>
  <c r="J863" i="2" s="1"/>
  <c r="I864" i="2"/>
  <c r="J864" i="2" s="1"/>
  <c r="I865" i="2"/>
  <c r="J865" i="2" s="1"/>
  <c r="I866" i="2"/>
  <c r="J866" i="2" s="1"/>
  <c r="I867" i="2"/>
  <c r="J867" i="2" s="1"/>
  <c r="I868" i="2"/>
  <c r="J868" i="2" s="1"/>
  <c r="I869" i="2"/>
  <c r="J869" i="2" s="1"/>
  <c r="I870" i="2"/>
  <c r="J870" i="2" s="1"/>
  <c r="I871" i="2"/>
  <c r="J871" i="2" s="1"/>
  <c r="I872" i="2"/>
  <c r="J872" i="2" s="1"/>
  <c r="I873" i="2"/>
  <c r="J873" i="2" s="1"/>
  <c r="I874" i="2"/>
  <c r="J874" i="2" s="1"/>
  <c r="I875" i="2"/>
  <c r="J875" i="2" s="1"/>
  <c r="I876" i="2"/>
  <c r="J876" i="2" s="1"/>
  <c r="I877" i="2"/>
  <c r="J877" i="2" s="1"/>
  <c r="I878" i="2"/>
  <c r="J878" i="2" s="1"/>
  <c r="I879" i="2"/>
  <c r="J879" i="2" s="1"/>
  <c r="I880" i="2"/>
  <c r="J880" i="2" s="1"/>
  <c r="I881" i="2"/>
  <c r="J881" i="2" s="1"/>
  <c r="I882" i="2"/>
  <c r="J882" i="2" s="1"/>
  <c r="I883" i="2"/>
  <c r="J883" i="2" s="1"/>
  <c r="I884" i="2"/>
  <c r="J884" i="2" s="1"/>
  <c r="I885" i="2"/>
  <c r="J885" i="2" s="1"/>
  <c r="I886" i="2"/>
  <c r="J886" i="2" s="1"/>
  <c r="I887" i="2"/>
  <c r="J887" i="2" s="1"/>
  <c r="I888" i="2"/>
  <c r="J888" i="2" s="1"/>
  <c r="I889" i="2"/>
  <c r="J889" i="2" s="1"/>
  <c r="I890" i="2"/>
  <c r="J890" i="2" s="1"/>
  <c r="I891" i="2"/>
  <c r="J891" i="2" s="1"/>
  <c r="I892" i="2"/>
  <c r="J892" i="2" s="1"/>
  <c r="I893" i="2"/>
  <c r="J893" i="2" s="1"/>
  <c r="I894" i="2"/>
  <c r="J894" i="2" s="1"/>
  <c r="I895" i="2"/>
  <c r="J895" i="2" s="1"/>
  <c r="I896" i="2"/>
  <c r="J896" i="2" s="1"/>
  <c r="I897" i="2"/>
  <c r="J897" i="2" s="1"/>
  <c r="I898" i="2"/>
  <c r="J898" i="2" s="1"/>
  <c r="I899" i="2"/>
  <c r="J899" i="2" s="1"/>
  <c r="I900" i="2"/>
  <c r="J900" i="2" s="1"/>
  <c r="I901" i="2"/>
  <c r="J901" i="2" s="1"/>
  <c r="I902" i="2"/>
  <c r="J902" i="2" s="1"/>
  <c r="I903" i="2"/>
  <c r="J903" i="2" s="1"/>
  <c r="I904" i="2"/>
  <c r="J904" i="2" s="1"/>
  <c r="I905" i="2"/>
  <c r="J905" i="2" s="1"/>
  <c r="I906" i="2"/>
  <c r="J906" i="2" s="1"/>
  <c r="I907" i="2"/>
  <c r="J907" i="2" s="1"/>
  <c r="I908" i="2"/>
  <c r="J908" i="2" s="1"/>
  <c r="I909" i="2"/>
  <c r="J909" i="2" s="1"/>
  <c r="I910" i="2"/>
  <c r="J910" i="2" s="1"/>
  <c r="I911" i="2"/>
  <c r="J911" i="2" s="1"/>
  <c r="I912" i="2"/>
  <c r="J912" i="2" s="1"/>
  <c r="I913" i="2"/>
  <c r="J913" i="2" s="1"/>
  <c r="I914" i="2"/>
  <c r="J914" i="2" s="1"/>
  <c r="I915" i="2"/>
  <c r="J915" i="2" s="1"/>
  <c r="I916" i="2"/>
  <c r="J916" i="2" s="1"/>
  <c r="I917" i="2"/>
  <c r="J917" i="2" s="1"/>
  <c r="I918" i="2"/>
  <c r="J918" i="2" s="1"/>
  <c r="I919" i="2"/>
  <c r="J919" i="2" s="1"/>
  <c r="I920" i="2"/>
  <c r="J920" i="2" s="1"/>
  <c r="I921" i="2"/>
  <c r="J921" i="2" s="1"/>
  <c r="I922" i="2"/>
  <c r="J922" i="2" s="1"/>
  <c r="I923" i="2"/>
  <c r="J923" i="2" s="1"/>
  <c r="I924" i="2"/>
  <c r="J924" i="2" s="1"/>
  <c r="I925" i="2"/>
  <c r="J925" i="2" s="1"/>
  <c r="I926" i="2"/>
  <c r="J926" i="2" s="1"/>
  <c r="I927" i="2"/>
  <c r="J927" i="2" s="1"/>
  <c r="I928" i="2"/>
  <c r="J928" i="2" s="1"/>
  <c r="I929" i="2"/>
  <c r="J929" i="2" s="1"/>
  <c r="I930" i="2"/>
  <c r="J930" i="2" s="1"/>
  <c r="I931" i="2"/>
  <c r="J931" i="2" s="1"/>
  <c r="I932" i="2"/>
  <c r="J932" i="2" s="1"/>
  <c r="I933" i="2"/>
  <c r="J933" i="2" s="1"/>
  <c r="I934" i="2"/>
  <c r="J934" i="2" s="1"/>
  <c r="I935" i="2"/>
  <c r="J935" i="2" s="1"/>
  <c r="I936" i="2"/>
  <c r="J936" i="2" s="1"/>
  <c r="I937" i="2"/>
  <c r="J937" i="2" s="1"/>
  <c r="I938" i="2"/>
  <c r="J938" i="2" s="1"/>
  <c r="I939" i="2"/>
  <c r="J939" i="2" s="1"/>
  <c r="I940" i="2"/>
  <c r="J940" i="2" s="1"/>
  <c r="I941" i="2"/>
  <c r="J941" i="2" s="1"/>
  <c r="I942" i="2"/>
  <c r="J942" i="2" s="1"/>
  <c r="I943" i="2"/>
  <c r="J943" i="2" s="1"/>
  <c r="I944" i="2"/>
  <c r="J944" i="2" s="1"/>
  <c r="I945" i="2"/>
  <c r="J945" i="2" s="1"/>
  <c r="I946" i="2"/>
  <c r="J946" i="2" s="1"/>
  <c r="I947" i="2"/>
  <c r="J947" i="2" s="1"/>
  <c r="I948" i="2"/>
  <c r="J948" i="2" s="1"/>
  <c r="I949" i="2"/>
  <c r="J949" i="2" s="1"/>
  <c r="I950" i="2"/>
  <c r="J950" i="2" s="1"/>
  <c r="I951" i="2"/>
  <c r="J951" i="2" s="1"/>
  <c r="I952" i="2"/>
  <c r="J952" i="2" s="1"/>
  <c r="I953" i="2"/>
  <c r="J953" i="2" s="1"/>
  <c r="I954" i="2"/>
  <c r="J954" i="2" s="1"/>
  <c r="I955" i="2"/>
  <c r="J955" i="2" s="1"/>
  <c r="I956" i="2"/>
  <c r="J956" i="2" s="1"/>
  <c r="I957" i="2"/>
  <c r="J957" i="2" s="1"/>
  <c r="I958" i="2"/>
  <c r="J958" i="2" s="1"/>
  <c r="I959" i="2"/>
  <c r="J959" i="2" s="1"/>
  <c r="I960" i="2"/>
  <c r="J960" i="2" s="1"/>
  <c r="I961" i="2"/>
  <c r="J961" i="2" s="1"/>
  <c r="I962" i="2"/>
  <c r="J962" i="2" s="1"/>
  <c r="I963" i="2"/>
  <c r="J963" i="2" s="1"/>
  <c r="I964" i="2"/>
  <c r="J964" i="2" s="1"/>
  <c r="I965" i="2"/>
  <c r="J965" i="2" s="1"/>
  <c r="I966" i="2"/>
  <c r="J966" i="2" s="1"/>
  <c r="I967" i="2"/>
  <c r="J967" i="2" s="1"/>
  <c r="I968" i="2"/>
  <c r="J968" i="2" s="1"/>
  <c r="I969" i="2"/>
  <c r="J969" i="2" s="1"/>
  <c r="I970" i="2"/>
  <c r="J970" i="2" s="1"/>
  <c r="I971" i="2"/>
  <c r="J971" i="2" s="1"/>
  <c r="I972" i="2"/>
  <c r="J972" i="2" s="1"/>
  <c r="I973" i="2"/>
  <c r="J973" i="2" s="1"/>
  <c r="I974" i="2"/>
  <c r="J974" i="2" s="1"/>
  <c r="I975" i="2"/>
  <c r="J975" i="2" s="1"/>
  <c r="I976" i="2"/>
  <c r="J976" i="2" s="1"/>
  <c r="I977" i="2"/>
  <c r="J977" i="2" s="1"/>
  <c r="I978" i="2"/>
  <c r="J978" i="2" s="1"/>
  <c r="I979" i="2"/>
  <c r="J979" i="2" s="1"/>
  <c r="I980" i="2"/>
  <c r="J980" i="2" s="1"/>
  <c r="I981" i="2"/>
  <c r="J981" i="2" s="1"/>
  <c r="I982" i="2"/>
  <c r="J982" i="2" s="1"/>
  <c r="I983" i="2"/>
  <c r="J983" i="2" s="1"/>
  <c r="I984" i="2"/>
  <c r="J984" i="2" s="1"/>
  <c r="I985" i="2"/>
  <c r="J985" i="2" s="1"/>
  <c r="I986" i="2"/>
  <c r="J986" i="2" s="1"/>
  <c r="I987" i="2"/>
  <c r="J987" i="2" s="1"/>
  <c r="I988" i="2"/>
  <c r="J988" i="2" s="1"/>
  <c r="I989" i="2"/>
  <c r="J989" i="2" s="1"/>
  <c r="I990" i="2"/>
  <c r="J990" i="2" s="1"/>
  <c r="I991" i="2"/>
  <c r="J991" i="2" s="1"/>
  <c r="I992" i="2"/>
  <c r="J992" i="2" s="1"/>
  <c r="I993" i="2"/>
  <c r="J993" i="2" s="1"/>
  <c r="I994" i="2"/>
  <c r="J994" i="2" s="1"/>
  <c r="I995" i="2"/>
  <c r="J995" i="2" s="1"/>
  <c r="I996" i="2"/>
  <c r="J996" i="2" s="1"/>
  <c r="I997" i="2"/>
  <c r="J997" i="2" s="1"/>
  <c r="I998" i="2"/>
  <c r="J998" i="2" s="1"/>
  <c r="I999" i="2"/>
  <c r="J999" i="2" s="1"/>
  <c r="I1000" i="2"/>
  <c r="J1000" i="2" s="1"/>
  <c r="I1001" i="2"/>
  <c r="J1001" i="2" s="1"/>
  <c r="I1002" i="2"/>
  <c r="J1002" i="2" s="1"/>
  <c r="I1003" i="2"/>
  <c r="J1003" i="2" s="1"/>
  <c r="I1004" i="2"/>
  <c r="J1004" i="2" s="1"/>
  <c r="I1005" i="2"/>
  <c r="J1005" i="2" s="1"/>
  <c r="I1006" i="2"/>
  <c r="J1006" i="2" s="1"/>
  <c r="I1007" i="2"/>
  <c r="J1007" i="2" s="1"/>
  <c r="I1008" i="2"/>
  <c r="J1008" i="2" s="1"/>
  <c r="I1009" i="2"/>
  <c r="J1009" i="2" s="1"/>
  <c r="I1010" i="2"/>
  <c r="J1010" i="2" s="1"/>
  <c r="I1011" i="2"/>
  <c r="J1011" i="2" s="1"/>
  <c r="I1012" i="2"/>
  <c r="J1012" i="2" s="1"/>
  <c r="I1013" i="2"/>
  <c r="J1013" i="2" s="1"/>
  <c r="I1014" i="2"/>
  <c r="J1014" i="2" s="1"/>
  <c r="I1015" i="2"/>
  <c r="J1015" i="2" s="1"/>
  <c r="I1016" i="2"/>
  <c r="J1016" i="2" s="1"/>
  <c r="I1017" i="2"/>
  <c r="J1017" i="2" s="1"/>
  <c r="I1018" i="2"/>
  <c r="J1018" i="2" s="1"/>
  <c r="I1019" i="2"/>
  <c r="J1019" i="2" s="1"/>
  <c r="I1020" i="2"/>
  <c r="J1020" i="2" s="1"/>
  <c r="I1021" i="2"/>
  <c r="J1021" i="2" s="1"/>
  <c r="I1022" i="2"/>
  <c r="J1022" i="2" s="1"/>
  <c r="I1023" i="2"/>
  <c r="J1023" i="2" s="1"/>
  <c r="I1024" i="2"/>
  <c r="J1024" i="2" s="1"/>
  <c r="I1025" i="2"/>
  <c r="J1025" i="2" s="1"/>
  <c r="I1026" i="2"/>
  <c r="J1026" i="2" s="1"/>
  <c r="I1027" i="2"/>
  <c r="J1027" i="2" s="1"/>
  <c r="I1028" i="2"/>
  <c r="J1028" i="2" s="1"/>
  <c r="I1029" i="2"/>
  <c r="J1029" i="2" s="1"/>
  <c r="I1030" i="2"/>
  <c r="J1030" i="2" s="1"/>
  <c r="I1031" i="2"/>
  <c r="J1031" i="2" s="1"/>
  <c r="I1032" i="2"/>
  <c r="J1032" i="2" s="1"/>
  <c r="I1033" i="2"/>
  <c r="J1033" i="2" s="1"/>
  <c r="I1034" i="2"/>
  <c r="J1034" i="2" s="1"/>
  <c r="I1035" i="2"/>
  <c r="J1035" i="2" s="1"/>
  <c r="I1036" i="2"/>
  <c r="J1036" i="2" s="1"/>
  <c r="I1037" i="2"/>
  <c r="J1037" i="2" s="1"/>
  <c r="I1038" i="2"/>
  <c r="J1038" i="2" s="1"/>
  <c r="I1039" i="2"/>
  <c r="J1039" i="2" s="1"/>
  <c r="I1040" i="2"/>
  <c r="J1040" i="2" s="1"/>
  <c r="I1041" i="2"/>
  <c r="J1041" i="2" s="1"/>
  <c r="I1042" i="2"/>
  <c r="J1042" i="2" s="1"/>
  <c r="I1043" i="2"/>
  <c r="J1043" i="2" s="1"/>
  <c r="I1044" i="2"/>
  <c r="J1044" i="2" s="1"/>
  <c r="I1045" i="2"/>
  <c r="J1045" i="2" s="1"/>
  <c r="I1046" i="2"/>
  <c r="J1046" i="2" s="1"/>
  <c r="I1047" i="2"/>
  <c r="J1047" i="2" s="1"/>
  <c r="I1048" i="2"/>
  <c r="J1048" i="2" s="1"/>
  <c r="I1049" i="2"/>
  <c r="J1049" i="2" s="1"/>
  <c r="I1050" i="2"/>
  <c r="J1050" i="2" s="1"/>
  <c r="I1051" i="2"/>
  <c r="J1051" i="2" s="1"/>
  <c r="I1052" i="2"/>
  <c r="J1052" i="2" s="1"/>
  <c r="I1053" i="2"/>
  <c r="J1053" i="2" s="1"/>
  <c r="I1054" i="2"/>
  <c r="J1054" i="2" s="1"/>
  <c r="I1055" i="2"/>
  <c r="J1055" i="2" s="1"/>
  <c r="I1056" i="2"/>
  <c r="J1056" i="2" s="1"/>
  <c r="I1057" i="2"/>
  <c r="J1057" i="2" s="1"/>
  <c r="I1058" i="2"/>
  <c r="J1058" i="2" s="1"/>
  <c r="I1059" i="2"/>
  <c r="J1059" i="2" s="1"/>
  <c r="I1060" i="2"/>
  <c r="J1060" i="2" s="1"/>
  <c r="I1061" i="2"/>
  <c r="J1061" i="2" s="1"/>
  <c r="I1062" i="2"/>
  <c r="J1062" i="2" s="1"/>
  <c r="I1063" i="2"/>
  <c r="J1063" i="2" s="1"/>
  <c r="I1064" i="2"/>
  <c r="J1064" i="2" s="1"/>
  <c r="I1065" i="2"/>
  <c r="J1065" i="2" s="1"/>
  <c r="I1066" i="2"/>
  <c r="J1066" i="2" s="1"/>
  <c r="I1067" i="2"/>
  <c r="J1067" i="2" s="1"/>
  <c r="I1068" i="2"/>
  <c r="J1068" i="2" s="1"/>
  <c r="I1069" i="2"/>
  <c r="J1069" i="2" s="1"/>
  <c r="I1070" i="2"/>
  <c r="J1070" i="2" s="1"/>
  <c r="I1071" i="2"/>
  <c r="J1071" i="2" s="1"/>
  <c r="I1072" i="2"/>
  <c r="J1072" i="2" s="1"/>
  <c r="I1073" i="2"/>
  <c r="J1073" i="2" s="1"/>
  <c r="I1074" i="2"/>
  <c r="J1074" i="2" s="1"/>
  <c r="I1075" i="2"/>
  <c r="J1075" i="2" s="1"/>
  <c r="I1076" i="2"/>
  <c r="J1076" i="2" s="1"/>
  <c r="I1077" i="2"/>
  <c r="J1077" i="2" s="1"/>
  <c r="I1078" i="2"/>
  <c r="J1078" i="2" s="1"/>
  <c r="I1079" i="2"/>
  <c r="J1079" i="2" s="1"/>
  <c r="I1080" i="2"/>
  <c r="J1080" i="2" s="1"/>
  <c r="I1081" i="2"/>
  <c r="J1081" i="2" s="1"/>
  <c r="I1082" i="2"/>
  <c r="J1082" i="2" s="1"/>
  <c r="I1083" i="2"/>
  <c r="J1083" i="2" s="1"/>
  <c r="I1084" i="2"/>
  <c r="J1084" i="2" s="1"/>
  <c r="I1085" i="2"/>
  <c r="J1085" i="2" s="1"/>
  <c r="I1086" i="2"/>
  <c r="J1086" i="2" s="1"/>
  <c r="I1087" i="2"/>
  <c r="J1087" i="2" s="1"/>
  <c r="I1088" i="2"/>
  <c r="J1088" i="2" s="1"/>
  <c r="I1089" i="2"/>
  <c r="J1089" i="2" s="1"/>
  <c r="I1090" i="2"/>
  <c r="J1090" i="2" s="1"/>
  <c r="I1091" i="2"/>
  <c r="J1091" i="2" s="1"/>
  <c r="I1092" i="2"/>
  <c r="J1092" i="2" s="1"/>
  <c r="I1093" i="2"/>
  <c r="J1093" i="2" s="1"/>
  <c r="I1094" i="2"/>
  <c r="J1094" i="2" s="1"/>
  <c r="I1095" i="2"/>
  <c r="J1095" i="2" s="1"/>
  <c r="I1096" i="2"/>
  <c r="J1096" i="2" s="1"/>
  <c r="I1097" i="2"/>
  <c r="J1097" i="2" s="1"/>
  <c r="I1098" i="2"/>
  <c r="J1098" i="2" s="1"/>
  <c r="I1099" i="2"/>
  <c r="J1099" i="2" s="1"/>
  <c r="I1100" i="2"/>
  <c r="J1100" i="2" s="1"/>
  <c r="I1101" i="2"/>
  <c r="J1101" i="2" s="1"/>
  <c r="I1102" i="2"/>
  <c r="J1102" i="2" s="1"/>
  <c r="I1103" i="2"/>
  <c r="J1103" i="2" s="1"/>
  <c r="I1104" i="2"/>
  <c r="J1104" i="2" s="1"/>
  <c r="I1105" i="2"/>
  <c r="J1105" i="2" s="1"/>
  <c r="I1106" i="2"/>
  <c r="J1106" i="2" s="1"/>
  <c r="I1107" i="2"/>
  <c r="J1107" i="2" s="1"/>
  <c r="I1108" i="2"/>
  <c r="J1108" i="2" s="1"/>
  <c r="I1109" i="2"/>
  <c r="J1109" i="2" s="1"/>
  <c r="I1110" i="2"/>
  <c r="J1110" i="2" s="1"/>
  <c r="I1111" i="2"/>
  <c r="J1111" i="2" s="1"/>
  <c r="I1112" i="2"/>
  <c r="J1112" i="2" s="1"/>
  <c r="I1113" i="2"/>
  <c r="J1113" i="2" s="1"/>
  <c r="I1114" i="2"/>
  <c r="J1114" i="2" s="1"/>
  <c r="I1115" i="2"/>
  <c r="J1115" i="2" s="1"/>
  <c r="I1116" i="2"/>
  <c r="J1116" i="2" s="1"/>
  <c r="I1117" i="2"/>
  <c r="J1117" i="2" s="1"/>
  <c r="I1118" i="2"/>
  <c r="J1118" i="2" s="1"/>
  <c r="I1119" i="2"/>
  <c r="J1119" i="2" s="1"/>
  <c r="I1120" i="2"/>
  <c r="J1120" i="2" s="1"/>
  <c r="I1121" i="2"/>
  <c r="J1121" i="2" s="1"/>
  <c r="I1122" i="2"/>
  <c r="J1122" i="2" s="1"/>
  <c r="I1123" i="2"/>
  <c r="J1123" i="2" s="1"/>
  <c r="I1124" i="2"/>
  <c r="J1124" i="2" s="1"/>
  <c r="I1125" i="2"/>
  <c r="J1125" i="2" s="1"/>
  <c r="I1126" i="2"/>
  <c r="J1126" i="2" s="1"/>
  <c r="I1127" i="2"/>
  <c r="J1127" i="2" s="1"/>
  <c r="I1128" i="2"/>
  <c r="J1128" i="2" s="1"/>
  <c r="I1129" i="2"/>
  <c r="J1129" i="2" s="1"/>
  <c r="I1130" i="2"/>
  <c r="J1130" i="2" s="1"/>
  <c r="I1131" i="2"/>
  <c r="J1131" i="2" s="1"/>
  <c r="I1132" i="2"/>
  <c r="J1132" i="2" s="1"/>
  <c r="I1133" i="2"/>
  <c r="J1133" i="2" s="1"/>
  <c r="I1134" i="2"/>
  <c r="J1134" i="2" s="1"/>
  <c r="I1135" i="2"/>
  <c r="J1135" i="2" s="1"/>
  <c r="I1136" i="2"/>
  <c r="J1136" i="2" s="1"/>
  <c r="I1137" i="2"/>
  <c r="J1137" i="2" s="1"/>
  <c r="I1138" i="2"/>
  <c r="J1138" i="2" s="1"/>
  <c r="I1139" i="2"/>
  <c r="J1139" i="2" s="1"/>
  <c r="I1140" i="2"/>
  <c r="J1140" i="2" s="1"/>
  <c r="I1141" i="2"/>
  <c r="J1141" i="2" s="1"/>
  <c r="I1142" i="2"/>
  <c r="J1142" i="2" s="1"/>
  <c r="I1143" i="2"/>
  <c r="J1143" i="2" s="1"/>
  <c r="I1144" i="2"/>
  <c r="J1144" i="2" s="1"/>
  <c r="I1145" i="2"/>
  <c r="J1145" i="2" s="1"/>
  <c r="I1146" i="2"/>
  <c r="J1146" i="2" s="1"/>
  <c r="I1147" i="2"/>
  <c r="J1147" i="2" s="1"/>
  <c r="I1148" i="2"/>
  <c r="J1148" i="2" s="1"/>
  <c r="I1149" i="2"/>
  <c r="J1149" i="2" s="1"/>
  <c r="I1150" i="2"/>
  <c r="J1150" i="2" s="1"/>
  <c r="I1151" i="2"/>
  <c r="J1151" i="2" s="1"/>
  <c r="I1152" i="2"/>
  <c r="J1152" i="2" s="1"/>
  <c r="I1153" i="2"/>
  <c r="J1153" i="2" s="1"/>
  <c r="I1154" i="2"/>
  <c r="J1154" i="2" s="1"/>
  <c r="I1155" i="2"/>
  <c r="J1155" i="2" s="1"/>
  <c r="I1156" i="2"/>
  <c r="J1156" i="2" s="1"/>
  <c r="I1157" i="2"/>
  <c r="J1157" i="2" s="1"/>
  <c r="I1158" i="2"/>
  <c r="J1158" i="2" s="1"/>
  <c r="I1159" i="2"/>
  <c r="J1159" i="2" s="1"/>
  <c r="I1160" i="2"/>
  <c r="J1160" i="2" s="1"/>
  <c r="I1161" i="2"/>
  <c r="J1161" i="2" s="1"/>
  <c r="I1162" i="2"/>
  <c r="J1162" i="2" s="1"/>
  <c r="I1163" i="2"/>
  <c r="J1163" i="2" s="1"/>
  <c r="I1164" i="2"/>
  <c r="J1164" i="2" s="1"/>
  <c r="I1165" i="2"/>
  <c r="J1165" i="2" s="1"/>
  <c r="I1166" i="2"/>
  <c r="J1166" i="2" s="1"/>
  <c r="I1167" i="2"/>
  <c r="J1167" i="2" s="1"/>
  <c r="I1168" i="2"/>
  <c r="J1168" i="2" s="1"/>
  <c r="I1169" i="2"/>
  <c r="J1169" i="2" s="1"/>
  <c r="I1170" i="2"/>
  <c r="J1170" i="2" s="1"/>
  <c r="I1171" i="2"/>
  <c r="J1171" i="2" s="1"/>
  <c r="I1172" i="2"/>
  <c r="J1172" i="2" s="1"/>
  <c r="I1173" i="2"/>
  <c r="J1173" i="2" s="1"/>
  <c r="I1174" i="2"/>
  <c r="J1174" i="2" s="1"/>
  <c r="I1175" i="2"/>
  <c r="J1175" i="2" s="1"/>
  <c r="I1176" i="2"/>
  <c r="J1176" i="2" s="1"/>
  <c r="I1177" i="2"/>
  <c r="J1177" i="2" s="1"/>
  <c r="I1178" i="2"/>
  <c r="J1178" i="2" s="1"/>
  <c r="I1179" i="2"/>
  <c r="J1179" i="2" s="1"/>
  <c r="I1180" i="2"/>
  <c r="J1180" i="2" s="1"/>
  <c r="I1181" i="2"/>
  <c r="J1181" i="2" s="1"/>
  <c r="I1182" i="2"/>
  <c r="J1182" i="2" s="1"/>
  <c r="I1183" i="2"/>
  <c r="J1183" i="2" s="1"/>
  <c r="I1184" i="2"/>
  <c r="J1184" i="2" s="1"/>
  <c r="I1185" i="2"/>
  <c r="J1185" i="2" s="1"/>
  <c r="I1186" i="2"/>
  <c r="J1186" i="2" s="1"/>
  <c r="I1187" i="2"/>
  <c r="J1187" i="2" s="1"/>
  <c r="I1188" i="2"/>
  <c r="J1188" i="2" s="1"/>
  <c r="I1189" i="2"/>
  <c r="J1189" i="2" s="1"/>
  <c r="I1190" i="2"/>
  <c r="J1190" i="2" s="1"/>
  <c r="I1191" i="2"/>
  <c r="J1191" i="2" s="1"/>
  <c r="I1192" i="2"/>
  <c r="J1192" i="2" s="1"/>
  <c r="I1193" i="2"/>
  <c r="J1193" i="2" s="1"/>
  <c r="I1194" i="2"/>
  <c r="J1194" i="2" s="1"/>
  <c r="I1195" i="2"/>
  <c r="J1195" i="2" s="1"/>
  <c r="I1196" i="2"/>
  <c r="J1196" i="2" s="1"/>
  <c r="I1197" i="2"/>
  <c r="J1197" i="2" s="1"/>
  <c r="I1198" i="2"/>
  <c r="J1198" i="2" s="1"/>
  <c r="I1199" i="2"/>
  <c r="J1199" i="2" s="1"/>
  <c r="I1200" i="2"/>
  <c r="J1200" i="2" s="1"/>
  <c r="I1201" i="2"/>
  <c r="J1201" i="2" s="1"/>
  <c r="I1202" i="2"/>
  <c r="J1202" i="2" s="1"/>
  <c r="I1203" i="2"/>
  <c r="J1203" i="2" s="1"/>
  <c r="I1204" i="2"/>
  <c r="J1204" i="2" s="1"/>
  <c r="I1205" i="2"/>
  <c r="J1205" i="2" s="1"/>
  <c r="I1206" i="2"/>
  <c r="J1206" i="2" s="1"/>
  <c r="I1207" i="2"/>
  <c r="J1207" i="2" s="1"/>
  <c r="I1208" i="2"/>
  <c r="J1208" i="2" s="1"/>
  <c r="I1209" i="2"/>
  <c r="J1209" i="2" s="1"/>
  <c r="I1210" i="2"/>
  <c r="J1210" i="2" s="1"/>
  <c r="I1211" i="2"/>
  <c r="J1211" i="2" s="1"/>
  <c r="I1212" i="2"/>
  <c r="J1212" i="2" s="1"/>
  <c r="I1213" i="2"/>
  <c r="J1213" i="2" s="1"/>
  <c r="I1214" i="2"/>
  <c r="J1214" i="2" s="1"/>
  <c r="I1215" i="2"/>
  <c r="J1215" i="2" s="1"/>
  <c r="I1216" i="2"/>
  <c r="J1216" i="2" s="1"/>
  <c r="I1217" i="2"/>
  <c r="J1217" i="2" s="1"/>
  <c r="I1218" i="2"/>
  <c r="J1218" i="2" s="1"/>
  <c r="I1219" i="2"/>
  <c r="J1219" i="2" s="1"/>
  <c r="I1220" i="2"/>
  <c r="J1220" i="2" s="1"/>
  <c r="I1221" i="2"/>
  <c r="J1221" i="2" s="1"/>
  <c r="I1222" i="2"/>
  <c r="J1222" i="2" s="1"/>
  <c r="I1223" i="2"/>
  <c r="J1223" i="2" s="1"/>
  <c r="I1224" i="2"/>
  <c r="J1224" i="2" s="1"/>
  <c r="I1225" i="2"/>
  <c r="J1225" i="2" s="1"/>
  <c r="I1226" i="2"/>
  <c r="J1226" i="2" s="1"/>
  <c r="I1227" i="2"/>
  <c r="J1227" i="2" s="1"/>
  <c r="I1228" i="2"/>
  <c r="J1228" i="2" s="1"/>
  <c r="I1229" i="2"/>
  <c r="J1229" i="2" s="1"/>
  <c r="I1230" i="2"/>
  <c r="J1230" i="2" s="1"/>
  <c r="I1231" i="2"/>
  <c r="J1231" i="2" s="1"/>
  <c r="I1232" i="2"/>
  <c r="J1232" i="2" s="1"/>
  <c r="I1233" i="2"/>
  <c r="J1233" i="2" s="1"/>
  <c r="I1234" i="2"/>
  <c r="J1234" i="2" s="1"/>
  <c r="I1235" i="2"/>
  <c r="J1235" i="2" s="1"/>
  <c r="I1236" i="2"/>
  <c r="J1236" i="2" s="1"/>
  <c r="I1237" i="2"/>
  <c r="J1237" i="2" s="1"/>
  <c r="I1238" i="2"/>
  <c r="J1238" i="2" s="1"/>
  <c r="I1239" i="2"/>
  <c r="J1239" i="2" s="1"/>
  <c r="I1240" i="2"/>
  <c r="J1240" i="2" s="1"/>
  <c r="I1241" i="2"/>
  <c r="J1241" i="2" s="1"/>
  <c r="I1242" i="2"/>
  <c r="J1242" i="2" s="1"/>
  <c r="I1243" i="2"/>
  <c r="J1243" i="2" s="1"/>
  <c r="I1244" i="2"/>
  <c r="J1244" i="2" s="1"/>
  <c r="I1245" i="2"/>
  <c r="J1245" i="2" s="1"/>
  <c r="I1246" i="2"/>
  <c r="J1246" i="2" s="1"/>
  <c r="I1247" i="2"/>
  <c r="J1247" i="2" s="1"/>
  <c r="I1248" i="2"/>
  <c r="J1248" i="2" s="1"/>
  <c r="I1249" i="2"/>
  <c r="J1249" i="2" s="1"/>
  <c r="I1250" i="2"/>
  <c r="J1250" i="2" s="1"/>
  <c r="I1251" i="2"/>
  <c r="J1251" i="2" s="1"/>
  <c r="I1252" i="2"/>
  <c r="J1252" i="2" s="1"/>
  <c r="I1253" i="2"/>
  <c r="J1253" i="2" s="1"/>
  <c r="I1254" i="2"/>
  <c r="J1254" i="2" s="1"/>
  <c r="I1255" i="2"/>
  <c r="J1255" i="2" s="1"/>
  <c r="I1256" i="2"/>
  <c r="J1256" i="2" s="1"/>
  <c r="I1257" i="2"/>
  <c r="J1257" i="2" s="1"/>
  <c r="I1258" i="2"/>
  <c r="J1258" i="2" s="1"/>
  <c r="I1259" i="2"/>
  <c r="J1259" i="2" s="1"/>
  <c r="I1260" i="2"/>
  <c r="J1260" i="2" s="1"/>
  <c r="I1261" i="2"/>
  <c r="J1261" i="2" s="1"/>
  <c r="I1262" i="2"/>
  <c r="J1262" i="2" s="1"/>
  <c r="I1263" i="2"/>
  <c r="J1263" i="2" s="1"/>
  <c r="I1264" i="2"/>
  <c r="J1264" i="2" s="1"/>
  <c r="I1265" i="2"/>
  <c r="J1265" i="2" s="1"/>
  <c r="I1266" i="2"/>
  <c r="J1266" i="2" s="1"/>
  <c r="I1267" i="2"/>
  <c r="J1267" i="2" s="1"/>
  <c r="I1268" i="2"/>
  <c r="J1268" i="2" s="1"/>
  <c r="I1269" i="2"/>
  <c r="J1269" i="2" s="1"/>
  <c r="I1270" i="2"/>
  <c r="J1270" i="2" s="1"/>
  <c r="I1271" i="2"/>
  <c r="J1271" i="2" s="1"/>
  <c r="I1272" i="2"/>
  <c r="J1272" i="2" s="1"/>
  <c r="I1273" i="2"/>
  <c r="J1273" i="2" s="1"/>
  <c r="I1274" i="2"/>
  <c r="J1274" i="2" s="1"/>
  <c r="I1275" i="2"/>
  <c r="J1275" i="2" s="1"/>
  <c r="I1276" i="2"/>
  <c r="J1276" i="2" s="1"/>
  <c r="I1277" i="2"/>
  <c r="J1277" i="2" s="1"/>
  <c r="I1278" i="2"/>
  <c r="J1278" i="2" s="1"/>
  <c r="I1279" i="2"/>
  <c r="J1279" i="2" s="1"/>
  <c r="I1280" i="2"/>
  <c r="J1280" i="2" s="1"/>
  <c r="I1281" i="2"/>
  <c r="J1281" i="2" s="1"/>
  <c r="I1282" i="2"/>
  <c r="J1282" i="2" s="1"/>
  <c r="I1283" i="2"/>
  <c r="J1283" i="2" s="1"/>
  <c r="I1284" i="2"/>
  <c r="J1284" i="2" s="1"/>
  <c r="I1285" i="2"/>
  <c r="J1285" i="2" s="1"/>
  <c r="I1286" i="2"/>
  <c r="J1286" i="2" s="1"/>
  <c r="I1287" i="2"/>
  <c r="J1287" i="2" s="1"/>
  <c r="I1288" i="2"/>
  <c r="J1288" i="2" s="1"/>
  <c r="I1289" i="2"/>
  <c r="J1289" i="2" s="1"/>
  <c r="I1290" i="2"/>
  <c r="J1290" i="2" s="1"/>
  <c r="I1291" i="2"/>
  <c r="J1291" i="2" s="1"/>
  <c r="I1292" i="2"/>
  <c r="J1292" i="2" s="1"/>
  <c r="I1293" i="2"/>
  <c r="J1293" i="2" s="1"/>
  <c r="I1294" i="2"/>
  <c r="J1294" i="2" s="1"/>
  <c r="I1295" i="2"/>
  <c r="J1295" i="2" s="1"/>
  <c r="I1296" i="2"/>
  <c r="J1296" i="2" s="1"/>
  <c r="I1297" i="2"/>
  <c r="J1297" i="2" s="1"/>
  <c r="I1298" i="2"/>
  <c r="J1298" i="2" s="1"/>
  <c r="I1299" i="2"/>
  <c r="J1299" i="2" s="1"/>
  <c r="I1300" i="2"/>
  <c r="J1300" i="2" s="1"/>
  <c r="I1301" i="2"/>
  <c r="J1301" i="2" s="1"/>
  <c r="I1302" i="2"/>
  <c r="J1302" i="2" s="1"/>
  <c r="I1303" i="2"/>
  <c r="J1303" i="2" s="1"/>
  <c r="I1304" i="2"/>
  <c r="J1304" i="2" s="1"/>
  <c r="I1305" i="2"/>
  <c r="J1305" i="2" s="1"/>
  <c r="I1306" i="2"/>
  <c r="J1306" i="2" s="1"/>
  <c r="I1307" i="2"/>
  <c r="J1307" i="2" s="1"/>
  <c r="I1308" i="2"/>
  <c r="J1308" i="2" s="1"/>
  <c r="I1309" i="2"/>
  <c r="J1309" i="2" s="1"/>
  <c r="I1310" i="2"/>
  <c r="J1310" i="2" s="1"/>
  <c r="I1311" i="2"/>
  <c r="J1311" i="2" s="1"/>
  <c r="I1312" i="2"/>
  <c r="J1312" i="2" s="1"/>
  <c r="I1313" i="2"/>
  <c r="J1313" i="2" s="1"/>
  <c r="I1314" i="2"/>
  <c r="J1314" i="2" s="1"/>
  <c r="I1315" i="2"/>
  <c r="J1315" i="2" s="1"/>
  <c r="I1316" i="2"/>
  <c r="J1316" i="2" s="1"/>
  <c r="I1317" i="2"/>
  <c r="J1317" i="2" s="1"/>
  <c r="I1318" i="2"/>
  <c r="J1318" i="2" s="1"/>
  <c r="I1319" i="2"/>
  <c r="J1319" i="2" s="1"/>
  <c r="I1320" i="2"/>
  <c r="J1320" i="2" s="1"/>
  <c r="I1321" i="2"/>
  <c r="J1321" i="2" s="1"/>
  <c r="I1322" i="2"/>
  <c r="J1322" i="2" s="1"/>
  <c r="I1323" i="2"/>
  <c r="J1323" i="2" s="1"/>
  <c r="I1324" i="2"/>
  <c r="J1324" i="2" s="1"/>
  <c r="I1325" i="2"/>
  <c r="J1325" i="2" s="1"/>
  <c r="I1326" i="2"/>
  <c r="J1326" i="2" s="1"/>
  <c r="I1327" i="2"/>
  <c r="J1327" i="2" s="1"/>
  <c r="I1328" i="2"/>
  <c r="J1328" i="2" s="1"/>
  <c r="I1329" i="2"/>
  <c r="J1329" i="2" s="1"/>
  <c r="I1330" i="2"/>
  <c r="J1330" i="2" s="1"/>
  <c r="I1331" i="2"/>
  <c r="J1331" i="2" s="1"/>
  <c r="I1332" i="2"/>
  <c r="J1332" i="2" s="1"/>
  <c r="I1333" i="2"/>
  <c r="J1333" i="2" s="1"/>
  <c r="I1334" i="2"/>
  <c r="J1334" i="2" s="1"/>
  <c r="I1335" i="2"/>
  <c r="J1335" i="2" s="1"/>
  <c r="I1336" i="2"/>
  <c r="J1336" i="2" s="1"/>
  <c r="I1337" i="2"/>
  <c r="J1337" i="2" s="1"/>
  <c r="I1338" i="2"/>
  <c r="J1338" i="2" s="1"/>
  <c r="I1339" i="2"/>
  <c r="J1339" i="2" s="1"/>
  <c r="I1340" i="2"/>
  <c r="J1340" i="2" s="1"/>
  <c r="I1341" i="2"/>
  <c r="J1341" i="2" s="1"/>
  <c r="I1342" i="2"/>
  <c r="J1342" i="2" s="1"/>
  <c r="I1343" i="2"/>
  <c r="J1343" i="2" s="1"/>
  <c r="I1344" i="2"/>
  <c r="J1344" i="2" s="1"/>
  <c r="I1345" i="2"/>
  <c r="J1345" i="2" s="1"/>
  <c r="I1346" i="2"/>
  <c r="J1346" i="2" s="1"/>
  <c r="I1347" i="2"/>
  <c r="J1347" i="2" s="1"/>
  <c r="I1348" i="2"/>
  <c r="J1348" i="2" s="1"/>
  <c r="I1349" i="2"/>
  <c r="J1349" i="2" s="1"/>
  <c r="I1350" i="2"/>
  <c r="J1350" i="2" s="1"/>
  <c r="I1351" i="2"/>
  <c r="J1351" i="2" s="1"/>
  <c r="I1352" i="2"/>
  <c r="J1352" i="2" s="1"/>
  <c r="I1353" i="2"/>
  <c r="J1353" i="2" s="1"/>
  <c r="I1354" i="2"/>
  <c r="J1354" i="2" s="1"/>
  <c r="I1355" i="2"/>
  <c r="J1355" i="2" s="1"/>
  <c r="I1356" i="2"/>
  <c r="J1356" i="2" s="1"/>
  <c r="I1357" i="2"/>
  <c r="J1357" i="2" s="1"/>
  <c r="I1358" i="2"/>
  <c r="J1358" i="2" s="1"/>
  <c r="I1359" i="2"/>
  <c r="J1359" i="2" s="1"/>
  <c r="I1360" i="2"/>
  <c r="J1360" i="2" s="1"/>
  <c r="I1361" i="2"/>
  <c r="J1361" i="2" s="1"/>
  <c r="I1362" i="2"/>
  <c r="J1362" i="2" s="1"/>
  <c r="I1363" i="2"/>
  <c r="J1363" i="2" s="1"/>
  <c r="I1364" i="2"/>
  <c r="J1364" i="2" s="1"/>
  <c r="I1365" i="2"/>
  <c r="J1365" i="2" s="1"/>
  <c r="I1366" i="2"/>
  <c r="J1366" i="2" s="1"/>
  <c r="I1367" i="2"/>
  <c r="J1367" i="2" s="1"/>
  <c r="I1368" i="2"/>
  <c r="J1368" i="2" s="1"/>
  <c r="I1369" i="2"/>
  <c r="J1369" i="2" s="1"/>
  <c r="I1370" i="2"/>
  <c r="J1370" i="2" s="1"/>
  <c r="I1371" i="2"/>
  <c r="J1371" i="2" s="1"/>
  <c r="I1372" i="2"/>
  <c r="J1372" i="2" s="1"/>
  <c r="I1373" i="2"/>
  <c r="J1373" i="2" s="1"/>
  <c r="I1374" i="2"/>
  <c r="J1374" i="2" s="1"/>
  <c r="I1375" i="2"/>
  <c r="J1375" i="2" s="1"/>
  <c r="I1376" i="2"/>
  <c r="J1376" i="2" s="1"/>
  <c r="I1377" i="2"/>
  <c r="J1377" i="2" s="1"/>
  <c r="I1378" i="2"/>
  <c r="J1378" i="2" s="1"/>
  <c r="I1379" i="2"/>
  <c r="J1379" i="2" s="1"/>
  <c r="I1380" i="2"/>
  <c r="J1380" i="2" s="1"/>
  <c r="I1381" i="2"/>
  <c r="J1381" i="2" s="1"/>
  <c r="I1382" i="2"/>
  <c r="J1382" i="2" s="1"/>
  <c r="I1383" i="2"/>
  <c r="J1383" i="2" s="1"/>
  <c r="I1384" i="2"/>
  <c r="J1384" i="2" s="1"/>
  <c r="I1385" i="2"/>
  <c r="J1385" i="2" s="1"/>
  <c r="I1386" i="2"/>
  <c r="J1386" i="2" s="1"/>
  <c r="I1387" i="2"/>
  <c r="J1387" i="2" s="1"/>
  <c r="I1388" i="2"/>
  <c r="J1388" i="2" s="1"/>
  <c r="I1389" i="2"/>
  <c r="J1389" i="2" s="1"/>
  <c r="I1390" i="2"/>
  <c r="J1390" i="2" s="1"/>
  <c r="I1391" i="2"/>
  <c r="J1391" i="2" s="1"/>
  <c r="I1392" i="2"/>
  <c r="J1392" i="2" s="1"/>
  <c r="I1393" i="2"/>
  <c r="J1393" i="2" s="1"/>
  <c r="I1394" i="2"/>
  <c r="J1394" i="2" s="1"/>
  <c r="I1395" i="2"/>
  <c r="J1395" i="2" s="1"/>
  <c r="I1396" i="2"/>
  <c r="J1396" i="2" s="1"/>
  <c r="I1397" i="2"/>
  <c r="J1397" i="2" s="1"/>
  <c r="I1398" i="2"/>
  <c r="J1398" i="2" s="1"/>
  <c r="I1399" i="2"/>
  <c r="J1399" i="2" s="1"/>
  <c r="I1400" i="2"/>
  <c r="J1400" i="2" s="1"/>
  <c r="I1401" i="2"/>
  <c r="J1401" i="2" s="1"/>
  <c r="I1402" i="2"/>
  <c r="J1402" i="2" s="1"/>
  <c r="I1403" i="2"/>
  <c r="J1403" i="2" s="1"/>
  <c r="I1404" i="2"/>
  <c r="J1404" i="2" s="1"/>
  <c r="I1405" i="2"/>
  <c r="J1405" i="2" s="1"/>
  <c r="I1406" i="2"/>
  <c r="J1406" i="2" s="1"/>
  <c r="I1407" i="2"/>
  <c r="J1407" i="2" s="1"/>
  <c r="I1408" i="2"/>
  <c r="J1408" i="2" s="1"/>
  <c r="I1409" i="2"/>
  <c r="J1409" i="2" s="1"/>
  <c r="I1410" i="2"/>
  <c r="J1410" i="2" s="1"/>
  <c r="I1411" i="2"/>
  <c r="J1411" i="2" s="1"/>
  <c r="I1412" i="2"/>
  <c r="J1412" i="2" s="1"/>
  <c r="I1413" i="2"/>
  <c r="J1413" i="2" s="1"/>
  <c r="I1414" i="2"/>
  <c r="J1414" i="2" s="1"/>
  <c r="I1415" i="2"/>
  <c r="J1415" i="2" s="1"/>
  <c r="I1416" i="2"/>
  <c r="J1416" i="2" s="1"/>
  <c r="I1417" i="2"/>
  <c r="J1417" i="2" s="1"/>
  <c r="I1418" i="2"/>
  <c r="J1418" i="2" s="1"/>
  <c r="I1419" i="2"/>
  <c r="J1419" i="2" s="1"/>
  <c r="I1420" i="2"/>
  <c r="J1420" i="2" s="1"/>
  <c r="I1421" i="2"/>
  <c r="J1421" i="2" s="1"/>
  <c r="I1422" i="2"/>
  <c r="J1422" i="2" s="1"/>
  <c r="I1423" i="2"/>
  <c r="J1423" i="2" s="1"/>
  <c r="I1424" i="2"/>
  <c r="J1424" i="2" s="1"/>
  <c r="I1425" i="2"/>
  <c r="J1425" i="2" s="1"/>
  <c r="I1426" i="2"/>
  <c r="J1426" i="2" s="1"/>
  <c r="I1427" i="2"/>
  <c r="J1427" i="2" s="1"/>
  <c r="I1428" i="2"/>
  <c r="J1428" i="2" s="1"/>
  <c r="I1429" i="2"/>
  <c r="J1429" i="2" s="1"/>
  <c r="I1430" i="2"/>
  <c r="J1430" i="2" s="1"/>
  <c r="I1431" i="2"/>
  <c r="J1431" i="2" s="1"/>
  <c r="I1432" i="2"/>
  <c r="J1432" i="2" s="1"/>
  <c r="I1433" i="2"/>
  <c r="J1433" i="2" s="1"/>
  <c r="I1434" i="2"/>
  <c r="J1434" i="2" s="1"/>
  <c r="I1435" i="2"/>
  <c r="J1435" i="2" s="1"/>
  <c r="I1436" i="2"/>
  <c r="J1436" i="2" s="1"/>
  <c r="I1437" i="2"/>
  <c r="J1437" i="2" s="1"/>
  <c r="I1438" i="2"/>
  <c r="J1438" i="2" s="1"/>
  <c r="I1439" i="2"/>
  <c r="J1439" i="2" s="1"/>
  <c r="I1440" i="2"/>
  <c r="J1440" i="2" s="1"/>
  <c r="I1441" i="2"/>
  <c r="J1441" i="2" s="1"/>
  <c r="I1442" i="2"/>
  <c r="J1442" i="2" s="1"/>
  <c r="I1443" i="2"/>
  <c r="J1443" i="2" s="1"/>
  <c r="I1444" i="2"/>
  <c r="J1444" i="2" s="1"/>
  <c r="I1445" i="2"/>
  <c r="J1445" i="2" s="1"/>
  <c r="I1446" i="2"/>
  <c r="J1446" i="2" s="1"/>
  <c r="I1447" i="2"/>
  <c r="J1447" i="2" s="1"/>
  <c r="I1448" i="2"/>
  <c r="J1448" i="2" s="1"/>
  <c r="I1449" i="2"/>
  <c r="J1449" i="2" s="1"/>
  <c r="I1450" i="2"/>
  <c r="J1450" i="2" s="1"/>
  <c r="I1451" i="2"/>
  <c r="J1451" i="2" s="1"/>
  <c r="I1452" i="2"/>
  <c r="J1452" i="2" s="1"/>
  <c r="I1453" i="2"/>
  <c r="J1453" i="2" s="1"/>
  <c r="I1454" i="2"/>
  <c r="J1454" i="2" s="1"/>
  <c r="I1455" i="2"/>
  <c r="J1455" i="2" s="1"/>
  <c r="I1456" i="2"/>
  <c r="J1456" i="2" s="1"/>
  <c r="I1457" i="2"/>
  <c r="J1457" i="2" s="1"/>
  <c r="I1458" i="2"/>
  <c r="J1458" i="2" s="1"/>
  <c r="I1459" i="2"/>
  <c r="J1459" i="2" s="1"/>
  <c r="I1460" i="2"/>
  <c r="J1460" i="2" s="1"/>
  <c r="I1461" i="2"/>
  <c r="J1461" i="2" s="1"/>
  <c r="I1462" i="2"/>
  <c r="J1462" i="2" s="1"/>
  <c r="I1463" i="2"/>
  <c r="J1463" i="2" s="1"/>
  <c r="I1464" i="2"/>
  <c r="J1464" i="2" s="1"/>
  <c r="I1465" i="2"/>
  <c r="J1465" i="2" s="1"/>
  <c r="I1466" i="2"/>
  <c r="J1466" i="2" s="1"/>
  <c r="I1467" i="2"/>
  <c r="J1467" i="2" s="1"/>
  <c r="I1468" i="2"/>
  <c r="J1468" i="2" s="1"/>
  <c r="I1469" i="2"/>
  <c r="J1469" i="2" s="1"/>
  <c r="I1470" i="2"/>
  <c r="J1470" i="2" s="1"/>
  <c r="I1471" i="2"/>
  <c r="J1471" i="2" s="1"/>
  <c r="I1472" i="2"/>
  <c r="J1472" i="2" s="1"/>
  <c r="I1473" i="2"/>
  <c r="J1473" i="2" s="1"/>
  <c r="I1474" i="2"/>
  <c r="J1474" i="2" s="1"/>
  <c r="I1475" i="2"/>
  <c r="J1475" i="2" s="1"/>
  <c r="I1476" i="2"/>
  <c r="J1476" i="2" s="1"/>
  <c r="I1477" i="2"/>
  <c r="J1477" i="2" s="1"/>
  <c r="I1478" i="2"/>
  <c r="J1478" i="2" s="1"/>
  <c r="I1479" i="2"/>
  <c r="J1479" i="2" s="1"/>
  <c r="I1480" i="2"/>
  <c r="J1480" i="2" s="1"/>
  <c r="I1481" i="2"/>
  <c r="J1481" i="2" s="1"/>
  <c r="I1482" i="2"/>
  <c r="J1482" i="2" s="1"/>
  <c r="I1483" i="2"/>
  <c r="J1483" i="2" s="1"/>
  <c r="I1484" i="2"/>
  <c r="J1484" i="2" s="1"/>
  <c r="I1485" i="2"/>
  <c r="J1485" i="2" s="1"/>
  <c r="I1486" i="2"/>
  <c r="J1486" i="2" s="1"/>
  <c r="I1487" i="2"/>
  <c r="J1487" i="2" s="1"/>
  <c r="I1488" i="2"/>
  <c r="J1488" i="2" s="1"/>
  <c r="I1489" i="2"/>
  <c r="J1489" i="2" s="1"/>
  <c r="I1490" i="2"/>
  <c r="J1490" i="2" s="1"/>
  <c r="I1491" i="2"/>
  <c r="J1491" i="2" s="1"/>
  <c r="I1492" i="2"/>
  <c r="J1492" i="2" s="1"/>
  <c r="I1493" i="2"/>
  <c r="J1493" i="2" s="1"/>
  <c r="I1494" i="2"/>
  <c r="J1494" i="2" s="1"/>
  <c r="I1495" i="2"/>
  <c r="J1495" i="2" s="1"/>
  <c r="I1496" i="2"/>
  <c r="J1496" i="2" s="1"/>
  <c r="I1497" i="2"/>
  <c r="J1497" i="2" s="1"/>
  <c r="I1498" i="2"/>
  <c r="J1498" i="2" s="1"/>
  <c r="I1499" i="2"/>
  <c r="J1499" i="2" s="1"/>
  <c r="I1500" i="2"/>
  <c r="J1500" i="2" s="1"/>
  <c r="I1501" i="2"/>
  <c r="J1501" i="2" s="1"/>
  <c r="I1502" i="2"/>
  <c r="J1502" i="2" s="1"/>
  <c r="I1503" i="2"/>
  <c r="J1503" i="2" s="1"/>
  <c r="I1504" i="2"/>
  <c r="J1504" i="2" s="1"/>
  <c r="I1505" i="2"/>
  <c r="J1505" i="2" s="1"/>
  <c r="I1506" i="2"/>
  <c r="J1506" i="2" s="1"/>
  <c r="I1507" i="2"/>
  <c r="J1507" i="2" s="1"/>
  <c r="I1508" i="2"/>
  <c r="J1508" i="2" s="1"/>
  <c r="I1509" i="2"/>
  <c r="J1509" i="2" s="1"/>
  <c r="I1510" i="2"/>
  <c r="J1510" i="2" s="1"/>
  <c r="I1511" i="2"/>
  <c r="J1511" i="2" s="1"/>
  <c r="I1512" i="2"/>
  <c r="J1512" i="2" s="1"/>
  <c r="I1513" i="2"/>
  <c r="J1513" i="2" s="1"/>
  <c r="I1514" i="2"/>
  <c r="J1514" i="2" s="1"/>
  <c r="I1515" i="2"/>
  <c r="J1515" i="2" s="1"/>
  <c r="I1516" i="2"/>
  <c r="J1516" i="2" s="1"/>
  <c r="I1517" i="2"/>
  <c r="J1517" i="2" s="1"/>
  <c r="I1518" i="2"/>
  <c r="J1518" i="2" s="1"/>
  <c r="I1519" i="2"/>
  <c r="J1519" i="2" s="1"/>
  <c r="I1520" i="2"/>
  <c r="J1520" i="2" s="1"/>
  <c r="I1521" i="2"/>
  <c r="J1521" i="2" s="1"/>
  <c r="I1522" i="2"/>
  <c r="J1522" i="2" s="1"/>
  <c r="I1523" i="2"/>
  <c r="J1523" i="2" s="1"/>
  <c r="I1524" i="2"/>
  <c r="J1524" i="2" s="1"/>
  <c r="I1525" i="2"/>
  <c r="J1525" i="2" s="1"/>
  <c r="I1526" i="2"/>
  <c r="J1526" i="2" s="1"/>
  <c r="I1527" i="2"/>
  <c r="J1527" i="2" s="1"/>
  <c r="I1528" i="2"/>
  <c r="J1528" i="2" s="1"/>
  <c r="I1529" i="2"/>
  <c r="J1529" i="2" s="1"/>
  <c r="I1530" i="2"/>
  <c r="J1530" i="2" s="1"/>
  <c r="I1531" i="2"/>
  <c r="J1531" i="2" s="1"/>
  <c r="I1532" i="2"/>
  <c r="J1532" i="2" s="1"/>
  <c r="I1533" i="2"/>
  <c r="J1533" i="2" s="1"/>
  <c r="I1534" i="2"/>
  <c r="J1534" i="2" s="1"/>
  <c r="I1535" i="2"/>
  <c r="J1535" i="2" s="1"/>
  <c r="I1536" i="2"/>
  <c r="J1536" i="2" s="1"/>
  <c r="I1537" i="2"/>
  <c r="J1537" i="2" s="1"/>
  <c r="I1538" i="2"/>
  <c r="J1538" i="2" s="1"/>
  <c r="I1539" i="2"/>
  <c r="J1539" i="2" s="1"/>
  <c r="I1540" i="2"/>
  <c r="J1540" i="2" s="1"/>
  <c r="I1541" i="2"/>
  <c r="J1541" i="2" s="1"/>
  <c r="I1542" i="2"/>
  <c r="J1542" i="2" s="1"/>
  <c r="I1543" i="2"/>
  <c r="J1543" i="2" s="1"/>
  <c r="I1544" i="2"/>
  <c r="J1544" i="2" s="1"/>
  <c r="I1545" i="2"/>
  <c r="J1545" i="2" s="1"/>
  <c r="I1546" i="2"/>
  <c r="J1546" i="2" s="1"/>
  <c r="I1547" i="2"/>
  <c r="J1547" i="2" s="1"/>
  <c r="I1548" i="2"/>
  <c r="J1548" i="2" s="1"/>
  <c r="I1549" i="2"/>
  <c r="J1549" i="2" s="1"/>
  <c r="I1550" i="2"/>
  <c r="J1550" i="2" s="1"/>
  <c r="I1551" i="2"/>
  <c r="J1551" i="2" s="1"/>
  <c r="I1552" i="2"/>
  <c r="J1552" i="2" s="1"/>
  <c r="I1553" i="2"/>
  <c r="J1553" i="2" s="1"/>
  <c r="I1554" i="2"/>
  <c r="J1554" i="2" s="1"/>
  <c r="I1555" i="2"/>
  <c r="J1555" i="2" s="1"/>
  <c r="I1556" i="2"/>
  <c r="J1556" i="2" s="1"/>
  <c r="I1557" i="2"/>
  <c r="J1557" i="2" s="1"/>
  <c r="I1558" i="2"/>
  <c r="J1558" i="2" s="1"/>
  <c r="I1559" i="2"/>
  <c r="J1559" i="2" s="1"/>
  <c r="I1560" i="2"/>
  <c r="J1560" i="2" s="1"/>
  <c r="I1561" i="2"/>
  <c r="J1561" i="2" s="1"/>
  <c r="I1562" i="2"/>
  <c r="J1562" i="2" s="1"/>
  <c r="I1563" i="2"/>
  <c r="J1563" i="2" s="1"/>
  <c r="I1564" i="2"/>
  <c r="J1564" i="2" s="1"/>
  <c r="I1565" i="2"/>
  <c r="J1565" i="2" s="1"/>
  <c r="I1566" i="2"/>
  <c r="J1566" i="2" s="1"/>
  <c r="I1567" i="2"/>
  <c r="J1567" i="2" s="1"/>
  <c r="I1568" i="2"/>
  <c r="J1568" i="2" s="1"/>
  <c r="I1569" i="2"/>
  <c r="J1569" i="2" s="1"/>
  <c r="I1570" i="2"/>
  <c r="J1570" i="2" s="1"/>
  <c r="I1571" i="2"/>
  <c r="J1571" i="2" s="1"/>
  <c r="I1572" i="2"/>
  <c r="J1572" i="2" s="1"/>
  <c r="I1573" i="2"/>
  <c r="J1573" i="2" s="1"/>
  <c r="I1574" i="2"/>
  <c r="J1574" i="2" s="1"/>
  <c r="I1575" i="2"/>
  <c r="J1575" i="2" s="1"/>
  <c r="I1576" i="2"/>
  <c r="J1576" i="2" s="1"/>
  <c r="I1577" i="2"/>
  <c r="J1577" i="2" s="1"/>
  <c r="I1578" i="2"/>
  <c r="J1578" i="2" s="1"/>
  <c r="I1579" i="2"/>
  <c r="J1579" i="2" s="1"/>
  <c r="I1580" i="2"/>
  <c r="J1580" i="2" s="1"/>
  <c r="I1581" i="2"/>
  <c r="J1581" i="2" s="1"/>
  <c r="I1582" i="2"/>
  <c r="J1582" i="2" s="1"/>
  <c r="I1583" i="2"/>
  <c r="J1583" i="2" s="1"/>
  <c r="I1584" i="2"/>
  <c r="J1584" i="2" s="1"/>
  <c r="I1585" i="2"/>
  <c r="J1585" i="2" s="1"/>
  <c r="I1586" i="2"/>
  <c r="J1586" i="2" s="1"/>
  <c r="I1587" i="2"/>
  <c r="J1587" i="2" s="1"/>
  <c r="I1588" i="2"/>
  <c r="J1588" i="2" s="1"/>
  <c r="I1589" i="2"/>
  <c r="J1589" i="2" s="1"/>
  <c r="I1590" i="2"/>
  <c r="J1590" i="2" s="1"/>
  <c r="I1591" i="2"/>
  <c r="J1591" i="2" s="1"/>
  <c r="I1592" i="2"/>
  <c r="J1592" i="2" s="1"/>
  <c r="I1593" i="2"/>
  <c r="J1593" i="2" s="1"/>
  <c r="I1594" i="2"/>
  <c r="J1594" i="2" s="1"/>
  <c r="I1595" i="2"/>
  <c r="J1595" i="2" s="1"/>
  <c r="I1596" i="2"/>
  <c r="J1596" i="2" s="1"/>
  <c r="I1597" i="2"/>
  <c r="J1597" i="2" s="1"/>
  <c r="I1598" i="2"/>
  <c r="J1598" i="2" s="1"/>
  <c r="I1599" i="2"/>
  <c r="J1599" i="2" s="1"/>
  <c r="I1600" i="2"/>
  <c r="J1600" i="2" s="1"/>
  <c r="I1601" i="2"/>
  <c r="J1601" i="2" s="1"/>
  <c r="I1602" i="2"/>
  <c r="J1602" i="2" s="1"/>
  <c r="I1603" i="2"/>
  <c r="J1603" i="2" s="1"/>
  <c r="I1604" i="2"/>
  <c r="J1604" i="2" s="1"/>
  <c r="I1605" i="2"/>
  <c r="J1605" i="2" s="1"/>
  <c r="I1606" i="2"/>
  <c r="J1606" i="2" s="1"/>
  <c r="I1607" i="2"/>
  <c r="J1607" i="2" s="1"/>
  <c r="I1608" i="2"/>
  <c r="J1608" i="2" s="1"/>
  <c r="I1609" i="2"/>
  <c r="J1609" i="2" s="1"/>
  <c r="I1610" i="2"/>
  <c r="J1610" i="2" s="1"/>
  <c r="I1611" i="2"/>
  <c r="J1611" i="2" s="1"/>
  <c r="I1612" i="2"/>
  <c r="J1612" i="2" s="1"/>
  <c r="I1613" i="2"/>
  <c r="J1613" i="2" s="1"/>
  <c r="I1614" i="2"/>
  <c r="J1614" i="2" s="1"/>
  <c r="I1615" i="2"/>
  <c r="J1615" i="2" s="1"/>
  <c r="I1616" i="2"/>
  <c r="J1616" i="2" s="1"/>
  <c r="I1617" i="2"/>
  <c r="J1617" i="2" s="1"/>
  <c r="I1618" i="2"/>
  <c r="J1618" i="2" s="1"/>
  <c r="I1619" i="2"/>
  <c r="J1619" i="2" s="1"/>
  <c r="I1620" i="2"/>
  <c r="J1620" i="2" s="1"/>
  <c r="I1621" i="2"/>
  <c r="J1621" i="2" s="1"/>
  <c r="I1622" i="2"/>
  <c r="J1622" i="2" s="1"/>
  <c r="I1623" i="2"/>
  <c r="J1623" i="2" s="1"/>
  <c r="I1624" i="2"/>
  <c r="J1624" i="2" s="1"/>
  <c r="I1625" i="2"/>
  <c r="J1625" i="2" s="1"/>
  <c r="I1626" i="2"/>
  <c r="J1626" i="2" s="1"/>
  <c r="I1627" i="2"/>
  <c r="J1627" i="2" s="1"/>
  <c r="I1628" i="2"/>
  <c r="J1628" i="2" s="1"/>
  <c r="I1629" i="2"/>
  <c r="J1629" i="2" s="1"/>
  <c r="I1630" i="2"/>
  <c r="J1630" i="2" s="1"/>
  <c r="I1631" i="2"/>
  <c r="J1631" i="2" s="1"/>
  <c r="I1632" i="2"/>
  <c r="J1632" i="2" s="1"/>
  <c r="I1633" i="2"/>
  <c r="J1633" i="2" s="1"/>
  <c r="I1634" i="2"/>
  <c r="J1634" i="2" s="1"/>
  <c r="I1635" i="2"/>
  <c r="J1635" i="2" s="1"/>
  <c r="I1636" i="2"/>
  <c r="J1636" i="2" s="1"/>
  <c r="I1637" i="2"/>
  <c r="J1637" i="2" s="1"/>
  <c r="I1638" i="2"/>
  <c r="J1638" i="2" s="1"/>
  <c r="I1639" i="2"/>
  <c r="J1639" i="2" s="1"/>
  <c r="I1640" i="2"/>
  <c r="J1640" i="2" s="1"/>
  <c r="I1641" i="2"/>
  <c r="J1641" i="2" s="1"/>
  <c r="I1642" i="2"/>
  <c r="J1642" i="2" s="1"/>
  <c r="I1643" i="2"/>
  <c r="J1643" i="2" s="1"/>
  <c r="I1644" i="2"/>
  <c r="J1644" i="2" s="1"/>
  <c r="I1645" i="2"/>
  <c r="J1645" i="2" s="1"/>
  <c r="I1646" i="2"/>
  <c r="J1646" i="2" s="1"/>
  <c r="I1647" i="2"/>
  <c r="J1647" i="2" s="1"/>
  <c r="I1648" i="2"/>
  <c r="J1648" i="2" s="1"/>
  <c r="I1649" i="2"/>
  <c r="J1649" i="2" s="1"/>
  <c r="I1650" i="2"/>
  <c r="J1650" i="2" s="1"/>
  <c r="I1651" i="2"/>
  <c r="J1651" i="2" s="1"/>
  <c r="I1652" i="2"/>
  <c r="J1652" i="2" s="1"/>
  <c r="I1653" i="2"/>
  <c r="J1653" i="2" s="1"/>
  <c r="I1654" i="2"/>
  <c r="J1654" i="2" s="1"/>
  <c r="I1655" i="2"/>
  <c r="J1655" i="2" s="1"/>
  <c r="I1656" i="2"/>
  <c r="J1656" i="2" s="1"/>
  <c r="I1657" i="2"/>
  <c r="J1657" i="2" s="1"/>
  <c r="I1658" i="2"/>
  <c r="J1658" i="2" s="1"/>
  <c r="I1659" i="2"/>
  <c r="J1659" i="2" s="1"/>
  <c r="I1660" i="2"/>
  <c r="J1660" i="2" s="1"/>
  <c r="I1661" i="2"/>
  <c r="J1661" i="2" s="1"/>
  <c r="I1662" i="2"/>
  <c r="J1662" i="2" s="1"/>
  <c r="I1663" i="2"/>
  <c r="J1663" i="2" s="1"/>
  <c r="I1664" i="2"/>
  <c r="J1664" i="2" s="1"/>
  <c r="I1665" i="2"/>
  <c r="J1665" i="2" s="1"/>
  <c r="I1666" i="2"/>
  <c r="J1666" i="2" s="1"/>
  <c r="I1667" i="2"/>
  <c r="J1667" i="2" s="1"/>
  <c r="I1668" i="2"/>
  <c r="J1668" i="2" s="1"/>
  <c r="I1669" i="2"/>
  <c r="J1669" i="2" s="1"/>
  <c r="I1670" i="2"/>
  <c r="J1670" i="2" s="1"/>
  <c r="I1671" i="2"/>
  <c r="J1671" i="2" s="1"/>
  <c r="I1672" i="2"/>
  <c r="J1672" i="2" s="1"/>
  <c r="I1673" i="2"/>
  <c r="J1673" i="2" s="1"/>
  <c r="I1674" i="2"/>
  <c r="J1674" i="2" s="1"/>
  <c r="I1675" i="2"/>
  <c r="J1675" i="2" s="1"/>
  <c r="I1676" i="2"/>
  <c r="J1676" i="2" s="1"/>
  <c r="I1677" i="2"/>
  <c r="J1677" i="2" s="1"/>
  <c r="I1678" i="2"/>
  <c r="J1678" i="2" s="1"/>
  <c r="I1679" i="2"/>
  <c r="J1679" i="2" s="1"/>
  <c r="I1680" i="2"/>
  <c r="J1680" i="2" s="1"/>
  <c r="I1681" i="2"/>
  <c r="J1681" i="2" s="1"/>
  <c r="I1682" i="2"/>
  <c r="J1682" i="2" s="1"/>
  <c r="I1683" i="2"/>
  <c r="J1683" i="2" s="1"/>
  <c r="I1684" i="2"/>
  <c r="J1684" i="2" s="1"/>
  <c r="I1685" i="2"/>
  <c r="J1685" i="2" s="1"/>
  <c r="I1686" i="2"/>
  <c r="J1686" i="2" s="1"/>
  <c r="I1687" i="2"/>
  <c r="J1687" i="2" s="1"/>
  <c r="I1688" i="2"/>
  <c r="J1688" i="2" s="1"/>
  <c r="I1689" i="2"/>
  <c r="J1689" i="2" s="1"/>
  <c r="I1690" i="2"/>
  <c r="J1690" i="2" s="1"/>
  <c r="I1691" i="2"/>
  <c r="J1691" i="2" s="1"/>
  <c r="I1692" i="2"/>
  <c r="J1692" i="2" s="1"/>
  <c r="I1693" i="2"/>
  <c r="J1693" i="2" s="1"/>
  <c r="I1694" i="2"/>
  <c r="J1694" i="2" s="1"/>
  <c r="I1695" i="2"/>
  <c r="J1695" i="2" s="1"/>
  <c r="I1696" i="2"/>
  <c r="J1696" i="2" s="1"/>
  <c r="I1697" i="2"/>
  <c r="J1697" i="2" s="1"/>
  <c r="I1698" i="2"/>
  <c r="J1698" i="2" s="1"/>
  <c r="I1699" i="2"/>
  <c r="J1699" i="2" s="1"/>
  <c r="I1700" i="2"/>
  <c r="J1700" i="2" s="1"/>
  <c r="I1701" i="2"/>
  <c r="J1701" i="2" s="1"/>
  <c r="I1702" i="2"/>
  <c r="J1702" i="2" s="1"/>
  <c r="I1703" i="2"/>
  <c r="J1703" i="2" s="1"/>
  <c r="I1704" i="2"/>
  <c r="J1704" i="2" s="1"/>
  <c r="I1705" i="2"/>
  <c r="J1705" i="2" s="1"/>
  <c r="I1706" i="2"/>
  <c r="J1706" i="2" s="1"/>
  <c r="I1707" i="2"/>
  <c r="J1707" i="2" s="1"/>
  <c r="I1708" i="2"/>
  <c r="J1708" i="2" s="1"/>
  <c r="I1709" i="2"/>
  <c r="J1709" i="2" s="1"/>
  <c r="I1710" i="2"/>
  <c r="J1710" i="2" s="1"/>
  <c r="I1711" i="2"/>
  <c r="J1711" i="2" s="1"/>
  <c r="I1712" i="2"/>
  <c r="J1712" i="2" s="1"/>
  <c r="I1713" i="2"/>
  <c r="J1713" i="2" s="1"/>
  <c r="I1714" i="2"/>
  <c r="J1714" i="2" s="1"/>
  <c r="I1715" i="2"/>
  <c r="J1715" i="2" s="1"/>
  <c r="I1716" i="2"/>
  <c r="J1716" i="2" s="1"/>
  <c r="I1717" i="2"/>
  <c r="J1717" i="2" s="1"/>
  <c r="I1718" i="2"/>
  <c r="J1718" i="2" s="1"/>
  <c r="I1719" i="2"/>
  <c r="J1719" i="2" s="1"/>
  <c r="I1720" i="2"/>
  <c r="J1720" i="2" s="1"/>
  <c r="I1721" i="2"/>
  <c r="J1721" i="2" s="1"/>
  <c r="I1722" i="2"/>
  <c r="J1722" i="2" s="1"/>
  <c r="I1723" i="2"/>
  <c r="J1723" i="2" s="1"/>
  <c r="I1724" i="2"/>
  <c r="J1724" i="2" s="1"/>
  <c r="I1725" i="2"/>
  <c r="J1725" i="2" s="1"/>
  <c r="I1726" i="2"/>
  <c r="J1726" i="2" s="1"/>
  <c r="I1727" i="2"/>
  <c r="J1727" i="2" s="1"/>
  <c r="I1728" i="2"/>
  <c r="J1728" i="2" s="1"/>
  <c r="I1729" i="2"/>
  <c r="J1729" i="2" s="1"/>
  <c r="I1730" i="2"/>
  <c r="J1730" i="2" s="1"/>
  <c r="I1731" i="2"/>
  <c r="J1731" i="2" s="1"/>
  <c r="I1732" i="2"/>
  <c r="J1732" i="2" s="1"/>
  <c r="I1733" i="2"/>
  <c r="J1733" i="2" s="1"/>
  <c r="I1734" i="2"/>
  <c r="J1734" i="2" s="1"/>
  <c r="I1735" i="2"/>
  <c r="J1735" i="2" s="1"/>
  <c r="I1736" i="2"/>
  <c r="J1736" i="2" s="1"/>
  <c r="I1737" i="2"/>
  <c r="J1737" i="2" s="1"/>
  <c r="I1738" i="2"/>
  <c r="J1738" i="2" s="1"/>
  <c r="I1739" i="2"/>
  <c r="J1739" i="2" s="1"/>
  <c r="I1740" i="2"/>
  <c r="J1740" i="2" s="1"/>
  <c r="I1741" i="2"/>
  <c r="J1741" i="2" s="1"/>
  <c r="I1742" i="2"/>
  <c r="J1742" i="2" s="1"/>
  <c r="I1743" i="2"/>
  <c r="J1743" i="2" s="1"/>
  <c r="I1744" i="2"/>
  <c r="J1744" i="2" s="1"/>
  <c r="I1745" i="2"/>
  <c r="J1745" i="2" s="1"/>
  <c r="I1746" i="2"/>
  <c r="J1746" i="2" s="1"/>
  <c r="I1747" i="2"/>
  <c r="J1747" i="2" s="1"/>
  <c r="I1748" i="2"/>
  <c r="J1748" i="2" s="1"/>
  <c r="I1749" i="2"/>
  <c r="J1749" i="2" s="1"/>
  <c r="I1750" i="2"/>
  <c r="J1750" i="2" s="1"/>
  <c r="I1751" i="2"/>
  <c r="J1751" i="2" s="1"/>
  <c r="I1752" i="2"/>
  <c r="J1752" i="2" s="1"/>
  <c r="I1753" i="2"/>
  <c r="J1753" i="2" s="1"/>
  <c r="I1754" i="2"/>
  <c r="J1754" i="2" s="1"/>
  <c r="I1755" i="2"/>
  <c r="J1755" i="2" s="1"/>
  <c r="I1756" i="2"/>
  <c r="J1756" i="2" s="1"/>
  <c r="I1757" i="2"/>
  <c r="J1757" i="2" s="1"/>
  <c r="I1758" i="2"/>
  <c r="J1758" i="2" s="1"/>
  <c r="I1759" i="2"/>
  <c r="J1759" i="2" s="1"/>
  <c r="I1760" i="2"/>
  <c r="J1760" i="2" s="1"/>
  <c r="I1761" i="2"/>
  <c r="J1761" i="2" s="1"/>
  <c r="I1762" i="2"/>
  <c r="J1762" i="2" s="1"/>
  <c r="I1763" i="2"/>
  <c r="J1763" i="2" s="1"/>
  <c r="I1764" i="2"/>
  <c r="J1764" i="2" s="1"/>
  <c r="I1765" i="2"/>
  <c r="J1765" i="2" s="1"/>
  <c r="I1766" i="2"/>
  <c r="J1766" i="2" s="1"/>
  <c r="I1767" i="2"/>
  <c r="J1767" i="2" s="1"/>
  <c r="I1768" i="2"/>
  <c r="J1768" i="2" s="1"/>
  <c r="I1769" i="2"/>
  <c r="J1769" i="2" s="1"/>
  <c r="I1770" i="2"/>
  <c r="J1770" i="2" s="1"/>
  <c r="I1771" i="2"/>
  <c r="J1771" i="2" s="1"/>
  <c r="I1772" i="2"/>
  <c r="J1772" i="2" s="1"/>
  <c r="I1773" i="2"/>
  <c r="J1773" i="2" s="1"/>
  <c r="I1774" i="2"/>
  <c r="J1774" i="2" s="1"/>
  <c r="I1775" i="2"/>
  <c r="J1775" i="2" s="1"/>
  <c r="I1776" i="2"/>
  <c r="J1776" i="2" s="1"/>
  <c r="I1777" i="2"/>
  <c r="J1777" i="2" s="1"/>
  <c r="I1778" i="2"/>
  <c r="J1778" i="2" s="1"/>
  <c r="I1779" i="2"/>
  <c r="J1779" i="2" s="1"/>
  <c r="I1780" i="2"/>
  <c r="J1780" i="2" s="1"/>
  <c r="I1781" i="2"/>
  <c r="J1781" i="2" s="1"/>
  <c r="I1782" i="2"/>
  <c r="J1782" i="2" s="1"/>
  <c r="I1783" i="2"/>
  <c r="J1783" i="2" s="1"/>
  <c r="I1784" i="2"/>
  <c r="J1784" i="2" s="1"/>
  <c r="I1785" i="2"/>
  <c r="J1785" i="2" s="1"/>
  <c r="I1786" i="2"/>
  <c r="J1786" i="2" s="1"/>
  <c r="I1787" i="2"/>
  <c r="J1787" i="2" s="1"/>
  <c r="I1788" i="2"/>
  <c r="J1788" i="2" s="1"/>
  <c r="I1789" i="2"/>
  <c r="J1789" i="2" s="1"/>
  <c r="I1790" i="2"/>
  <c r="J1790" i="2" s="1"/>
  <c r="I1791" i="2"/>
  <c r="J1791" i="2" s="1"/>
  <c r="I1792" i="2"/>
  <c r="J1792" i="2" s="1"/>
  <c r="I1793" i="2"/>
  <c r="J1793" i="2" s="1"/>
  <c r="I1794" i="2"/>
  <c r="J1794" i="2" s="1"/>
  <c r="I1795" i="2"/>
  <c r="J1795" i="2" s="1"/>
  <c r="I1796" i="2"/>
  <c r="J1796" i="2" s="1"/>
  <c r="I1797" i="2"/>
  <c r="J1797" i="2" s="1"/>
  <c r="I1798" i="2"/>
  <c r="J1798" i="2" s="1"/>
  <c r="I1799" i="2"/>
  <c r="J1799" i="2" s="1"/>
  <c r="I1800" i="2"/>
  <c r="J1800" i="2" s="1"/>
  <c r="I1801" i="2"/>
  <c r="J1801" i="2" s="1"/>
  <c r="I1802" i="2"/>
  <c r="J1802" i="2" s="1"/>
  <c r="I1803" i="2"/>
  <c r="J1803" i="2" s="1"/>
  <c r="I1804" i="2"/>
  <c r="J1804" i="2" s="1"/>
  <c r="I1805" i="2"/>
  <c r="J1805" i="2" s="1"/>
  <c r="I1806" i="2"/>
  <c r="J1806" i="2" s="1"/>
  <c r="I1807" i="2"/>
  <c r="J1807" i="2" s="1"/>
  <c r="I1808" i="2"/>
  <c r="J1808" i="2" s="1"/>
  <c r="I1809" i="2"/>
  <c r="J1809" i="2" s="1"/>
  <c r="I1810" i="2"/>
  <c r="J1810" i="2" s="1"/>
  <c r="I1811" i="2"/>
  <c r="J1811" i="2" s="1"/>
  <c r="I1812" i="2"/>
  <c r="J1812" i="2" s="1"/>
  <c r="I1813" i="2"/>
  <c r="J1813" i="2" s="1"/>
  <c r="I1814" i="2"/>
  <c r="J1814" i="2" s="1"/>
  <c r="I1815" i="2"/>
  <c r="J1815" i="2" s="1"/>
  <c r="I1816" i="2"/>
  <c r="J1816" i="2" s="1"/>
  <c r="I1817" i="2"/>
  <c r="J1817" i="2" s="1"/>
  <c r="I1818" i="2"/>
  <c r="J1818" i="2" s="1"/>
  <c r="I1819" i="2"/>
  <c r="J1819" i="2" s="1"/>
  <c r="I1820" i="2"/>
  <c r="J1820" i="2" s="1"/>
  <c r="I1821" i="2"/>
  <c r="J1821" i="2" s="1"/>
  <c r="I1822" i="2"/>
  <c r="J1822" i="2" s="1"/>
  <c r="I1823" i="2"/>
  <c r="J1823" i="2" s="1"/>
  <c r="I1824" i="2"/>
  <c r="J1824" i="2" s="1"/>
  <c r="I1825" i="2"/>
  <c r="J1825" i="2" s="1"/>
  <c r="I1826" i="2"/>
  <c r="J1826" i="2" s="1"/>
  <c r="I1827" i="2"/>
  <c r="J1827" i="2" s="1"/>
  <c r="I1828" i="2"/>
  <c r="J1828" i="2" s="1"/>
  <c r="I1829" i="2"/>
  <c r="J1829" i="2" s="1"/>
  <c r="I1830" i="2"/>
  <c r="J1830" i="2" s="1"/>
  <c r="I1831" i="2"/>
  <c r="J1831" i="2" s="1"/>
  <c r="I1832" i="2"/>
  <c r="J1832" i="2" s="1"/>
  <c r="I1833" i="2"/>
  <c r="J1833" i="2" s="1"/>
  <c r="I1834" i="2"/>
  <c r="J1834" i="2" s="1"/>
  <c r="I1835" i="2"/>
  <c r="J1835" i="2" s="1"/>
  <c r="I1836" i="2"/>
  <c r="J1836" i="2" s="1"/>
  <c r="I1837" i="2"/>
  <c r="J1837" i="2" s="1"/>
  <c r="I1838" i="2"/>
  <c r="J1838" i="2" s="1"/>
  <c r="I1839" i="2"/>
  <c r="J1839" i="2" s="1"/>
  <c r="I1840" i="2"/>
  <c r="J1840" i="2" s="1"/>
  <c r="I1841" i="2"/>
  <c r="J1841" i="2" s="1"/>
  <c r="I1842" i="2"/>
  <c r="J1842" i="2" s="1"/>
  <c r="I1843" i="2"/>
  <c r="J1843" i="2" s="1"/>
  <c r="I1844" i="2"/>
  <c r="J1844" i="2" s="1"/>
  <c r="I1845" i="2"/>
  <c r="J1845" i="2" s="1"/>
  <c r="I1846" i="2"/>
  <c r="J1846" i="2" s="1"/>
  <c r="I1847" i="2"/>
  <c r="J1847" i="2" s="1"/>
  <c r="I1848" i="2"/>
  <c r="J1848" i="2" s="1"/>
  <c r="I1849" i="2"/>
  <c r="J1849" i="2" s="1"/>
  <c r="I1850" i="2"/>
  <c r="J1850" i="2" s="1"/>
  <c r="I1851" i="2"/>
  <c r="J1851" i="2" s="1"/>
  <c r="I1852" i="2"/>
  <c r="J1852" i="2" s="1"/>
  <c r="I1853" i="2"/>
  <c r="J1853" i="2" s="1"/>
  <c r="I1854" i="2"/>
  <c r="J1854" i="2" s="1"/>
  <c r="I1855" i="2"/>
  <c r="J1855" i="2" s="1"/>
  <c r="I1856" i="2"/>
  <c r="J1856" i="2" s="1"/>
  <c r="I1857" i="2"/>
  <c r="J1857" i="2" s="1"/>
  <c r="I1858" i="2"/>
  <c r="J1858" i="2" s="1"/>
  <c r="I1859" i="2"/>
  <c r="J1859" i="2" s="1"/>
  <c r="I1860" i="2"/>
  <c r="J1860" i="2" s="1"/>
  <c r="I1861" i="2"/>
  <c r="J1861" i="2" s="1"/>
  <c r="I1862" i="2"/>
  <c r="J1862" i="2" s="1"/>
  <c r="I1863" i="2"/>
  <c r="J1863" i="2" s="1"/>
  <c r="I1864" i="2"/>
  <c r="J1864" i="2" s="1"/>
  <c r="I1865" i="2"/>
  <c r="J1865" i="2" s="1"/>
  <c r="I1866" i="2"/>
  <c r="J1866" i="2" s="1"/>
  <c r="I1867" i="2"/>
  <c r="J1867" i="2" s="1"/>
  <c r="I1868" i="2"/>
  <c r="J1868" i="2" s="1"/>
  <c r="I1869" i="2"/>
  <c r="J1869" i="2" s="1"/>
  <c r="I1870" i="2"/>
  <c r="J1870" i="2" s="1"/>
  <c r="I1871" i="2"/>
  <c r="J1871" i="2" s="1"/>
  <c r="I1872" i="2"/>
  <c r="J1872" i="2" s="1"/>
  <c r="I1873" i="2"/>
  <c r="J1873" i="2" s="1"/>
  <c r="I1874" i="2"/>
  <c r="J1874" i="2" s="1"/>
  <c r="I1875" i="2"/>
  <c r="J1875" i="2" s="1"/>
  <c r="I1876" i="2"/>
  <c r="J1876" i="2" s="1"/>
  <c r="I1877" i="2"/>
  <c r="J1877" i="2" s="1"/>
  <c r="I1878" i="2"/>
  <c r="J1878" i="2" s="1"/>
  <c r="I1879" i="2"/>
  <c r="J1879" i="2" s="1"/>
  <c r="I1880" i="2"/>
  <c r="J1880" i="2" s="1"/>
  <c r="I1881" i="2"/>
  <c r="J1881" i="2" s="1"/>
  <c r="I1882" i="2"/>
  <c r="J1882" i="2" s="1"/>
  <c r="I1883" i="2"/>
  <c r="J1883" i="2" s="1"/>
  <c r="I1884" i="2"/>
  <c r="J1884" i="2" s="1"/>
  <c r="I1885" i="2"/>
  <c r="J1885" i="2" s="1"/>
  <c r="I1886" i="2"/>
  <c r="J1886" i="2" s="1"/>
  <c r="I1887" i="2"/>
  <c r="J1887" i="2" s="1"/>
  <c r="I1888" i="2"/>
  <c r="J1888" i="2" s="1"/>
  <c r="I1889" i="2"/>
  <c r="J1889" i="2" s="1"/>
  <c r="I1890" i="2"/>
  <c r="J1890" i="2" s="1"/>
  <c r="I1891" i="2"/>
  <c r="J1891" i="2" s="1"/>
  <c r="I1892" i="2"/>
  <c r="J1892" i="2" s="1"/>
  <c r="I1893" i="2"/>
  <c r="J1893" i="2" s="1"/>
  <c r="I1894" i="2"/>
  <c r="J1894" i="2" s="1"/>
  <c r="I1895" i="2"/>
  <c r="J1895" i="2" s="1"/>
  <c r="I1896" i="2"/>
  <c r="J1896" i="2" s="1"/>
  <c r="I1897" i="2"/>
  <c r="J1897" i="2" s="1"/>
  <c r="I1898" i="2"/>
  <c r="J1898" i="2" s="1"/>
  <c r="I1899" i="2"/>
  <c r="J1899" i="2" s="1"/>
  <c r="I1900" i="2"/>
  <c r="J1900" i="2" s="1"/>
  <c r="I1901" i="2"/>
  <c r="J1901" i="2" s="1"/>
  <c r="I1902" i="2"/>
  <c r="J1902" i="2" s="1"/>
  <c r="I1903" i="2"/>
  <c r="J1903" i="2" s="1"/>
  <c r="I1904" i="2"/>
  <c r="J1904" i="2" s="1"/>
  <c r="I1905" i="2"/>
  <c r="J1905" i="2" s="1"/>
  <c r="I1906" i="2"/>
  <c r="J1906" i="2" s="1"/>
  <c r="I1907" i="2"/>
  <c r="J1907" i="2" s="1"/>
  <c r="I1908" i="2"/>
  <c r="J1908" i="2" s="1"/>
  <c r="I1909" i="2"/>
  <c r="J1909" i="2" s="1"/>
  <c r="I1910" i="2"/>
  <c r="J1910" i="2" s="1"/>
  <c r="I1911" i="2"/>
  <c r="J1911" i="2" s="1"/>
  <c r="I1912" i="2"/>
  <c r="J1912" i="2" s="1"/>
  <c r="I1913" i="2"/>
  <c r="J1913" i="2" s="1"/>
  <c r="I1914" i="2"/>
  <c r="J1914" i="2" s="1"/>
  <c r="I1915" i="2"/>
  <c r="J1915" i="2" s="1"/>
  <c r="I1916" i="2"/>
  <c r="J1916" i="2" s="1"/>
  <c r="I1917" i="2"/>
  <c r="J1917" i="2" s="1"/>
  <c r="I1918" i="2"/>
  <c r="J1918" i="2" s="1"/>
  <c r="I1919" i="2"/>
  <c r="J1919" i="2" s="1"/>
  <c r="I1920" i="2"/>
  <c r="J1920" i="2" s="1"/>
  <c r="I1921" i="2"/>
  <c r="J1921" i="2" s="1"/>
  <c r="I1922" i="2"/>
  <c r="J1922" i="2" s="1"/>
  <c r="I1923" i="2"/>
  <c r="J1923" i="2" s="1"/>
  <c r="I1924" i="2"/>
  <c r="J1924" i="2" s="1"/>
  <c r="I1925" i="2"/>
  <c r="J1925" i="2" s="1"/>
  <c r="I1926" i="2"/>
  <c r="J1926" i="2" s="1"/>
  <c r="I1927" i="2"/>
  <c r="J1927" i="2" s="1"/>
  <c r="I1928" i="2"/>
  <c r="J1928" i="2" s="1"/>
  <c r="I1929" i="2"/>
  <c r="J1929" i="2" s="1"/>
  <c r="I1930" i="2"/>
  <c r="J1930" i="2" s="1"/>
  <c r="I1931" i="2"/>
  <c r="J1931" i="2" s="1"/>
  <c r="I1932" i="2"/>
  <c r="J1932" i="2" s="1"/>
  <c r="I1933" i="2"/>
  <c r="J1933" i="2" s="1"/>
  <c r="I1934" i="2"/>
  <c r="J1934" i="2" s="1"/>
  <c r="I1935" i="2"/>
  <c r="J1935" i="2" s="1"/>
  <c r="I1936" i="2"/>
  <c r="J1936" i="2" s="1"/>
  <c r="I1937" i="2"/>
  <c r="J1937" i="2" s="1"/>
  <c r="I1938" i="2"/>
  <c r="J1938" i="2" s="1"/>
  <c r="I1939" i="2"/>
  <c r="J1939" i="2" s="1"/>
  <c r="I1940" i="2"/>
  <c r="J1940" i="2" s="1"/>
  <c r="I1941" i="2"/>
  <c r="J1941" i="2" s="1"/>
  <c r="I1942" i="2"/>
  <c r="J1942" i="2" s="1"/>
  <c r="I1943" i="2"/>
  <c r="J1943" i="2" s="1"/>
  <c r="I1944" i="2"/>
  <c r="J1944" i="2" s="1"/>
  <c r="I1945" i="2"/>
  <c r="J1945" i="2" s="1"/>
  <c r="I1946" i="2"/>
  <c r="J1946" i="2" s="1"/>
  <c r="I1947" i="2"/>
  <c r="J1947" i="2" s="1"/>
  <c r="I1948" i="2"/>
  <c r="J1948" i="2" s="1"/>
  <c r="I1949" i="2"/>
  <c r="J1949" i="2" s="1"/>
  <c r="I1950" i="2"/>
  <c r="J1950" i="2" s="1"/>
  <c r="I1951" i="2"/>
  <c r="J1951" i="2" s="1"/>
  <c r="I1952" i="2"/>
  <c r="J1952" i="2" s="1"/>
  <c r="I1953" i="2"/>
  <c r="J1953" i="2" s="1"/>
  <c r="I1954" i="2"/>
  <c r="J1954" i="2" s="1"/>
  <c r="I1955" i="2"/>
  <c r="J1955" i="2" s="1"/>
  <c r="I1956" i="2"/>
  <c r="J1956" i="2" s="1"/>
  <c r="I1957" i="2"/>
  <c r="J1957" i="2" s="1"/>
  <c r="I1958" i="2"/>
  <c r="J1958" i="2" s="1"/>
  <c r="I1959" i="2"/>
  <c r="J1959" i="2" s="1"/>
  <c r="I1960" i="2"/>
  <c r="J1960" i="2" s="1"/>
  <c r="I1961" i="2"/>
  <c r="J1961" i="2" s="1"/>
  <c r="I1962" i="2"/>
  <c r="J1962" i="2" s="1"/>
  <c r="I1963" i="2"/>
  <c r="J1963" i="2" s="1"/>
  <c r="I1964" i="2"/>
  <c r="J1964" i="2" s="1"/>
  <c r="I1965" i="2"/>
  <c r="J1965" i="2" s="1"/>
  <c r="I1966" i="2"/>
  <c r="J1966" i="2" s="1"/>
  <c r="I1967" i="2"/>
  <c r="J1967" i="2" s="1"/>
  <c r="I1968" i="2"/>
  <c r="J1968" i="2" s="1"/>
  <c r="I1969" i="2"/>
  <c r="J1969" i="2" s="1"/>
  <c r="I1970" i="2"/>
  <c r="J1970" i="2" s="1"/>
  <c r="I1971" i="2"/>
  <c r="J1971" i="2" s="1"/>
  <c r="I1972" i="2"/>
  <c r="J1972" i="2" s="1"/>
  <c r="I1973" i="2"/>
  <c r="J1973" i="2" s="1"/>
  <c r="I1974" i="2"/>
  <c r="J1974" i="2" s="1"/>
  <c r="I1975" i="2"/>
  <c r="J1975" i="2" s="1"/>
  <c r="I1976" i="2"/>
  <c r="J1976" i="2" s="1"/>
  <c r="I1977" i="2"/>
  <c r="J1977" i="2" s="1"/>
  <c r="I1978" i="2"/>
  <c r="J1978" i="2" s="1"/>
  <c r="I1979" i="2"/>
  <c r="J1979" i="2" s="1"/>
  <c r="I1980" i="2"/>
  <c r="J1980" i="2" s="1"/>
  <c r="I1981" i="2"/>
  <c r="J1981" i="2" s="1"/>
  <c r="I1982" i="2"/>
  <c r="J1982" i="2" s="1"/>
  <c r="I1983" i="2"/>
  <c r="J1983" i="2" s="1"/>
  <c r="I1984" i="2"/>
  <c r="J1984" i="2" s="1"/>
  <c r="I1985" i="2"/>
  <c r="J1985" i="2" s="1"/>
  <c r="I1986" i="2"/>
  <c r="J1986" i="2" s="1"/>
  <c r="I1987" i="2"/>
  <c r="J1987" i="2" s="1"/>
  <c r="I1988" i="2"/>
  <c r="J1988" i="2" s="1"/>
  <c r="I1989" i="2"/>
  <c r="J1989" i="2" s="1"/>
  <c r="I1990" i="2"/>
  <c r="J1990" i="2" s="1"/>
  <c r="I1991" i="2"/>
  <c r="J1991" i="2" s="1"/>
  <c r="I1992" i="2"/>
  <c r="J1992" i="2" s="1"/>
  <c r="I1993" i="2"/>
  <c r="J1993" i="2" s="1"/>
  <c r="I1994" i="2"/>
  <c r="J1994" i="2" s="1"/>
  <c r="I1995" i="2"/>
  <c r="J1995" i="2" s="1"/>
  <c r="I1996" i="2"/>
  <c r="J1996" i="2" s="1"/>
  <c r="I1997" i="2"/>
  <c r="J1997" i="2" s="1"/>
  <c r="I1998" i="2"/>
  <c r="J1998" i="2" s="1"/>
  <c r="I1999" i="2"/>
  <c r="J1999" i="2" s="1"/>
  <c r="I2000" i="2"/>
  <c r="J2000" i="2" s="1"/>
  <c r="I2001" i="2"/>
  <c r="J2001" i="2" s="1"/>
  <c r="I2002" i="2"/>
  <c r="J2002" i="2" s="1"/>
  <c r="I2003" i="2"/>
  <c r="J2003" i="2" s="1"/>
  <c r="I2004" i="2"/>
  <c r="J2004" i="2" s="1"/>
  <c r="I2005" i="2"/>
  <c r="J2005" i="2" s="1"/>
  <c r="I2006" i="2"/>
  <c r="J2006" i="2" s="1"/>
  <c r="I2007" i="2"/>
  <c r="J2007" i="2" s="1"/>
  <c r="I2008" i="2"/>
  <c r="J2008" i="2" s="1"/>
  <c r="I2009" i="2"/>
  <c r="J2009" i="2" s="1"/>
  <c r="I2010" i="2"/>
  <c r="J2010" i="2" s="1"/>
  <c r="I2011" i="2"/>
  <c r="J2011" i="2" s="1"/>
  <c r="I2012" i="2"/>
  <c r="J2012" i="2" s="1"/>
  <c r="I2013" i="2"/>
  <c r="J2013" i="2" s="1"/>
  <c r="I2014" i="2"/>
  <c r="J2014" i="2" s="1"/>
  <c r="I2015" i="2"/>
  <c r="J2015" i="2" s="1"/>
  <c r="I2016" i="2"/>
  <c r="J2016" i="2" s="1"/>
  <c r="I2017" i="2"/>
  <c r="J2017" i="2" s="1"/>
  <c r="I2018" i="2"/>
  <c r="J2018" i="2" s="1"/>
  <c r="I2019" i="2"/>
  <c r="J2019" i="2" s="1"/>
  <c r="I2020" i="2"/>
  <c r="J2020" i="2" s="1"/>
  <c r="I2021" i="2"/>
  <c r="J2021" i="2" s="1"/>
  <c r="I2022" i="2"/>
  <c r="J2022" i="2" s="1"/>
  <c r="I2023" i="2"/>
  <c r="J2023" i="2" s="1"/>
  <c r="I2024" i="2"/>
  <c r="J2024" i="2" s="1"/>
  <c r="I2025" i="2"/>
  <c r="J2025" i="2" s="1"/>
  <c r="I2026" i="2"/>
  <c r="J2026" i="2" s="1"/>
  <c r="I2027" i="2"/>
  <c r="J2027" i="2" s="1"/>
  <c r="I2028" i="2"/>
  <c r="J2028" i="2" s="1"/>
  <c r="I2029" i="2"/>
  <c r="J2029" i="2" s="1"/>
  <c r="I2030" i="2"/>
  <c r="J2030" i="2" s="1"/>
  <c r="I2031" i="2"/>
  <c r="J2031" i="2" s="1"/>
  <c r="I2032" i="2"/>
  <c r="J2032" i="2" s="1"/>
  <c r="I2033" i="2"/>
  <c r="J2033" i="2" s="1"/>
  <c r="I2034" i="2"/>
  <c r="J2034" i="2" s="1"/>
  <c r="I2035" i="2"/>
  <c r="J2035" i="2" s="1"/>
  <c r="I2036" i="2"/>
  <c r="J2036" i="2" s="1"/>
  <c r="I2037" i="2"/>
  <c r="J2037" i="2" s="1"/>
  <c r="I2038" i="2"/>
  <c r="J2038" i="2" s="1"/>
  <c r="I2039" i="2"/>
  <c r="J2039" i="2" s="1"/>
  <c r="I2040" i="2"/>
  <c r="J2040" i="2" s="1"/>
  <c r="I2041" i="2"/>
  <c r="J2041" i="2" s="1"/>
  <c r="I2042" i="2"/>
  <c r="J2042" i="2" s="1"/>
  <c r="I2043" i="2"/>
  <c r="J2043" i="2" s="1"/>
  <c r="I2044" i="2"/>
  <c r="J2044" i="2" s="1"/>
  <c r="I2045" i="2"/>
  <c r="J2045" i="2" s="1"/>
  <c r="I2046" i="2"/>
  <c r="J2046" i="2" s="1"/>
  <c r="I2047" i="2"/>
  <c r="J2047" i="2" s="1"/>
  <c r="I2048" i="2"/>
  <c r="J2048" i="2" s="1"/>
  <c r="I2049" i="2"/>
  <c r="J2049" i="2" s="1"/>
  <c r="I2050" i="2"/>
  <c r="J2050" i="2" s="1"/>
  <c r="I2051" i="2"/>
  <c r="J2051" i="2" s="1"/>
  <c r="I2052" i="2"/>
  <c r="J2052" i="2" s="1"/>
  <c r="I2053" i="2"/>
  <c r="J2053" i="2" s="1"/>
  <c r="I2054" i="2"/>
  <c r="J2054" i="2" s="1"/>
  <c r="I2055" i="2"/>
  <c r="J2055" i="2" s="1"/>
  <c r="I2056" i="2"/>
  <c r="J2056" i="2" s="1"/>
  <c r="I2057" i="2"/>
  <c r="J2057" i="2" s="1"/>
  <c r="I2058" i="2"/>
  <c r="J2058" i="2" s="1"/>
  <c r="I2059" i="2"/>
  <c r="J2059" i="2" s="1"/>
  <c r="I2060" i="2"/>
  <c r="J2060" i="2" s="1"/>
  <c r="I2061" i="2"/>
  <c r="J2061" i="2" s="1"/>
  <c r="I2062" i="2"/>
  <c r="J2062" i="2" s="1"/>
  <c r="I2063" i="2"/>
  <c r="J2063" i="2" s="1"/>
  <c r="I2064" i="2"/>
  <c r="J2064" i="2" s="1"/>
  <c r="I2065" i="2"/>
  <c r="J2065" i="2" s="1"/>
  <c r="I2066" i="2"/>
  <c r="J2066" i="2" s="1"/>
  <c r="I2067" i="2"/>
  <c r="J2067" i="2" s="1"/>
  <c r="I2068" i="2"/>
  <c r="J2068" i="2" s="1"/>
  <c r="I2069" i="2"/>
  <c r="J2069" i="2" s="1"/>
  <c r="I2070" i="2"/>
  <c r="J2070" i="2" s="1"/>
  <c r="I2071" i="2"/>
  <c r="J2071" i="2" s="1"/>
  <c r="I2072" i="2"/>
  <c r="J2072" i="2" s="1"/>
  <c r="I2073" i="2"/>
  <c r="J2073" i="2" s="1"/>
  <c r="I2074" i="2"/>
  <c r="J2074" i="2" s="1"/>
  <c r="I2075" i="2"/>
  <c r="J2075" i="2" s="1"/>
  <c r="I2076" i="2"/>
  <c r="J2076" i="2" s="1"/>
  <c r="I2077" i="2"/>
  <c r="J2077" i="2" s="1"/>
  <c r="I2078" i="2"/>
  <c r="J2078" i="2" s="1"/>
  <c r="I2079" i="2"/>
  <c r="J2079" i="2" s="1"/>
  <c r="I2080" i="2"/>
  <c r="J2080" i="2" s="1"/>
  <c r="I2081" i="2"/>
  <c r="J2081" i="2" s="1"/>
  <c r="I2082" i="2"/>
  <c r="J2082" i="2" s="1"/>
  <c r="I2083" i="2"/>
  <c r="J2083" i="2" s="1"/>
  <c r="I2084" i="2"/>
  <c r="J2084" i="2" s="1"/>
  <c r="I2085" i="2"/>
  <c r="J2085" i="2" s="1"/>
  <c r="I2086" i="2"/>
  <c r="J2086" i="2" s="1"/>
  <c r="I2087" i="2"/>
  <c r="J2087" i="2" s="1"/>
  <c r="I2088" i="2"/>
  <c r="J2088" i="2" s="1"/>
  <c r="I2089" i="2"/>
  <c r="J2089" i="2" s="1"/>
  <c r="I2090" i="2"/>
  <c r="J2090" i="2" s="1"/>
  <c r="I2091" i="2"/>
  <c r="J2091" i="2" s="1"/>
  <c r="I2092" i="2"/>
  <c r="J2092" i="2" s="1"/>
  <c r="I2093" i="2"/>
  <c r="J2093" i="2" s="1"/>
  <c r="I2094" i="2"/>
  <c r="J2094" i="2" s="1"/>
  <c r="I2095" i="2"/>
  <c r="J2095" i="2" s="1"/>
  <c r="I2096" i="2"/>
  <c r="J2096" i="2" s="1"/>
  <c r="I2097" i="2"/>
  <c r="J2097" i="2" s="1"/>
  <c r="I2098" i="2"/>
  <c r="J2098" i="2" s="1"/>
  <c r="I2099" i="2"/>
  <c r="J2099" i="2" s="1"/>
  <c r="I2100" i="2"/>
  <c r="J2100" i="2" s="1"/>
  <c r="I2101" i="2"/>
  <c r="J2101" i="2" s="1"/>
  <c r="I2102" i="2"/>
  <c r="J2102" i="2" s="1"/>
  <c r="I2103" i="2"/>
  <c r="J2103" i="2" s="1"/>
  <c r="I2104" i="2"/>
  <c r="J2104" i="2" s="1"/>
  <c r="I2105" i="2"/>
  <c r="J2105" i="2" s="1"/>
  <c r="I2106" i="2"/>
  <c r="J2106" i="2" s="1"/>
  <c r="I2107" i="2"/>
  <c r="J2107" i="2" s="1"/>
  <c r="I2108" i="2"/>
  <c r="J2108" i="2" s="1"/>
  <c r="I2109" i="2"/>
  <c r="J2109" i="2" s="1"/>
  <c r="I2110" i="2"/>
  <c r="J2110" i="2" s="1"/>
  <c r="I2111" i="2"/>
  <c r="J2111" i="2" s="1"/>
  <c r="I2112" i="2"/>
  <c r="J2112" i="2" s="1"/>
  <c r="I2113" i="2"/>
  <c r="J2113" i="2" s="1"/>
  <c r="I2114" i="2"/>
  <c r="J2114" i="2" s="1"/>
  <c r="I2115" i="2"/>
  <c r="J2115" i="2" s="1"/>
  <c r="I2116" i="2"/>
  <c r="J2116" i="2" s="1"/>
  <c r="I2117" i="2"/>
  <c r="J2117" i="2" s="1"/>
  <c r="I2118" i="2"/>
  <c r="J2118" i="2" s="1"/>
  <c r="I2119" i="2"/>
  <c r="J2119" i="2" s="1"/>
  <c r="I2120" i="2"/>
  <c r="J2120" i="2" s="1"/>
  <c r="I2121" i="2"/>
  <c r="J2121" i="2" s="1"/>
  <c r="I2122" i="2"/>
  <c r="J2122" i="2" s="1"/>
  <c r="I2123" i="2"/>
  <c r="J2123" i="2" s="1"/>
  <c r="I2124" i="2"/>
  <c r="J2124" i="2" s="1"/>
  <c r="I2125" i="2"/>
  <c r="J2125" i="2" s="1"/>
  <c r="I2126" i="2"/>
  <c r="J2126" i="2" s="1"/>
  <c r="I2127" i="2"/>
  <c r="J2127" i="2" s="1"/>
  <c r="I2128" i="2"/>
  <c r="J2128" i="2" s="1"/>
  <c r="I2129" i="2"/>
  <c r="J2129" i="2" s="1"/>
  <c r="I2130" i="2"/>
  <c r="J2130" i="2" s="1"/>
  <c r="I2131" i="2"/>
  <c r="J2131" i="2" s="1"/>
  <c r="I2132" i="2"/>
  <c r="J2132" i="2" s="1"/>
  <c r="I2133" i="2"/>
  <c r="J2133" i="2" s="1"/>
  <c r="I2134" i="2"/>
  <c r="J2134" i="2" s="1"/>
  <c r="I2135" i="2"/>
  <c r="J2135" i="2" s="1"/>
  <c r="I2136" i="2"/>
  <c r="J2136" i="2" s="1"/>
  <c r="I2137" i="2"/>
  <c r="J2137" i="2" s="1"/>
  <c r="I2138" i="2"/>
  <c r="J2138" i="2" s="1"/>
  <c r="I2139" i="2"/>
  <c r="J2139" i="2" s="1"/>
  <c r="I2140" i="2"/>
  <c r="J2140" i="2" s="1"/>
  <c r="I2141" i="2"/>
  <c r="J2141" i="2" s="1"/>
  <c r="I2142" i="2"/>
  <c r="J2142" i="2" s="1"/>
  <c r="I2143" i="2"/>
  <c r="J2143" i="2" s="1"/>
  <c r="I2144" i="2"/>
  <c r="J2144" i="2" s="1"/>
  <c r="I2145" i="2"/>
  <c r="J2145" i="2" s="1"/>
  <c r="I2146" i="2"/>
  <c r="J2146" i="2" s="1"/>
  <c r="I2147" i="2"/>
  <c r="J2147" i="2" s="1"/>
  <c r="I2148" i="2"/>
  <c r="J2148" i="2" s="1"/>
  <c r="I2149" i="2"/>
  <c r="J2149" i="2" s="1"/>
  <c r="I2150" i="2"/>
  <c r="J2150" i="2" s="1"/>
  <c r="I2151" i="2"/>
  <c r="J2151" i="2" s="1"/>
  <c r="I2152" i="2"/>
  <c r="J2152" i="2" s="1"/>
  <c r="I2153" i="2"/>
  <c r="J2153" i="2" s="1"/>
  <c r="I2154" i="2"/>
  <c r="J2154" i="2" s="1"/>
  <c r="I2155" i="2"/>
  <c r="J2155" i="2" s="1"/>
  <c r="I2156" i="2"/>
  <c r="J2156" i="2" s="1"/>
  <c r="I2157" i="2"/>
  <c r="J2157" i="2" s="1"/>
  <c r="I2158" i="2"/>
  <c r="J2158" i="2" s="1"/>
  <c r="I2159" i="2"/>
  <c r="J2159" i="2" s="1"/>
  <c r="I2160" i="2"/>
  <c r="J2160" i="2" s="1"/>
  <c r="I2161" i="2"/>
  <c r="J2161" i="2" s="1"/>
  <c r="I2162" i="2"/>
  <c r="J2162" i="2" s="1"/>
  <c r="I2163" i="2"/>
  <c r="J2163" i="2" s="1"/>
  <c r="I2164" i="2"/>
  <c r="J2164" i="2" s="1"/>
  <c r="I2165" i="2"/>
  <c r="J2165" i="2" s="1"/>
  <c r="I2166" i="2"/>
  <c r="J2166" i="2" s="1"/>
  <c r="I2167" i="2"/>
  <c r="J2167" i="2" s="1"/>
  <c r="I2168" i="2"/>
  <c r="J2168" i="2" s="1"/>
  <c r="I2169" i="2"/>
  <c r="J2169" i="2" s="1"/>
  <c r="I2170" i="2"/>
  <c r="J2170" i="2" s="1"/>
  <c r="I2171" i="2"/>
  <c r="J2171" i="2" s="1"/>
  <c r="I2172" i="2"/>
  <c r="J2172" i="2" s="1"/>
  <c r="I2173" i="2"/>
  <c r="J2173" i="2" s="1"/>
  <c r="I2174" i="2"/>
  <c r="J2174" i="2" s="1"/>
  <c r="I2175" i="2"/>
  <c r="J2175" i="2" s="1"/>
  <c r="I2176" i="2"/>
  <c r="J2176" i="2" s="1"/>
  <c r="I2177" i="2"/>
  <c r="J2177" i="2" s="1"/>
  <c r="I2178" i="2"/>
  <c r="J2178" i="2" s="1"/>
  <c r="I2179" i="2"/>
  <c r="J2179" i="2" s="1"/>
  <c r="I2180" i="2"/>
  <c r="J2180" i="2" s="1"/>
  <c r="I2181" i="2"/>
  <c r="J2181" i="2" s="1"/>
  <c r="I2182" i="2"/>
  <c r="J2182" i="2" s="1"/>
  <c r="I2183" i="2"/>
  <c r="J2183" i="2" s="1"/>
  <c r="I2184" i="2"/>
  <c r="J2184" i="2" s="1"/>
  <c r="I2185" i="2"/>
  <c r="J2185" i="2" s="1"/>
  <c r="I2186" i="2"/>
  <c r="J2186" i="2" s="1"/>
  <c r="I2187" i="2"/>
  <c r="J2187" i="2" s="1"/>
  <c r="I2188" i="2"/>
  <c r="J2188" i="2" s="1"/>
  <c r="I2189" i="2"/>
  <c r="J2189" i="2" s="1"/>
  <c r="I2190" i="2"/>
  <c r="J2190" i="2" s="1"/>
  <c r="I2191" i="2"/>
  <c r="J2191" i="2" s="1"/>
  <c r="I2192" i="2"/>
  <c r="J2192" i="2" s="1"/>
  <c r="I2193" i="2"/>
  <c r="J2193" i="2" s="1"/>
  <c r="I2194" i="2"/>
  <c r="J2194" i="2" s="1"/>
  <c r="I2195" i="2"/>
  <c r="J2195" i="2" s="1"/>
  <c r="I2196" i="2"/>
  <c r="J2196" i="2" s="1"/>
  <c r="I2197" i="2"/>
  <c r="J2197" i="2" s="1"/>
  <c r="I2198" i="2"/>
  <c r="J2198" i="2" s="1"/>
  <c r="I2199" i="2"/>
  <c r="J2199" i="2" s="1"/>
  <c r="I2200" i="2"/>
  <c r="J2200" i="2" s="1"/>
  <c r="I2201" i="2"/>
  <c r="J2201" i="2" s="1"/>
  <c r="I2202" i="2"/>
  <c r="J2202" i="2" s="1"/>
  <c r="I2203" i="2"/>
  <c r="J2203" i="2" s="1"/>
  <c r="I2204" i="2"/>
  <c r="J2204" i="2" s="1"/>
  <c r="I2205" i="2"/>
  <c r="J2205" i="2" s="1"/>
  <c r="I2206" i="2"/>
  <c r="J2206" i="2" s="1"/>
  <c r="I2207" i="2"/>
  <c r="J2207" i="2" s="1"/>
  <c r="I2208" i="2"/>
  <c r="J2208" i="2" s="1"/>
  <c r="I2209" i="2"/>
  <c r="J2209" i="2" s="1"/>
  <c r="I2210" i="2"/>
  <c r="J2210" i="2" s="1"/>
  <c r="I2211" i="2"/>
  <c r="J2211" i="2" s="1"/>
  <c r="I2212" i="2"/>
  <c r="J2212" i="2" s="1"/>
  <c r="I2213" i="2"/>
  <c r="J2213" i="2" s="1"/>
  <c r="I2214" i="2"/>
  <c r="J2214" i="2" s="1"/>
  <c r="I2215" i="2"/>
  <c r="J2215" i="2" s="1"/>
  <c r="I2216" i="2"/>
  <c r="J2216" i="2" s="1"/>
  <c r="I2217" i="2"/>
  <c r="J2217" i="2" s="1"/>
  <c r="I2218" i="2"/>
  <c r="J2218" i="2" s="1"/>
  <c r="I2219" i="2"/>
  <c r="J2219" i="2" s="1"/>
  <c r="I2220" i="2"/>
  <c r="J2220" i="2" s="1"/>
  <c r="I2221" i="2"/>
  <c r="J2221" i="2" s="1"/>
  <c r="I2222" i="2"/>
  <c r="J2222" i="2" s="1"/>
  <c r="I2223" i="2"/>
  <c r="J2223" i="2" s="1"/>
  <c r="I2224" i="2"/>
  <c r="J2224" i="2" s="1"/>
  <c r="I2225" i="2"/>
  <c r="J2225" i="2" s="1"/>
  <c r="I2226" i="2"/>
  <c r="J2226" i="2" s="1"/>
  <c r="I2227" i="2"/>
  <c r="J2227" i="2" s="1"/>
  <c r="I2228" i="2"/>
  <c r="J2228" i="2" s="1"/>
  <c r="I2229" i="2"/>
  <c r="J2229" i="2" s="1"/>
  <c r="I2230" i="2"/>
  <c r="J2230" i="2" s="1"/>
  <c r="I2231" i="2"/>
  <c r="J2231" i="2" s="1"/>
  <c r="I2232" i="2"/>
  <c r="J2232" i="2" s="1"/>
  <c r="I2233" i="2"/>
  <c r="J2233" i="2" s="1"/>
  <c r="I2234" i="2"/>
  <c r="J2234" i="2" s="1"/>
  <c r="I2235" i="2"/>
  <c r="J2235" i="2" s="1"/>
  <c r="I2236" i="2"/>
  <c r="J2236" i="2" s="1"/>
  <c r="I2237" i="2"/>
  <c r="J2237" i="2" s="1"/>
  <c r="I2238" i="2"/>
  <c r="J2238" i="2" s="1"/>
  <c r="I2239" i="2"/>
  <c r="J2239" i="2" s="1"/>
  <c r="I2240" i="2"/>
  <c r="J2240" i="2" s="1"/>
  <c r="I2241" i="2"/>
  <c r="J2241" i="2" s="1"/>
  <c r="I2242" i="2"/>
  <c r="J2242" i="2" s="1"/>
  <c r="I2243" i="2"/>
  <c r="J2243" i="2" s="1"/>
  <c r="I2244" i="2"/>
  <c r="J2244" i="2" s="1"/>
  <c r="I2245" i="2"/>
  <c r="J2245" i="2" s="1"/>
  <c r="I2246" i="2"/>
  <c r="J2246" i="2" s="1"/>
  <c r="I2247" i="2"/>
  <c r="J2247" i="2" s="1"/>
  <c r="I2248" i="2"/>
  <c r="J2248" i="2" s="1"/>
  <c r="I2249" i="2"/>
  <c r="J2249" i="2" s="1"/>
  <c r="I2250" i="2"/>
  <c r="J2250" i="2" s="1"/>
  <c r="I2251" i="2"/>
  <c r="J2251" i="2" s="1"/>
  <c r="I2252" i="2"/>
  <c r="J2252" i="2" s="1"/>
  <c r="I2253" i="2"/>
  <c r="J2253" i="2" s="1"/>
  <c r="I2254" i="2"/>
  <c r="J2254" i="2" s="1"/>
  <c r="I2255" i="2"/>
  <c r="J2255" i="2" s="1"/>
  <c r="I2256" i="2"/>
  <c r="J2256" i="2" s="1"/>
  <c r="I2257" i="2"/>
  <c r="J2257" i="2" s="1"/>
  <c r="I2258" i="2"/>
  <c r="J2258" i="2" s="1"/>
  <c r="I2259" i="2"/>
  <c r="J2259" i="2" s="1"/>
  <c r="I2260" i="2"/>
  <c r="J2260" i="2" s="1"/>
  <c r="I2261" i="2"/>
  <c r="J2261" i="2" s="1"/>
  <c r="I2262" i="2"/>
  <c r="J2262" i="2" s="1"/>
  <c r="I2263" i="2"/>
  <c r="J2263" i="2" s="1"/>
  <c r="I2264" i="2"/>
  <c r="J2264" i="2" s="1"/>
  <c r="I2265" i="2"/>
  <c r="J2265" i="2" s="1"/>
  <c r="I2266" i="2"/>
  <c r="J2266" i="2" s="1"/>
  <c r="I2267" i="2"/>
  <c r="J2267" i="2" s="1"/>
  <c r="I2268" i="2"/>
  <c r="J2268" i="2" s="1"/>
  <c r="I2269" i="2"/>
  <c r="J2269" i="2" s="1"/>
  <c r="I2270" i="2"/>
  <c r="J2270" i="2" s="1"/>
  <c r="I2271" i="2"/>
  <c r="J2271" i="2" s="1"/>
  <c r="I2272" i="2"/>
  <c r="J2272" i="2" s="1"/>
  <c r="I2273" i="2"/>
  <c r="J2273" i="2" s="1"/>
  <c r="I2274" i="2"/>
  <c r="J2274" i="2" s="1"/>
  <c r="I2275" i="2"/>
  <c r="J2275" i="2" s="1"/>
  <c r="I2276" i="2"/>
  <c r="J2276" i="2" s="1"/>
  <c r="I2277" i="2"/>
  <c r="J2277" i="2" s="1"/>
  <c r="I2278" i="2"/>
  <c r="J2278" i="2" s="1"/>
  <c r="I2279" i="2"/>
  <c r="J2279" i="2" s="1"/>
  <c r="I2280" i="2"/>
  <c r="J2280" i="2" s="1"/>
  <c r="I2281" i="2"/>
  <c r="J2281" i="2" s="1"/>
  <c r="I2282" i="2"/>
  <c r="J2282" i="2" s="1"/>
  <c r="I2283" i="2"/>
  <c r="J2283" i="2" s="1"/>
  <c r="I2284" i="2"/>
  <c r="J2284" i="2" s="1"/>
  <c r="I2285" i="2"/>
  <c r="J2285" i="2" s="1"/>
  <c r="I2286" i="2"/>
  <c r="J2286" i="2" s="1"/>
  <c r="I2287" i="2"/>
  <c r="J2287" i="2" s="1"/>
  <c r="I2288" i="2"/>
  <c r="J2288" i="2" s="1"/>
  <c r="I2289" i="2"/>
  <c r="J2289" i="2" s="1"/>
  <c r="I2290" i="2"/>
  <c r="J2290" i="2" s="1"/>
  <c r="I2291" i="2"/>
  <c r="J2291" i="2" s="1"/>
  <c r="I2292" i="2"/>
  <c r="J2292" i="2" s="1"/>
  <c r="I2293" i="2"/>
  <c r="J2293" i="2" s="1"/>
  <c r="I2294" i="2"/>
  <c r="J2294" i="2" s="1"/>
  <c r="I2295" i="2"/>
  <c r="J2295" i="2" s="1"/>
  <c r="I2296" i="2"/>
  <c r="J2296" i="2" s="1"/>
  <c r="I2297" i="2"/>
  <c r="J2297" i="2" s="1"/>
  <c r="I2298" i="2"/>
  <c r="J2298" i="2" s="1"/>
  <c r="I2299" i="2"/>
  <c r="J2299" i="2" s="1"/>
  <c r="I2300" i="2"/>
  <c r="J2300" i="2" s="1"/>
  <c r="I2301" i="2"/>
  <c r="J2301" i="2" s="1"/>
  <c r="I2302" i="2"/>
  <c r="J2302" i="2" s="1"/>
  <c r="I2303" i="2"/>
  <c r="J2303" i="2" s="1"/>
  <c r="I2304" i="2"/>
  <c r="J2304" i="2" s="1"/>
  <c r="I2305" i="2"/>
  <c r="J2305" i="2" s="1"/>
  <c r="I2306" i="2"/>
  <c r="J2306" i="2" s="1"/>
  <c r="I2307" i="2"/>
  <c r="J2307" i="2" s="1"/>
  <c r="I2308" i="2"/>
  <c r="J2308" i="2" s="1"/>
  <c r="I2309" i="2"/>
  <c r="J2309" i="2" s="1"/>
  <c r="I2310" i="2"/>
  <c r="J2310" i="2" s="1"/>
  <c r="I2311" i="2"/>
  <c r="J2311" i="2" s="1"/>
  <c r="I2312" i="2"/>
  <c r="J2312" i="2" s="1"/>
  <c r="I2313" i="2"/>
  <c r="J2313" i="2" s="1"/>
  <c r="I2314" i="2"/>
  <c r="J2314" i="2" s="1"/>
  <c r="I2315" i="2"/>
  <c r="J2315" i="2" s="1"/>
  <c r="I2316" i="2"/>
  <c r="J2316" i="2" s="1"/>
  <c r="I2317" i="2"/>
  <c r="J2317" i="2" s="1"/>
  <c r="I2318" i="2"/>
  <c r="J2318" i="2" s="1"/>
  <c r="I2319" i="2"/>
  <c r="J2319" i="2" s="1"/>
  <c r="I2320" i="2"/>
  <c r="J2320" i="2" s="1"/>
  <c r="I2321" i="2"/>
  <c r="J2321" i="2" s="1"/>
  <c r="I2322" i="2"/>
  <c r="J2322" i="2" s="1"/>
  <c r="I2323" i="2"/>
  <c r="J2323" i="2" s="1"/>
  <c r="I2324" i="2"/>
  <c r="J2324" i="2" s="1"/>
  <c r="I2325" i="2"/>
  <c r="J2325" i="2" s="1"/>
  <c r="I2326" i="2"/>
  <c r="J2326" i="2" s="1"/>
  <c r="I2327" i="2"/>
  <c r="J2327" i="2" s="1"/>
  <c r="I2328" i="2"/>
  <c r="J2328" i="2" s="1"/>
  <c r="I2329" i="2"/>
  <c r="J2329" i="2" s="1"/>
  <c r="I2330" i="2"/>
  <c r="J2330" i="2" s="1"/>
  <c r="I2331" i="2"/>
  <c r="J2331" i="2" s="1"/>
  <c r="I2332" i="2"/>
  <c r="J2332" i="2" s="1"/>
  <c r="I2333" i="2"/>
  <c r="J2333" i="2" s="1"/>
  <c r="I2334" i="2"/>
  <c r="J2334" i="2" s="1"/>
  <c r="I2335" i="2"/>
  <c r="J2335" i="2" s="1"/>
  <c r="I2336" i="2"/>
  <c r="J2336" i="2" s="1"/>
  <c r="I2337" i="2"/>
  <c r="J2337" i="2" s="1"/>
  <c r="I2338" i="2"/>
  <c r="J2338" i="2" s="1"/>
  <c r="I2339" i="2"/>
  <c r="J2339" i="2" s="1"/>
  <c r="I2340" i="2"/>
  <c r="J2340" i="2" s="1"/>
  <c r="I2341" i="2"/>
  <c r="J2341" i="2" s="1"/>
  <c r="I2342" i="2"/>
  <c r="J2342" i="2" s="1"/>
  <c r="I2343" i="2"/>
  <c r="J2343" i="2" s="1"/>
  <c r="I2344" i="2"/>
  <c r="J2344" i="2" s="1"/>
  <c r="I2345" i="2"/>
  <c r="J2345" i="2" s="1"/>
  <c r="I2346" i="2"/>
  <c r="J2346" i="2" s="1"/>
  <c r="I2347" i="2"/>
  <c r="J2347" i="2" s="1"/>
  <c r="I2348" i="2"/>
  <c r="J2348" i="2" s="1"/>
  <c r="I2349" i="2"/>
  <c r="J2349" i="2" s="1"/>
  <c r="I2350" i="2"/>
  <c r="J2350" i="2" s="1"/>
  <c r="I2351" i="2"/>
  <c r="J2351" i="2" s="1"/>
  <c r="I2352" i="2"/>
  <c r="J2352" i="2" s="1"/>
  <c r="I2353" i="2"/>
  <c r="J2353" i="2" s="1"/>
  <c r="I2354" i="2"/>
  <c r="J2354" i="2" s="1"/>
  <c r="I2355" i="2"/>
  <c r="J2355" i="2" s="1"/>
  <c r="I2356" i="2"/>
  <c r="J2356" i="2" s="1"/>
  <c r="I2357" i="2"/>
  <c r="J2357" i="2" s="1"/>
  <c r="I2358" i="2"/>
  <c r="J2358" i="2" s="1"/>
  <c r="I2359" i="2"/>
  <c r="J2359" i="2" s="1"/>
  <c r="I2360" i="2"/>
  <c r="J2360" i="2" s="1"/>
  <c r="I2361" i="2"/>
  <c r="J2361" i="2" s="1"/>
  <c r="I2362" i="2"/>
  <c r="J2362" i="2" s="1"/>
  <c r="I2363" i="2"/>
  <c r="J2363" i="2" s="1"/>
  <c r="I2364" i="2"/>
  <c r="J2364" i="2" s="1"/>
  <c r="I2365" i="2"/>
  <c r="J2365" i="2" s="1"/>
  <c r="I2366" i="2"/>
  <c r="J2366" i="2" s="1"/>
  <c r="I2367" i="2"/>
  <c r="J2367" i="2" s="1"/>
  <c r="I2368" i="2"/>
  <c r="J2368" i="2" s="1"/>
  <c r="I2369" i="2"/>
  <c r="J2369" i="2" s="1"/>
  <c r="I2370" i="2"/>
  <c r="J2370" i="2" s="1"/>
  <c r="I2371" i="2"/>
  <c r="J2371" i="2" s="1"/>
  <c r="I2372" i="2"/>
  <c r="J2372" i="2" s="1"/>
  <c r="I2373" i="2"/>
  <c r="J2373" i="2" s="1"/>
  <c r="I2374" i="2"/>
  <c r="J2374" i="2" s="1"/>
  <c r="I2375" i="2"/>
  <c r="J2375" i="2" s="1"/>
  <c r="I2376" i="2"/>
  <c r="J2376" i="2" s="1"/>
  <c r="I2377" i="2"/>
  <c r="J2377" i="2" s="1"/>
  <c r="I2378" i="2"/>
  <c r="J2378" i="2" s="1"/>
  <c r="I2379" i="2"/>
  <c r="J2379" i="2" s="1"/>
  <c r="I2380" i="2"/>
  <c r="J2380" i="2" s="1"/>
  <c r="I2381" i="2"/>
  <c r="J2381" i="2" s="1"/>
  <c r="I2382" i="2"/>
  <c r="J2382" i="2" s="1"/>
  <c r="I2383" i="2"/>
  <c r="J2383" i="2" s="1"/>
  <c r="I2384" i="2"/>
  <c r="J2384" i="2" s="1"/>
  <c r="I2385" i="2"/>
  <c r="J2385" i="2" s="1"/>
  <c r="I2386" i="2"/>
  <c r="J2386" i="2" s="1"/>
  <c r="I2387" i="2"/>
  <c r="J2387" i="2" s="1"/>
  <c r="I2388" i="2"/>
  <c r="J2388" i="2" s="1"/>
  <c r="I2389" i="2"/>
  <c r="J2389" i="2" s="1"/>
  <c r="I2390" i="2"/>
  <c r="J2390" i="2" s="1"/>
  <c r="I2391" i="2"/>
  <c r="J2391" i="2" s="1"/>
  <c r="I2392" i="2"/>
  <c r="J2392" i="2" s="1"/>
  <c r="I2393" i="2"/>
  <c r="J2393" i="2" s="1"/>
  <c r="I2394" i="2"/>
  <c r="J2394" i="2" s="1"/>
  <c r="I2395" i="2"/>
  <c r="J2395" i="2" s="1"/>
  <c r="I2396" i="2"/>
  <c r="J2396" i="2" s="1"/>
  <c r="I2397" i="2"/>
  <c r="J2397" i="2" s="1"/>
  <c r="I2398" i="2"/>
  <c r="J2398" i="2" s="1"/>
  <c r="I2399" i="2"/>
  <c r="J2399" i="2" s="1"/>
  <c r="I2400" i="2"/>
  <c r="J2400" i="2" s="1"/>
  <c r="I2401" i="2"/>
  <c r="J2401" i="2" s="1"/>
  <c r="I2402" i="2"/>
  <c r="J2402" i="2" s="1"/>
  <c r="I2403" i="2"/>
  <c r="J2403" i="2" s="1"/>
  <c r="I2404" i="2"/>
  <c r="J2404" i="2" s="1"/>
  <c r="I2405" i="2"/>
  <c r="J2405" i="2" s="1"/>
  <c r="I2406" i="2"/>
  <c r="J2406" i="2" s="1"/>
  <c r="I2407" i="2"/>
  <c r="J2407" i="2" s="1"/>
  <c r="I2408" i="2"/>
  <c r="J2408" i="2" s="1"/>
  <c r="I2409" i="2"/>
  <c r="J2409" i="2" s="1"/>
  <c r="I2410" i="2"/>
  <c r="J2410" i="2" s="1"/>
  <c r="I2411" i="2"/>
  <c r="J2411" i="2" s="1"/>
  <c r="I2412" i="2"/>
  <c r="J2412" i="2" s="1"/>
  <c r="I2413" i="2"/>
  <c r="J2413" i="2" s="1"/>
  <c r="I2414" i="2"/>
  <c r="J2414" i="2" s="1"/>
  <c r="I2415" i="2"/>
  <c r="J2415" i="2" s="1"/>
  <c r="I2416" i="2"/>
  <c r="J2416" i="2" s="1"/>
  <c r="I2417" i="2"/>
  <c r="J2417" i="2" s="1"/>
  <c r="I2418" i="2"/>
  <c r="J2418" i="2" s="1"/>
  <c r="I2419" i="2"/>
  <c r="J2419" i="2" s="1"/>
  <c r="I2420" i="2"/>
  <c r="J2420" i="2" s="1"/>
  <c r="I2421" i="2"/>
  <c r="J2421" i="2" s="1"/>
  <c r="I2422" i="2"/>
  <c r="J2422" i="2" s="1"/>
  <c r="I2423" i="2"/>
  <c r="J2423" i="2" s="1"/>
  <c r="I2424" i="2"/>
  <c r="J2424" i="2" s="1"/>
  <c r="I2425" i="2"/>
  <c r="J2425" i="2" s="1"/>
  <c r="I2426" i="2"/>
  <c r="J2426" i="2" s="1"/>
  <c r="I2427" i="2"/>
  <c r="J2427" i="2" s="1"/>
  <c r="I2428" i="2"/>
  <c r="J2428" i="2" s="1"/>
  <c r="I2429" i="2"/>
  <c r="J2429" i="2" s="1"/>
  <c r="I2430" i="2"/>
  <c r="J2430" i="2" s="1"/>
  <c r="I2431" i="2"/>
  <c r="J2431" i="2" s="1"/>
  <c r="I2432" i="2"/>
  <c r="J2432" i="2" s="1"/>
  <c r="I2433" i="2"/>
  <c r="J2433" i="2" s="1"/>
  <c r="I2434" i="2"/>
  <c r="J2434" i="2" s="1"/>
  <c r="I2435" i="2"/>
  <c r="J2435" i="2" s="1"/>
  <c r="I2436" i="2"/>
  <c r="J2436" i="2" s="1"/>
  <c r="I2437" i="2"/>
  <c r="J2437" i="2" s="1"/>
  <c r="I2438" i="2"/>
  <c r="J2438" i="2" s="1"/>
  <c r="I2439" i="2"/>
  <c r="J2439" i="2" s="1"/>
  <c r="I2440" i="2"/>
  <c r="J2440" i="2" s="1"/>
  <c r="I2441" i="2"/>
  <c r="J2441" i="2" s="1"/>
  <c r="I2442" i="2"/>
  <c r="J2442" i="2" s="1"/>
  <c r="I2443" i="2"/>
  <c r="J2443" i="2" s="1"/>
  <c r="I2444" i="2"/>
  <c r="J2444" i="2" s="1"/>
  <c r="I2445" i="2"/>
  <c r="J2445" i="2" s="1"/>
  <c r="I2446" i="2"/>
  <c r="J2446" i="2" s="1"/>
  <c r="I2447" i="2"/>
  <c r="J2447" i="2" s="1"/>
  <c r="I2448" i="2"/>
  <c r="J2448" i="2" s="1"/>
  <c r="I2449" i="2"/>
  <c r="J2449" i="2" s="1"/>
  <c r="I2450" i="2"/>
  <c r="J2450" i="2" s="1"/>
  <c r="I2451" i="2"/>
  <c r="J2451" i="2" s="1"/>
  <c r="I2452" i="2"/>
  <c r="J2452" i="2" s="1"/>
  <c r="I2453" i="2"/>
  <c r="J2453" i="2" s="1"/>
  <c r="I2454" i="2"/>
  <c r="J2454" i="2" s="1"/>
  <c r="I2455" i="2"/>
  <c r="J2455" i="2" s="1"/>
  <c r="I2456" i="2"/>
  <c r="J2456" i="2" s="1"/>
  <c r="I2457" i="2"/>
  <c r="J2457" i="2" s="1"/>
  <c r="I2458" i="2"/>
  <c r="J2458" i="2" s="1"/>
  <c r="I2459" i="2"/>
  <c r="J2459" i="2" s="1"/>
  <c r="I2460" i="2"/>
  <c r="J2460" i="2" s="1"/>
  <c r="I2461" i="2"/>
  <c r="J2461" i="2" s="1"/>
  <c r="I2462" i="2"/>
  <c r="J2462" i="2" s="1"/>
  <c r="I2463" i="2"/>
  <c r="J2463" i="2" s="1"/>
  <c r="I2464" i="2"/>
  <c r="J2464" i="2" s="1"/>
  <c r="I2465" i="2"/>
  <c r="J2465" i="2" s="1"/>
  <c r="I2466" i="2"/>
  <c r="J2466" i="2" s="1"/>
  <c r="I2467" i="2"/>
  <c r="J2467" i="2" s="1"/>
  <c r="I2468" i="2"/>
  <c r="J2468" i="2" s="1"/>
  <c r="I2469" i="2"/>
  <c r="J2469" i="2" s="1"/>
  <c r="I2470" i="2"/>
  <c r="J2470" i="2" s="1"/>
  <c r="I2471" i="2"/>
  <c r="J2471" i="2" s="1"/>
  <c r="I2472" i="2"/>
  <c r="J2472" i="2" s="1"/>
  <c r="I2473" i="2"/>
  <c r="J2473" i="2" s="1"/>
  <c r="I2474" i="2"/>
  <c r="J2474" i="2" s="1"/>
  <c r="I2475" i="2"/>
  <c r="J2475" i="2" s="1"/>
  <c r="I2476" i="2"/>
  <c r="J2476" i="2" s="1"/>
  <c r="I2477" i="2"/>
  <c r="J2477" i="2" s="1"/>
  <c r="I2478" i="2"/>
  <c r="J2478" i="2" s="1"/>
  <c r="I2479" i="2"/>
  <c r="J2479" i="2" s="1"/>
  <c r="I2480" i="2"/>
  <c r="J2480" i="2" s="1"/>
  <c r="I2481" i="2"/>
  <c r="J2481" i="2" s="1"/>
  <c r="I2482" i="2"/>
  <c r="J2482" i="2" s="1"/>
  <c r="I2483" i="2"/>
  <c r="J2483" i="2" s="1"/>
  <c r="I2484" i="2"/>
  <c r="J2484" i="2" s="1"/>
  <c r="I2485" i="2"/>
  <c r="J2485" i="2" s="1"/>
  <c r="I2486" i="2"/>
  <c r="J2486" i="2" s="1"/>
  <c r="I2487" i="2"/>
  <c r="J2487" i="2" s="1"/>
  <c r="I2488" i="2"/>
  <c r="J2488" i="2" s="1"/>
  <c r="I2489" i="2"/>
  <c r="J2489" i="2" s="1"/>
  <c r="I2490" i="2"/>
  <c r="J2490" i="2" s="1"/>
  <c r="I2491" i="2"/>
  <c r="J2491" i="2" s="1"/>
  <c r="I2492" i="2"/>
  <c r="J2492" i="2" s="1"/>
  <c r="I2493" i="2"/>
  <c r="J2493" i="2" s="1"/>
  <c r="I2494" i="2"/>
  <c r="J2494" i="2" s="1"/>
  <c r="I2495" i="2"/>
  <c r="J2495" i="2" s="1"/>
  <c r="I2496" i="2"/>
  <c r="J2496" i="2" s="1"/>
  <c r="I2497" i="2"/>
  <c r="J2497" i="2" s="1"/>
  <c r="I2498" i="2"/>
  <c r="J2498" i="2" s="1"/>
  <c r="I2499" i="2"/>
  <c r="J2499" i="2" s="1"/>
  <c r="I2500" i="2"/>
  <c r="J2500" i="2" s="1"/>
  <c r="I2501" i="2"/>
  <c r="J2501" i="2" s="1"/>
  <c r="I2502" i="2"/>
  <c r="J2502" i="2" s="1"/>
  <c r="I2503" i="2"/>
  <c r="J2503" i="2" s="1"/>
  <c r="I2504" i="2"/>
  <c r="J2504" i="2" s="1"/>
  <c r="I2505" i="2"/>
  <c r="J2505" i="2" s="1"/>
  <c r="I2506" i="2"/>
  <c r="J2506" i="2" s="1"/>
  <c r="I2507" i="2"/>
  <c r="J2507" i="2" s="1"/>
  <c r="I2508" i="2"/>
  <c r="J2508" i="2" s="1"/>
  <c r="I2509" i="2"/>
  <c r="J2509" i="2" s="1"/>
  <c r="I2510" i="2"/>
  <c r="J2510" i="2" s="1"/>
  <c r="I2511" i="2"/>
  <c r="J2511" i="2" s="1"/>
  <c r="I2512" i="2"/>
  <c r="J2512" i="2" s="1"/>
  <c r="I2513" i="2"/>
  <c r="J2513" i="2" s="1"/>
  <c r="I2514" i="2"/>
  <c r="J2514" i="2" s="1"/>
  <c r="I2515" i="2"/>
  <c r="J2515" i="2" s="1"/>
  <c r="I2516" i="2"/>
  <c r="J2516" i="2" s="1"/>
  <c r="I2517" i="2"/>
  <c r="J2517" i="2" s="1"/>
  <c r="I2518" i="2"/>
  <c r="J2518" i="2" s="1"/>
  <c r="I2519" i="2"/>
  <c r="J2519" i="2" s="1"/>
  <c r="I2520" i="2"/>
  <c r="J2520" i="2" s="1"/>
  <c r="I2521" i="2"/>
  <c r="J2521" i="2" s="1"/>
  <c r="I2522" i="2"/>
  <c r="J2522" i="2" s="1"/>
  <c r="I2523" i="2"/>
  <c r="J2523" i="2" s="1"/>
  <c r="I2524" i="2"/>
  <c r="J2524" i="2" s="1"/>
  <c r="I2525" i="2"/>
  <c r="J2525" i="2" s="1"/>
  <c r="I2526" i="2"/>
  <c r="J2526" i="2" s="1"/>
  <c r="I2527" i="2"/>
  <c r="J2527" i="2" s="1"/>
  <c r="I2528" i="2"/>
  <c r="J2528" i="2" s="1"/>
  <c r="I2529" i="2"/>
  <c r="J2529" i="2" s="1"/>
  <c r="I2530" i="2"/>
  <c r="J2530" i="2" s="1"/>
  <c r="I2531" i="2"/>
  <c r="J2531" i="2" s="1"/>
  <c r="I2532" i="2"/>
  <c r="J2532" i="2" s="1"/>
  <c r="I2533" i="2"/>
  <c r="J2533" i="2" s="1"/>
  <c r="I2534" i="2"/>
  <c r="J2534" i="2" s="1"/>
  <c r="I2535" i="2"/>
  <c r="J2535" i="2" s="1"/>
  <c r="I2536" i="2"/>
  <c r="J2536" i="2" s="1"/>
  <c r="I2537" i="2"/>
  <c r="J2537" i="2" s="1"/>
  <c r="I2538" i="2"/>
  <c r="J2538" i="2" s="1"/>
  <c r="I2539" i="2"/>
  <c r="J2539" i="2" s="1"/>
  <c r="I2540" i="2"/>
  <c r="J2540" i="2" s="1"/>
  <c r="I2541" i="2"/>
  <c r="J2541" i="2" s="1"/>
  <c r="I2542" i="2"/>
  <c r="J2542" i="2" s="1"/>
  <c r="I2543" i="2"/>
  <c r="J2543" i="2" s="1"/>
  <c r="I2544" i="2"/>
  <c r="J2544" i="2" s="1"/>
  <c r="I2545" i="2"/>
  <c r="J2545" i="2" s="1"/>
  <c r="I2546" i="2"/>
  <c r="J2546" i="2" s="1"/>
  <c r="I2547" i="2"/>
  <c r="J2547" i="2" s="1"/>
  <c r="I2548" i="2"/>
  <c r="J2548" i="2" s="1"/>
  <c r="I2549" i="2"/>
  <c r="J2549" i="2" s="1"/>
  <c r="I2550" i="2"/>
  <c r="J2550" i="2" s="1"/>
  <c r="I2551" i="2"/>
  <c r="J2551" i="2" s="1"/>
  <c r="I2552" i="2"/>
  <c r="J2552" i="2" s="1"/>
  <c r="I2553" i="2"/>
  <c r="J2553" i="2" s="1"/>
  <c r="I2554" i="2"/>
  <c r="J2554" i="2" s="1"/>
  <c r="I2555" i="2"/>
  <c r="J2555" i="2" s="1"/>
  <c r="I2556" i="2"/>
  <c r="J2556" i="2" s="1"/>
  <c r="I2557" i="2"/>
  <c r="J2557" i="2" s="1"/>
  <c r="I2558" i="2"/>
  <c r="J2558" i="2" s="1"/>
  <c r="I2559" i="2"/>
  <c r="J2559" i="2" s="1"/>
  <c r="I2560" i="2"/>
  <c r="J2560" i="2" s="1"/>
  <c r="I2561" i="2"/>
  <c r="J2561" i="2" s="1"/>
  <c r="I2562" i="2"/>
  <c r="J2562" i="2" s="1"/>
  <c r="I2563" i="2"/>
  <c r="J2563" i="2" s="1"/>
  <c r="I2564" i="2"/>
  <c r="J2564" i="2" s="1"/>
  <c r="I2565" i="2"/>
  <c r="J2565" i="2" s="1"/>
  <c r="I2566" i="2"/>
  <c r="J2566" i="2" s="1"/>
  <c r="I2567" i="2"/>
  <c r="J2567" i="2" s="1"/>
  <c r="I2568" i="2"/>
  <c r="J2568" i="2" s="1"/>
  <c r="I2569" i="2"/>
  <c r="J2569" i="2" s="1"/>
  <c r="I2570" i="2"/>
  <c r="J2570" i="2" s="1"/>
  <c r="I2571" i="2"/>
  <c r="J2571" i="2" s="1"/>
  <c r="I2572" i="2"/>
  <c r="J2572" i="2" s="1"/>
  <c r="I2573" i="2"/>
  <c r="J2573" i="2" s="1"/>
  <c r="I2574" i="2"/>
  <c r="J2574" i="2" s="1"/>
  <c r="I2575" i="2"/>
  <c r="J2575" i="2" s="1"/>
  <c r="I2576" i="2"/>
  <c r="J2576" i="2" s="1"/>
  <c r="I2577" i="2"/>
  <c r="J2577" i="2" s="1"/>
  <c r="I2578" i="2"/>
  <c r="J2578" i="2" s="1"/>
  <c r="I2579" i="2"/>
  <c r="J2579" i="2" s="1"/>
  <c r="I2580" i="2"/>
  <c r="J2580" i="2" s="1"/>
  <c r="I2581" i="2"/>
  <c r="J2581" i="2" s="1"/>
  <c r="I2582" i="2"/>
  <c r="J2582" i="2" s="1"/>
  <c r="I2583" i="2"/>
  <c r="J2583" i="2" s="1"/>
  <c r="I2584" i="2"/>
  <c r="J2584" i="2" s="1"/>
  <c r="I2585" i="2"/>
  <c r="J2585" i="2" s="1"/>
  <c r="I2586" i="2"/>
  <c r="J2586" i="2" s="1"/>
  <c r="I2587" i="2"/>
  <c r="J2587" i="2" s="1"/>
  <c r="I2588" i="2"/>
  <c r="J2588" i="2" s="1"/>
  <c r="I2589" i="2"/>
  <c r="J2589" i="2" s="1"/>
  <c r="I2590" i="2"/>
  <c r="J2590" i="2" s="1"/>
  <c r="I2591" i="2"/>
  <c r="J2591" i="2" s="1"/>
  <c r="I2592" i="2"/>
  <c r="J2592" i="2" s="1"/>
  <c r="I2593" i="2"/>
  <c r="J2593" i="2" s="1"/>
  <c r="I2594" i="2"/>
  <c r="J2594" i="2" s="1"/>
  <c r="I2595" i="2"/>
  <c r="J2595" i="2" s="1"/>
  <c r="I2596" i="2"/>
  <c r="J2596" i="2" s="1"/>
  <c r="I2597" i="2"/>
  <c r="J2597" i="2" s="1"/>
  <c r="I2598" i="2"/>
  <c r="J2598" i="2" s="1"/>
  <c r="I2599" i="2"/>
  <c r="J2599" i="2" s="1"/>
  <c r="I2600" i="2"/>
  <c r="J2600" i="2" s="1"/>
  <c r="I2601" i="2"/>
  <c r="J2601" i="2" s="1"/>
  <c r="I2602" i="2"/>
  <c r="J2602" i="2" s="1"/>
  <c r="I2603" i="2"/>
  <c r="J2603" i="2" s="1"/>
  <c r="I2604" i="2"/>
  <c r="J2604" i="2" s="1"/>
  <c r="I2605" i="2"/>
  <c r="J2605" i="2" s="1"/>
  <c r="I2606" i="2"/>
  <c r="J2606" i="2" s="1"/>
  <c r="I2607" i="2"/>
  <c r="J2607" i="2" s="1"/>
  <c r="I2608" i="2"/>
  <c r="J2608" i="2" s="1"/>
  <c r="I2609" i="2"/>
  <c r="J2609" i="2" s="1"/>
  <c r="I2610" i="2"/>
  <c r="J2610" i="2" s="1"/>
  <c r="I2611" i="2"/>
  <c r="J2611" i="2" s="1"/>
  <c r="I2612" i="2"/>
  <c r="J2612" i="2" s="1"/>
  <c r="I2613" i="2"/>
  <c r="J2613" i="2" s="1"/>
  <c r="I2614" i="2"/>
  <c r="J2614" i="2" s="1"/>
  <c r="I2615" i="2"/>
  <c r="J2615" i="2" s="1"/>
  <c r="I2616" i="2"/>
  <c r="J2616" i="2" s="1"/>
  <c r="I2617" i="2"/>
  <c r="J2617" i="2" s="1"/>
  <c r="I2618" i="2"/>
  <c r="J2618" i="2" s="1"/>
  <c r="I2619" i="2"/>
  <c r="J2619" i="2" s="1"/>
  <c r="I2620" i="2"/>
  <c r="J2620" i="2" s="1"/>
  <c r="I2621" i="2"/>
  <c r="J2621" i="2" s="1"/>
  <c r="I2622" i="2"/>
  <c r="J2622" i="2" s="1"/>
  <c r="I2623" i="2"/>
  <c r="J2623" i="2" s="1"/>
  <c r="I2624" i="2"/>
  <c r="J2624" i="2" s="1"/>
  <c r="I2625" i="2"/>
  <c r="J2625" i="2" s="1"/>
  <c r="I2626" i="2"/>
  <c r="J2626" i="2" s="1"/>
  <c r="I2627" i="2"/>
  <c r="J2627" i="2" s="1"/>
  <c r="I2628" i="2"/>
  <c r="J2628" i="2" s="1"/>
  <c r="I2629" i="2"/>
  <c r="J2629" i="2" s="1"/>
  <c r="I2630" i="2"/>
  <c r="J2630" i="2" s="1"/>
  <c r="I2631" i="2"/>
  <c r="J2631" i="2" s="1"/>
  <c r="I2632" i="2"/>
  <c r="J2632" i="2" s="1"/>
  <c r="I2633" i="2"/>
  <c r="J2633" i="2" s="1"/>
  <c r="I2634" i="2"/>
  <c r="J2634" i="2" s="1"/>
  <c r="I2635" i="2"/>
  <c r="J2635" i="2" s="1"/>
  <c r="I2636" i="2"/>
  <c r="J2636" i="2" s="1"/>
  <c r="I2637" i="2"/>
  <c r="J2637" i="2" s="1"/>
  <c r="I2638" i="2"/>
  <c r="J2638" i="2" s="1"/>
  <c r="I2639" i="2"/>
  <c r="J2639" i="2" s="1"/>
  <c r="I2640" i="2"/>
  <c r="J2640" i="2" s="1"/>
  <c r="I2641" i="2"/>
  <c r="J2641" i="2" s="1"/>
  <c r="I2642" i="2"/>
  <c r="J2642" i="2" s="1"/>
  <c r="I2643" i="2"/>
  <c r="J2643" i="2" s="1"/>
  <c r="I2644" i="2"/>
  <c r="J2644" i="2" s="1"/>
  <c r="I2645" i="2"/>
  <c r="J2645" i="2" s="1"/>
  <c r="I2646" i="2"/>
  <c r="J2646" i="2" s="1"/>
  <c r="I2647" i="2"/>
  <c r="J2647" i="2" s="1"/>
  <c r="I2648" i="2"/>
  <c r="J2648" i="2" s="1"/>
  <c r="I2649" i="2"/>
  <c r="J2649" i="2" s="1"/>
  <c r="I2650" i="2"/>
  <c r="J2650" i="2" s="1"/>
  <c r="I2651" i="2"/>
  <c r="J2651" i="2" s="1"/>
  <c r="I2652" i="2"/>
  <c r="J2652" i="2" s="1"/>
  <c r="I2653" i="2"/>
  <c r="J2653" i="2" s="1"/>
  <c r="I2654" i="2"/>
  <c r="J2654" i="2" s="1"/>
  <c r="I2655" i="2"/>
  <c r="J2655" i="2" s="1"/>
  <c r="I2656" i="2"/>
  <c r="J2656" i="2" s="1"/>
  <c r="I2657" i="2"/>
  <c r="J2657" i="2" s="1"/>
  <c r="I2658" i="2"/>
  <c r="J2658" i="2" s="1"/>
  <c r="I2659" i="2"/>
  <c r="J2659" i="2" s="1"/>
  <c r="I2660" i="2"/>
  <c r="J2660" i="2" s="1"/>
  <c r="I2661" i="2"/>
  <c r="J2661" i="2" s="1"/>
  <c r="I2662" i="2"/>
  <c r="J2662" i="2" s="1"/>
  <c r="I2663" i="2"/>
  <c r="J2663" i="2" s="1"/>
  <c r="I2664" i="2"/>
  <c r="J2664" i="2" s="1"/>
  <c r="I2665" i="2"/>
  <c r="J2665" i="2" s="1"/>
  <c r="I2666" i="2"/>
  <c r="J2666" i="2" s="1"/>
  <c r="I2667" i="2"/>
  <c r="J2667" i="2" s="1"/>
  <c r="I2668" i="2"/>
  <c r="J2668" i="2" s="1"/>
  <c r="I2669" i="2"/>
  <c r="J2669" i="2" s="1"/>
  <c r="I2670" i="2"/>
  <c r="J2670" i="2" s="1"/>
  <c r="I2671" i="2"/>
  <c r="J2671" i="2" s="1"/>
  <c r="I2672" i="2"/>
  <c r="J2672" i="2" s="1"/>
  <c r="I2673" i="2"/>
  <c r="J2673" i="2" s="1"/>
  <c r="I2674" i="2"/>
  <c r="J2674" i="2" s="1"/>
  <c r="I2675" i="2"/>
  <c r="J2675" i="2" s="1"/>
  <c r="I2676" i="2"/>
  <c r="J2676" i="2" s="1"/>
  <c r="I2677" i="2"/>
  <c r="J2677" i="2" s="1"/>
  <c r="I2678" i="2"/>
  <c r="J2678" i="2" s="1"/>
  <c r="I2679" i="2"/>
  <c r="J2679" i="2" s="1"/>
  <c r="I2680" i="2"/>
  <c r="J2680" i="2" s="1"/>
  <c r="I2681" i="2"/>
  <c r="J2681" i="2" s="1"/>
  <c r="I2682" i="2"/>
  <c r="J2682" i="2" s="1"/>
  <c r="I2683" i="2"/>
  <c r="J2683" i="2" s="1"/>
  <c r="I2684" i="2"/>
  <c r="J2684" i="2" s="1"/>
  <c r="I2685" i="2"/>
  <c r="J2685" i="2" s="1"/>
  <c r="I2686" i="2"/>
  <c r="J2686" i="2" s="1"/>
  <c r="I2687" i="2"/>
  <c r="J2687" i="2" s="1"/>
  <c r="I2688" i="2"/>
  <c r="J2688" i="2" s="1"/>
  <c r="I2689" i="2"/>
  <c r="J2689" i="2" s="1"/>
  <c r="I2690" i="2"/>
  <c r="J2690" i="2" s="1"/>
  <c r="I2691" i="2"/>
  <c r="J2691" i="2" s="1"/>
  <c r="I2692" i="2"/>
  <c r="J2692" i="2" s="1"/>
  <c r="I2693" i="2"/>
  <c r="J2693" i="2" s="1"/>
  <c r="I2694" i="2"/>
  <c r="J2694" i="2" s="1"/>
  <c r="I2695" i="2"/>
  <c r="J2695" i="2" s="1"/>
  <c r="I2696" i="2"/>
  <c r="J2696" i="2" s="1"/>
  <c r="I2697" i="2"/>
  <c r="J2697" i="2" s="1"/>
  <c r="I2698" i="2"/>
  <c r="J2698" i="2" s="1"/>
  <c r="I2699" i="2"/>
  <c r="J2699" i="2" s="1"/>
  <c r="I2700" i="2"/>
  <c r="J2700" i="2" s="1"/>
  <c r="I2701" i="2"/>
  <c r="J2701" i="2" s="1"/>
  <c r="I2702" i="2"/>
  <c r="J2702" i="2" s="1"/>
  <c r="I2703" i="2"/>
  <c r="J2703" i="2" s="1"/>
  <c r="I2704" i="2"/>
  <c r="J2704" i="2" s="1"/>
  <c r="I2705" i="2"/>
  <c r="J2705" i="2" s="1"/>
  <c r="I2706" i="2"/>
  <c r="J2706" i="2" s="1"/>
  <c r="I2707" i="2"/>
  <c r="J2707" i="2" s="1"/>
  <c r="I2708" i="2"/>
  <c r="J2708" i="2" s="1"/>
  <c r="I2709" i="2"/>
  <c r="J2709" i="2" s="1"/>
  <c r="I2710" i="2"/>
  <c r="J2710" i="2" s="1"/>
  <c r="I2711" i="2"/>
  <c r="J2711" i="2" s="1"/>
  <c r="I2712" i="2"/>
  <c r="J2712" i="2" s="1"/>
  <c r="I2713" i="2"/>
  <c r="J2713" i="2" s="1"/>
  <c r="I2714" i="2"/>
  <c r="J2714" i="2" s="1"/>
  <c r="I2715" i="2"/>
  <c r="J2715" i="2" s="1"/>
  <c r="I2716" i="2"/>
  <c r="J2716" i="2" s="1"/>
  <c r="I2717" i="2"/>
  <c r="J2717" i="2" s="1"/>
  <c r="I2718" i="2"/>
  <c r="J2718" i="2" s="1"/>
  <c r="I2719" i="2"/>
  <c r="J2719" i="2" s="1"/>
  <c r="I2720" i="2"/>
  <c r="J2720" i="2" s="1"/>
  <c r="I2721" i="2"/>
  <c r="J2721" i="2" s="1"/>
  <c r="I2722" i="2"/>
  <c r="J2722" i="2" s="1"/>
  <c r="I2723" i="2"/>
  <c r="J2723" i="2" s="1"/>
  <c r="I2724" i="2"/>
  <c r="J2724" i="2" s="1"/>
  <c r="I2725" i="2"/>
  <c r="J2725" i="2" s="1"/>
  <c r="I2726" i="2"/>
  <c r="J2726" i="2" s="1"/>
  <c r="I2727" i="2"/>
  <c r="J2727" i="2" s="1"/>
  <c r="I2728" i="2"/>
  <c r="J2728" i="2" s="1"/>
  <c r="I2729" i="2"/>
  <c r="J2729" i="2" s="1"/>
  <c r="I2730" i="2"/>
  <c r="J2730" i="2" s="1"/>
  <c r="I2731" i="2"/>
  <c r="J2731" i="2" s="1"/>
  <c r="I2732" i="2"/>
  <c r="J2732" i="2" s="1"/>
  <c r="I2733" i="2"/>
  <c r="J2733" i="2" s="1"/>
  <c r="I2734" i="2"/>
  <c r="J2734" i="2" s="1"/>
  <c r="I2735" i="2"/>
  <c r="J2735" i="2" s="1"/>
  <c r="I2736" i="2"/>
  <c r="J2736" i="2" s="1"/>
  <c r="I2737" i="2"/>
  <c r="J2737" i="2" s="1"/>
  <c r="I2738" i="2"/>
  <c r="J2738" i="2" s="1"/>
  <c r="I2739" i="2"/>
  <c r="J2739" i="2" s="1"/>
  <c r="I2740" i="2"/>
  <c r="J2740" i="2" s="1"/>
  <c r="I2741" i="2"/>
  <c r="J2741" i="2" s="1"/>
  <c r="I2742" i="2"/>
  <c r="J2742" i="2" s="1"/>
  <c r="I2743" i="2"/>
  <c r="J2743" i="2" s="1"/>
  <c r="I2744" i="2"/>
  <c r="J2744" i="2" s="1"/>
  <c r="I2745" i="2"/>
  <c r="J2745" i="2" s="1"/>
  <c r="I2746" i="2"/>
  <c r="J2746" i="2" s="1"/>
  <c r="I2747" i="2"/>
  <c r="J2747" i="2" s="1"/>
  <c r="I2748" i="2"/>
  <c r="J2748" i="2" s="1"/>
  <c r="I2749" i="2"/>
  <c r="J2749" i="2" s="1"/>
  <c r="I2750" i="2"/>
  <c r="J2750" i="2" s="1"/>
  <c r="I2751" i="2"/>
  <c r="J2751" i="2" s="1"/>
  <c r="I2752" i="2"/>
  <c r="J2752" i="2" s="1"/>
  <c r="I2753" i="2"/>
  <c r="J2753" i="2" s="1"/>
  <c r="I2754" i="2"/>
  <c r="J2754" i="2" s="1"/>
  <c r="I2755" i="2"/>
  <c r="J2755" i="2" s="1"/>
  <c r="I2756" i="2"/>
  <c r="J2756" i="2" s="1"/>
  <c r="I2757" i="2"/>
  <c r="J2757" i="2" s="1"/>
  <c r="I2758" i="2"/>
  <c r="J2758" i="2" s="1"/>
  <c r="I2759" i="2"/>
  <c r="J2759" i="2" s="1"/>
  <c r="I2760" i="2"/>
  <c r="J2760" i="2" s="1"/>
  <c r="I2761" i="2"/>
  <c r="J2761" i="2" s="1"/>
  <c r="I2762" i="2"/>
  <c r="J2762" i="2" s="1"/>
  <c r="I2763" i="2"/>
  <c r="J2763" i="2" s="1"/>
  <c r="I2764" i="2"/>
  <c r="J2764" i="2" s="1"/>
  <c r="I2765" i="2"/>
  <c r="J2765" i="2" s="1"/>
  <c r="I2766" i="2"/>
  <c r="J2766" i="2" s="1"/>
  <c r="I2767" i="2"/>
  <c r="J2767" i="2" s="1"/>
  <c r="I2768" i="2"/>
  <c r="J2768" i="2" s="1"/>
  <c r="I2769" i="2"/>
  <c r="J2769" i="2" s="1"/>
  <c r="I2770" i="2"/>
  <c r="J2770" i="2" s="1"/>
  <c r="I2771" i="2"/>
  <c r="J2771" i="2" s="1"/>
  <c r="I2772" i="2"/>
  <c r="J2772" i="2" s="1"/>
  <c r="I2773" i="2"/>
  <c r="J2773" i="2" s="1"/>
  <c r="I2774" i="2"/>
  <c r="J2774" i="2" s="1"/>
  <c r="I2775" i="2"/>
  <c r="J2775" i="2" s="1"/>
  <c r="I2776" i="2"/>
  <c r="J2776" i="2" s="1"/>
  <c r="I2777" i="2"/>
  <c r="J2777" i="2" s="1"/>
  <c r="I2778" i="2"/>
  <c r="J2778" i="2" s="1"/>
  <c r="I2779" i="2"/>
  <c r="J2779" i="2" s="1"/>
  <c r="I2780" i="2"/>
  <c r="J2780" i="2" s="1"/>
  <c r="I2781" i="2"/>
  <c r="J2781" i="2" s="1"/>
  <c r="I2782" i="2"/>
  <c r="J2782" i="2" s="1"/>
  <c r="I2783" i="2"/>
  <c r="J2783" i="2" s="1"/>
  <c r="I2784" i="2"/>
  <c r="J2784" i="2" s="1"/>
  <c r="I2785" i="2"/>
  <c r="J2785" i="2" s="1"/>
  <c r="I2786" i="2"/>
  <c r="J2786" i="2" s="1"/>
  <c r="I2787" i="2"/>
  <c r="J2787" i="2" s="1"/>
  <c r="I2788" i="2"/>
  <c r="J2788" i="2" s="1"/>
  <c r="I2789" i="2"/>
  <c r="J2789" i="2" s="1"/>
  <c r="I2790" i="2"/>
  <c r="J2790" i="2" s="1"/>
  <c r="I2791" i="2"/>
  <c r="J2791" i="2" s="1"/>
  <c r="I2792" i="2"/>
  <c r="J2792" i="2" s="1"/>
  <c r="I2793" i="2"/>
  <c r="J2793" i="2" s="1"/>
  <c r="I2794" i="2"/>
  <c r="J2794" i="2" s="1"/>
  <c r="I2795" i="2"/>
  <c r="J2795" i="2" s="1"/>
  <c r="I2796" i="2"/>
  <c r="J2796" i="2" s="1"/>
  <c r="I2797" i="2"/>
  <c r="J2797" i="2" s="1"/>
  <c r="I2798" i="2"/>
  <c r="J2798" i="2" s="1"/>
  <c r="I2799" i="2"/>
  <c r="J2799" i="2" s="1"/>
  <c r="I2800" i="2"/>
  <c r="J2800" i="2" s="1"/>
  <c r="I2801" i="2"/>
  <c r="J2801" i="2" s="1"/>
  <c r="I2802" i="2"/>
  <c r="J2802" i="2" s="1"/>
  <c r="I2803" i="2"/>
  <c r="J2803" i="2" s="1"/>
  <c r="I2804" i="2"/>
  <c r="J2804" i="2" s="1"/>
  <c r="I2805" i="2"/>
  <c r="J2805" i="2" s="1"/>
  <c r="I2806" i="2"/>
  <c r="J2806" i="2" s="1"/>
  <c r="I2807" i="2"/>
  <c r="J2807" i="2" s="1"/>
  <c r="I2808" i="2"/>
  <c r="J2808" i="2" s="1"/>
  <c r="I2809" i="2"/>
  <c r="J2809" i="2" s="1"/>
  <c r="I2810" i="2"/>
  <c r="J2810" i="2" s="1"/>
  <c r="I2811" i="2"/>
  <c r="J2811" i="2" s="1"/>
  <c r="I2812" i="2"/>
  <c r="J2812" i="2" s="1"/>
  <c r="I2813" i="2"/>
  <c r="J2813" i="2" s="1"/>
  <c r="I2814" i="2"/>
  <c r="J2814" i="2" s="1"/>
  <c r="I2815" i="2"/>
  <c r="J2815" i="2" s="1"/>
  <c r="I2816" i="2"/>
  <c r="J2816" i="2" s="1"/>
  <c r="I2817" i="2"/>
  <c r="J2817" i="2" s="1"/>
  <c r="I2818" i="2"/>
  <c r="J2818" i="2" s="1"/>
  <c r="I2819" i="2"/>
  <c r="J2819" i="2" s="1"/>
  <c r="I2820" i="2"/>
  <c r="J2820" i="2" s="1"/>
  <c r="I2821" i="2"/>
  <c r="J2821" i="2" s="1"/>
  <c r="I2822" i="2"/>
  <c r="J2822" i="2" s="1"/>
  <c r="I2823" i="2"/>
  <c r="J2823" i="2" s="1"/>
  <c r="I2824" i="2"/>
  <c r="J2824" i="2" s="1"/>
  <c r="I2825" i="2"/>
  <c r="J2825" i="2" s="1"/>
  <c r="I2826" i="2"/>
  <c r="J2826" i="2" s="1"/>
  <c r="I2827" i="2"/>
  <c r="J2827" i="2" s="1"/>
  <c r="I2828" i="2"/>
  <c r="J2828" i="2" s="1"/>
  <c r="I2829" i="2"/>
  <c r="J2829" i="2" s="1"/>
  <c r="I2830" i="2"/>
  <c r="J2830" i="2" s="1"/>
  <c r="I2831" i="2"/>
  <c r="J2831" i="2" s="1"/>
  <c r="I2832" i="2"/>
  <c r="J2832" i="2" s="1"/>
  <c r="I2833" i="2"/>
  <c r="J2833" i="2" s="1"/>
  <c r="I2834" i="2"/>
  <c r="J2834" i="2" s="1"/>
  <c r="I2835" i="2"/>
  <c r="J2835" i="2" s="1"/>
  <c r="I2836" i="2"/>
  <c r="J2836" i="2" s="1"/>
  <c r="I2837" i="2"/>
  <c r="J2837" i="2" s="1"/>
  <c r="I2838" i="2"/>
  <c r="J2838" i="2" s="1"/>
  <c r="I2839" i="2"/>
  <c r="J2839" i="2" s="1"/>
  <c r="I2840" i="2"/>
  <c r="J2840" i="2" s="1"/>
  <c r="I2841" i="2"/>
  <c r="J2841" i="2" s="1"/>
  <c r="I2842" i="2"/>
  <c r="J2842" i="2" s="1"/>
  <c r="I2843" i="2"/>
  <c r="J2843" i="2" s="1"/>
  <c r="I2844" i="2"/>
  <c r="J2844" i="2" s="1"/>
  <c r="I2845" i="2"/>
  <c r="J2845" i="2" s="1"/>
  <c r="I2846" i="2"/>
  <c r="J2846" i="2" s="1"/>
  <c r="I2847" i="2"/>
  <c r="J2847" i="2" s="1"/>
  <c r="I2848" i="2"/>
  <c r="J2848" i="2" s="1"/>
  <c r="I2849" i="2"/>
  <c r="J2849" i="2" s="1"/>
  <c r="I2850" i="2"/>
  <c r="J2850" i="2" s="1"/>
  <c r="I2851" i="2"/>
  <c r="J2851" i="2" s="1"/>
  <c r="I2852" i="2"/>
  <c r="J2852" i="2" s="1"/>
  <c r="I2853" i="2"/>
  <c r="J2853" i="2" s="1"/>
  <c r="I2854" i="2"/>
  <c r="J2854" i="2" s="1"/>
  <c r="I2855" i="2"/>
  <c r="J2855" i="2" s="1"/>
  <c r="I2856" i="2"/>
  <c r="J2856" i="2" s="1"/>
  <c r="I2857" i="2"/>
  <c r="J2857" i="2" s="1"/>
  <c r="I2858" i="2"/>
  <c r="J2858" i="2" s="1"/>
  <c r="I2859" i="2"/>
  <c r="J2859" i="2" s="1"/>
  <c r="I2860" i="2"/>
  <c r="J2860" i="2" s="1"/>
  <c r="I2861" i="2"/>
  <c r="J2861" i="2" s="1"/>
  <c r="I2862" i="2"/>
  <c r="J2862" i="2" s="1"/>
  <c r="I2863" i="2"/>
  <c r="J2863" i="2" s="1"/>
  <c r="I2864" i="2"/>
  <c r="J2864" i="2" s="1"/>
  <c r="I2865" i="2"/>
  <c r="J2865" i="2" s="1"/>
  <c r="I2866" i="2"/>
  <c r="J2866" i="2" s="1"/>
  <c r="I2867" i="2"/>
  <c r="J2867" i="2" s="1"/>
  <c r="I2868" i="2"/>
  <c r="J2868" i="2" s="1"/>
  <c r="I2869" i="2"/>
  <c r="J2869" i="2" s="1"/>
  <c r="I2870" i="2"/>
  <c r="J2870" i="2" s="1"/>
  <c r="I2871" i="2"/>
  <c r="J2871" i="2" s="1"/>
  <c r="I2872" i="2"/>
  <c r="J2872" i="2" s="1"/>
  <c r="I2873" i="2"/>
  <c r="J2873" i="2" s="1"/>
  <c r="I2874" i="2"/>
  <c r="J2874" i="2" s="1"/>
  <c r="I2875" i="2"/>
  <c r="J2875" i="2" s="1"/>
  <c r="I2876" i="2"/>
  <c r="J2876" i="2" s="1"/>
  <c r="I2877" i="2"/>
  <c r="J2877" i="2" s="1"/>
  <c r="I2878" i="2"/>
  <c r="J2878" i="2" s="1"/>
  <c r="I2879" i="2"/>
  <c r="J2879" i="2" s="1"/>
  <c r="I2880" i="2"/>
  <c r="J2880" i="2" s="1"/>
  <c r="I2881" i="2"/>
  <c r="J2881" i="2" s="1"/>
  <c r="I2882" i="2"/>
  <c r="J2882" i="2" s="1"/>
  <c r="I2883" i="2"/>
  <c r="J2883" i="2" s="1"/>
  <c r="I2884" i="2"/>
  <c r="J2884" i="2" s="1"/>
  <c r="I2885" i="2"/>
  <c r="J2885" i="2" s="1"/>
  <c r="I2886" i="2"/>
  <c r="J2886" i="2" s="1"/>
  <c r="I2887" i="2"/>
  <c r="J2887" i="2" s="1"/>
  <c r="I2888" i="2"/>
  <c r="J2888" i="2" s="1"/>
  <c r="I2889" i="2"/>
  <c r="J2889" i="2" s="1"/>
  <c r="I2890" i="2"/>
  <c r="J2890" i="2" s="1"/>
  <c r="I2891" i="2"/>
  <c r="J2891" i="2" s="1"/>
  <c r="I2892" i="2"/>
  <c r="J2892" i="2" s="1"/>
  <c r="I2893" i="2"/>
  <c r="J2893" i="2" s="1"/>
  <c r="I2894" i="2"/>
  <c r="J2894" i="2" s="1"/>
  <c r="I2895" i="2"/>
  <c r="J2895" i="2" s="1"/>
  <c r="I2896" i="2"/>
  <c r="J2896" i="2" s="1"/>
  <c r="I2897" i="2"/>
  <c r="J2897" i="2" s="1"/>
  <c r="I2898" i="2"/>
  <c r="J2898" i="2" s="1"/>
  <c r="I2899" i="2"/>
  <c r="J2899" i="2" s="1"/>
  <c r="I2900" i="2"/>
  <c r="J2900" i="2" s="1"/>
  <c r="I2901" i="2"/>
  <c r="J2901" i="2" s="1"/>
  <c r="I2902" i="2"/>
  <c r="J2902" i="2" s="1"/>
  <c r="I2903" i="2"/>
  <c r="J2903" i="2" s="1"/>
  <c r="I2904" i="2"/>
  <c r="J2904" i="2" s="1"/>
  <c r="I2905" i="2"/>
  <c r="J2905" i="2" s="1"/>
  <c r="I2906" i="2"/>
  <c r="J2906" i="2" s="1"/>
  <c r="I2907" i="2"/>
  <c r="J2907" i="2" s="1"/>
  <c r="I2908" i="2"/>
  <c r="J2908" i="2" s="1"/>
  <c r="I2909" i="2"/>
  <c r="J2909" i="2" s="1"/>
  <c r="I2910" i="2"/>
  <c r="J2910" i="2" s="1"/>
  <c r="I2911" i="2"/>
  <c r="J2911" i="2" s="1"/>
  <c r="I2912" i="2"/>
  <c r="J2912" i="2" s="1"/>
  <c r="I2913" i="2"/>
  <c r="J2913" i="2" s="1"/>
  <c r="I2914" i="2"/>
  <c r="J2914" i="2" s="1"/>
  <c r="I2915" i="2"/>
  <c r="J2915" i="2" s="1"/>
  <c r="I2916" i="2"/>
  <c r="J2916" i="2" s="1"/>
  <c r="I2917" i="2"/>
  <c r="J2917" i="2" s="1"/>
  <c r="I2918" i="2"/>
  <c r="J2918" i="2" s="1"/>
  <c r="I2919" i="2"/>
  <c r="J2919" i="2" s="1"/>
  <c r="I2920" i="2"/>
  <c r="J2920" i="2" s="1"/>
  <c r="I2921" i="2"/>
  <c r="J2921" i="2" s="1"/>
  <c r="I2922" i="2"/>
  <c r="J2922" i="2" s="1"/>
  <c r="I2923" i="2"/>
  <c r="J2923" i="2" s="1"/>
  <c r="I2924" i="2"/>
  <c r="J2924" i="2" s="1"/>
  <c r="I2925" i="2"/>
  <c r="J2925" i="2" s="1"/>
  <c r="I2926" i="2"/>
  <c r="J2926" i="2" s="1"/>
  <c r="I2927" i="2"/>
  <c r="J2927" i="2" s="1"/>
  <c r="I2928" i="2"/>
  <c r="J2928" i="2" s="1"/>
  <c r="I2929" i="2"/>
  <c r="J2929" i="2" s="1"/>
  <c r="I2930" i="2"/>
  <c r="J2930" i="2" s="1"/>
  <c r="I2931" i="2"/>
  <c r="J2931" i="2" s="1"/>
  <c r="I2932" i="2"/>
  <c r="J2932" i="2" s="1"/>
  <c r="I2933" i="2"/>
  <c r="J2933" i="2" s="1"/>
  <c r="I2934" i="2"/>
  <c r="J2934" i="2" s="1"/>
  <c r="I2935" i="2"/>
  <c r="J2935" i="2" s="1"/>
  <c r="I2936" i="2"/>
  <c r="J2936" i="2" s="1"/>
  <c r="I2937" i="2"/>
  <c r="J2937" i="2" s="1"/>
  <c r="I2938" i="2"/>
  <c r="J2938" i="2" s="1"/>
  <c r="I2939" i="2"/>
  <c r="J2939" i="2" s="1"/>
  <c r="I2940" i="2"/>
  <c r="J2940" i="2" s="1"/>
  <c r="I2941" i="2"/>
  <c r="J2941" i="2" s="1"/>
  <c r="I2942" i="2"/>
  <c r="J2942" i="2" s="1"/>
  <c r="I2943" i="2"/>
  <c r="J2943" i="2" s="1"/>
  <c r="I2944" i="2"/>
  <c r="J2944" i="2" s="1"/>
  <c r="I2945" i="2"/>
  <c r="J2945" i="2" s="1"/>
  <c r="I2946" i="2"/>
  <c r="J2946" i="2" s="1"/>
  <c r="I2947" i="2"/>
  <c r="J2947" i="2" s="1"/>
  <c r="I2948" i="2"/>
  <c r="J2948" i="2" s="1"/>
  <c r="I2949" i="2"/>
  <c r="J2949" i="2" s="1"/>
  <c r="I2950" i="2"/>
  <c r="J2950" i="2" s="1"/>
  <c r="I2951" i="2"/>
  <c r="J2951" i="2" s="1"/>
  <c r="I2952" i="2"/>
  <c r="J2952" i="2" s="1"/>
  <c r="I2953" i="2"/>
  <c r="J2953" i="2" s="1"/>
  <c r="I2954" i="2"/>
  <c r="J2954" i="2" s="1"/>
  <c r="I2955" i="2"/>
  <c r="J2955" i="2" s="1"/>
  <c r="I2956" i="2"/>
  <c r="J2956" i="2" s="1"/>
  <c r="I2957" i="2"/>
  <c r="J2957" i="2" s="1"/>
  <c r="I2958" i="2"/>
  <c r="J2958" i="2" s="1"/>
  <c r="I2959" i="2"/>
  <c r="J2959" i="2" s="1"/>
  <c r="I2960" i="2"/>
  <c r="J2960" i="2" s="1"/>
  <c r="I2961" i="2"/>
  <c r="J2961" i="2" s="1"/>
  <c r="I2962" i="2"/>
  <c r="J2962" i="2" s="1"/>
  <c r="I2963" i="2"/>
  <c r="J2963" i="2" s="1"/>
  <c r="I2964" i="2"/>
  <c r="J2964" i="2" s="1"/>
  <c r="I2965" i="2"/>
  <c r="J2965" i="2" s="1"/>
  <c r="I2966" i="2"/>
  <c r="J2966" i="2" s="1"/>
  <c r="I2967" i="2"/>
  <c r="J2967" i="2" s="1"/>
  <c r="I2968" i="2"/>
  <c r="J2968" i="2" s="1"/>
  <c r="I2969" i="2"/>
  <c r="J2969" i="2" s="1"/>
  <c r="I2970" i="2"/>
  <c r="J2970" i="2" s="1"/>
  <c r="I2971" i="2"/>
  <c r="J2971" i="2" s="1"/>
  <c r="I2972" i="2"/>
  <c r="J2972" i="2" s="1"/>
  <c r="I2973" i="2"/>
  <c r="J2973" i="2" s="1"/>
  <c r="I2974" i="2"/>
  <c r="J2974" i="2" s="1"/>
  <c r="I2975" i="2"/>
  <c r="J2975" i="2" s="1"/>
  <c r="I2976" i="2"/>
  <c r="J2976" i="2" s="1"/>
  <c r="I2977" i="2"/>
  <c r="J2977" i="2" s="1"/>
  <c r="I2978" i="2"/>
  <c r="J2978" i="2" s="1"/>
  <c r="I2979" i="2"/>
  <c r="J2979" i="2" s="1"/>
  <c r="I2980" i="2"/>
  <c r="J2980" i="2" s="1"/>
  <c r="I2981" i="2"/>
  <c r="J2981" i="2" s="1"/>
  <c r="I2982" i="2"/>
  <c r="J2982" i="2" s="1"/>
  <c r="I2983" i="2"/>
  <c r="J2983" i="2" s="1"/>
  <c r="I2984" i="2"/>
  <c r="J2984" i="2" s="1"/>
  <c r="I2985" i="2"/>
  <c r="J2985" i="2" s="1"/>
  <c r="I2986" i="2"/>
  <c r="J2986" i="2" s="1"/>
  <c r="I2987" i="2"/>
  <c r="J2987" i="2" s="1"/>
  <c r="I2988" i="2"/>
  <c r="J2988" i="2" s="1"/>
  <c r="I2989" i="2"/>
  <c r="J2989" i="2" s="1"/>
  <c r="I2990" i="2"/>
  <c r="J2990" i="2" s="1"/>
  <c r="I2991" i="2"/>
  <c r="J2991" i="2" s="1"/>
  <c r="I2992" i="2"/>
  <c r="J2992" i="2" s="1"/>
  <c r="I2993" i="2"/>
  <c r="J2993" i="2" s="1"/>
  <c r="I2994" i="2"/>
  <c r="J2994" i="2" s="1"/>
  <c r="I2995" i="2"/>
  <c r="J2995" i="2" s="1"/>
  <c r="I2996" i="2"/>
  <c r="J2996" i="2" s="1"/>
  <c r="I2997" i="2"/>
  <c r="J2997" i="2" s="1"/>
  <c r="I2998" i="2"/>
  <c r="J2998" i="2" s="1"/>
  <c r="I2999" i="2"/>
  <c r="J2999" i="2" s="1"/>
  <c r="I3000" i="2"/>
  <c r="J3000" i="2" s="1"/>
  <c r="I3001" i="2"/>
  <c r="J3001" i="2" s="1"/>
  <c r="I3002" i="2"/>
  <c r="J3002" i="2" s="1"/>
  <c r="I3003" i="2"/>
  <c r="J3003" i="2" s="1"/>
  <c r="I3004" i="2"/>
  <c r="J3004" i="2" s="1"/>
  <c r="I3005" i="2"/>
  <c r="J3005" i="2" s="1"/>
  <c r="I3006" i="2"/>
  <c r="J3006" i="2" s="1"/>
  <c r="I3007" i="2"/>
  <c r="J3007" i="2" s="1"/>
  <c r="I3008" i="2"/>
  <c r="J3008" i="2" s="1"/>
  <c r="I3009" i="2"/>
  <c r="J3009" i="2" s="1"/>
  <c r="I3010" i="2"/>
  <c r="J3010" i="2" s="1"/>
  <c r="I3011" i="2"/>
  <c r="J3011" i="2" s="1"/>
  <c r="I3012" i="2"/>
  <c r="J3012" i="2" s="1"/>
  <c r="I3013" i="2"/>
  <c r="J3013" i="2" s="1"/>
  <c r="I3014" i="2"/>
  <c r="J3014" i="2" s="1"/>
  <c r="I3015" i="2"/>
  <c r="J3015" i="2" s="1"/>
  <c r="I3016" i="2"/>
  <c r="J3016" i="2" s="1"/>
  <c r="I3017" i="2"/>
  <c r="J3017" i="2" s="1"/>
  <c r="I3018" i="2"/>
  <c r="J3018" i="2" s="1"/>
  <c r="I3019" i="2"/>
  <c r="J3019" i="2" s="1"/>
  <c r="I3020" i="2"/>
  <c r="J3020" i="2" s="1"/>
  <c r="I3021" i="2"/>
  <c r="J3021" i="2" s="1"/>
  <c r="I3022" i="2"/>
  <c r="J3022" i="2" s="1"/>
  <c r="I3023" i="2"/>
  <c r="J3023" i="2" s="1"/>
  <c r="I3024" i="2"/>
  <c r="J3024" i="2" s="1"/>
  <c r="I3025" i="2"/>
  <c r="J3025" i="2" s="1"/>
  <c r="I3026" i="2"/>
  <c r="J3026" i="2" s="1"/>
  <c r="I3027" i="2"/>
  <c r="J3027" i="2" s="1"/>
  <c r="I3028" i="2"/>
  <c r="J3028" i="2" s="1"/>
  <c r="I3029" i="2"/>
  <c r="J3029" i="2" s="1"/>
  <c r="I3030" i="2"/>
  <c r="J3030" i="2" s="1"/>
  <c r="I3031" i="2"/>
  <c r="J3031" i="2" s="1"/>
  <c r="I3032" i="2"/>
  <c r="J3032" i="2" s="1"/>
  <c r="I3033" i="2"/>
  <c r="J3033" i="2" s="1"/>
  <c r="I3034" i="2"/>
  <c r="J3034" i="2" s="1"/>
  <c r="I3035" i="2"/>
  <c r="J3035" i="2" s="1"/>
  <c r="I3036" i="2"/>
  <c r="J3036" i="2" s="1"/>
  <c r="I3037" i="2"/>
  <c r="J3037" i="2" s="1"/>
  <c r="I3038" i="2"/>
  <c r="J3038" i="2" s="1"/>
  <c r="I3039" i="2"/>
  <c r="J3039" i="2" s="1"/>
  <c r="I3040" i="2"/>
  <c r="J3040" i="2" s="1"/>
  <c r="I3041" i="2"/>
  <c r="J3041" i="2" s="1"/>
  <c r="I3042" i="2"/>
  <c r="J3042" i="2" s="1"/>
  <c r="I3043" i="2"/>
  <c r="J3043" i="2" s="1"/>
  <c r="I3044" i="2"/>
  <c r="J3044" i="2" s="1"/>
  <c r="I3045" i="2"/>
  <c r="J3045" i="2" s="1"/>
  <c r="I3046" i="2"/>
  <c r="J3046" i="2" s="1"/>
  <c r="I3047" i="2"/>
  <c r="J3047" i="2" s="1"/>
  <c r="I3048" i="2"/>
  <c r="J3048" i="2" s="1"/>
  <c r="I3049" i="2"/>
  <c r="J3049" i="2" s="1"/>
  <c r="I3050" i="2"/>
  <c r="J3050" i="2" s="1"/>
  <c r="I3051" i="2"/>
  <c r="J3051" i="2" s="1"/>
  <c r="I3052" i="2"/>
  <c r="J3052" i="2" s="1"/>
  <c r="I3053" i="2"/>
  <c r="J3053" i="2" s="1"/>
  <c r="I3054" i="2"/>
  <c r="J3054" i="2" s="1"/>
  <c r="I3055" i="2"/>
  <c r="J3055" i="2" s="1"/>
  <c r="I3056" i="2"/>
  <c r="J3056" i="2" s="1"/>
  <c r="I3057" i="2"/>
  <c r="J3057" i="2" s="1"/>
  <c r="I3058" i="2"/>
  <c r="J3058" i="2" s="1"/>
  <c r="I3059" i="2"/>
  <c r="J3059" i="2" s="1"/>
  <c r="I3060" i="2"/>
  <c r="J3060" i="2" s="1"/>
  <c r="I3061" i="2"/>
  <c r="J3061" i="2" s="1"/>
  <c r="I3062" i="2"/>
  <c r="J3062" i="2" s="1"/>
  <c r="I3063" i="2"/>
  <c r="J3063" i="2" s="1"/>
  <c r="I3064" i="2"/>
  <c r="J3064" i="2" s="1"/>
  <c r="I3065" i="2"/>
  <c r="J3065" i="2" s="1"/>
  <c r="I3066" i="2"/>
  <c r="J3066" i="2" s="1"/>
  <c r="I3067" i="2"/>
  <c r="J3067" i="2" s="1"/>
  <c r="I3068" i="2"/>
  <c r="J3068" i="2" s="1"/>
  <c r="I3069" i="2"/>
  <c r="J3069" i="2" s="1"/>
  <c r="I3070" i="2"/>
  <c r="J3070" i="2" s="1"/>
  <c r="I3071" i="2"/>
  <c r="J3071" i="2" s="1"/>
  <c r="I3072" i="2"/>
  <c r="J3072" i="2" s="1"/>
  <c r="I3073" i="2"/>
  <c r="J3073" i="2" s="1"/>
  <c r="I3074" i="2"/>
  <c r="J3074" i="2" s="1"/>
  <c r="I3075" i="2"/>
  <c r="J3075" i="2" s="1"/>
  <c r="I3076" i="2"/>
  <c r="J3076" i="2" s="1"/>
  <c r="I3077" i="2"/>
  <c r="J3077" i="2" s="1"/>
  <c r="I3078" i="2"/>
  <c r="J3078" i="2" s="1"/>
  <c r="I3079" i="2"/>
  <c r="J3079" i="2" s="1"/>
  <c r="I3080" i="2"/>
  <c r="J3080" i="2" s="1"/>
  <c r="I3081" i="2"/>
  <c r="J3081" i="2" s="1"/>
  <c r="I3082" i="2"/>
  <c r="J3082" i="2" s="1"/>
  <c r="I3083" i="2"/>
  <c r="J3083" i="2" s="1"/>
  <c r="I3084" i="2"/>
  <c r="J3084" i="2" s="1"/>
  <c r="I3085" i="2"/>
  <c r="J3085" i="2" s="1"/>
  <c r="I3086" i="2"/>
  <c r="J3086" i="2" s="1"/>
  <c r="I3087" i="2"/>
  <c r="J3087" i="2" s="1"/>
  <c r="I3088" i="2"/>
  <c r="J3088" i="2" s="1"/>
  <c r="I3089" i="2"/>
  <c r="J3089" i="2" s="1"/>
  <c r="I3090" i="2"/>
  <c r="J3090" i="2" s="1"/>
  <c r="I3091" i="2"/>
  <c r="J3091" i="2" s="1"/>
  <c r="I3092" i="2"/>
  <c r="J3092" i="2" s="1"/>
  <c r="I3093" i="2"/>
  <c r="J3093" i="2" s="1"/>
  <c r="I3094" i="2"/>
  <c r="J3094" i="2" s="1"/>
  <c r="I3095" i="2"/>
  <c r="J3095" i="2" s="1"/>
  <c r="I3096" i="2"/>
  <c r="J3096" i="2" s="1"/>
  <c r="I3097" i="2"/>
  <c r="J3097" i="2" s="1"/>
  <c r="I3098" i="2"/>
  <c r="J3098" i="2" s="1"/>
  <c r="I3099" i="2"/>
  <c r="J3099" i="2" s="1"/>
  <c r="I3100" i="2"/>
  <c r="J3100" i="2" s="1"/>
  <c r="I3101" i="2"/>
  <c r="J3101" i="2" s="1"/>
  <c r="I3102" i="2"/>
  <c r="J3102" i="2" s="1"/>
  <c r="I3103" i="2"/>
  <c r="J3103" i="2" s="1"/>
  <c r="I3104" i="2"/>
  <c r="J3104" i="2" s="1"/>
  <c r="I3105" i="2"/>
  <c r="J3105" i="2" s="1"/>
  <c r="I3106" i="2"/>
  <c r="J3106" i="2" s="1"/>
  <c r="I3107" i="2"/>
  <c r="J3107" i="2" s="1"/>
  <c r="I3108" i="2"/>
  <c r="J3108" i="2" s="1"/>
  <c r="I3109" i="2"/>
  <c r="J3109" i="2" s="1"/>
  <c r="I3110" i="2"/>
  <c r="J3110" i="2" s="1"/>
  <c r="I3111" i="2"/>
  <c r="J3111" i="2" s="1"/>
  <c r="I3112" i="2"/>
  <c r="J3112" i="2" s="1"/>
  <c r="I3113" i="2"/>
  <c r="J3113" i="2" s="1"/>
  <c r="I3114" i="2"/>
  <c r="J3114" i="2" s="1"/>
  <c r="I3115" i="2"/>
  <c r="J3115" i="2" s="1"/>
  <c r="I3116" i="2"/>
  <c r="J3116" i="2" s="1"/>
  <c r="I3117" i="2"/>
  <c r="J3117" i="2" s="1"/>
  <c r="I3118" i="2"/>
  <c r="J3118" i="2" s="1"/>
  <c r="I3119" i="2"/>
  <c r="J3119" i="2" s="1"/>
  <c r="I3120" i="2"/>
  <c r="J3120" i="2" s="1"/>
  <c r="I3121" i="2"/>
  <c r="J3121" i="2" s="1"/>
  <c r="I3122" i="2"/>
  <c r="J3122" i="2" s="1"/>
  <c r="I3123" i="2"/>
  <c r="J3123" i="2" s="1"/>
  <c r="I3124" i="2"/>
  <c r="J3124" i="2" s="1"/>
  <c r="I3125" i="2"/>
  <c r="J3125" i="2" s="1"/>
  <c r="I3126" i="2"/>
  <c r="J3126" i="2" s="1"/>
  <c r="I3127" i="2"/>
  <c r="J3127" i="2" s="1"/>
  <c r="I3128" i="2"/>
  <c r="J3128" i="2" s="1"/>
  <c r="I3129" i="2"/>
  <c r="J3129" i="2" s="1"/>
  <c r="I3130" i="2"/>
  <c r="J3130" i="2" s="1"/>
  <c r="I3131" i="2"/>
  <c r="J3131" i="2" s="1"/>
  <c r="I3132" i="2"/>
  <c r="J3132" i="2" s="1"/>
  <c r="I3133" i="2"/>
  <c r="J3133" i="2" s="1"/>
  <c r="I3134" i="2"/>
  <c r="J3134" i="2" s="1"/>
  <c r="I3135" i="2"/>
  <c r="J3135" i="2" s="1"/>
  <c r="I3136" i="2"/>
  <c r="J3136" i="2" s="1"/>
  <c r="I3137" i="2"/>
  <c r="J3137" i="2" s="1"/>
  <c r="I3138" i="2"/>
  <c r="J3138" i="2" s="1"/>
  <c r="I3139" i="2"/>
  <c r="J3139" i="2" s="1"/>
  <c r="I3140" i="2"/>
  <c r="J3140" i="2" s="1"/>
  <c r="I3141" i="2"/>
  <c r="J3141" i="2" s="1"/>
  <c r="I3142" i="2"/>
  <c r="J3142" i="2" s="1"/>
  <c r="I3143" i="2"/>
  <c r="J3143" i="2" s="1"/>
  <c r="I3144" i="2"/>
  <c r="J3144" i="2" s="1"/>
  <c r="I3145" i="2"/>
  <c r="J3145" i="2" s="1"/>
  <c r="I3146" i="2"/>
  <c r="J3146" i="2" s="1"/>
  <c r="I3147" i="2"/>
  <c r="J3147" i="2" s="1"/>
  <c r="I3148" i="2"/>
  <c r="J3148" i="2" s="1"/>
  <c r="I3149" i="2"/>
  <c r="J3149" i="2" s="1"/>
  <c r="I3150" i="2"/>
  <c r="J3150" i="2" s="1"/>
  <c r="I3151" i="2"/>
  <c r="J3151" i="2" s="1"/>
  <c r="I3152" i="2"/>
  <c r="J3152" i="2" s="1"/>
  <c r="I3153" i="2"/>
  <c r="J3153" i="2" s="1"/>
  <c r="I3154" i="2"/>
  <c r="J3154" i="2" s="1"/>
  <c r="I3155" i="2"/>
  <c r="J3155" i="2" s="1"/>
  <c r="I3156" i="2"/>
  <c r="J3156" i="2" s="1"/>
  <c r="I3157" i="2"/>
  <c r="J3157" i="2" s="1"/>
  <c r="I3158" i="2"/>
  <c r="J3158" i="2" s="1"/>
  <c r="I3159" i="2"/>
  <c r="J3159" i="2" s="1"/>
  <c r="I3160" i="2"/>
  <c r="J3160" i="2" s="1"/>
  <c r="I3161" i="2"/>
  <c r="J3161" i="2" s="1"/>
  <c r="I3162" i="2"/>
  <c r="J3162" i="2" s="1"/>
  <c r="I3163" i="2"/>
  <c r="J3163" i="2" s="1"/>
  <c r="I3164" i="2"/>
  <c r="J3164" i="2" s="1"/>
  <c r="I3165" i="2"/>
  <c r="J3165" i="2" s="1"/>
  <c r="I3166" i="2"/>
  <c r="J3166" i="2" s="1"/>
  <c r="I3167" i="2"/>
  <c r="J3167" i="2" s="1"/>
  <c r="I3168" i="2"/>
  <c r="J3168" i="2" s="1"/>
  <c r="I3169" i="2"/>
  <c r="J3169" i="2" s="1"/>
  <c r="I3170" i="2"/>
  <c r="J3170" i="2" s="1"/>
  <c r="I3171" i="2"/>
  <c r="J3171" i="2" s="1"/>
  <c r="I3172" i="2"/>
  <c r="J3172" i="2" s="1"/>
  <c r="I3173" i="2"/>
  <c r="J3173" i="2" s="1"/>
  <c r="I3174" i="2"/>
  <c r="J3174" i="2" s="1"/>
  <c r="I3175" i="2"/>
  <c r="J3175" i="2" s="1"/>
  <c r="I3176" i="2"/>
  <c r="J3176" i="2" s="1"/>
  <c r="I3177" i="2"/>
  <c r="J3177" i="2" s="1"/>
  <c r="I3178" i="2"/>
  <c r="J3178" i="2" s="1"/>
  <c r="I3179" i="2"/>
  <c r="J3179" i="2" s="1"/>
  <c r="I3180" i="2"/>
  <c r="J3180" i="2" s="1"/>
  <c r="I3181" i="2"/>
  <c r="J3181" i="2" s="1"/>
  <c r="I3182" i="2"/>
  <c r="J3182" i="2" s="1"/>
  <c r="I3183" i="2"/>
  <c r="J3183" i="2" s="1"/>
  <c r="I3184" i="2"/>
  <c r="J3184" i="2" s="1"/>
  <c r="I3185" i="2"/>
  <c r="J3185" i="2" s="1"/>
  <c r="I3186" i="2"/>
  <c r="J3186" i="2" s="1"/>
  <c r="I3187" i="2"/>
  <c r="J3187" i="2" s="1"/>
  <c r="I3188" i="2"/>
  <c r="J3188" i="2" s="1"/>
  <c r="I3189" i="2"/>
  <c r="J3189" i="2" s="1"/>
  <c r="I3190" i="2"/>
  <c r="J3190" i="2" s="1"/>
  <c r="I3191" i="2"/>
  <c r="J3191" i="2" s="1"/>
  <c r="I3192" i="2"/>
  <c r="J3192" i="2" s="1"/>
  <c r="I3193" i="2"/>
  <c r="J3193" i="2" s="1"/>
  <c r="I3194" i="2"/>
  <c r="J3194" i="2" s="1"/>
  <c r="I3195" i="2"/>
  <c r="J3195" i="2" s="1"/>
  <c r="I3196" i="2"/>
  <c r="J3196" i="2" s="1"/>
  <c r="I3197" i="2"/>
  <c r="J3197" i="2" s="1"/>
  <c r="I3198" i="2"/>
  <c r="J3198" i="2" s="1"/>
  <c r="I3199" i="2"/>
  <c r="J3199" i="2" s="1"/>
  <c r="I3200" i="2"/>
  <c r="J3200" i="2" s="1"/>
  <c r="I3201" i="2"/>
  <c r="J3201" i="2" s="1"/>
  <c r="I3202" i="2"/>
  <c r="J3202" i="2" s="1"/>
  <c r="I3203" i="2"/>
  <c r="J3203" i="2" s="1"/>
  <c r="I3204" i="2"/>
  <c r="J3204" i="2" s="1"/>
  <c r="I3205" i="2"/>
  <c r="J3205" i="2" s="1"/>
  <c r="I3206" i="2"/>
  <c r="J3206" i="2" s="1"/>
  <c r="I3207" i="2"/>
  <c r="J3207" i="2" s="1"/>
  <c r="I3208" i="2"/>
  <c r="J3208" i="2" s="1"/>
  <c r="I3209" i="2"/>
  <c r="J3209" i="2" s="1"/>
  <c r="I3210" i="2"/>
  <c r="J3210" i="2" s="1"/>
  <c r="I3211" i="2"/>
  <c r="J3211" i="2" s="1"/>
  <c r="I3212" i="2"/>
  <c r="J3212" i="2" s="1"/>
  <c r="I3213" i="2"/>
  <c r="J3213" i="2" s="1"/>
  <c r="I3214" i="2"/>
  <c r="J3214" i="2" s="1"/>
  <c r="I3215" i="2"/>
  <c r="J3215" i="2" s="1"/>
  <c r="I3216" i="2"/>
  <c r="J3216" i="2" s="1"/>
  <c r="I3217" i="2"/>
  <c r="J3217" i="2" s="1"/>
  <c r="I3218" i="2"/>
  <c r="J3218" i="2" s="1"/>
  <c r="I3219" i="2"/>
  <c r="J3219" i="2" s="1"/>
  <c r="I3220" i="2"/>
  <c r="J3220" i="2" s="1"/>
  <c r="I3221" i="2"/>
  <c r="J3221" i="2" s="1"/>
  <c r="I3222" i="2"/>
  <c r="J3222" i="2" s="1"/>
  <c r="I3223" i="2"/>
  <c r="J3223" i="2" s="1"/>
  <c r="I3224" i="2"/>
  <c r="J3224" i="2" s="1"/>
  <c r="I3225" i="2"/>
  <c r="J3225" i="2" s="1"/>
  <c r="I3226" i="2"/>
  <c r="J3226" i="2" s="1"/>
  <c r="I3227" i="2"/>
  <c r="J3227" i="2" s="1"/>
  <c r="I3228" i="2"/>
  <c r="J3228" i="2" s="1"/>
  <c r="I3229" i="2"/>
  <c r="J3229" i="2" s="1"/>
  <c r="I3230" i="2"/>
  <c r="J3230" i="2" s="1"/>
  <c r="I3231" i="2"/>
  <c r="J3231" i="2" s="1"/>
  <c r="I3232" i="2"/>
  <c r="J3232" i="2" s="1"/>
  <c r="I3233" i="2"/>
  <c r="J3233" i="2" s="1"/>
  <c r="I3234" i="2"/>
  <c r="J3234" i="2" s="1"/>
  <c r="I3235" i="2"/>
  <c r="J3235" i="2" s="1"/>
  <c r="I3236" i="2"/>
  <c r="J3236" i="2" s="1"/>
  <c r="I3237" i="2"/>
  <c r="J3237" i="2" s="1"/>
  <c r="I3238" i="2"/>
  <c r="J3238" i="2" s="1"/>
  <c r="I3239" i="2"/>
  <c r="J3239" i="2" s="1"/>
  <c r="I3240" i="2"/>
  <c r="J3240" i="2" s="1"/>
  <c r="I3241" i="2"/>
  <c r="J3241" i="2" s="1"/>
  <c r="I3242" i="2"/>
  <c r="J3242" i="2" s="1"/>
  <c r="I3243" i="2"/>
  <c r="J3243" i="2" s="1"/>
  <c r="I3244" i="2"/>
  <c r="J3244" i="2" s="1"/>
  <c r="I3245" i="2"/>
  <c r="J3245" i="2" s="1"/>
  <c r="I3246" i="2"/>
  <c r="J3246" i="2" s="1"/>
  <c r="I3247" i="2"/>
  <c r="J3247" i="2" s="1"/>
  <c r="I3248" i="2"/>
  <c r="J3248" i="2" s="1"/>
  <c r="I3249" i="2"/>
  <c r="J3249" i="2" s="1"/>
  <c r="I3250" i="2"/>
  <c r="J3250" i="2" s="1"/>
  <c r="I3251" i="2"/>
  <c r="J3251" i="2" s="1"/>
  <c r="I3252" i="2"/>
  <c r="J3252" i="2" s="1"/>
  <c r="I3253" i="2"/>
  <c r="J3253" i="2" s="1"/>
  <c r="I3254" i="2"/>
  <c r="J3254" i="2" s="1"/>
  <c r="I3255" i="2"/>
  <c r="J3255" i="2" s="1"/>
  <c r="I3256" i="2"/>
  <c r="J3256" i="2" s="1"/>
  <c r="I3257" i="2"/>
  <c r="J3257" i="2" s="1"/>
  <c r="I3258" i="2"/>
  <c r="J3258" i="2" s="1"/>
  <c r="I3259" i="2"/>
  <c r="J3259" i="2" s="1"/>
  <c r="I3260" i="2"/>
  <c r="J3260" i="2" s="1"/>
  <c r="I3261" i="2"/>
  <c r="J3261" i="2" s="1"/>
  <c r="I3262" i="2"/>
  <c r="J3262" i="2" s="1"/>
  <c r="I3263" i="2"/>
  <c r="J3263" i="2" s="1"/>
  <c r="I3264" i="2"/>
  <c r="J3264" i="2" s="1"/>
  <c r="I3265" i="2"/>
  <c r="J3265" i="2" s="1"/>
  <c r="I3266" i="2"/>
  <c r="J3266" i="2" s="1"/>
  <c r="I3267" i="2"/>
  <c r="J3267" i="2" s="1"/>
  <c r="I3268" i="2"/>
  <c r="J3268" i="2" s="1"/>
  <c r="I3269" i="2"/>
  <c r="J3269" i="2" s="1"/>
  <c r="I3270" i="2"/>
  <c r="J3270" i="2" s="1"/>
  <c r="I3271" i="2"/>
  <c r="J3271" i="2" s="1"/>
  <c r="I3272" i="2"/>
  <c r="J3272" i="2" s="1"/>
  <c r="I3273" i="2"/>
  <c r="J3273" i="2" s="1"/>
  <c r="I3274" i="2"/>
  <c r="J3274" i="2" s="1"/>
  <c r="I3275" i="2"/>
  <c r="J3275" i="2" s="1"/>
  <c r="I3276" i="2"/>
  <c r="J3276" i="2" s="1"/>
  <c r="I3277" i="2"/>
  <c r="J3277" i="2" s="1"/>
  <c r="I3278" i="2"/>
  <c r="J3278" i="2" s="1"/>
  <c r="I3279" i="2"/>
  <c r="J3279" i="2" s="1"/>
  <c r="I3280" i="2"/>
  <c r="J3280" i="2" s="1"/>
  <c r="I3281" i="2"/>
  <c r="J3281" i="2" s="1"/>
  <c r="I3282" i="2"/>
  <c r="J3282" i="2" s="1"/>
  <c r="I3283" i="2"/>
  <c r="J3283" i="2" s="1"/>
  <c r="I3284" i="2"/>
  <c r="J3284" i="2" s="1"/>
  <c r="I3285" i="2"/>
  <c r="J3285" i="2" s="1"/>
  <c r="I3286" i="2"/>
  <c r="J3286" i="2" s="1"/>
  <c r="I3287" i="2"/>
  <c r="J3287" i="2" s="1"/>
  <c r="I3288" i="2"/>
  <c r="J3288" i="2" s="1"/>
  <c r="I3289" i="2"/>
  <c r="J3289" i="2" s="1"/>
  <c r="I3290" i="2"/>
  <c r="J3290" i="2" s="1"/>
  <c r="I3291" i="2"/>
  <c r="J3291" i="2" s="1"/>
  <c r="I3292" i="2"/>
  <c r="J3292" i="2" s="1"/>
  <c r="I3293" i="2"/>
  <c r="J3293" i="2" s="1"/>
  <c r="I3294" i="2"/>
  <c r="J3294" i="2" s="1"/>
  <c r="I3295" i="2"/>
  <c r="J3295" i="2" s="1"/>
  <c r="I3296" i="2"/>
  <c r="J3296" i="2" s="1"/>
  <c r="I3297" i="2"/>
  <c r="J3297" i="2" s="1"/>
  <c r="I3298" i="2"/>
  <c r="J3298" i="2" s="1"/>
  <c r="I3299" i="2"/>
  <c r="J3299" i="2" s="1"/>
  <c r="I3300" i="2"/>
  <c r="J3300" i="2" s="1"/>
  <c r="I3301" i="2"/>
  <c r="J3301" i="2" s="1"/>
  <c r="I3302" i="2"/>
  <c r="J3302" i="2" s="1"/>
  <c r="I3303" i="2"/>
  <c r="J3303" i="2" s="1"/>
  <c r="I3304" i="2"/>
  <c r="J3304" i="2" s="1"/>
  <c r="I3305" i="2"/>
  <c r="J3305" i="2" s="1"/>
  <c r="I3306" i="2"/>
  <c r="J3306" i="2" s="1"/>
  <c r="I3307" i="2"/>
  <c r="J3307" i="2" s="1"/>
  <c r="I3308" i="2"/>
  <c r="J3308" i="2" s="1"/>
  <c r="I3309" i="2"/>
  <c r="J3309" i="2" s="1"/>
  <c r="I3310" i="2"/>
  <c r="J3310" i="2" s="1"/>
  <c r="I3311" i="2"/>
  <c r="J3311" i="2" s="1"/>
  <c r="I3312" i="2"/>
  <c r="J3312" i="2" s="1"/>
  <c r="I3313" i="2"/>
  <c r="J3313" i="2" s="1"/>
  <c r="I3314" i="2"/>
  <c r="J3314" i="2" s="1"/>
  <c r="I3315" i="2"/>
  <c r="J3315" i="2" s="1"/>
  <c r="I3316" i="2"/>
  <c r="J3316" i="2" s="1"/>
  <c r="I3317" i="2"/>
  <c r="J3317" i="2" s="1"/>
  <c r="I3318" i="2"/>
  <c r="J3318" i="2" s="1"/>
  <c r="I3319" i="2"/>
  <c r="J3319" i="2" s="1"/>
  <c r="I3320" i="2"/>
  <c r="J3320" i="2" s="1"/>
  <c r="I3321" i="2"/>
  <c r="J3321" i="2" s="1"/>
  <c r="I3322" i="2"/>
  <c r="J3322" i="2" s="1"/>
  <c r="I3323" i="2"/>
  <c r="J3323" i="2" s="1"/>
  <c r="I3324" i="2"/>
  <c r="J3324" i="2" s="1"/>
  <c r="I3325" i="2"/>
  <c r="J3325" i="2" s="1"/>
  <c r="I3326" i="2"/>
  <c r="J3326" i="2" s="1"/>
  <c r="I3327" i="2"/>
  <c r="J3327" i="2" s="1"/>
  <c r="I3328" i="2"/>
  <c r="J3328" i="2" s="1"/>
  <c r="I3329" i="2"/>
  <c r="J3329" i="2" s="1"/>
  <c r="I3330" i="2"/>
  <c r="J3330" i="2" s="1"/>
  <c r="I3331" i="2"/>
  <c r="J3331" i="2" s="1"/>
  <c r="I3332" i="2"/>
  <c r="J3332" i="2" s="1"/>
  <c r="I3333" i="2"/>
  <c r="J3333" i="2" s="1"/>
  <c r="I3334" i="2"/>
  <c r="J3334" i="2" s="1"/>
  <c r="I3335" i="2"/>
  <c r="J3335" i="2" s="1"/>
  <c r="I3336" i="2"/>
  <c r="J3336" i="2" s="1"/>
  <c r="I3337" i="2"/>
  <c r="J3337" i="2" s="1"/>
  <c r="I3338" i="2"/>
  <c r="J3338" i="2" s="1"/>
  <c r="I3339" i="2"/>
  <c r="J3339" i="2" s="1"/>
  <c r="I3340" i="2"/>
  <c r="J3340" i="2" s="1"/>
  <c r="I3341" i="2"/>
  <c r="J3341" i="2" s="1"/>
  <c r="I3342" i="2"/>
  <c r="J3342" i="2" s="1"/>
  <c r="I3343" i="2"/>
  <c r="J3343" i="2" s="1"/>
  <c r="I3344" i="2"/>
  <c r="J3344" i="2" s="1"/>
  <c r="I3345" i="2"/>
  <c r="J3345" i="2" s="1"/>
  <c r="I3346" i="2"/>
  <c r="J3346" i="2" s="1"/>
  <c r="I3347" i="2"/>
  <c r="J3347" i="2" s="1"/>
  <c r="I3348" i="2"/>
  <c r="J3348" i="2" s="1"/>
  <c r="I3349" i="2"/>
  <c r="J3349" i="2" s="1"/>
  <c r="I3350" i="2"/>
  <c r="J3350" i="2" s="1"/>
  <c r="I3351" i="2"/>
  <c r="J3351" i="2" s="1"/>
  <c r="I3352" i="2"/>
  <c r="J3352" i="2" s="1"/>
  <c r="I3353" i="2"/>
  <c r="J3353" i="2" s="1"/>
  <c r="I3354" i="2"/>
  <c r="J3354" i="2" s="1"/>
  <c r="I3355" i="2"/>
  <c r="J3355" i="2" s="1"/>
  <c r="I3356" i="2"/>
  <c r="J3356" i="2" s="1"/>
  <c r="I3357" i="2"/>
  <c r="J3357" i="2" s="1"/>
  <c r="I3358" i="2"/>
  <c r="J3358" i="2" s="1"/>
  <c r="I3359" i="2"/>
  <c r="J3359" i="2" s="1"/>
  <c r="I3360" i="2"/>
  <c r="J3360" i="2" s="1"/>
  <c r="I3361" i="2"/>
  <c r="J3361" i="2" s="1"/>
  <c r="I3362" i="2"/>
  <c r="J3362" i="2" s="1"/>
  <c r="I3363" i="2"/>
  <c r="J3363" i="2" s="1"/>
  <c r="I3364" i="2"/>
  <c r="J3364" i="2" s="1"/>
  <c r="I3365" i="2"/>
  <c r="J3365" i="2" s="1"/>
  <c r="I3366" i="2"/>
  <c r="J3366" i="2" s="1"/>
  <c r="I3367" i="2"/>
  <c r="J3367" i="2" s="1"/>
  <c r="I3368" i="2"/>
  <c r="J3368" i="2" s="1"/>
  <c r="I3369" i="2"/>
  <c r="J3369" i="2" s="1"/>
  <c r="I3370" i="2"/>
  <c r="J3370" i="2" s="1"/>
  <c r="I3371" i="2"/>
  <c r="J3371" i="2" s="1"/>
  <c r="I3372" i="2"/>
  <c r="J3372" i="2" s="1"/>
  <c r="I3373" i="2"/>
  <c r="J3373" i="2" s="1"/>
  <c r="I3374" i="2"/>
  <c r="J3374" i="2" s="1"/>
  <c r="I3375" i="2"/>
  <c r="J3375" i="2" s="1"/>
  <c r="I3376" i="2"/>
  <c r="J3376" i="2" s="1"/>
  <c r="I3377" i="2"/>
  <c r="J3377" i="2" s="1"/>
  <c r="I3378" i="2"/>
  <c r="J3378" i="2" s="1"/>
  <c r="I3379" i="2"/>
  <c r="J3379" i="2" s="1"/>
  <c r="I3380" i="2"/>
  <c r="J3380" i="2" s="1"/>
  <c r="I3381" i="2"/>
  <c r="J3381" i="2" s="1"/>
  <c r="I3382" i="2"/>
  <c r="J3382" i="2" s="1"/>
  <c r="I3383" i="2"/>
  <c r="J3383" i="2" s="1"/>
  <c r="I3384" i="2"/>
  <c r="J3384" i="2" s="1"/>
  <c r="I3385" i="2"/>
  <c r="J3385" i="2" s="1"/>
  <c r="I3386" i="2"/>
  <c r="J3386" i="2" s="1"/>
  <c r="I3387" i="2"/>
  <c r="J3387" i="2" s="1"/>
  <c r="I3388" i="2"/>
  <c r="J3388" i="2" s="1"/>
  <c r="I3389" i="2"/>
  <c r="J3389" i="2" s="1"/>
  <c r="I3390" i="2"/>
  <c r="J3390" i="2" s="1"/>
  <c r="I3391" i="2"/>
  <c r="J3391" i="2" s="1"/>
  <c r="I3392" i="2"/>
  <c r="J3392" i="2" s="1"/>
  <c r="I3393" i="2"/>
  <c r="J3393" i="2" s="1"/>
  <c r="I3394" i="2"/>
  <c r="J3394" i="2" s="1"/>
  <c r="I3395" i="2"/>
  <c r="J3395" i="2" s="1"/>
  <c r="I3396" i="2"/>
  <c r="J3396" i="2" s="1"/>
  <c r="I3397" i="2"/>
  <c r="J3397" i="2" s="1"/>
  <c r="I3398" i="2"/>
  <c r="J3398" i="2" s="1"/>
  <c r="I3399" i="2"/>
  <c r="J3399" i="2" s="1"/>
  <c r="I3400" i="2"/>
  <c r="J3400" i="2" s="1"/>
  <c r="I3401" i="2"/>
  <c r="J3401" i="2" s="1"/>
  <c r="I3402" i="2"/>
  <c r="J3402" i="2" s="1"/>
  <c r="I3403" i="2"/>
  <c r="J3403" i="2" s="1"/>
  <c r="I3404" i="2"/>
  <c r="J3404" i="2" s="1"/>
  <c r="I3405" i="2"/>
  <c r="J3405" i="2" s="1"/>
  <c r="I3406" i="2"/>
  <c r="J3406" i="2" s="1"/>
  <c r="I3407" i="2"/>
  <c r="J3407" i="2" s="1"/>
  <c r="I3408" i="2"/>
  <c r="J3408" i="2" s="1"/>
  <c r="I3409" i="2"/>
  <c r="J3409" i="2" s="1"/>
  <c r="I3410" i="2"/>
  <c r="J3410" i="2" s="1"/>
  <c r="I3411" i="2"/>
  <c r="J3411" i="2" s="1"/>
  <c r="I3412" i="2"/>
  <c r="J3412" i="2" s="1"/>
  <c r="I3413" i="2"/>
  <c r="J3413" i="2" s="1"/>
  <c r="I3414" i="2"/>
  <c r="J3414" i="2" s="1"/>
  <c r="I3415" i="2"/>
  <c r="J3415" i="2" s="1"/>
  <c r="I3416" i="2"/>
  <c r="J3416" i="2" s="1"/>
  <c r="I3417" i="2"/>
  <c r="J3417" i="2" s="1"/>
  <c r="I3418" i="2"/>
  <c r="J3418" i="2" s="1"/>
  <c r="I3419" i="2"/>
  <c r="J3419" i="2" s="1"/>
  <c r="I3420" i="2"/>
  <c r="J3420" i="2" s="1"/>
  <c r="I3421" i="2"/>
  <c r="J3421" i="2" s="1"/>
  <c r="I3422" i="2"/>
  <c r="J3422" i="2" s="1"/>
  <c r="I3423" i="2"/>
  <c r="J3423" i="2" s="1"/>
  <c r="I3424" i="2"/>
  <c r="J3424" i="2" s="1"/>
  <c r="I3425" i="2"/>
  <c r="J3425" i="2" s="1"/>
  <c r="I3426" i="2"/>
  <c r="J3426" i="2" s="1"/>
  <c r="I3427" i="2"/>
  <c r="J3427" i="2" s="1"/>
  <c r="I3428" i="2"/>
  <c r="J3428" i="2" s="1"/>
  <c r="I3429" i="2"/>
  <c r="J3429" i="2" s="1"/>
  <c r="I3430" i="2"/>
  <c r="J3430" i="2" s="1"/>
  <c r="I3431" i="2"/>
  <c r="J3431" i="2" s="1"/>
  <c r="I3432" i="2"/>
  <c r="J3432" i="2" s="1"/>
  <c r="I3433" i="2"/>
  <c r="J3433" i="2" s="1"/>
  <c r="I3434" i="2"/>
  <c r="J3434" i="2" s="1"/>
  <c r="I3435" i="2"/>
  <c r="J3435" i="2" s="1"/>
  <c r="I3436" i="2"/>
  <c r="J3436" i="2" s="1"/>
  <c r="I3437" i="2"/>
  <c r="J3437" i="2" s="1"/>
  <c r="I3438" i="2"/>
  <c r="J3438" i="2" s="1"/>
  <c r="I3439" i="2"/>
  <c r="J3439" i="2" s="1"/>
  <c r="I3440" i="2"/>
  <c r="J3440" i="2" s="1"/>
  <c r="I3441" i="2"/>
  <c r="J3441" i="2" s="1"/>
  <c r="I3442" i="2"/>
  <c r="J3442" i="2" s="1"/>
  <c r="I3443" i="2"/>
  <c r="J3443" i="2" s="1"/>
  <c r="I3444" i="2"/>
  <c r="J3444" i="2" s="1"/>
  <c r="I3445" i="2"/>
  <c r="J3445" i="2" s="1"/>
  <c r="I3446" i="2"/>
  <c r="J3446" i="2" s="1"/>
  <c r="I3447" i="2"/>
  <c r="J3447" i="2" s="1"/>
  <c r="I3448" i="2"/>
  <c r="J3448" i="2" s="1"/>
  <c r="I3449" i="2"/>
  <c r="J3449" i="2" s="1"/>
  <c r="I3450" i="2"/>
  <c r="J3450" i="2" s="1"/>
  <c r="I3451" i="2"/>
  <c r="J3451" i="2" s="1"/>
  <c r="I3452" i="2"/>
  <c r="J3452" i="2" s="1"/>
  <c r="I3453" i="2"/>
  <c r="J3453" i="2" s="1"/>
  <c r="I3454" i="2"/>
  <c r="J3454" i="2" s="1"/>
  <c r="I3455" i="2"/>
  <c r="J3455" i="2" s="1"/>
  <c r="I3456" i="2"/>
  <c r="J3456" i="2" s="1"/>
  <c r="I3457" i="2"/>
  <c r="J3457" i="2" s="1"/>
  <c r="I3458" i="2"/>
  <c r="J3458" i="2" s="1"/>
  <c r="I3459" i="2"/>
  <c r="J3459" i="2" s="1"/>
  <c r="I3460" i="2"/>
  <c r="J3460" i="2" s="1"/>
  <c r="I3461" i="2"/>
  <c r="J3461" i="2" s="1"/>
  <c r="I3462" i="2"/>
  <c r="J3462" i="2" s="1"/>
  <c r="I3463" i="2"/>
  <c r="J3463" i="2" s="1"/>
  <c r="I3464" i="2"/>
  <c r="J3464" i="2" s="1"/>
  <c r="I3465" i="2"/>
  <c r="J3465" i="2" s="1"/>
  <c r="I3466" i="2"/>
  <c r="J3466" i="2" s="1"/>
  <c r="I3467" i="2"/>
  <c r="J3467" i="2" s="1"/>
  <c r="I3468" i="2"/>
  <c r="J3468" i="2" s="1"/>
  <c r="I3469" i="2"/>
  <c r="J3469" i="2" s="1"/>
  <c r="I3470" i="2"/>
  <c r="J3470" i="2" s="1"/>
  <c r="I3471" i="2"/>
  <c r="J3471" i="2" s="1"/>
  <c r="I3472" i="2"/>
  <c r="J3472" i="2" s="1"/>
  <c r="I3473" i="2"/>
  <c r="J3473" i="2" s="1"/>
  <c r="I3474" i="2"/>
  <c r="J3474" i="2" s="1"/>
  <c r="I3475" i="2"/>
  <c r="J3475" i="2" s="1"/>
  <c r="I3476" i="2"/>
  <c r="J3476" i="2" s="1"/>
  <c r="I3477" i="2"/>
  <c r="J3477" i="2" s="1"/>
  <c r="I3478" i="2"/>
  <c r="J3478" i="2" s="1"/>
  <c r="I3479" i="2"/>
  <c r="J3479" i="2" s="1"/>
  <c r="I3480" i="2"/>
  <c r="J3480" i="2" s="1"/>
  <c r="I3481" i="2"/>
  <c r="J3481" i="2" s="1"/>
  <c r="I3482" i="2"/>
  <c r="J3482" i="2" s="1"/>
  <c r="I3483" i="2"/>
  <c r="J3483" i="2" s="1"/>
  <c r="I3484" i="2"/>
  <c r="J3484" i="2" s="1"/>
  <c r="I3485" i="2"/>
  <c r="J3485" i="2" s="1"/>
  <c r="I3486" i="2"/>
  <c r="J3486" i="2" s="1"/>
  <c r="I3487" i="2"/>
  <c r="J3487" i="2" s="1"/>
  <c r="I3488" i="2"/>
  <c r="J3488" i="2" s="1"/>
  <c r="I3489" i="2"/>
  <c r="J3489" i="2" s="1"/>
  <c r="I3490" i="2"/>
  <c r="J3490" i="2" s="1"/>
  <c r="I3491" i="2"/>
  <c r="J3491" i="2" s="1"/>
  <c r="I3492" i="2"/>
  <c r="J3492" i="2" s="1"/>
  <c r="I3493" i="2"/>
  <c r="J3493" i="2" s="1"/>
  <c r="I3494" i="2"/>
  <c r="J3494" i="2" s="1"/>
  <c r="I3495" i="2"/>
  <c r="J3495" i="2" s="1"/>
  <c r="I3496" i="2"/>
  <c r="J3496" i="2" s="1"/>
  <c r="I3497" i="2"/>
  <c r="J3497" i="2" s="1"/>
  <c r="I3498" i="2"/>
  <c r="J3498" i="2" s="1"/>
  <c r="I3499" i="2"/>
  <c r="J3499" i="2" s="1"/>
  <c r="I3500" i="2"/>
  <c r="J3500" i="2" s="1"/>
  <c r="I3501" i="2"/>
  <c r="J3501" i="2" s="1"/>
  <c r="I3502" i="2"/>
  <c r="J3502" i="2" s="1"/>
  <c r="I3503" i="2"/>
  <c r="J3503" i="2" s="1"/>
  <c r="I3504" i="2"/>
  <c r="J3504" i="2" s="1"/>
  <c r="I3505" i="2"/>
  <c r="J3505" i="2" s="1"/>
  <c r="I3506" i="2"/>
  <c r="J3506" i="2" s="1"/>
  <c r="I3507" i="2"/>
  <c r="J3507" i="2" s="1"/>
  <c r="I3508" i="2"/>
  <c r="J3508" i="2" s="1"/>
  <c r="I3509" i="2"/>
  <c r="J3509" i="2" s="1"/>
  <c r="I3510" i="2"/>
  <c r="J3510" i="2" s="1"/>
  <c r="I3511" i="2"/>
  <c r="J3511" i="2" s="1"/>
  <c r="I3512" i="2"/>
  <c r="J3512" i="2" s="1"/>
  <c r="I3513" i="2"/>
  <c r="J3513" i="2" s="1"/>
  <c r="I3514" i="2"/>
  <c r="J3514" i="2" s="1"/>
  <c r="I3515" i="2"/>
  <c r="J3515" i="2" s="1"/>
  <c r="I3516" i="2"/>
  <c r="J3516" i="2" s="1"/>
  <c r="I3517" i="2"/>
  <c r="J3517" i="2" s="1"/>
  <c r="I3518" i="2"/>
  <c r="J3518" i="2" s="1"/>
  <c r="I3519" i="2"/>
  <c r="J3519" i="2" s="1"/>
  <c r="I3520" i="2"/>
  <c r="J3520" i="2" s="1"/>
  <c r="I3521" i="2"/>
  <c r="J3521" i="2" s="1"/>
  <c r="I3522" i="2"/>
  <c r="J3522" i="2" s="1"/>
  <c r="I3523" i="2"/>
  <c r="J3523" i="2" s="1"/>
  <c r="I3524" i="2"/>
  <c r="J3524" i="2" s="1"/>
  <c r="I3525" i="2"/>
  <c r="J3525" i="2" s="1"/>
  <c r="I3526" i="2"/>
  <c r="J3526" i="2" s="1"/>
  <c r="I3527" i="2"/>
  <c r="J3527" i="2" s="1"/>
  <c r="I3528" i="2"/>
  <c r="J3528" i="2" s="1"/>
  <c r="I3529" i="2"/>
  <c r="J3529" i="2" s="1"/>
  <c r="I3530" i="2"/>
  <c r="J3530" i="2" s="1"/>
  <c r="I3531" i="2"/>
  <c r="J3531" i="2" s="1"/>
  <c r="I3532" i="2"/>
  <c r="J3532" i="2" s="1"/>
  <c r="I3533" i="2"/>
  <c r="J3533" i="2" s="1"/>
  <c r="I3534" i="2"/>
  <c r="J3534" i="2" s="1"/>
  <c r="I3535" i="2"/>
  <c r="J3535" i="2" s="1"/>
  <c r="I3536" i="2"/>
  <c r="J3536" i="2" s="1"/>
  <c r="I3537" i="2"/>
  <c r="J3537" i="2" s="1"/>
  <c r="I3538" i="2"/>
  <c r="J3538" i="2" s="1"/>
  <c r="I3539" i="2"/>
  <c r="J3539" i="2" s="1"/>
  <c r="I3540" i="2"/>
  <c r="J3540" i="2" s="1"/>
  <c r="I3541" i="2"/>
  <c r="J3541" i="2" s="1"/>
  <c r="I3542" i="2"/>
  <c r="J3542" i="2" s="1"/>
  <c r="I3543" i="2"/>
  <c r="J3543" i="2" s="1"/>
  <c r="I3544" i="2"/>
  <c r="J3544" i="2" s="1"/>
  <c r="I3545" i="2"/>
  <c r="J3545" i="2" s="1"/>
  <c r="I3546" i="2"/>
  <c r="J3546" i="2" s="1"/>
  <c r="I3547" i="2"/>
  <c r="J3547" i="2" s="1"/>
  <c r="I3548" i="2"/>
  <c r="J3548" i="2" s="1"/>
  <c r="I3549" i="2"/>
  <c r="J3549" i="2" s="1"/>
  <c r="I3550" i="2"/>
  <c r="J3550" i="2" s="1"/>
  <c r="I3551" i="2"/>
  <c r="J3551" i="2" s="1"/>
  <c r="I3552" i="2"/>
  <c r="J3552" i="2" s="1"/>
  <c r="I3553" i="2"/>
  <c r="J3553" i="2" s="1"/>
  <c r="I3554" i="2"/>
  <c r="J3554" i="2" s="1"/>
  <c r="I3555" i="2"/>
  <c r="J3555" i="2" s="1"/>
  <c r="I3556" i="2"/>
  <c r="J3556" i="2" s="1"/>
  <c r="I3557" i="2"/>
  <c r="J3557" i="2" s="1"/>
  <c r="I3558" i="2"/>
  <c r="J3558" i="2" s="1"/>
  <c r="I3559" i="2"/>
  <c r="J3559" i="2" s="1"/>
  <c r="I3560" i="2"/>
  <c r="J3560" i="2" s="1"/>
  <c r="I3561" i="2"/>
  <c r="J3561" i="2" s="1"/>
  <c r="I3562" i="2"/>
  <c r="J3562" i="2" s="1"/>
  <c r="I3563" i="2"/>
  <c r="J3563" i="2" s="1"/>
  <c r="I3564" i="2"/>
  <c r="J3564" i="2" s="1"/>
  <c r="I3565" i="2"/>
  <c r="J3565" i="2" s="1"/>
  <c r="I3566" i="2"/>
  <c r="J3566" i="2" s="1"/>
  <c r="I3567" i="2"/>
  <c r="J3567" i="2" s="1"/>
  <c r="I3568" i="2"/>
  <c r="J3568" i="2" s="1"/>
  <c r="I3569" i="2"/>
  <c r="J3569" i="2" s="1"/>
  <c r="I3570" i="2"/>
  <c r="J3570" i="2" s="1"/>
  <c r="I3571" i="2"/>
  <c r="J3571" i="2" s="1"/>
  <c r="I3572" i="2"/>
  <c r="J3572" i="2" s="1"/>
  <c r="I3573" i="2"/>
  <c r="J3573" i="2" s="1"/>
  <c r="I3574" i="2"/>
  <c r="J3574" i="2" s="1"/>
  <c r="I3575" i="2"/>
  <c r="J3575" i="2" s="1"/>
  <c r="I3576" i="2"/>
  <c r="J3576" i="2" s="1"/>
  <c r="I3577" i="2"/>
  <c r="J3577" i="2" s="1"/>
  <c r="I3578" i="2"/>
  <c r="J3578" i="2" s="1"/>
  <c r="I3579" i="2"/>
  <c r="J3579" i="2" s="1"/>
  <c r="I3580" i="2"/>
  <c r="J3580" i="2" s="1"/>
  <c r="I3581" i="2"/>
  <c r="J3581" i="2" s="1"/>
  <c r="I3582" i="2"/>
  <c r="J3582" i="2" s="1"/>
  <c r="I3583" i="2"/>
  <c r="J3583" i="2" s="1"/>
  <c r="I3584" i="2"/>
  <c r="J3584" i="2" s="1"/>
  <c r="I3585" i="2"/>
  <c r="J3585" i="2" s="1"/>
  <c r="I3586" i="2"/>
  <c r="J3586" i="2" s="1"/>
  <c r="I3587" i="2"/>
  <c r="J3587" i="2" s="1"/>
  <c r="I3588" i="2"/>
  <c r="J3588" i="2" s="1"/>
  <c r="I3589" i="2"/>
  <c r="J3589" i="2" s="1"/>
  <c r="I3590" i="2"/>
  <c r="J3590" i="2" s="1"/>
  <c r="I3591" i="2"/>
  <c r="J3591" i="2" s="1"/>
  <c r="I3592" i="2"/>
  <c r="J3592" i="2" s="1"/>
  <c r="I3593" i="2"/>
  <c r="J3593" i="2" s="1"/>
  <c r="I3594" i="2"/>
  <c r="J3594" i="2" s="1"/>
  <c r="I3595" i="2"/>
  <c r="J3595" i="2" s="1"/>
  <c r="I3596" i="2"/>
  <c r="J3596" i="2" s="1"/>
  <c r="I3597" i="2"/>
  <c r="J3597" i="2" s="1"/>
  <c r="I3598" i="2"/>
  <c r="J3598" i="2" s="1"/>
  <c r="I3599" i="2"/>
  <c r="J3599" i="2" s="1"/>
  <c r="I3600" i="2"/>
  <c r="J3600" i="2" s="1"/>
  <c r="I3601" i="2"/>
  <c r="J3601" i="2" s="1"/>
  <c r="I3602" i="2"/>
  <c r="J3602" i="2" s="1"/>
  <c r="I3603" i="2"/>
  <c r="J3603" i="2" s="1"/>
  <c r="I3604" i="2"/>
  <c r="J3604" i="2" s="1"/>
  <c r="I3605" i="2"/>
  <c r="J3605" i="2" s="1"/>
  <c r="I3606" i="2"/>
  <c r="J3606" i="2" s="1"/>
  <c r="I3607" i="2"/>
  <c r="J3607" i="2" s="1"/>
  <c r="I3608" i="2"/>
  <c r="J3608" i="2" s="1"/>
  <c r="I3609" i="2"/>
  <c r="J3609" i="2" s="1"/>
  <c r="I3610" i="2"/>
  <c r="J3610" i="2" s="1"/>
  <c r="I3611" i="2"/>
  <c r="J3611" i="2" s="1"/>
  <c r="I3612" i="2"/>
  <c r="J3612" i="2" s="1"/>
  <c r="I3613" i="2"/>
  <c r="J3613" i="2" s="1"/>
  <c r="I3614" i="2"/>
  <c r="J3614" i="2" s="1"/>
  <c r="I3615" i="2"/>
  <c r="J3615" i="2" s="1"/>
  <c r="I3616" i="2"/>
  <c r="J3616" i="2" s="1"/>
  <c r="I3617" i="2"/>
  <c r="J3617" i="2" s="1"/>
  <c r="I3618" i="2"/>
  <c r="J3618" i="2" s="1"/>
  <c r="I3619" i="2"/>
  <c r="J3619" i="2" s="1"/>
  <c r="I3620" i="2"/>
  <c r="J3620" i="2" s="1"/>
  <c r="I3621" i="2"/>
  <c r="J3621" i="2" s="1"/>
  <c r="I3622" i="2"/>
  <c r="J3622" i="2" s="1"/>
  <c r="I3623" i="2"/>
  <c r="J3623" i="2" s="1"/>
  <c r="I3624" i="2"/>
  <c r="J3624" i="2" s="1"/>
  <c r="I3625" i="2"/>
  <c r="J3625" i="2" s="1"/>
  <c r="I3626" i="2"/>
  <c r="J3626" i="2" s="1"/>
  <c r="I3627" i="2"/>
  <c r="J3627" i="2" s="1"/>
  <c r="I3628" i="2"/>
  <c r="J3628" i="2" s="1"/>
  <c r="I3629" i="2"/>
  <c r="J3629" i="2" s="1"/>
  <c r="I3630" i="2"/>
  <c r="J3630" i="2" s="1"/>
  <c r="I3631" i="2"/>
  <c r="J3631" i="2" s="1"/>
  <c r="I3632" i="2"/>
  <c r="J3632" i="2" s="1"/>
  <c r="I3633" i="2"/>
  <c r="J3633" i="2" s="1"/>
  <c r="I3634" i="2"/>
  <c r="J3634" i="2" s="1"/>
  <c r="I3635" i="2"/>
  <c r="J3635" i="2" s="1"/>
  <c r="I3636" i="2"/>
  <c r="J3636" i="2" s="1"/>
  <c r="I3637" i="2"/>
  <c r="J3637" i="2" s="1"/>
  <c r="I3638" i="2"/>
  <c r="J3638" i="2" s="1"/>
  <c r="I3639" i="2"/>
  <c r="J3639" i="2" s="1"/>
  <c r="I3640" i="2"/>
  <c r="J3640" i="2" s="1"/>
  <c r="I3641" i="2"/>
  <c r="J3641" i="2" s="1"/>
  <c r="I3642" i="2"/>
  <c r="J3642" i="2" s="1"/>
  <c r="I3643" i="2"/>
  <c r="J3643" i="2" s="1"/>
  <c r="I3644" i="2"/>
  <c r="J3644" i="2" s="1"/>
  <c r="I3645" i="2"/>
  <c r="J3645" i="2" s="1"/>
  <c r="I3646" i="2"/>
  <c r="J3646" i="2" s="1"/>
  <c r="I3647" i="2"/>
  <c r="J3647" i="2" s="1"/>
  <c r="I3648" i="2"/>
  <c r="J3648" i="2" s="1"/>
  <c r="I3649" i="2"/>
  <c r="J3649" i="2" s="1"/>
  <c r="I3650" i="2"/>
  <c r="J3650" i="2" s="1"/>
  <c r="I3651" i="2"/>
  <c r="J3651" i="2" s="1"/>
  <c r="I3652" i="2"/>
  <c r="J3652" i="2" s="1"/>
  <c r="I3653" i="2"/>
  <c r="J3653" i="2" s="1"/>
  <c r="I3654" i="2"/>
  <c r="J3654" i="2" s="1"/>
  <c r="I3655" i="2"/>
  <c r="J3655" i="2" s="1"/>
  <c r="I3656" i="2"/>
  <c r="J3656" i="2" s="1"/>
  <c r="I3657" i="2"/>
  <c r="J3657" i="2" s="1"/>
  <c r="I3658" i="2"/>
  <c r="J3658" i="2" s="1"/>
  <c r="I3659" i="2"/>
  <c r="J3659" i="2" s="1"/>
  <c r="I3660" i="2"/>
  <c r="J3660" i="2" s="1"/>
  <c r="I3661" i="2"/>
  <c r="J3661" i="2" s="1"/>
  <c r="I3662" i="2"/>
  <c r="J3662" i="2" s="1"/>
  <c r="I3663" i="2"/>
  <c r="J3663" i="2" s="1"/>
  <c r="I3664" i="2"/>
  <c r="J3664" i="2" s="1"/>
  <c r="I3665" i="2"/>
  <c r="J3665" i="2" s="1"/>
  <c r="I3666" i="2"/>
  <c r="J3666" i="2" s="1"/>
  <c r="I3667" i="2"/>
  <c r="J3667" i="2" s="1"/>
  <c r="I3668" i="2"/>
  <c r="J3668" i="2" s="1"/>
  <c r="I3669" i="2"/>
  <c r="J3669" i="2" s="1"/>
  <c r="I3670" i="2"/>
  <c r="J3670" i="2" s="1"/>
  <c r="I3671" i="2"/>
  <c r="J3671" i="2" s="1"/>
  <c r="I3672" i="2"/>
  <c r="J3672" i="2" s="1"/>
  <c r="I3673" i="2"/>
  <c r="J3673" i="2" s="1"/>
  <c r="I3674" i="2"/>
  <c r="J3674" i="2" s="1"/>
  <c r="I3675" i="2"/>
  <c r="J3675" i="2" s="1"/>
  <c r="I3676" i="2"/>
  <c r="J3676" i="2" s="1"/>
  <c r="I3677" i="2"/>
  <c r="J3677" i="2" s="1"/>
  <c r="I3678" i="2"/>
  <c r="J3678" i="2" s="1"/>
  <c r="I3679" i="2"/>
  <c r="J3679" i="2" s="1"/>
  <c r="I3680" i="2"/>
  <c r="J3680" i="2" s="1"/>
  <c r="I3681" i="2"/>
  <c r="J3681" i="2" s="1"/>
  <c r="I3682" i="2"/>
  <c r="J3682" i="2" s="1"/>
  <c r="I3683" i="2"/>
  <c r="J3683" i="2" s="1"/>
  <c r="I3684" i="2"/>
  <c r="J3684" i="2" s="1"/>
  <c r="I3685" i="2"/>
  <c r="J3685" i="2" s="1"/>
  <c r="I3686" i="2"/>
  <c r="J3686" i="2" s="1"/>
  <c r="I3687" i="2"/>
  <c r="J3687" i="2" s="1"/>
  <c r="I3688" i="2"/>
  <c r="J3688" i="2" s="1"/>
  <c r="I3689" i="2"/>
  <c r="J3689" i="2" s="1"/>
  <c r="I3690" i="2"/>
  <c r="J3690" i="2" s="1"/>
  <c r="I3691" i="2"/>
  <c r="J3691" i="2" s="1"/>
  <c r="I3692" i="2"/>
  <c r="J3692" i="2" s="1"/>
  <c r="I3693" i="2"/>
  <c r="J3693" i="2" s="1"/>
  <c r="I3694" i="2"/>
  <c r="J3694" i="2" s="1"/>
  <c r="I3695" i="2"/>
  <c r="J3695" i="2" s="1"/>
  <c r="I3696" i="2"/>
  <c r="J3696" i="2" s="1"/>
  <c r="I3697" i="2"/>
  <c r="J3697" i="2" s="1"/>
  <c r="I3698" i="2"/>
  <c r="J3698" i="2" s="1"/>
  <c r="I3699" i="2"/>
  <c r="J3699" i="2" s="1"/>
  <c r="I3700" i="2"/>
  <c r="J3700" i="2" s="1"/>
  <c r="I3701" i="2"/>
  <c r="J3701" i="2" s="1"/>
  <c r="I3702" i="2"/>
  <c r="J3702" i="2" s="1"/>
  <c r="I3703" i="2"/>
  <c r="J3703" i="2" s="1"/>
  <c r="I3704" i="2"/>
  <c r="J3704" i="2" s="1"/>
  <c r="I3705" i="2"/>
  <c r="J3705" i="2" s="1"/>
  <c r="I3706" i="2"/>
  <c r="J3706" i="2" s="1"/>
  <c r="I3707" i="2"/>
  <c r="J3707" i="2" s="1"/>
  <c r="I3708" i="2"/>
  <c r="J3708" i="2" s="1"/>
  <c r="I3709" i="2"/>
  <c r="J3709" i="2" s="1"/>
  <c r="I3710" i="2"/>
  <c r="J3710" i="2" s="1"/>
  <c r="I3711" i="2"/>
  <c r="J3711" i="2" s="1"/>
  <c r="I3712" i="2"/>
  <c r="J3712" i="2" s="1"/>
  <c r="I3713" i="2"/>
  <c r="J3713" i="2" s="1"/>
  <c r="I3714" i="2"/>
  <c r="J3714" i="2" s="1"/>
  <c r="I3715" i="2"/>
  <c r="J3715" i="2" s="1"/>
  <c r="I3716" i="2"/>
  <c r="J3716" i="2" s="1"/>
  <c r="I3717" i="2"/>
  <c r="J3717" i="2" s="1"/>
  <c r="I3718" i="2"/>
  <c r="J3718" i="2" s="1"/>
  <c r="I3719" i="2"/>
  <c r="J3719" i="2" s="1"/>
  <c r="I3720" i="2"/>
  <c r="J3720" i="2" s="1"/>
  <c r="I3721" i="2"/>
  <c r="J3721" i="2" s="1"/>
  <c r="I3722" i="2"/>
  <c r="J3722" i="2" s="1"/>
  <c r="I3723" i="2"/>
  <c r="J3723" i="2" s="1"/>
  <c r="I3724" i="2"/>
  <c r="J3724" i="2" s="1"/>
  <c r="I3725" i="2"/>
  <c r="J3725" i="2" s="1"/>
  <c r="I3726" i="2"/>
  <c r="J3726" i="2" s="1"/>
  <c r="I3727" i="2"/>
  <c r="J3727" i="2" s="1"/>
  <c r="I3728" i="2"/>
  <c r="J3728" i="2" s="1"/>
  <c r="I3729" i="2"/>
  <c r="J3729" i="2" s="1"/>
  <c r="I3730" i="2"/>
  <c r="J3730" i="2" s="1"/>
  <c r="I3731" i="2"/>
  <c r="J3731" i="2" s="1"/>
  <c r="I3732" i="2"/>
  <c r="J3732" i="2" s="1"/>
  <c r="I3733" i="2"/>
  <c r="J3733" i="2" s="1"/>
  <c r="I3734" i="2"/>
  <c r="J3734" i="2" s="1"/>
  <c r="I3735" i="2"/>
  <c r="J3735" i="2" s="1"/>
  <c r="I3736" i="2"/>
  <c r="J3736" i="2" s="1"/>
  <c r="I3737" i="2"/>
  <c r="J3737" i="2" s="1"/>
  <c r="I3738" i="2"/>
  <c r="J3738" i="2" s="1"/>
  <c r="I3739" i="2"/>
  <c r="J3739" i="2" s="1"/>
  <c r="I3740" i="2"/>
  <c r="J3740" i="2" s="1"/>
  <c r="I3741" i="2"/>
  <c r="J3741" i="2" s="1"/>
  <c r="I3742" i="2"/>
  <c r="J3742" i="2" s="1"/>
  <c r="I3743" i="2"/>
  <c r="J3743" i="2" s="1"/>
  <c r="I3744" i="2"/>
  <c r="J3744" i="2" s="1"/>
  <c r="I3745" i="2"/>
  <c r="J3745" i="2" s="1"/>
  <c r="I3746" i="2"/>
  <c r="J3746" i="2" s="1"/>
  <c r="I3747" i="2"/>
  <c r="J3747" i="2" s="1"/>
  <c r="I3748" i="2"/>
  <c r="J3748" i="2" s="1"/>
  <c r="I3749" i="2"/>
  <c r="J3749" i="2" s="1"/>
  <c r="I3750" i="2"/>
  <c r="J3750" i="2" s="1"/>
  <c r="I3751" i="2"/>
  <c r="J3751" i="2" s="1"/>
  <c r="I3752" i="2"/>
  <c r="J3752" i="2" s="1"/>
  <c r="I3753" i="2"/>
  <c r="J3753" i="2" s="1"/>
  <c r="I3754" i="2"/>
  <c r="J3754" i="2" s="1"/>
  <c r="I3755" i="2"/>
  <c r="J3755" i="2" s="1"/>
  <c r="I3756" i="2"/>
  <c r="J3756" i="2" s="1"/>
  <c r="I3757" i="2"/>
  <c r="J3757" i="2" s="1"/>
  <c r="I3758" i="2"/>
  <c r="J3758" i="2" s="1"/>
  <c r="I3759" i="2"/>
  <c r="J3759" i="2" s="1"/>
  <c r="I3760" i="2"/>
  <c r="J3760" i="2" s="1"/>
  <c r="I3761" i="2"/>
  <c r="J3761" i="2" s="1"/>
  <c r="I3762" i="2"/>
  <c r="J3762" i="2" s="1"/>
  <c r="I3763" i="2"/>
  <c r="J3763" i="2" s="1"/>
  <c r="I3764" i="2"/>
  <c r="J3764" i="2" s="1"/>
  <c r="I3765" i="2"/>
  <c r="J3765" i="2" s="1"/>
  <c r="I3766" i="2"/>
  <c r="J3766" i="2" s="1"/>
  <c r="I3767" i="2"/>
  <c r="J3767" i="2" s="1"/>
  <c r="I3768" i="2"/>
  <c r="J3768" i="2" s="1"/>
  <c r="I3769" i="2"/>
  <c r="J3769" i="2" s="1"/>
  <c r="I3770" i="2"/>
  <c r="J3770" i="2" s="1"/>
  <c r="I3771" i="2"/>
  <c r="J3771" i="2" s="1"/>
  <c r="I3772" i="2"/>
  <c r="J3772" i="2" s="1"/>
  <c r="I3773" i="2"/>
  <c r="J3773" i="2" s="1"/>
  <c r="I3774" i="2"/>
  <c r="J3774" i="2" s="1"/>
  <c r="I3775" i="2"/>
  <c r="J3775" i="2" s="1"/>
  <c r="I3776" i="2"/>
  <c r="J3776" i="2" s="1"/>
  <c r="I3777" i="2"/>
  <c r="J3777" i="2" s="1"/>
  <c r="I3778" i="2"/>
  <c r="J3778" i="2" s="1"/>
  <c r="I3779" i="2"/>
  <c r="J3779" i="2" s="1"/>
  <c r="I3780" i="2"/>
  <c r="J3780" i="2" s="1"/>
  <c r="I3781" i="2"/>
  <c r="J3781" i="2" s="1"/>
  <c r="I3782" i="2"/>
  <c r="J3782" i="2" s="1"/>
  <c r="I3783" i="2"/>
  <c r="J3783" i="2" s="1"/>
  <c r="I3784" i="2"/>
  <c r="J3784" i="2" s="1"/>
  <c r="I3785" i="2"/>
  <c r="J3785" i="2" s="1"/>
  <c r="I3786" i="2"/>
  <c r="J3786" i="2" s="1"/>
  <c r="I3787" i="2"/>
  <c r="J3787" i="2" s="1"/>
  <c r="I3788" i="2"/>
  <c r="J3788" i="2" s="1"/>
  <c r="I3789" i="2"/>
  <c r="J3789" i="2" s="1"/>
  <c r="I3790" i="2"/>
  <c r="J3790" i="2" s="1"/>
  <c r="I3791" i="2"/>
  <c r="J3791" i="2" s="1"/>
  <c r="I3792" i="2"/>
  <c r="J3792" i="2" s="1"/>
  <c r="I3793" i="2"/>
  <c r="J3793" i="2" s="1"/>
  <c r="I3794" i="2"/>
  <c r="J3794" i="2" s="1"/>
  <c r="I3795" i="2"/>
  <c r="J3795" i="2" s="1"/>
  <c r="I3796" i="2"/>
  <c r="J3796" i="2" s="1"/>
  <c r="I3797" i="2"/>
  <c r="J3797" i="2" s="1"/>
  <c r="I3798" i="2"/>
  <c r="J3798" i="2" s="1"/>
  <c r="I3799" i="2"/>
  <c r="J3799" i="2" s="1"/>
  <c r="I3800" i="2"/>
  <c r="J3800" i="2" s="1"/>
  <c r="I3801" i="2"/>
  <c r="J3801" i="2" s="1"/>
  <c r="I3802" i="2"/>
  <c r="J3802" i="2" s="1"/>
  <c r="I3803" i="2"/>
  <c r="J3803" i="2" s="1"/>
  <c r="I3804" i="2"/>
  <c r="J3804" i="2" s="1"/>
  <c r="I3805" i="2"/>
  <c r="J3805" i="2" s="1"/>
  <c r="I3806" i="2"/>
  <c r="J3806" i="2" s="1"/>
  <c r="I3807" i="2"/>
  <c r="J3807" i="2" s="1"/>
  <c r="I3808" i="2"/>
  <c r="J3808" i="2" s="1"/>
  <c r="I3809" i="2"/>
  <c r="J3809" i="2" s="1"/>
  <c r="I3810" i="2"/>
  <c r="J3810" i="2" s="1"/>
  <c r="I3811" i="2"/>
  <c r="J3811" i="2" s="1"/>
  <c r="I3812" i="2"/>
  <c r="J3812" i="2" s="1"/>
  <c r="I3813" i="2"/>
  <c r="J3813" i="2" s="1"/>
  <c r="I3814" i="2"/>
  <c r="J3814" i="2" s="1"/>
  <c r="I3815" i="2"/>
  <c r="J3815" i="2" s="1"/>
  <c r="I3816" i="2"/>
  <c r="J3816" i="2" s="1"/>
  <c r="I3817" i="2"/>
  <c r="J3817" i="2" s="1"/>
  <c r="I3818" i="2"/>
  <c r="J3818" i="2" s="1"/>
  <c r="I3819" i="2"/>
  <c r="J3819" i="2" s="1"/>
  <c r="I3820" i="2"/>
  <c r="J3820" i="2" s="1"/>
  <c r="I3821" i="2"/>
  <c r="J3821" i="2" s="1"/>
  <c r="I3822" i="2"/>
  <c r="J3822" i="2" s="1"/>
  <c r="I3823" i="2"/>
  <c r="J3823" i="2" s="1"/>
  <c r="I3824" i="2"/>
  <c r="J3824" i="2" s="1"/>
  <c r="I3825" i="2"/>
  <c r="J3825" i="2" s="1"/>
  <c r="I3826" i="2"/>
  <c r="J3826" i="2" s="1"/>
  <c r="I3827" i="2"/>
  <c r="J3827" i="2" s="1"/>
  <c r="I3828" i="2"/>
  <c r="J3828" i="2" s="1"/>
  <c r="I3829" i="2"/>
  <c r="J3829" i="2" s="1"/>
  <c r="I3830" i="2"/>
  <c r="J3830" i="2" s="1"/>
  <c r="I3831" i="2"/>
  <c r="J3831" i="2" s="1"/>
  <c r="I3832" i="2"/>
  <c r="J3832" i="2" s="1"/>
  <c r="I3833" i="2"/>
  <c r="J3833" i="2" s="1"/>
  <c r="I3834" i="2"/>
  <c r="J3834" i="2" s="1"/>
  <c r="I3835" i="2"/>
  <c r="J3835" i="2" s="1"/>
  <c r="I3836" i="2"/>
  <c r="J3836" i="2" s="1"/>
  <c r="I3837" i="2"/>
  <c r="J3837" i="2" s="1"/>
  <c r="I3838" i="2"/>
  <c r="J3838" i="2" s="1"/>
  <c r="I3839" i="2"/>
  <c r="J3839" i="2" s="1"/>
  <c r="I3840" i="2"/>
  <c r="J3840" i="2" s="1"/>
  <c r="I3841" i="2"/>
  <c r="J3841" i="2" s="1"/>
  <c r="I3842" i="2"/>
  <c r="J3842" i="2" s="1"/>
  <c r="I3843" i="2"/>
  <c r="J3843" i="2" s="1"/>
  <c r="I3844" i="2"/>
  <c r="J3844" i="2" s="1"/>
  <c r="I3845" i="2"/>
  <c r="J3845" i="2" s="1"/>
  <c r="I3846" i="2"/>
  <c r="J3846" i="2" s="1"/>
  <c r="I3847" i="2"/>
  <c r="J3847" i="2" s="1"/>
  <c r="I3848" i="2"/>
  <c r="J3848" i="2" s="1"/>
  <c r="I3849" i="2"/>
  <c r="J3849" i="2" s="1"/>
  <c r="I3850" i="2"/>
  <c r="J3850" i="2" s="1"/>
  <c r="I3851" i="2"/>
  <c r="J3851" i="2" s="1"/>
  <c r="I3852" i="2"/>
  <c r="J3852" i="2" s="1"/>
  <c r="I3853" i="2"/>
  <c r="J3853" i="2" s="1"/>
  <c r="I3854" i="2"/>
  <c r="J3854" i="2" s="1"/>
  <c r="I3855" i="2"/>
  <c r="J3855" i="2" s="1"/>
  <c r="I3856" i="2"/>
  <c r="J3856" i="2" s="1"/>
  <c r="I3857" i="2"/>
  <c r="J3857" i="2" s="1"/>
  <c r="I3858" i="2"/>
  <c r="J3858" i="2" s="1"/>
  <c r="I3859" i="2"/>
  <c r="J3859" i="2" s="1"/>
  <c r="I3860" i="2"/>
  <c r="J3860" i="2" s="1"/>
  <c r="I3861" i="2"/>
  <c r="J3861" i="2" s="1"/>
  <c r="I3862" i="2"/>
  <c r="J3862" i="2" s="1"/>
  <c r="I3863" i="2"/>
  <c r="J3863" i="2" s="1"/>
  <c r="I3864" i="2"/>
  <c r="J3864" i="2" s="1"/>
  <c r="I3865" i="2"/>
  <c r="J3865" i="2" s="1"/>
  <c r="I3866" i="2"/>
  <c r="J3866" i="2" s="1"/>
  <c r="I3867" i="2"/>
  <c r="J3867" i="2" s="1"/>
  <c r="I3868" i="2"/>
  <c r="J3868" i="2" s="1"/>
  <c r="I3869" i="2"/>
  <c r="J3869" i="2" s="1"/>
  <c r="I3870" i="2"/>
  <c r="J3870" i="2" s="1"/>
  <c r="I3871" i="2"/>
  <c r="J3871" i="2" s="1"/>
  <c r="I3872" i="2"/>
  <c r="J3872" i="2" s="1"/>
  <c r="I3873" i="2"/>
  <c r="J3873" i="2" s="1"/>
  <c r="I3874" i="2"/>
  <c r="J3874" i="2" s="1"/>
  <c r="I3875" i="2"/>
  <c r="J3875" i="2" s="1"/>
  <c r="I3876" i="2"/>
  <c r="J3876" i="2" s="1"/>
  <c r="I3877" i="2"/>
  <c r="J3877" i="2" s="1"/>
  <c r="I3878" i="2"/>
  <c r="J3878" i="2" s="1"/>
  <c r="I3879" i="2"/>
  <c r="J3879" i="2" s="1"/>
  <c r="I3880" i="2"/>
  <c r="J3880" i="2" s="1"/>
  <c r="I3881" i="2"/>
  <c r="J3881" i="2" s="1"/>
  <c r="I3882" i="2"/>
  <c r="J3882" i="2" s="1"/>
  <c r="I3883" i="2"/>
  <c r="J3883" i="2" s="1"/>
  <c r="I3884" i="2"/>
  <c r="J3884" i="2" s="1"/>
  <c r="I3885" i="2"/>
  <c r="J3885" i="2" s="1"/>
  <c r="I3886" i="2"/>
  <c r="J3886" i="2" s="1"/>
  <c r="I3887" i="2"/>
  <c r="J3887" i="2" s="1"/>
  <c r="I3888" i="2"/>
  <c r="J3888" i="2" s="1"/>
  <c r="I3889" i="2"/>
  <c r="J3889" i="2" s="1"/>
  <c r="I3890" i="2"/>
  <c r="J3890" i="2" s="1"/>
  <c r="I3891" i="2"/>
  <c r="J3891" i="2" s="1"/>
  <c r="I3892" i="2"/>
  <c r="J3892" i="2" s="1"/>
  <c r="I3893" i="2"/>
  <c r="J3893" i="2" s="1"/>
  <c r="I3894" i="2"/>
  <c r="J3894" i="2" s="1"/>
  <c r="I3895" i="2"/>
  <c r="J3895" i="2" s="1"/>
  <c r="I3896" i="2"/>
  <c r="J3896" i="2" s="1"/>
  <c r="I3897" i="2"/>
  <c r="J3897" i="2" s="1"/>
  <c r="I3898" i="2"/>
  <c r="J3898" i="2" s="1"/>
  <c r="I3899" i="2"/>
  <c r="J3899" i="2" s="1"/>
  <c r="I3900" i="2"/>
  <c r="J3900" i="2" s="1"/>
  <c r="I3901" i="2"/>
  <c r="J3901" i="2" s="1"/>
  <c r="I3902" i="2"/>
  <c r="J3902" i="2" s="1"/>
  <c r="I3903" i="2"/>
  <c r="J3903" i="2" s="1"/>
  <c r="I3904" i="2"/>
  <c r="J3904" i="2" s="1"/>
  <c r="I3905" i="2"/>
  <c r="J3905" i="2" s="1"/>
  <c r="I3906" i="2"/>
  <c r="J3906" i="2" s="1"/>
  <c r="I3907" i="2"/>
  <c r="J3907" i="2" s="1"/>
  <c r="I3908" i="2"/>
  <c r="J3908" i="2" s="1"/>
  <c r="I3909" i="2"/>
  <c r="J3909" i="2" s="1"/>
  <c r="I3910" i="2"/>
  <c r="J3910" i="2" s="1"/>
  <c r="I3911" i="2"/>
  <c r="J3911" i="2" s="1"/>
  <c r="I3912" i="2"/>
  <c r="J3912" i="2" s="1"/>
  <c r="I3913" i="2"/>
  <c r="J3913" i="2" s="1"/>
  <c r="I3914" i="2"/>
  <c r="J3914" i="2" s="1"/>
  <c r="I3915" i="2"/>
  <c r="J3915" i="2" s="1"/>
  <c r="I3916" i="2"/>
  <c r="J3916" i="2" s="1"/>
  <c r="I3917" i="2"/>
  <c r="J3917" i="2" s="1"/>
  <c r="I3918" i="2"/>
  <c r="J3918" i="2" s="1"/>
  <c r="I3919" i="2"/>
  <c r="J3919" i="2" s="1"/>
  <c r="I3920" i="2"/>
  <c r="J3920" i="2" s="1"/>
  <c r="I3921" i="2"/>
  <c r="J3921" i="2" s="1"/>
  <c r="I3922" i="2"/>
  <c r="J3922" i="2" s="1"/>
  <c r="I3923" i="2"/>
  <c r="J3923" i="2" s="1"/>
  <c r="I3924" i="2"/>
  <c r="J3924" i="2" s="1"/>
  <c r="I3925" i="2"/>
  <c r="J3925" i="2" s="1"/>
  <c r="I3926" i="2"/>
  <c r="J3926" i="2" s="1"/>
  <c r="I3927" i="2"/>
  <c r="J3927" i="2" s="1"/>
  <c r="I3928" i="2"/>
  <c r="J3928" i="2" s="1"/>
  <c r="I3929" i="2"/>
  <c r="J3929" i="2" s="1"/>
  <c r="I3930" i="2"/>
  <c r="J3930" i="2" s="1"/>
  <c r="I3931" i="2"/>
  <c r="J3931" i="2" s="1"/>
  <c r="I3932" i="2"/>
  <c r="J3932" i="2" s="1"/>
  <c r="I3933" i="2"/>
  <c r="J3933" i="2" s="1"/>
  <c r="I3934" i="2"/>
  <c r="J3934" i="2" s="1"/>
  <c r="I3935" i="2"/>
  <c r="J3935" i="2" s="1"/>
  <c r="I3936" i="2"/>
  <c r="J3936" i="2" s="1"/>
  <c r="I3937" i="2"/>
  <c r="J3937" i="2" s="1"/>
  <c r="I3938" i="2"/>
  <c r="J3938" i="2" s="1"/>
  <c r="I3939" i="2"/>
  <c r="J3939" i="2" s="1"/>
  <c r="I3940" i="2"/>
  <c r="J3940" i="2" s="1"/>
  <c r="I3941" i="2"/>
  <c r="J3941" i="2" s="1"/>
  <c r="I3942" i="2"/>
  <c r="J3942" i="2" s="1"/>
  <c r="I3943" i="2"/>
  <c r="J3943" i="2" s="1"/>
  <c r="I3944" i="2"/>
  <c r="J3944" i="2" s="1"/>
  <c r="I3945" i="2"/>
  <c r="J3945" i="2" s="1"/>
  <c r="I3946" i="2"/>
  <c r="J3946" i="2" s="1"/>
  <c r="I3947" i="2"/>
  <c r="J3947" i="2" s="1"/>
  <c r="I3948" i="2"/>
  <c r="J3948" i="2" s="1"/>
  <c r="I3949" i="2"/>
  <c r="J3949" i="2" s="1"/>
  <c r="I3950" i="2"/>
  <c r="J3950" i="2" s="1"/>
  <c r="I3951" i="2"/>
  <c r="J3951" i="2" s="1"/>
  <c r="I3952" i="2"/>
  <c r="J3952" i="2" s="1"/>
  <c r="I3953" i="2"/>
  <c r="J3953" i="2" s="1"/>
  <c r="I3954" i="2"/>
  <c r="J3954" i="2" s="1"/>
  <c r="I3955" i="2"/>
  <c r="J3955" i="2" s="1"/>
  <c r="I3956" i="2"/>
  <c r="J3956" i="2" s="1"/>
  <c r="I3957" i="2"/>
  <c r="J3957" i="2" s="1"/>
  <c r="I3958" i="2"/>
  <c r="J3958" i="2" s="1"/>
  <c r="I3959" i="2"/>
  <c r="J3959" i="2" s="1"/>
  <c r="I3960" i="2"/>
  <c r="J3960" i="2" s="1"/>
  <c r="I3961" i="2"/>
  <c r="J3961" i="2" s="1"/>
  <c r="I3962" i="2"/>
  <c r="J3962" i="2" s="1"/>
  <c r="I3963" i="2"/>
  <c r="J3963" i="2" s="1"/>
  <c r="I3964" i="2"/>
  <c r="J3964" i="2" s="1"/>
  <c r="I3965" i="2"/>
  <c r="J3965" i="2" s="1"/>
  <c r="I3966" i="2"/>
  <c r="J3966" i="2" s="1"/>
  <c r="I3967" i="2"/>
  <c r="J3967" i="2" s="1"/>
  <c r="I3968" i="2"/>
  <c r="J3968" i="2" s="1"/>
  <c r="I3969" i="2"/>
  <c r="J3969" i="2" s="1"/>
  <c r="I3970" i="2"/>
  <c r="J3970" i="2" s="1"/>
  <c r="I3971" i="2"/>
  <c r="J3971" i="2" s="1"/>
  <c r="I3972" i="2"/>
  <c r="J3972" i="2" s="1"/>
  <c r="I3973" i="2"/>
  <c r="J3973" i="2" s="1"/>
  <c r="I3974" i="2"/>
  <c r="J3974" i="2" s="1"/>
  <c r="I3975" i="2"/>
  <c r="J3975" i="2" s="1"/>
  <c r="I3976" i="2"/>
  <c r="J3976" i="2" s="1"/>
  <c r="I3977" i="2"/>
  <c r="J3977" i="2" s="1"/>
  <c r="I3978" i="2"/>
  <c r="J3978" i="2" s="1"/>
  <c r="I3979" i="2"/>
  <c r="J3979" i="2" s="1"/>
  <c r="I3980" i="2"/>
  <c r="J3980" i="2" s="1"/>
  <c r="I3981" i="2"/>
  <c r="J3981" i="2" s="1"/>
  <c r="I3982" i="2"/>
  <c r="J3982" i="2" s="1"/>
  <c r="I3983" i="2"/>
  <c r="J3983" i="2" s="1"/>
  <c r="I3984" i="2"/>
  <c r="J3984" i="2" s="1"/>
  <c r="I3985" i="2"/>
  <c r="J3985" i="2" s="1"/>
  <c r="I3986" i="2"/>
  <c r="J3986" i="2" s="1"/>
  <c r="I3987" i="2"/>
  <c r="J3987" i="2" s="1"/>
  <c r="I3988" i="2"/>
  <c r="J3988" i="2" s="1"/>
  <c r="I3989" i="2"/>
  <c r="J3989" i="2" s="1"/>
  <c r="I3990" i="2"/>
  <c r="J3990" i="2" s="1"/>
  <c r="I3991" i="2"/>
  <c r="J3991" i="2" s="1"/>
  <c r="I3992" i="2"/>
  <c r="J3992" i="2" s="1"/>
  <c r="I3993" i="2"/>
  <c r="J3993" i="2" s="1"/>
  <c r="I3994" i="2"/>
  <c r="J3994" i="2" s="1"/>
  <c r="I3995" i="2"/>
  <c r="J3995" i="2" s="1"/>
  <c r="I3996" i="2"/>
  <c r="J3996" i="2" s="1"/>
  <c r="I3997" i="2"/>
  <c r="J3997" i="2" s="1"/>
  <c r="I3998" i="2"/>
  <c r="J3998" i="2" s="1"/>
  <c r="I3999" i="2"/>
  <c r="J3999" i="2" s="1"/>
  <c r="I4000" i="2"/>
  <c r="J4000" i="2" s="1"/>
  <c r="I4001" i="2"/>
  <c r="J4001" i="2" s="1"/>
  <c r="I4002" i="2"/>
  <c r="J4002" i="2" s="1"/>
  <c r="I4003" i="2"/>
  <c r="J4003" i="2" s="1"/>
  <c r="I4004" i="2"/>
  <c r="J4004" i="2" s="1"/>
  <c r="I4005" i="2"/>
  <c r="J4005" i="2" s="1"/>
  <c r="I4006" i="2"/>
  <c r="J4006" i="2" s="1"/>
  <c r="I4007" i="2"/>
  <c r="J4007" i="2" s="1"/>
  <c r="I4008" i="2"/>
  <c r="J4008" i="2" s="1"/>
  <c r="I4009" i="2"/>
  <c r="J4009" i="2" s="1"/>
  <c r="I4010" i="2"/>
  <c r="J4010" i="2" s="1"/>
  <c r="I4011" i="2"/>
  <c r="J4011" i="2" s="1"/>
  <c r="I4012" i="2"/>
  <c r="J4012" i="2" s="1"/>
  <c r="I4013" i="2"/>
  <c r="J4013" i="2" s="1"/>
  <c r="I4014" i="2"/>
  <c r="J4014" i="2" s="1"/>
  <c r="I4015" i="2"/>
  <c r="J4015" i="2" s="1"/>
  <c r="I4016" i="2"/>
  <c r="J4016" i="2" s="1"/>
  <c r="I4017" i="2"/>
  <c r="J4017" i="2" s="1"/>
  <c r="I4018" i="2"/>
  <c r="J4018" i="2" s="1"/>
  <c r="I4019" i="2"/>
  <c r="J4019" i="2" s="1"/>
  <c r="I4020" i="2"/>
  <c r="J4020" i="2" s="1"/>
  <c r="I4021" i="2"/>
  <c r="J4021" i="2" s="1"/>
  <c r="I4022" i="2"/>
  <c r="J4022" i="2" s="1"/>
  <c r="I4023" i="2"/>
  <c r="J4023" i="2" s="1"/>
  <c r="I4024" i="2"/>
  <c r="J4024" i="2" s="1"/>
  <c r="I4025" i="2"/>
  <c r="J4025" i="2" s="1"/>
  <c r="I4026" i="2"/>
  <c r="J4026" i="2" s="1"/>
  <c r="I4027" i="2"/>
  <c r="J4027" i="2" s="1"/>
  <c r="I4028" i="2"/>
  <c r="J4028" i="2" s="1"/>
  <c r="I4029" i="2"/>
  <c r="J4029" i="2" s="1"/>
  <c r="I4030" i="2"/>
  <c r="J4030" i="2" s="1"/>
  <c r="I4031" i="2"/>
  <c r="J4031" i="2" s="1"/>
  <c r="I4032" i="2"/>
  <c r="J4032" i="2" s="1"/>
  <c r="I4033" i="2"/>
  <c r="J4033" i="2" s="1"/>
  <c r="I4034" i="2"/>
  <c r="J4034" i="2" s="1"/>
  <c r="I4035" i="2"/>
  <c r="J4035" i="2" s="1"/>
  <c r="I4036" i="2"/>
  <c r="J4036" i="2" s="1"/>
  <c r="I4037" i="2"/>
  <c r="J4037" i="2" s="1"/>
  <c r="I4038" i="2"/>
  <c r="J4038" i="2" s="1"/>
  <c r="I4039" i="2"/>
  <c r="J4039" i="2" s="1"/>
  <c r="I4040" i="2"/>
  <c r="J4040" i="2" s="1"/>
  <c r="I4041" i="2"/>
  <c r="J4041" i="2" s="1"/>
  <c r="I4042" i="2"/>
  <c r="J4042" i="2" s="1"/>
  <c r="I4043" i="2"/>
  <c r="J4043" i="2" s="1"/>
  <c r="I4044" i="2"/>
  <c r="J4044" i="2" s="1"/>
  <c r="I4045" i="2"/>
  <c r="J4045" i="2" s="1"/>
  <c r="I4046" i="2"/>
  <c r="J4046" i="2" s="1"/>
  <c r="I4047" i="2"/>
  <c r="J4047" i="2" s="1"/>
  <c r="I4048" i="2"/>
  <c r="J4048" i="2" s="1"/>
  <c r="I4049" i="2"/>
  <c r="J4049" i="2" s="1"/>
  <c r="I4050" i="2"/>
  <c r="J4050" i="2" s="1"/>
  <c r="I4051" i="2"/>
  <c r="J4051" i="2" s="1"/>
  <c r="I4052" i="2"/>
  <c r="J4052" i="2" s="1"/>
  <c r="I4053" i="2"/>
  <c r="J4053" i="2" s="1"/>
  <c r="I4054" i="2"/>
  <c r="J4054" i="2" s="1"/>
  <c r="I4055" i="2"/>
  <c r="J4055" i="2" s="1"/>
  <c r="I4056" i="2"/>
  <c r="J4056" i="2" s="1"/>
  <c r="I4057" i="2"/>
  <c r="J4057" i="2" s="1"/>
  <c r="I4058" i="2"/>
  <c r="J4058" i="2" s="1"/>
  <c r="I4059" i="2"/>
  <c r="J4059" i="2" s="1"/>
  <c r="I4060" i="2"/>
  <c r="J4060" i="2" s="1"/>
  <c r="I4061" i="2"/>
  <c r="J4061" i="2" s="1"/>
  <c r="I4062" i="2"/>
  <c r="J4062" i="2" s="1"/>
  <c r="I4063" i="2"/>
  <c r="J4063" i="2" s="1"/>
  <c r="I4064" i="2"/>
  <c r="J4064" i="2" s="1"/>
  <c r="I4065" i="2"/>
  <c r="J4065" i="2" s="1"/>
  <c r="I4066" i="2"/>
  <c r="J4066" i="2" s="1"/>
  <c r="I4067" i="2"/>
  <c r="J4067" i="2" s="1"/>
  <c r="I4068" i="2"/>
  <c r="J4068" i="2" s="1"/>
  <c r="I4069" i="2"/>
  <c r="J4069" i="2" s="1"/>
  <c r="I4070" i="2"/>
  <c r="J4070" i="2" s="1"/>
  <c r="I4071" i="2"/>
  <c r="J4071" i="2" s="1"/>
  <c r="I4072" i="2"/>
  <c r="J4072" i="2" s="1"/>
  <c r="I4073" i="2"/>
  <c r="J4073" i="2" s="1"/>
  <c r="I4074" i="2"/>
  <c r="J4074" i="2" s="1"/>
  <c r="I4075" i="2"/>
  <c r="J4075" i="2" s="1"/>
  <c r="I4076" i="2"/>
  <c r="J4076" i="2" s="1"/>
  <c r="I4077" i="2"/>
  <c r="J4077" i="2" s="1"/>
  <c r="I4078" i="2"/>
  <c r="J4078" i="2" s="1"/>
  <c r="I4079" i="2"/>
  <c r="J4079" i="2" s="1"/>
  <c r="I4080" i="2"/>
  <c r="J4080" i="2" s="1"/>
  <c r="I4081" i="2"/>
  <c r="J4081" i="2" s="1"/>
  <c r="I4082" i="2"/>
  <c r="J4082" i="2" s="1"/>
  <c r="I4083" i="2"/>
  <c r="J4083" i="2" s="1"/>
  <c r="I4084" i="2"/>
  <c r="J4084" i="2" s="1"/>
  <c r="I4085" i="2"/>
  <c r="J4085" i="2" s="1"/>
  <c r="I4086" i="2"/>
  <c r="J4086" i="2" s="1"/>
  <c r="I4087" i="2"/>
  <c r="J4087" i="2" s="1"/>
  <c r="I4088" i="2"/>
  <c r="J4088" i="2" s="1"/>
  <c r="I4089" i="2"/>
  <c r="J4089" i="2" s="1"/>
  <c r="I4090" i="2"/>
  <c r="J4090" i="2" s="1"/>
  <c r="I4091" i="2"/>
  <c r="J4091" i="2" s="1"/>
  <c r="I4092" i="2"/>
  <c r="J4092" i="2" s="1"/>
  <c r="I4093" i="2"/>
  <c r="J4093" i="2" s="1"/>
  <c r="I4094" i="2"/>
  <c r="J4094" i="2" s="1"/>
  <c r="I4095" i="2"/>
  <c r="J4095" i="2" s="1"/>
  <c r="I4096" i="2"/>
  <c r="J4096" i="2" s="1"/>
  <c r="I4097" i="2"/>
  <c r="J4097" i="2" s="1"/>
  <c r="I4098" i="2"/>
  <c r="J4098" i="2" s="1"/>
  <c r="I4099" i="2"/>
  <c r="J4099" i="2" s="1"/>
  <c r="I4100" i="2"/>
  <c r="J4100" i="2" s="1"/>
  <c r="I4101" i="2"/>
  <c r="J4101" i="2" s="1"/>
  <c r="I4102" i="2"/>
  <c r="J4102" i="2" s="1"/>
  <c r="I4103" i="2"/>
  <c r="J4103" i="2" s="1"/>
  <c r="I4104" i="2"/>
  <c r="J4104" i="2" s="1"/>
  <c r="I4105" i="2"/>
  <c r="J4105" i="2" s="1"/>
  <c r="I4106" i="2"/>
  <c r="J4106" i="2" s="1"/>
  <c r="I4107" i="2"/>
  <c r="J4107" i="2" s="1"/>
  <c r="I4108" i="2"/>
  <c r="J4108" i="2" s="1"/>
  <c r="I4109" i="2"/>
  <c r="J4109" i="2" s="1"/>
  <c r="I4110" i="2"/>
  <c r="J4110" i="2" s="1"/>
  <c r="I4111" i="2"/>
  <c r="J4111" i="2" s="1"/>
  <c r="I4112" i="2"/>
  <c r="J4112" i="2" s="1"/>
  <c r="I4113" i="2"/>
  <c r="J4113" i="2" s="1"/>
  <c r="I4114" i="2"/>
  <c r="J4114" i="2" s="1"/>
  <c r="I4115" i="2"/>
  <c r="J4115" i="2" s="1"/>
  <c r="I4116" i="2"/>
  <c r="J4116" i="2" s="1"/>
  <c r="I4117" i="2"/>
  <c r="J4117" i="2" s="1"/>
  <c r="I4118" i="2"/>
  <c r="J4118" i="2" s="1"/>
  <c r="I4119" i="2"/>
  <c r="J4119" i="2" s="1"/>
  <c r="I4120" i="2"/>
  <c r="J4120" i="2" s="1"/>
  <c r="I4121" i="2"/>
  <c r="J4121" i="2" s="1"/>
  <c r="I4122" i="2"/>
  <c r="J4122" i="2" s="1"/>
  <c r="I4123" i="2"/>
  <c r="J4123" i="2" s="1"/>
  <c r="I4124" i="2"/>
  <c r="J4124" i="2" s="1"/>
  <c r="I4125" i="2"/>
  <c r="J4125" i="2" s="1"/>
  <c r="I4126" i="2"/>
  <c r="J4126" i="2" s="1"/>
  <c r="I4127" i="2"/>
  <c r="J4127" i="2" s="1"/>
  <c r="I4128" i="2"/>
  <c r="J4128" i="2" s="1"/>
  <c r="I4129" i="2"/>
  <c r="J4129" i="2" s="1"/>
  <c r="I4130" i="2"/>
  <c r="J4130" i="2" s="1"/>
  <c r="I4131" i="2"/>
  <c r="J4131" i="2" s="1"/>
  <c r="I4132" i="2"/>
  <c r="J4132" i="2" s="1"/>
  <c r="I4133" i="2"/>
  <c r="J4133" i="2" s="1"/>
  <c r="I4134" i="2"/>
  <c r="J4134" i="2" s="1"/>
  <c r="I4135" i="2"/>
  <c r="J4135" i="2" s="1"/>
  <c r="I4136" i="2"/>
  <c r="J4136" i="2" s="1"/>
  <c r="I4137" i="2"/>
  <c r="J4137" i="2" s="1"/>
  <c r="I4138" i="2"/>
  <c r="J4138" i="2" s="1"/>
  <c r="I4139" i="2"/>
  <c r="J4139" i="2" s="1"/>
  <c r="I4140" i="2"/>
  <c r="J4140" i="2" s="1"/>
  <c r="I4141" i="2"/>
  <c r="J4141" i="2" s="1"/>
  <c r="I4142" i="2"/>
  <c r="J4142" i="2" s="1"/>
  <c r="I4143" i="2"/>
  <c r="J4143" i="2" s="1"/>
  <c r="I4144" i="2"/>
  <c r="J4144" i="2" s="1"/>
  <c r="I4145" i="2"/>
  <c r="J4145" i="2" s="1"/>
  <c r="I4146" i="2"/>
  <c r="J4146" i="2" s="1"/>
  <c r="I4147" i="2"/>
  <c r="J4147" i="2" s="1"/>
  <c r="I4148" i="2"/>
  <c r="J4148" i="2" s="1"/>
  <c r="I4149" i="2"/>
  <c r="J4149" i="2" s="1"/>
  <c r="I4150" i="2"/>
  <c r="J4150" i="2" s="1"/>
  <c r="I4151" i="2"/>
  <c r="J4151" i="2" s="1"/>
  <c r="I4152" i="2"/>
  <c r="J4152" i="2" s="1"/>
  <c r="I4153" i="2"/>
  <c r="J4153" i="2" s="1"/>
  <c r="I4154" i="2"/>
  <c r="J4154" i="2" s="1"/>
  <c r="I4155" i="2"/>
  <c r="J4155" i="2" s="1"/>
  <c r="I4156" i="2"/>
  <c r="J4156" i="2" s="1"/>
  <c r="I4157" i="2"/>
  <c r="J4157" i="2" s="1"/>
  <c r="I4158" i="2"/>
  <c r="J4158" i="2" s="1"/>
  <c r="I4159" i="2"/>
  <c r="J4159" i="2" s="1"/>
  <c r="I4160" i="2"/>
  <c r="J4160" i="2" s="1"/>
  <c r="I4161" i="2"/>
  <c r="J4161" i="2" s="1"/>
  <c r="I4162" i="2"/>
  <c r="J4162" i="2" s="1"/>
  <c r="I4163" i="2"/>
  <c r="J4163" i="2" s="1"/>
  <c r="I4164" i="2"/>
  <c r="J4164" i="2" s="1"/>
  <c r="I4165" i="2"/>
  <c r="J4165" i="2" s="1"/>
  <c r="I4166" i="2"/>
  <c r="J4166" i="2" s="1"/>
  <c r="I4167" i="2"/>
  <c r="J4167" i="2" s="1"/>
  <c r="I4168" i="2"/>
  <c r="J4168" i="2" s="1"/>
  <c r="I4169" i="2"/>
  <c r="J4169" i="2" s="1"/>
  <c r="I4170" i="2"/>
  <c r="J4170" i="2" s="1"/>
  <c r="I4171" i="2"/>
  <c r="J4171" i="2" s="1"/>
  <c r="I4172" i="2"/>
  <c r="J4172" i="2" s="1"/>
  <c r="I4173" i="2"/>
  <c r="J4173" i="2" s="1"/>
  <c r="I4174" i="2"/>
  <c r="J4174" i="2" s="1"/>
  <c r="I4175" i="2"/>
  <c r="J4175" i="2" s="1"/>
  <c r="I4176" i="2"/>
  <c r="J4176" i="2" s="1"/>
  <c r="I4177" i="2"/>
  <c r="J4177" i="2" s="1"/>
  <c r="I4178" i="2"/>
  <c r="J4178" i="2" s="1"/>
  <c r="I4179" i="2"/>
  <c r="J4179" i="2" s="1"/>
  <c r="I4180" i="2"/>
  <c r="J4180" i="2" s="1"/>
  <c r="I4181" i="2"/>
  <c r="J4181" i="2" s="1"/>
  <c r="I4182" i="2"/>
  <c r="J4182" i="2" s="1"/>
  <c r="I4183" i="2"/>
  <c r="J4183" i="2" s="1"/>
  <c r="I4184" i="2"/>
  <c r="J4184" i="2" s="1"/>
  <c r="I4185" i="2"/>
  <c r="J4185" i="2" s="1"/>
  <c r="I4186" i="2"/>
  <c r="J4186" i="2" s="1"/>
  <c r="I4187" i="2"/>
  <c r="J4187" i="2" s="1"/>
  <c r="I4188" i="2"/>
  <c r="J4188" i="2" s="1"/>
  <c r="I4189" i="2"/>
  <c r="J4189" i="2" s="1"/>
  <c r="I4190" i="2"/>
  <c r="J4190" i="2" s="1"/>
  <c r="I4191" i="2"/>
  <c r="J4191" i="2" s="1"/>
  <c r="I4192" i="2"/>
  <c r="J4192" i="2" s="1"/>
  <c r="I4193" i="2"/>
  <c r="J4193" i="2" s="1"/>
  <c r="I4194" i="2"/>
  <c r="J4194" i="2" s="1"/>
  <c r="I4195" i="2"/>
  <c r="J4195" i="2" s="1"/>
  <c r="I4196" i="2"/>
  <c r="J4196" i="2" s="1"/>
  <c r="I4197" i="2"/>
  <c r="J4197" i="2" s="1"/>
  <c r="I4198" i="2"/>
  <c r="J4198" i="2" s="1"/>
  <c r="I4199" i="2"/>
  <c r="J4199" i="2" s="1"/>
  <c r="I4200" i="2"/>
  <c r="J4200" i="2" s="1"/>
  <c r="I4201" i="2"/>
  <c r="J4201" i="2" s="1"/>
  <c r="I4202" i="2"/>
  <c r="J4202" i="2" s="1"/>
  <c r="I4203" i="2"/>
  <c r="J4203" i="2" s="1"/>
  <c r="I4204" i="2"/>
  <c r="J4204" i="2" s="1"/>
  <c r="I4205" i="2"/>
  <c r="J4205" i="2" s="1"/>
  <c r="I4206" i="2"/>
  <c r="J4206" i="2" s="1"/>
  <c r="I4207" i="2"/>
  <c r="J4207" i="2" s="1"/>
  <c r="I4208" i="2"/>
  <c r="J4208" i="2" s="1"/>
  <c r="I4209" i="2"/>
  <c r="J4209" i="2" s="1"/>
  <c r="I4210" i="2"/>
  <c r="J4210" i="2" s="1"/>
  <c r="I4211" i="2"/>
  <c r="J4211" i="2" s="1"/>
  <c r="I4212" i="2"/>
  <c r="J4212" i="2" s="1"/>
  <c r="I4213" i="2"/>
  <c r="J4213" i="2" s="1"/>
  <c r="I4214" i="2"/>
  <c r="J4214" i="2" s="1"/>
  <c r="I4215" i="2"/>
  <c r="J4215" i="2" s="1"/>
  <c r="I4216" i="2"/>
  <c r="J4216" i="2" s="1"/>
  <c r="I4217" i="2"/>
  <c r="J4217" i="2" s="1"/>
  <c r="I4218" i="2"/>
  <c r="J4218" i="2" s="1"/>
  <c r="I4219" i="2"/>
  <c r="J4219" i="2" s="1"/>
  <c r="I4220" i="2"/>
  <c r="J4220" i="2" s="1"/>
  <c r="I4221" i="2"/>
  <c r="J4221" i="2" s="1"/>
  <c r="I4222" i="2"/>
  <c r="J4222" i="2" s="1"/>
  <c r="I4223" i="2"/>
  <c r="J4223" i="2" s="1"/>
  <c r="I4224" i="2"/>
  <c r="J4224" i="2" s="1"/>
  <c r="I4225" i="2"/>
  <c r="J4225" i="2" s="1"/>
  <c r="I4226" i="2"/>
  <c r="J4226" i="2" s="1"/>
  <c r="I4227" i="2"/>
  <c r="J4227" i="2" s="1"/>
  <c r="I4228" i="2"/>
  <c r="J4228" i="2" s="1"/>
  <c r="I4229" i="2"/>
  <c r="J4229" i="2" s="1"/>
  <c r="I4230" i="2"/>
  <c r="J4230" i="2" s="1"/>
  <c r="I4231" i="2"/>
  <c r="J4231" i="2" s="1"/>
  <c r="I4232" i="2"/>
  <c r="J4232" i="2" s="1"/>
  <c r="I4233" i="2"/>
  <c r="J4233" i="2" s="1"/>
  <c r="I4234" i="2"/>
  <c r="J4234" i="2" s="1"/>
  <c r="I4235" i="2"/>
  <c r="J4235" i="2" s="1"/>
  <c r="I4236" i="2"/>
  <c r="J4236" i="2" s="1"/>
  <c r="I4237" i="2"/>
  <c r="J4237" i="2" s="1"/>
  <c r="I4238" i="2"/>
  <c r="J4238" i="2" s="1"/>
  <c r="I4239" i="2"/>
  <c r="J4239" i="2" s="1"/>
  <c r="I4240" i="2"/>
  <c r="J4240" i="2" s="1"/>
  <c r="I4241" i="2"/>
  <c r="J4241" i="2" s="1"/>
  <c r="I4242" i="2"/>
  <c r="J4242" i="2" s="1"/>
  <c r="I4243" i="2"/>
  <c r="J4243" i="2" s="1"/>
  <c r="I4244" i="2"/>
  <c r="J4244" i="2" s="1"/>
  <c r="I4245" i="2"/>
  <c r="J4245" i="2" s="1"/>
  <c r="I4246" i="2"/>
  <c r="J4246" i="2" s="1"/>
  <c r="I4247" i="2"/>
  <c r="J4247" i="2" s="1"/>
  <c r="I4248" i="2"/>
  <c r="J4248" i="2" s="1"/>
  <c r="I4249" i="2"/>
  <c r="J4249" i="2" s="1"/>
  <c r="I4250" i="2"/>
  <c r="J4250" i="2" s="1"/>
  <c r="I4251" i="2"/>
  <c r="J4251" i="2" s="1"/>
  <c r="I4252" i="2"/>
  <c r="J4252" i="2" s="1"/>
  <c r="I4253" i="2"/>
  <c r="J4253" i="2" s="1"/>
  <c r="I4254" i="2"/>
  <c r="J4254" i="2" s="1"/>
  <c r="I4255" i="2"/>
  <c r="J4255" i="2" s="1"/>
  <c r="I4256" i="2"/>
  <c r="J4256" i="2" s="1"/>
  <c r="I4257" i="2"/>
  <c r="J4257" i="2" s="1"/>
  <c r="I4258" i="2"/>
  <c r="J4258" i="2" s="1"/>
  <c r="I4259" i="2"/>
  <c r="J4259" i="2" s="1"/>
  <c r="I4260" i="2"/>
  <c r="J4260" i="2" s="1"/>
  <c r="I4261" i="2"/>
  <c r="J4261" i="2" s="1"/>
  <c r="I4262" i="2"/>
  <c r="J4262" i="2" s="1"/>
  <c r="I4263" i="2"/>
  <c r="J4263" i="2" s="1"/>
  <c r="I4264" i="2"/>
  <c r="J4264" i="2" s="1"/>
  <c r="I4265" i="2"/>
  <c r="J4265" i="2" s="1"/>
  <c r="I4266" i="2"/>
  <c r="J4266" i="2" s="1"/>
  <c r="I4267" i="2"/>
  <c r="J4267" i="2" s="1"/>
  <c r="I4268" i="2"/>
  <c r="J4268" i="2" s="1"/>
  <c r="I4269" i="2"/>
  <c r="J4269" i="2" s="1"/>
  <c r="I4270" i="2"/>
  <c r="J4270" i="2" s="1"/>
  <c r="I4271" i="2"/>
  <c r="J4271" i="2" s="1"/>
  <c r="I4272" i="2"/>
  <c r="J4272" i="2" s="1"/>
  <c r="I4273" i="2"/>
  <c r="J4273" i="2" s="1"/>
  <c r="I4274" i="2"/>
  <c r="J4274" i="2" s="1"/>
  <c r="I4275" i="2"/>
  <c r="J4275" i="2" s="1"/>
  <c r="I4276" i="2"/>
  <c r="J4276" i="2" s="1"/>
  <c r="I4277" i="2"/>
  <c r="J4277" i="2" s="1"/>
  <c r="I4278" i="2"/>
  <c r="J4278" i="2" s="1"/>
  <c r="I4279" i="2"/>
  <c r="J4279" i="2" s="1"/>
  <c r="I4280" i="2"/>
  <c r="J4280" i="2" s="1"/>
  <c r="I4281" i="2"/>
  <c r="J4281" i="2" s="1"/>
  <c r="I4282" i="2"/>
  <c r="J4282" i="2" s="1"/>
  <c r="I4283" i="2"/>
  <c r="J4283" i="2" s="1"/>
  <c r="I4284" i="2"/>
  <c r="J4284" i="2" s="1"/>
  <c r="I4285" i="2"/>
  <c r="J4285" i="2" s="1"/>
  <c r="I4286" i="2"/>
  <c r="J4286" i="2" s="1"/>
  <c r="I4287" i="2"/>
  <c r="J4287" i="2" s="1"/>
  <c r="I4288" i="2"/>
  <c r="J4288" i="2" s="1"/>
  <c r="I4289" i="2"/>
  <c r="J4289" i="2" s="1"/>
  <c r="I4290" i="2"/>
  <c r="J4290" i="2" s="1"/>
  <c r="I4291" i="2"/>
  <c r="J4291" i="2" s="1"/>
  <c r="I4292" i="2"/>
  <c r="J4292" i="2" s="1"/>
  <c r="I4293" i="2"/>
  <c r="J4293" i="2" s="1"/>
  <c r="I4294" i="2"/>
  <c r="J4294" i="2" s="1"/>
  <c r="I4295" i="2"/>
  <c r="J4295" i="2" s="1"/>
  <c r="I4296" i="2"/>
  <c r="J4296" i="2" s="1"/>
  <c r="I4297" i="2"/>
  <c r="J4297" i="2" s="1"/>
  <c r="I4298" i="2"/>
  <c r="J4298" i="2" s="1"/>
  <c r="I4299" i="2"/>
  <c r="J4299" i="2" s="1"/>
  <c r="I4300" i="2"/>
  <c r="J4300" i="2" s="1"/>
  <c r="I4301" i="2"/>
  <c r="J4301" i="2" s="1"/>
  <c r="I4302" i="2"/>
  <c r="J4302" i="2" s="1"/>
  <c r="I4303" i="2"/>
  <c r="J4303" i="2" s="1"/>
  <c r="I4304" i="2"/>
  <c r="J4304" i="2" s="1"/>
  <c r="I4305" i="2"/>
  <c r="J4305" i="2" s="1"/>
  <c r="I4306" i="2"/>
  <c r="J4306" i="2" s="1"/>
  <c r="I4307" i="2"/>
  <c r="J4307" i="2" s="1"/>
  <c r="I4308" i="2"/>
  <c r="J4308" i="2" s="1"/>
  <c r="I4309" i="2"/>
  <c r="J4309" i="2" s="1"/>
  <c r="I4310" i="2"/>
  <c r="J4310" i="2" s="1"/>
  <c r="I4311" i="2"/>
  <c r="J4311" i="2" s="1"/>
  <c r="I4312" i="2"/>
  <c r="J4312" i="2" s="1"/>
  <c r="I4313" i="2"/>
  <c r="J4313" i="2" s="1"/>
  <c r="I4314" i="2"/>
  <c r="J4314" i="2" s="1"/>
  <c r="I4315" i="2"/>
  <c r="J4315" i="2" s="1"/>
  <c r="I4316" i="2"/>
  <c r="J4316" i="2" s="1"/>
  <c r="I4317" i="2"/>
  <c r="J4317" i="2" s="1"/>
  <c r="I4318" i="2"/>
  <c r="J4318" i="2" s="1"/>
  <c r="I4319" i="2"/>
  <c r="J4319" i="2" s="1"/>
  <c r="I4320" i="2"/>
  <c r="J4320" i="2" s="1"/>
  <c r="I4321" i="2"/>
  <c r="J4321" i="2" s="1"/>
  <c r="I4322" i="2"/>
  <c r="J4322" i="2" s="1"/>
  <c r="I4323" i="2"/>
  <c r="J4323" i="2" s="1"/>
  <c r="I4324" i="2"/>
  <c r="J4324" i="2" s="1"/>
  <c r="I4325" i="2"/>
  <c r="J4325" i="2" s="1"/>
  <c r="I4326" i="2"/>
  <c r="J4326" i="2" s="1"/>
  <c r="I4327" i="2"/>
  <c r="J4327" i="2" s="1"/>
  <c r="I4328" i="2"/>
  <c r="J4328" i="2" s="1"/>
  <c r="I4329" i="2"/>
  <c r="J4329" i="2" s="1"/>
  <c r="I4330" i="2"/>
  <c r="J4330" i="2" s="1"/>
  <c r="I4331" i="2"/>
  <c r="J4331" i="2" s="1"/>
  <c r="I4332" i="2"/>
  <c r="J4332" i="2" s="1"/>
  <c r="I4333" i="2"/>
  <c r="J4333" i="2" s="1"/>
  <c r="I4334" i="2"/>
  <c r="J4334" i="2" s="1"/>
  <c r="I4335" i="2"/>
  <c r="J4335" i="2" s="1"/>
  <c r="I4336" i="2"/>
  <c r="J4336" i="2" s="1"/>
  <c r="I4337" i="2"/>
  <c r="J4337" i="2" s="1"/>
  <c r="I4338" i="2"/>
  <c r="J4338" i="2" s="1"/>
  <c r="I4339" i="2"/>
  <c r="J4339" i="2" s="1"/>
  <c r="I4340" i="2"/>
  <c r="J4340" i="2" s="1"/>
  <c r="I4341" i="2"/>
  <c r="J4341" i="2" s="1"/>
  <c r="I4342" i="2"/>
  <c r="J4342" i="2" s="1"/>
  <c r="I4343" i="2"/>
  <c r="J4343" i="2" s="1"/>
  <c r="I4344" i="2"/>
  <c r="J4344" i="2" s="1"/>
  <c r="I4345" i="2"/>
  <c r="J4345" i="2" s="1"/>
  <c r="I4346" i="2"/>
  <c r="J4346" i="2" s="1"/>
  <c r="I4347" i="2"/>
  <c r="J4347" i="2" s="1"/>
  <c r="I4348" i="2"/>
  <c r="J4348" i="2" s="1"/>
  <c r="I4349" i="2"/>
  <c r="J4349" i="2" s="1"/>
  <c r="I4350" i="2"/>
  <c r="J4350" i="2" s="1"/>
  <c r="I4351" i="2"/>
  <c r="J4351" i="2" s="1"/>
  <c r="I4352" i="2"/>
  <c r="J4352" i="2" s="1"/>
  <c r="I4353" i="2"/>
  <c r="J4353" i="2" s="1"/>
  <c r="I4354" i="2"/>
  <c r="J4354" i="2" s="1"/>
  <c r="I4355" i="2"/>
  <c r="J4355" i="2" s="1"/>
  <c r="I4356" i="2"/>
  <c r="J4356" i="2" s="1"/>
  <c r="I4357" i="2"/>
  <c r="J4357" i="2" s="1"/>
  <c r="I4358" i="2"/>
  <c r="J4358" i="2" s="1"/>
  <c r="I4359" i="2"/>
  <c r="J4359" i="2" s="1"/>
  <c r="I4360" i="2"/>
  <c r="J4360" i="2" s="1"/>
  <c r="I4361" i="2"/>
  <c r="J4361" i="2" s="1"/>
  <c r="I4362" i="2"/>
  <c r="J4362" i="2" s="1"/>
  <c r="I4363" i="2"/>
  <c r="J4363" i="2" s="1"/>
  <c r="I4364" i="2"/>
  <c r="J4364" i="2" s="1"/>
  <c r="I4365" i="2"/>
  <c r="J4365" i="2" s="1"/>
  <c r="I4366" i="2"/>
  <c r="J4366" i="2" s="1"/>
  <c r="I4367" i="2"/>
  <c r="J4367" i="2" s="1"/>
  <c r="I4368" i="2"/>
  <c r="J4368" i="2" s="1"/>
  <c r="I4369" i="2"/>
  <c r="J4369" i="2" s="1"/>
  <c r="I4370" i="2"/>
  <c r="J4370" i="2" s="1"/>
  <c r="I4371" i="2"/>
  <c r="J4371" i="2" s="1"/>
  <c r="I4372" i="2"/>
  <c r="J4372" i="2" s="1"/>
  <c r="I4373" i="2"/>
  <c r="J4373" i="2" s="1"/>
  <c r="I4374" i="2"/>
  <c r="J4374" i="2" s="1"/>
  <c r="I4375" i="2"/>
  <c r="J4375" i="2" s="1"/>
  <c r="I4376" i="2"/>
  <c r="J4376" i="2" s="1"/>
  <c r="I4377" i="2"/>
  <c r="J4377" i="2" s="1"/>
  <c r="I4378" i="2"/>
  <c r="J4378" i="2" s="1"/>
  <c r="I4379" i="2"/>
  <c r="J4379" i="2" s="1"/>
  <c r="I4380" i="2"/>
  <c r="J4380" i="2" s="1"/>
  <c r="I4381" i="2"/>
  <c r="J4381" i="2" s="1"/>
  <c r="I4382" i="2"/>
  <c r="J4382" i="2" s="1"/>
  <c r="I4383" i="2"/>
  <c r="J4383" i="2" s="1"/>
  <c r="I4384" i="2"/>
  <c r="J4384" i="2" s="1"/>
  <c r="I4385" i="2"/>
  <c r="J4385" i="2" s="1"/>
  <c r="I4386" i="2"/>
  <c r="J4386" i="2" s="1"/>
  <c r="I4387" i="2"/>
  <c r="J4387" i="2" s="1"/>
  <c r="I4388" i="2"/>
  <c r="J4388" i="2" s="1"/>
  <c r="I4389" i="2"/>
  <c r="J4389" i="2" s="1"/>
  <c r="I4390" i="2"/>
  <c r="J4390" i="2" s="1"/>
  <c r="I4391" i="2"/>
  <c r="J4391" i="2" s="1"/>
  <c r="I4392" i="2"/>
  <c r="J4392" i="2" s="1"/>
  <c r="I4393" i="2"/>
  <c r="J4393" i="2" s="1"/>
  <c r="I4394" i="2"/>
  <c r="J4394" i="2" s="1"/>
  <c r="I4395" i="2"/>
  <c r="J4395" i="2" s="1"/>
  <c r="I4396" i="2"/>
  <c r="J4396" i="2" s="1"/>
  <c r="I4397" i="2"/>
  <c r="J4397" i="2" s="1"/>
  <c r="I4398" i="2"/>
  <c r="J4398" i="2" s="1"/>
  <c r="I4399" i="2"/>
  <c r="J4399" i="2" s="1"/>
  <c r="I4400" i="2"/>
  <c r="J4400" i="2" s="1"/>
  <c r="I4401" i="2"/>
  <c r="J4401" i="2" s="1"/>
  <c r="I4402" i="2"/>
  <c r="J4402" i="2" s="1"/>
  <c r="I4403" i="2"/>
  <c r="J4403" i="2" s="1"/>
  <c r="I4404" i="2"/>
  <c r="J4404" i="2" s="1"/>
  <c r="I4405" i="2"/>
  <c r="J4405" i="2" s="1"/>
  <c r="I4406" i="2"/>
  <c r="J4406" i="2" s="1"/>
  <c r="I4407" i="2"/>
  <c r="I4408" i="2"/>
  <c r="J4408" i="2" s="1"/>
  <c r="I4409" i="2"/>
  <c r="J4409" i="2" s="1"/>
  <c r="I4410" i="2"/>
  <c r="J4410" i="2" s="1"/>
  <c r="I4411" i="2"/>
  <c r="J4411" i="2" s="1"/>
  <c r="I4412" i="2"/>
  <c r="J4412" i="2" s="1"/>
  <c r="I4413" i="2"/>
  <c r="J4413" i="2" s="1"/>
  <c r="I4414" i="2"/>
  <c r="J4414" i="2" s="1"/>
  <c r="I4415" i="2"/>
  <c r="J4415" i="2" s="1"/>
  <c r="I4416" i="2"/>
  <c r="J4416" i="2" s="1"/>
  <c r="I4417" i="2"/>
  <c r="J4417" i="2" s="1"/>
  <c r="I4418" i="2"/>
  <c r="J4418" i="2" s="1"/>
  <c r="I4419" i="2"/>
  <c r="J4419" i="2" s="1"/>
  <c r="I4420" i="2"/>
  <c r="J4420" i="2" s="1"/>
  <c r="I4421" i="2"/>
  <c r="J4421" i="2" s="1"/>
  <c r="I4422" i="2"/>
  <c r="J4422" i="2" s="1"/>
  <c r="I4423" i="2"/>
  <c r="J4423" i="2" s="1"/>
  <c r="I4424" i="2"/>
  <c r="J4424" i="2" s="1"/>
  <c r="I4425" i="2"/>
  <c r="J4425" i="2" s="1"/>
  <c r="I4426" i="2"/>
  <c r="J4426" i="2" s="1"/>
  <c r="I4427" i="2"/>
  <c r="J4427" i="2" s="1"/>
  <c r="I4428" i="2"/>
  <c r="J4428" i="2" s="1"/>
  <c r="I4429" i="2"/>
  <c r="J4429" i="2" s="1"/>
  <c r="I4430" i="2"/>
  <c r="J4430" i="2" s="1"/>
  <c r="I4431" i="2"/>
  <c r="J4431" i="2" s="1"/>
  <c r="I4432" i="2"/>
  <c r="J4432" i="2" s="1"/>
  <c r="I4433" i="2"/>
  <c r="J4433" i="2" s="1"/>
  <c r="I4434" i="2"/>
  <c r="J4434" i="2" s="1"/>
  <c r="I4435" i="2"/>
  <c r="J4435" i="2" s="1"/>
  <c r="I4436" i="2"/>
  <c r="J4436" i="2" s="1"/>
  <c r="I4437" i="2"/>
  <c r="J4437" i="2" s="1"/>
  <c r="I4438" i="2"/>
  <c r="J4438" i="2" s="1"/>
  <c r="I4439" i="2"/>
  <c r="J4439" i="2" s="1"/>
  <c r="I4440" i="2"/>
  <c r="J4440" i="2" s="1"/>
  <c r="I4441" i="2"/>
  <c r="J4441" i="2" s="1"/>
  <c r="I4442" i="2"/>
  <c r="J4442" i="2" s="1"/>
  <c r="I4443" i="2"/>
  <c r="J4443" i="2" s="1"/>
  <c r="I4444" i="2"/>
  <c r="J4444" i="2" s="1"/>
  <c r="I4445" i="2"/>
  <c r="J4445" i="2" s="1"/>
  <c r="I4446" i="2"/>
  <c r="J4446" i="2" s="1"/>
  <c r="I4447" i="2"/>
  <c r="J4447" i="2" s="1"/>
  <c r="I4448" i="2"/>
  <c r="J4448" i="2" s="1"/>
  <c r="I4449" i="2"/>
  <c r="J4449" i="2" s="1"/>
  <c r="I4450" i="2"/>
  <c r="J4450" i="2" s="1"/>
  <c r="I4451" i="2"/>
  <c r="J4451" i="2" s="1"/>
  <c r="I4452" i="2"/>
  <c r="J4452" i="2" s="1"/>
  <c r="I4453" i="2"/>
  <c r="J4453" i="2" s="1"/>
  <c r="I4454" i="2"/>
  <c r="J4454" i="2" s="1"/>
  <c r="I4455" i="2"/>
  <c r="J4455" i="2" s="1"/>
  <c r="I4456" i="2"/>
  <c r="J4456" i="2" s="1"/>
  <c r="I4457" i="2"/>
  <c r="J4457" i="2" s="1"/>
  <c r="I4458" i="2"/>
  <c r="J4458" i="2" s="1"/>
  <c r="I4459" i="2"/>
  <c r="J4459" i="2" s="1"/>
  <c r="I4460" i="2"/>
  <c r="J4460" i="2" s="1"/>
  <c r="I4461" i="2"/>
  <c r="J4461" i="2" s="1"/>
  <c r="I4462" i="2"/>
  <c r="J4462" i="2" s="1"/>
  <c r="I4463" i="2"/>
  <c r="J4463" i="2" s="1"/>
  <c r="I4464" i="2"/>
  <c r="J4464" i="2" s="1"/>
  <c r="I4465" i="2"/>
  <c r="J4465" i="2" s="1"/>
  <c r="I4466" i="2"/>
  <c r="J4466" i="2" s="1"/>
  <c r="I4467" i="2"/>
  <c r="J4467" i="2" s="1"/>
  <c r="I4468" i="2"/>
  <c r="J4468" i="2" s="1"/>
  <c r="I4469" i="2"/>
  <c r="J4469" i="2" s="1"/>
  <c r="I4470" i="2"/>
  <c r="J4470" i="2" s="1"/>
  <c r="I4471" i="2"/>
  <c r="J4471" i="2" s="1"/>
  <c r="I4472" i="2"/>
  <c r="J4472" i="2" s="1"/>
  <c r="I4473" i="2"/>
  <c r="J4473" i="2" s="1"/>
  <c r="I4474" i="2"/>
  <c r="J4474" i="2" s="1"/>
  <c r="I4475" i="2"/>
  <c r="J4475" i="2" s="1"/>
  <c r="I4476" i="2"/>
  <c r="J4476" i="2" s="1"/>
  <c r="I4477" i="2"/>
  <c r="J4477" i="2" s="1"/>
  <c r="I4478" i="2"/>
  <c r="J4478" i="2" s="1"/>
  <c r="I4479" i="2"/>
  <c r="J4479" i="2" s="1"/>
  <c r="I4480" i="2"/>
  <c r="J4480" i="2" s="1"/>
  <c r="I4481" i="2"/>
  <c r="J4481" i="2" s="1"/>
  <c r="I4482" i="2"/>
  <c r="J4482" i="2" s="1"/>
  <c r="I4483" i="2"/>
  <c r="J4483" i="2" s="1"/>
  <c r="I4484" i="2"/>
  <c r="J4484" i="2" s="1"/>
  <c r="I4485" i="2"/>
  <c r="J4485" i="2" s="1"/>
  <c r="I4486" i="2"/>
  <c r="J4486" i="2" s="1"/>
  <c r="I4487" i="2"/>
  <c r="J4487" i="2" s="1"/>
  <c r="I4488" i="2"/>
  <c r="J4488" i="2" s="1"/>
  <c r="I4489" i="2"/>
  <c r="J4489" i="2" s="1"/>
  <c r="I4490" i="2"/>
  <c r="J4490" i="2" s="1"/>
  <c r="I4491" i="2"/>
  <c r="J4491" i="2" s="1"/>
  <c r="I4492" i="2"/>
  <c r="J4492" i="2" s="1"/>
  <c r="I4493" i="2"/>
  <c r="J4493" i="2" s="1"/>
  <c r="I4494" i="2"/>
  <c r="J4494" i="2" s="1"/>
  <c r="I4495" i="2"/>
  <c r="J4495" i="2" s="1"/>
  <c r="I4496" i="2"/>
  <c r="J4496" i="2" s="1"/>
  <c r="I4497" i="2"/>
  <c r="J4497" i="2" s="1"/>
  <c r="I4498" i="2"/>
  <c r="J4498" i="2" s="1"/>
  <c r="I4499" i="2"/>
  <c r="J4499" i="2" s="1"/>
  <c r="I4500" i="2"/>
  <c r="J4500" i="2" s="1"/>
  <c r="I4501" i="2"/>
  <c r="J4501" i="2" s="1"/>
  <c r="I4502" i="2"/>
  <c r="J4502" i="2" s="1"/>
  <c r="I4503" i="2"/>
  <c r="J4503" i="2" s="1"/>
  <c r="I4504" i="2"/>
  <c r="J4504" i="2" s="1"/>
  <c r="I4505" i="2"/>
  <c r="J4505" i="2" s="1"/>
  <c r="I4506" i="2"/>
  <c r="J4506" i="2" s="1"/>
  <c r="I4507" i="2"/>
  <c r="J4507" i="2" s="1"/>
  <c r="I4508" i="2"/>
  <c r="J4508" i="2" s="1"/>
  <c r="I4509" i="2"/>
  <c r="J4509" i="2" s="1"/>
  <c r="I4510" i="2"/>
  <c r="J4510" i="2" s="1"/>
  <c r="I4511" i="2"/>
  <c r="J4511" i="2" s="1"/>
  <c r="I4512" i="2"/>
  <c r="J4512" i="2" s="1"/>
  <c r="I4513" i="2"/>
  <c r="J4513" i="2" s="1"/>
  <c r="I4514" i="2"/>
  <c r="J4514" i="2" s="1"/>
  <c r="I4515" i="2"/>
  <c r="J4515" i="2" s="1"/>
  <c r="I4516" i="2"/>
  <c r="J4516" i="2" s="1"/>
  <c r="I4517" i="2"/>
  <c r="J4517" i="2" s="1"/>
  <c r="I4518" i="2"/>
  <c r="J4518" i="2" s="1"/>
  <c r="I4519" i="2"/>
  <c r="J4519" i="2" s="1"/>
  <c r="I4520" i="2"/>
  <c r="J4520" i="2" s="1"/>
  <c r="I4521" i="2"/>
  <c r="J4521" i="2" s="1"/>
  <c r="I4522" i="2"/>
  <c r="J4522" i="2" s="1"/>
  <c r="I4523" i="2"/>
  <c r="J4523" i="2" s="1"/>
  <c r="I4524" i="2"/>
  <c r="J4524" i="2" s="1"/>
  <c r="I4525" i="2"/>
  <c r="J4525" i="2" s="1"/>
  <c r="I4526" i="2"/>
  <c r="J4526" i="2" s="1"/>
  <c r="I4527" i="2"/>
  <c r="J4527" i="2" s="1"/>
  <c r="I4528" i="2"/>
  <c r="J4528" i="2" s="1"/>
  <c r="I4529" i="2"/>
  <c r="J4529" i="2" s="1"/>
  <c r="I4530" i="2"/>
  <c r="J4530" i="2" s="1"/>
  <c r="I4531" i="2"/>
  <c r="J4531" i="2" s="1"/>
  <c r="I4532" i="2"/>
  <c r="J4532" i="2" s="1"/>
  <c r="I4533" i="2"/>
  <c r="J4533" i="2" s="1"/>
  <c r="I4534" i="2"/>
  <c r="J4534" i="2" s="1"/>
  <c r="I4535" i="2"/>
  <c r="J4535" i="2" s="1"/>
  <c r="I4536" i="2"/>
  <c r="J4536" i="2" s="1"/>
  <c r="I4537" i="2"/>
  <c r="J4537" i="2" s="1"/>
  <c r="I4538" i="2"/>
  <c r="J4538" i="2" s="1"/>
  <c r="I4539" i="2"/>
  <c r="J4539" i="2" s="1"/>
  <c r="I4540" i="2"/>
  <c r="J4540" i="2" s="1"/>
  <c r="I4541" i="2"/>
  <c r="J4541" i="2" s="1"/>
  <c r="I4542" i="2"/>
  <c r="J4542" i="2" s="1"/>
  <c r="I4543" i="2"/>
  <c r="J4543" i="2" s="1"/>
  <c r="I4544" i="2"/>
  <c r="J4544" i="2" s="1"/>
  <c r="I4545" i="2"/>
  <c r="J4545" i="2" s="1"/>
  <c r="I4546" i="2"/>
  <c r="J4546" i="2" s="1"/>
  <c r="I4547" i="2"/>
  <c r="J4547" i="2" s="1"/>
  <c r="I4548" i="2"/>
  <c r="J4548" i="2" s="1"/>
  <c r="I4549" i="2"/>
  <c r="J4549" i="2" s="1"/>
  <c r="I4550" i="2"/>
  <c r="J4550" i="2" s="1"/>
  <c r="I4551" i="2"/>
  <c r="J4551" i="2" s="1"/>
  <c r="I4552" i="2"/>
  <c r="J4552" i="2" s="1"/>
  <c r="I4553" i="2"/>
  <c r="J4553" i="2" s="1"/>
  <c r="I4554" i="2"/>
  <c r="J4554" i="2" s="1"/>
  <c r="I4555" i="2"/>
  <c r="J4555" i="2" s="1"/>
  <c r="I4556" i="2"/>
  <c r="J4556" i="2" s="1"/>
  <c r="I4557" i="2"/>
  <c r="J4557" i="2" s="1"/>
  <c r="I4558" i="2"/>
  <c r="J4558" i="2" s="1"/>
  <c r="I4559" i="2"/>
  <c r="J4559" i="2" s="1"/>
  <c r="I4560" i="2"/>
  <c r="J4560" i="2" s="1"/>
  <c r="I4561" i="2"/>
  <c r="J4561" i="2" s="1"/>
  <c r="I4562" i="2"/>
  <c r="J4562" i="2" s="1"/>
  <c r="I4563" i="2"/>
  <c r="J4563" i="2" s="1"/>
  <c r="I4564" i="2"/>
  <c r="J4564" i="2" s="1"/>
  <c r="I4565" i="2"/>
  <c r="J4565" i="2" s="1"/>
  <c r="I4566" i="2"/>
  <c r="J4566" i="2" s="1"/>
  <c r="I4567" i="2"/>
  <c r="J4567" i="2" s="1"/>
  <c r="I4568" i="2"/>
  <c r="J4568" i="2" s="1"/>
  <c r="I4569" i="2"/>
  <c r="J4569" i="2" s="1"/>
  <c r="I4570" i="2"/>
  <c r="J4570" i="2" s="1"/>
  <c r="I4571" i="2"/>
  <c r="J4571" i="2" s="1"/>
  <c r="I4572" i="2"/>
  <c r="J4572" i="2" s="1"/>
  <c r="I4573" i="2"/>
  <c r="J4573" i="2" s="1"/>
  <c r="I4574" i="2"/>
  <c r="J4574" i="2" s="1"/>
  <c r="I4575" i="2"/>
  <c r="J4575" i="2" s="1"/>
  <c r="I4576" i="2"/>
  <c r="J4576" i="2" s="1"/>
  <c r="I4577" i="2"/>
  <c r="J4577" i="2" s="1"/>
  <c r="I4578" i="2"/>
  <c r="J4578" i="2" s="1"/>
  <c r="I4579" i="2"/>
  <c r="J4579" i="2" s="1"/>
  <c r="I4580" i="2"/>
  <c r="J4580" i="2" s="1"/>
  <c r="I4581" i="2"/>
  <c r="J4581" i="2" s="1"/>
  <c r="I4582" i="2"/>
  <c r="J4582" i="2" s="1"/>
  <c r="I4583" i="2"/>
  <c r="J4583" i="2" s="1"/>
  <c r="I4584" i="2"/>
  <c r="J4584" i="2" s="1"/>
  <c r="I4585" i="2"/>
  <c r="J4585" i="2" s="1"/>
  <c r="I4586" i="2"/>
  <c r="J4586" i="2" s="1"/>
  <c r="I4587" i="2"/>
  <c r="J4587" i="2" s="1"/>
  <c r="I4588" i="2"/>
  <c r="I4589" i="2"/>
  <c r="J4589" i="2" s="1"/>
  <c r="I4590" i="2"/>
  <c r="J4590" i="2" s="1"/>
  <c r="I4591" i="2"/>
  <c r="J4591" i="2" s="1"/>
  <c r="I4592" i="2"/>
  <c r="J4592" i="2" s="1"/>
  <c r="I4593" i="2"/>
  <c r="J4593" i="2" s="1"/>
  <c r="I4594" i="2"/>
  <c r="J4594" i="2" s="1"/>
  <c r="I4595" i="2"/>
  <c r="J4595" i="2" s="1"/>
  <c r="I4596" i="2"/>
  <c r="J4596" i="2" s="1"/>
  <c r="I4597" i="2"/>
  <c r="J4597" i="2" s="1"/>
  <c r="I4598" i="2"/>
  <c r="J4598" i="2" s="1"/>
  <c r="I4599" i="2"/>
  <c r="J4599" i="2" s="1"/>
  <c r="I4600" i="2"/>
  <c r="J4600" i="2" s="1"/>
  <c r="I4601" i="2"/>
  <c r="J4601" i="2" s="1"/>
  <c r="I4602" i="2"/>
  <c r="J4602" i="2" s="1"/>
  <c r="I4603" i="2"/>
  <c r="J4603" i="2" s="1"/>
  <c r="I4604" i="2"/>
  <c r="J4604" i="2" s="1"/>
  <c r="I4605" i="2"/>
  <c r="J4605" i="2" s="1"/>
  <c r="I4606" i="2"/>
  <c r="J4606" i="2" s="1"/>
  <c r="I4607" i="2"/>
  <c r="J4607" i="2" s="1"/>
  <c r="I4608" i="2"/>
  <c r="J4608" i="2" s="1"/>
  <c r="I4609" i="2"/>
  <c r="J4609" i="2" s="1"/>
  <c r="I4610" i="2"/>
  <c r="J4610" i="2" s="1"/>
  <c r="I4611" i="2"/>
  <c r="J4611" i="2" s="1"/>
  <c r="I4612" i="2"/>
  <c r="J4612" i="2" s="1"/>
  <c r="I4613" i="2"/>
  <c r="J4613" i="2" s="1"/>
  <c r="I4614" i="2"/>
  <c r="J4614" i="2" s="1"/>
  <c r="I4615" i="2"/>
  <c r="J4615" i="2" s="1"/>
  <c r="I4616" i="2"/>
  <c r="J4616" i="2" s="1"/>
  <c r="I4617" i="2"/>
  <c r="J4617" i="2" s="1"/>
  <c r="I4618" i="2"/>
  <c r="J4618" i="2" s="1"/>
  <c r="I4619" i="2"/>
  <c r="J4619" i="2" s="1"/>
  <c r="I4620" i="2"/>
  <c r="J4620" i="2" s="1"/>
  <c r="I4621" i="2"/>
  <c r="J4621" i="2" s="1"/>
  <c r="I4622" i="2"/>
  <c r="J4622" i="2" s="1"/>
  <c r="I4623" i="2"/>
  <c r="J4623" i="2" s="1"/>
  <c r="I4624" i="2"/>
  <c r="J4624" i="2" s="1"/>
  <c r="I4625" i="2"/>
  <c r="J4625" i="2" s="1"/>
  <c r="I4626" i="2"/>
  <c r="J4626" i="2" s="1"/>
  <c r="I4627" i="2"/>
  <c r="J4627" i="2" s="1"/>
  <c r="I4628" i="2"/>
  <c r="J4628" i="2" s="1"/>
  <c r="I4629" i="2"/>
  <c r="J4629" i="2" s="1"/>
  <c r="I4630" i="2"/>
  <c r="J4630" i="2" s="1"/>
  <c r="I4631" i="2"/>
  <c r="J4631" i="2" s="1"/>
  <c r="I4632" i="2"/>
  <c r="J4632" i="2" s="1"/>
  <c r="I4633" i="2"/>
  <c r="J4633" i="2" s="1"/>
  <c r="I4634" i="2"/>
  <c r="J4634" i="2" s="1"/>
  <c r="I4635" i="2"/>
  <c r="J4635" i="2" s="1"/>
  <c r="I4636" i="2"/>
  <c r="J4636" i="2" s="1"/>
  <c r="I4637" i="2"/>
  <c r="J4637" i="2" s="1"/>
  <c r="I4638" i="2"/>
  <c r="J4638" i="2" s="1"/>
  <c r="I4639" i="2"/>
  <c r="J4639" i="2" s="1"/>
  <c r="I4640" i="2"/>
  <c r="J4640" i="2" s="1"/>
  <c r="I4641" i="2"/>
  <c r="J4641" i="2" s="1"/>
  <c r="I4642" i="2"/>
  <c r="J4642" i="2" s="1"/>
  <c r="I4643" i="2"/>
  <c r="J4643" i="2" s="1"/>
  <c r="I4644" i="2"/>
  <c r="J4644" i="2" s="1"/>
  <c r="I4645" i="2"/>
  <c r="J4645" i="2" s="1"/>
  <c r="I4646" i="2"/>
  <c r="J4646" i="2" s="1"/>
  <c r="I4647" i="2"/>
  <c r="J4647" i="2" s="1"/>
  <c r="I4648" i="2"/>
  <c r="J4648" i="2" s="1"/>
  <c r="I4649" i="2"/>
  <c r="J4649" i="2" s="1"/>
  <c r="I4650" i="2"/>
  <c r="J4650" i="2" s="1"/>
  <c r="I4651" i="2"/>
  <c r="J4651" i="2" s="1"/>
  <c r="I4652" i="2"/>
  <c r="J4652" i="2" s="1"/>
  <c r="I4653" i="2"/>
  <c r="J4653" i="2" s="1"/>
  <c r="I4654" i="2"/>
  <c r="J4654" i="2" s="1"/>
  <c r="I4655" i="2"/>
  <c r="J4655" i="2" s="1"/>
  <c r="I4656" i="2"/>
  <c r="J4656" i="2" s="1"/>
  <c r="I4657" i="2"/>
  <c r="J4657" i="2" s="1"/>
  <c r="I4658" i="2"/>
  <c r="J4658" i="2" s="1"/>
  <c r="I4659" i="2"/>
  <c r="J4659" i="2" s="1"/>
  <c r="I4660" i="2"/>
  <c r="J4660" i="2" s="1"/>
  <c r="I4661" i="2"/>
  <c r="J4661" i="2" s="1"/>
  <c r="I4662" i="2"/>
  <c r="J4662" i="2" s="1"/>
  <c r="I4663" i="2"/>
  <c r="J4663" i="2" s="1"/>
  <c r="I4664" i="2"/>
  <c r="J4664" i="2" s="1"/>
  <c r="I4665" i="2"/>
  <c r="J4665" i="2" s="1"/>
  <c r="I4666" i="2"/>
  <c r="J4666" i="2" s="1"/>
  <c r="I4667" i="2"/>
  <c r="J4667" i="2" s="1"/>
  <c r="I4668" i="2"/>
  <c r="J4668" i="2" s="1"/>
  <c r="I4669" i="2"/>
  <c r="J4669" i="2" s="1"/>
  <c r="I4670" i="2"/>
  <c r="J4670" i="2" s="1"/>
  <c r="I4671" i="2"/>
  <c r="J4671" i="2" s="1"/>
  <c r="I4672" i="2"/>
  <c r="J4672" i="2" s="1"/>
  <c r="I4673" i="2"/>
  <c r="J4673" i="2" s="1"/>
  <c r="I4674" i="2"/>
  <c r="J4674" i="2" s="1"/>
  <c r="I4675" i="2"/>
  <c r="J4675" i="2" s="1"/>
  <c r="I4676" i="2"/>
  <c r="J4676" i="2" s="1"/>
  <c r="I4677" i="2"/>
  <c r="J4677" i="2" s="1"/>
  <c r="I4678" i="2"/>
  <c r="J4678" i="2" s="1"/>
  <c r="I4679" i="2"/>
  <c r="J4679" i="2" s="1"/>
  <c r="I4680" i="2"/>
  <c r="J4680" i="2" s="1"/>
  <c r="I4681" i="2"/>
  <c r="J4681" i="2" s="1"/>
  <c r="I4682" i="2"/>
  <c r="J4682" i="2" s="1"/>
  <c r="I4683" i="2"/>
  <c r="J4683" i="2" s="1"/>
  <c r="I4684" i="2"/>
  <c r="J4684" i="2" s="1"/>
  <c r="I4685" i="2"/>
  <c r="J4685" i="2" s="1"/>
  <c r="I4686" i="2"/>
  <c r="J4686" i="2" s="1"/>
  <c r="I4687" i="2"/>
  <c r="J4687" i="2" s="1"/>
  <c r="I4688" i="2"/>
  <c r="J4688" i="2" s="1"/>
  <c r="I4689" i="2"/>
  <c r="J4689" i="2" s="1"/>
  <c r="I4690" i="2"/>
  <c r="J4690" i="2" s="1"/>
  <c r="I4691" i="2"/>
  <c r="J4691" i="2" s="1"/>
  <c r="I4692" i="2"/>
  <c r="J4692" i="2" s="1"/>
  <c r="I4693" i="2"/>
  <c r="J4693" i="2" s="1"/>
  <c r="I4694" i="2"/>
  <c r="J4694" i="2" s="1"/>
  <c r="I4695" i="2"/>
  <c r="J4695" i="2" s="1"/>
  <c r="I4696" i="2"/>
  <c r="J4696" i="2" s="1"/>
  <c r="I4697" i="2"/>
  <c r="J4697" i="2" s="1"/>
  <c r="I4698" i="2"/>
  <c r="J4698" i="2" s="1"/>
  <c r="I4699" i="2"/>
  <c r="J4699" i="2" s="1"/>
  <c r="I4700" i="2"/>
  <c r="J4700" i="2" s="1"/>
  <c r="I4701" i="2"/>
  <c r="J4701" i="2" s="1"/>
  <c r="I4702" i="2"/>
  <c r="J4702" i="2" s="1"/>
  <c r="I4703" i="2"/>
  <c r="J4703" i="2" s="1"/>
  <c r="I4704" i="2"/>
  <c r="J4704" i="2" s="1"/>
  <c r="I4705" i="2"/>
  <c r="J4705" i="2" s="1"/>
  <c r="I4706" i="2"/>
  <c r="J4706" i="2" s="1"/>
  <c r="I4707" i="2"/>
  <c r="J4707" i="2" s="1"/>
  <c r="I4708" i="2"/>
  <c r="J4708" i="2" s="1"/>
  <c r="I4709" i="2"/>
  <c r="J4709" i="2" s="1"/>
  <c r="I4710" i="2"/>
  <c r="J4710" i="2" s="1"/>
  <c r="I4711" i="2"/>
  <c r="J4711" i="2" s="1"/>
  <c r="I4712" i="2"/>
  <c r="J4712" i="2" s="1"/>
  <c r="I4713" i="2"/>
  <c r="J4713" i="2" s="1"/>
  <c r="I4714" i="2"/>
  <c r="J4714" i="2" s="1"/>
  <c r="I4715" i="2"/>
  <c r="J4715" i="2" s="1"/>
  <c r="I4716" i="2"/>
  <c r="J4716" i="2" s="1"/>
  <c r="I4717" i="2"/>
  <c r="J4717" i="2" s="1"/>
  <c r="I4718" i="2"/>
  <c r="J4718" i="2" s="1"/>
  <c r="I4719" i="2"/>
  <c r="J4719" i="2" s="1"/>
  <c r="I4720" i="2"/>
  <c r="J4720" i="2" s="1"/>
  <c r="I4721" i="2"/>
  <c r="J4721" i="2" s="1"/>
  <c r="I4722" i="2"/>
  <c r="J4722" i="2" s="1"/>
  <c r="I4723" i="2"/>
  <c r="J4723" i="2" s="1"/>
  <c r="I4724" i="2"/>
  <c r="J4724" i="2" s="1"/>
  <c r="I4725" i="2"/>
  <c r="J4725" i="2" s="1"/>
  <c r="I4726" i="2"/>
  <c r="J4726" i="2" s="1"/>
  <c r="I4727" i="2"/>
  <c r="J4727" i="2" s="1"/>
  <c r="I4728" i="2"/>
  <c r="J4728" i="2" s="1"/>
  <c r="I4729" i="2"/>
  <c r="J4729" i="2" s="1"/>
  <c r="I4730" i="2"/>
  <c r="J4730" i="2" s="1"/>
  <c r="I4731" i="2"/>
  <c r="J4731" i="2" s="1"/>
  <c r="I4732" i="2"/>
  <c r="J4732" i="2" s="1"/>
  <c r="I4733" i="2"/>
  <c r="J4733" i="2" s="1"/>
  <c r="I4734" i="2"/>
  <c r="J4734" i="2" s="1"/>
  <c r="I4735" i="2"/>
  <c r="J4735" i="2" s="1"/>
  <c r="I4736" i="2"/>
  <c r="J4736" i="2" s="1"/>
  <c r="I4737" i="2"/>
  <c r="J4737" i="2" s="1"/>
  <c r="I4738" i="2"/>
  <c r="J4738" i="2" s="1"/>
  <c r="I4739" i="2"/>
  <c r="J4739" i="2" s="1"/>
  <c r="I4740" i="2"/>
  <c r="J4740" i="2" s="1"/>
  <c r="I4741" i="2"/>
  <c r="J4741" i="2" s="1"/>
  <c r="I4742" i="2"/>
  <c r="J4742" i="2" s="1"/>
  <c r="I4743" i="2"/>
  <c r="J4743" i="2" s="1"/>
  <c r="I4744" i="2"/>
  <c r="J4744" i="2" s="1"/>
  <c r="I4745" i="2"/>
  <c r="J4745" i="2" s="1"/>
  <c r="I4746" i="2"/>
  <c r="J4746" i="2" s="1"/>
  <c r="I4747" i="2"/>
  <c r="J4747" i="2" s="1"/>
  <c r="I4748" i="2"/>
  <c r="J4748" i="2" s="1"/>
  <c r="I4749" i="2"/>
  <c r="J4749" i="2" s="1"/>
  <c r="I4750" i="2"/>
  <c r="J4750" i="2" s="1"/>
  <c r="I4751" i="2"/>
  <c r="J4751" i="2" s="1"/>
  <c r="I4752" i="2"/>
  <c r="J4752" i="2" s="1"/>
  <c r="I4753" i="2"/>
  <c r="J4753" i="2" s="1"/>
  <c r="I4754" i="2"/>
  <c r="J4754" i="2" s="1"/>
  <c r="I4755" i="2"/>
  <c r="J4755" i="2" s="1"/>
  <c r="I4756" i="2"/>
  <c r="J4756" i="2" s="1"/>
  <c r="I4757" i="2"/>
  <c r="J4757" i="2" s="1"/>
  <c r="I4758" i="2"/>
  <c r="J4758" i="2" s="1"/>
  <c r="I4759" i="2"/>
  <c r="J4759" i="2" s="1"/>
  <c r="I4760" i="2"/>
  <c r="J4760" i="2" s="1"/>
  <c r="I4761" i="2"/>
  <c r="J4761" i="2" s="1"/>
  <c r="I4762" i="2"/>
  <c r="J4762" i="2" s="1"/>
  <c r="I4763" i="2"/>
  <c r="J4763" i="2" s="1"/>
  <c r="I4764" i="2"/>
  <c r="J4764" i="2" s="1"/>
  <c r="I4765" i="2"/>
  <c r="J4765" i="2" s="1"/>
  <c r="I4766" i="2"/>
  <c r="J4766" i="2" s="1"/>
  <c r="I4767" i="2"/>
  <c r="J4767" i="2" s="1"/>
  <c r="I4768" i="2"/>
  <c r="J4768" i="2" s="1"/>
  <c r="I4769" i="2"/>
  <c r="J4769" i="2" s="1"/>
  <c r="I4770" i="2"/>
  <c r="J4770" i="2" s="1"/>
  <c r="I4771" i="2"/>
  <c r="J4771" i="2" s="1"/>
  <c r="I4772" i="2"/>
  <c r="J4772" i="2" s="1"/>
  <c r="I4773" i="2"/>
  <c r="J4773" i="2" s="1"/>
  <c r="I4774" i="2"/>
  <c r="J4774" i="2" s="1"/>
  <c r="I4775" i="2"/>
  <c r="J4775" i="2" s="1"/>
  <c r="I4776" i="2"/>
  <c r="J4776" i="2" s="1"/>
  <c r="I4777" i="2"/>
  <c r="J4777" i="2" s="1"/>
  <c r="I4778" i="2"/>
  <c r="J4778" i="2" s="1"/>
  <c r="I4779" i="2"/>
  <c r="J4779" i="2" s="1"/>
  <c r="I4780" i="2"/>
  <c r="J4780" i="2" s="1"/>
  <c r="I4781" i="2"/>
  <c r="J4781" i="2" s="1"/>
  <c r="I4782" i="2"/>
  <c r="J4782" i="2" s="1"/>
  <c r="I4783" i="2"/>
  <c r="J4783" i="2" s="1"/>
  <c r="I4784" i="2"/>
  <c r="J4784" i="2" s="1"/>
  <c r="I4785" i="2"/>
  <c r="J4785" i="2" s="1"/>
  <c r="I4786" i="2"/>
  <c r="J4786" i="2" s="1"/>
  <c r="I4787" i="2"/>
  <c r="J4787" i="2" s="1"/>
  <c r="I4788" i="2"/>
  <c r="J4788" i="2" s="1"/>
  <c r="I4789" i="2"/>
  <c r="J4789" i="2" s="1"/>
  <c r="I4790" i="2"/>
  <c r="J4790" i="2" s="1"/>
  <c r="I4791" i="2"/>
  <c r="J4791" i="2" s="1"/>
  <c r="I4792" i="2"/>
  <c r="J4792" i="2" s="1"/>
  <c r="I4793" i="2"/>
  <c r="J4793" i="2" s="1"/>
  <c r="I4794" i="2"/>
  <c r="J4794" i="2" s="1"/>
  <c r="I4795" i="2"/>
  <c r="J4795" i="2" s="1"/>
  <c r="I4796" i="2"/>
  <c r="J4796" i="2" s="1"/>
  <c r="I4797" i="2"/>
  <c r="J4797" i="2" s="1"/>
  <c r="I4798" i="2"/>
  <c r="J4798" i="2" s="1"/>
  <c r="I4799" i="2"/>
  <c r="J4799" i="2" s="1"/>
  <c r="I4800" i="2"/>
  <c r="J4800" i="2" s="1"/>
  <c r="I4801" i="2"/>
  <c r="J4801" i="2" s="1"/>
  <c r="I4802" i="2"/>
  <c r="J4802" i="2" s="1"/>
  <c r="I4803" i="2"/>
  <c r="J4803" i="2" s="1"/>
  <c r="I4804" i="2"/>
  <c r="J4804" i="2" s="1"/>
  <c r="I4805" i="2"/>
  <c r="J4805" i="2" s="1"/>
  <c r="I4806" i="2"/>
  <c r="J4806" i="2" s="1"/>
  <c r="I4807" i="2"/>
  <c r="J4807" i="2" s="1"/>
  <c r="I4808" i="2"/>
  <c r="J4808" i="2" s="1"/>
  <c r="I4809" i="2"/>
  <c r="J4809" i="2" s="1"/>
  <c r="I4810" i="2"/>
  <c r="J4810" i="2" s="1"/>
  <c r="I4811" i="2"/>
  <c r="J4811" i="2" s="1"/>
  <c r="I4812" i="2"/>
  <c r="J4812" i="2" s="1"/>
  <c r="I4813" i="2"/>
  <c r="J4813" i="2" s="1"/>
  <c r="I4814" i="2"/>
  <c r="J4814" i="2" s="1"/>
  <c r="I4815" i="2"/>
  <c r="J4815" i="2" s="1"/>
  <c r="I4816" i="2"/>
  <c r="J4816" i="2" s="1"/>
  <c r="I4817" i="2"/>
  <c r="J4817" i="2" s="1"/>
  <c r="I4818" i="2"/>
  <c r="J4818" i="2" s="1"/>
  <c r="I4819" i="2"/>
  <c r="J4819" i="2" s="1"/>
  <c r="I4820" i="2"/>
  <c r="J4820" i="2" s="1"/>
  <c r="I4821" i="2"/>
  <c r="J4821" i="2" s="1"/>
  <c r="I4822" i="2"/>
  <c r="J4822" i="2" s="1"/>
  <c r="I4823" i="2"/>
  <c r="J4823" i="2" s="1"/>
  <c r="I4824" i="2"/>
  <c r="J4824" i="2" s="1"/>
  <c r="I4825" i="2"/>
  <c r="J4825" i="2" s="1"/>
  <c r="I4826" i="2"/>
  <c r="J4826" i="2" s="1"/>
  <c r="I4827" i="2"/>
  <c r="J4827" i="2" s="1"/>
  <c r="I4828" i="2"/>
  <c r="J4828" i="2" s="1"/>
  <c r="I4829" i="2"/>
  <c r="J4829" i="2" s="1"/>
  <c r="I4830" i="2"/>
  <c r="J4830" i="2" s="1"/>
  <c r="I4831" i="2"/>
  <c r="J4831" i="2" s="1"/>
  <c r="I4832" i="2"/>
  <c r="J4832" i="2" s="1"/>
  <c r="I4833" i="2"/>
  <c r="J4833" i="2" s="1"/>
  <c r="I4834" i="2"/>
  <c r="J4834" i="2" s="1"/>
  <c r="I4835" i="2"/>
  <c r="J4835" i="2" s="1"/>
  <c r="I4836" i="2"/>
  <c r="J4836" i="2" s="1"/>
  <c r="I4837" i="2"/>
  <c r="J4837" i="2" s="1"/>
  <c r="I4838" i="2"/>
  <c r="J4838" i="2" s="1"/>
  <c r="I4839" i="2"/>
  <c r="J4839" i="2" s="1"/>
  <c r="I4840" i="2"/>
  <c r="J4840" i="2" s="1"/>
  <c r="I4841" i="2"/>
  <c r="J4841" i="2" s="1"/>
  <c r="I4842" i="2"/>
  <c r="J4842" i="2" s="1"/>
  <c r="I4843" i="2"/>
  <c r="J4843" i="2" s="1"/>
  <c r="I4844" i="2"/>
  <c r="J4844" i="2" s="1"/>
  <c r="I4845" i="2"/>
  <c r="J4845" i="2" s="1"/>
  <c r="I4846" i="2"/>
  <c r="J4846" i="2" s="1"/>
  <c r="I4847" i="2"/>
  <c r="J4847" i="2" s="1"/>
  <c r="I4848" i="2"/>
  <c r="J4848" i="2" s="1"/>
  <c r="I4849" i="2"/>
  <c r="J4849" i="2" s="1"/>
  <c r="I4850" i="2"/>
  <c r="J4850" i="2" s="1"/>
  <c r="I4851" i="2"/>
  <c r="J4851" i="2" s="1"/>
  <c r="I4852" i="2"/>
  <c r="J4852" i="2" s="1"/>
  <c r="I4853" i="2"/>
  <c r="J4853" i="2" s="1"/>
  <c r="I4854" i="2"/>
  <c r="J4854" i="2" s="1"/>
  <c r="I4855" i="2"/>
  <c r="J4855" i="2" s="1"/>
  <c r="I4856" i="2"/>
  <c r="J4856" i="2" s="1"/>
  <c r="I4857" i="2"/>
  <c r="J4857" i="2" s="1"/>
  <c r="I4858" i="2"/>
  <c r="J4858" i="2" s="1"/>
  <c r="I4859" i="2"/>
  <c r="J4859" i="2" s="1"/>
  <c r="I4860" i="2"/>
  <c r="J4860" i="2" s="1"/>
  <c r="I4861" i="2"/>
  <c r="J4861" i="2" s="1"/>
  <c r="I4862" i="2"/>
  <c r="J4862" i="2" s="1"/>
  <c r="I4863" i="2"/>
  <c r="J4863" i="2" s="1"/>
  <c r="I4864" i="2"/>
  <c r="J4864" i="2" s="1"/>
  <c r="I4865" i="2"/>
  <c r="J4865" i="2" s="1"/>
  <c r="I4866" i="2"/>
  <c r="J4866" i="2" s="1"/>
  <c r="I4867" i="2"/>
  <c r="J4867" i="2" s="1"/>
  <c r="I4868" i="2"/>
  <c r="J4868" i="2" s="1"/>
  <c r="I4869" i="2"/>
  <c r="J4869" i="2" s="1"/>
  <c r="I4870" i="2"/>
  <c r="J4870" i="2" s="1"/>
  <c r="I4871" i="2"/>
  <c r="J4871" i="2" s="1"/>
  <c r="I4872" i="2"/>
  <c r="J4872" i="2" s="1"/>
  <c r="I4873" i="2"/>
  <c r="J4873" i="2" s="1"/>
  <c r="I4874" i="2"/>
  <c r="J4874" i="2" s="1"/>
  <c r="I4875" i="2"/>
  <c r="J4875" i="2" s="1"/>
  <c r="I4876" i="2"/>
  <c r="J4876" i="2" s="1"/>
  <c r="I4877" i="2"/>
  <c r="J4877" i="2" s="1"/>
  <c r="I4878" i="2"/>
  <c r="J4878" i="2" s="1"/>
  <c r="I4879" i="2"/>
  <c r="J4879" i="2" s="1"/>
  <c r="I4880" i="2"/>
  <c r="J4880" i="2" s="1"/>
  <c r="I4881" i="2"/>
  <c r="J4881" i="2" s="1"/>
  <c r="I4882" i="2"/>
  <c r="J4882" i="2" s="1"/>
  <c r="I4883" i="2"/>
  <c r="J4883" i="2" s="1"/>
  <c r="I4884" i="2"/>
  <c r="J4884" i="2" s="1"/>
  <c r="I4885" i="2"/>
  <c r="J4885" i="2" s="1"/>
  <c r="I4886" i="2"/>
  <c r="J4886" i="2" s="1"/>
  <c r="I4887" i="2"/>
  <c r="J4887" i="2" s="1"/>
  <c r="I4888" i="2"/>
  <c r="J4888" i="2" s="1"/>
  <c r="I4889" i="2"/>
  <c r="J4889" i="2" s="1"/>
  <c r="I4890" i="2"/>
  <c r="J4890" i="2" s="1"/>
  <c r="I4891" i="2"/>
  <c r="J4891" i="2" s="1"/>
  <c r="I4892" i="2"/>
  <c r="J4892" i="2" s="1"/>
  <c r="I4893" i="2"/>
  <c r="J4893" i="2" s="1"/>
  <c r="I4894" i="2"/>
  <c r="J4894" i="2" s="1"/>
  <c r="I4895" i="2"/>
  <c r="J4895" i="2" s="1"/>
  <c r="I4896" i="2"/>
  <c r="J4896" i="2" s="1"/>
  <c r="I4897" i="2"/>
  <c r="J4897" i="2" s="1"/>
  <c r="I4898" i="2"/>
  <c r="J4898" i="2" s="1"/>
  <c r="I4899" i="2"/>
  <c r="J4899" i="2" s="1"/>
  <c r="I4900" i="2"/>
  <c r="J4900" i="2" s="1"/>
  <c r="I4901" i="2"/>
  <c r="J4901" i="2" s="1"/>
  <c r="I4902" i="2"/>
  <c r="J4902" i="2" s="1"/>
  <c r="I4903" i="2"/>
  <c r="J4903" i="2" s="1"/>
  <c r="I4904" i="2"/>
  <c r="J4904" i="2" s="1"/>
  <c r="I4905" i="2"/>
  <c r="J4905" i="2" s="1"/>
  <c r="I4906" i="2"/>
  <c r="J4906" i="2" s="1"/>
  <c r="I4907" i="2"/>
  <c r="J4907" i="2" s="1"/>
  <c r="I4908" i="2"/>
  <c r="J4908" i="2" s="1"/>
  <c r="I4909" i="2"/>
  <c r="J4909" i="2" s="1"/>
  <c r="I4910" i="2"/>
  <c r="J4910" i="2" s="1"/>
  <c r="I4911" i="2"/>
  <c r="J4911" i="2" s="1"/>
  <c r="I4912" i="2"/>
  <c r="J4912" i="2" s="1"/>
  <c r="I4913" i="2"/>
  <c r="J4913" i="2" s="1"/>
  <c r="I4914" i="2"/>
  <c r="J4914" i="2" s="1"/>
  <c r="I4915" i="2"/>
  <c r="J4915" i="2" s="1"/>
  <c r="I4916" i="2"/>
  <c r="J4916" i="2" s="1"/>
  <c r="I4917" i="2"/>
  <c r="J4917" i="2" s="1"/>
  <c r="I4918" i="2"/>
  <c r="J4918" i="2" s="1"/>
  <c r="I4919" i="2"/>
  <c r="J4919" i="2" s="1"/>
  <c r="I4920" i="2"/>
  <c r="J4920" i="2" s="1"/>
  <c r="I4921" i="2"/>
  <c r="J4921" i="2" s="1"/>
  <c r="I4922" i="2"/>
  <c r="J4922" i="2" s="1"/>
  <c r="I4923" i="2"/>
  <c r="J4923" i="2" s="1"/>
  <c r="I4924" i="2"/>
  <c r="J4924" i="2" s="1"/>
  <c r="I4925" i="2"/>
  <c r="J4925" i="2" s="1"/>
  <c r="I4926" i="2"/>
  <c r="J4926" i="2" s="1"/>
  <c r="I4927" i="2"/>
  <c r="J4927" i="2" s="1"/>
  <c r="I4928" i="2"/>
  <c r="J4928" i="2" s="1"/>
  <c r="I4929" i="2"/>
  <c r="J4929" i="2" s="1"/>
  <c r="I4930" i="2"/>
  <c r="J4930" i="2" s="1"/>
  <c r="I4931" i="2"/>
  <c r="J4931" i="2" s="1"/>
  <c r="I4932" i="2"/>
  <c r="J4932" i="2" s="1"/>
  <c r="I4933" i="2"/>
  <c r="J4933" i="2" s="1"/>
  <c r="I4934" i="2"/>
  <c r="J4934" i="2" s="1"/>
  <c r="I4935" i="2"/>
  <c r="J4935" i="2" s="1"/>
  <c r="I4936" i="2"/>
  <c r="J4936" i="2" s="1"/>
  <c r="I4937" i="2"/>
  <c r="J4937" i="2" s="1"/>
  <c r="I4938" i="2"/>
  <c r="J4938" i="2" s="1"/>
  <c r="I4939" i="2"/>
  <c r="J4939" i="2" s="1"/>
  <c r="I4940" i="2"/>
  <c r="J4940" i="2" s="1"/>
  <c r="I4941" i="2"/>
  <c r="J4941" i="2" s="1"/>
  <c r="I4942" i="2"/>
  <c r="J4942" i="2" s="1"/>
  <c r="I4943" i="2"/>
  <c r="J4943" i="2" s="1"/>
  <c r="I4944" i="2"/>
  <c r="J4944" i="2" s="1"/>
  <c r="I4945" i="2"/>
  <c r="J4945" i="2" s="1"/>
  <c r="I4946" i="2"/>
  <c r="J4946" i="2" s="1"/>
  <c r="I4947" i="2"/>
  <c r="J4947" i="2" s="1"/>
  <c r="I4948" i="2"/>
  <c r="J4948" i="2" s="1"/>
  <c r="I4949" i="2"/>
  <c r="J4949" i="2" s="1"/>
  <c r="I4950" i="2"/>
  <c r="J4950" i="2" s="1"/>
  <c r="I4951" i="2"/>
  <c r="J4951" i="2" s="1"/>
  <c r="I4952" i="2"/>
  <c r="J4952" i="2" s="1"/>
  <c r="I4953" i="2"/>
  <c r="J4953" i="2" s="1"/>
  <c r="I4954" i="2"/>
  <c r="J4954" i="2" s="1"/>
  <c r="I4955" i="2"/>
  <c r="J4955" i="2" s="1"/>
  <c r="I4956" i="2"/>
  <c r="J4956" i="2" s="1"/>
  <c r="I4957" i="2"/>
  <c r="J4957" i="2" s="1"/>
  <c r="I4958" i="2"/>
  <c r="J4958" i="2" s="1"/>
  <c r="I4959" i="2"/>
  <c r="J4959" i="2" s="1"/>
  <c r="I4960" i="2"/>
  <c r="J4960" i="2" s="1"/>
  <c r="I4961" i="2"/>
  <c r="J4961" i="2" s="1"/>
  <c r="I4962" i="2"/>
  <c r="J4962" i="2" s="1"/>
  <c r="I4963" i="2"/>
  <c r="J4963" i="2" s="1"/>
  <c r="I4964" i="2"/>
  <c r="J4964" i="2" s="1"/>
  <c r="I4965" i="2"/>
  <c r="J4965" i="2" s="1"/>
  <c r="I4966" i="2"/>
  <c r="J4966" i="2" s="1"/>
  <c r="I4967" i="2"/>
  <c r="J4967" i="2" s="1"/>
  <c r="I4968" i="2"/>
  <c r="J4968" i="2" s="1"/>
  <c r="I4969" i="2"/>
  <c r="J4969" i="2" s="1"/>
  <c r="I4970" i="2"/>
  <c r="J4970" i="2" s="1"/>
  <c r="I4971" i="2"/>
  <c r="J4971" i="2" s="1"/>
  <c r="I4972" i="2"/>
  <c r="J4972" i="2" s="1"/>
  <c r="I4973" i="2"/>
  <c r="J4973" i="2" s="1"/>
  <c r="I4974" i="2"/>
  <c r="J4974" i="2" s="1"/>
  <c r="I4975" i="2"/>
  <c r="J4975" i="2" s="1"/>
  <c r="I4976" i="2"/>
  <c r="J4976" i="2" s="1"/>
  <c r="I4977" i="2"/>
  <c r="J4977" i="2" s="1"/>
  <c r="I4978" i="2"/>
  <c r="J4978" i="2" s="1"/>
  <c r="I4979" i="2"/>
  <c r="J4979" i="2" s="1"/>
  <c r="I4980" i="2"/>
  <c r="J4980" i="2" s="1"/>
  <c r="I4981" i="2"/>
  <c r="J4981" i="2" s="1"/>
  <c r="I4982" i="2"/>
  <c r="J4982" i="2" s="1"/>
  <c r="I4983" i="2"/>
  <c r="J4983" i="2" s="1"/>
  <c r="I4984" i="2"/>
  <c r="J4984" i="2" s="1"/>
  <c r="I4985" i="2"/>
  <c r="J4985" i="2" s="1"/>
  <c r="I4986" i="2"/>
  <c r="J4986" i="2" s="1"/>
  <c r="I4987" i="2"/>
  <c r="J4987" i="2" s="1"/>
  <c r="I4988" i="2"/>
  <c r="J4988" i="2" s="1"/>
  <c r="I4989" i="2"/>
  <c r="J4989" i="2" s="1"/>
  <c r="I4990" i="2"/>
  <c r="J4990" i="2" s="1"/>
  <c r="I4991" i="2"/>
  <c r="J4991" i="2" s="1"/>
  <c r="I4992" i="2"/>
  <c r="J4992" i="2" s="1"/>
  <c r="I4993" i="2"/>
  <c r="J4993" i="2" s="1"/>
  <c r="I4994" i="2"/>
  <c r="J4994" i="2" s="1"/>
  <c r="I4995" i="2"/>
  <c r="J4995" i="2" s="1"/>
  <c r="I4996" i="2"/>
  <c r="J4996" i="2" s="1"/>
  <c r="I4997" i="2"/>
  <c r="J4997" i="2" s="1"/>
  <c r="I4998" i="2"/>
  <c r="J4998" i="2" s="1"/>
  <c r="I4999" i="2"/>
  <c r="J4999" i="2" s="1"/>
  <c r="I5000" i="2"/>
  <c r="J5000" i="2" s="1"/>
  <c r="I5001" i="2"/>
  <c r="J5001" i="2" s="1"/>
  <c r="I2" i="2"/>
  <c r="J2" i="2" s="1"/>
  <c r="L7" i="1"/>
  <c r="I8" i="1"/>
  <c r="F8" i="1"/>
  <c r="B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DA407B-E054-4A8F-9C0E-81A12279A4D1}" keepAlive="1" name="Query - Hr Analysis" description="Connection to the 'Hr Analysis' query in the workbook." type="5" refreshedVersion="0" background="1">
    <dbPr connection="Provider=Microsoft.Mashup.OleDb.1;Data Source=$Workbook$;Location=&quot;Hr Analysis&quot;;Extended Properties=&quot;&quot;" command="SELECT * FROM [Hr Analysis]"/>
  </connection>
  <connection id="2" xr16:uid="{727943B6-0B38-4D16-8CBA-80955C9B5A3B}" keepAlive="1" name="Query - Marketing" description="Connection to the 'Marketing' query in the workbook." type="5" refreshedVersion="8" background="1" saveData="1">
    <dbPr connection="Provider=Microsoft.Mashup.OleDb.1;Data Source=$Workbook$;Location=Marketing;Extended Properties=&quot;&quot;" command="SELECT * FROM [Marketing]"/>
  </connection>
</connections>
</file>

<file path=xl/sharedStrings.xml><?xml version="1.0" encoding="utf-8"?>
<sst xmlns="http://schemas.openxmlformats.org/spreadsheetml/2006/main" count="40060" uniqueCount="77">
  <si>
    <t>Company</t>
  </si>
  <si>
    <t>Campaign_Type</t>
  </si>
  <si>
    <t>Target_Audience</t>
  </si>
  <si>
    <t>Duration</t>
  </si>
  <si>
    <t>Channel_Used</t>
  </si>
  <si>
    <t>Conversion_Rate</t>
  </si>
  <si>
    <t>ROI</t>
  </si>
  <si>
    <t>Location</t>
  </si>
  <si>
    <t>Language</t>
  </si>
  <si>
    <t>Clicks</t>
  </si>
  <si>
    <t>Impressions</t>
  </si>
  <si>
    <t>Engagement_Score</t>
  </si>
  <si>
    <t>Customer_Segment</t>
  </si>
  <si>
    <t>Date</t>
  </si>
  <si>
    <t>Innovate Industries</t>
  </si>
  <si>
    <t>Email</t>
  </si>
  <si>
    <t>Men 18-24</t>
  </si>
  <si>
    <t>30 days</t>
  </si>
  <si>
    <t>Google Ads</t>
  </si>
  <si>
    <t>Chicago</t>
  </si>
  <si>
    <t>Spanish</t>
  </si>
  <si>
    <t>Health &amp; Wellness</t>
  </si>
  <si>
    <t>NexGen Systems</t>
  </si>
  <si>
    <t>Women 35-44</t>
  </si>
  <si>
    <t>60 days</t>
  </si>
  <si>
    <t>New York</t>
  </si>
  <si>
    <t>German</t>
  </si>
  <si>
    <t>Fashionistas</t>
  </si>
  <si>
    <t>Alpha Innovations</t>
  </si>
  <si>
    <t>Influencer</t>
  </si>
  <si>
    <t>Men 25-34</t>
  </si>
  <si>
    <t>YouTube</t>
  </si>
  <si>
    <t>Los Angeles</t>
  </si>
  <si>
    <t>French</t>
  </si>
  <si>
    <t>Outdoor Adventurers</t>
  </si>
  <si>
    <t>DataTech Solutions</t>
  </si>
  <si>
    <t>Display</t>
  </si>
  <si>
    <t>All Ages</t>
  </si>
  <si>
    <t>Miami</t>
  </si>
  <si>
    <t>Mandarin</t>
  </si>
  <si>
    <t>15 days</t>
  </si>
  <si>
    <t>Instagram</t>
  </si>
  <si>
    <t>Foodies</t>
  </si>
  <si>
    <t>Website</t>
  </si>
  <si>
    <t>Tech Enthusiasts</t>
  </si>
  <si>
    <t>Search</t>
  </si>
  <si>
    <t>45 days</t>
  </si>
  <si>
    <t>Social Media</t>
  </si>
  <si>
    <t>Facebook</t>
  </si>
  <si>
    <t>TechCorp</t>
  </si>
  <si>
    <t>English</t>
  </si>
  <si>
    <t>Houston</t>
  </si>
  <si>
    <t>Women 25-34</t>
  </si>
  <si>
    <t>Row Labels</t>
  </si>
  <si>
    <t>Grand Total</t>
  </si>
  <si>
    <t>Average of ROI</t>
  </si>
  <si>
    <t>Average of Conversion_Rate</t>
  </si>
  <si>
    <t>Jan</t>
  </si>
  <si>
    <t>Feb</t>
  </si>
  <si>
    <t>Mar</t>
  </si>
  <si>
    <t>Apr</t>
  </si>
  <si>
    <t>May</t>
  </si>
  <si>
    <t>Jun</t>
  </si>
  <si>
    <t>Jul</t>
  </si>
  <si>
    <t>Aug</t>
  </si>
  <si>
    <t>Sep</t>
  </si>
  <si>
    <t>Oct</t>
  </si>
  <si>
    <t>Nov</t>
  </si>
  <si>
    <t>Dec</t>
  </si>
  <si>
    <t>Campaign_Cost</t>
  </si>
  <si>
    <t>CAC</t>
  </si>
  <si>
    <t>Customers</t>
  </si>
  <si>
    <t>ROI Over Time</t>
  </si>
  <si>
    <t>ROI By Campaign</t>
  </si>
  <si>
    <t>ROI By Channel</t>
  </si>
  <si>
    <t>Average of CAC</t>
  </si>
  <si>
    <t>Average of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</si>
</sst>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43" formatCode="_(* #,##0.00_);_(* \(#,##0.00\);_(* &quot;-&quot;??_);_(@_)"/>
    <numFmt numFmtId="171" formatCode="&quot;$&quot;#,##0;[Red]&quot;$&quot;#,##0"/>
    <numFmt numFmtId="173" formatCode="0.0000"/>
    <numFmt numFmtId="176" formatCode="&quot;$&quot;#,##0"/>
  </numFmts>
  <fonts count="6" x14ac:knownFonts="1">
    <font>
      <sz val="11"/>
      <color theme="1"/>
      <name val="Aptos Narrow"/>
      <family val="2"/>
      <scheme val="minor"/>
    </font>
    <font>
      <sz val="11"/>
      <color theme="1"/>
      <name val="Aptos Narrow"/>
      <family val="2"/>
      <scheme val="minor"/>
    </font>
    <font>
      <sz val="11"/>
      <color rgb="FFF28B30"/>
      <name val="Aptos Narrow"/>
      <family val="2"/>
      <scheme val="minor"/>
    </font>
    <font>
      <sz val="8"/>
      <name val="Aptos Narrow"/>
      <family val="2"/>
      <scheme val="minor"/>
    </font>
    <font>
      <sz val="16"/>
      <color rgb="FFF28B30"/>
      <name val="Aptos Narrow"/>
      <family val="2"/>
      <scheme val="minor"/>
    </font>
    <font>
      <b/>
      <sz val="16"/>
      <color rgb="FFF28B30"/>
      <name val="Aptos Narrow"/>
      <family val="2"/>
      <scheme val="minor"/>
    </font>
  </fonts>
  <fills count="5">
    <fill>
      <patternFill patternType="none"/>
    </fill>
    <fill>
      <patternFill patternType="gray125"/>
    </fill>
    <fill>
      <patternFill patternType="solid">
        <fgColor rgb="FFF2F2F2"/>
        <bgColor indexed="64"/>
      </patternFill>
    </fill>
    <fill>
      <patternFill patternType="solid">
        <fgColor rgb="FF262626"/>
        <bgColor indexed="64"/>
      </patternFill>
    </fill>
    <fill>
      <patternFill patternType="solid">
        <fgColor rgb="FF262626"/>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44" fontId="1" fillId="0" borderId="0" applyFont="0" applyFill="0" applyBorder="0" applyAlignment="0" applyProtection="0"/>
  </cellStyleXfs>
  <cellXfs count="21">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0" fillId="2" borderId="0" xfId="0" applyFill="1"/>
    <xf numFmtId="43" fontId="0" fillId="0" borderId="0" xfId="0" applyNumberFormat="1"/>
    <xf numFmtId="10" fontId="0" fillId="0" borderId="0" xfId="0" applyNumberFormat="1"/>
    <xf numFmtId="9" fontId="0" fillId="0" borderId="0" xfId="0" applyNumberFormat="1"/>
    <xf numFmtId="171" fontId="0" fillId="0" borderId="0" xfId="0" applyNumberFormat="1"/>
    <xf numFmtId="173" fontId="0" fillId="0" borderId="0" xfId="0" applyNumberFormat="1"/>
    <xf numFmtId="176" fontId="0" fillId="0" borderId="0" xfId="0" applyNumberFormat="1"/>
    <xf numFmtId="0" fontId="0" fillId="3" borderId="0" xfId="0" applyFill="1" applyAlignment="1">
      <alignment horizontal="center"/>
    </xf>
    <xf numFmtId="0" fontId="4" fillId="3" borderId="0" xfId="0" applyFont="1" applyFill="1" applyAlignment="1">
      <alignment horizontal="center"/>
    </xf>
    <xf numFmtId="0" fontId="2" fillId="3" borderId="0" xfId="0" applyFont="1" applyFill="1" applyAlignment="1">
      <alignment horizontal="center"/>
    </xf>
    <xf numFmtId="0" fontId="5" fillId="4" borderId="1" xfId="0" applyFont="1" applyFill="1" applyBorder="1"/>
    <xf numFmtId="0" fontId="2" fillId="3" borderId="0" xfId="0" applyFont="1" applyFill="1"/>
    <xf numFmtId="0" fontId="0" fillId="3" borderId="0" xfId="0" applyFill="1"/>
    <xf numFmtId="2" fontId="0" fillId="0" borderId="0" xfId="0" applyNumberFormat="1" applyAlignment="1">
      <alignment horizontal="right"/>
    </xf>
    <xf numFmtId="176" fontId="0" fillId="0" borderId="0" xfId="1" applyNumberFormat="1" applyFont="1"/>
  </cellXfs>
  <cellStyles count="2">
    <cellStyle name="Currency" xfId="1" builtinId="4"/>
    <cellStyle name="Normal" xfId="0" builtinId="0"/>
  </cellStyles>
  <dxfs count="149">
    <dxf>
      <numFmt numFmtId="2" formatCode="0.00"/>
    </dxf>
    <dxf>
      <numFmt numFmtId="165" formatCode="_(* #,##0_);_(* \(#,##0\);_(* &quot;-&quot;??_);_(@_)"/>
    </dxf>
    <dxf>
      <numFmt numFmtId="35" formatCode="_(* #,##0.00_);_(* \(#,##0.00\);_(* &quot;-&quot;??_);_(@_)"/>
    </dxf>
    <dxf>
      <numFmt numFmtId="1" formatCode="0"/>
    </dxf>
    <dxf>
      <numFmt numFmtId="1" formatCode="0"/>
    </dxf>
    <dxf>
      <numFmt numFmtId="173" formatCode="0.0000"/>
    </dxf>
    <dxf>
      <numFmt numFmtId="2" formatCode="0.00"/>
    </dxf>
    <dxf>
      <numFmt numFmtId="2" formatCode="0.00"/>
    </dxf>
    <dxf>
      <numFmt numFmtId="2" formatCode="0.00"/>
    </dxf>
    <dxf>
      <numFmt numFmtId="165" formatCode="_(* #,##0_);_(* \(#,##0\);_(* &quot;-&quot;??_);_(@_)"/>
    </dxf>
    <dxf>
      <numFmt numFmtId="35" formatCode="_(* #,##0.00_);_(* \(#,##0.00\);_(* &quot;-&quot;??_);_(@_)"/>
    </dxf>
    <dxf>
      <numFmt numFmtId="1" formatCode="0"/>
    </dxf>
    <dxf>
      <numFmt numFmtId="1" formatCode="0"/>
    </dxf>
    <dxf>
      <numFmt numFmtId="173" formatCode="0.0000"/>
    </dxf>
    <dxf>
      <numFmt numFmtId="2" formatCode="0.00"/>
    </dxf>
    <dxf>
      <numFmt numFmtId="2" formatCode="0.00"/>
    </dxf>
    <dxf>
      <numFmt numFmtId="2" formatCode="0.00"/>
    </dxf>
    <dxf>
      <numFmt numFmtId="165" formatCode="_(* #,##0_);_(* \(#,##0\);_(* &quot;-&quot;??_);_(@_)"/>
    </dxf>
    <dxf>
      <numFmt numFmtId="35" formatCode="_(* #,##0.00_);_(* \(#,##0.00\);_(* &quot;-&quot;??_);_(@_)"/>
    </dxf>
    <dxf>
      <numFmt numFmtId="1" formatCode="0"/>
    </dxf>
    <dxf>
      <numFmt numFmtId="1" formatCode="0"/>
    </dxf>
    <dxf>
      <numFmt numFmtId="173" formatCode="0.0000"/>
    </dxf>
    <dxf>
      <numFmt numFmtId="2" formatCode="0.00"/>
    </dxf>
    <dxf>
      <numFmt numFmtId="2" formatCode="0.00"/>
    </dxf>
    <dxf>
      <numFmt numFmtId="2" formatCode="0.00"/>
    </dxf>
    <dxf>
      <numFmt numFmtId="165" formatCode="_(* #,##0_);_(* \(#,##0\);_(* &quot;-&quot;??_);_(@_)"/>
    </dxf>
    <dxf>
      <numFmt numFmtId="35" formatCode="_(* #,##0.00_);_(* \(#,##0.00\);_(* &quot;-&quot;??_);_(@_)"/>
    </dxf>
    <dxf>
      <numFmt numFmtId="1" formatCode="0"/>
    </dxf>
    <dxf>
      <numFmt numFmtId="1" formatCode="0"/>
    </dxf>
    <dxf>
      <numFmt numFmtId="173" formatCode="0.0000"/>
    </dxf>
    <dxf>
      <numFmt numFmtId="2" formatCode="0.00"/>
    </dxf>
    <dxf>
      <numFmt numFmtId="2" formatCode="0.00"/>
    </dxf>
    <dxf>
      <numFmt numFmtId="2" formatCode="0.00"/>
    </dxf>
    <dxf>
      <numFmt numFmtId="165" formatCode="_(* #,##0_);_(* \(#,##0\);_(* &quot;-&quot;??_);_(@_)"/>
    </dxf>
    <dxf>
      <numFmt numFmtId="35" formatCode="_(* #,##0.00_);_(* \(#,##0.00\);_(* &quot;-&quot;??_);_(@_)"/>
    </dxf>
    <dxf>
      <numFmt numFmtId="1" formatCode="0"/>
    </dxf>
    <dxf>
      <numFmt numFmtId="1" formatCode="0"/>
    </dxf>
    <dxf>
      <numFmt numFmtId="173" formatCode="0.0000"/>
    </dxf>
    <dxf>
      <numFmt numFmtId="2" formatCode="0.00"/>
    </dxf>
    <dxf>
      <numFmt numFmtId="2" formatCode="0.00"/>
    </dxf>
    <dxf>
      <numFmt numFmtId="2" formatCode="0.00"/>
    </dxf>
    <dxf>
      <numFmt numFmtId="165" formatCode="_(* #,##0_);_(* \(#,##0\);_(* &quot;-&quot;??_);_(@_)"/>
    </dxf>
    <dxf>
      <numFmt numFmtId="35" formatCode="_(* #,##0.00_);_(* \(#,##0.00\);_(* &quot;-&quot;??_);_(@_)"/>
    </dxf>
    <dxf>
      <numFmt numFmtId="1" formatCode="0"/>
    </dxf>
    <dxf>
      <numFmt numFmtId="1" formatCode="0"/>
    </dxf>
    <dxf>
      <numFmt numFmtId="173" formatCode="0.0000"/>
    </dxf>
    <dxf>
      <numFmt numFmtId="2" formatCode="0.00"/>
    </dxf>
    <dxf>
      <numFmt numFmtId="2" formatCode="0.00"/>
    </dxf>
    <dxf>
      <numFmt numFmtId="2" formatCode="0.00"/>
    </dxf>
    <dxf>
      <numFmt numFmtId="165" formatCode="_(* #,##0_);_(* \(#,##0\);_(* &quot;-&quot;??_);_(@_)"/>
    </dxf>
    <dxf>
      <numFmt numFmtId="35" formatCode="_(* #,##0.00_);_(* \(#,##0.00\);_(* &quot;-&quot;??_);_(@_)"/>
    </dxf>
    <dxf>
      <numFmt numFmtId="1" formatCode="0"/>
    </dxf>
    <dxf>
      <numFmt numFmtId="1" formatCode="0"/>
    </dxf>
    <dxf>
      <numFmt numFmtId="173" formatCode="0.0000"/>
    </dxf>
    <dxf>
      <numFmt numFmtId="2" formatCode="0.00"/>
    </dxf>
    <dxf>
      <numFmt numFmtId="2" formatCode="0.00"/>
    </dxf>
    <dxf>
      <numFmt numFmtId="2" formatCode="0.00"/>
    </dxf>
    <dxf>
      <numFmt numFmtId="165" formatCode="_(* #,##0_);_(* \(#,##0\);_(* &quot;-&quot;??_);_(@_)"/>
    </dxf>
    <dxf>
      <numFmt numFmtId="35" formatCode="_(* #,##0.00_);_(* \(#,##0.00\);_(* &quot;-&quot;??_);_(@_)"/>
    </dxf>
    <dxf>
      <numFmt numFmtId="1" formatCode="0"/>
    </dxf>
    <dxf>
      <numFmt numFmtId="1" formatCode="0"/>
    </dxf>
    <dxf>
      <numFmt numFmtId="173" formatCode="0.0000"/>
    </dxf>
    <dxf>
      <numFmt numFmtId="2" formatCode="0.00"/>
    </dxf>
    <dxf>
      <numFmt numFmtId="2" formatCode="0.00"/>
    </dxf>
    <dxf>
      <numFmt numFmtId="2" formatCode="0.00"/>
    </dxf>
    <dxf>
      <numFmt numFmtId="165" formatCode="_(* #,##0_);_(* \(#,##0\);_(* &quot;-&quot;??_);_(@_)"/>
    </dxf>
    <dxf>
      <numFmt numFmtId="35" formatCode="_(* #,##0.00_);_(* \(#,##0.00\);_(* &quot;-&quot;??_);_(@_)"/>
    </dxf>
    <dxf>
      <numFmt numFmtId="1" formatCode="0"/>
    </dxf>
    <dxf>
      <numFmt numFmtId="1" formatCode="0"/>
    </dxf>
    <dxf>
      <numFmt numFmtId="173" formatCode="0.0000"/>
    </dxf>
    <dxf>
      <numFmt numFmtId="2" formatCode="0.00"/>
    </dxf>
    <dxf>
      <numFmt numFmtId="2" formatCode="0.00"/>
    </dxf>
    <dxf>
      <numFmt numFmtId="2" formatCode="0.00"/>
    </dxf>
    <dxf>
      <numFmt numFmtId="165" formatCode="_(* #,##0_);_(* \(#,##0\);_(* &quot;-&quot;??_);_(@_)"/>
    </dxf>
    <dxf>
      <numFmt numFmtId="35" formatCode="_(* #,##0.00_);_(* \(#,##0.00\);_(* &quot;-&quot;??_);_(@_)"/>
    </dxf>
    <dxf>
      <numFmt numFmtId="1" formatCode="0"/>
    </dxf>
    <dxf>
      <numFmt numFmtId="1" formatCode="0"/>
    </dxf>
    <dxf>
      <numFmt numFmtId="173" formatCode="0.0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65" formatCode="_(* #,##0_);_(* \(#,##0\);_(* &quot;-&quot;??_);_(@_)"/>
    </dxf>
    <dxf>
      <numFmt numFmtId="35" formatCode="_(* #,##0.00_);_(* \(#,##0.00\);_(* &quot;-&quot;??_);_(@_)"/>
    </dxf>
    <dxf>
      <numFmt numFmtId="2" formatCode="0.00"/>
    </dxf>
    <dxf>
      <numFmt numFmtId="173" formatCode="0.0000"/>
    </dxf>
    <dxf>
      <numFmt numFmtId="2" formatCode="0.00"/>
    </dxf>
    <dxf>
      <numFmt numFmtId="2" formatCode="0.00"/>
    </dxf>
    <dxf>
      <numFmt numFmtId="2" formatCode="0.00"/>
    </dxf>
    <dxf>
      <numFmt numFmtId="165" formatCode="_(* #,##0_);_(* \(#,##0\);_(* &quot;-&quot;??_);_(@_)"/>
    </dxf>
    <dxf>
      <numFmt numFmtId="35" formatCode="_(* #,##0.00_);_(* \(#,##0.00\);_(* &quot;-&quot;??_);_(@_)"/>
    </dxf>
    <dxf>
      <numFmt numFmtId="1" formatCode="0"/>
    </dxf>
    <dxf>
      <numFmt numFmtId="1" formatCode="0"/>
    </dxf>
    <dxf>
      <numFmt numFmtId="173" formatCode="0.0000"/>
    </dxf>
    <dxf>
      <numFmt numFmtId="2" formatCode="0.00"/>
    </dxf>
    <dxf>
      <numFmt numFmtId="2" formatCode="0.00"/>
    </dxf>
    <dxf>
      <numFmt numFmtId="2" formatCode="0.00"/>
    </dxf>
    <dxf>
      <numFmt numFmtId="165" formatCode="_(* #,##0_);_(* \(#,##0\);_(* &quot;-&quot;??_);_(@_)"/>
    </dxf>
    <dxf>
      <numFmt numFmtId="35" formatCode="_(* #,##0.00_);_(* \(#,##0.00\);_(* &quot;-&quot;??_);_(@_)"/>
    </dxf>
    <dxf>
      <numFmt numFmtId="1" formatCode="0"/>
    </dxf>
    <dxf>
      <numFmt numFmtId="1" formatCode="0"/>
    </dxf>
    <dxf>
      <numFmt numFmtId="173" formatCode="0.0000"/>
    </dxf>
    <dxf>
      <numFmt numFmtId="2" formatCode="0.00"/>
    </dxf>
    <dxf>
      <numFmt numFmtId="2" formatCode="0.00"/>
    </dxf>
    <dxf>
      <numFmt numFmtId="1" formatCode="0"/>
    </dxf>
    <dxf>
      <numFmt numFmtId="1" formatCode="0"/>
    </dxf>
    <dxf>
      <numFmt numFmtId="1" formatCode="0"/>
    </dxf>
    <dxf>
      <numFmt numFmtId="1" formatCode="0"/>
    </dxf>
    <dxf>
      <numFmt numFmtId="165" formatCode="_(* #,##0_);_(* \(#,##0\);_(* &quot;-&quot;??_);_(@_)"/>
    </dxf>
    <dxf>
      <numFmt numFmtId="35" formatCode="_(* #,##0.00_);_(* \(#,##0.00\);_(* &quot;-&quot;??_);_(@_)"/>
    </dxf>
    <dxf>
      <numFmt numFmtId="2" formatCode="0.00"/>
    </dxf>
    <dxf>
      <numFmt numFmtId="173" formatCode="0.0000"/>
    </dxf>
    <dxf>
      <numFmt numFmtId="2" formatCode="0.00"/>
    </dxf>
    <dxf>
      <numFmt numFmtId="2" formatCode="0.00"/>
    </dxf>
    <dxf>
      <numFmt numFmtId="1" formatCode="0"/>
    </dxf>
    <dxf>
      <numFmt numFmtId="1" formatCode="0"/>
    </dxf>
    <dxf>
      <numFmt numFmtId="176" formatCode="&quot;$&quot;#,##0"/>
    </dxf>
    <dxf>
      <numFmt numFmtId="0" formatCode="General"/>
    </dxf>
    <dxf>
      <numFmt numFmtId="173" formatCode="0.0000"/>
    </dxf>
    <dxf>
      <numFmt numFmtId="171" formatCode="&quot;$&quot;#,##0;[Red]&quot;$&quot;#,##0"/>
    </dxf>
    <dxf>
      <numFmt numFmtId="13" formatCode="0%"/>
    </dxf>
    <dxf>
      <numFmt numFmtId="0" formatCode="General"/>
    </dxf>
    <dxf>
      <font>
        <color rgb="FFF28B30"/>
      </font>
      <fill>
        <patternFill>
          <bgColor rgb="FF262626"/>
        </patternFill>
      </fill>
    </dxf>
    <dxf>
      <font>
        <color rgb="FFF28B30"/>
      </font>
      <fill>
        <patternFill>
          <bgColor theme="2" tint="-0.749961851863155"/>
        </patternFill>
      </fill>
    </dxf>
    <dxf>
      <font>
        <color rgb="FFF28B30"/>
      </font>
      <fill>
        <patternFill>
          <fgColor rgb="FF262626"/>
        </patternFill>
      </fill>
    </dxf>
    <dxf>
      <numFmt numFmtId="2" formatCode="0.00"/>
    </dxf>
    <dxf>
      <numFmt numFmtId="2" formatCode="0.00"/>
    </dxf>
    <dxf>
      <numFmt numFmtId="2" formatCode="0.00"/>
    </dxf>
    <dxf>
      <numFmt numFmtId="35" formatCode="_(* #,##0.00_);_(* \(#,##0.00\);_(* &quot;-&quot;??_);_(@_)"/>
    </dxf>
    <dxf>
      <numFmt numFmtId="165" formatCode="_(* #,##0_);_(* \(#,##0\);_(* &quot;-&quot;??_);_(@_)"/>
    </dxf>
    <dxf>
      <numFmt numFmtId="1" formatCode="0"/>
    </dxf>
    <dxf>
      <numFmt numFmtId="1" formatCode="0"/>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font>
        <b/>
        <sz val="11"/>
        <color theme="1"/>
      </font>
    </dxf>
    <dxf>
      <font>
        <color rgb="FFF28B30"/>
      </font>
      <fill>
        <patternFill patternType="solid">
          <fgColor theme="0"/>
          <bgColor theme="1" tint="0.1499679555650502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rgb="FF262626"/>
        </patternFill>
      </fill>
      <border diagonalUp="0" diagonalDown="0">
        <left/>
        <right/>
        <top/>
        <bottom/>
        <vertical/>
        <horizontal/>
      </border>
    </dxf>
    <dxf>
      <font>
        <color rgb="FFF28B30"/>
      </font>
      <fill>
        <patternFill>
          <bgColor theme="2" tint="-0.749961851863155"/>
        </patternFill>
      </fill>
    </dxf>
    <dxf>
      <font>
        <color rgb="FFF28B30"/>
      </font>
    </dxf>
    <dxf>
      <fill>
        <patternFill>
          <bgColor rgb="FF262626"/>
        </patternFill>
      </fill>
      <border diagonalUp="0" diagonalDown="0">
        <left/>
        <right/>
        <top/>
        <bottom/>
        <vertical/>
        <horizontal/>
      </border>
    </dxf>
  </dxfs>
  <tableStyles count="8" defaultTableStyle="TableStyleMedium2" defaultPivotStyle="PivotStyleLight16">
    <tableStyle name="Slicer Style 1" pivot="0" table="0" count="1" xr9:uid="{E5449C57-434E-4DCE-9C9E-C5653FCCFE20}">
      <tableStyleElement type="wholeTable" dxfId="148"/>
    </tableStyle>
    <tableStyle name="Slicer Style 2" pivot="0" table="0" count="1" xr9:uid="{BE1D7431-D3D9-4BD8-8B31-20B06B5B723B}">
      <tableStyleElement type="wholeTable" dxfId="147"/>
    </tableStyle>
    <tableStyle name="Slicer Style 3" pivot="0" table="0" count="1" xr9:uid="{47EA5F28-B395-49B4-9581-1EA7351BE3F7}">
      <tableStyleElement type="wholeTable" dxfId="146"/>
    </tableStyle>
    <tableStyle name="Slicer Style 4" pivot="0" table="0" count="1" xr9:uid="{FCA5B4F2-A0D2-470F-835D-E5C92FAC8846}">
      <tableStyleElement type="wholeTable" dxfId="127"/>
    </tableStyle>
    <tableStyle name="Slicer Style 5" pivot="0" table="0" count="1" xr9:uid="{071E2545-F757-4B6D-92AD-F11BC8A00C04}">
      <tableStyleElement type="wholeTable" dxfId="126"/>
    </tableStyle>
    <tableStyle name="Slicer Style 6" pivot="0" table="0" count="1" xr9:uid="{165D4D03-D32D-4C04-880E-238C9FAC7BEC}">
      <tableStyleElement type="wholeTable" dxfId="125"/>
    </tableStyle>
    <tableStyle name="Timeline Style 1" pivot="0" table="0" count="8" xr9:uid="{2F83DC98-4DE0-4356-94A7-EDE8B3FCB1C0}">
      <tableStyleElement type="wholeTable" dxfId="145"/>
      <tableStyleElement type="headerRow" dxfId="144"/>
    </tableStyle>
    <tableStyle name="Timeline Style 2" pivot="0" table="0" count="8" xr9:uid="{9B112B60-2F2D-43DD-BFD3-9AF3256F8755}">
      <tableStyleElement type="wholeTable" dxfId="143"/>
      <tableStyleElement type="headerRow" dxfId="142"/>
    </tableStyle>
  </tableStyles>
  <colors>
    <mruColors>
      <color rgb="FFF28B30"/>
      <color rgb="FF262626"/>
      <color rgb="FFF2F2F2"/>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s>
    </ext>
    <ext xmlns:x15="http://schemas.microsoft.com/office/spreadsheetml/2010/11/main" uri="{A0A4C193-F2C1-4fcb-8827-314CF55A85BB}">
      <x15:dxfs count="12">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11/relationships/timelineCache" Target="timelineCaches/timeline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performance.xlsx]Pivot Table!PivotTable7</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4.5763342082239212E-3"/>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2.3201443569553906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0.10653477690288714"/>
              <c:y val="2.08679644211140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9.3125546806650181E-3"/>
              <c:y val="5.790500145815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3.1534776902887238E-2"/>
              <c:y val="7.6423519976669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4.5763342082239212E-3"/>
              <c:y val="3.93864829396325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2.3201443569553906E-2"/>
              <c:y val="9.03124088655584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0.10653477690288714"/>
              <c:y val="2.08679644211140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layout>
            <c:manualLayout>
              <c:x val="-9.3125546806650181E-3"/>
              <c:y val="5.79050014581509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layout>
            <c:manualLayout>
              <c:x val="-3.1534776902887238E-2"/>
              <c:y val="7.64235199766695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rgbClr val="F28B30"/>
            </a:solidFill>
            <a:round/>
          </a:ln>
          <a:effectLst/>
        </c:spPr>
        <c:marker>
          <c:symbol val="circle"/>
          <c:size val="8"/>
          <c:spPr>
            <a:solidFill>
              <a:srgbClr val="F28B3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8B3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F28B30"/>
            </a:solidFill>
            <a:round/>
          </a:ln>
          <a:effectLst/>
        </c:spPr>
        <c:marker>
          <c:symbol val="circle"/>
          <c:size val="8"/>
          <c:spPr>
            <a:solidFill>
              <a:srgbClr val="F28B30"/>
            </a:solidFill>
            <a:ln w="9525">
              <a:solidFill>
                <a:schemeClr val="accent1"/>
              </a:solidFill>
            </a:ln>
            <a:effectLst/>
          </c:spPr>
        </c:marker>
        <c:dLbl>
          <c:idx val="0"/>
          <c:layout>
            <c:manualLayout>
              <c:x val="-2.4690473071642384E-2"/>
              <c:y val="-0.232722695377363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8B3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rgbClr val="F28B30"/>
            </a:solidFill>
            <a:round/>
          </a:ln>
          <a:effectLst/>
        </c:spPr>
        <c:marker>
          <c:symbol val="circle"/>
          <c:size val="8"/>
          <c:spPr>
            <a:solidFill>
              <a:srgbClr val="F28B30"/>
            </a:solidFill>
            <a:ln w="9525">
              <a:solidFill>
                <a:schemeClr val="accent1"/>
              </a:solidFill>
            </a:ln>
            <a:effectLst/>
          </c:spPr>
        </c:marker>
        <c:dLbl>
          <c:idx val="0"/>
          <c:layout>
            <c:manualLayout>
              <c:x val="-2.320142052483741E-2"/>
              <c:y val="-0.198802828217901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8B3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rgbClr val="F28B30"/>
            </a:solidFill>
            <a:round/>
          </a:ln>
          <a:effectLst/>
        </c:spPr>
        <c:marker>
          <c:symbol val="circle"/>
          <c:size val="8"/>
          <c:spPr>
            <a:solidFill>
              <a:srgbClr val="F28B30"/>
            </a:solidFill>
            <a:ln w="9525">
              <a:solidFill>
                <a:schemeClr val="accent1"/>
              </a:solidFill>
            </a:ln>
            <a:effectLst/>
          </c:spPr>
        </c:marker>
        <c:dLbl>
          <c:idx val="0"/>
          <c:layout>
            <c:manualLayout>
              <c:x val="-4.1297121177653349E-2"/>
              <c:y val="-0.171440288713910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8B3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rgbClr val="F28B30"/>
            </a:solidFill>
            <a:round/>
          </a:ln>
          <a:effectLst/>
        </c:spPr>
        <c:marker>
          <c:symbol val="circle"/>
          <c:size val="8"/>
          <c:spPr>
            <a:solidFill>
              <a:srgbClr val="F28B30"/>
            </a:solidFill>
            <a:ln w="9525">
              <a:solidFill>
                <a:schemeClr val="accent1"/>
              </a:solidFill>
            </a:ln>
            <a:effectLst/>
          </c:spPr>
        </c:marker>
        <c:dLbl>
          <c:idx val="0"/>
          <c:layout>
            <c:manualLayout>
              <c:x val="-5.2442618656032253E-2"/>
              <c:y val="-0.197197225346831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8B3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rgbClr val="F28B30"/>
            </a:solidFill>
            <a:round/>
          </a:ln>
          <a:effectLst/>
        </c:spPr>
        <c:marker>
          <c:symbol val="circle"/>
          <c:size val="8"/>
          <c:spPr>
            <a:solidFill>
              <a:srgbClr val="F28B30"/>
            </a:solidFill>
            <a:ln w="9525">
              <a:solidFill>
                <a:schemeClr val="accent1"/>
              </a:solidFill>
            </a:ln>
            <a:effectLst/>
          </c:spPr>
        </c:marker>
        <c:dLbl>
          <c:idx val="0"/>
          <c:layout>
            <c:manualLayout>
              <c:x val="-2.6913681769446213E-2"/>
              <c:y val="-0.195685360758476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8B3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rgbClr val="F28B30"/>
            </a:solidFill>
            <a:round/>
          </a:ln>
          <a:effectLst/>
        </c:spPr>
        <c:marker>
          <c:symbol val="circle"/>
          <c:size val="8"/>
          <c:spPr>
            <a:solidFill>
              <a:srgbClr val="F28B30"/>
            </a:solidFill>
            <a:ln w="9525">
              <a:solidFill>
                <a:schemeClr val="accent1"/>
              </a:solidFill>
            </a:ln>
            <a:effectLst/>
          </c:spPr>
        </c:marker>
      </c:pivotFmt>
    </c:pivotFmts>
    <c:plotArea>
      <c:layout>
        <c:manualLayout>
          <c:layoutTarget val="inner"/>
          <c:xMode val="edge"/>
          <c:yMode val="edge"/>
          <c:x val="1.7086051568810188E-2"/>
          <c:y val="8.0128205128205135E-2"/>
          <c:w val="0.96582789686237958"/>
          <c:h val="0.5814380173632141"/>
        </c:manualLayout>
      </c:layout>
      <c:lineChart>
        <c:grouping val="standard"/>
        <c:varyColors val="0"/>
        <c:ser>
          <c:idx val="0"/>
          <c:order val="0"/>
          <c:tx>
            <c:strRef>
              <c:f>'Pivot Table'!$R$3</c:f>
              <c:strCache>
                <c:ptCount val="1"/>
                <c:pt idx="0">
                  <c:v>Total</c:v>
                </c:pt>
              </c:strCache>
            </c:strRef>
          </c:tx>
          <c:spPr>
            <a:ln w="28575" cap="rnd">
              <a:solidFill>
                <a:srgbClr val="F28B30"/>
              </a:solidFill>
              <a:round/>
            </a:ln>
            <a:effectLst/>
          </c:spPr>
          <c:marker>
            <c:symbol val="circle"/>
            <c:size val="8"/>
            <c:spPr>
              <a:solidFill>
                <a:srgbClr val="F28B30"/>
              </a:solidFill>
              <a:ln w="9525">
                <a:solidFill>
                  <a:schemeClr val="accent1"/>
                </a:solidFill>
              </a:ln>
              <a:effectLst/>
            </c:spPr>
          </c:marker>
          <c:dPt>
            <c:idx val="2"/>
            <c:marker>
              <c:symbol val="circle"/>
              <c:size val="8"/>
              <c:spPr>
                <a:solidFill>
                  <a:srgbClr val="F28B30"/>
                </a:solidFill>
                <a:ln w="9525">
                  <a:solidFill>
                    <a:schemeClr val="accent1"/>
                  </a:solidFill>
                </a:ln>
                <a:effectLst/>
              </c:spPr>
            </c:marker>
            <c:bubble3D val="0"/>
            <c:spPr>
              <a:ln w="28575" cap="rnd">
                <a:solidFill>
                  <a:srgbClr val="F28B30"/>
                </a:solidFill>
                <a:round/>
              </a:ln>
              <a:effectLst/>
            </c:spPr>
            <c:extLst>
              <c:ext xmlns:c16="http://schemas.microsoft.com/office/drawing/2014/chart" uri="{C3380CC4-5D6E-409C-BE32-E72D297353CC}">
                <c16:uniqueId val="{00000000-4E31-4D4D-A77E-CBD6C8BD2606}"/>
              </c:ext>
            </c:extLst>
          </c:dPt>
          <c:dPt>
            <c:idx val="4"/>
            <c:marker>
              <c:symbol val="circle"/>
              <c:size val="8"/>
              <c:spPr>
                <a:solidFill>
                  <a:srgbClr val="F28B30"/>
                </a:solidFill>
                <a:ln w="9525">
                  <a:solidFill>
                    <a:schemeClr val="accent1"/>
                  </a:solidFill>
                </a:ln>
                <a:effectLst/>
              </c:spPr>
            </c:marker>
            <c:bubble3D val="0"/>
            <c:spPr>
              <a:ln w="28575" cap="rnd">
                <a:solidFill>
                  <a:srgbClr val="F28B30"/>
                </a:solidFill>
                <a:round/>
              </a:ln>
              <a:effectLst/>
            </c:spPr>
            <c:extLst>
              <c:ext xmlns:c16="http://schemas.microsoft.com/office/drawing/2014/chart" uri="{C3380CC4-5D6E-409C-BE32-E72D297353CC}">
                <c16:uniqueId val="{00000001-4E31-4D4D-A77E-CBD6C8BD2606}"/>
              </c:ext>
            </c:extLst>
          </c:dPt>
          <c:dPt>
            <c:idx val="7"/>
            <c:marker>
              <c:symbol val="circle"/>
              <c:size val="8"/>
              <c:spPr>
                <a:solidFill>
                  <a:srgbClr val="F28B30"/>
                </a:solidFill>
                <a:ln w="9525">
                  <a:solidFill>
                    <a:schemeClr val="accent1"/>
                  </a:solidFill>
                </a:ln>
                <a:effectLst/>
              </c:spPr>
            </c:marker>
            <c:bubble3D val="0"/>
            <c:spPr>
              <a:ln w="28575" cap="rnd">
                <a:solidFill>
                  <a:srgbClr val="F28B30"/>
                </a:solidFill>
                <a:round/>
              </a:ln>
              <a:effectLst/>
            </c:spPr>
            <c:extLst>
              <c:ext xmlns:c16="http://schemas.microsoft.com/office/drawing/2014/chart" uri="{C3380CC4-5D6E-409C-BE32-E72D297353CC}">
                <c16:uniqueId val="{00000002-4E31-4D4D-A77E-CBD6C8BD2606}"/>
              </c:ext>
            </c:extLst>
          </c:dPt>
          <c:dPt>
            <c:idx val="8"/>
            <c:marker>
              <c:symbol val="circle"/>
              <c:size val="8"/>
              <c:spPr>
                <a:solidFill>
                  <a:srgbClr val="F28B30"/>
                </a:solidFill>
                <a:ln w="9525">
                  <a:solidFill>
                    <a:schemeClr val="accent1"/>
                  </a:solidFill>
                </a:ln>
                <a:effectLst/>
              </c:spPr>
            </c:marker>
            <c:bubble3D val="0"/>
            <c:spPr>
              <a:ln w="28575" cap="rnd">
                <a:solidFill>
                  <a:srgbClr val="F28B30"/>
                </a:solidFill>
                <a:round/>
              </a:ln>
              <a:effectLst/>
            </c:spPr>
            <c:extLst>
              <c:ext xmlns:c16="http://schemas.microsoft.com/office/drawing/2014/chart" uri="{C3380CC4-5D6E-409C-BE32-E72D297353CC}">
                <c16:uniqueId val="{00000003-4E31-4D4D-A77E-CBD6C8BD2606}"/>
              </c:ext>
            </c:extLst>
          </c:dPt>
          <c:dPt>
            <c:idx val="10"/>
            <c:marker>
              <c:symbol val="circle"/>
              <c:size val="8"/>
              <c:spPr>
                <a:solidFill>
                  <a:srgbClr val="F28B30"/>
                </a:solidFill>
                <a:ln w="9525">
                  <a:solidFill>
                    <a:schemeClr val="accent1"/>
                  </a:solidFill>
                </a:ln>
                <a:effectLst/>
              </c:spPr>
            </c:marker>
            <c:bubble3D val="0"/>
            <c:spPr>
              <a:ln w="28575" cap="rnd">
                <a:solidFill>
                  <a:srgbClr val="F28B30"/>
                </a:solidFill>
                <a:round/>
              </a:ln>
              <a:effectLst/>
            </c:spPr>
            <c:extLst>
              <c:ext xmlns:c16="http://schemas.microsoft.com/office/drawing/2014/chart" uri="{C3380CC4-5D6E-409C-BE32-E72D297353CC}">
                <c16:uniqueId val="{00000004-4E31-4D4D-A77E-CBD6C8BD2606}"/>
              </c:ext>
            </c:extLst>
          </c:dPt>
          <c:dLbls>
            <c:dLbl>
              <c:idx val="2"/>
              <c:layout>
                <c:manualLayout>
                  <c:x val="-2.4690473071642384E-2"/>
                  <c:y val="-0.2327226953773635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E31-4D4D-A77E-CBD6C8BD2606}"/>
                </c:ext>
              </c:extLst>
            </c:dLbl>
            <c:dLbl>
              <c:idx val="4"/>
              <c:layout>
                <c:manualLayout>
                  <c:x val="-2.320142052483741E-2"/>
                  <c:y val="-0.1988028282179013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E31-4D4D-A77E-CBD6C8BD2606}"/>
                </c:ext>
              </c:extLst>
            </c:dLbl>
            <c:dLbl>
              <c:idx val="7"/>
              <c:layout>
                <c:manualLayout>
                  <c:x val="-4.1297121177653349E-2"/>
                  <c:y val="-0.1714402887139107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E31-4D4D-A77E-CBD6C8BD2606}"/>
                </c:ext>
              </c:extLst>
            </c:dLbl>
            <c:dLbl>
              <c:idx val="8"/>
              <c:layout>
                <c:manualLayout>
                  <c:x val="-5.2442618656032253E-2"/>
                  <c:y val="-0.1971972253468316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E31-4D4D-A77E-CBD6C8BD2606}"/>
                </c:ext>
              </c:extLst>
            </c:dLbl>
            <c:dLbl>
              <c:idx val="10"/>
              <c:layout>
                <c:manualLayout>
                  <c:x val="-2.6913681769446213E-2"/>
                  <c:y val="-0.1956853607584766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E31-4D4D-A77E-CBD6C8BD26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8B3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Table'!$Q$4:$Q$16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Table'!$R$4:$R$16</c:f>
              <c:numCache>
                <c:formatCode>_(* #,##0.00_);_(* \(#,##0.00\);_(* "-"??_);_(@_)</c:formatCode>
                <c:ptCount val="12"/>
                <c:pt idx="0">
                  <c:v>5.0351152073732743</c:v>
                </c:pt>
                <c:pt idx="1">
                  <c:v>5.0453826530612247</c:v>
                </c:pt>
                <c:pt idx="2">
                  <c:v>4.9855069124423936</c:v>
                </c:pt>
                <c:pt idx="3">
                  <c:v>5.0577619047619065</c:v>
                </c:pt>
                <c:pt idx="4">
                  <c:v>5.0192165898617507</c:v>
                </c:pt>
                <c:pt idx="5">
                  <c:v>5.0393571428571367</c:v>
                </c:pt>
                <c:pt idx="6">
                  <c:v>5.026497695852532</c:v>
                </c:pt>
                <c:pt idx="7">
                  <c:v>4.9862903225806443</c:v>
                </c:pt>
                <c:pt idx="8">
                  <c:v>5.0083333333333311</c:v>
                </c:pt>
                <c:pt idx="9">
                  <c:v>5.0861042183622791</c:v>
                </c:pt>
                <c:pt idx="10">
                  <c:v>5.0207948717948678</c:v>
                </c:pt>
                <c:pt idx="11">
                  <c:v>5.0460545905707175</c:v>
                </c:pt>
              </c:numCache>
            </c:numRef>
          </c:val>
          <c:smooth val="1"/>
          <c:extLst>
            <c:ext xmlns:c16="http://schemas.microsoft.com/office/drawing/2014/chart" uri="{C3380CC4-5D6E-409C-BE32-E72D297353CC}">
              <c16:uniqueId val="{00000005-4E31-4D4D-A77E-CBD6C8BD2606}"/>
            </c:ext>
          </c:extLst>
        </c:ser>
        <c:dLbls>
          <c:dLblPos val="t"/>
          <c:showLegendKey val="0"/>
          <c:showVal val="1"/>
          <c:showCatName val="0"/>
          <c:showSerName val="0"/>
          <c:showPercent val="0"/>
          <c:showBubbleSize val="0"/>
        </c:dLbls>
        <c:marker val="1"/>
        <c:smooth val="0"/>
        <c:axId val="427950512"/>
        <c:axId val="547486664"/>
      </c:lineChart>
      <c:catAx>
        <c:axId val="42795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28B30"/>
                </a:solidFill>
                <a:latin typeface="+mn-lt"/>
                <a:ea typeface="+mn-ea"/>
                <a:cs typeface="+mn-cs"/>
              </a:defRPr>
            </a:pPr>
            <a:endParaRPr lang="en-US"/>
          </a:p>
        </c:txPr>
        <c:crossAx val="547486664"/>
        <c:crosses val="autoZero"/>
        <c:auto val="1"/>
        <c:lblAlgn val="ctr"/>
        <c:lblOffset val="100"/>
        <c:noMultiLvlLbl val="0"/>
      </c:catAx>
      <c:valAx>
        <c:axId val="547486664"/>
        <c:scaling>
          <c:orientation val="minMax"/>
        </c:scaling>
        <c:delete val="1"/>
        <c:axPos val="l"/>
        <c:numFmt formatCode="_(* #,##0.00_);_(* \(#,##0.00\);_(* &quot;-&quot;??_);_(@_)" sourceLinked="1"/>
        <c:majorTickMark val="none"/>
        <c:minorTickMark val="none"/>
        <c:tickLblPos val="nextTo"/>
        <c:crossAx val="427950512"/>
        <c:crosses val="autoZero"/>
        <c:crossBetween val="between"/>
      </c:valAx>
      <c:spPr>
        <a:solidFill>
          <a:srgbClr val="262626"/>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626"/>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performance.xlsx]Pivot Table!PivotTable8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28B3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8B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377567140600316E-2"/>
          <c:y val="8.6805555555555552E-2"/>
          <c:w val="0.96524486571879942"/>
          <c:h val="0.51183562992125986"/>
        </c:manualLayout>
      </c:layout>
      <c:barChart>
        <c:barDir val="col"/>
        <c:grouping val="clustered"/>
        <c:varyColors val="0"/>
        <c:ser>
          <c:idx val="0"/>
          <c:order val="0"/>
          <c:tx>
            <c:strRef>
              <c:f>'Pivot Table'!$W$3</c:f>
              <c:strCache>
                <c:ptCount val="1"/>
                <c:pt idx="0">
                  <c:v>Total</c:v>
                </c:pt>
              </c:strCache>
            </c:strRef>
          </c:tx>
          <c:spPr>
            <a:solidFill>
              <a:srgbClr val="F28B3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8B3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Table'!$V$4:$V$9</c:f>
              <c:strCache>
                <c:ptCount val="5"/>
                <c:pt idx="0">
                  <c:v>Display</c:v>
                </c:pt>
                <c:pt idx="1">
                  <c:v>Email</c:v>
                </c:pt>
                <c:pt idx="2">
                  <c:v>Influencer</c:v>
                </c:pt>
                <c:pt idx="3">
                  <c:v>Search</c:v>
                </c:pt>
                <c:pt idx="4">
                  <c:v>Social Media</c:v>
                </c:pt>
              </c:strCache>
            </c:strRef>
          </c:cat>
          <c:val>
            <c:numRef>
              <c:f>'Pivot Table'!$W$4:$W$9</c:f>
              <c:numCache>
                <c:formatCode>0.00</c:formatCode>
                <c:ptCount val="5"/>
                <c:pt idx="0">
                  <c:v>5.0188591269841307</c:v>
                </c:pt>
                <c:pt idx="1">
                  <c:v>4.9365080971659951</c:v>
                </c:pt>
                <c:pt idx="2">
                  <c:v>5.0681560975609781</c:v>
                </c:pt>
                <c:pt idx="3">
                  <c:v>5.0145668449197869</c:v>
                </c:pt>
                <c:pt idx="4">
                  <c:v>5.101896551724133</c:v>
                </c:pt>
              </c:numCache>
            </c:numRef>
          </c:val>
          <c:extLst>
            <c:ext xmlns:c16="http://schemas.microsoft.com/office/drawing/2014/chart" uri="{C3380CC4-5D6E-409C-BE32-E72D297353CC}">
              <c16:uniqueId val="{00000000-93F0-437F-AAA9-600578965413}"/>
            </c:ext>
          </c:extLst>
        </c:ser>
        <c:dLbls>
          <c:dLblPos val="outEnd"/>
          <c:showLegendKey val="0"/>
          <c:showVal val="1"/>
          <c:showCatName val="0"/>
          <c:showSerName val="0"/>
          <c:showPercent val="0"/>
          <c:showBubbleSize val="0"/>
        </c:dLbls>
        <c:gapWidth val="219"/>
        <c:overlap val="-27"/>
        <c:axId val="1165953576"/>
        <c:axId val="1165953936"/>
      </c:barChart>
      <c:catAx>
        <c:axId val="1165953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28B30"/>
                </a:solidFill>
                <a:latin typeface="+mn-lt"/>
                <a:ea typeface="+mn-ea"/>
                <a:cs typeface="+mn-cs"/>
              </a:defRPr>
            </a:pPr>
            <a:endParaRPr lang="en-US"/>
          </a:p>
        </c:txPr>
        <c:crossAx val="1165953936"/>
        <c:crosses val="autoZero"/>
        <c:auto val="1"/>
        <c:lblAlgn val="ctr"/>
        <c:lblOffset val="100"/>
        <c:noMultiLvlLbl val="0"/>
      </c:catAx>
      <c:valAx>
        <c:axId val="1165953936"/>
        <c:scaling>
          <c:orientation val="minMax"/>
        </c:scaling>
        <c:delete val="1"/>
        <c:axPos val="l"/>
        <c:numFmt formatCode="0.00" sourceLinked="1"/>
        <c:majorTickMark val="none"/>
        <c:minorTickMark val="none"/>
        <c:tickLblPos val="nextTo"/>
        <c:crossAx val="1165953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626"/>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[Marketing performance.xlsx]Pivot Table!PivotTable9</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28B3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8B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28B30"/>
          </a:solidFill>
          <a:ln>
            <a:noFill/>
          </a:ln>
          <a:effectLst/>
        </c:spPr>
        <c:dLbl>
          <c:idx val="0"/>
          <c:layout>
            <c:manualLayout>
              <c:x val="0"/>
              <c:y val="7.440476190476190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8B3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Table'!$AB$3</c:f>
              <c:strCache>
                <c:ptCount val="1"/>
                <c:pt idx="0">
                  <c:v>Total</c:v>
                </c:pt>
              </c:strCache>
            </c:strRef>
          </c:tx>
          <c:spPr>
            <a:solidFill>
              <a:srgbClr val="F28B30"/>
            </a:solidFill>
            <a:ln>
              <a:noFill/>
            </a:ln>
            <a:effectLst/>
          </c:spPr>
          <c:invertIfNegative val="0"/>
          <c:dPt>
            <c:idx val="1"/>
            <c:invertIfNegative val="0"/>
            <c:bubble3D val="0"/>
            <c:extLst>
              <c:ext xmlns:c16="http://schemas.microsoft.com/office/drawing/2014/chart" uri="{C3380CC4-5D6E-409C-BE32-E72D297353CC}">
                <c16:uniqueId val="{00000000-2E97-4004-B15A-BC2D5A4E1879}"/>
              </c:ext>
            </c:extLst>
          </c:dPt>
          <c:dLbls>
            <c:dLbl>
              <c:idx val="1"/>
              <c:layout>
                <c:manualLayout>
                  <c:x val="0"/>
                  <c:y val="7.440476190476190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E97-4004-B15A-BC2D5A4E18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28B3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Table'!$AA$4:$AA$10</c:f>
              <c:strCache>
                <c:ptCount val="6"/>
                <c:pt idx="0">
                  <c:v>Email</c:v>
                </c:pt>
                <c:pt idx="1">
                  <c:v>Facebook</c:v>
                </c:pt>
                <c:pt idx="2">
                  <c:v>Google Ads</c:v>
                </c:pt>
                <c:pt idx="3">
                  <c:v>Instagram</c:v>
                </c:pt>
                <c:pt idx="4">
                  <c:v>Website</c:v>
                </c:pt>
                <c:pt idx="5">
                  <c:v>YouTube</c:v>
                </c:pt>
              </c:strCache>
            </c:strRef>
          </c:cat>
          <c:val>
            <c:numRef>
              <c:f>'Pivot Table'!$AB$4:$AB$10</c:f>
              <c:numCache>
                <c:formatCode>0.00</c:formatCode>
                <c:ptCount val="6"/>
                <c:pt idx="0">
                  <c:v>5.0120465116279105</c:v>
                </c:pt>
                <c:pt idx="1">
                  <c:v>5.0768840579710153</c:v>
                </c:pt>
                <c:pt idx="2">
                  <c:v>5.0627525252525247</c:v>
                </c:pt>
                <c:pt idx="3">
                  <c:v>4.9959374999999957</c:v>
                </c:pt>
                <c:pt idx="4">
                  <c:v>4.9943599033816426</c:v>
                </c:pt>
                <c:pt idx="5">
                  <c:v>5.0354302325581326</c:v>
                </c:pt>
              </c:numCache>
            </c:numRef>
          </c:val>
          <c:extLst>
            <c:ext xmlns:c16="http://schemas.microsoft.com/office/drawing/2014/chart" uri="{C3380CC4-5D6E-409C-BE32-E72D297353CC}">
              <c16:uniqueId val="{00000000-FEEE-45DA-8374-7FF95470EB41}"/>
            </c:ext>
          </c:extLst>
        </c:ser>
        <c:dLbls>
          <c:dLblPos val="outEnd"/>
          <c:showLegendKey val="0"/>
          <c:showVal val="1"/>
          <c:showCatName val="0"/>
          <c:showSerName val="0"/>
          <c:showPercent val="0"/>
          <c:showBubbleSize val="0"/>
        </c:dLbls>
        <c:gapWidth val="182"/>
        <c:axId val="2028242752"/>
        <c:axId val="42572855"/>
      </c:barChart>
      <c:catAx>
        <c:axId val="2028242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28B30"/>
                </a:solidFill>
                <a:latin typeface="+mn-lt"/>
                <a:ea typeface="+mn-ea"/>
                <a:cs typeface="+mn-cs"/>
              </a:defRPr>
            </a:pPr>
            <a:endParaRPr lang="en-US"/>
          </a:p>
        </c:txPr>
        <c:crossAx val="42572855"/>
        <c:crosses val="autoZero"/>
        <c:auto val="1"/>
        <c:lblAlgn val="ctr"/>
        <c:lblOffset val="100"/>
        <c:noMultiLvlLbl val="0"/>
      </c:catAx>
      <c:valAx>
        <c:axId val="42572855"/>
        <c:scaling>
          <c:orientation val="minMax"/>
        </c:scaling>
        <c:delete val="1"/>
        <c:axPos val="b"/>
        <c:numFmt formatCode="0.00" sourceLinked="1"/>
        <c:majorTickMark val="none"/>
        <c:minorTickMark val="none"/>
        <c:tickLblPos val="nextTo"/>
        <c:crossAx val="2028242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626"/>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182880</xdr:colOff>
      <xdr:row>0</xdr:row>
      <xdr:rowOff>5754</xdr:rowOff>
    </xdr:from>
    <xdr:to>
      <xdr:col>23</xdr:col>
      <xdr:colOff>68580</xdr:colOff>
      <xdr:row>5</xdr:row>
      <xdr:rowOff>51474</xdr:rowOff>
    </xdr:to>
    <xdr:sp macro="" textlink="">
      <xdr:nvSpPr>
        <xdr:cNvPr id="2" name="Rectangle: Rounded Corners 1">
          <a:extLst>
            <a:ext uri="{FF2B5EF4-FFF2-40B4-BE49-F238E27FC236}">
              <a16:creationId xmlns:a16="http://schemas.microsoft.com/office/drawing/2014/main" id="{25CC02DA-425D-850F-5B4A-9A7EC2F60E22}"/>
            </a:ext>
          </a:extLst>
        </xdr:cNvPr>
        <xdr:cNvSpPr/>
      </xdr:nvSpPr>
      <xdr:spPr>
        <a:xfrm>
          <a:off x="2608839" y="5754"/>
          <a:ext cx="11409006" cy="978781"/>
        </a:xfrm>
        <a:prstGeom prst="roundRect">
          <a:avLst/>
        </a:prstGeom>
        <a:solidFill>
          <a:srgbClr val="2626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4</xdr:col>
      <xdr:colOff>165527</xdr:colOff>
      <xdr:row>5</xdr:row>
      <xdr:rowOff>176814</xdr:rowOff>
    </xdr:from>
    <xdr:to>
      <xdr:col>8</xdr:col>
      <xdr:colOff>129384</xdr:colOff>
      <xdr:row>12</xdr:row>
      <xdr:rowOff>153954</xdr:rowOff>
    </xdr:to>
    <xdr:sp macro="" textlink="">
      <xdr:nvSpPr>
        <xdr:cNvPr id="3" name="Rectangle: Rounded Corners 2">
          <a:extLst>
            <a:ext uri="{FF2B5EF4-FFF2-40B4-BE49-F238E27FC236}">
              <a16:creationId xmlns:a16="http://schemas.microsoft.com/office/drawing/2014/main" id="{452C53D2-41F3-45D0-911D-365C223FC97B}"/>
            </a:ext>
          </a:extLst>
        </xdr:cNvPr>
        <xdr:cNvSpPr/>
      </xdr:nvSpPr>
      <xdr:spPr>
        <a:xfrm>
          <a:off x="2591486" y="1109875"/>
          <a:ext cx="2389816" cy="1283426"/>
        </a:xfrm>
        <a:prstGeom prst="roundRect">
          <a:avLst/>
        </a:prstGeom>
        <a:solidFill>
          <a:srgbClr val="2626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9</xdr:col>
      <xdr:colOff>134464</xdr:colOff>
      <xdr:row>5</xdr:row>
      <xdr:rowOff>176814</xdr:rowOff>
    </xdr:from>
    <xdr:to>
      <xdr:col>13</xdr:col>
      <xdr:colOff>88744</xdr:colOff>
      <xdr:row>12</xdr:row>
      <xdr:rowOff>153954</xdr:rowOff>
    </xdr:to>
    <xdr:sp macro="" textlink="">
      <xdr:nvSpPr>
        <xdr:cNvPr id="7" name="Rectangle: Rounded Corners 6">
          <a:extLst>
            <a:ext uri="{FF2B5EF4-FFF2-40B4-BE49-F238E27FC236}">
              <a16:creationId xmlns:a16="http://schemas.microsoft.com/office/drawing/2014/main" id="{DEDBC5BE-5A5A-4E41-A0DB-ECA3DCD9D2E8}"/>
            </a:ext>
          </a:extLst>
        </xdr:cNvPr>
        <xdr:cNvSpPr/>
      </xdr:nvSpPr>
      <xdr:spPr>
        <a:xfrm>
          <a:off x="5592872" y="1109875"/>
          <a:ext cx="2380239" cy="1283426"/>
        </a:xfrm>
        <a:prstGeom prst="roundRect">
          <a:avLst/>
        </a:prstGeom>
        <a:solidFill>
          <a:srgbClr val="2626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14</xdr:col>
      <xdr:colOff>93824</xdr:colOff>
      <xdr:row>5</xdr:row>
      <xdr:rowOff>176814</xdr:rowOff>
    </xdr:from>
    <xdr:to>
      <xdr:col>18</xdr:col>
      <xdr:colOff>48104</xdr:colOff>
      <xdr:row>12</xdr:row>
      <xdr:rowOff>153954</xdr:rowOff>
    </xdr:to>
    <xdr:sp macro="" textlink="">
      <xdr:nvSpPr>
        <xdr:cNvPr id="8" name="Rectangle: Rounded Corners 7">
          <a:extLst>
            <a:ext uri="{FF2B5EF4-FFF2-40B4-BE49-F238E27FC236}">
              <a16:creationId xmlns:a16="http://schemas.microsoft.com/office/drawing/2014/main" id="{43D3728F-CB47-40C7-9BFE-18E9C312EA7F}"/>
            </a:ext>
          </a:extLst>
        </xdr:cNvPr>
        <xdr:cNvSpPr/>
      </xdr:nvSpPr>
      <xdr:spPr>
        <a:xfrm>
          <a:off x="8584681" y="1109875"/>
          <a:ext cx="2380239" cy="1283426"/>
        </a:xfrm>
        <a:prstGeom prst="roundRect">
          <a:avLst/>
        </a:prstGeom>
        <a:solidFill>
          <a:srgbClr val="2626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19</xdr:col>
      <xdr:colOff>53184</xdr:colOff>
      <xdr:row>5</xdr:row>
      <xdr:rowOff>176814</xdr:rowOff>
    </xdr:from>
    <xdr:to>
      <xdr:col>23</xdr:col>
      <xdr:colOff>7464</xdr:colOff>
      <xdr:row>12</xdr:row>
      <xdr:rowOff>153954</xdr:rowOff>
    </xdr:to>
    <xdr:sp macro="" textlink="">
      <xdr:nvSpPr>
        <xdr:cNvPr id="9" name="Rectangle: Rounded Corners 8">
          <a:extLst>
            <a:ext uri="{FF2B5EF4-FFF2-40B4-BE49-F238E27FC236}">
              <a16:creationId xmlns:a16="http://schemas.microsoft.com/office/drawing/2014/main" id="{081ABC0E-757F-45D3-A4EE-9CBEE11E4A5E}"/>
            </a:ext>
          </a:extLst>
        </xdr:cNvPr>
        <xdr:cNvSpPr/>
      </xdr:nvSpPr>
      <xdr:spPr>
        <a:xfrm>
          <a:off x="11576490" y="1109875"/>
          <a:ext cx="2380239" cy="1283426"/>
        </a:xfrm>
        <a:prstGeom prst="roundRect">
          <a:avLst/>
        </a:prstGeom>
        <a:solidFill>
          <a:srgbClr val="2626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4</xdr:col>
      <xdr:colOff>144314</xdr:colOff>
      <xdr:row>13</xdr:row>
      <xdr:rowOff>131251</xdr:rowOff>
    </xdr:from>
    <xdr:to>
      <xdr:col>18</xdr:col>
      <xdr:colOff>68114</xdr:colOff>
      <xdr:row>20</xdr:row>
      <xdr:rowOff>5599</xdr:rowOff>
    </xdr:to>
    <xdr:sp macro="" textlink="">
      <xdr:nvSpPr>
        <xdr:cNvPr id="10" name="Rectangle: Rounded Corners 9">
          <a:extLst>
            <a:ext uri="{FF2B5EF4-FFF2-40B4-BE49-F238E27FC236}">
              <a16:creationId xmlns:a16="http://schemas.microsoft.com/office/drawing/2014/main" id="{F9E197D2-17D5-4475-87EB-D42873745DFC}"/>
            </a:ext>
          </a:extLst>
        </xdr:cNvPr>
        <xdr:cNvSpPr/>
      </xdr:nvSpPr>
      <xdr:spPr>
        <a:xfrm>
          <a:off x="2570273" y="2557210"/>
          <a:ext cx="8414657" cy="1180634"/>
        </a:xfrm>
        <a:prstGeom prst="roundRect">
          <a:avLst/>
        </a:prstGeom>
        <a:solidFill>
          <a:srgbClr val="2626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4</xdr:col>
      <xdr:colOff>175260</xdr:colOff>
      <xdr:row>20</xdr:row>
      <xdr:rowOff>50852</xdr:rowOff>
    </xdr:from>
    <xdr:to>
      <xdr:col>18</xdr:col>
      <xdr:colOff>99060</xdr:colOff>
      <xdr:row>26</xdr:row>
      <xdr:rowOff>115545</xdr:rowOff>
    </xdr:to>
    <xdr:sp macro="" textlink="">
      <xdr:nvSpPr>
        <xdr:cNvPr id="11" name="Rectangle: Rounded Corners 10">
          <a:extLst>
            <a:ext uri="{FF2B5EF4-FFF2-40B4-BE49-F238E27FC236}">
              <a16:creationId xmlns:a16="http://schemas.microsoft.com/office/drawing/2014/main" id="{DBE2905D-B32C-43B5-91CC-D3FD01E449C5}"/>
            </a:ext>
          </a:extLst>
        </xdr:cNvPr>
        <xdr:cNvSpPr/>
      </xdr:nvSpPr>
      <xdr:spPr>
        <a:xfrm>
          <a:off x="2601219" y="3783097"/>
          <a:ext cx="8414657" cy="1184366"/>
        </a:xfrm>
        <a:prstGeom prst="roundRect">
          <a:avLst/>
        </a:prstGeom>
        <a:solidFill>
          <a:srgbClr val="2626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19</xdr:col>
      <xdr:colOff>106214</xdr:colOff>
      <xdr:row>13</xdr:row>
      <xdr:rowOff>66559</xdr:rowOff>
    </xdr:from>
    <xdr:to>
      <xdr:col>23</xdr:col>
      <xdr:colOff>60494</xdr:colOff>
      <xdr:row>26</xdr:row>
      <xdr:rowOff>100772</xdr:rowOff>
    </xdr:to>
    <xdr:sp macro="" textlink="">
      <xdr:nvSpPr>
        <xdr:cNvPr id="12" name="Rectangle: Rounded Corners 11">
          <a:extLst>
            <a:ext uri="{FF2B5EF4-FFF2-40B4-BE49-F238E27FC236}">
              <a16:creationId xmlns:a16="http://schemas.microsoft.com/office/drawing/2014/main" id="{6BCEDFB4-D426-48FE-B4E6-5C3066087238}"/>
            </a:ext>
          </a:extLst>
        </xdr:cNvPr>
        <xdr:cNvSpPr/>
      </xdr:nvSpPr>
      <xdr:spPr>
        <a:xfrm>
          <a:off x="11629520" y="2492518"/>
          <a:ext cx="2380239" cy="2460172"/>
        </a:xfrm>
        <a:prstGeom prst="roundRect">
          <a:avLst/>
        </a:prstGeom>
        <a:solidFill>
          <a:srgbClr val="2626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0</xdr:col>
      <xdr:colOff>83820</xdr:colOff>
      <xdr:row>0</xdr:row>
      <xdr:rowOff>29081</xdr:rowOff>
    </xdr:from>
    <xdr:to>
      <xdr:col>4</xdr:col>
      <xdr:colOff>38100</xdr:colOff>
      <xdr:row>26</xdr:row>
      <xdr:rowOff>62204</xdr:rowOff>
    </xdr:to>
    <xdr:sp macro="" textlink="">
      <xdr:nvSpPr>
        <xdr:cNvPr id="13" name="Rectangle: Rounded Corners 12">
          <a:extLst>
            <a:ext uri="{FF2B5EF4-FFF2-40B4-BE49-F238E27FC236}">
              <a16:creationId xmlns:a16="http://schemas.microsoft.com/office/drawing/2014/main" id="{F21AA874-580B-4D9D-98AF-32811F721EC4}"/>
            </a:ext>
          </a:extLst>
        </xdr:cNvPr>
        <xdr:cNvSpPr/>
      </xdr:nvSpPr>
      <xdr:spPr>
        <a:xfrm>
          <a:off x="83820" y="29081"/>
          <a:ext cx="2380239" cy="4885041"/>
        </a:xfrm>
        <a:prstGeom prst="roundRect">
          <a:avLst/>
        </a:prstGeom>
        <a:solidFill>
          <a:srgbClr val="26262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4</xdr:col>
      <xdr:colOff>419100</xdr:colOff>
      <xdr:row>1</xdr:row>
      <xdr:rowOff>114300</xdr:rowOff>
    </xdr:from>
    <xdr:to>
      <xdr:col>9</xdr:col>
      <xdr:colOff>83820</xdr:colOff>
      <xdr:row>4</xdr:row>
      <xdr:rowOff>76200</xdr:rowOff>
    </xdr:to>
    <xdr:sp macro="" textlink="">
      <xdr:nvSpPr>
        <xdr:cNvPr id="14" name="TextBox 13">
          <a:extLst>
            <a:ext uri="{FF2B5EF4-FFF2-40B4-BE49-F238E27FC236}">
              <a16:creationId xmlns:a16="http://schemas.microsoft.com/office/drawing/2014/main" id="{DFF137B9-1834-5DF8-D0EE-10A5FF22627D}"/>
            </a:ext>
          </a:extLst>
        </xdr:cNvPr>
        <xdr:cNvSpPr txBox="1"/>
      </xdr:nvSpPr>
      <xdr:spPr>
        <a:xfrm>
          <a:off x="2857500" y="297180"/>
          <a:ext cx="2712720" cy="510540"/>
        </a:xfrm>
        <a:prstGeom prst="rect">
          <a:avLst/>
        </a:prstGeom>
        <a:solidFill>
          <a:srgbClr val="26262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ln>
                <a:noFill/>
              </a:ln>
              <a:solidFill>
                <a:srgbClr val="F28B30"/>
              </a:solidFill>
            </a:rPr>
            <a:t>Marketing</a:t>
          </a:r>
          <a:r>
            <a:rPr lang="en-US" sz="2000" baseline="0">
              <a:ln>
                <a:noFill/>
              </a:ln>
              <a:solidFill>
                <a:srgbClr val="F28B30"/>
              </a:solidFill>
            </a:rPr>
            <a:t> Performance</a:t>
          </a:r>
          <a:endParaRPr lang="en-US" sz="2400">
            <a:ln>
              <a:noFill/>
            </a:ln>
            <a:solidFill>
              <a:srgbClr val="F28B30"/>
            </a:solidFill>
          </a:endParaRPr>
        </a:p>
      </xdr:txBody>
    </xdr:sp>
    <xdr:clientData/>
  </xdr:twoCellAnchor>
  <xdr:twoCellAnchor>
    <xdr:from>
      <xdr:col>20</xdr:col>
      <xdr:colOff>53340</xdr:colOff>
      <xdr:row>2</xdr:row>
      <xdr:rowOff>160020</xdr:rowOff>
    </xdr:from>
    <xdr:to>
      <xdr:col>22</xdr:col>
      <xdr:colOff>274320</xdr:colOff>
      <xdr:row>5</xdr:row>
      <xdr:rowOff>38100</xdr:rowOff>
    </xdr:to>
    <xdr:sp macro="" textlink="">
      <xdr:nvSpPr>
        <xdr:cNvPr id="15" name="TextBox 14">
          <a:extLst>
            <a:ext uri="{FF2B5EF4-FFF2-40B4-BE49-F238E27FC236}">
              <a16:creationId xmlns:a16="http://schemas.microsoft.com/office/drawing/2014/main" id="{89F0EC04-2C45-E857-C142-298A82D45E14}"/>
            </a:ext>
          </a:extLst>
        </xdr:cNvPr>
        <xdr:cNvSpPr txBox="1"/>
      </xdr:nvSpPr>
      <xdr:spPr>
        <a:xfrm>
          <a:off x="12245340" y="525780"/>
          <a:ext cx="1440180" cy="426720"/>
        </a:xfrm>
        <a:prstGeom prst="rect">
          <a:avLst/>
        </a:prstGeom>
        <a:solidFill>
          <a:srgbClr val="26262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rgbClr val="F28B30"/>
              </a:solidFill>
            </a:rPr>
            <a:t>Dashboard</a:t>
          </a:r>
        </a:p>
      </xdr:txBody>
    </xdr:sp>
    <xdr:clientData/>
  </xdr:twoCellAnchor>
  <xdr:twoCellAnchor>
    <xdr:from>
      <xdr:col>4</xdr:col>
      <xdr:colOff>335280</xdr:colOff>
      <xdr:row>6</xdr:row>
      <xdr:rowOff>167640</xdr:rowOff>
    </xdr:from>
    <xdr:to>
      <xdr:col>6</xdr:col>
      <xdr:colOff>419100</xdr:colOff>
      <xdr:row>8</xdr:row>
      <xdr:rowOff>182879</xdr:rowOff>
    </xdr:to>
    <xdr:sp macro="" textlink="">
      <xdr:nvSpPr>
        <xdr:cNvPr id="16" name="TextBox 15">
          <a:extLst>
            <a:ext uri="{FF2B5EF4-FFF2-40B4-BE49-F238E27FC236}">
              <a16:creationId xmlns:a16="http://schemas.microsoft.com/office/drawing/2014/main" id="{2606F8C6-0A5B-7529-3138-3BC27D4EB39D}"/>
            </a:ext>
          </a:extLst>
        </xdr:cNvPr>
        <xdr:cNvSpPr txBox="1"/>
      </xdr:nvSpPr>
      <xdr:spPr>
        <a:xfrm>
          <a:off x="2761239" y="1287313"/>
          <a:ext cx="1296800" cy="388464"/>
        </a:xfrm>
        <a:prstGeom prst="rect">
          <a:avLst/>
        </a:prstGeom>
        <a:solidFill>
          <a:srgbClr val="26262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F28B30"/>
              </a:solidFill>
            </a:rPr>
            <a:t>A.V.G ROI</a:t>
          </a:r>
        </a:p>
      </xdr:txBody>
    </xdr:sp>
    <xdr:clientData/>
  </xdr:twoCellAnchor>
  <xdr:twoCellAnchor>
    <xdr:from>
      <xdr:col>4</xdr:col>
      <xdr:colOff>335280</xdr:colOff>
      <xdr:row>9</xdr:row>
      <xdr:rowOff>167640</xdr:rowOff>
    </xdr:from>
    <xdr:to>
      <xdr:col>6</xdr:col>
      <xdr:colOff>137160</xdr:colOff>
      <xdr:row>12</xdr:row>
      <xdr:rowOff>0</xdr:rowOff>
    </xdr:to>
    <xdr:sp macro="" textlink="'Pivot Table'!B8">
      <xdr:nvSpPr>
        <xdr:cNvPr id="17" name="TextBox 16">
          <a:extLst>
            <a:ext uri="{FF2B5EF4-FFF2-40B4-BE49-F238E27FC236}">
              <a16:creationId xmlns:a16="http://schemas.microsoft.com/office/drawing/2014/main" id="{C1AB14ED-C67C-CFF9-01E8-20EBD812A18B}"/>
            </a:ext>
          </a:extLst>
        </xdr:cNvPr>
        <xdr:cNvSpPr txBox="1"/>
      </xdr:nvSpPr>
      <xdr:spPr>
        <a:xfrm>
          <a:off x="2761239" y="1847150"/>
          <a:ext cx="1014860" cy="392197"/>
        </a:xfrm>
        <a:prstGeom prst="rect">
          <a:avLst/>
        </a:prstGeom>
        <a:solidFill>
          <a:srgbClr val="26262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341CB5-F7CD-4EE6-97B4-72170A0A2F0D}" type="TxLink">
            <a:rPr lang="en-US" sz="1800" b="0" i="0" u="none" strike="noStrike">
              <a:solidFill>
                <a:srgbClr val="F28B30"/>
              </a:solidFill>
              <a:latin typeface="Aptos Narrow"/>
            </a:rPr>
            <a:pPr/>
            <a:t>5.03</a:t>
          </a:fld>
          <a:endParaRPr lang="en-US" sz="1100">
            <a:solidFill>
              <a:srgbClr val="F28B30"/>
            </a:solidFill>
          </a:endParaRPr>
        </a:p>
      </xdr:txBody>
    </xdr:sp>
    <xdr:clientData/>
  </xdr:twoCellAnchor>
  <xdr:twoCellAnchor>
    <xdr:from>
      <xdr:col>9</xdr:col>
      <xdr:colOff>281940</xdr:colOff>
      <xdr:row>6</xdr:row>
      <xdr:rowOff>167640</xdr:rowOff>
    </xdr:from>
    <xdr:to>
      <xdr:col>12</xdr:col>
      <xdr:colOff>556260</xdr:colOff>
      <xdr:row>8</xdr:row>
      <xdr:rowOff>167640</xdr:rowOff>
    </xdr:to>
    <xdr:sp macro="" textlink="">
      <xdr:nvSpPr>
        <xdr:cNvPr id="18" name="TextBox 17">
          <a:extLst>
            <a:ext uri="{FF2B5EF4-FFF2-40B4-BE49-F238E27FC236}">
              <a16:creationId xmlns:a16="http://schemas.microsoft.com/office/drawing/2014/main" id="{CA9B9AE7-187E-04D7-0954-056B735277DF}"/>
            </a:ext>
          </a:extLst>
        </xdr:cNvPr>
        <xdr:cNvSpPr txBox="1"/>
      </xdr:nvSpPr>
      <xdr:spPr>
        <a:xfrm>
          <a:off x="5740348" y="1287313"/>
          <a:ext cx="2093790" cy="373225"/>
        </a:xfrm>
        <a:prstGeom prst="rect">
          <a:avLst/>
        </a:prstGeom>
        <a:solidFill>
          <a:srgbClr val="26262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F28B30"/>
              </a:solidFill>
            </a:rPr>
            <a:t>A.V.G</a:t>
          </a:r>
          <a:r>
            <a:rPr lang="en-US" sz="1600" baseline="0">
              <a:solidFill>
                <a:srgbClr val="F28B30"/>
              </a:solidFill>
            </a:rPr>
            <a:t> Conversion Rate</a:t>
          </a:r>
          <a:endParaRPr lang="en-US" sz="1600">
            <a:solidFill>
              <a:srgbClr val="F28B30"/>
            </a:solidFill>
          </a:endParaRPr>
        </a:p>
      </xdr:txBody>
    </xdr:sp>
    <xdr:clientData/>
  </xdr:twoCellAnchor>
  <xdr:twoCellAnchor>
    <xdr:from>
      <xdr:col>9</xdr:col>
      <xdr:colOff>297179</xdr:colOff>
      <xdr:row>9</xdr:row>
      <xdr:rowOff>167640</xdr:rowOff>
    </xdr:from>
    <xdr:to>
      <xdr:col>10</xdr:col>
      <xdr:colOff>520958</xdr:colOff>
      <xdr:row>12</xdr:row>
      <xdr:rowOff>0</xdr:rowOff>
    </xdr:to>
    <xdr:sp macro="" textlink="'Pivot Table'!F8">
      <xdr:nvSpPr>
        <xdr:cNvPr id="19" name="TextBox 18">
          <a:extLst>
            <a:ext uri="{FF2B5EF4-FFF2-40B4-BE49-F238E27FC236}">
              <a16:creationId xmlns:a16="http://schemas.microsoft.com/office/drawing/2014/main" id="{1EFC4FF2-2FBE-60FC-3903-094AA99A26C5}"/>
            </a:ext>
          </a:extLst>
        </xdr:cNvPr>
        <xdr:cNvSpPr txBox="1"/>
      </xdr:nvSpPr>
      <xdr:spPr>
        <a:xfrm>
          <a:off x="5755587" y="1847150"/>
          <a:ext cx="830269" cy="392197"/>
        </a:xfrm>
        <a:prstGeom prst="rect">
          <a:avLst/>
        </a:prstGeom>
        <a:solidFill>
          <a:srgbClr val="26262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B30D75-B238-4A21-BDAC-B93EF3101E79}" type="TxLink">
            <a:rPr lang="en-US" sz="1600" b="0" i="0" u="none" strike="noStrike">
              <a:solidFill>
                <a:srgbClr val="F28B30"/>
              </a:solidFill>
              <a:latin typeface="Aptos Narrow"/>
            </a:rPr>
            <a:pPr/>
            <a:t>7.98%</a:t>
          </a:fld>
          <a:endParaRPr lang="en-US" sz="1100">
            <a:solidFill>
              <a:srgbClr val="F28B30"/>
            </a:solidFill>
          </a:endParaRPr>
        </a:p>
      </xdr:txBody>
    </xdr:sp>
    <xdr:clientData/>
  </xdr:twoCellAnchor>
  <xdr:twoCellAnchor>
    <xdr:from>
      <xdr:col>14</xdr:col>
      <xdr:colOff>198120</xdr:colOff>
      <xdr:row>6</xdr:row>
      <xdr:rowOff>167640</xdr:rowOff>
    </xdr:from>
    <xdr:to>
      <xdr:col>17</xdr:col>
      <xdr:colOff>594360</xdr:colOff>
      <xdr:row>8</xdr:row>
      <xdr:rowOff>152400</xdr:rowOff>
    </xdr:to>
    <xdr:sp macro="" textlink="">
      <xdr:nvSpPr>
        <xdr:cNvPr id="20" name="TextBox 19">
          <a:extLst>
            <a:ext uri="{FF2B5EF4-FFF2-40B4-BE49-F238E27FC236}">
              <a16:creationId xmlns:a16="http://schemas.microsoft.com/office/drawing/2014/main" id="{7E0D5C96-6084-B4BA-6067-D340F84E9892}"/>
            </a:ext>
          </a:extLst>
        </xdr:cNvPr>
        <xdr:cNvSpPr txBox="1"/>
      </xdr:nvSpPr>
      <xdr:spPr>
        <a:xfrm>
          <a:off x="8688977" y="1287313"/>
          <a:ext cx="2215710" cy="357985"/>
        </a:xfrm>
        <a:prstGeom prst="rect">
          <a:avLst/>
        </a:prstGeom>
        <a:solidFill>
          <a:srgbClr val="26262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F28B30"/>
              </a:solidFill>
            </a:rPr>
            <a:t>A.V.G</a:t>
          </a:r>
          <a:r>
            <a:rPr lang="en-US" sz="1600" baseline="0">
              <a:solidFill>
                <a:srgbClr val="F28B30"/>
              </a:solidFill>
            </a:rPr>
            <a:t> of CAC</a:t>
          </a:r>
          <a:endParaRPr lang="en-US" sz="1600">
            <a:solidFill>
              <a:srgbClr val="F28B30"/>
            </a:solidFill>
          </a:endParaRPr>
        </a:p>
      </xdr:txBody>
    </xdr:sp>
    <xdr:clientData/>
  </xdr:twoCellAnchor>
  <xdr:twoCellAnchor>
    <xdr:from>
      <xdr:col>14</xdr:col>
      <xdr:colOff>220980</xdr:colOff>
      <xdr:row>9</xdr:row>
      <xdr:rowOff>167640</xdr:rowOff>
    </xdr:from>
    <xdr:to>
      <xdr:col>15</xdr:col>
      <xdr:colOff>544286</xdr:colOff>
      <xdr:row>12</xdr:row>
      <xdr:rowOff>22860</xdr:rowOff>
    </xdr:to>
    <xdr:sp macro="" textlink="'Pivot Table'!I8">
      <xdr:nvSpPr>
        <xdr:cNvPr id="21" name="TextBox 20">
          <a:extLst>
            <a:ext uri="{FF2B5EF4-FFF2-40B4-BE49-F238E27FC236}">
              <a16:creationId xmlns:a16="http://schemas.microsoft.com/office/drawing/2014/main" id="{8312838F-47B2-5EAC-6036-C93E35167FC6}"/>
            </a:ext>
          </a:extLst>
        </xdr:cNvPr>
        <xdr:cNvSpPr txBox="1"/>
      </xdr:nvSpPr>
      <xdr:spPr>
        <a:xfrm>
          <a:off x="8711837" y="1847150"/>
          <a:ext cx="929796" cy="415057"/>
        </a:xfrm>
        <a:prstGeom prst="rect">
          <a:avLst/>
        </a:prstGeom>
        <a:solidFill>
          <a:srgbClr val="26262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591B77-CB3A-416E-990E-5AB13F0D5CE6}" type="TxLink">
            <a:rPr lang="en-US" sz="1600" b="0" i="0" u="none" strike="noStrike">
              <a:solidFill>
                <a:srgbClr val="F28B30"/>
              </a:solidFill>
              <a:latin typeface="Aptos Narrow"/>
            </a:rPr>
            <a:pPr/>
            <a:t>$648</a:t>
          </a:fld>
          <a:endParaRPr lang="en-US" sz="1100">
            <a:solidFill>
              <a:srgbClr val="F28B30"/>
            </a:solidFill>
          </a:endParaRPr>
        </a:p>
      </xdr:txBody>
    </xdr:sp>
    <xdr:clientData/>
  </xdr:twoCellAnchor>
  <xdr:twoCellAnchor>
    <xdr:from>
      <xdr:col>19</xdr:col>
      <xdr:colOff>236219</xdr:colOff>
      <xdr:row>6</xdr:row>
      <xdr:rowOff>167640</xdr:rowOff>
    </xdr:from>
    <xdr:to>
      <xdr:col>22</xdr:col>
      <xdr:colOff>388774</xdr:colOff>
      <xdr:row>8</xdr:row>
      <xdr:rowOff>141047</xdr:rowOff>
    </xdr:to>
    <xdr:sp macro="" textlink="">
      <xdr:nvSpPr>
        <xdr:cNvPr id="22" name="TextBox 21">
          <a:extLst>
            <a:ext uri="{FF2B5EF4-FFF2-40B4-BE49-F238E27FC236}">
              <a16:creationId xmlns:a16="http://schemas.microsoft.com/office/drawing/2014/main" id="{5A471307-C15D-6440-E9DE-3902ECFAB20D}"/>
            </a:ext>
          </a:extLst>
        </xdr:cNvPr>
        <xdr:cNvSpPr txBox="1"/>
      </xdr:nvSpPr>
      <xdr:spPr>
        <a:xfrm>
          <a:off x="11759525" y="1287313"/>
          <a:ext cx="1972025" cy="346632"/>
        </a:xfrm>
        <a:prstGeom prst="rect">
          <a:avLst/>
        </a:prstGeom>
        <a:solidFill>
          <a:srgbClr val="26262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F28B30"/>
              </a:solidFill>
            </a:rPr>
            <a:t>A.V.G</a:t>
          </a:r>
          <a:r>
            <a:rPr lang="en-US" sz="1600" baseline="0">
              <a:solidFill>
                <a:srgbClr val="F28B30"/>
              </a:solidFill>
            </a:rPr>
            <a:t> of Customers</a:t>
          </a:r>
          <a:endParaRPr lang="en-US" sz="1600">
            <a:solidFill>
              <a:srgbClr val="F28B30"/>
            </a:solidFill>
          </a:endParaRPr>
        </a:p>
      </xdr:txBody>
    </xdr:sp>
    <xdr:clientData/>
  </xdr:twoCellAnchor>
  <xdr:twoCellAnchor>
    <xdr:from>
      <xdr:col>19</xdr:col>
      <xdr:colOff>236220</xdr:colOff>
      <xdr:row>9</xdr:row>
      <xdr:rowOff>167640</xdr:rowOff>
    </xdr:from>
    <xdr:to>
      <xdr:col>20</xdr:col>
      <xdr:colOff>357673</xdr:colOff>
      <xdr:row>11</xdr:row>
      <xdr:rowOff>129540</xdr:rowOff>
    </xdr:to>
    <xdr:sp macro="" textlink="'Pivot Table'!L7">
      <xdr:nvSpPr>
        <xdr:cNvPr id="23" name="TextBox 22">
          <a:extLst>
            <a:ext uri="{FF2B5EF4-FFF2-40B4-BE49-F238E27FC236}">
              <a16:creationId xmlns:a16="http://schemas.microsoft.com/office/drawing/2014/main" id="{3B41104A-21AB-FA05-9DF5-A73483A583B7}"/>
            </a:ext>
          </a:extLst>
        </xdr:cNvPr>
        <xdr:cNvSpPr txBox="1"/>
      </xdr:nvSpPr>
      <xdr:spPr>
        <a:xfrm>
          <a:off x="11759526" y="1847150"/>
          <a:ext cx="727943" cy="335125"/>
        </a:xfrm>
        <a:prstGeom prst="rect">
          <a:avLst/>
        </a:prstGeom>
        <a:solidFill>
          <a:srgbClr val="26262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3E652B6-A3D4-429E-8E75-4530031AEAE8}" type="TxLink">
            <a:rPr lang="en-US" sz="1600" b="0" i="0" u="none" strike="noStrike">
              <a:solidFill>
                <a:srgbClr val="F28B30"/>
              </a:solidFill>
              <a:latin typeface="Aptos Narrow"/>
            </a:rPr>
            <a:t>44</a:t>
          </a:fld>
          <a:endParaRPr lang="en-US" sz="1100">
            <a:solidFill>
              <a:srgbClr val="F28B30"/>
            </a:solidFill>
          </a:endParaRPr>
        </a:p>
      </xdr:txBody>
    </xdr:sp>
    <xdr:clientData/>
  </xdr:twoCellAnchor>
  <xdr:twoCellAnchor>
    <xdr:from>
      <xdr:col>4</xdr:col>
      <xdr:colOff>258594</xdr:colOff>
      <xdr:row>15</xdr:row>
      <xdr:rowOff>115367</xdr:rowOff>
    </xdr:from>
    <xdr:to>
      <xdr:col>17</xdr:col>
      <xdr:colOff>578634</xdr:colOff>
      <xdr:row>19</xdr:row>
      <xdr:rowOff>130607</xdr:rowOff>
    </xdr:to>
    <xdr:graphicFrame macro="">
      <xdr:nvGraphicFramePr>
        <xdr:cNvPr id="24" name="Chart 23">
          <a:extLst>
            <a:ext uri="{FF2B5EF4-FFF2-40B4-BE49-F238E27FC236}">
              <a16:creationId xmlns:a16="http://schemas.microsoft.com/office/drawing/2014/main" id="{15A58FDC-22E3-47FD-A0AB-F57D785E4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320351</xdr:colOff>
      <xdr:row>13</xdr:row>
      <xdr:rowOff>184590</xdr:rowOff>
    </xdr:from>
    <xdr:to>
      <xdr:col>8</xdr:col>
      <xdr:colOff>145091</xdr:colOff>
      <xdr:row>15</xdr:row>
      <xdr:rowOff>108390</xdr:rowOff>
    </xdr:to>
    <xdr:sp macro="" textlink="">
      <xdr:nvSpPr>
        <xdr:cNvPr id="25" name="TextBox 24">
          <a:extLst>
            <a:ext uri="{FF2B5EF4-FFF2-40B4-BE49-F238E27FC236}">
              <a16:creationId xmlns:a16="http://schemas.microsoft.com/office/drawing/2014/main" id="{C26DCDC2-3E58-FBFB-9EDB-D3B56BD5F041}"/>
            </a:ext>
          </a:extLst>
        </xdr:cNvPr>
        <xdr:cNvSpPr txBox="1"/>
      </xdr:nvSpPr>
      <xdr:spPr>
        <a:xfrm>
          <a:off x="2746310" y="2610549"/>
          <a:ext cx="2250699" cy="297025"/>
        </a:xfrm>
        <a:prstGeom prst="rect">
          <a:avLst/>
        </a:prstGeom>
        <a:solidFill>
          <a:srgbClr val="26262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F28B30"/>
              </a:solidFill>
            </a:rPr>
            <a:t>ROI</a:t>
          </a:r>
          <a:r>
            <a:rPr lang="en-US" sz="1600" baseline="0">
              <a:solidFill>
                <a:srgbClr val="F28B30"/>
              </a:solidFill>
            </a:rPr>
            <a:t> Over Time</a:t>
          </a:r>
          <a:endParaRPr lang="en-US" sz="1600">
            <a:solidFill>
              <a:srgbClr val="F28B30"/>
            </a:solidFill>
          </a:endParaRPr>
        </a:p>
      </xdr:txBody>
    </xdr:sp>
    <xdr:clientData/>
  </xdr:twoCellAnchor>
  <xdr:twoCellAnchor>
    <xdr:from>
      <xdr:col>4</xdr:col>
      <xdr:colOff>327505</xdr:colOff>
      <xdr:row>22</xdr:row>
      <xdr:rowOff>27991</xdr:rowOff>
    </xdr:from>
    <xdr:to>
      <xdr:col>17</xdr:col>
      <xdr:colOff>495145</xdr:colOff>
      <xdr:row>26</xdr:row>
      <xdr:rowOff>69824</xdr:rowOff>
    </xdr:to>
    <xdr:graphicFrame macro="">
      <xdr:nvGraphicFramePr>
        <xdr:cNvPr id="26" name="Chart 25">
          <a:extLst>
            <a:ext uri="{FF2B5EF4-FFF2-40B4-BE49-F238E27FC236}">
              <a16:creationId xmlns:a16="http://schemas.microsoft.com/office/drawing/2014/main" id="{6538E228-895F-4C40-BD58-1D685DAC98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297025</xdr:colOff>
      <xdr:row>20</xdr:row>
      <xdr:rowOff>115233</xdr:rowOff>
    </xdr:from>
    <xdr:to>
      <xdr:col>7</xdr:col>
      <xdr:colOff>606334</xdr:colOff>
      <xdr:row>22</xdr:row>
      <xdr:rowOff>77134</xdr:rowOff>
    </xdr:to>
    <xdr:sp macro="" textlink="">
      <xdr:nvSpPr>
        <xdr:cNvPr id="27" name="TextBox 26">
          <a:extLst>
            <a:ext uri="{FF2B5EF4-FFF2-40B4-BE49-F238E27FC236}">
              <a16:creationId xmlns:a16="http://schemas.microsoft.com/office/drawing/2014/main" id="{D798BF39-7DCB-12C5-F299-3F00C93BFE0A}"/>
            </a:ext>
          </a:extLst>
        </xdr:cNvPr>
        <xdr:cNvSpPr txBox="1"/>
      </xdr:nvSpPr>
      <xdr:spPr>
        <a:xfrm>
          <a:off x="2722984" y="3847478"/>
          <a:ext cx="2128779" cy="335125"/>
        </a:xfrm>
        <a:prstGeom prst="rect">
          <a:avLst/>
        </a:prstGeom>
        <a:solidFill>
          <a:srgbClr val="26262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F28B30"/>
              </a:solidFill>
            </a:rPr>
            <a:t>ROI By Campaign</a:t>
          </a:r>
        </a:p>
      </xdr:txBody>
    </xdr:sp>
    <xdr:clientData/>
  </xdr:twoCellAnchor>
  <xdr:twoCellAnchor>
    <xdr:from>
      <xdr:col>19</xdr:col>
      <xdr:colOff>220980</xdr:colOff>
      <xdr:row>17</xdr:row>
      <xdr:rowOff>0</xdr:rowOff>
    </xdr:from>
    <xdr:to>
      <xdr:col>22</xdr:col>
      <xdr:colOff>556260</xdr:colOff>
      <xdr:row>25</xdr:row>
      <xdr:rowOff>175260</xdr:rowOff>
    </xdr:to>
    <xdr:graphicFrame macro="">
      <xdr:nvGraphicFramePr>
        <xdr:cNvPr id="28" name="Chart 27">
          <a:extLst>
            <a:ext uri="{FF2B5EF4-FFF2-40B4-BE49-F238E27FC236}">
              <a16:creationId xmlns:a16="http://schemas.microsoft.com/office/drawing/2014/main" id="{09790524-7EA9-4C33-A4EE-3B38B1B19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266700</xdr:colOff>
      <xdr:row>14</xdr:row>
      <xdr:rowOff>67025</xdr:rowOff>
    </xdr:from>
    <xdr:to>
      <xdr:col>22</xdr:col>
      <xdr:colOff>213360</xdr:colOff>
      <xdr:row>16</xdr:row>
      <xdr:rowOff>89885</xdr:rowOff>
    </xdr:to>
    <xdr:sp macro="" textlink="">
      <xdr:nvSpPr>
        <xdr:cNvPr id="29" name="TextBox 28">
          <a:extLst>
            <a:ext uri="{FF2B5EF4-FFF2-40B4-BE49-F238E27FC236}">
              <a16:creationId xmlns:a16="http://schemas.microsoft.com/office/drawing/2014/main" id="{5C24AAD8-336E-0A2A-CA4E-E6B1D087946C}"/>
            </a:ext>
          </a:extLst>
        </xdr:cNvPr>
        <xdr:cNvSpPr txBox="1"/>
      </xdr:nvSpPr>
      <xdr:spPr>
        <a:xfrm>
          <a:off x="11790006" y="2679596"/>
          <a:ext cx="1766130" cy="396085"/>
        </a:xfrm>
        <a:prstGeom prst="rect">
          <a:avLst/>
        </a:prstGeom>
        <a:solidFill>
          <a:srgbClr val="26262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rgbClr val="F28B30"/>
              </a:solidFill>
            </a:rPr>
            <a:t>ROI By Channel</a:t>
          </a:r>
        </a:p>
      </xdr:txBody>
    </xdr:sp>
    <xdr:clientData/>
  </xdr:twoCellAnchor>
  <xdr:twoCellAnchor editAs="oneCell">
    <xdr:from>
      <xdr:col>0</xdr:col>
      <xdr:colOff>441960</xdr:colOff>
      <xdr:row>1</xdr:row>
      <xdr:rowOff>76200</xdr:rowOff>
    </xdr:from>
    <xdr:to>
      <xdr:col>3</xdr:col>
      <xdr:colOff>236220</xdr:colOff>
      <xdr:row>6</xdr:row>
      <xdr:rowOff>15240</xdr:rowOff>
    </xdr:to>
    <xdr:pic>
      <xdr:nvPicPr>
        <xdr:cNvPr id="33" name="Picture 32">
          <a:extLst>
            <a:ext uri="{FF2B5EF4-FFF2-40B4-BE49-F238E27FC236}">
              <a16:creationId xmlns:a16="http://schemas.microsoft.com/office/drawing/2014/main" id="{BAB771AE-D949-A011-F2A9-11E8D3C33EE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41960" y="259080"/>
          <a:ext cx="1623060" cy="853440"/>
        </a:xfrm>
        <a:prstGeom prst="rect">
          <a:avLst/>
        </a:prstGeom>
      </xdr:spPr>
    </xdr:pic>
    <xdr:clientData/>
  </xdr:twoCellAnchor>
  <xdr:twoCellAnchor editAs="oneCell">
    <xdr:from>
      <xdr:col>0</xdr:col>
      <xdr:colOff>160020</xdr:colOff>
      <xdr:row>6</xdr:row>
      <xdr:rowOff>175260</xdr:rowOff>
    </xdr:from>
    <xdr:to>
      <xdr:col>3</xdr:col>
      <xdr:colOff>563880</xdr:colOff>
      <xdr:row>14</xdr:row>
      <xdr:rowOff>22860</xdr:rowOff>
    </xdr:to>
    <mc:AlternateContent xmlns:mc="http://schemas.openxmlformats.org/markup-compatibility/2006" xmlns:tsle="http://schemas.microsoft.com/office/drawing/2012/timeslicer">
      <mc:Choice Requires="tsle">
        <xdr:graphicFrame macro="">
          <xdr:nvGraphicFramePr>
            <xdr:cNvPr id="34" name="Date">
              <a:extLst>
                <a:ext uri="{FF2B5EF4-FFF2-40B4-BE49-F238E27FC236}">
                  <a16:creationId xmlns:a16="http://schemas.microsoft.com/office/drawing/2014/main" id="{345FBAA7-DDF6-4CC6-948F-CC442A75740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60020" y="1272540"/>
              <a:ext cx="2232660" cy="13106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241040</xdr:colOff>
      <xdr:row>20</xdr:row>
      <xdr:rowOff>116011</xdr:rowOff>
    </xdr:from>
    <xdr:to>
      <xdr:col>3</xdr:col>
      <xdr:colOff>497633</xdr:colOff>
      <xdr:row>25</xdr:row>
      <xdr:rowOff>116633</xdr:rowOff>
    </xdr:to>
    <mc:AlternateContent xmlns:mc="http://schemas.openxmlformats.org/markup-compatibility/2006">
      <mc:Choice xmlns:a14="http://schemas.microsoft.com/office/drawing/2010/main" Requires="a14">
        <xdr:graphicFrame macro="">
          <xdr:nvGraphicFramePr>
            <xdr:cNvPr id="35" name="Channel_Used">
              <a:extLst>
                <a:ext uri="{FF2B5EF4-FFF2-40B4-BE49-F238E27FC236}">
                  <a16:creationId xmlns:a16="http://schemas.microsoft.com/office/drawing/2014/main" id="{F3D81EA8-9DBB-4975-B527-9569343BE8DB}"/>
                </a:ext>
              </a:extLst>
            </xdr:cNvPr>
            <xdr:cNvGraphicFramePr/>
          </xdr:nvGraphicFramePr>
          <xdr:xfrm>
            <a:off x="0" y="0"/>
            <a:ext cx="0" cy="0"/>
          </xdr:xfrm>
          <a:graphic>
            <a:graphicData uri="http://schemas.microsoft.com/office/drawing/2010/slicer">
              <sle:slicer xmlns:sle="http://schemas.microsoft.com/office/drawing/2010/slicer" name="Channel_Used"/>
            </a:graphicData>
          </a:graphic>
        </xdr:graphicFrame>
      </mc:Choice>
      <mc:Fallback>
        <xdr:sp macro="" textlink="">
          <xdr:nvSpPr>
            <xdr:cNvPr id="0" name=""/>
            <xdr:cNvSpPr>
              <a:spLocks noTextEdit="1"/>
            </xdr:cNvSpPr>
          </xdr:nvSpPr>
          <xdr:spPr>
            <a:xfrm>
              <a:off x="241040" y="3848256"/>
              <a:ext cx="2076062" cy="9336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233265</xdr:colOff>
      <xdr:row>14</xdr:row>
      <xdr:rowOff>120987</xdr:rowOff>
    </xdr:from>
    <xdr:to>
      <xdr:col>3</xdr:col>
      <xdr:colOff>513184</xdr:colOff>
      <xdr:row>19</xdr:row>
      <xdr:rowOff>155508</xdr:rowOff>
    </xdr:to>
    <mc:AlternateContent xmlns:mc="http://schemas.openxmlformats.org/markup-compatibility/2006">
      <mc:Choice xmlns:a14="http://schemas.microsoft.com/office/drawing/2010/main" Requires="a14">
        <xdr:graphicFrame macro="">
          <xdr:nvGraphicFramePr>
            <xdr:cNvPr id="36" name="Campaign_Type">
              <a:extLst>
                <a:ext uri="{FF2B5EF4-FFF2-40B4-BE49-F238E27FC236}">
                  <a16:creationId xmlns:a16="http://schemas.microsoft.com/office/drawing/2014/main" id="{7A6FC8CE-2AA8-4C62-94A0-7DB4797828E5}"/>
                </a:ext>
              </a:extLst>
            </xdr:cNvPr>
            <xdr:cNvGraphicFramePr/>
          </xdr:nvGraphicFramePr>
          <xdr:xfrm>
            <a:off x="0" y="0"/>
            <a:ext cx="0" cy="0"/>
          </xdr:xfrm>
          <a:graphic>
            <a:graphicData uri="http://schemas.microsoft.com/office/drawing/2010/slicer">
              <sle:slicer xmlns:sle="http://schemas.microsoft.com/office/drawing/2010/slicer" name="Campaign_Type"/>
            </a:graphicData>
          </a:graphic>
        </xdr:graphicFrame>
      </mc:Choice>
      <mc:Fallback>
        <xdr:sp macro="" textlink="">
          <xdr:nvSpPr>
            <xdr:cNvPr id="0" name=""/>
            <xdr:cNvSpPr>
              <a:spLocks noTextEdit="1"/>
            </xdr:cNvSpPr>
          </xdr:nvSpPr>
          <xdr:spPr>
            <a:xfrm>
              <a:off x="233265" y="2733558"/>
              <a:ext cx="2099388" cy="9675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PTOP" refreshedDate="46258.979074074072" createdVersion="8" refreshedVersion="8" minRefreshableVersion="3" recordCount="5000" xr:uid="{75D61167-A117-4ABC-9D73-309FEC59DA46}">
  <cacheSource type="worksheet">
    <worksheetSource name="Marketing"/>
  </cacheSource>
  <cacheFields count="19">
    <cacheField name="Company" numFmtId="0">
      <sharedItems/>
    </cacheField>
    <cacheField name="Campaign_Type" numFmtId="0">
      <sharedItems count="5">
        <s v="Email"/>
        <s v="Influencer"/>
        <s v="Display"/>
        <s v="Search"/>
        <s v="Social Media"/>
      </sharedItems>
    </cacheField>
    <cacheField name="Target_Audience" numFmtId="0">
      <sharedItems/>
    </cacheField>
    <cacheField name="Duration" numFmtId="0">
      <sharedItems/>
    </cacheField>
    <cacheField name="Channel_Used" numFmtId="0">
      <sharedItems count="6">
        <s v="Google Ads"/>
        <s v="YouTube"/>
        <s v="Instagram"/>
        <s v="Website"/>
        <s v="Facebook"/>
        <s v="Email"/>
      </sharedItems>
    </cacheField>
    <cacheField name="Conversion_Rate" numFmtId="9">
      <sharedItems containsSemiMixedTypes="0" containsString="0" containsNumber="1" minValue="0.01" maxValue="0.15"/>
    </cacheField>
    <cacheField name="Campaign_Cost" numFmtId="171">
      <sharedItems containsSemiMixedTypes="0" containsString="0" containsNumber="1" containsInteger="1" minValue="5000" maxValue="19999"/>
    </cacheField>
    <cacheField name="ROI" numFmtId="0">
      <sharedItems containsSemiMixedTypes="0" containsString="0" containsNumber="1" minValue="2" maxValue="8"/>
    </cacheField>
    <cacheField name="Customers" numFmtId="1">
      <sharedItems containsSemiMixedTypes="0" containsString="0" containsNumber="1" containsInteger="1" minValue="1" maxValue="150"/>
    </cacheField>
    <cacheField name="CAC" numFmtId="176">
      <sharedItems containsSemiMixedTypes="0" containsString="0" containsNumber="1" minValue="34.68" maxValue="17515"/>
    </cacheField>
    <cacheField name="Location" numFmtId="0">
      <sharedItems/>
    </cacheField>
    <cacheField name="Language" numFmtId="0">
      <sharedItems/>
    </cacheField>
    <cacheField name="Clicks" numFmtId="0">
      <sharedItems containsSemiMixedTypes="0" containsString="0" containsNumber="1" containsInteger="1" minValue="100" maxValue="1000"/>
    </cacheField>
    <cacheField name="Impressions" numFmtId="0">
      <sharedItems containsSemiMixedTypes="0" containsString="0" containsNumber="1" containsInteger="1" minValue="1000" maxValue="9999"/>
    </cacheField>
    <cacheField name="Engagement_Score" numFmtId="0">
      <sharedItems containsSemiMixedTypes="0" containsString="0" containsNumber="1" containsInteger="1" minValue="1" maxValue="10"/>
    </cacheField>
    <cacheField name="Customer_Segment" numFmtId="0">
      <sharedItems/>
    </cacheField>
    <cacheField name="Date" numFmtId="14">
      <sharedItems containsSemiMixedTypes="0" containsNonDate="0" containsDate="1" containsString="0" minDate="2021-01-01T00:00:00" maxDate="2022-01-01T00:00:00" count="365">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sharedItems>
      <fieldGroup par="18"/>
    </cacheField>
    <cacheField name="Days (Date)" numFmtId="0" databaseField="0">
      <fieldGroup base="16">
        <rangePr groupBy="days" startDate="2021-01-01T00:00:00" endDate="2022-01-01T00:00:00"/>
        <groupItems count="368">
          <s v="&lt;1/1/202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2"/>
        </groupItems>
      </fieldGroup>
    </cacheField>
    <cacheField name="Months (Date)" numFmtId="0" databaseField="0">
      <fieldGroup base="16">
        <rangePr groupBy="months" startDate="2021-01-01T00:00:00" endDate="2022-01-01T00:00:00"/>
        <groupItems count="14">
          <s v="&lt;1/1/2021"/>
          <s v="Jan"/>
          <s v="Feb"/>
          <s v="Mar"/>
          <s v="Apr"/>
          <s v="May"/>
          <s v="Jun"/>
          <s v="Jul"/>
          <s v="Aug"/>
          <s v="Sep"/>
          <s v="Oct"/>
          <s v="Nov"/>
          <s v="Dec"/>
          <s v="&gt;1/1/2022"/>
        </groupItems>
      </fieldGroup>
    </cacheField>
  </cacheFields>
  <extLst>
    <ext xmlns:x14="http://schemas.microsoft.com/office/spreadsheetml/2009/9/main" uri="{725AE2AE-9491-48be-B2B4-4EB974FC3084}">
      <x14:pivotCacheDefinition pivotCacheId="3184567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Innovate Industries"/>
    <x v="0"/>
    <s v="Men 18-24"/>
    <s v="30 days"/>
    <x v="0"/>
    <n v="0.04"/>
    <n v="16174"/>
    <n v="6.29"/>
    <n v="20"/>
    <n v="808.7"/>
    <s v="Chicago"/>
    <s v="Spanish"/>
    <n v="506"/>
    <n v="1922"/>
    <n v="6"/>
    <s v="Health &amp; Wellness"/>
    <x v="0"/>
  </r>
  <r>
    <s v="NexGen Systems"/>
    <x v="0"/>
    <s v="Women 35-44"/>
    <s v="60 days"/>
    <x v="0"/>
    <n v="0.12"/>
    <n v="11566"/>
    <n v="5.61"/>
    <n v="14"/>
    <n v="826.14285714285711"/>
    <s v="New York"/>
    <s v="German"/>
    <n v="116"/>
    <n v="7523"/>
    <n v="7"/>
    <s v="Fashionistas"/>
    <x v="1"/>
  </r>
  <r>
    <s v="Alpha Innovations"/>
    <x v="1"/>
    <s v="Men 25-34"/>
    <s v="30 days"/>
    <x v="1"/>
    <n v="7.0000000000000007E-2"/>
    <n v="10200"/>
    <n v="7.18"/>
    <n v="41"/>
    <n v="248.78048780487805"/>
    <s v="Los Angeles"/>
    <s v="French"/>
    <n v="584"/>
    <n v="7698"/>
    <n v="1"/>
    <s v="Outdoor Adventurers"/>
    <x v="2"/>
  </r>
  <r>
    <s v="DataTech Solutions"/>
    <x v="2"/>
    <s v="All Ages"/>
    <s v="60 days"/>
    <x v="1"/>
    <n v="0.11"/>
    <n v="12724"/>
    <n v="5.55"/>
    <n v="24"/>
    <n v="530.16666666666663"/>
    <s v="Miami"/>
    <s v="Mandarin"/>
    <n v="217"/>
    <n v="1820"/>
    <n v="7"/>
    <s v="Health &amp; Wellness"/>
    <x v="3"/>
  </r>
  <r>
    <s v="NexGen Systems"/>
    <x v="0"/>
    <s v="Men 25-34"/>
    <s v="15 days"/>
    <x v="1"/>
    <n v="0.05"/>
    <n v="16452"/>
    <n v="6.5"/>
    <n v="19"/>
    <n v="865.89473684210532"/>
    <s v="Los Angeles"/>
    <s v="Mandarin"/>
    <n v="379"/>
    <n v="4201"/>
    <n v="3"/>
    <s v="Health &amp; Wellness"/>
    <x v="4"/>
  </r>
  <r>
    <s v="DataTech Solutions"/>
    <x v="2"/>
    <s v="All Ages"/>
    <s v="15 days"/>
    <x v="2"/>
    <n v="7.0000000000000007E-2"/>
    <n v="9716"/>
    <n v="4.3600000000000003"/>
    <n v="7"/>
    <n v="1388"/>
    <s v="New York"/>
    <s v="German"/>
    <n v="100"/>
    <n v="1643"/>
    <n v="1"/>
    <s v="Foodies"/>
    <x v="5"/>
  </r>
  <r>
    <s v="NexGen Systems"/>
    <x v="0"/>
    <s v="Women 35-44"/>
    <s v="60 days"/>
    <x v="3"/>
    <n v="0.13"/>
    <n v="11067"/>
    <n v="2.86"/>
    <n v="106"/>
    <n v="104.40566037735849"/>
    <s v="Los Angeles"/>
    <s v="Spanish"/>
    <n v="817"/>
    <n v="8749"/>
    <n v="10"/>
    <s v="Tech Enthusiasts"/>
    <x v="6"/>
  </r>
  <r>
    <s v="DataTech Solutions"/>
    <x v="3"/>
    <s v="Men 18-24"/>
    <s v="45 days"/>
    <x v="0"/>
    <n v="0.08"/>
    <n v="13280"/>
    <n v="5.55"/>
    <n v="50"/>
    <n v="265.60000000000002"/>
    <s v="Los Angeles"/>
    <s v="Mandarin"/>
    <n v="624"/>
    <n v="7854"/>
    <n v="7"/>
    <s v="Outdoor Adventurers"/>
    <x v="7"/>
  </r>
  <r>
    <s v="Alpha Innovations"/>
    <x v="4"/>
    <s v="Women 35-44"/>
    <s v="15 days"/>
    <x v="4"/>
    <n v="0.09"/>
    <n v="18066"/>
    <n v="6.73"/>
    <n v="77"/>
    <n v="234.62337662337663"/>
    <s v="Chicago"/>
    <s v="German"/>
    <n v="861"/>
    <n v="1754"/>
    <n v="6"/>
    <s v="Tech Enthusiasts"/>
    <x v="8"/>
  </r>
  <r>
    <s v="TechCorp"/>
    <x v="0"/>
    <s v="Women 35-44"/>
    <s v="15 days"/>
    <x v="2"/>
    <n v="0.09"/>
    <n v="13766"/>
    <n v="3.78"/>
    <n v="58"/>
    <n v="237.34482758620689"/>
    <s v="Los Angeles"/>
    <s v="English"/>
    <n v="642"/>
    <n v="3856"/>
    <n v="3"/>
    <s v="Tech Enthusiasts"/>
    <x v="9"/>
  </r>
  <r>
    <s v="NexGen Systems"/>
    <x v="2"/>
    <s v="Men 25-34"/>
    <s v="45 days"/>
    <x v="5"/>
    <n v="0.12"/>
    <n v="8590"/>
    <n v="3.49"/>
    <n v="39"/>
    <n v="220.25641025641025"/>
    <s v="New York"/>
    <s v="Spanish"/>
    <n v="321"/>
    <n v="6628"/>
    <n v="10"/>
    <s v="Tech Enthusiasts"/>
    <x v="10"/>
  </r>
  <r>
    <s v="Innovate Industries"/>
    <x v="1"/>
    <s v="Men 25-34"/>
    <s v="60 days"/>
    <x v="0"/>
    <n v="0.05"/>
    <n v="17502"/>
    <n v="3.59"/>
    <n v="33"/>
    <n v="530.36363636363637"/>
    <s v="Los Angeles"/>
    <s v="Mandarin"/>
    <n v="659"/>
    <n v="8948"/>
    <n v="1"/>
    <s v="Foodies"/>
    <x v="11"/>
  </r>
  <r>
    <s v="TechCorp"/>
    <x v="4"/>
    <s v="Men 25-34"/>
    <s v="60 days"/>
    <x v="4"/>
    <n v="0.09"/>
    <n v="17189"/>
    <n v="4.91"/>
    <n v="61"/>
    <n v="281.78688524590166"/>
    <s v="Chicago"/>
    <s v="Mandarin"/>
    <n v="677"/>
    <n v="8817"/>
    <n v="10"/>
    <s v="Tech Enthusiasts"/>
    <x v="12"/>
  </r>
  <r>
    <s v="TechCorp"/>
    <x v="0"/>
    <s v="Men 25-34"/>
    <s v="45 days"/>
    <x v="2"/>
    <n v="0.14000000000000001"/>
    <n v="9975"/>
    <n v="7.06"/>
    <n v="139"/>
    <n v="71.762589928057551"/>
    <s v="New York"/>
    <s v="German"/>
    <n v="994"/>
    <n v="2201"/>
    <n v="4"/>
    <s v="Health &amp; Wellness"/>
    <x v="13"/>
  </r>
  <r>
    <s v="TechCorp"/>
    <x v="2"/>
    <s v="All Ages"/>
    <s v="45 days"/>
    <x v="3"/>
    <n v="0.04"/>
    <n v="11346"/>
    <n v="5.28"/>
    <n v="19"/>
    <n v="597.15789473684208"/>
    <s v="Chicago"/>
    <s v="Spanish"/>
    <n v="482"/>
    <n v="8470"/>
    <n v="1"/>
    <s v="Outdoor Adventurers"/>
    <x v="14"/>
  </r>
  <r>
    <s v="Innovate Industries"/>
    <x v="4"/>
    <s v="Women 35-44"/>
    <s v="60 days"/>
    <x v="1"/>
    <n v="0.11"/>
    <n v="9407"/>
    <n v="2.91"/>
    <n v="33"/>
    <n v="285.06060606060606"/>
    <s v="New York"/>
    <s v="German"/>
    <n v="299"/>
    <n v="1512"/>
    <n v="5"/>
    <s v="Health &amp; Wellness"/>
    <x v="15"/>
  </r>
  <r>
    <s v="Innovate Industries"/>
    <x v="2"/>
    <s v="Women 35-44"/>
    <s v="45 days"/>
    <x v="3"/>
    <n v="0.08"/>
    <n v="5478"/>
    <n v="4.53"/>
    <n v="74"/>
    <n v="74.027027027027032"/>
    <s v="Houston"/>
    <s v="English"/>
    <n v="931"/>
    <n v="2488"/>
    <n v="3"/>
    <s v="Fashionistas"/>
    <x v="16"/>
  </r>
  <r>
    <s v="Alpha Innovations"/>
    <x v="1"/>
    <s v="Men 18-24"/>
    <s v="15 days"/>
    <x v="2"/>
    <n v="0.14000000000000001"/>
    <n v="9485"/>
    <n v="4.4800000000000004"/>
    <n v="31"/>
    <n v="305.96774193548384"/>
    <s v="Miami"/>
    <s v="French"/>
    <n v="218"/>
    <n v="9264"/>
    <n v="9"/>
    <s v="Health &amp; Wellness"/>
    <x v="17"/>
  </r>
  <r>
    <s v="Alpha Innovations"/>
    <x v="4"/>
    <s v="Men 25-34"/>
    <s v="60 days"/>
    <x v="0"/>
    <n v="7.0000000000000007E-2"/>
    <n v="19224"/>
    <n v="6.08"/>
    <n v="13"/>
    <n v="1478.7692307692307"/>
    <s v="New York"/>
    <s v="French"/>
    <n v="182"/>
    <n v="5798"/>
    <n v="1"/>
    <s v="Foodies"/>
    <x v="18"/>
  </r>
  <r>
    <s v="DataTech Solutions"/>
    <x v="1"/>
    <s v="Men 25-34"/>
    <s v="15 days"/>
    <x v="0"/>
    <n v="0.09"/>
    <n v="10258"/>
    <n v="3.83"/>
    <n v="17"/>
    <n v="603.41176470588232"/>
    <s v="Miami"/>
    <s v="French"/>
    <n v="193"/>
    <n v="3677"/>
    <n v="1"/>
    <s v="Tech Enthusiasts"/>
    <x v="19"/>
  </r>
  <r>
    <s v="DataTech Solutions"/>
    <x v="3"/>
    <s v="Women 25-34"/>
    <s v="15 days"/>
    <x v="5"/>
    <n v="0.04"/>
    <n v="16580"/>
    <n v="7.99"/>
    <n v="39"/>
    <n v="425.12820512820514"/>
    <s v="New York"/>
    <s v="Spanish"/>
    <n v="975"/>
    <n v="1561"/>
    <n v="3"/>
    <s v="Outdoor Adventurers"/>
    <x v="20"/>
  </r>
  <r>
    <s v="TechCorp"/>
    <x v="1"/>
    <s v="All Ages"/>
    <s v="30 days"/>
    <x v="4"/>
    <n v="0.02"/>
    <n v="12824"/>
    <n v="6.21"/>
    <n v="6"/>
    <n v="2137.3333333333335"/>
    <s v="New York"/>
    <s v="French"/>
    <n v="319"/>
    <n v="8586"/>
    <n v="2"/>
    <s v="Foodies"/>
    <x v="21"/>
  </r>
  <r>
    <s v="NexGen Systems"/>
    <x v="4"/>
    <s v="Women 35-44"/>
    <s v="15 days"/>
    <x v="1"/>
    <n v="0.13"/>
    <n v="8699"/>
    <n v="2.12"/>
    <n v="84"/>
    <n v="103.55952380952381"/>
    <s v="Miami"/>
    <s v="French"/>
    <n v="646"/>
    <n v="3841"/>
    <n v="5"/>
    <s v="Health &amp; Wellness"/>
    <x v="22"/>
  </r>
  <r>
    <s v="Innovate Industries"/>
    <x v="0"/>
    <s v="Women 25-34"/>
    <s v="15 days"/>
    <x v="4"/>
    <n v="0.04"/>
    <n v="17608"/>
    <n v="7.31"/>
    <n v="31"/>
    <n v="568"/>
    <s v="Miami"/>
    <s v="Spanish"/>
    <n v="764"/>
    <n v="2157"/>
    <n v="8"/>
    <s v="Health &amp; Wellness"/>
    <x v="23"/>
  </r>
  <r>
    <s v="NexGen Systems"/>
    <x v="4"/>
    <s v="Men 18-24"/>
    <s v="60 days"/>
    <x v="1"/>
    <n v="7.0000000000000007E-2"/>
    <n v="8773"/>
    <n v="6.03"/>
    <n v="37"/>
    <n v="237.1081081081081"/>
    <s v="Miami"/>
    <s v="Mandarin"/>
    <n v="527"/>
    <n v="1733"/>
    <n v="1"/>
    <s v="Fashionistas"/>
    <x v="24"/>
  </r>
  <r>
    <s v="NexGen Systems"/>
    <x v="3"/>
    <s v="Women 25-34"/>
    <s v="45 days"/>
    <x v="2"/>
    <n v="0.04"/>
    <n v="14756"/>
    <n v="6.23"/>
    <n v="32"/>
    <n v="461.125"/>
    <s v="Houston"/>
    <s v="English"/>
    <n v="809"/>
    <n v="8236"/>
    <n v="10"/>
    <s v="Health &amp; Wellness"/>
    <x v="25"/>
  </r>
  <r>
    <s v="Alpha Innovations"/>
    <x v="0"/>
    <s v="Women 25-34"/>
    <s v="45 days"/>
    <x v="4"/>
    <n v="0.09"/>
    <n v="9182"/>
    <n v="6.03"/>
    <n v="86"/>
    <n v="106.76744186046511"/>
    <s v="Houston"/>
    <s v="English"/>
    <n v="953"/>
    <n v="6916"/>
    <n v="5"/>
    <s v="Fashionistas"/>
    <x v="26"/>
  </r>
  <r>
    <s v="TechCorp"/>
    <x v="0"/>
    <s v="Men 25-34"/>
    <s v="30 days"/>
    <x v="1"/>
    <n v="7.0000000000000007E-2"/>
    <n v="6601"/>
    <n v="3.29"/>
    <n v="42"/>
    <n v="157.16666666666666"/>
    <s v="New York"/>
    <s v="Spanish"/>
    <n v="604"/>
    <n v="2420"/>
    <n v="3"/>
    <s v="Foodies"/>
    <x v="27"/>
  </r>
  <r>
    <s v="TechCorp"/>
    <x v="1"/>
    <s v="Men 18-24"/>
    <s v="60 days"/>
    <x v="5"/>
    <n v="0.09"/>
    <n v="11552"/>
    <n v="7.12"/>
    <n v="35"/>
    <n v="330.05714285714288"/>
    <s v="Chicago"/>
    <s v="Spanish"/>
    <n v="384"/>
    <n v="7620"/>
    <n v="7"/>
    <s v="Tech Enthusiasts"/>
    <x v="28"/>
  </r>
  <r>
    <s v="TechCorp"/>
    <x v="4"/>
    <s v="Women 25-34"/>
    <s v="30 days"/>
    <x v="5"/>
    <n v="0.09"/>
    <n v="11608"/>
    <n v="3.61"/>
    <n v="86"/>
    <n v="134.97674418604652"/>
    <s v="Los Angeles"/>
    <s v="Spanish"/>
    <n v="952"/>
    <n v="4055"/>
    <n v="1"/>
    <s v="Tech Enthusiasts"/>
    <x v="29"/>
  </r>
  <r>
    <s v="Innovate Industries"/>
    <x v="3"/>
    <s v="Men 25-34"/>
    <s v="45 days"/>
    <x v="2"/>
    <n v="7.0000000000000007E-2"/>
    <n v="13124"/>
    <n v="2.77"/>
    <n v="36"/>
    <n v="364.55555555555554"/>
    <s v="Houston"/>
    <s v="Mandarin"/>
    <n v="512"/>
    <n v="4837"/>
    <n v="4"/>
    <s v="Tech Enthusiasts"/>
    <x v="30"/>
  </r>
  <r>
    <s v="NexGen Systems"/>
    <x v="1"/>
    <s v="All Ages"/>
    <s v="45 days"/>
    <x v="1"/>
    <n v="7.0000000000000007E-2"/>
    <n v="13245"/>
    <n v="6.83"/>
    <n v="22"/>
    <n v="602.0454545454545"/>
    <s v="New York"/>
    <s v="English"/>
    <n v="309"/>
    <n v="2885"/>
    <n v="7"/>
    <s v="Foodies"/>
    <x v="31"/>
  </r>
  <r>
    <s v="NexGen Systems"/>
    <x v="2"/>
    <s v="Women 35-44"/>
    <s v="45 days"/>
    <x v="5"/>
    <n v="0.06"/>
    <n v="5796"/>
    <n v="4.42"/>
    <n v="22"/>
    <n v="263.45454545454544"/>
    <s v="New York"/>
    <s v="Spanish"/>
    <n v="367"/>
    <n v="3218"/>
    <n v="9"/>
    <s v="Foodies"/>
    <x v="32"/>
  </r>
  <r>
    <s v="Alpha Innovations"/>
    <x v="1"/>
    <s v="Women 25-34"/>
    <s v="45 days"/>
    <x v="0"/>
    <n v="0.14000000000000001"/>
    <n v="15082"/>
    <n v="2.71"/>
    <n v="34"/>
    <n v="443.58823529411762"/>
    <s v="Los Angeles"/>
    <s v="German"/>
    <n v="243"/>
    <n v="5724"/>
    <n v="4"/>
    <s v="Health &amp; Wellness"/>
    <x v="33"/>
  </r>
  <r>
    <s v="NexGen Systems"/>
    <x v="1"/>
    <s v="Men 18-24"/>
    <s v="30 days"/>
    <x v="1"/>
    <n v="7.0000000000000007E-2"/>
    <n v="18332"/>
    <n v="7.81"/>
    <n v="25"/>
    <n v="733.28"/>
    <s v="Houston"/>
    <s v="Spanish"/>
    <n v="360"/>
    <n v="5349"/>
    <n v="6"/>
    <s v="Fashionistas"/>
    <x v="34"/>
  </r>
  <r>
    <s v="TechCorp"/>
    <x v="2"/>
    <s v="Men 25-34"/>
    <s v="60 days"/>
    <x v="2"/>
    <n v="0.09"/>
    <n v="13256"/>
    <n v="2.5099999999999998"/>
    <n v="23"/>
    <n v="576.3478260869565"/>
    <s v="Miami"/>
    <s v="German"/>
    <n v="250"/>
    <n v="7373"/>
    <n v="3"/>
    <s v="Health &amp; Wellness"/>
    <x v="35"/>
  </r>
  <r>
    <s v="DataTech Solutions"/>
    <x v="2"/>
    <s v="All Ages"/>
    <s v="45 days"/>
    <x v="5"/>
    <n v="0.04"/>
    <n v="15779"/>
    <n v="7.24"/>
    <n v="33"/>
    <n v="478.15151515151513"/>
    <s v="New York"/>
    <s v="Spanish"/>
    <n v="822"/>
    <n v="7152"/>
    <n v="1"/>
    <s v="Foodies"/>
    <x v="36"/>
  </r>
  <r>
    <s v="Innovate Industries"/>
    <x v="1"/>
    <s v="Men 18-24"/>
    <s v="60 days"/>
    <x v="4"/>
    <n v="0.06"/>
    <n v="7683"/>
    <n v="2.62"/>
    <n v="50"/>
    <n v="153.66"/>
    <s v="Houston"/>
    <s v="French"/>
    <n v="833"/>
    <n v="9772"/>
    <n v="8"/>
    <s v="Tech Enthusiasts"/>
    <x v="37"/>
  </r>
  <r>
    <s v="Innovate Industries"/>
    <x v="3"/>
    <s v="Men 25-34"/>
    <s v="30 days"/>
    <x v="2"/>
    <n v="0.11"/>
    <n v="14742"/>
    <n v="2.21"/>
    <n v="73"/>
    <n v="201.94520547945206"/>
    <s v="Chicago"/>
    <s v="Spanish"/>
    <n v="663"/>
    <n v="9473"/>
    <n v="10"/>
    <s v="Tech Enthusiasts"/>
    <x v="38"/>
  </r>
  <r>
    <s v="Innovate Industries"/>
    <x v="3"/>
    <s v="Men 18-24"/>
    <s v="45 days"/>
    <x v="0"/>
    <n v="0.08"/>
    <n v="15495"/>
    <n v="6.97"/>
    <n v="21"/>
    <n v="737.85714285714289"/>
    <s v="Chicago"/>
    <s v="German"/>
    <n v="268"/>
    <n v="5495"/>
    <n v="6"/>
    <s v="Fashionistas"/>
    <x v="39"/>
  </r>
  <r>
    <s v="DataTech Solutions"/>
    <x v="4"/>
    <s v="All Ages"/>
    <s v="30 days"/>
    <x v="3"/>
    <n v="0.04"/>
    <n v="18684"/>
    <n v="4.57"/>
    <n v="8"/>
    <n v="2335.5"/>
    <s v="New York"/>
    <s v="French"/>
    <n v="212"/>
    <n v="4718"/>
    <n v="4"/>
    <s v="Foodies"/>
    <x v="40"/>
  </r>
  <r>
    <s v="Alpha Innovations"/>
    <x v="3"/>
    <s v="Men 25-34"/>
    <s v="45 days"/>
    <x v="5"/>
    <n v="0.01"/>
    <n v="13096"/>
    <n v="3.44"/>
    <n v="4"/>
    <n v="3274"/>
    <s v="Los Angeles"/>
    <s v="French"/>
    <n v="360"/>
    <n v="2776"/>
    <n v="1"/>
    <s v="Foodies"/>
    <x v="41"/>
  </r>
  <r>
    <s v="Innovate Industries"/>
    <x v="2"/>
    <s v="Men 25-34"/>
    <s v="60 days"/>
    <x v="2"/>
    <n v="0.09"/>
    <n v="7818"/>
    <n v="5.6"/>
    <n v="54"/>
    <n v="144.77777777777777"/>
    <s v="Houston"/>
    <s v="French"/>
    <n v="598"/>
    <n v="8637"/>
    <n v="5"/>
    <s v="Fashionistas"/>
    <x v="42"/>
  </r>
  <r>
    <s v="Innovate Industries"/>
    <x v="2"/>
    <s v="All Ages"/>
    <s v="30 days"/>
    <x v="2"/>
    <n v="0.09"/>
    <n v="8214"/>
    <n v="4.7699999999999996"/>
    <n v="89"/>
    <n v="92.292134831460672"/>
    <s v="Chicago"/>
    <s v="English"/>
    <n v="988"/>
    <n v="1612"/>
    <n v="5"/>
    <s v="Fashionistas"/>
    <x v="43"/>
  </r>
  <r>
    <s v="DataTech Solutions"/>
    <x v="0"/>
    <s v="Men 18-24"/>
    <s v="45 days"/>
    <x v="0"/>
    <n v="0.04"/>
    <n v="6882"/>
    <n v="3.31"/>
    <n v="11"/>
    <n v="625.63636363636363"/>
    <s v="Miami"/>
    <s v="English"/>
    <n v="282"/>
    <n v="8038"/>
    <n v="7"/>
    <s v="Tech Enthusiasts"/>
    <x v="44"/>
  </r>
  <r>
    <s v="NexGen Systems"/>
    <x v="2"/>
    <s v="Women 35-44"/>
    <s v="60 days"/>
    <x v="0"/>
    <n v="0.03"/>
    <n v="13470"/>
    <n v="6.8"/>
    <n v="30"/>
    <n v="449"/>
    <s v="Miami"/>
    <s v="English"/>
    <n v="992"/>
    <n v="8036"/>
    <n v="8"/>
    <s v="Health &amp; Wellness"/>
    <x v="45"/>
  </r>
  <r>
    <s v="DataTech Solutions"/>
    <x v="3"/>
    <s v="Men 25-34"/>
    <s v="60 days"/>
    <x v="1"/>
    <n v="0.06"/>
    <n v="14948"/>
    <n v="7.4"/>
    <n v="54"/>
    <n v="276.81481481481484"/>
    <s v="New York"/>
    <s v="French"/>
    <n v="903"/>
    <n v="3940"/>
    <n v="3"/>
    <s v="Foodies"/>
    <x v="46"/>
  </r>
  <r>
    <s v="Innovate Industries"/>
    <x v="4"/>
    <s v="Men 18-24"/>
    <s v="60 days"/>
    <x v="2"/>
    <n v="0.04"/>
    <n v="15255"/>
    <n v="3.8"/>
    <n v="25"/>
    <n v="610.20000000000005"/>
    <s v="Chicago"/>
    <s v="French"/>
    <n v="629"/>
    <n v="1824"/>
    <n v="3"/>
    <s v="Health &amp; Wellness"/>
    <x v="47"/>
  </r>
  <r>
    <s v="TechCorp"/>
    <x v="2"/>
    <s v="All Ages"/>
    <s v="60 days"/>
    <x v="4"/>
    <n v="0.1"/>
    <n v="9510"/>
    <n v="5.25"/>
    <n v="19"/>
    <n v="500.5263157894737"/>
    <s v="Houston"/>
    <s v="French"/>
    <n v="190"/>
    <n v="2071"/>
    <n v="4"/>
    <s v="Tech Enthusiasts"/>
    <x v="48"/>
  </r>
  <r>
    <s v="TechCorp"/>
    <x v="4"/>
    <s v="Women 25-34"/>
    <s v="45 days"/>
    <x v="5"/>
    <n v="0.11"/>
    <n v="7521"/>
    <n v="3.98"/>
    <n v="17"/>
    <n v="442.41176470588238"/>
    <s v="Los Angeles"/>
    <s v="German"/>
    <n v="150"/>
    <n v="7377"/>
    <n v="8"/>
    <s v="Tech Enthusiasts"/>
    <x v="49"/>
  </r>
  <r>
    <s v="NexGen Systems"/>
    <x v="3"/>
    <s v="Men 25-34"/>
    <s v="60 days"/>
    <x v="4"/>
    <n v="0.12"/>
    <n v="10405"/>
    <n v="5.79"/>
    <n v="16"/>
    <n v="650.3125"/>
    <s v="Los Angeles"/>
    <s v="French"/>
    <n v="134"/>
    <n v="8463"/>
    <n v="9"/>
    <s v="Foodies"/>
    <x v="50"/>
  </r>
  <r>
    <s v="NexGen Systems"/>
    <x v="3"/>
    <s v="Men 25-34"/>
    <s v="15 days"/>
    <x v="3"/>
    <n v="0.1"/>
    <n v="15955"/>
    <n v="6.48"/>
    <n v="66"/>
    <n v="241.74242424242425"/>
    <s v="Houston"/>
    <s v="French"/>
    <n v="657"/>
    <n v="9831"/>
    <n v="7"/>
    <s v="Foodies"/>
    <x v="51"/>
  </r>
  <r>
    <s v="TechCorp"/>
    <x v="0"/>
    <s v="Men 18-24"/>
    <s v="30 days"/>
    <x v="4"/>
    <n v="0.13"/>
    <n v="15428"/>
    <n v="7.62"/>
    <n v="50"/>
    <n v="308.56"/>
    <s v="Houston"/>
    <s v="French"/>
    <n v="385"/>
    <n v="4937"/>
    <n v="6"/>
    <s v="Tech Enthusiasts"/>
    <x v="52"/>
  </r>
  <r>
    <s v="NexGen Systems"/>
    <x v="2"/>
    <s v="Women 35-44"/>
    <s v="45 days"/>
    <x v="1"/>
    <n v="0.02"/>
    <n v="19832"/>
    <n v="3.35"/>
    <n v="11"/>
    <n v="1802.909090909091"/>
    <s v="New York"/>
    <s v="English"/>
    <n v="537"/>
    <n v="4739"/>
    <n v="9"/>
    <s v="Outdoor Adventurers"/>
    <x v="53"/>
  </r>
  <r>
    <s v="NexGen Systems"/>
    <x v="4"/>
    <s v="Men 18-24"/>
    <s v="30 days"/>
    <x v="1"/>
    <n v="0.05"/>
    <n v="17375"/>
    <n v="6.15"/>
    <n v="23"/>
    <n v="755.43478260869563"/>
    <s v="Miami"/>
    <s v="Spanish"/>
    <n v="450"/>
    <n v="6012"/>
    <n v="7"/>
    <s v="Foodies"/>
    <x v="54"/>
  </r>
  <r>
    <s v="NexGen Systems"/>
    <x v="2"/>
    <s v="Men 25-34"/>
    <s v="15 days"/>
    <x v="3"/>
    <n v="0.13"/>
    <n v="8903"/>
    <n v="3.7"/>
    <n v="23"/>
    <n v="387.08695652173913"/>
    <s v="Miami"/>
    <s v="English"/>
    <n v="178"/>
    <n v="8529"/>
    <n v="9"/>
    <s v="Health &amp; Wellness"/>
    <x v="55"/>
  </r>
  <r>
    <s v="NexGen Systems"/>
    <x v="0"/>
    <s v="Women 35-44"/>
    <s v="15 days"/>
    <x v="3"/>
    <n v="0.04"/>
    <n v="14511"/>
    <n v="6.66"/>
    <n v="7"/>
    <n v="2073"/>
    <s v="Chicago"/>
    <s v="English"/>
    <n v="164"/>
    <n v="2122"/>
    <n v="8"/>
    <s v="Foodies"/>
    <x v="56"/>
  </r>
  <r>
    <s v="Innovate Industries"/>
    <x v="0"/>
    <s v="Men 18-24"/>
    <s v="60 days"/>
    <x v="5"/>
    <n v="0.06"/>
    <n v="17305"/>
    <n v="2.7"/>
    <n v="34"/>
    <n v="508.97058823529414"/>
    <s v="New York"/>
    <s v="French"/>
    <n v="569"/>
    <n v="1850"/>
    <n v="2"/>
    <s v="Fashionistas"/>
    <x v="57"/>
  </r>
  <r>
    <s v="Alpha Innovations"/>
    <x v="0"/>
    <s v="Women 25-34"/>
    <s v="45 days"/>
    <x v="5"/>
    <n v="0.04"/>
    <n v="18063"/>
    <n v="4.93"/>
    <n v="13"/>
    <n v="1389.4615384615386"/>
    <s v="Chicago"/>
    <s v="English"/>
    <n v="330"/>
    <n v="6920"/>
    <n v="6"/>
    <s v="Foodies"/>
    <x v="58"/>
  </r>
  <r>
    <s v="Innovate Industries"/>
    <x v="2"/>
    <s v="Men 25-34"/>
    <s v="15 days"/>
    <x v="5"/>
    <n v="0.05"/>
    <n v="10293"/>
    <n v="6.8"/>
    <n v="13"/>
    <n v="791.76923076923072"/>
    <s v="Miami"/>
    <s v="French"/>
    <n v="256"/>
    <n v="3421"/>
    <n v="9"/>
    <s v="Health &amp; Wellness"/>
    <x v="59"/>
  </r>
  <r>
    <s v="DataTech Solutions"/>
    <x v="0"/>
    <s v="Men 25-34"/>
    <s v="45 days"/>
    <x v="5"/>
    <n v="0.05"/>
    <n v="8785"/>
    <n v="2.27"/>
    <n v="42"/>
    <n v="209.16666666666666"/>
    <s v="New York"/>
    <s v="German"/>
    <n v="849"/>
    <n v="9217"/>
    <n v="5"/>
    <s v="Fashionistas"/>
    <x v="60"/>
  </r>
  <r>
    <s v="TechCorp"/>
    <x v="0"/>
    <s v="Men 25-34"/>
    <s v="30 days"/>
    <x v="5"/>
    <n v="0.09"/>
    <n v="13848"/>
    <n v="5.32"/>
    <n v="23"/>
    <n v="602.08695652173913"/>
    <s v="Los Angeles"/>
    <s v="French"/>
    <n v="261"/>
    <n v="1958"/>
    <n v="2"/>
    <s v="Tech Enthusiasts"/>
    <x v="61"/>
  </r>
  <r>
    <s v="Innovate Industries"/>
    <x v="1"/>
    <s v="Women 35-44"/>
    <s v="60 days"/>
    <x v="5"/>
    <n v="0.01"/>
    <n v="14435"/>
    <n v="7.04"/>
    <n v="6"/>
    <n v="2405.8333333333335"/>
    <s v="Houston"/>
    <s v="Mandarin"/>
    <n v="592"/>
    <n v="3596"/>
    <n v="4"/>
    <s v="Foodies"/>
    <x v="62"/>
  </r>
  <r>
    <s v="NexGen Systems"/>
    <x v="3"/>
    <s v="Men 18-24"/>
    <s v="30 days"/>
    <x v="4"/>
    <n v="0.02"/>
    <n v="14001"/>
    <n v="3.71"/>
    <n v="4"/>
    <n v="3500.25"/>
    <s v="Chicago"/>
    <s v="English"/>
    <n v="201"/>
    <n v="8702"/>
    <n v="10"/>
    <s v="Outdoor Adventurers"/>
    <x v="63"/>
  </r>
  <r>
    <s v="DataTech Solutions"/>
    <x v="2"/>
    <s v="All Ages"/>
    <s v="45 days"/>
    <x v="3"/>
    <n v="0.11"/>
    <n v="8841"/>
    <n v="7.43"/>
    <n v="71"/>
    <n v="124.52112676056338"/>
    <s v="Houston"/>
    <s v="French"/>
    <n v="648"/>
    <n v="9122"/>
    <n v="9"/>
    <s v="Fashionistas"/>
    <x v="64"/>
  </r>
  <r>
    <s v="NexGen Systems"/>
    <x v="3"/>
    <s v="All Ages"/>
    <s v="60 days"/>
    <x v="1"/>
    <n v="0.04"/>
    <n v="11366"/>
    <n v="7.28"/>
    <n v="7"/>
    <n v="1623.7142857142858"/>
    <s v="Los Angeles"/>
    <s v="Mandarin"/>
    <n v="187"/>
    <n v="5048"/>
    <n v="8"/>
    <s v="Health &amp; Wellness"/>
    <x v="65"/>
  </r>
  <r>
    <s v="Alpha Innovations"/>
    <x v="2"/>
    <s v="Women 25-34"/>
    <s v="30 days"/>
    <x v="1"/>
    <n v="7.0000000000000007E-2"/>
    <n v="12910"/>
    <n v="6.33"/>
    <n v="59"/>
    <n v="218.81355932203391"/>
    <s v="Miami"/>
    <s v="Spanish"/>
    <n v="839"/>
    <n v="5569"/>
    <n v="7"/>
    <s v="Foodies"/>
    <x v="66"/>
  </r>
  <r>
    <s v="TechCorp"/>
    <x v="3"/>
    <s v="Women 25-34"/>
    <s v="60 days"/>
    <x v="1"/>
    <n v="0.12"/>
    <n v="7823"/>
    <n v="2.72"/>
    <n v="29"/>
    <n v="269.75862068965517"/>
    <s v="New York"/>
    <s v="Mandarin"/>
    <n v="240"/>
    <n v="2512"/>
    <n v="6"/>
    <s v="Tech Enthusiasts"/>
    <x v="67"/>
  </r>
  <r>
    <s v="TechCorp"/>
    <x v="2"/>
    <s v="All Ages"/>
    <s v="15 days"/>
    <x v="4"/>
    <n v="0.03"/>
    <n v="11864"/>
    <n v="7.98"/>
    <n v="28"/>
    <n v="423.71428571428572"/>
    <s v="Chicago"/>
    <s v="French"/>
    <n v="932"/>
    <n v="9973"/>
    <n v="9"/>
    <s v="Tech Enthusiasts"/>
    <x v="68"/>
  </r>
  <r>
    <s v="Innovate Industries"/>
    <x v="0"/>
    <s v="All Ages"/>
    <s v="15 days"/>
    <x v="4"/>
    <n v="0.1"/>
    <n v="17414"/>
    <n v="4.74"/>
    <n v="69"/>
    <n v="252.37681159420291"/>
    <s v="Los Angeles"/>
    <s v="German"/>
    <n v="694"/>
    <n v="2836"/>
    <n v="2"/>
    <s v="Foodies"/>
    <x v="69"/>
  </r>
  <r>
    <s v="Alpha Innovations"/>
    <x v="3"/>
    <s v="Men 25-34"/>
    <s v="30 days"/>
    <x v="3"/>
    <n v="0.13"/>
    <n v="18201"/>
    <n v="5.58"/>
    <n v="26"/>
    <n v="700.03846153846155"/>
    <s v="New York"/>
    <s v="German"/>
    <n v="202"/>
    <n v="6745"/>
    <n v="8"/>
    <s v="Tech Enthusiasts"/>
    <x v="70"/>
  </r>
  <r>
    <s v="Alpha Innovations"/>
    <x v="4"/>
    <s v="All Ages"/>
    <s v="15 days"/>
    <x v="5"/>
    <n v="0.03"/>
    <n v="9549"/>
    <n v="5.61"/>
    <n v="12"/>
    <n v="795.75"/>
    <s v="Chicago"/>
    <s v="French"/>
    <n v="416"/>
    <n v="9187"/>
    <n v="7"/>
    <s v="Health &amp; Wellness"/>
    <x v="71"/>
  </r>
  <r>
    <s v="TechCorp"/>
    <x v="4"/>
    <s v="Women 35-44"/>
    <s v="15 days"/>
    <x v="1"/>
    <n v="0.13"/>
    <n v="16635"/>
    <n v="7.46"/>
    <n v="75"/>
    <n v="221.8"/>
    <s v="Miami"/>
    <s v="English"/>
    <n v="576"/>
    <n v="9999"/>
    <n v="10"/>
    <s v="Health &amp; Wellness"/>
    <x v="72"/>
  </r>
  <r>
    <s v="NexGen Systems"/>
    <x v="1"/>
    <s v="All Ages"/>
    <s v="45 days"/>
    <x v="4"/>
    <n v="0.1"/>
    <n v="9310"/>
    <n v="5.63"/>
    <n v="30"/>
    <n v="310.33333333333331"/>
    <s v="New York"/>
    <s v="German"/>
    <n v="300"/>
    <n v="3687"/>
    <n v="9"/>
    <s v="Foodies"/>
    <x v="73"/>
  </r>
  <r>
    <s v="NexGen Systems"/>
    <x v="2"/>
    <s v="All Ages"/>
    <s v="15 days"/>
    <x v="1"/>
    <n v="0.11"/>
    <n v="5158"/>
    <n v="6.67"/>
    <n v="85"/>
    <n v="60.682352941176468"/>
    <s v="Chicago"/>
    <s v="German"/>
    <n v="776"/>
    <n v="4238"/>
    <n v="3"/>
    <s v="Health &amp; Wellness"/>
    <x v="74"/>
  </r>
  <r>
    <s v="Innovate Industries"/>
    <x v="3"/>
    <s v="Men 25-34"/>
    <s v="30 days"/>
    <x v="2"/>
    <n v="0.04"/>
    <n v="15182"/>
    <n v="2.0299999999999998"/>
    <n v="20"/>
    <n v="759.1"/>
    <s v="Houston"/>
    <s v="English"/>
    <n v="492"/>
    <n v="7364"/>
    <n v="2"/>
    <s v="Fashionistas"/>
    <x v="75"/>
  </r>
  <r>
    <s v="Innovate Industries"/>
    <x v="2"/>
    <s v="Men 18-24"/>
    <s v="45 days"/>
    <x v="0"/>
    <n v="0.08"/>
    <n v="5703"/>
    <n v="3.23"/>
    <n v="61"/>
    <n v="93.491803278688522"/>
    <s v="Chicago"/>
    <s v="German"/>
    <n v="763"/>
    <n v="8501"/>
    <n v="10"/>
    <s v="Foodies"/>
    <x v="76"/>
  </r>
  <r>
    <s v="Innovate Industries"/>
    <x v="3"/>
    <s v="Women 35-44"/>
    <s v="60 days"/>
    <x v="0"/>
    <n v="0.02"/>
    <n v="12008"/>
    <n v="4.82"/>
    <n v="16"/>
    <n v="750.5"/>
    <s v="Miami"/>
    <s v="Spanish"/>
    <n v="817"/>
    <n v="7892"/>
    <n v="2"/>
    <s v="Health &amp; Wellness"/>
    <x v="77"/>
  </r>
  <r>
    <s v="NexGen Systems"/>
    <x v="2"/>
    <s v="Women 35-44"/>
    <s v="45 days"/>
    <x v="0"/>
    <n v="0.13"/>
    <n v="15850"/>
    <n v="7.74"/>
    <n v="103"/>
    <n v="153.88349514563106"/>
    <s v="New York"/>
    <s v="Spanish"/>
    <n v="791"/>
    <n v="3594"/>
    <n v="4"/>
    <s v="Outdoor Adventurers"/>
    <x v="78"/>
  </r>
  <r>
    <s v="Alpha Innovations"/>
    <x v="1"/>
    <s v="Women 25-34"/>
    <s v="30 days"/>
    <x v="5"/>
    <n v="0.1"/>
    <n v="9813"/>
    <n v="6.57"/>
    <n v="74"/>
    <n v="132.6081081081081"/>
    <s v="Miami"/>
    <s v="French"/>
    <n v="737"/>
    <n v="9941"/>
    <n v="6"/>
    <s v="Fashionistas"/>
    <x v="79"/>
  </r>
  <r>
    <s v="Innovate Industries"/>
    <x v="1"/>
    <s v="Women 35-44"/>
    <s v="60 days"/>
    <x v="0"/>
    <n v="0.14000000000000001"/>
    <n v="19300"/>
    <n v="7.62"/>
    <n v="22"/>
    <n v="877.27272727272725"/>
    <s v="Miami"/>
    <s v="Mandarin"/>
    <n v="159"/>
    <n v="3643"/>
    <n v="1"/>
    <s v="Outdoor Adventurers"/>
    <x v="80"/>
  </r>
  <r>
    <s v="NexGen Systems"/>
    <x v="4"/>
    <s v="Women 25-34"/>
    <s v="45 days"/>
    <x v="1"/>
    <n v="0.12"/>
    <n v="17772"/>
    <n v="6.33"/>
    <n v="110"/>
    <n v="161.56363636363636"/>
    <s v="New York"/>
    <s v="English"/>
    <n v="913"/>
    <n v="1921"/>
    <n v="5"/>
    <s v="Foodies"/>
    <x v="81"/>
  </r>
  <r>
    <s v="Innovate Industries"/>
    <x v="1"/>
    <s v="Women 25-34"/>
    <s v="60 days"/>
    <x v="4"/>
    <n v="0.1"/>
    <n v="17293"/>
    <n v="3.74"/>
    <n v="24"/>
    <n v="720.54166666666663"/>
    <s v="Houston"/>
    <s v="Spanish"/>
    <n v="238"/>
    <n v="8969"/>
    <n v="6"/>
    <s v="Outdoor Adventurers"/>
    <x v="82"/>
  </r>
  <r>
    <s v="NexGen Systems"/>
    <x v="3"/>
    <s v="All Ages"/>
    <s v="60 days"/>
    <x v="1"/>
    <n v="0.08"/>
    <n v="8398"/>
    <n v="3.99"/>
    <n v="11"/>
    <n v="763.4545454545455"/>
    <s v="Miami"/>
    <s v="English"/>
    <n v="134"/>
    <n v="3108"/>
    <n v="1"/>
    <s v="Health &amp; Wellness"/>
    <x v="83"/>
  </r>
  <r>
    <s v="Alpha Innovations"/>
    <x v="1"/>
    <s v="Women 35-44"/>
    <s v="60 days"/>
    <x v="5"/>
    <n v="0.15"/>
    <n v="15866"/>
    <n v="2.2999999999999998"/>
    <n v="24"/>
    <n v="661.08333333333337"/>
    <s v="Houston"/>
    <s v="French"/>
    <n v="159"/>
    <n v="2139"/>
    <n v="10"/>
    <s v="Health &amp; Wellness"/>
    <x v="84"/>
  </r>
  <r>
    <s v="TechCorp"/>
    <x v="4"/>
    <s v="All Ages"/>
    <s v="30 days"/>
    <x v="1"/>
    <n v="0.13"/>
    <n v="7515"/>
    <n v="7.38"/>
    <n v="83"/>
    <n v="90.5421686746988"/>
    <s v="Houston"/>
    <s v="Mandarin"/>
    <n v="635"/>
    <n v="8489"/>
    <n v="3"/>
    <s v="Foodies"/>
    <x v="85"/>
  </r>
  <r>
    <s v="DataTech Solutions"/>
    <x v="0"/>
    <s v="Women 25-34"/>
    <s v="15 days"/>
    <x v="1"/>
    <n v="0.15"/>
    <n v="19026"/>
    <n v="2.2200000000000002"/>
    <n v="28"/>
    <n v="679.5"/>
    <s v="Miami"/>
    <s v="Mandarin"/>
    <n v="187"/>
    <n v="2573"/>
    <n v="10"/>
    <s v="Fashionistas"/>
    <x v="86"/>
  </r>
  <r>
    <s v="TechCorp"/>
    <x v="3"/>
    <s v="Men 18-24"/>
    <s v="60 days"/>
    <x v="4"/>
    <n v="0.14000000000000001"/>
    <n v="8280"/>
    <n v="7.89"/>
    <n v="75"/>
    <n v="110.4"/>
    <s v="New York"/>
    <s v="German"/>
    <n v="537"/>
    <n v="3042"/>
    <n v="1"/>
    <s v="Outdoor Adventurers"/>
    <x v="87"/>
  </r>
  <r>
    <s v="Alpha Innovations"/>
    <x v="2"/>
    <s v="Women 25-34"/>
    <s v="30 days"/>
    <x v="0"/>
    <n v="0.1"/>
    <n v="18251"/>
    <n v="4.41"/>
    <n v="60"/>
    <n v="304.18333333333334"/>
    <s v="New York"/>
    <s v="Spanish"/>
    <n v="597"/>
    <n v="8117"/>
    <n v="6"/>
    <s v="Tech Enthusiasts"/>
    <x v="88"/>
  </r>
  <r>
    <s v="DataTech Solutions"/>
    <x v="2"/>
    <s v="All Ages"/>
    <s v="15 days"/>
    <x v="2"/>
    <n v="7.0000000000000007E-2"/>
    <n v="13108"/>
    <n v="2.0099999999999998"/>
    <n v="39"/>
    <n v="336.10256410256409"/>
    <s v="Houston"/>
    <s v="German"/>
    <n v="550"/>
    <n v="3839"/>
    <n v="7"/>
    <s v="Tech Enthusiasts"/>
    <x v="89"/>
  </r>
  <r>
    <s v="NexGen Systems"/>
    <x v="1"/>
    <s v="Women 35-44"/>
    <s v="15 days"/>
    <x v="1"/>
    <n v="0.09"/>
    <n v="15477"/>
    <n v="6.98"/>
    <n v="86"/>
    <n v="179.96511627906978"/>
    <s v="Houston"/>
    <s v="English"/>
    <n v="956"/>
    <n v="9087"/>
    <n v="3"/>
    <s v="Foodies"/>
    <x v="90"/>
  </r>
  <r>
    <s v="TechCorp"/>
    <x v="0"/>
    <s v="Men 25-34"/>
    <s v="45 days"/>
    <x v="5"/>
    <n v="0.09"/>
    <n v="17705"/>
    <n v="7"/>
    <n v="57"/>
    <n v="310.61403508771929"/>
    <s v="New York"/>
    <s v="Spanish"/>
    <n v="628"/>
    <n v="9545"/>
    <n v="4"/>
    <s v="Outdoor Adventurers"/>
    <x v="91"/>
  </r>
  <r>
    <s v="Innovate Industries"/>
    <x v="2"/>
    <s v="Women 35-44"/>
    <s v="15 days"/>
    <x v="2"/>
    <n v="0.05"/>
    <n v="18470"/>
    <n v="2.57"/>
    <n v="47"/>
    <n v="392.97872340425533"/>
    <s v="Chicago"/>
    <s v="English"/>
    <n v="938"/>
    <n v="7879"/>
    <n v="10"/>
    <s v="Fashionistas"/>
    <x v="92"/>
  </r>
  <r>
    <s v="NexGen Systems"/>
    <x v="2"/>
    <s v="Men 25-34"/>
    <s v="45 days"/>
    <x v="2"/>
    <n v="0.01"/>
    <n v="14438"/>
    <n v="7.19"/>
    <n v="1"/>
    <n v="14438"/>
    <s v="New York"/>
    <s v="French"/>
    <n v="147"/>
    <n v="6497"/>
    <n v="10"/>
    <s v="Health &amp; Wellness"/>
    <x v="93"/>
  </r>
  <r>
    <s v="NexGen Systems"/>
    <x v="3"/>
    <s v="Men 18-24"/>
    <s v="45 days"/>
    <x v="4"/>
    <n v="0.08"/>
    <n v="6278"/>
    <n v="4.93"/>
    <n v="62"/>
    <n v="101.25806451612904"/>
    <s v="Miami"/>
    <s v="German"/>
    <n v="776"/>
    <n v="4289"/>
    <n v="8"/>
    <s v="Foodies"/>
    <x v="94"/>
  </r>
  <r>
    <s v="TechCorp"/>
    <x v="4"/>
    <s v="All Ages"/>
    <s v="15 days"/>
    <x v="5"/>
    <n v="0.08"/>
    <n v="5185"/>
    <n v="4.6100000000000003"/>
    <n v="9"/>
    <n v="576.11111111111109"/>
    <s v="New York"/>
    <s v="French"/>
    <n v="108"/>
    <n v="9532"/>
    <n v="1"/>
    <s v="Tech Enthusiasts"/>
    <x v="95"/>
  </r>
  <r>
    <s v="Innovate Industries"/>
    <x v="0"/>
    <s v="Women 25-34"/>
    <s v="15 days"/>
    <x v="2"/>
    <n v="0.14000000000000001"/>
    <n v="18799"/>
    <n v="3.69"/>
    <n v="55"/>
    <n v="341.8"/>
    <s v="Miami"/>
    <s v="French"/>
    <n v="395"/>
    <n v="6079"/>
    <n v="8"/>
    <s v="Health &amp; Wellness"/>
    <x v="96"/>
  </r>
  <r>
    <s v="Alpha Innovations"/>
    <x v="3"/>
    <s v="All Ages"/>
    <s v="60 days"/>
    <x v="4"/>
    <n v="0.04"/>
    <n v="7365"/>
    <n v="7.96"/>
    <n v="17"/>
    <n v="433.23529411764707"/>
    <s v="New York"/>
    <s v="French"/>
    <n v="419"/>
    <n v="4484"/>
    <n v="1"/>
    <s v="Fashionistas"/>
    <x v="97"/>
  </r>
  <r>
    <s v="Alpha Innovations"/>
    <x v="3"/>
    <s v="All Ages"/>
    <s v="60 days"/>
    <x v="2"/>
    <n v="0.02"/>
    <n v="6565"/>
    <n v="3.12"/>
    <n v="9"/>
    <n v="729.44444444444446"/>
    <s v="New York"/>
    <s v="French"/>
    <n v="463"/>
    <n v="6061"/>
    <n v="8"/>
    <s v="Foodies"/>
    <x v="98"/>
  </r>
  <r>
    <s v="TechCorp"/>
    <x v="2"/>
    <s v="All Ages"/>
    <s v="60 days"/>
    <x v="4"/>
    <n v="0.09"/>
    <n v="9022"/>
    <n v="5.58"/>
    <n v="47"/>
    <n v="191.95744680851064"/>
    <s v="Miami"/>
    <s v="Spanish"/>
    <n v="521"/>
    <n v="2572"/>
    <n v="4"/>
    <s v="Tech Enthusiasts"/>
    <x v="99"/>
  </r>
  <r>
    <s v="NexGen Systems"/>
    <x v="3"/>
    <s v="Men 25-34"/>
    <s v="45 days"/>
    <x v="1"/>
    <n v="7.0000000000000007E-2"/>
    <n v="18735"/>
    <n v="4.8600000000000003"/>
    <n v="49"/>
    <n v="382.34693877551018"/>
    <s v="Los Angeles"/>
    <s v="Spanish"/>
    <n v="706"/>
    <n v="8715"/>
    <n v="6"/>
    <s v="Foodies"/>
    <x v="100"/>
  </r>
  <r>
    <s v="TechCorp"/>
    <x v="3"/>
    <s v="Men 18-24"/>
    <s v="45 days"/>
    <x v="1"/>
    <n v="0.09"/>
    <n v="9941"/>
    <n v="4.54"/>
    <n v="19"/>
    <n v="523.21052631578948"/>
    <s v="Chicago"/>
    <s v="English"/>
    <n v="207"/>
    <n v="8334"/>
    <n v="4"/>
    <s v="Tech Enthusiasts"/>
    <x v="101"/>
  </r>
  <r>
    <s v="DataTech Solutions"/>
    <x v="1"/>
    <s v="Men 18-24"/>
    <s v="60 days"/>
    <x v="3"/>
    <n v="0.08"/>
    <n v="10113"/>
    <n v="6.87"/>
    <n v="47"/>
    <n v="215.17021276595744"/>
    <s v="Houston"/>
    <s v="English"/>
    <n v="583"/>
    <n v="1005"/>
    <n v="3"/>
    <s v="Health &amp; Wellness"/>
    <x v="102"/>
  </r>
  <r>
    <s v="DataTech Solutions"/>
    <x v="4"/>
    <s v="Men 18-24"/>
    <s v="15 days"/>
    <x v="4"/>
    <n v="0.1"/>
    <n v="8310"/>
    <n v="7.17"/>
    <n v="86"/>
    <n v="96.627906976744185"/>
    <s v="Chicago"/>
    <s v="Spanish"/>
    <n v="864"/>
    <n v="6841"/>
    <n v="3"/>
    <s v="Tech Enthusiasts"/>
    <x v="103"/>
  </r>
  <r>
    <s v="DataTech Solutions"/>
    <x v="1"/>
    <s v="Men 18-24"/>
    <s v="30 days"/>
    <x v="0"/>
    <n v="0.06"/>
    <n v="15073"/>
    <n v="2.17"/>
    <n v="23"/>
    <n v="655.3478260869565"/>
    <s v="Los Angeles"/>
    <s v="English"/>
    <n v="387"/>
    <n v="8035"/>
    <n v="2"/>
    <s v="Health &amp; Wellness"/>
    <x v="104"/>
  </r>
  <r>
    <s v="Innovate Industries"/>
    <x v="4"/>
    <s v="Women 25-34"/>
    <s v="30 days"/>
    <x v="5"/>
    <n v="0.09"/>
    <n v="7541"/>
    <n v="3.35"/>
    <n v="50"/>
    <n v="150.82"/>
    <s v="Chicago"/>
    <s v="Spanish"/>
    <n v="560"/>
    <n v="3439"/>
    <n v="7"/>
    <s v="Fashionistas"/>
    <x v="105"/>
  </r>
  <r>
    <s v="TechCorp"/>
    <x v="1"/>
    <s v="Men 25-34"/>
    <s v="45 days"/>
    <x v="0"/>
    <n v="0.11"/>
    <n v="14875"/>
    <n v="6.5"/>
    <n v="34"/>
    <n v="437.5"/>
    <s v="New York"/>
    <s v="German"/>
    <n v="306"/>
    <n v="1560"/>
    <n v="3"/>
    <s v="Health &amp; Wellness"/>
    <x v="106"/>
  </r>
  <r>
    <s v="TechCorp"/>
    <x v="0"/>
    <s v="All Ages"/>
    <s v="45 days"/>
    <x v="5"/>
    <n v="0.06"/>
    <n v="5514"/>
    <n v="7.32"/>
    <n v="44"/>
    <n v="125.31818181818181"/>
    <s v="Miami"/>
    <s v="German"/>
    <n v="740"/>
    <n v="4550"/>
    <n v="1"/>
    <s v="Outdoor Adventurers"/>
    <x v="107"/>
  </r>
  <r>
    <s v="Innovate Industries"/>
    <x v="3"/>
    <s v="Men 25-34"/>
    <s v="30 days"/>
    <x v="2"/>
    <n v="0.05"/>
    <n v="15107"/>
    <n v="4.79"/>
    <n v="6"/>
    <n v="2517.8333333333335"/>
    <s v="Houston"/>
    <s v="Spanish"/>
    <n v="115"/>
    <n v="1475"/>
    <n v="10"/>
    <s v="Fashionistas"/>
    <x v="108"/>
  </r>
  <r>
    <s v="Innovate Industries"/>
    <x v="4"/>
    <s v="Women 25-34"/>
    <s v="15 days"/>
    <x v="1"/>
    <n v="0.1"/>
    <n v="13712"/>
    <n v="6.4"/>
    <n v="37"/>
    <n v="370.59459459459458"/>
    <s v="Chicago"/>
    <s v="English"/>
    <n v="366"/>
    <n v="3843"/>
    <n v="3"/>
    <s v="Fashionistas"/>
    <x v="109"/>
  </r>
  <r>
    <s v="Alpha Innovations"/>
    <x v="1"/>
    <s v="All Ages"/>
    <s v="60 days"/>
    <x v="4"/>
    <n v="0.05"/>
    <n v="11789"/>
    <n v="5.39"/>
    <n v="33"/>
    <n v="357.24242424242425"/>
    <s v="Houston"/>
    <s v="German"/>
    <n v="659"/>
    <n v="3670"/>
    <n v="9"/>
    <s v="Outdoor Adventurers"/>
    <x v="110"/>
  </r>
  <r>
    <s v="DataTech Solutions"/>
    <x v="0"/>
    <s v="All Ages"/>
    <s v="30 days"/>
    <x v="3"/>
    <n v="0.13"/>
    <n v="18335"/>
    <n v="7.58"/>
    <n v="72"/>
    <n v="254.65277777777777"/>
    <s v="Los Angeles"/>
    <s v="Mandarin"/>
    <n v="552"/>
    <n v="3464"/>
    <n v="5"/>
    <s v="Health &amp; Wellness"/>
    <x v="111"/>
  </r>
  <r>
    <s v="TechCorp"/>
    <x v="2"/>
    <s v="Women 35-44"/>
    <s v="30 days"/>
    <x v="0"/>
    <n v="0.02"/>
    <n v="19035"/>
    <n v="2.0099999999999998"/>
    <n v="11"/>
    <n v="1730.4545454545455"/>
    <s v="Miami"/>
    <s v="Mandarin"/>
    <n v="560"/>
    <n v="6945"/>
    <n v="7"/>
    <s v="Health &amp; Wellness"/>
    <x v="112"/>
  </r>
  <r>
    <s v="DataTech Solutions"/>
    <x v="0"/>
    <s v="Women 25-34"/>
    <s v="15 days"/>
    <x v="1"/>
    <n v="0.11"/>
    <n v="17655"/>
    <n v="4.04"/>
    <n v="41"/>
    <n v="430.60975609756099"/>
    <s v="Los Angeles"/>
    <s v="English"/>
    <n v="369"/>
    <n v="8912"/>
    <n v="4"/>
    <s v="Health &amp; Wellness"/>
    <x v="113"/>
  </r>
  <r>
    <s v="NexGen Systems"/>
    <x v="0"/>
    <s v="Women 25-34"/>
    <s v="45 days"/>
    <x v="0"/>
    <n v="0.11"/>
    <n v="6710"/>
    <n v="2.72"/>
    <n v="97"/>
    <n v="69.175257731958766"/>
    <s v="Houston"/>
    <s v="German"/>
    <n v="886"/>
    <n v="6158"/>
    <n v="7"/>
    <s v="Fashionistas"/>
    <x v="114"/>
  </r>
  <r>
    <s v="NexGen Systems"/>
    <x v="4"/>
    <s v="Women 25-34"/>
    <s v="15 days"/>
    <x v="4"/>
    <n v="0.09"/>
    <n v="9899"/>
    <n v="3.7"/>
    <n v="40"/>
    <n v="247.47499999999999"/>
    <s v="Los Angeles"/>
    <s v="German"/>
    <n v="447"/>
    <n v="4878"/>
    <n v="8"/>
    <s v="Tech Enthusiasts"/>
    <x v="115"/>
  </r>
  <r>
    <s v="Innovate Industries"/>
    <x v="0"/>
    <s v="All Ages"/>
    <s v="30 days"/>
    <x v="2"/>
    <n v="0.14000000000000001"/>
    <n v="7032"/>
    <n v="7.86"/>
    <n v="83"/>
    <n v="84.722891566265062"/>
    <s v="Chicago"/>
    <s v="Spanish"/>
    <n v="595"/>
    <n v="1555"/>
    <n v="4"/>
    <s v="Health &amp; Wellness"/>
    <x v="116"/>
  </r>
  <r>
    <s v="TechCorp"/>
    <x v="4"/>
    <s v="All Ages"/>
    <s v="45 days"/>
    <x v="3"/>
    <n v="0.05"/>
    <n v="5174"/>
    <n v="4.9800000000000004"/>
    <n v="22"/>
    <n v="235.18181818181819"/>
    <s v="Houston"/>
    <s v="German"/>
    <n v="438"/>
    <n v="9741"/>
    <n v="1"/>
    <s v="Tech Enthusiasts"/>
    <x v="117"/>
  </r>
  <r>
    <s v="Innovate Industries"/>
    <x v="2"/>
    <s v="Women 35-44"/>
    <s v="15 days"/>
    <x v="1"/>
    <n v="0.14000000000000001"/>
    <n v="15679"/>
    <n v="3.71"/>
    <n v="91"/>
    <n v="172.2967032967033"/>
    <s v="Los Angeles"/>
    <s v="German"/>
    <n v="652"/>
    <n v="3884"/>
    <n v="7"/>
    <s v="Foodies"/>
    <x v="118"/>
  </r>
  <r>
    <s v="NexGen Systems"/>
    <x v="2"/>
    <s v="All Ages"/>
    <s v="45 days"/>
    <x v="1"/>
    <n v="7.0000000000000007E-2"/>
    <n v="12143"/>
    <n v="7.65"/>
    <n v="56"/>
    <n v="216.83928571428572"/>
    <s v="Miami"/>
    <s v="Mandarin"/>
    <n v="802"/>
    <n v="8897"/>
    <n v="10"/>
    <s v="Tech Enthusiasts"/>
    <x v="119"/>
  </r>
  <r>
    <s v="Innovate Industries"/>
    <x v="0"/>
    <s v="Women 35-44"/>
    <s v="45 days"/>
    <x v="4"/>
    <n v="0.02"/>
    <n v="19329"/>
    <n v="7.58"/>
    <n v="17"/>
    <n v="1137"/>
    <s v="Houston"/>
    <s v="English"/>
    <n v="841"/>
    <n v="4536"/>
    <n v="8"/>
    <s v="Outdoor Adventurers"/>
    <x v="120"/>
  </r>
  <r>
    <s v="Innovate Industries"/>
    <x v="3"/>
    <s v="All Ages"/>
    <s v="60 days"/>
    <x v="5"/>
    <n v="0.09"/>
    <n v="8854"/>
    <n v="6.78"/>
    <n v="12"/>
    <n v="737.83333333333337"/>
    <s v="Chicago"/>
    <s v="German"/>
    <n v="137"/>
    <n v="4002"/>
    <n v="6"/>
    <s v="Tech Enthusiasts"/>
    <x v="121"/>
  </r>
  <r>
    <s v="Alpha Innovations"/>
    <x v="1"/>
    <s v="Women 35-44"/>
    <s v="45 days"/>
    <x v="1"/>
    <n v="0.04"/>
    <n v="5232"/>
    <n v="7.61"/>
    <n v="34"/>
    <n v="153.88235294117646"/>
    <s v="New York"/>
    <s v="German"/>
    <n v="850"/>
    <n v="6515"/>
    <n v="5"/>
    <s v="Foodies"/>
    <x v="122"/>
  </r>
  <r>
    <s v="NexGen Systems"/>
    <x v="2"/>
    <s v="Men 25-34"/>
    <s v="30 days"/>
    <x v="2"/>
    <n v="0.02"/>
    <n v="13006"/>
    <n v="3.7"/>
    <n v="15"/>
    <n v="867.06666666666672"/>
    <s v="Chicago"/>
    <s v="Spanish"/>
    <n v="727"/>
    <n v="2863"/>
    <n v="1"/>
    <s v="Fashionistas"/>
    <x v="123"/>
  </r>
  <r>
    <s v="DataTech Solutions"/>
    <x v="0"/>
    <s v="Men 18-24"/>
    <s v="45 days"/>
    <x v="3"/>
    <n v="0.13"/>
    <n v="5653"/>
    <n v="6.08"/>
    <n v="128"/>
    <n v="44.1640625"/>
    <s v="Chicago"/>
    <s v="Mandarin"/>
    <n v="986"/>
    <n v="4477"/>
    <n v="10"/>
    <s v="Foodies"/>
    <x v="124"/>
  </r>
  <r>
    <s v="DataTech Solutions"/>
    <x v="0"/>
    <s v="Men 25-34"/>
    <s v="45 days"/>
    <x v="0"/>
    <n v="0.02"/>
    <n v="18169"/>
    <n v="5.5"/>
    <n v="5"/>
    <n v="3633.8"/>
    <s v="Miami"/>
    <s v="English"/>
    <n v="259"/>
    <n v="3941"/>
    <n v="7"/>
    <s v="Outdoor Adventurers"/>
    <x v="125"/>
  </r>
  <r>
    <s v="DataTech Solutions"/>
    <x v="4"/>
    <s v="Men 25-34"/>
    <s v="45 days"/>
    <x v="5"/>
    <n v="0.08"/>
    <n v="13316"/>
    <n v="6.15"/>
    <n v="26"/>
    <n v="512.15384615384619"/>
    <s v="Los Angeles"/>
    <s v="Spanish"/>
    <n v="321"/>
    <n v="7186"/>
    <n v="2"/>
    <s v="Fashionistas"/>
    <x v="126"/>
  </r>
  <r>
    <s v="NexGen Systems"/>
    <x v="0"/>
    <s v="All Ages"/>
    <s v="15 days"/>
    <x v="5"/>
    <n v="0.08"/>
    <n v="17847"/>
    <n v="6.68"/>
    <n v="75"/>
    <n v="237.96"/>
    <s v="Houston"/>
    <s v="Spanish"/>
    <n v="942"/>
    <n v="9066"/>
    <n v="3"/>
    <s v="Outdoor Adventurers"/>
    <x v="127"/>
  </r>
  <r>
    <s v="Alpha Innovations"/>
    <x v="0"/>
    <s v="Men 18-24"/>
    <s v="45 days"/>
    <x v="2"/>
    <n v="0.06"/>
    <n v="10639"/>
    <n v="4.32"/>
    <n v="10"/>
    <n v="1063.9000000000001"/>
    <s v="New York"/>
    <s v="Spanish"/>
    <n v="166"/>
    <n v="5735"/>
    <n v="10"/>
    <s v="Health &amp; Wellness"/>
    <x v="128"/>
  </r>
  <r>
    <s v="Innovate Industries"/>
    <x v="2"/>
    <s v="Men 25-34"/>
    <s v="15 days"/>
    <x v="1"/>
    <n v="0.03"/>
    <n v="10945"/>
    <n v="3.16"/>
    <n v="15"/>
    <n v="729.66666666666663"/>
    <s v="Chicago"/>
    <s v="Spanish"/>
    <n v="508"/>
    <n v="8054"/>
    <n v="6"/>
    <s v="Fashionistas"/>
    <x v="129"/>
  </r>
  <r>
    <s v="NexGen Systems"/>
    <x v="0"/>
    <s v="Men 18-24"/>
    <s v="15 days"/>
    <x v="2"/>
    <n v="0.11"/>
    <n v="5167"/>
    <n v="6.63"/>
    <n v="97"/>
    <n v="53.268041237113401"/>
    <s v="New York"/>
    <s v="Spanish"/>
    <n v="885"/>
    <n v="1932"/>
    <n v="7"/>
    <s v="Fashionistas"/>
    <x v="130"/>
  </r>
  <r>
    <s v="DataTech Solutions"/>
    <x v="1"/>
    <s v="Men 25-34"/>
    <s v="60 days"/>
    <x v="0"/>
    <n v="0.15"/>
    <n v="8300"/>
    <n v="6.65"/>
    <n v="24"/>
    <n v="345.83333333333331"/>
    <s v="Chicago"/>
    <s v="Spanish"/>
    <n v="158"/>
    <n v="4842"/>
    <n v="4"/>
    <s v="Outdoor Adventurers"/>
    <x v="131"/>
  </r>
  <r>
    <s v="Innovate Industries"/>
    <x v="4"/>
    <s v="Men 25-34"/>
    <s v="15 days"/>
    <x v="2"/>
    <n v="0.14000000000000001"/>
    <n v="13469"/>
    <n v="7.54"/>
    <n v="120"/>
    <n v="112.24166666666666"/>
    <s v="Houston"/>
    <s v="German"/>
    <n v="857"/>
    <n v="4028"/>
    <n v="8"/>
    <s v="Fashionistas"/>
    <x v="132"/>
  </r>
  <r>
    <s v="TechCorp"/>
    <x v="3"/>
    <s v="Men 25-34"/>
    <s v="30 days"/>
    <x v="4"/>
    <n v="0.1"/>
    <n v="19254"/>
    <n v="2.41"/>
    <n v="48"/>
    <n v="401.125"/>
    <s v="Miami"/>
    <s v="English"/>
    <n v="481"/>
    <n v="1876"/>
    <n v="7"/>
    <s v="Foodies"/>
    <x v="133"/>
  </r>
  <r>
    <s v="DataTech Solutions"/>
    <x v="2"/>
    <s v="All Ages"/>
    <s v="60 days"/>
    <x v="0"/>
    <n v="0.04"/>
    <n v="10704"/>
    <n v="6.46"/>
    <n v="40"/>
    <n v="267.60000000000002"/>
    <s v="Chicago"/>
    <s v="French"/>
    <n v="999"/>
    <n v="7543"/>
    <n v="8"/>
    <s v="Tech Enthusiasts"/>
    <x v="134"/>
  </r>
  <r>
    <s v="NexGen Systems"/>
    <x v="0"/>
    <s v="Men 18-24"/>
    <s v="30 days"/>
    <x v="5"/>
    <n v="0.15"/>
    <n v="9229"/>
    <n v="3.56"/>
    <n v="141"/>
    <n v="65.453900709219852"/>
    <s v="New York"/>
    <s v="Spanish"/>
    <n v="939"/>
    <n v="5999"/>
    <n v="8"/>
    <s v="Tech Enthusiasts"/>
    <x v="135"/>
  </r>
  <r>
    <s v="Alpha Innovations"/>
    <x v="4"/>
    <s v="Women 35-44"/>
    <s v="60 days"/>
    <x v="2"/>
    <n v="0.1"/>
    <n v="14125"/>
    <n v="4.9000000000000004"/>
    <n v="89"/>
    <n v="158.70786516853931"/>
    <s v="Houston"/>
    <s v="Spanish"/>
    <n v="885"/>
    <n v="7833"/>
    <n v="5"/>
    <s v="Fashionistas"/>
    <x v="136"/>
  </r>
  <r>
    <s v="DataTech Solutions"/>
    <x v="1"/>
    <s v="All Ages"/>
    <s v="60 days"/>
    <x v="2"/>
    <n v="0.04"/>
    <n v="8222"/>
    <n v="6.17"/>
    <n v="27"/>
    <n v="304.51851851851853"/>
    <s v="Houston"/>
    <s v="Mandarin"/>
    <n v="666"/>
    <n v="1435"/>
    <n v="4"/>
    <s v="Foodies"/>
    <x v="137"/>
  </r>
  <r>
    <s v="NexGen Systems"/>
    <x v="0"/>
    <s v="Men 18-24"/>
    <s v="45 days"/>
    <x v="3"/>
    <n v="7.0000000000000007E-2"/>
    <n v="14226"/>
    <n v="3.77"/>
    <n v="25"/>
    <n v="569.04"/>
    <s v="Chicago"/>
    <s v="German"/>
    <n v="359"/>
    <n v="9440"/>
    <n v="8"/>
    <s v="Outdoor Adventurers"/>
    <x v="138"/>
  </r>
  <r>
    <s v="DataTech Solutions"/>
    <x v="0"/>
    <s v="Men 18-24"/>
    <s v="60 days"/>
    <x v="3"/>
    <n v="0.06"/>
    <n v="18985"/>
    <n v="4.6100000000000003"/>
    <n v="20"/>
    <n v="949.25"/>
    <s v="Miami"/>
    <s v="English"/>
    <n v="328"/>
    <n v="8840"/>
    <n v="5"/>
    <s v="Fashionistas"/>
    <x v="139"/>
  </r>
  <r>
    <s v="NexGen Systems"/>
    <x v="0"/>
    <s v="Women 25-34"/>
    <s v="15 days"/>
    <x v="5"/>
    <n v="0.08"/>
    <n v="5599"/>
    <n v="3.43"/>
    <n v="46"/>
    <n v="121.71739130434783"/>
    <s v="Houston"/>
    <s v="English"/>
    <n v="571"/>
    <n v="2404"/>
    <n v="3"/>
    <s v="Fashionistas"/>
    <x v="140"/>
  </r>
  <r>
    <s v="Innovate Industries"/>
    <x v="1"/>
    <s v="All Ages"/>
    <s v="45 days"/>
    <x v="0"/>
    <n v="0.08"/>
    <n v="11952"/>
    <n v="3.48"/>
    <n v="68"/>
    <n v="175.76470588235293"/>
    <s v="Houston"/>
    <s v="English"/>
    <n v="845"/>
    <n v="5702"/>
    <n v="8"/>
    <s v="Health &amp; Wellness"/>
    <x v="141"/>
  </r>
  <r>
    <s v="Innovate Industries"/>
    <x v="2"/>
    <s v="Women 35-44"/>
    <s v="15 days"/>
    <x v="4"/>
    <n v="0.05"/>
    <n v="14503"/>
    <n v="3.8"/>
    <n v="29"/>
    <n v="500.10344827586209"/>
    <s v="Miami"/>
    <s v="Mandarin"/>
    <n v="585"/>
    <n v="9150"/>
    <n v="3"/>
    <s v="Tech Enthusiasts"/>
    <x v="142"/>
  </r>
  <r>
    <s v="DataTech Solutions"/>
    <x v="3"/>
    <s v="Men 25-34"/>
    <s v="45 days"/>
    <x v="2"/>
    <n v="0.11"/>
    <n v="10404"/>
    <n v="2.41"/>
    <n v="46"/>
    <n v="226.17391304347825"/>
    <s v="New York"/>
    <s v="German"/>
    <n v="418"/>
    <n v="3556"/>
    <n v="2"/>
    <s v="Tech Enthusiasts"/>
    <x v="143"/>
  </r>
  <r>
    <s v="TechCorp"/>
    <x v="4"/>
    <s v="Men 18-24"/>
    <s v="30 days"/>
    <x v="5"/>
    <n v="0.12"/>
    <n v="7484"/>
    <n v="5.86"/>
    <n v="25"/>
    <n v="299.36"/>
    <s v="Houston"/>
    <s v="English"/>
    <n v="208"/>
    <n v="8730"/>
    <n v="2"/>
    <s v="Outdoor Adventurers"/>
    <x v="144"/>
  </r>
  <r>
    <s v="TechCorp"/>
    <x v="3"/>
    <s v="Men 25-34"/>
    <s v="60 days"/>
    <x v="0"/>
    <n v="0.03"/>
    <n v="7428"/>
    <n v="4.72"/>
    <n v="17"/>
    <n v="436.94117647058823"/>
    <s v="Houston"/>
    <s v="Mandarin"/>
    <n v="556"/>
    <n v="5179"/>
    <n v="4"/>
    <s v="Tech Enthusiasts"/>
    <x v="145"/>
  </r>
  <r>
    <s v="TechCorp"/>
    <x v="1"/>
    <s v="Men 25-34"/>
    <s v="15 days"/>
    <x v="4"/>
    <n v="0.1"/>
    <n v="11495"/>
    <n v="5.13"/>
    <n v="73"/>
    <n v="157.46575342465752"/>
    <s v="Los Angeles"/>
    <s v="French"/>
    <n v="734"/>
    <n v="2612"/>
    <n v="5"/>
    <s v="Health &amp; Wellness"/>
    <x v="146"/>
  </r>
  <r>
    <s v="TechCorp"/>
    <x v="1"/>
    <s v="All Ages"/>
    <s v="30 days"/>
    <x v="4"/>
    <n v="0.13"/>
    <n v="18957"/>
    <n v="2.83"/>
    <n v="84"/>
    <n v="225.67857142857142"/>
    <s v="Los Angeles"/>
    <s v="Spanish"/>
    <n v="643"/>
    <n v="2939"/>
    <n v="4"/>
    <s v="Tech Enthusiasts"/>
    <x v="147"/>
  </r>
  <r>
    <s v="NexGen Systems"/>
    <x v="2"/>
    <s v="Men 18-24"/>
    <s v="45 days"/>
    <x v="2"/>
    <n v="0.06"/>
    <n v="10772"/>
    <n v="2.94"/>
    <n v="10"/>
    <n v="1077.2"/>
    <s v="Chicago"/>
    <s v="English"/>
    <n v="165"/>
    <n v="1496"/>
    <n v="6"/>
    <s v="Health &amp; Wellness"/>
    <x v="148"/>
  </r>
  <r>
    <s v="TechCorp"/>
    <x v="3"/>
    <s v="Women 35-44"/>
    <s v="60 days"/>
    <x v="2"/>
    <n v="0.14000000000000001"/>
    <n v="6896"/>
    <n v="2.15"/>
    <n v="97"/>
    <n v="71.092783505154642"/>
    <s v="Houston"/>
    <s v="German"/>
    <n v="693"/>
    <n v="1290"/>
    <n v="1"/>
    <s v="Foodies"/>
    <x v="149"/>
  </r>
  <r>
    <s v="NexGen Systems"/>
    <x v="3"/>
    <s v="Men 18-24"/>
    <s v="60 days"/>
    <x v="4"/>
    <n v="0.13"/>
    <n v="13318"/>
    <n v="2.98"/>
    <n v="34"/>
    <n v="391.70588235294116"/>
    <s v="New York"/>
    <s v="German"/>
    <n v="261"/>
    <n v="1415"/>
    <n v="6"/>
    <s v="Foodies"/>
    <x v="150"/>
  </r>
  <r>
    <s v="TechCorp"/>
    <x v="1"/>
    <s v="Women 35-44"/>
    <s v="60 days"/>
    <x v="3"/>
    <n v="0.06"/>
    <n v="7031"/>
    <n v="5.67"/>
    <n v="24"/>
    <n v="292.95833333333331"/>
    <s v="Houston"/>
    <s v="French"/>
    <n v="404"/>
    <n v="8033"/>
    <n v="6"/>
    <s v="Tech Enthusiasts"/>
    <x v="151"/>
  </r>
  <r>
    <s v="Alpha Innovations"/>
    <x v="2"/>
    <s v="Women 35-44"/>
    <s v="15 days"/>
    <x v="2"/>
    <n v="0.06"/>
    <n v="5466"/>
    <n v="2.66"/>
    <n v="15"/>
    <n v="364.4"/>
    <s v="Houston"/>
    <s v="English"/>
    <n v="257"/>
    <n v="5756"/>
    <n v="2"/>
    <s v="Tech Enthusiasts"/>
    <x v="152"/>
  </r>
  <r>
    <s v="Innovate Industries"/>
    <x v="1"/>
    <s v="All Ages"/>
    <s v="30 days"/>
    <x v="2"/>
    <n v="0.11"/>
    <n v="15303"/>
    <n v="7.41"/>
    <n v="99"/>
    <n v="154.57575757575756"/>
    <s v="Chicago"/>
    <s v="Spanish"/>
    <n v="901"/>
    <n v="8712"/>
    <n v="2"/>
    <s v="Foodies"/>
    <x v="153"/>
  </r>
  <r>
    <s v="TechCorp"/>
    <x v="4"/>
    <s v="Women 35-44"/>
    <s v="30 days"/>
    <x v="2"/>
    <n v="0.13"/>
    <n v="13157"/>
    <n v="4.41"/>
    <n v="94"/>
    <n v="139.96808510638297"/>
    <s v="New York"/>
    <s v="German"/>
    <n v="724"/>
    <n v="9573"/>
    <n v="6"/>
    <s v="Fashionistas"/>
    <x v="154"/>
  </r>
  <r>
    <s v="Innovate Industries"/>
    <x v="1"/>
    <s v="All Ages"/>
    <s v="15 days"/>
    <x v="2"/>
    <n v="7.0000000000000007E-2"/>
    <n v="13197"/>
    <n v="3.31"/>
    <n v="47"/>
    <n v="280.78723404255317"/>
    <s v="Los Angeles"/>
    <s v="French"/>
    <n v="672"/>
    <n v="8765"/>
    <n v="9"/>
    <s v="Tech Enthusiasts"/>
    <x v="155"/>
  </r>
  <r>
    <s v="Alpha Innovations"/>
    <x v="2"/>
    <s v="Men 25-34"/>
    <s v="30 days"/>
    <x v="4"/>
    <n v="0.09"/>
    <n v="19723"/>
    <n v="4.74"/>
    <n v="13"/>
    <n v="1517.1538461538462"/>
    <s v="Houston"/>
    <s v="Mandarin"/>
    <n v="148"/>
    <n v="2746"/>
    <n v="8"/>
    <s v="Outdoor Adventurers"/>
    <x v="156"/>
  </r>
  <r>
    <s v="NexGen Systems"/>
    <x v="2"/>
    <s v="Men 18-24"/>
    <s v="60 days"/>
    <x v="0"/>
    <n v="0.12"/>
    <n v="18903"/>
    <n v="7.24"/>
    <n v="59"/>
    <n v="320.38983050847457"/>
    <s v="Miami"/>
    <s v="French"/>
    <n v="488"/>
    <n v="4253"/>
    <n v="1"/>
    <s v="Tech Enthusiasts"/>
    <x v="157"/>
  </r>
  <r>
    <s v="Alpha Innovations"/>
    <x v="2"/>
    <s v="Women 35-44"/>
    <s v="60 days"/>
    <x v="3"/>
    <n v="0.06"/>
    <n v="17737"/>
    <n v="4.2300000000000004"/>
    <n v="25"/>
    <n v="709.48"/>
    <s v="Houston"/>
    <s v="Spanish"/>
    <n v="420"/>
    <n v="8196"/>
    <n v="4"/>
    <s v="Foodies"/>
    <x v="158"/>
  </r>
  <r>
    <s v="DataTech Solutions"/>
    <x v="4"/>
    <s v="Women 25-34"/>
    <s v="30 days"/>
    <x v="2"/>
    <n v="0.08"/>
    <n v="16981"/>
    <n v="5.74"/>
    <n v="32"/>
    <n v="530.65625"/>
    <s v="Miami"/>
    <s v="French"/>
    <n v="395"/>
    <n v="7469"/>
    <n v="6"/>
    <s v="Foodies"/>
    <x v="159"/>
  </r>
  <r>
    <s v="TechCorp"/>
    <x v="3"/>
    <s v="All Ages"/>
    <s v="45 days"/>
    <x v="3"/>
    <n v="0.05"/>
    <n v="15993"/>
    <n v="6.55"/>
    <n v="31"/>
    <n v="515.90322580645159"/>
    <s v="Miami"/>
    <s v="English"/>
    <n v="616"/>
    <n v="9536"/>
    <n v="8"/>
    <s v="Fashionistas"/>
    <x v="160"/>
  </r>
  <r>
    <s v="DataTech Solutions"/>
    <x v="4"/>
    <s v="Men 18-24"/>
    <s v="30 days"/>
    <x v="1"/>
    <n v="7.0000000000000007E-2"/>
    <n v="7893"/>
    <n v="5.28"/>
    <n v="12"/>
    <n v="657.75"/>
    <s v="Chicago"/>
    <s v="German"/>
    <n v="170"/>
    <n v="6306"/>
    <n v="9"/>
    <s v="Foodies"/>
    <x v="161"/>
  </r>
  <r>
    <s v="TechCorp"/>
    <x v="0"/>
    <s v="Women 25-34"/>
    <s v="15 days"/>
    <x v="0"/>
    <n v="0.04"/>
    <n v="9858"/>
    <n v="3.09"/>
    <n v="38"/>
    <n v="259.42105263157896"/>
    <s v="Los Angeles"/>
    <s v="Spanish"/>
    <n v="957"/>
    <n v="4396"/>
    <n v="9"/>
    <s v="Tech Enthusiasts"/>
    <x v="162"/>
  </r>
  <r>
    <s v="NexGen Systems"/>
    <x v="1"/>
    <s v="Women 35-44"/>
    <s v="30 days"/>
    <x v="5"/>
    <n v="0.09"/>
    <n v="6885"/>
    <n v="7.65"/>
    <n v="78"/>
    <n v="88.269230769230774"/>
    <s v="Houston"/>
    <s v="Spanish"/>
    <n v="872"/>
    <n v="3269"/>
    <n v="1"/>
    <s v="Tech Enthusiasts"/>
    <x v="163"/>
  </r>
  <r>
    <s v="TechCorp"/>
    <x v="0"/>
    <s v="Men 25-34"/>
    <s v="30 days"/>
    <x v="5"/>
    <n v="7.0000000000000007E-2"/>
    <n v="11587"/>
    <n v="3.17"/>
    <n v="50"/>
    <n v="231.74"/>
    <s v="Houston"/>
    <s v="English"/>
    <n v="716"/>
    <n v="2676"/>
    <n v="9"/>
    <s v="Foodies"/>
    <x v="164"/>
  </r>
  <r>
    <s v="NexGen Systems"/>
    <x v="0"/>
    <s v="All Ages"/>
    <s v="30 days"/>
    <x v="4"/>
    <n v="0.15"/>
    <n v="5202"/>
    <n v="5.94"/>
    <n v="150"/>
    <n v="34.68"/>
    <s v="New York"/>
    <s v="German"/>
    <n v="998"/>
    <n v="5108"/>
    <n v="3"/>
    <s v="Fashionistas"/>
    <x v="165"/>
  </r>
  <r>
    <s v="Innovate Industries"/>
    <x v="3"/>
    <s v="Men 18-24"/>
    <s v="15 days"/>
    <x v="2"/>
    <n v="0.08"/>
    <n v="15651"/>
    <n v="7.24"/>
    <n v="38"/>
    <n v="411.86842105263156"/>
    <s v="Los Angeles"/>
    <s v="English"/>
    <n v="481"/>
    <n v="4165"/>
    <n v="7"/>
    <s v="Tech Enthusiasts"/>
    <x v="166"/>
  </r>
  <r>
    <s v="NexGen Systems"/>
    <x v="2"/>
    <s v="All Ages"/>
    <s v="30 days"/>
    <x v="3"/>
    <n v="0.12"/>
    <n v="11879"/>
    <n v="8"/>
    <n v="68"/>
    <n v="174.69117647058823"/>
    <s v="New York"/>
    <s v="Spanish"/>
    <n v="568"/>
    <n v="4997"/>
    <n v="6"/>
    <s v="Outdoor Adventurers"/>
    <x v="167"/>
  </r>
  <r>
    <s v="TechCorp"/>
    <x v="1"/>
    <s v="Women 25-34"/>
    <s v="60 days"/>
    <x v="5"/>
    <n v="0.03"/>
    <n v="12183"/>
    <n v="4.3600000000000003"/>
    <n v="13"/>
    <n v="937.15384615384619"/>
    <s v="Los Angeles"/>
    <s v="English"/>
    <n v="421"/>
    <n v="6087"/>
    <n v="10"/>
    <s v="Tech Enthusiasts"/>
    <x v="168"/>
  </r>
  <r>
    <s v="TechCorp"/>
    <x v="3"/>
    <s v="All Ages"/>
    <s v="30 days"/>
    <x v="0"/>
    <n v="7.0000000000000007E-2"/>
    <n v="10690"/>
    <n v="5.41"/>
    <n v="56"/>
    <n v="190.89285714285714"/>
    <s v="Los Angeles"/>
    <s v="English"/>
    <n v="797"/>
    <n v="1306"/>
    <n v="9"/>
    <s v="Foodies"/>
    <x v="169"/>
  </r>
  <r>
    <s v="TechCorp"/>
    <x v="4"/>
    <s v="Men 25-34"/>
    <s v="30 days"/>
    <x v="3"/>
    <n v="0.06"/>
    <n v="12886"/>
    <n v="4.62"/>
    <n v="40"/>
    <n v="322.14999999999998"/>
    <s v="Miami"/>
    <s v="Mandarin"/>
    <n v="668"/>
    <n v="2507"/>
    <n v="8"/>
    <s v="Foodies"/>
    <x v="170"/>
  </r>
  <r>
    <s v="Innovate Industries"/>
    <x v="1"/>
    <s v="Men 25-34"/>
    <s v="15 days"/>
    <x v="0"/>
    <n v="0.09"/>
    <n v="10854"/>
    <n v="6.1"/>
    <n v="27"/>
    <n v="402"/>
    <s v="Houston"/>
    <s v="English"/>
    <n v="303"/>
    <n v="9453"/>
    <n v="2"/>
    <s v="Health &amp; Wellness"/>
    <x v="171"/>
  </r>
  <r>
    <s v="DataTech Solutions"/>
    <x v="1"/>
    <s v="All Ages"/>
    <s v="15 days"/>
    <x v="1"/>
    <n v="0.11"/>
    <n v="7170"/>
    <n v="3.76"/>
    <n v="59"/>
    <n v="121.52542372881356"/>
    <s v="Los Angeles"/>
    <s v="German"/>
    <n v="540"/>
    <n v="6422"/>
    <n v="8"/>
    <s v="Foodies"/>
    <x v="172"/>
  </r>
  <r>
    <s v="Innovate Industries"/>
    <x v="2"/>
    <s v="Men 25-34"/>
    <s v="45 days"/>
    <x v="0"/>
    <n v="0.15"/>
    <n v="17414"/>
    <n v="6.9"/>
    <n v="120"/>
    <n v="145.11666666666667"/>
    <s v="Los Angeles"/>
    <s v="French"/>
    <n v="801"/>
    <n v="8439"/>
    <n v="5"/>
    <s v="Foodies"/>
    <x v="173"/>
  </r>
  <r>
    <s v="Innovate Industries"/>
    <x v="3"/>
    <s v="Men 18-24"/>
    <s v="15 days"/>
    <x v="2"/>
    <n v="0.1"/>
    <n v="12272"/>
    <n v="5.29"/>
    <n v="44"/>
    <n v="278.90909090909093"/>
    <s v="Los Angeles"/>
    <s v="French"/>
    <n v="436"/>
    <n v="7817"/>
    <n v="7"/>
    <s v="Outdoor Adventurers"/>
    <x v="174"/>
  </r>
  <r>
    <s v="Innovate Industries"/>
    <x v="4"/>
    <s v="All Ages"/>
    <s v="15 days"/>
    <x v="3"/>
    <n v="0.09"/>
    <n v="6489"/>
    <n v="2.2200000000000002"/>
    <n v="61"/>
    <n v="106.37704918032787"/>
    <s v="Chicago"/>
    <s v="English"/>
    <n v="683"/>
    <n v="9143"/>
    <n v="6"/>
    <s v="Foodies"/>
    <x v="175"/>
  </r>
  <r>
    <s v="Innovate Industries"/>
    <x v="2"/>
    <s v="Women 35-44"/>
    <s v="60 days"/>
    <x v="1"/>
    <n v="0.08"/>
    <n v="19732"/>
    <n v="6.06"/>
    <n v="69"/>
    <n v="285.97101449275362"/>
    <s v="Chicago"/>
    <s v="English"/>
    <n v="862"/>
    <n v="6773"/>
    <n v="1"/>
    <s v="Tech Enthusiasts"/>
    <x v="176"/>
  </r>
  <r>
    <s v="Alpha Innovations"/>
    <x v="4"/>
    <s v="All Ages"/>
    <s v="45 days"/>
    <x v="1"/>
    <n v="0.09"/>
    <n v="17837"/>
    <n v="3.84"/>
    <n v="85"/>
    <n v="209.84705882352941"/>
    <s v="Houston"/>
    <s v="English"/>
    <n v="944"/>
    <n v="9536"/>
    <n v="6"/>
    <s v="Foodies"/>
    <x v="177"/>
  </r>
  <r>
    <s v="Innovate Industries"/>
    <x v="2"/>
    <s v="All Ages"/>
    <s v="45 days"/>
    <x v="5"/>
    <n v="0.13"/>
    <n v="11954"/>
    <n v="4.91"/>
    <n v="31"/>
    <n v="385.61290322580646"/>
    <s v="Miami"/>
    <s v="Mandarin"/>
    <n v="241"/>
    <n v="9184"/>
    <n v="8"/>
    <s v="Foodies"/>
    <x v="178"/>
  </r>
  <r>
    <s v="Alpha Innovations"/>
    <x v="2"/>
    <s v="Women 35-44"/>
    <s v="30 days"/>
    <x v="0"/>
    <n v="0.01"/>
    <n v="16862"/>
    <n v="6.29"/>
    <n v="2"/>
    <n v="8431"/>
    <s v="Chicago"/>
    <s v="Spanish"/>
    <n v="200"/>
    <n v="1513"/>
    <n v="9"/>
    <s v="Tech Enthusiasts"/>
    <x v="179"/>
  </r>
  <r>
    <s v="TechCorp"/>
    <x v="2"/>
    <s v="All Ages"/>
    <s v="45 days"/>
    <x v="5"/>
    <n v="7.0000000000000007E-2"/>
    <n v="8076"/>
    <n v="4.29"/>
    <n v="62"/>
    <n v="130.25806451612902"/>
    <s v="New York"/>
    <s v="Mandarin"/>
    <n v="883"/>
    <n v="3400"/>
    <n v="8"/>
    <s v="Fashionistas"/>
    <x v="180"/>
  </r>
  <r>
    <s v="DataTech Solutions"/>
    <x v="1"/>
    <s v="Women 35-44"/>
    <s v="15 days"/>
    <x v="4"/>
    <n v="0.06"/>
    <n v="19143"/>
    <n v="2.58"/>
    <n v="41"/>
    <n v="466.90243902439022"/>
    <s v="Los Angeles"/>
    <s v="Spanish"/>
    <n v="690"/>
    <n v="1087"/>
    <n v="7"/>
    <s v="Tech Enthusiasts"/>
    <x v="181"/>
  </r>
  <r>
    <s v="TechCorp"/>
    <x v="1"/>
    <s v="Women 35-44"/>
    <s v="15 days"/>
    <x v="2"/>
    <n v="0.06"/>
    <n v="18350"/>
    <n v="3.2"/>
    <n v="22"/>
    <n v="834.09090909090912"/>
    <s v="New York"/>
    <s v="Spanish"/>
    <n v="372"/>
    <n v="3266"/>
    <n v="4"/>
    <s v="Health &amp; Wellness"/>
    <x v="182"/>
  </r>
  <r>
    <s v="DataTech Solutions"/>
    <x v="4"/>
    <s v="Men 18-24"/>
    <s v="45 days"/>
    <x v="5"/>
    <n v="0.06"/>
    <n v="12315"/>
    <n v="3.97"/>
    <n v="30"/>
    <n v="410.5"/>
    <s v="Chicago"/>
    <s v="Spanish"/>
    <n v="505"/>
    <n v="4099"/>
    <n v="7"/>
    <s v="Fashionistas"/>
    <x v="183"/>
  </r>
  <r>
    <s v="NexGen Systems"/>
    <x v="1"/>
    <s v="Men 25-34"/>
    <s v="15 days"/>
    <x v="2"/>
    <n v="0.14000000000000001"/>
    <n v="17598"/>
    <n v="7.27"/>
    <n v="135"/>
    <n v="130.35555555555555"/>
    <s v="Chicago"/>
    <s v="Mandarin"/>
    <n v="961"/>
    <n v="8475"/>
    <n v="7"/>
    <s v="Outdoor Adventurers"/>
    <x v="184"/>
  </r>
  <r>
    <s v="TechCorp"/>
    <x v="0"/>
    <s v="Women 35-44"/>
    <s v="30 days"/>
    <x v="2"/>
    <n v="0.05"/>
    <n v="19545"/>
    <n v="2.57"/>
    <n v="10"/>
    <n v="1954.5"/>
    <s v="Houston"/>
    <s v="German"/>
    <n v="209"/>
    <n v="1917"/>
    <n v="1"/>
    <s v="Health &amp; Wellness"/>
    <x v="185"/>
  </r>
  <r>
    <s v="NexGen Systems"/>
    <x v="0"/>
    <s v="Men 25-34"/>
    <s v="60 days"/>
    <x v="5"/>
    <n v="0.13"/>
    <n v="14231"/>
    <n v="6.28"/>
    <n v="41"/>
    <n v="347.09756097560978"/>
    <s v="Chicago"/>
    <s v="Mandarin"/>
    <n v="312"/>
    <n v="8509"/>
    <n v="3"/>
    <s v="Health &amp; Wellness"/>
    <x v="186"/>
  </r>
  <r>
    <s v="Alpha Innovations"/>
    <x v="1"/>
    <s v="Women 25-34"/>
    <s v="30 days"/>
    <x v="2"/>
    <n v="0.11"/>
    <n v="15162"/>
    <n v="7.8"/>
    <n v="40"/>
    <n v="379.05"/>
    <s v="Chicago"/>
    <s v="German"/>
    <n v="360"/>
    <n v="6030"/>
    <n v="8"/>
    <s v="Tech Enthusiasts"/>
    <x v="187"/>
  </r>
  <r>
    <s v="DataTech Solutions"/>
    <x v="4"/>
    <s v="Women 25-34"/>
    <s v="15 days"/>
    <x v="5"/>
    <n v="0.12"/>
    <n v="15403"/>
    <n v="6.21"/>
    <n v="65"/>
    <n v="236.96923076923076"/>
    <s v="Houston"/>
    <s v="English"/>
    <n v="542"/>
    <n v="6792"/>
    <n v="6"/>
    <s v="Foodies"/>
    <x v="188"/>
  </r>
  <r>
    <s v="Innovate Industries"/>
    <x v="1"/>
    <s v="All Ages"/>
    <s v="15 days"/>
    <x v="5"/>
    <n v="0.06"/>
    <n v="5363"/>
    <n v="5.46"/>
    <n v="22"/>
    <n v="243.77272727272728"/>
    <s v="Chicago"/>
    <s v="German"/>
    <n v="369"/>
    <n v="8511"/>
    <n v="8"/>
    <s v="Tech Enthusiasts"/>
    <x v="189"/>
  </r>
  <r>
    <s v="DataTech Solutions"/>
    <x v="4"/>
    <s v="Women 35-44"/>
    <s v="60 days"/>
    <x v="3"/>
    <n v="0.12"/>
    <n v="13903"/>
    <n v="2.46"/>
    <n v="55"/>
    <n v="252.78181818181818"/>
    <s v="Chicago"/>
    <s v="German"/>
    <n v="461"/>
    <n v="9733"/>
    <n v="9"/>
    <s v="Tech Enthusiasts"/>
    <x v="190"/>
  </r>
  <r>
    <s v="TechCorp"/>
    <x v="1"/>
    <s v="Men 25-34"/>
    <s v="45 days"/>
    <x v="4"/>
    <n v="0.12"/>
    <n v="14271"/>
    <n v="5.64"/>
    <n v="101"/>
    <n v="141.29702970297029"/>
    <s v="New York"/>
    <s v="Mandarin"/>
    <n v="842"/>
    <n v="2301"/>
    <n v="1"/>
    <s v="Health &amp; Wellness"/>
    <x v="191"/>
  </r>
  <r>
    <s v="DataTech Solutions"/>
    <x v="4"/>
    <s v="Men 25-34"/>
    <s v="30 days"/>
    <x v="0"/>
    <n v="0.05"/>
    <n v="13744"/>
    <n v="4.7"/>
    <n v="37"/>
    <n v="371.45945945945948"/>
    <s v="Miami"/>
    <s v="German"/>
    <n v="743"/>
    <n v="5155"/>
    <n v="5"/>
    <s v="Fashionistas"/>
    <x v="192"/>
  </r>
  <r>
    <s v="NexGen Systems"/>
    <x v="0"/>
    <s v="All Ages"/>
    <s v="15 days"/>
    <x v="0"/>
    <n v="0.1"/>
    <n v="6093"/>
    <n v="4.28"/>
    <n v="42"/>
    <n v="145.07142857142858"/>
    <s v="New York"/>
    <s v="Mandarin"/>
    <n v="423"/>
    <n v="1340"/>
    <n v="7"/>
    <s v="Foodies"/>
    <x v="193"/>
  </r>
  <r>
    <s v="DataTech Solutions"/>
    <x v="0"/>
    <s v="All Ages"/>
    <s v="45 days"/>
    <x v="5"/>
    <n v="7.0000000000000007E-2"/>
    <n v="5272"/>
    <n v="3.62"/>
    <n v="66"/>
    <n v="79.878787878787875"/>
    <s v="Chicago"/>
    <s v="Spanish"/>
    <n v="939"/>
    <n v="9590"/>
    <n v="9"/>
    <s v="Foodies"/>
    <x v="194"/>
  </r>
  <r>
    <s v="DataTech Solutions"/>
    <x v="2"/>
    <s v="Women 35-44"/>
    <s v="30 days"/>
    <x v="1"/>
    <n v="0.02"/>
    <n v="6208"/>
    <n v="7.31"/>
    <n v="5"/>
    <n v="1241.5999999999999"/>
    <s v="Houston"/>
    <s v="Mandarin"/>
    <n v="257"/>
    <n v="9939"/>
    <n v="8"/>
    <s v="Health &amp; Wellness"/>
    <x v="195"/>
  </r>
  <r>
    <s v="Innovate Industries"/>
    <x v="1"/>
    <s v="Women 25-34"/>
    <s v="45 days"/>
    <x v="5"/>
    <n v="0.1"/>
    <n v="15437"/>
    <n v="3.72"/>
    <n v="68"/>
    <n v="227.01470588235293"/>
    <s v="Los Angeles"/>
    <s v="English"/>
    <n v="683"/>
    <n v="4212"/>
    <n v="6"/>
    <s v="Tech Enthusiasts"/>
    <x v="196"/>
  </r>
  <r>
    <s v="DataTech Solutions"/>
    <x v="2"/>
    <s v="Men 18-24"/>
    <s v="15 days"/>
    <x v="2"/>
    <n v="0.01"/>
    <n v="16368"/>
    <n v="4.37"/>
    <n v="4"/>
    <n v="4092"/>
    <s v="Los Angeles"/>
    <s v="Mandarin"/>
    <n v="433"/>
    <n v="8942"/>
    <n v="5"/>
    <s v="Tech Enthusiasts"/>
    <x v="197"/>
  </r>
  <r>
    <s v="Innovate Industries"/>
    <x v="1"/>
    <s v="Men 18-24"/>
    <s v="45 days"/>
    <x v="5"/>
    <n v="0.14000000000000001"/>
    <n v="10939"/>
    <n v="4.79"/>
    <n v="20"/>
    <n v="546.95000000000005"/>
    <s v="Miami"/>
    <s v="Spanish"/>
    <n v="146"/>
    <n v="1404"/>
    <n v="3"/>
    <s v="Outdoor Adventurers"/>
    <x v="198"/>
  </r>
  <r>
    <s v="TechCorp"/>
    <x v="1"/>
    <s v="Men 25-34"/>
    <s v="30 days"/>
    <x v="0"/>
    <n v="0.02"/>
    <n v="16312"/>
    <n v="2.63"/>
    <n v="2"/>
    <n v="8156"/>
    <s v="Chicago"/>
    <s v="English"/>
    <n v="117"/>
    <n v="4406"/>
    <n v="7"/>
    <s v="Outdoor Adventurers"/>
    <x v="199"/>
  </r>
  <r>
    <s v="Innovate Industries"/>
    <x v="3"/>
    <s v="Women 35-44"/>
    <s v="60 days"/>
    <x v="4"/>
    <n v="0.09"/>
    <n v="9518"/>
    <n v="4.22"/>
    <n v="29"/>
    <n v="328.20689655172413"/>
    <s v="Houston"/>
    <s v="German"/>
    <n v="324"/>
    <n v="8445"/>
    <n v="6"/>
    <s v="Tech Enthusiasts"/>
    <x v="200"/>
  </r>
  <r>
    <s v="DataTech Solutions"/>
    <x v="1"/>
    <s v="Women 35-44"/>
    <s v="45 days"/>
    <x v="2"/>
    <n v="0.13"/>
    <n v="16258"/>
    <n v="5.83"/>
    <n v="41"/>
    <n v="396.53658536585368"/>
    <s v="Chicago"/>
    <s v="French"/>
    <n v="317"/>
    <n v="2305"/>
    <n v="10"/>
    <s v="Foodies"/>
    <x v="201"/>
  </r>
  <r>
    <s v="DataTech Solutions"/>
    <x v="2"/>
    <s v="All Ages"/>
    <s v="30 days"/>
    <x v="5"/>
    <n v="0.1"/>
    <n v="7176"/>
    <n v="7.27"/>
    <n v="47"/>
    <n v="152.68085106382978"/>
    <s v="Los Angeles"/>
    <s v="Spanish"/>
    <n v="472"/>
    <n v="7157"/>
    <n v="10"/>
    <s v="Tech Enthusiasts"/>
    <x v="202"/>
  </r>
  <r>
    <s v="TechCorp"/>
    <x v="1"/>
    <s v="Men 18-24"/>
    <s v="45 days"/>
    <x v="0"/>
    <n v="0.15"/>
    <n v="14405"/>
    <n v="7.51"/>
    <n v="134"/>
    <n v="107.5"/>
    <s v="Los Angeles"/>
    <s v="French"/>
    <n v="896"/>
    <n v="7502"/>
    <n v="9"/>
    <s v="Foodies"/>
    <x v="203"/>
  </r>
  <r>
    <s v="DataTech Solutions"/>
    <x v="1"/>
    <s v="Women 35-44"/>
    <s v="45 days"/>
    <x v="5"/>
    <n v="0.11"/>
    <n v="13293"/>
    <n v="7.49"/>
    <n v="15"/>
    <n v="886.2"/>
    <s v="Chicago"/>
    <s v="Mandarin"/>
    <n v="132"/>
    <n v="1159"/>
    <n v="10"/>
    <s v="Foodies"/>
    <x v="204"/>
  </r>
  <r>
    <s v="Innovate Industries"/>
    <x v="0"/>
    <s v="Men 18-24"/>
    <s v="15 days"/>
    <x v="3"/>
    <n v="0.12"/>
    <n v="14318"/>
    <n v="3.69"/>
    <n v="25"/>
    <n v="572.72"/>
    <s v="Miami"/>
    <s v="Spanish"/>
    <n v="210"/>
    <n v="2135"/>
    <n v="3"/>
    <s v="Tech Enthusiasts"/>
    <x v="205"/>
  </r>
  <r>
    <s v="TechCorp"/>
    <x v="4"/>
    <s v="Women 25-34"/>
    <s v="60 days"/>
    <x v="2"/>
    <n v="0.05"/>
    <n v="8772"/>
    <n v="6.29"/>
    <n v="10"/>
    <n v="877.2"/>
    <s v="New York"/>
    <s v="English"/>
    <n v="209"/>
    <n v="6176"/>
    <n v="6"/>
    <s v="Health &amp; Wellness"/>
    <x v="206"/>
  </r>
  <r>
    <s v="DataTech Solutions"/>
    <x v="2"/>
    <s v="Women 25-34"/>
    <s v="45 days"/>
    <x v="0"/>
    <n v="0.11"/>
    <n v="12864"/>
    <n v="2.87"/>
    <n v="31"/>
    <n v="414.96774193548384"/>
    <s v="Los Angeles"/>
    <s v="English"/>
    <n v="280"/>
    <n v="2676"/>
    <n v="7"/>
    <s v="Health &amp; Wellness"/>
    <x v="207"/>
  </r>
  <r>
    <s v="NexGen Systems"/>
    <x v="2"/>
    <s v="All Ages"/>
    <s v="15 days"/>
    <x v="0"/>
    <n v="0.11"/>
    <n v="17562"/>
    <n v="3.66"/>
    <n v="34"/>
    <n v="516.52941176470586"/>
    <s v="Chicago"/>
    <s v="English"/>
    <n v="308"/>
    <n v="6903"/>
    <n v="7"/>
    <s v="Health &amp; Wellness"/>
    <x v="208"/>
  </r>
  <r>
    <s v="Innovate Industries"/>
    <x v="2"/>
    <s v="All Ages"/>
    <s v="45 days"/>
    <x v="5"/>
    <n v="0.08"/>
    <n v="17461"/>
    <n v="2.81"/>
    <n v="44"/>
    <n v="396.84090909090907"/>
    <s v="Los Angeles"/>
    <s v="Mandarin"/>
    <n v="554"/>
    <n v="8096"/>
    <n v="10"/>
    <s v="Health &amp; Wellness"/>
    <x v="209"/>
  </r>
  <r>
    <s v="DataTech Solutions"/>
    <x v="3"/>
    <s v="Women 35-44"/>
    <s v="30 days"/>
    <x v="3"/>
    <n v="0.08"/>
    <n v="19366"/>
    <n v="7.94"/>
    <n v="69"/>
    <n v="280.66666666666669"/>
    <s v="Chicago"/>
    <s v="Spanish"/>
    <n v="868"/>
    <n v="8919"/>
    <n v="10"/>
    <s v="Health &amp; Wellness"/>
    <x v="210"/>
  </r>
  <r>
    <s v="NexGen Systems"/>
    <x v="4"/>
    <s v="All Ages"/>
    <s v="30 days"/>
    <x v="2"/>
    <n v="0.02"/>
    <n v="6907"/>
    <n v="2.39"/>
    <n v="8"/>
    <n v="863.375"/>
    <s v="Houston"/>
    <s v="French"/>
    <n v="376"/>
    <n v="1503"/>
    <n v="5"/>
    <s v="Foodies"/>
    <x v="211"/>
  </r>
  <r>
    <s v="DataTech Solutions"/>
    <x v="4"/>
    <s v="Women 25-34"/>
    <s v="45 days"/>
    <x v="5"/>
    <n v="0.15"/>
    <n v="16540"/>
    <n v="2.72"/>
    <n v="40"/>
    <n v="413.5"/>
    <s v="Houston"/>
    <s v="Mandarin"/>
    <n v="264"/>
    <n v="3516"/>
    <n v="2"/>
    <s v="Foodies"/>
    <x v="212"/>
  </r>
  <r>
    <s v="TechCorp"/>
    <x v="2"/>
    <s v="All Ages"/>
    <s v="60 days"/>
    <x v="5"/>
    <n v="0.05"/>
    <n v="5020"/>
    <n v="7.67"/>
    <n v="39"/>
    <n v="128.71794871794873"/>
    <s v="Chicago"/>
    <s v="Spanish"/>
    <n v="773"/>
    <n v="3130"/>
    <n v="5"/>
    <s v="Health &amp; Wellness"/>
    <x v="213"/>
  </r>
  <r>
    <s v="Alpha Innovations"/>
    <x v="1"/>
    <s v="Women 25-34"/>
    <s v="45 days"/>
    <x v="1"/>
    <n v="0.06"/>
    <n v="13697"/>
    <n v="2.79"/>
    <n v="60"/>
    <n v="228.28333333333333"/>
    <s v="Los Angeles"/>
    <s v="Spanish"/>
    <n v="999"/>
    <n v="2557"/>
    <n v="3"/>
    <s v="Health &amp; Wellness"/>
    <x v="214"/>
  </r>
  <r>
    <s v="Alpha Innovations"/>
    <x v="4"/>
    <s v="Women 25-34"/>
    <s v="30 days"/>
    <x v="5"/>
    <n v="0.14000000000000001"/>
    <n v="19308"/>
    <n v="4.3899999999999997"/>
    <n v="102"/>
    <n v="189.29411764705881"/>
    <s v="New York"/>
    <s v="Mandarin"/>
    <n v="726"/>
    <n v="6296"/>
    <n v="5"/>
    <s v="Health &amp; Wellness"/>
    <x v="215"/>
  </r>
  <r>
    <s v="NexGen Systems"/>
    <x v="3"/>
    <s v="Women 35-44"/>
    <s v="30 days"/>
    <x v="0"/>
    <n v="0.11"/>
    <n v="13185"/>
    <n v="6.06"/>
    <n v="68"/>
    <n v="193.89705882352942"/>
    <s v="Houston"/>
    <s v="English"/>
    <n v="614"/>
    <n v="9971"/>
    <n v="10"/>
    <s v="Fashionistas"/>
    <x v="216"/>
  </r>
  <r>
    <s v="DataTech Solutions"/>
    <x v="0"/>
    <s v="Men 18-24"/>
    <s v="15 days"/>
    <x v="2"/>
    <n v="0.05"/>
    <n v="15880"/>
    <n v="5.85"/>
    <n v="48"/>
    <n v="330.83333333333331"/>
    <s v="Los Angeles"/>
    <s v="Spanish"/>
    <n v="967"/>
    <n v="9549"/>
    <n v="5"/>
    <s v="Tech Enthusiasts"/>
    <x v="217"/>
  </r>
  <r>
    <s v="TechCorp"/>
    <x v="3"/>
    <s v="Women 25-34"/>
    <s v="15 days"/>
    <x v="5"/>
    <n v="0.08"/>
    <n v="13524"/>
    <n v="3.91"/>
    <n v="13"/>
    <n v="1040.3076923076924"/>
    <s v="Los Angeles"/>
    <s v="Spanish"/>
    <n v="167"/>
    <n v="9596"/>
    <n v="10"/>
    <s v="Foodies"/>
    <x v="218"/>
  </r>
  <r>
    <s v="Innovate Industries"/>
    <x v="1"/>
    <s v="All Ages"/>
    <s v="15 days"/>
    <x v="5"/>
    <n v="0.03"/>
    <n v="10536"/>
    <n v="8"/>
    <n v="28"/>
    <n v="376.28571428571428"/>
    <s v="New York"/>
    <s v="Mandarin"/>
    <n v="924"/>
    <n v="3584"/>
    <n v="10"/>
    <s v="Fashionistas"/>
    <x v="219"/>
  </r>
  <r>
    <s v="Alpha Innovations"/>
    <x v="0"/>
    <s v="Men 18-24"/>
    <s v="15 days"/>
    <x v="5"/>
    <n v="0.02"/>
    <n v="5941"/>
    <n v="6.73"/>
    <n v="14"/>
    <n v="424.35714285714283"/>
    <s v="Miami"/>
    <s v="French"/>
    <n v="715"/>
    <n v="8580"/>
    <n v="2"/>
    <s v="Tech Enthusiasts"/>
    <x v="220"/>
  </r>
  <r>
    <s v="Alpha Innovations"/>
    <x v="0"/>
    <s v="Men 25-34"/>
    <s v="15 days"/>
    <x v="2"/>
    <n v="0.09"/>
    <n v="12239"/>
    <n v="2.98"/>
    <n v="18"/>
    <n v="679.94444444444446"/>
    <s v="Los Angeles"/>
    <s v="Mandarin"/>
    <n v="198"/>
    <n v="8847"/>
    <n v="2"/>
    <s v="Foodies"/>
    <x v="221"/>
  </r>
  <r>
    <s v="DataTech Solutions"/>
    <x v="3"/>
    <s v="Women 25-34"/>
    <s v="30 days"/>
    <x v="4"/>
    <n v="0.04"/>
    <n v="11973"/>
    <n v="5.36"/>
    <n v="10"/>
    <n v="1197.3"/>
    <s v="Los Angeles"/>
    <s v="Spanish"/>
    <n v="240"/>
    <n v="5611"/>
    <n v="6"/>
    <s v="Fashionistas"/>
    <x v="222"/>
  </r>
  <r>
    <s v="TechCorp"/>
    <x v="2"/>
    <s v="Women 35-44"/>
    <s v="15 days"/>
    <x v="0"/>
    <n v="0.1"/>
    <n v="5697"/>
    <n v="7.76"/>
    <n v="29"/>
    <n v="196.44827586206895"/>
    <s v="Miami"/>
    <s v="German"/>
    <n v="285"/>
    <n v="3131"/>
    <n v="1"/>
    <s v="Foodies"/>
    <x v="223"/>
  </r>
  <r>
    <s v="DataTech Solutions"/>
    <x v="0"/>
    <s v="Men 25-34"/>
    <s v="30 days"/>
    <x v="2"/>
    <n v="0.12"/>
    <n v="6388"/>
    <n v="6.8"/>
    <n v="19"/>
    <n v="336.21052631578948"/>
    <s v="Houston"/>
    <s v="English"/>
    <n v="159"/>
    <n v="4073"/>
    <n v="7"/>
    <s v="Outdoor Adventurers"/>
    <x v="224"/>
  </r>
  <r>
    <s v="NexGen Systems"/>
    <x v="1"/>
    <s v="Women 35-44"/>
    <s v="60 days"/>
    <x v="4"/>
    <n v="0.15"/>
    <n v="10330"/>
    <n v="2.83"/>
    <n v="23"/>
    <n v="449.13043478260869"/>
    <s v="Houston"/>
    <s v="French"/>
    <n v="153"/>
    <n v="5056"/>
    <n v="1"/>
    <s v="Foodies"/>
    <x v="225"/>
  </r>
  <r>
    <s v="Innovate Industries"/>
    <x v="0"/>
    <s v="Men 18-24"/>
    <s v="45 days"/>
    <x v="2"/>
    <n v="0.08"/>
    <n v="5429"/>
    <n v="6.93"/>
    <n v="34"/>
    <n v="159.6764705882353"/>
    <s v="Los Angeles"/>
    <s v="English"/>
    <n v="423"/>
    <n v="7289"/>
    <n v="1"/>
    <s v="Foodies"/>
    <x v="226"/>
  </r>
  <r>
    <s v="TechCorp"/>
    <x v="1"/>
    <s v="Men 25-34"/>
    <s v="45 days"/>
    <x v="0"/>
    <n v="0.15"/>
    <n v="16318"/>
    <n v="5.39"/>
    <n v="99"/>
    <n v="164.82828282828282"/>
    <s v="Chicago"/>
    <s v="German"/>
    <n v="660"/>
    <n v="1268"/>
    <n v="1"/>
    <s v="Health &amp; Wellness"/>
    <x v="227"/>
  </r>
  <r>
    <s v="Innovate Industries"/>
    <x v="3"/>
    <s v="Men 25-34"/>
    <s v="60 days"/>
    <x v="3"/>
    <n v="0.08"/>
    <n v="10475"/>
    <n v="6.46"/>
    <n v="9"/>
    <n v="1163.8888888888889"/>
    <s v="Los Angeles"/>
    <s v="Mandarin"/>
    <n v="111"/>
    <n v="8357"/>
    <n v="6"/>
    <s v="Tech Enthusiasts"/>
    <x v="228"/>
  </r>
  <r>
    <s v="Alpha Innovations"/>
    <x v="3"/>
    <s v="Women 35-44"/>
    <s v="30 days"/>
    <x v="2"/>
    <n v="0.02"/>
    <n v="14610"/>
    <n v="5.38"/>
    <n v="16"/>
    <n v="913.125"/>
    <s v="Los Angeles"/>
    <s v="French"/>
    <n v="820"/>
    <n v="5111"/>
    <n v="4"/>
    <s v="Fashionistas"/>
    <x v="229"/>
  </r>
  <r>
    <s v="DataTech Solutions"/>
    <x v="0"/>
    <s v="Women 35-44"/>
    <s v="15 days"/>
    <x v="4"/>
    <n v="0.1"/>
    <n v="9636"/>
    <n v="5.08"/>
    <n v="94"/>
    <n v="102.51063829787235"/>
    <s v="New York"/>
    <s v="German"/>
    <n v="935"/>
    <n v="6946"/>
    <n v="2"/>
    <s v="Fashionistas"/>
    <x v="230"/>
  </r>
  <r>
    <s v="NexGen Systems"/>
    <x v="0"/>
    <s v="Women 25-34"/>
    <s v="60 days"/>
    <x v="0"/>
    <n v="0.05"/>
    <n v="11450"/>
    <n v="2.89"/>
    <n v="34"/>
    <n v="336.76470588235293"/>
    <s v="New York"/>
    <s v="Spanish"/>
    <n v="685"/>
    <n v="7667"/>
    <n v="6"/>
    <s v="Fashionistas"/>
    <x v="231"/>
  </r>
  <r>
    <s v="DataTech Solutions"/>
    <x v="0"/>
    <s v="Women 35-44"/>
    <s v="60 days"/>
    <x v="4"/>
    <n v="0.02"/>
    <n v="14372"/>
    <n v="4.26"/>
    <n v="14"/>
    <n v="1026.5714285714287"/>
    <s v="Houston"/>
    <s v="Spanish"/>
    <n v="703"/>
    <n v="6178"/>
    <n v="2"/>
    <s v="Tech Enthusiasts"/>
    <x v="232"/>
  </r>
  <r>
    <s v="Innovate Industries"/>
    <x v="3"/>
    <s v="Men 25-34"/>
    <s v="60 days"/>
    <x v="3"/>
    <n v="0.04"/>
    <n v="15105"/>
    <n v="5.61"/>
    <n v="15"/>
    <n v="1007"/>
    <s v="Chicago"/>
    <s v="German"/>
    <n v="366"/>
    <n v="8306"/>
    <n v="1"/>
    <s v="Fashionistas"/>
    <x v="233"/>
  </r>
  <r>
    <s v="Alpha Innovations"/>
    <x v="2"/>
    <s v="Men 25-34"/>
    <s v="15 days"/>
    <x v="4"/>
    <n v="7.0000000000000007E-2"/>
    <n v="10319"/>
    <n v="7.47"/>
    <n v="29"/>
    <n v="355.82758620689657"/>
    <s v="Chicago"/>
    <s v="German"/>
    <n v="409"/>
    <n v="4851"/>
    <n v="6"/>
    <s v="Outdoor Adventurers"/>
    <x v="234"/>
  </r>
  <r>
    <s v="TechCorp"/>
    <x v="3"/>
    <s v="Women 25-34"/>
    <s v="45 days"/>
    <x v="0"/>
    <n v="0.04"/>
    <n v="5220"/>
    <n v="4.79"/>
    <n v="26"/>
    <n v="200.76923076923077"/>
    <s v="New York"/>
    <s v="French"/>
    <n v="662"/>
    <n v="8586"/>
    <n v="2"/>
    <s v="Fashionistas"/>
    <x v="235"/>
  </r>
  <r>
    <s v="NexGen Systems"/>
    <x v="3"/>
    <s v="Men 18-24"/>
    <s v="30 days"/>
    <x v="5"/>
    <n v="0.14000000000000001"/>
    <n v="15820"/>
    <n v="5.12"/>
    <n v="34"/>
    <n v="465.29411764705884"/>
    <s v="Chicago"/>
    <s v="German"/>
    <n v="240"/>
    <n v="6283"/>
    <n v="9"/>
    <s v="Health &amp; Wellness"/>
    <x v="236"/>
  </r>
  <r>
    <s v="Innovate Industries"/>
    <x v="2"/>
    <s v="Men 18-24"/>
    <s v="60 days"/>
    <x v="3"/>
    <n v="0.01"/>
    <n v="18076"/>
    <n v="3.13"/>
    <n v="3"/>
    <n v="6025.333333333333"/>
    <s v="New York"/>
    <s v="English"/>
    <n v="320"/>
    <n v="5064"/>
    <n v="6"/>
    <s v="Fashionistas"/>
    <x v="237"/>
  </r>
  <r>
    <s v="Innovate Industries"/>
    <x v="4"/>
    <s v="Women 25-34"/>
    <s v="60 days"/>
    <x v="5"/>
    <n v="0.08"/>
    <n v="18074"/>
    <n v="5.99"/>
    <n v="47"/>
    <n v="384.55319148936172"/>
    <s v="Chicago"/>
    <s v="German"/>
    <n v="587"/>
    <n v="4909"/>
    <n v="5"/>
    <s v="Outdoor Adventurers"/>
    <x v="238"/>
  </r>
  <r>
    <s v="Alpha Innovations"/>
    <x v="0"/>
    <s v="Women 35-44"/>
    <s v="60 days"/>
    <x v="0"/>
    <n v="0.1"/>
    <n v="6676"/>
    <n v="5.75"/>
    <n v="12"/>
    <n v="556.33333333333337"/>
    <s v="Los Angeles"/>
    <s v="Spanish"/>
    <n v="119"/>
    <n v="6702"/>
    <n v="7"/>
    <s v="Tech Enthusiasts"/>
    <x v="239"/>
  </r>
  <r>
    <s v="Innovate Industries"/>
    <x v="2"/>
    <s v="Women 25-34"/>
    <s v="45 days"/>
    <x v="5"/>
    <n v="0.06"/>
    <n v="19928"/>
    <n v="4.24"/>
    <n v="7"/>
    <n v="2846.8571428571427"/>
    <s v="Miami"/>
    <s v="French"/>
    <n v="116"/>
    <n v="3794"/>
    <n v="4"/>
    <s v="Foodies"/>
    <x v="240"/>
  </r>
  <r>
    <s v="NexGen Systems"/>
    <x v="3"/>
    <s v="Women 25-34"/>
    <s v="60 days"/>
    <x v="0"/>
    <n v="0.11"/>
    <n v="14322"/>
    <n v="5.66"/>
    <n v="96"/>
    <n v="149.1875"/>
    <s v="New York"/>
    <s v="Spanish"/>
    <n v="872"/>
    <n v="8759"/>
    <n v="2"/>
    <s v="Fashionistas"/>
    <x v="241"/>
  </r>
  <r>
    <s v="Alpha Innovations"/>
    <x v="1"/>
    <s v="Men 18-24"/>
    <s v="60 days"/>
    <x v="3"/>
    <n v="0.1"/>
    <n v="19463"/>
    <n v="3.02"/>
    <n v="97"/>
    <n v="200.64948453608247"/>
    <s v="Miami"/>
    <s v="Mandarin"/>
    <n v="970"/>
    <n v="8060"/>
    <n v="3"/>
    <s v="Tech Enthusiasts"/>
    <x v="242"/>
  </r>
  <r>
    <s v="Alpha Innovations"/>
    <x v="1"/>
    <s v="Men 25-34"/>
    <s v="45 days"/>
    <x v="0"/>
    <n v="0.13"/>
    <n v="12616"/>
    <n v="5.23"/>
    <n v="112"/>
    <n v="112.64285714285714"/>
    <s v="New York"/>
    <s v="German"/>
    <n v="864"/>
    <n v="1054"/>
    <n v="6"/>
    <s v="Fashionistas"/>
    <x v="243"/>
  </r>
  <r>
    <s v="DataTech Solutions"/>
    <x v="1"/>
    <s v="Women 25-34"/>
    <s v="30 days"/>
    <x v="3"/>
    <n v="0.12"/>
    <n v="14856"/>
    <n v="2.0499999999999998"/>
    <n v="72"/>
    <n v="206.33333333333334"/>
    <s v="Chicago"/>
    <s v="Mandarin"/>
    <n v="597"/>
    <n v="2672"/>
    <n v="3"/>
    <s v="Fashionistas"/>
    <x v="244"/>
  </r>
  <r>
    <s v="DataTech Solutions"/>
    <x v="2"/>
    <s v="Men 18-24"/>
    <s v="15 days"/>
    <x v="2"/>
    <n v="0.14000000000000001"/>
    <n v="19347"/>
    <n v="3.49"/>
    <n v="139"/>
    <n v="139.18705035971223"/>
    <s v="Houston"/>
    <s v="French"/>
    <n v="993"/>
    <n v="5113"/>
    <n v="2"/>
    <s v="Tech Enthusiasts"/>
    <x v="245"/>
  </r>
  <r>
    <s v="DataTech Solutions"/>
    <x v="4"/>
    <s v="Men 25-34"/>
    <s v="15 days"/>
    <x v="0"/>
    <n v="0.15"/>
    <n v="14124"/>
    <n v="6.53"/>
    <n v="145"/>
    <n v="97.406896551724131"/>
    <s v="New York"/>
    <s v="Spanish"/>
    <n v="967"/>
    <n v="4832"/>
    <n v="8"/>
    <s v="Health &amp; Wellness"/>
    <x v="246"/>
  </r>
  <r>
    <s v="DataTech Solutions"/>
    <x v="4"/>
    <s v="Women 25-34"/>
    <s v="45 days"/>
    <x v="0"/>
    <n v="0.15"/>
    <n v="9761"/>
    <n v="3.26"/>
    <n v="53"/>
    <n v="184.16981132075472"/>
    <s v="Chicago"/>
    <s v="Mandarin"/>
    <n v="350"/>
    <n v="4327"/>
    <n v="10"/>
    <s v="Outdoor Adventurers"/>
    <x v="247"/>
  </r>
  <r>
    <s v="DataTech Solutions"/>
    <x v="4"/>
    <s v="Women 35-44"/>
    <s v="30 days"/>
    <x v="0"/>
    <n v="0.1"/>
    <n v="5575"/>
    <n v="3.42"/>
    <n v="32"/>
    <n v="174.21875"/>
    <s v="Houston"/>
    <s v="English"/>
    <n v="324"/>
    <n v="2310"/>
    <n v="6"/>
    <s v="Foodies"/>
    <x v="248"/>
  </r>
  <r>
    <s v="Alpha Innovations"/>
    <x v="2"/>
    <s v="All Ages"/>
    <s v="15 days"/>
    <x v="5"/>
    <n v="0.13"/>
    <n v="15120"/>
    <n v="5.25"/>
    <n v="117"/>
    <n v="129.23076923076923"/>
    <s v="Chicago"/>
    <s v="Mandarin"/>
    <n v="897"/>
    <n v="1928"/>
    <n v="7"/>
    <s v="Fashionistas"/>
    <x v="249"/>
  </r>
  <r>
    <s v="Innovate Industries"/>
    <x v="2"/>
    <s v="Women 25-34"/>
    <s v="45 days"/>
    <x v="3"/>
    <n v="0.1"/>
    <n v="16108"/>
    <n v="2.15"/>
    <n v="16"/>
    <n v="1006.75"/>
    <s v="New York"/>
    <s v="French"/>
    <n v="162"/>
    <n v="7983"/>
    <n v="7"/>
    <s v="Fashionistas"/>
    <x v="250"/>
  </r>
  <r>
    <s v="Innovate Industries"/>
    <x v="2"/>
    <s v="Men 18-24"/>
    <s v="60 days"/>
    <x v="5"/>
    <n v="0.03"/>
    <n v="6459"/>
    <n v="5.33"/>
    <n v="28"/>
    <n v="230.67857142857142"/>
    <s v="Houston"/>
    <s v="Mandarin"/>
    <n v="949"/>
    <n v="7441"/>
    <n v="4"/>
    <s v="Outdoor Adventurers"/>
    <x v="251"/>
  </r>
  <r>
    <s v="Alpha Innovations"/>
    <x v="3"/>
    <s v="All Ages"/>
    <s v="30 days"/>
    <x v="5"/>
    <n v="0.08"/>
    <n v="16937"/>
    <n v="4.24"/>
    <n v="12"/>
    <n v="1411.4166666666667"/>
    <s v="Houston"/>
    <s v="French"/>
    <n v="154"/>
    <n v="7455"/>
    <n v="9"/>
    <s v="Tech Enthusiasts"/>
    <x v="252"/>
  </r>
  <r>
    <s v="Innovate Industries"/>
    <x v="1"/>
    <s v="Women 35-44"/>
    <s v="60 days"/>
    <x v="4"/>
    <n v="7.0000000000000007E-2"/>
    <n v="11092"/>
    <n v="4.55"/>
    <n v="51"/>
    <n v="217.49019607843138"/>
    <s v="Los Angeles"/>
    <s v="English"/>
    <n v="735"/>
    <n v="7035"/>
    <n v="7"/>
    <s v="Foodies"/>
    <x v="253"/>
  </r>
  <r>
    <s v="Innovate Industries"/>
    <x v="4"/>
    <s v="Women 35-44"/>
    <s v="30 days"/>
    <x v="4"/>
    <n v="0.05"/>
    <n v="6772"/>
    <n v="5.55"/>
    <n v="17"/>
    <n v="398.35294117647061"/>
    <s v="New York"/>
    <s v="Spanish"/>
    <n v="341"/>
    <n v="9370"/>
    <n v="2"/>
    <s v="Fashionistas"/>
    <x v="254"/>
  </r>
  <r>
    <s v="NexGen Systems"/>
    <x v="1"/>
    <s v="Men 25-34"/>
    <s v="30 days"/>
    <x v="1"/>
    <n v="0.08"/>
    <n v="7331"/>
    <n v="2.27"/>
    <n v="18"/>
    <n v="407.27777777777777"/>
    <s v="Miami"/>
    <s v="Spanish"/>
    <n v="222"/>
    <n v="7421"/>
    <n v="7"/>
    <s v="Health &amp; Wellness"/>
    <x v="255"/>
  </r>
  <r>
    <s v="Innovate Industries"/>
    <x v="2"/>
    <s v="Men 25-34"/>
    <s v="45 days"/>
    <x v="1"/>
    <n v="0.02"/>
    <n v="16189"/>
    <n v="6.92"/>
    <n v="17"/>
    <n v="952.29411764705878"/>
    <s v="New York"/>
    <s v="German"/>
    <n v="841"/>
    <n v="9783"/>
    <n v="7"/>
    <s v="Foodies"/>
    <x v="256"/>
  </r>
  <r>
    <s v="Innovate Industries"/>
    <x v="2"/>
    <s v="Women 35-44"/>
    <s v="30 days"/>
    <x v="2"/>
    <n v="0.06"/>
    <n v="11003"/>
    <n v="7.63"/>
    <n v="59"/>
    <n v="186.4915254237288"/>
    <s v="Miami"/>
    <s v="Mandarin"/>
    <n v="986"/>
    <n v="6349"/>
    <n v="3"/>
    <s v="Fashionistas"/>
    <x v="257"/>
  </r>
  <r>
    <s v="NexGen Systems"/>
    <x v="4"/>
    <s v="Men 25-34"/>
    <s v="15 days"/>
    <x v="0"/>
    <n v="7.0000000000000007E-2"/>
    <n v="7726"/>
    <n v="7.64"/>
    <n v="22"/>
    <n v="351.18181818181819"/>
    <s v="Houston"/>
    <s v="German"/>
    <n v="314"/>
    <n v="4021"/>
    <n v="4"/>
    <s v="Tech Enthusiasts"/>
    <x v="258"/>
  </r>
  <r>
    <s v="Innovate Industries"/>
    <x v="3"/>
    <s v="Men 25-34"/>
    <s v="30 days"/>
    <x v="3"/>
    <n v="0.03"/>
    <n v="15424"/>
    <n v="2.56"/>
    <n v="25"/>
    <n v="616.96"/>
    <s v="New York"/>
    <s v="English"/>
    <n v="838"/>
    <n v="9611"/>
    <n v="6"/>
    <s v="Tech Enthusiasts"/>
    <x v="259"/>
  </r>
  <r>
    <s v="Alpha Innovations"/>
    <x v="2"/>
    <s v="Men 18-24"/>
    <s v="45 days"/>
    <x v="2"/>
    <n v="0.04"/>
    <n v="13154"/>
    <n v="5.69"/>
    <n v="16"/>
    <n v="822.125"/>
    <s v="Chicago"/>
    <s v="Spanish"/>
    <n v="394"/>
    <n v="7139"/>
    <n v="2"/>
    <s v="Health &amp; Wellness"/>
    <x v="260"/>
  </r>
  <r>
    <s v="Alpha Innovations"/>
    <x v="0"/>
    <s v="Men 18-24"/>
    <s v="60 days"/>
    <x v="0"/>
    <n v="0.04"/>
    <n v="9005"/>
    <n v="3.35"/>
    <n v="21"/>
    <n v="428.8095238095238"/>
    <s v="Los Angeles"/>
    <s v="Mandarin"/>
    <n v="536"/>
    <n v="7663"/>
    <n v="4"/>
    <s v="Foodies"/>
    <x v="261"/>
  </r>
  <r>
    <s v="TechCorp"/>
    <x v="3"/>
    <s v="All Ages"/>
    <s v="30 days"/>
    <x v="0"/>
    <n v="0.12"/>
    <n v="13481"/>
    <n v="6.44"/>
    <n v="17"/>
    <n v="793"/>
    <s v="Chicago"/>
    <s v="Mandarin"/>
    <n v="143"/>
    <n v="5377"/>
    <n v="8"/>
    <s v="Tech Enthusiasts"/>
    <x v="262"/>
  </r>
  <r>
    <s v="TechCorp"/>
    <x v="4"/>
    <s v="Men 18-24"/>
    <s v="45 days"/>
    <x v="5"/>
    <n v="0.05"/>
    <n v="9957"/>
    <n v="3.16"/>
    <n v="21"/>
    <n v="474.14285714285717"/>
    <s v="Houston"/>
    <s v="French"/>
    <n v="426"/>
    <n v="4894"/>
    <n v="10"/>
    <s v="Health &amp; Wellness"/>
    <x v="263"/>
  </r>
  <r>
    <s v="DataTech Solutions"/>
    <x v="4"/>
    <s v="Women 25-34"/>
    <s v="45 days"/>
    <x v="4"/>
    <n v="7.0000000000000007E-2"/>
    <n v="12840"/>
    <n v="3.29"/>
    <n v="21"/>
    <n v="611.42857142857144"/>
    <s v="Houston"/>
    <s v="French"/>
    <n v="295"/>
    <n v="9944"/>
    <n v="9"/>
    <s v="Foodies"/>
    <x v="264"/>
  </r>
  <r>
    <s v="Alpha Innovations"/>
    <x v="2"/>
    <s v="All Ages"/>
    <s v="30 days"/>
    <x v="3"/>
    <n v="7.0000000000000007E-2"/>
    <n v="18572"/>
    <n v="7.1"/>
    <n v="46"/>
    <n v="403.73913043478262"/>
    <s v="Chicago"/>
    <s v="French"/>
    <n v="661"/>
    <n v="8775"/>
    <n v="2"/>
    <s v="Foodies"/>
    <x v="265"/>
  </r>
  <r>
    <s v="NexGen Systems"/>
    <x v="4"/>
    <s v="Men 18-24"/>
    <s v="15 days"/>
    <x v="3"/>
    <n v="7.0000000000000007E-2"/>
    <n v="7981"/>
    <n v="4.5199999999999996"/>
    <n v="31"/>
    <n v="257.45161290322579"/>
    <s v="Houston"/>
    <s v="German"/>
    <n v="441"/>
    <n v="9476"/>
    <n v="7"/>
    <s v="Outdoor Adventurers"/>
    <x v="266"/>
  </r>
  <r>
    <s v="TechCorp"/>
    <x v="3"/>
    <s v="Women 25-34"/>
    <s v="30 days"/>
    <x v="0"/>
    <n v="0.03"/>
    <n v="13134"/>
    <n v="7.66"/>
    <n v="29"/>
    <n v="452.89655172413791"/>
    <s v="Houston"/>
    <s v="Mandarin"/>
    <n v="983"/>
    <n v="3980"/>
    <n v="4"/>
    <s v="Outdoor Adventurers"/>
    <x v="267"/>
  </r>
  <r>
    <s v="Alpha Innovations"/>
    <x v="0"/>
    <s v="Women 25-34"/>
    <s v="45 days"/>
    <x v="5"/>
    <n v="0.09"/>
    <n v="17232"/>
    <n v="3.77"/>
    <n v="32"/>
    <n v="538.5"/>
    <s v="Houston"/>
    <s v="French"/>
    <n v="354"/>
    <n v="9225"/>
    <n v="3"/>
    <s v="Health &amp; Wellness"/>
    <x v="268"/>
  </r>
  <r>
    <s v="Alpha Innovations"/>
    <x v="4"/>
    <s v="Men 18-24"/>
    <s v="45 days"/>
    <x v="0"/>
    <n v="0.03"/>
    <n v="18883"/>
    <n v="3.54"/>
    <n v="17"/>
    <n v="1110.7647058823529"/>
    <s v="New York"/>
    <s v="Mandarin"/>
    <n v="570"/>
    <n v="9730"/>
    <n v="9"/>
    <s v="Fashionistas"/>
    <x v="269"/>
  </r>
  <r>
    <s v="Innovate Industries"/>
    <x v="2"/>
    <s v="Men 25-34"/>
    <s v="15 days"/>
    <x v="2"/>
    <n v="0.03"/>
    <n v="14168"/>
    <n v="3.39"/>
    <n v="20"/>
    <n v="708.4"/>
    <s v="New York"/>
    <s v="English"/>
    <n v="676"/>
    <n v="4287"/>
    <n v="1"/>
    <s v="Health &amp; Wellness"/>
    <x v="270"/>
  </r>
  <r>
    <s v="Innovate Industries"/>
    <x v="3"/>
    <s v="Men 25-34"/>
    <s v="30 days"/>
    <x v="5"/>
    <n v="0.09"/>
    <n v="8078"/>
    <n v="4.6500000000000004"/>
    <n v="67"/>
    <n v="120.56716417910448"/>
    <s v="Miami"/>
    <s v="Spanish"/>
    <n v="741"/>
    <n v="5040"/>
    <n v="2"/>
    <s v="Foodies"/>
    <x v="271"/>
  </r>
  <r>
    <s v="TechCorp"/>
    <x v="3"/>
    <s v="Women 35-44"/>
    <s v="15 days"/>
    <x v="2"/>
    <n v="0.06"/>
    <n v="19023"/>
    <n v="7.62"/>
    <n v="16"/>
    <n v="1188.9375"/>
    <s v="Los Angeles"/>
    <s v="German"/>
    <n v="274"/>
    <n v="4451"/>
    <n v="7"/>
    <s v="Tech Enthusiasts"/>
    <x v="272"/>
  </r>
  <r>
    <s v="DataTech Solutions"/>
    <x v="4"/>
    <s v="All Ages"/>
    <s v="45 days"/>
    <x v="4"/>
    <n v="0.08"/>
    <n v="12970"/>
    <n v="7.25"/>
    <n v="69"/>
    <n v="187.97101449275362"/>
    <s v="Los Angeles"/>
    <s v="French"/>
    <n v="860"/>
    <n v="6750"/>
    <n v="6"/>
    <s v="Foodies"/>
    <x v="273"/>
  </r>
  <r>
    <s v="Alpha Innovations"/>
    <x v="1"/>
    <s v="Women 35-44"/>
    <s v="60 days"/>
    <x v="5"/>
    <n v="0.06"/>
    <n v="8786"/>
    <n v="7.56"/>
    <n v="24"/>
    <n v="366.08333333333331"/>
    <s v="Houston"/>
    <s v="Mandarin"/>
    <n v="397"/>
    <n v="6102"/>
    <n v="8"/>
    <s v="Foodies"/>
    <x v="274"/>
  </r>
  <r>
    <s v="NexGen Systems"/>
    <x v="1"/>
    <s v="All Ages"/>
    <s v="60 days"/>
    <x v="0"/>
    <n v="7.0000000000000007E-2"/>
    <n v="14623"/>
    <n v="3.05"/>
    <n v="31"/>
    <n v="471.70967741935482"/>
    <s v="Los Angeles"/>
    <s v="English"/>
    <n v="449"/>
    <n v="7339"/>
    <n v="1"/>
    <s v="Fashionistas"/>
    <x v="275"/>
  </r>
  <r>
    <s v="DataTech Solutions"/>
    <x v="0"/>
    <s v="Men 25-34"/>
    <s v="15 days"/>
    <x v="2"/>
    <n v="0.08"/>
    <n v="6326"/>
    <n v="5.2"/>
    <n v="37"/>
    <n v="170.97297297297297"/>
    <s v="Miami"/>
    <s v="French"/>
    <n v="461"/>
    <n v="7818"/>
    <n v="2"/>
    <s v="Health &amp; Wellness"/>
    <x v="276"/>
  </r>
  <r>
    <s v="DataTech Solutions"/>
    <x v="0"/>
    <s v="All Ages"/>
    <s v="30 days"/>
    <x v="3"/>
    <n v="0.03"/>
    <n v="18728"/>
    <n v="5.48"/>
    <n v="25"/>
    <n v="749.12"/>
    <s v="Houston"/>
    <s v="Mandarin"/>
    <n v="831"/>
    <n v="9026"/>
    <n v="10"/>
    <s v="Health &amp; Wellness"/>
    <x v="277"/>
  </r>
  <r>
    <s v="DataTech Solutions"/>
    <x v="0"/>
    <s v="Men 18-24"/>
    <s v="30 days"/>
    <x v="5"/>
    <n v="0.14000000000000001"/>
    <n v="12494"/>
    <n v="7.56"/>
    <n v="88"/>
    <n v="141.97727272727272"/>
    <s v="Miami"/>
    <s v="German"/>
    <n v="631"/>
    <n v="9863"/>
    <n v="10"/>
    <s v="Fashionistas"/>
    <x v="278"/>
  </r>
  <r>
    <s v="NexGen Systems"/>
    <x v="2"/>
    <s v="Men 25-34"/>
    <s v="60 days"/>
    <x v="2"/>
    <n v="0.02"/>
    <n v="11640"/>
    <n v="6.62"/>
    <n v="11"/>
    <n v="1058.1818181818182"/>
    <s v="Los Angeles"/>
    <s v="German"/>
    <n v="560"/>
    <n v="1229"/>
    <n v="8"/>
    <s v="Health &amp; Wellness"/>
    <x v="279"/>
  </r>
  <r>
    <s v="NexGen Systems"/>
    <x v="3"/>
    <s v="Women 25-34"/>
    <s v="60 days"/>
    <x v="2"/>
    <n v="0.01"/>
    <n v="8340"/>
    <n v="3.9"/>
    <n v="6"/>
    <n v="1390"/>
    <s v="Houston"/>
    <s v="Mandarin"/>
    <n v="570"/>
    <n v="8066"/>
    <n v="5"/>
    <s v="Health &amp; Wellness"/>
    <x v="280"/>
  </r>
  <r>
    <s v="Alpha Innovations"/>
    <x v="2"/>
    <s v="Women 25-34"/>
    <s v="60 days"/>
    <x v="5"/>
    <n v="0.11"/>
    <n v="10909"/>
    <n v="6.21"/>
    <n v="101"/>
    <n v="108.00990099009901"/>
    <s v="Los Angeles"/>
    <s v="French"/>
    <n v="921"/>
    <n v="2726"/>
    <n v="2"/>
    <s v="Outdoor Adventurers"/>
    <x v="281"/>
  </r>
  <r>
    <s v="DataTech Solutions"/>
    <x v="0"/>
    <s v="All Ages"/>
    <s v="60 days"/>
    <x v="1"/>
    <n v="0.05"/>
    <n v="12008"/>
    <n v="3.01"/>
    <n v="13"/>
    <n v="923.69230769230774"/>
    <s v="New York"/>
    <s v="Mandarin"/>
    <n v="262"/>
    <n v="8773"/>
    <n v="5"/>
    <s v="Tech Enthusiasts"/>
    <x v="282"/>
  </r>
  <r>
    <s v="NexGen Systems"/>
    <x v="0"/>
    <s v="Women 25-34"/>
    <s v="45 days"/>
    <x v="2"/>
    <n v="0.15"/>
    <n v="15178"/>
    <n v="7.68"/>
    <n v="44"/>
    <n v="344.95454545454544"/>
    <s v="Chicago"/>
    <s v="English"/>
    <n v="294"/>
    <n v="9365"/>
    <n v="4"/>
    <s v="Health &amp; Wellness"/>
    <x v="283"/>
  </r>
  <r>
    <s v="Innovate Industries"/>
    <x v="3"/>
    <s v="Women 35-44"/>
    <s v="30 days"/>
    <x v="1"/>
    <n v="0.02"/>
    <n v="8493"/>
    <n v="6.92"/>
    <n v="5"/>
    <n v="1698.6"/>
    <s v="Houston"/>
    <s v="Spanish"/>
    <n v="257"/>
    <n v="7802"/>
    <n v="1"/>
    <s v="Health &amp; Wellness"/>
    <x v="284"/>
  </r>
  <r>
    <s v="TechCorp"/>
    <x v="0"/>
    <s v="Women 35-44"/>
    <s v="45 days"/>
    <x v="1"/>
    <n v="0.06"/>
    <n v="11813"/>
    <n v="6.03"/>
    <n v="26"/>
    <n v="454.34615384615387"/>
    <s v="Miami"/>
    <s v="German"/>
    <n v="441"/>
    <n v="6520"/>
    <n v="6"/>
    <s v="Fashionistas"/>
    <x v="285"/>
  </r>
  <r>
    <s v="Alpha Innovations"/>
    <x v="1"/>
    <s v="All Ages"/>
    <s v="45 days"/>
    <x v="2"/>
    <n v="0.14000000000000001"/>
    <n v="11491"/>
    <n v="7.08"/>
    <n v="61"/>
    <n v="188.37704918032787"/>
    <s v="Chicago"/>
    <s v="Spanish"/>
    <n v="433"/>
    <n v="8276"/>
    <n v="7"/>
    <s v="Outdoor Adventurers"/>
    <x v="286"/>
  </r>
  <r>
    <s v="Innovate Industries"/>
    <x v="0"/>
    <s v="Men 18-24"/>
    <s v="60 days"/>
    <x v="0"/>
    <n v="0.05"/>
    <n v="13976"/>
    <n v="5.28"/>
    <n v="28"/>
    <n v="499.14285714285717"/>
    <s v="Chicago"/>
    <s v="German"/>
    <n v="554"/>
    <n v="8163"/>
    <n v="4"/>
    <s v="Outdoor Adventurers"/>
    <x v="287"/>
  </r>
  <r>
    <s v="Alpha Innovations"/>
    <x v="3"/>
    <s v="Men 25-34"/>
    <s v="30 days"/>
    <x v="0"/>
    <n v="0.02"/>
    <n v="6300"/>
    <n v="4.47"/>
    <n v="14"/>
    <n v="450"/>
    <s v="Houston"/>
    <s v="French"/>
    <n v="704"/>
    <n v="4780"/>
    <n v="4"/>
    <s v="Outdoor Adventurers"/>
    <x v="288"/>
  </r>
  <r>
    <s v="TechCorp"/>
    <x v="3"/>
    <s v="Women 35-44"/>
    <s v="60 days"/>
    <x v="2"/>
    <n v="0.04"/>
    <n v="9263"/>
    <n v="5.88"/>
    <n v="16"/>
    <n v="578.9375"/>
    <s v="Houston"/>
    <s v="Spanish"/>
    <n v="399"/>
    <n v="8595"/>
    <n v="4"/>
    <s v="Health &amp; Wellness"/>
    <x v="289"/>
  </r>
  <r>
    <s v="DataTech Solutions"/>
    <x v="2"/>
    <s v="Men 25-34"/>
    <s v="15 days"/>
    <x v="4"/>
    <n v="0.05"/>
    <n v="6609"/>
    <n v="2.27"/>
    <n v="33"/>
    <n v="200.27272727272728"/>
    <s v="New York"/>
    <s v="German"/>
    <n v="664"/>
    <n v="4193"/>
    <n v="4"/>
    <s v="Foodies"/>
    <x v="290"/>
  </r>
  <r>
    <s v="Innovate Industries"/>
    <x v="3"/>
    <s v="Women 35-44"/>
    <s v="60 days"/>
    <x v="3"/>
    <n v="0.04"/>
    <n v="5037"/>
    <n v="4.3"/>
    <n v="31"/>
    <n v="162.48387096774192"/>
    <s v="Los Angeles"/>
    <s v="English"/>
    <n v="784"/>
    <n v="9745"/>
    <n v="1"/>
    <s v="Tech Enthusiasts"/>
    <x v="291"/>
  </r>
  <r>
    <s v="Innovate Industries"/>
    <x v="0"/>
    <s v="Men 25-34"/>
    <s v="15 days"/>
    <x v="4"/>
    <n v="0.04"/>
    <n v="18537"/>
    <n v="2.25"/>
    <n v="28"/>
    <n v="662.03571428571433"/>
    <s v="Chicago"/>
    <s v="Mandarin"/>
    <n v="697"/>
    <n v="5523"/>
    <n v="6"/>
    <s v="Outdoor Adventurers"/>
    <x v="292"/>
  </r>
  <r>
    <s v="TechCorp"/>
    <x v="4"/>
    <s v="Women 25-34"/>
    <s v="30 days"/>
    <x v="3"/>
    <n v="0.12"/>
    <n v="14238"/>
    <n v="4.53"/>
    <n v="66"/>
    <n v="215.72727272727272"/>
    <s v="New York"/>
    <s v="English"/>
    <n v="552"/>
    <n v="1050"/>
    <n v="6"/>
    <s v="Foodies"/>
    <x v="293"/>
  </r>
  <r>
    <s v="DataTech Solutions"/>
    <x v="2"/>
    <s v="Men 18-24"/>
    <s v="60 days"/>
    <x v="3"/>
    <n v="0.05"/>
    <n v="14949"/>
    <n v="2.09"/>
    <n v="10"/>
    <n v="1494.9"/>
    <s v="Los Angeles"/>
    <s v="German"/>
    <n v="200"/>
    <n v="2467"/>
    <n v="8"/>
    <s v="Tech Enthusiasts"/>
    <x v="294"/>
  </r>
  <r>
    <s v="Innovate Industries"/>
    <x v="1"/>
    <s v="Women 25-34"/>
    <s v="45 days"/>
    <x v="1"/>
    <n v="0.06"/>
    <n v="6243"/>
    <n v="5.09"/>
    <n v="55"/>
    <n v="113.50909090909092"/>
    <s v="Houston"/>
    <s v="German"/>
    <n v="924"/>
    <n v="5798"/>
    <n v="8"/>
    <s v="Health &amp; Wellness"/>
    <x v="295"/>
  </r>
  <r>
    <s v="Alpha Innovations"/>
    <x v="2"/>
    <s v="All Ages"/>
    <s v="30 days"/>
    <x v="2"/>
    <n v="0.05"/>
    <n v="12470"/>
    <n v="7.2"/>
    <n v="12"/>
    <n v="1039.1666666666667"/>
    <s v="Los Angeles"/>
    <s v="Spanish"/>
    <n v="247"/>
    <n v="4962"/>
    <n v="10"/>
    <s v="Outdoor Adventurers"/>
    <x v="296"/>
  </r>
  <r>
    <s v="TechCorp"/>
    <x v="2"/>
    <s v="Men 25-34"/>
    <s v="15 days"/>
    <x v="0"/>
    <n v="0.06"/>
    <n v="14236"/>
    <n v="5.67"/>
    <n v="48"/>
    <n v="296.58333333333331"/>
    <s v="Chicago"/>
    <s v="English"/>
    <n v="801"/>
    <n v="3054"/>
    <n v="4"/>
    <s v="Fashionistas"/>
    <x v="297"/>
  </r>
  <r>
    <s v="DataTech Solutions"/>
    <x v="2"/>
    <s v="Men 25-34"/>
    <s v="60 days"/>
    <x v="5"/>
    <n v="0.02"/>
    <n v="18677"/>
    <n v="3.71"/>
    <n v="7"/>
    <n v="2668.1428571428573"/>
    <s v="Los Angeles"/>
    <s v="Mandarin"/>
    <n v="334"/>
    <n v="1647"/>
    <n v="1"/>
    <s v="Foodies"/>
    <x v="298"/>
  </r>
  <r>
    <s v="Innovate Industries"/>
    <x v="4"/>
    <s v="All Ages"/>
    <s v="60 days"/>
    <x v="5"/>
    <n v="0.06"/>
    <n v="17986"/>
    <n v="7.99"/>
    <n v="12"/>
    <n v="1498.8333333333333"/>
    <s v="Chicago"/>
    <s v="German"/>
    <n v="199"/>
    <n v="8846"/>
    <n v="10"/>
    <s v="Tech Enthusiasts"/>
    <x v="299"/>
  </r>
  <r>
    <s v="Alpha Innovations"/>
    <x v="4"/>
    <s v="Women 25-34"/>
    <s v="15 days"/>
    <x v="0"/>
    <n v="7.0000000000000007E-2"/>
    <n v="11553"/>
    <n v="6.05"/>
    <n v="29"/>
    <n v="398.37931034482756"/>
    <s v="New York"/>
    <s v="Mandarin"/>
    <n v="420"/>
    <n v="3838"/>
    <n v="1"/>
    <s v="Health &amp; Wellness"/>
    <x v="300"/>
  </r>
  <r>
    <s v="Alpha Innovations"/>
    <x v="2"/>
    <s v="Women 25-34"/>
    <s v="60 days"/>
    <x v="3"/>
    <n v="0.02"/>
    <n v="10856"/>
    <n v="6.46"/>
    <n v="8"/>
    <n v="1357"/>
    <s v="Houston"/>
    <s v="French"/>
    <n v="406"/>
    <n v="6117"/>
    <n v="6"/>
    <s v="Fashionistas"/>
    <x v="301"/>
  </r>
  <r>
    <s v="Innovate Industries"/>
    <x v="0"/>
    <s v="Men 18-24"/>
    <s v="30 days"/>
    <x v="0"/>
    <n v="0.12"/>
    <n v="14564"/>
    <n v="6.35"/>
    <n v="93"/>
    <n v="156.6021505376344"/>
    <s v="Houston"/>
    <s v="Mandarin"/>
    <n v="771"/>
    <n v="3901"/>
    <n v="2"/>
    <s v="Foodies"/>
    <x v="302"/>
  </r>
  <r>
    <s v="TechCorp"/>
    <x v="0"/>
    <s v="Men 25-34"/>
    <s v="30 days"/>
    <x v="4"/>
    <n v="0.03"/>
    <n v="7215"/>
    <n v="6.82"/>
    <n v="18"/>
    <n v="400.83333333333331"/>
    <s v="New York"/>
    <s v="Spanish"/>
    <n v="586"/>
    <n v="7959"/>
    <n v="2"/>
    <s v="Health &amp; Wellness"/>
    <x v="303"/>
  </r>
  <r>
    <s v="DataTech Solutions"/>
    <x v="3"/>
    <s v="Women 25-34"/>
    <s v="15 days"/>
    <x v="0"/>
    <n v="0.1"/>
    <n v="14291"/>
    <n v="2.94"/>
    <n v="87"/>
    <n v="164.26436781609195"/>
    <s v="Los Angeles"/>
    <s v="German"/>
    <n v="872"/>
    <n v="6875"/>
    <n v="7"/>
    <s v="Tech Enthusiasts"/>
    <x v="304"/>
  </r>
  <r>
    <s v="DataTech Solutions"/>
    <x v="2"/>
    <s v="Men 18-24"/>
    <s v="15 days"/>
    <x v="1"/>
    <n v="0.09"/>
    <n v="5189"/>
    <n v="4.71"/>
    <n v="76"/>
    <n v="68.276315789473685"/>
    <s v="Miami"/>
    <s v="English"/>
    <n v="845"/>
    <n v="2395"/>
    <n v="9"/>
    <s v="Health &amp; Wellness"/>
    <x v="305"/>
  </r>
  <r>
    <s v="Alpha Innovations"/>
    <x v="2"/>
    <s v="Women 25-34"/>
    <s v="30 days"/>
    <x v="1"/>
    <n v="0.03"/>
    <n v="8249"/>
    <n v="6.02"/>
    <n v="17"/>
    <n v="485.23529411764707"/>
    <s v="New York"/>
    <s v="English"/>
    <n v="566"/>
    <n v="9149"/>
    <n v="10"/>
    <s v="Tech Enthusiasts"/>
    <x v="306"/>
  </r>
  <r>
    <s v="Innovate Industries"/>
    <x v="0"/>
    <s v="Men 18-24"/>
    <s v="45 days"/>
    <x v="4"/>
    <n v="0.14000000000000001"/>
    <n v="14830"/>
    <n v="7.55"/>
    <n v="120"/>
    <n v="123.58333333333333"/>
    <s v="Los Angeles"/>
    <s v="Spanish"/>
    <n v="858"/>
    <n v="8551"/>
    <n v="1"/>
    <s v="Tech Enthusiasts"/>
    <x v="307"/>
  </r>
  <r>
    <s v="Innovate Industries"/>
    <x v="2"/>
    <s v="Women 35-44"/>
    <s v="30 days"/>
    <x v="3"/>
    <n v="0.1"/>
    <n v="5187"/>
    <n v="5.4"/>
    <n v="25"/>
    <n v="207.48"/>
    <s v="Miami"/>
    <s v="Mandarin"/>
    <n v="254"/>
    <n v="2409"/>
    <n v="8"/>
    <s v="Health &amp; Wellness"/>
    <x v="308"/>
  </r>
  <r>
    <s v="NexGen Systems"/>
    <x v="2"/>
    <s v="All Ages"/>
    <s v="30 days"/>
    <x v="3"/>
    <n v="0.12"/>
    <n v="6813"/>
    <n v="5.59"/>
    <n v="96"/>
    <n v="70.96875"/>
    <s v="Houston"/>
    <s v="Spanish"/>
    <n v="803"/>
    <n v="2031"/>
    <n v="3"/>
    <s v="Foodies"/>
    <x v="309"/>
  </r>
  <r>
    <s v="Innovate Industries"/>
    <x v="3"/>
    <s v="All Ages"/>
    <s v="60 days"/>
    <x v="2"/>
    <n v="0.04"/>
    <n v="15776"/>
    <n v="3"/>
    <n v="13"/>
    <n v="1213.5384615384614"/>
    <s v="Houston"/>
    <s v="Spanish"/>
    <n v="325"/>
    <n v="5452"/>
    <n v="3"/>
    <s v="Outdoor Adventurers"/>
    <x v="310"/>
  </r>
  <r>
    <s v="Innovate Industries"/>
    <x v="4"/>
    <s v="Men 18-24"/>
    <s v="15 days"/>
    <x v="2"/>
    <n v="0.06"/>
    <n v="7059"/>
    <n v="2.34"/>
    <n v="42"/>
    <n v="168.07142857142858"/>
    <s v="Los Angeles"/>
    <s v="Mandarin"/>
    <n v="695"/>
    <n v="4167"/>
    <n v="4"/>
    <s v="Tech Enthusiasts"/>
    <x v="311"/>
  </r>
  <r>
    <s v="DataTech Solutions"/>
    <x v="1"/>
    <s v="Women 25-34"/>
    <s v="45 days"/>
    <x v="2"/>
    <n v="0.11"/>
    <n v="5829"/>
    <n v="7.9"/>
    <n v="21"/>
    <n v="277.57142857142856"/>
    <s v="Chicago"/>
    <s v="German"/>
    <n v="195"/>
    <n v="8154"/>
    <n v="9"/>
    <s v="Tech Enthusiasts"/>
    <x v="312"/>
  </r>
  <r>
    <s v="TechCorp"/>
    <x v="2"/>
    <s v="All Ages"/>
    <s v="45 days"/>
    <x v="0"/>
    <n v="0.09"/>
    <n v="8756"/>
    <n v="4.0199999999999996"/>
    <n v="46"/>
    <n v="190.34782608695653"/>
    <s v="Houston"/>
    <s v="French"/>
    <n v="513"/>
    <n v="6124"/>
    <n v="9"/>
    <s v="Health &amp; Wellness"/>
    <x v="313"/>
  </r>
  <r>
    <s v="TechCorp"/>
    <x v="0"/>
    <s v="All Ages"/>
    <s v="60 days"/>
    <x v="3"/>
    <n v="0.14000000000000001"/>
    <n v="13515"/>
    <n v="5.54"/>
    <n v="90"/>
    <n v="150.16666666666666"/>
    <s v="Los Angeles"/>
    <s v="Spanish"/>
    <n v="645"/>
    <n v="1813"/>
    <n v="2"/>
    <s v="Health &amp; Wellness"/>
    <x v="314"/>
  </r>
  <r>
    <s v="NexGen Systems"/>
    <x v="4"/>
    <s v="Women 35-44"/>
    <s v="60 days"/>
    <x v="3"/>
    <n v="0.1"/>
    <n v="11573"/>
    <n v="3.89"/>
    <n v="44"/>
    <n v="263.02272727272725"/>
    <s v="Chicago"/>
    <s v="German"/>
    <n v="439"/>
    <n v="1258"/>
    <n v="1"/>
    <s v="Foodies"/>
    <x v="315"/>
  </r>
  <r>
    <s v="NexGen Systems"/>
    <x v="4"/>
    <s v="Women 25-34"/>
    <s v="45 days"/>
    <x v="2"/>
    <n v="0.02"/>
    <n v="18073"/>
    <n v="4.0999999999999996"/>
    <n v="15"/>
    <n v="1204.8666666666666"/>
    <s v="New York"/>
    <s v="English"/>
    <n v="737"/>
    <n v="7217"/>
    <n v="5"/>
    <s v="Outdoor Adventurers"/>
    <x v="316"/>
  </r>
  <r>
    <s v="Innovate Industries"/>
    <x v="4"/>
    <s v="Men 18-24"/>
    <s v="45 days"/>
    <x v="3"/>
    <n v="0.06"/>
    <n v="10446"/>
    <n v="2.69"/>
    <n v="34"/>
    <n v="307.23529411764707"/>
    <s v="Chicago"/>
    <s v="French"/>
    <n v="568"/>
    <n v="2153"/>
    <n v="8"/>
    <s v="Tech Enthusiasts"/>
    <x v="317"/>
  </r>
  <r>
    <s v="Innovate Industries"/>
    <x v="1"/>
    <s v="Women 25-34"/>
    <s v="45 days"/>
    <x v="5"/>
    <n v="0.15"/>
    <n v="10042"/>
    <n v="4.24"/>
    <n v="69"/>
    <n v="145.53623188405797"/>
    <s v="Los Angeles"/>
    <s v="English"/>
    <n v="458"/>
    <n v="5007"/>
    <n v="7"/>
    <s v="Fashionistas"/>
    <x v="318"/>
  </r>
  <r>
    <s v="Alpha Innovations"/>
    <x v="0"/>
    <s v="Men 25-34"/>
    <s v="45 days"/>
    <x v="1"/>
    <n v="0.05"/>
    <n v="16416"/>
    <n v="7.45"/>
    <n v="12"/>
    <n v="1368"/>
    <s v="New York"/>
    <s v="French"/>
    <n v="233"/>
    <n v="6820"/>
    <n v="1"/>
    <s v="Fashionistas"/>
    <x v="319"/>
  </r>
  <r>
    <s v="TechCorp"/>
    <x v="3"/>
    <s v="Men 18-24"/>
    <s v="45 days"/>
    <x v="5"/>
    <n v="0.13"/>
    <n v="15863"/>
    <n v="2.46"/>
    <n v="85"/>
    <n v="186.62352941176471"/>
    <s v="New York"/>
    <s v="German"/>
    <n v="652"/>
    <n v="3790"/>
    <n v="8"/>
    <s v="Health &amp; Wellness"/>
    <x v="320"/>
  </r>
  <r>
    <s v="DataTech Solutions"/>
    <x v="2"/>
    <s v="Women 25-34"/>
    <s v="30 days"/>
    <x v="5"/>
    <n v="0.02"/>
    <n v="5720"/>
    <n v="3.2"/>
    <n v="11"/>
    <n v="520"/>
    <s v="Chicago"/>
    <s v="English"/>
    <n v="568"/>
    <n v="5613"/>
    <n v="6"/>
    <s v="Foodies"/>
    <x v="321"/>
  </r>
  <r>
    <s v="TechCorp"/>
    <x v="0"/>
    <s v="Men 18-24"/>
    <s v="30 days"/>
    <x v="3"/>
    <n v="0.09"/>
    <n v="18371"/>
    <n v="7.02"/>
    <n v="46"/>
    <n v="399.36956521739131"/>
    <s v="Chicago"/>
    <s v="Spanish"/>
    <n v="515"/>
    <n v="1957"/>
    <n v="1"/>
    <s v="Fashionistas"/>
    <x v="322"/>
  </r>
  <r>
    <s v="NexGen Systems"/>
    <x v="0"/>
    <s v="Men 25-34"/>
    <s v="60 days"/>
    <x v="2"/>
    <n v="0.08"/>
    <n v="9735"/>
    <n v="3.15"/>
    <n v="58"/>
    <n v="167.84482758620689"/>
    <s v="Chicago"/>
    <s v="French"/>
    <n v="730"/>
    <n v="1745"/>
    <n v="5"/>
    <s v="Outdoor Adventurers"/>
    <x v="323"/>
  </r>
  <r>
    <s v="TechCorp"/>
    <x v="2"/>
    <s v="All Ages"/>
    <s v="60 days"/>
    <x v="5"/>
    <n v="0.06"/>
    <n v="14549"/>
    <n v="3.11"/>
    <n v="37"/>
    <n v="393.2162162162162"/>
    <s v="Houston"/>
    <s v="German"/>
    <n v="619"/>
    <n v="4159"/>
    <n v="1"/>
    <s v="Health &amp; Wellness"/>
    <x v="324"/>
  </r>
  <r>
    <s v="Innovate Industries"/>
    <x v="1"/>
    <s v="Women 25-34"/>
    <s v="15 days"/>
    <x v="5"/>
    <n v="0.13"/>
    <n v="15540"/>
    <n v="2.5099999999999998"/>
    <n v="123"/>
    <n v="126.34146341463415"/>
    <s v="Los Angeles"/>
    <s v="Spanish"/>
    <n v="946"/>
    <n v="5454"/>
    <n v="2"/>
    <s v="Foodies"/>
    <x v="325"/>
  </r>
  <r>
    <s v="Alpha Innovations"/>
    <x v="0"/>
    <s v="Men 25-34"/>
    <s v="30 days"/>
    <x v="5"/>
    <n v="0.03"/>
    <n v="6398"/>
    <n v="6.12"/>
    <n v="10"/>
    <n v="639.79999999999995"/>
    <s v="New York"/>
    <s v="German"/>
    <n v="326"/>
    <n v="7358"/>
    <n v="4"/>
    <s v="Fashionistas"/>
    <x v="326"/>
  </r>
  <r>
    <s v="TechCorp"/>
    <x v="1"/>
    <s v="Men 25-34"/>
    <s v="30 days"/>
    <x v="1"/>
    <n v="0.01"/>
    <n v="8212"/>
    <n v="5.22"/>
    <n v="8"/>
    <n v="1026.5"/>
    <s v="Miami"/>
    <s v="German"/>
    <n v="800"/>
    <n v="6207"/>
    <n v="9"/>
    <s v="Health &amp; Wellness"/>
    <x v="327"/>
  </r>
  <r>
    <s v="DataTech Solutions"/>
    <x v="2"/>
    <s v="All Ages"/>
    <s v="30 days"/>
    <x v="4"/>
    <n v="0.08"/>
    <n v="10423"/>
    <n v="5.32"/>
    <n v="21"/>
    <n v="496.33333333333331"/>
    <s v="Los Angeles"/>
    <s v="English"/>
    <n v="259"/>
    <n v="7752"/>
    <n v="7"/>
    <s v="Fashionistas"/>
    <x v="328"/>
  </r>
  <r>
    <s v="Innovate Industries"/>
    <x v="1"/>
    <s v="Women 35-44"/>
    <s v="30 days"/>
    <x v="2"/>
    <n v="0.1"/>
    <n v="6841"/>
    <n v="6.4"/>
    <n v="52"/>
    <n v="131.55769230769232"/>
    <s v="Houston"/>
    <s v="Mandarin"/>
    <n v="517"/>
    <n v="1438"/>
    <n v="9"/>
    <s v="Health &amp; Wellness"/>
    <x v="329"/>
  </r>
  <r>
    <s v="Innovate Industries"/>
    <x v="3"/>
    <s v="Women 35-44"/>
    <s v="30 days"/>
    <x v="5"/>
    <n v="0.12"/>
    <n v="12716"/>
    <n v="5.92"/>
    <n v="16"/>
    <n v="794.75"/>
    <s v="Houston"/>
    <s v="Spanish"/>
    <n v="130"/>
    <n v="3442"/>
    <n v="1"/>
    <s v="Foodies"/>
    <x v="330"/>
  </r>
  <r>
    <s v="NexGen Systems"/>
    <x v="1"/>
    <s v="Men 18-24"/>
    <s v="30 days"/>
    <x v="2"/>
    <n v="0.06"/>
    <n v="7710"/>
    <n v="2.2799999999999998"/>
    <n v="36"/>
    <n v="214.16666666666666"/>
    <s v="Chicago"/>
    <s v="English"/>
    <n v="602"/>
    <n v="2757"/>
    <n v="8"/>
    <s v="Outdoor Adventurers"/>
    <x v="331"/>
  </r>
  <r>
    <s v="Innovate Industries"/>
    <x v="2"/>
    <s v="Women 35-44"/>
    <s v="30 days"/>
    <x v="0"/>
    <n v="0.13"/>
    <n v="18752"/>
    <n v="5.27"/>
    <n v="62"/>
    <n v="302.45161290322579"/>
    <s v="Houston"/>
    <s v="English"/>
    <n v="474"/>
    <n v="8594"/>
    <n v="7"/>
    <s v="Foodies"/>
    <x v="332"/>
  </r>
  <r>
    <s v="NexGen Systems"/>
    <x v="1"/>
    <s v="Women 25-34"/>
    <s v="60 days"/>
    <x v="2"/>
    <n v="0.04"/>
    <n v="11848"/>
    <n v="4.99"/>
    <n v="23"/>
    <n v="515.13043478260875"/>
    <s v="Los Angeles"/>
    <s v="English"/>
    <n v="563"/>
    <n v="5704"/>
    <n v="7"/>
    <s v="Fashionistas"/>
    <x v="333"/>
  </r>
  <r>
    <s v="Innovate Industries"/>
    <x v="3"/>
    <s v="Women 35-44"/>
    <s v="15 days"/>
    <x v="1"/>
    <n v="0.05"/>
    <n v="5040"/>
    <n v="7.66"/>
    <n v="14"/>
    <n v="360"/>
    <s v="New York"/>
    <s v="English"/>
    <n v="285"/>
    <n v="1599"/>
    <n v="2"/>
    <s v="Tech Enthusiasts"/>
    <x v="334"/>
  </r>
  <r>
    <s v="Innovate Industries"/>
    <x v="4"/>
    <s v="All Ages"/>
    <s v="15 days"/>
    <x v="4"/>
    <n v="7.0000000000000007E-2"/>
    <n v="19395"/>
    <n v="4.1399999999999997"/>
    <n v="20"/>
    <n v="969.75"/>
    <s v="Los Angeles"/>
    <s v="English"/>
    <n v="282"/>
    <n v="6235"/>
    <n v="9"/>
    <s v="Foodies"/>
    <x v="335"/>
  </r>
  <r>
    <s v="DataTech Solutions"/>
    <x v="1"/>
    <s v="Men 25-34"/>
    <s v="60 days"/>
    <x v="3"/>
    <n v="0.02"/>
    <n v="6130"/>
    <n v="3.92"/>
    <n v="10"/>
    <n v="613"/>
    <s v="Houston"/>
    <s v="French"/>
    <n v="497"/>
    <n v="2308"/>
    <n v="8"/>
    <s v="Foodies"/>
    <x v="336"/>
  </r>
  <r>
    <s v="Alpha Innovations"/>
    <x v="4"/>
    <s v="Women 35-44"/>
    <s v="15 days"/>
    <x v="5"/>
    <n v="0.02"/>
    <n v="11045"/>
    <n v="7.34"/>
    <n v="12"/>
    <n v="920.41666666666663"/>
    <s v="New York"/>
    <s v="French"/>
    <n v="577"/>
    <n v="3950"/>
    <n v="8"/>
    <s v="Health &amp; Wellness"/>
    <x v="337"/>
  </r>
  <r>
    <s v="TechCorp"/>
    <x v="2"/>
    <s v="Men 18-24"/>
    <s v="30 days"/>
    <x v="3"/>
    <n v="0.08"/>
    <n v="8527"/>
    <n v="4.3899999999999997"/>
    <n v="72"/>
    <n v="118.43055555555556"/>
    <s v="Chicago"/>
    <s v="German"/>
    <n v="902"/>
    <n v="2391"/>
    <n v="2"/>
    <s v="Foodies"/>
    <x v="338"/>
  </r>
  <r>
    <s v="DataTech Solutions"/>
    <x v="2"/>
    <s v="Women 25-34"/>
    <s v="30 days"/>
    <x v="3"/>
    <n v="0.13"/>
    <n v="9037"/>
    <n v="2.59"/>
    <n v="58"/>
    <n v="155.81034482758622"/>
    <s v="Miami"/>
    <s v="Spanish"/>
    <n v="443"/>
    <n v="5607"/>
    <n v="7"/>
    <s v="Tech Enthusiasts"/>
    <x v="339"/>
  </r>
  <r>
    <s v="Innovate Industries"/>
    <x v="1"/>
    <s v="Women 25-34"/>
    <s v="30 days"/>
    <x v="4"/>
    <n v="0.01"/>
    <n v="9524"/>
    <n v="4.16"/>
    <n v="2"/>
    <n v="4762"/>
    <s v="Chicago"/>
    <s v="German"/>
    <n v="199"/>
    <n v="7575"/>
    <n v="4"/>
    <s v="Outdoor Adventurers"/>
    <x v="340"/>
  </r>
  <r>
    <s v="DataTech Solutions"/>
    <x v="3"/>
    <s v="Men 25-34"/>
    <s v="15 days"/>
    <x v="2"/>
    <n v="7.0000000000000007E-2"/>
    <n v="5467"/>
    <n v="4.25"/>
    <n v="37"/>
    <n v="147.75675675675674"/>
    <s v="Miami"/>
    <s v="German"/>
    <n v="531"/>
    <n v="3279"/>
    <n v="5"/>
    <s v="Foodies"/>
    <x v="341"/>
  </r>
  <r>
    <s v="DataTech Solutions"/>
    <x v="4"/>
    <s v="Women 35-44"/>
    <s v="30 days"/>
    <x v="5"/>
    <n v="0.02"/>
    <n v="10894"/>
    <n v="2.15"/>
    <n v="16"/>
    <n v="680.875"/>
    <s v="Chicago"/>
    <s v="English"/>
    <n v="788"/>
    <n v="2068"/>
    <n v="6"/>
    <s v="Health &amp; Wellness"/>
    <x v="342"/>
  </r>
  <r>
    <s v="Innovate Industries"/>
    <x v="2"/>
    <s v="All Ages"/>
    <s v="60 days"/>
    <x v="5"/>
    <n v="0.02"/>
    <n v="8583"/>
    <n v="5.82"/>
    <n v="10"/>
    <n v="858.3"/>
    <s v="Los Angeles"/>
    <s v="German"/>
    <n v="480"/>
    <n v="2818"/>
    <n v="9"/>
    <s v="Foodies"/>
    <x v="343"/>
  </r>
  <r>
    <s v="Alpha Innovations"/>
    <x v="0"/>
    <s v="All Ages"/>
    <s v="60 days"/>
    <x v="3"/>
    <n v="0.03"/>
    <n v="16700"/>
    <n v="5.59"/>
    <n v="25"/>
    <n v="668"/>
    <s v="Houston"/>
    <s v="German"/>
    <n v="819"/>
    <n v="8035"/>
    <n v="1"/>
    <s v="Outdoor Adventurers"/>
    <x v="344"/>
  </r>
  <r>
    <s v="TechCorp"/>
    <x v="0"/>
    <s v="Women 35-44"/>
    <s v="30 days"/>
    <x v="0"/>
    <n v="0.13"/>
    <n v="16452"/>
    <n v="6.59"/>
    <n v="97"/>
    <n v="169.60824742268042"/>
    <s v="Miami"/>
    <s v="French"/>
    <n v="747"/>
    <n v="1720"/>
    <n v="3"/>
    <s v="Outdoor Adventurers"/>
    <x v="345"/>
  </r>
  <r>
    <s v="Innovate Industries"/>
    <x v="0"/>
    <s v="All Ages"/>
    <s v="30 days"/>
    <x v="1"/>
    <n v="0.1"/>
    <n v="15069"/>
    <n v="7.77"/>
    <n v="47"/>
    <n v="320.61702127659572"/>
    <s v="Los Angeles"/>
    <s v="French"/>
    <n v="471"/>
    <n v="9996"/>
    <n v="6"/>
    <s v="Tech Enthusiasts"/>
    <x v="346"/>
  </r>
  <r>
    <s v="DataTech Solutions"/>
    <x v="2"/>
    <s v="Men 18-24"/>
    <s v="30 days"/>
    <x v="3"/>
    <n v="0.03"/>
    <n v="13272"/>
    <n v="7.41"/>
    <n v="11"/>
    <n v="1206.5454545454545"/>
    <s v="Miami"/>
    <s v="French"/>
    <n v="363"/>
    <n v="4534"/>
    <n v="3"/>
    <s v="Foodies"/>
    <x v="347"/>
  </r>
  <r>
    <s v="TechCorp"/>
    <x v="0"/>
    <s v="Men 18-24"/>
    <s v="15 days"/>
    <x v="4"/>
    <n v="7.0000000000000007E-2"/>
    <n v="19675"/>
    <n v="4.13"/>
    <n v="27"/>
    <n v="728.7037037037037"/>
    <s v="Miami"/>
    <s v="English"/>
    <n v="388"/>
    <n v="6982"/>
    <n v="2"/>
    <s v="Outdoor Adventurers"/>
    <x v="348"/>
  </r>
  <r>
    <s v="TechCorp"/>
    <x v="0"/>
    <s v="Men 18-24"/>
    <s v="60 days"/>
    <x v="3"/>
    <n v="0.04"/>
    <n v="10541"/>
    <n v="5.55"/>
    <n v="20"/>
    <n v="527.04999999999995"/>
    <s v="Chicago"/>
    <s v="English"/>
    <n v="512"/>
    <n v="7904"/>
    <n v="1"/>
    <s v="Foodies"/>
    <x v="349"/>
  </r>
  <r>
    <s v="Alpha Innovations"/>
    <x v="4"/>
    <s v="Women 35-44"/>
    <s v="45 days"/>
    <x v="5"/>
    <n v="0.13"/>
    <n v="10946"/>
    <n v="4.63"/>
    <n v="122"/>
    <n v="89.721311475409834"/>
    <s v="Miami"/>
    <s v="Spanish"/>
    <n v="942"/>
    <n v="1368"/>
    <n v="6"/>
    <s v="Fashionistas"/>
    <x v="350"/>
  </r>
  <r>
    <s v="NexGen Systems"/>
    <x v="1"/>
    <s v="Men 25-34"/>
    <s v="15 days"/>
    <x v="2"/>
    <n v="0.08"/>
    <n v="8298"/>
    <n v="7.59"/>
    <n v="16"/>
    <n v="518.625"/>
    <s v="Los Angeles"/>
    <s v="English"/>
    <n v="206"/>
    <n v="6491"/>
    <n v="6"/>
    <s v="Tech Enthusiasts"/>
    <x v="351"/>
  </r>
  <r>
    <s v="DataTech Solutions"/>
    <x v="4"/>
    <s v="Women 25-34"/>
    <s v="15 days"/>
    <x v="1"/>
    <n v="0.13"/>
    <n v="15499"/>
    <n v="2.4"/>
    <n v="129"/>
    <n v="120.14728682170542"/>
    <s v="Los Angeles"/>
    <s v="English"/>
    <n v="995"/>
    <n v="9222"/>
    <n v="10"/>
    <s v="Health &amp; Wellness"/>
    <x v="352"/>
  </r>
  <r>
    <s v="Innovate Industries"/>
    <x v="3"/>
    <s v="Men 18-24"/>
    <s v="30 days"/>
    <x v="1"/>
    <n v="0.03"/>
    <n v="16232"/>
    <n v="3.75"/>
    <n v="14"/>
    <n v="1159.4285714285713"/>
    <s v="New York"/>
    <s v="German"/>
    <n v="453"/>
    <n v="8552"/>
    <n v="5"/>
    <s v="Outdoor Adventurers"/>
    <x v="353"/>
  </r>
  <r>
    <s v="TechCorp"/>
    <x v="1"/>
    <s v="Women 35-44"/>
    <s v="15 days"/>
    <x v="3"/>
    <n v="0.04"/>
    <n v="7495"/>
    <n v="5.4"/>
    <n v="39"/>
    <n v="192.17948717948718"/>
    <s v="New York"/>
    <s v="French"/>
    <n v="978"/>
    <n v="8369"/>
    <n v="4"/>
    <s v="Tech Enthusiasts"/>
    <x v="354"/>
  </r>
  <r>
    <s v="NexGen Systems"/>
    <x v="0"/>
    <s v="Women 25-34"/>
    <s v="45 days"/>
    <x v="4"/>
    <n v="0.06"/>
    <n v="11373"/>
    <n v="6.38"/>
    <n v="59"/>
    <n v="192.76271186440678"/>
    <s v="Houston"/>
    <s v="French"/>
    <n v="988"/>
    <n v="9052"/>
    <n v="10"/>
    <s v="Foodies"/>
    <x v="355"/>
  </r>
  <r>
    <s v="Innovate Industries"/>
    <x v="4"/>
    <s v="All Ages"/>
    <s v="15 days"/>
    <x v="1"/>
    <n v="0.11"/>
    <n v="13928"/>
    <n v="3.44"/>
    <n v="17"/>
    <n v="819.29411764705878"/>
    <s v="New York"/>
    <s v="French"/>
    <n v="150"/>
    <n v="5057"/>
    <n v="9"/>
    <s v="Foodies"/>
    <x v="356"/>
  </r>
  <r>
    <s v="DataTech Solutions"/>
    <x v="0"/>
    <s v="Men 25-34"/>
    <s v="15 days"/>
    <x v="0"/>
    <n v="0.12"/>
    <n v="13130"/>
    <n v="3.46"/>
    <n v="57"/>
    <n v="230.35087719298247"/>
    <s v="Chicago"/>
    <s v="German"/>
    <n v="474"/>
    <n v="5089"/>
    <n v="9"/>
    <s v="Health &amp; Wellness"/>
    <x v="357"/>
  </r>
  <r>
    <s v="NexGen Systems"/>
    <x v="0"/>
    <s v="All Ages"/>
    <s v="60 days"/>
    <x v="2"/>
    <n v="0.08"/>
    <n v="17853"/>
    <n v="4.05"/>
    <n v="51"/>
    <n v="350.05882352941177"/>
    <s v="Los Angeles"/>
    <s v="Spanish"/>
    <n v="639"/>
    <n v="6050"/>
    <n v="3"/>
    <s v="Tech Enthusiasts"/>
    <x v="358"/>
  </r>
  <r>
    <s v="DataTech Solutions"/>
    <x v="4"/>
    <s v="Men 25-34"/>
    <s v="15 days"/>
    <x v="0"/>
    <n v="0.1"/>
    <n v="15918"/>
    <n v="4.28"/>
    <n v="70"/>
    <n v="227.4"/>
    <s v="Miami"/>
    <s v="Spanish"/>
    <n v="699"/>
    <n v="8981"/>
    <n v="4"/>
    <s v="Foodies"/>
    <x v="359"/>
  </r>
  <r>
    <s v="DataTech Solutions"/>
    <x v="3"/>
    <s v="Women 25-34"/>
    <s v="45 days"/>
    <x v="2"/>
    <n v="0.13"/>
    <n v="10476"/>
    <n v="3"/>
    <n v="84"/>
    <n v="124.71428571428571"/>
    <s v="Miami"/>
    <s v="English"/>
    <n v="647"/>
    <n v="5774"/>
    <n v="8"/>
    <s v="Outdoor Adventurers"/>
    <x v="360"/>
  </r>
  <r>
    <s v="TechCorp"/>
    <x v="1"/>
    <s v="Men 25-34"/>
    <s v="60 days"/>
    <x v="4"/>
    <n v="0.03"/>
    <n v="14552"/>
    <n v="4.45"/>
    <n v="5"/>
    <n v="2910.4"/>
    <s v="Los Angeles"/>
    <s v="English"/>
    <n v="171"/>
    <n v="4499"/>
    <n v="2"/>
    <s v="Fashionistas"/>
    <x v="361"/>
  </r>
  <r>
    <s v="Innovate Industries"/>
    <x v="4"/>
    <s v="Women 25-34"/>
    <s v="15 days"/>
    <x v="4"/>
    <n v="0.03"/>
    <n v="5487"/>
    <n v="7.73"/>
    <n v="9"/>
    <n v="609.66666666666663"/>
    <s v="New York"/>
    <s v="Spanish"/>
    <n v="290"/>
    <n v="6655"/>
    <n v="5"/>
    <s v="Foodies"/>
    <x v="362"/>
  </r>
  <r>
    <s v="NexGen Systems"/>
    <x v="4"/>
    <s v="All Ages"/>
    <s v="30 days"/>
    <x v="0"/>
    <n v="0.08"/>
    <n v="19702"/>
    <n v="7.57"/>
    <n v="57"/>
    <n v="345.64912280701753"/>
    <s v="Chicago"/>
    <s v="French"/>
    <n v="710"/>
    <n v="3708"/>
    <n v="2"/>
    <s v="Foodies"/>
    <x v="363"/>
  </r>
  <r>
    <s v="DataTech Solutions"/>
    <x v="4"/>
    <s v="Women 25-34"/>
    <s v="60 days"/>
    <x v="5"/>
    <n v="0.12"/>
    <n v="12050"/>
    <n v="3.59"/>
    <n v="81"/>
    <n v="148.76543209876544"/>
    <s v="Houston"/>
    <s v="English"/>
    <n v="679"/>
    <n v="3627"/>
    <n v="3"/>
    <s v="Tech Enthusiasts"/>
    <x v="364"/>
  </r>
  <r>
    <s v="Alpha Innovations"/>
    <x v="4"/>
    <s v="All Ages"/>
    <s v="60 days"/>
    <x v="4"/>
    <n v="7.0000000000000007E-2"/>
    <n v="15748"/>
    <n v="7.14"/>
    <n v="23"/>
    <n v="684.695652173913"/>
    <s v="New York"/>
    <s v="Mandarin"/>
    <n v="326"/>
    <n v="6464"/>
    <n v="10"/>
    <s v="Health &amp; Wellness"/>
    <x v="0"/>
  </r>
  <r>
    <s v="Alpha Innovations"/>
    <x v="0"/>
    <s v="Men 25-34"/>
    <s v="45 days"/>
    <x v="0"/>
    <n v="0.05"/>
    <n v="18419"/>
    <n v="5.13"/>
    <n v="12"/>
    <n v="1534.9166666666667"/>
    <s v="Houston"/>
    <s v="Mandarin"/>
    <n v="238"/>
    <n v="3615"/>
    <n v="5"/>
    <s v="Foodies"/>
    <x v="1"/>
  </r>
  <r>
    <s v="DataTech Solutions"/>
    <x v="1"/>
    <s v="Men 18-24"/>
    <s v="15 days"/>
    <x v="4"/>
    <n v="0.15"/>
    <n v="9913"/>
    <n v="3.57"/>
    <n v="46"/>
    <n v="215.5"/>
    <s v="New York"/>
    <s v="Mandarin"/>
    <n v="309"/>
    <n v="8560"/>
    <n v="3"/>
    <s v="Foodies"/>
    <x v="2"/>
  </r>
  <r>
    <s v="Innovate Industries"/>
    <x v="1"/>
    <s v="Men 18-24"/>
    <s v="45 days"/>
    <x v="2"/>
    <n v="0.09"/>
    <n v="9187"/>
    <n v="3.75"/>
    <n v="87"/>
    <n v="105.59770114942529"/>
    <s v="Houston"/>
    <s v="Spanish"/>
    <n v="969"/>
    <n v="4620"/>
    <n v="1"/>
    <s v="Tech Enthusiasts"/>
    <x v="3"/>
  </r>
  <r>
    <s v="TechCorp"/>
    <x v="4"/>
    <s v="Women 35-44"/>
    <s v="45 days"/>
    <x v="5"/>
    <n v="0.12"/>
    <n v="12157"/>
    <n v="7.61"/>
    <n v="108"/>
    <n v="112.56481481481481"/>
    <s v="New York"/>
    <s v="German"/>
    <n v="901"/>
    <n v="7766"/>
    <n v="9"/>
    <s v="Fashionistas"/>
    <x v="4"/>
  </r>
  <r>
    <s v="Alpha Innovations"/>
    <x v="2"/>
    <s v="All Ages"/>
    <s v="30 days"/>
    <x v="3"/>
    <n v="0.08"/>
    <n v="7789"/>
    <n v="3.37"/>
    <n v="51"/>
    <n v="152.72549019607843"/>
    <s v="Houston"/>
    <s v="English"/>
    <n v="636"/>
    <n v="1287"/>
    <n v="6"/>
    <s v="Tech Enthusiasts"/>
    <x v="5"/>
  </r>
  <r>
    <s v="TechCorp"/>
    <x v="0"/>
    <s v="Men 25-34"/>
    <s v="30 days"/>
    <x v="5"/>
    <n v="0.09"/>
    <n v="14392"/>
    <n v="6.94"/>
    <n v="76"/>
    <n v="189.36842105263159"/>
    <s v="Chicago"/>
    <s v="German"/>
    <n v="849"/>
    <n v="3258"/>
    <n v="5"/>
    <s v="Tech Enthusiasts"/>
    <x v="6"/>
  </r>
  <r>
    <s v="Alpha Innovations"/>
    <x v="3"/>
    <s v="Men 18-24"/>
    <s v="30 days"/>
    <x v="0"/>
    <n v="0.14000000000000001"/>
    <n v="14255"/>
    <n v="3.96"/>
    <n v="45"/>
    <n v="316.77777777777777"/>
    <s v="Houston"/>
    <s v="French"/>
    <n v="318"/>
    <n v="7567"/>
    <n v="8"/>
    <s v="Tech Enthusiasts"/>
    <x v="7"/>
  </r>
  <r>
    <s v="Alpha Innovations"/>
    <x v="3"/>
    <s v="Women 25-34"/>
    <s v="30 days"/>
    <x v="5"/>
    <n v="0.05"/>
    <n v="18926"/>
    <n v="5.66"/>
    <n v="42"/>
    <n v="450.61904761904759"/>
    <s v="New York"/>
    <s v="French"/>
    <n v="846"/>
    <n v="4907"/>
    <n v="1"/>
    <s v="Fashionistas"/>
    <x v="8"/>
  </r>
  <r>
    <s v="TechCorp"/>
    <x v="1"/>
    <s v="Women 35-44"/>
    <s v="30 days"/>
    <x v="3"/>
    <n v="0.11"/>
    <n v="17286"/>
    <n v="2.1800000000000002"/>
    <n v="105"/>
    <n v="164.62857142857143"/>
    <s v="Chicago"/>
    <s v="Mandarin"/>
    <n v="957"/>
    <n v="6429"/>
    <n v="5"/>
    <s v="Health &amp; Wellness"/>
    <x v="9"/>
  </r>
  <r>
    <s v="NexGen Systems"/>
    <x v="4"/>
    <s v="Women 25-34"/>
    <s v="30 days"/>
    <x v="4"/>
    <n v="0.09"/>
    <n v="9309"/>
    <n v="4.2699999999999996"/>
    <n v="26"/>
    <n v="358.03846153846155"/>
    <s v="Miami"/>
    <s v="Mandarin"/>
    <n v="289"/>
    <n v="9828"/>
    <n v="1"/>
    <s v="Tech Enthusiasts"/>
    <x v="10"/>
  </r>
  <r>
    <s v="NexGen Systems"/>
    <x v="4"/>
    <s v="Men 18-24"/>
    <s v="45 days"/>
    <x v="4"/>
    <n v="0.11"/>
    <n v="5188"/>
    <n v="4.75"/>
    <n v="52"/>
    <n v="99.769230769230774"/>
    <s v="Chicago"/>
    <s v="German"/>
    <n v="471"/>
    <n v="4732"/>
    <n v="1"/>
    <s v="Tech Enthusiasts"/>
    <x v="11"/>
  </r>
  <r>
    <s v="NexGen Systems"/>
    <x v="4"/>
    <s v="Women 25-34"/>
    <s v="60 days"/>
    <x v="0"/>
    <n v="0.02"/>
    <n v="12282"/>
    <n v="4.6500000000000004"/>
    <n v="16"/>
    <n v="767.625"/>
    <s v="Houston"/>
    <s v="French"/>
    <n v="791"/>
    <n v="9225"/>
    <n v="5"/>
    <s v="Outdoor Adventurers"/>
    <x v="12"/>
  </r>
  <r>
    <s v="NexGen Systems"/>
    <x v="0"/>
    <s v="Women 35-44"/>
    <s v="45 days"/>
    <x v="0"/>
    <n v="0.03"/>
    <n v="18162"/>
    <n v="6.87"/>
    <n v="27"/>
    <n v="672.66666666666663"/>
    <s v="Miami"/>
    <s v="Mandarin"/>
    <n v="887"/>
    <n v="7542"/>
    <n v="3"/>
    <s v="Tech Enthusiasts"/>
    <x v="13"/>
  </r>
  <r>
    <s v="Alpha Innovations"/>
    <x v="2"/>
    <s v="All Ages"/>
    <s v="60 days"/>
    <x v="1"/>
    <n v="0.04"/>
    <n v="13380"/>
    <n v="5.75"/>
    <n v="6"/>
    <n v="2230"/>
    <s v="New York"/>
    <s v="German"/>
    <n v="146"/>
    <n v="8829"/>
    <n v="3"/>
    <s v="Outdoor Adventurers"/>
    <x v="14"/>
  </r>
  <r>
    <s v="Innovate Industries"/>
    <x v="1"/>
    <s v="Men 25-34"/>
    <s v="45 days"/>
    <x v="2"/>
    <n v="0.05"/>
    <n v="7519"/>
    <n v="3.42"/>
    <n v="37"/>
    <n v="203.21621621621622"/>
    <s v="Chicago"/>
    <s v="German"/>
    <n v="735"/>
    <n v="7427"/>
    <n v="9"/>
    <s v="Fashionistas"/>
    <x v="15"/>
  </r>
  <r>
    <s v="Innovate Industries"/>
    <x v="0"/>
    <s v="Men 25-34"/>
    <s v="15 days"/>
    <x v="0"/>
    <n v="0.1"/>
    <n v="8434"/>
    <n v="3.53"/>
    <n v="20"/>
    <n v="421.7"/>
    <s v="Los Angeles"/>
    <s v="English"/>
    <n v="202"/>
    <n v="9587"/>
    <n v="6"/>
    <s v="Health &amp; Wellness"/>
    <x v="16"/>
  </r>
  <r>
    <s v="TechCorp"/>
    <x v="0"/>
    <s v="Women 25-34"/>
    <s v="15 days"/>
    <x v="2"/>
    <n v="0.04"/>
    <n v="8451"/>
    <n v="3.44"/>
    <n v="33"/>
    <n v="256.09090909090907"/>
    <s v="Los Angeles"/>
    <s v="Spanish"/>
    <n v="829"/>
    <n v="6830"/>
    <n v="8"/>
    <s v="Foodies"/>
    <x v="17"/>
  </r>
  <r>
    <s v="TechCorp"/>
    <x v="4"/>
    <s v="Women 25-34"/>
    <s v="45 days"/>
    <x v="1"/>
    <n v="0.04"/>
    <n v="17141"/>
    <n v="6.74"/>
    <n v="5"/>
    <n v="3428.2"/>
    <s v="New York"/>
    <s v="French"/>
    <n v="134"/>
    <n v="6143"/>
    <n v="10"/>
    <s v="Tech Enthusiasts"/>
    <x v="18"/>
  </r>
  <r>
    <s v="TechCorp"/>
    <x v="1"/>
    <s v="Men 25-34"/>
    <s v="60 days"/>
    <x v="4"/>
    <n v="0.03"/>
    <n v="5287"/>
    <n v="7.55"/>
    <n v="10"/>
    <n v="528.70000000000005"/>
    <s v="New York"/>
    <s v="Mandarin"/>
    <n v="335"/>
    <n v="1711"/>
    <n v="6"/>
    <s v="Fashionistas"/>
    <x v="19"/>
  </r>
  <r>
    <s v="Alpha Innovations"/>
    <x v="0"/>
    <s v="Women 25-34"/>
    <s v="60 days"/>
    <x v="4"/>
    <n v="0.15"/>
    <n v="10994"/>
    <n v="2.27"/>
    <n v="77"/>
    <n v="142.77922077922079"/>
    <s v="Los Angeles"/>
    <s v="Mandarin"/>
    <n v="512"/>
    <n v="2323"/>
    <n v="4"/>
    <s v="Foodies"/>
    <x v="20"/>
  </r>
  <r>
    <s v="Alpha Innovations"/>
    <x v="3"/>
    <s v="All Ages"/>
    <s v="60 days"/>
    <x v="2"/>
    <n v="0.08"/>
    <n v="5599"/>
    <n v="2.81"/>
    <n v="72"/>
    <n v="77.763888888888886"/>
    <s v="Houston"/>
    <s v="English"/>
    <n v="896"/>
    <n v="7009"/>
    <n v="10"/>
    <s v="Health &amp; Wellness"/>
    <x v="21"/>
  </r>
  <r>
    <s v="Innovate Industries"/>
    <x v="3"/>
    <s v="All Ages"/>
    <s v="60 days"/>
    <x v="2"/>
    <n v="0.14000000000000001"/>
    <n v="16625"/>
    <n v="7.76"/>
    <n v="17"/>
    <n v="977.94117647058829"/>
    <s v="Los Angeles"/>
    <s v="Mandarin"/>
    <n v="123"/>
    <n v="3249"/>
    <n v="7"/>
    <s v="Health &amp; Wellness"/>
    <x v="22"/>
  </r>
  <r>
    <s v="Alpha Innovations"/>
    <x v="0"/>
    <s v="Women 25-34"/>
    <s v="45 days"/>
    <x v="2"/>
    <n v="0.02"/>
    <n v="12324"/>
    <n v="6.17"/>
    <n v="15"/>
    <n v="821.6"/>
    <s v="New York"/>
    <s v="French"/>
    <n v="727"/>
    <n v="9864"/>
    <n v="5"/>
    <s v="Health &amp; Wellness"/>
    <x v="23"/>
  </r>
  <r>
    <s v="Alpha Innovations"/>
    <x v="2"/>
    <s v="Men 25-34"/>
    <s v="45 days"/>
    <x v="5"/>
    <n v="0.04"/>
    <n v="5151"/>
    <n v="3.98"/>
    <n v="12"/>
    <n v="429.25"/>
    <s v="Chicago"/>
    <s v="Spanish"/>
    <n v="294"/>
    <n v="1846"/>
    <n v="8"/>
    <s v="Outdoor Adventurers"/>
    <x v="24"/>
  </r>
  <r>
    <s v="DataTech Solutions"/>
    <x v="4"/>
    <s v="Men 25-34"/>
    <s v="30 days"/>
    <x v="2"/>
    <n v="0.02"/>
    <n v="6405"/>
    <n v="2.97"/>
    <n v="9"/>
    <n v="711.66666666666663"/>
    <s v="Miami"/>
    <s v="German"/>
    <n v="435"/>
    <n v="3371"/>
    <n v="2"/>
    <s v="Foodies"/>
    <x v="25"/>
  </r>
  <r>
    <s v="Alpha Innovations"/>
    <x v="0"/>
    <s v="All Ages"/>
    <s v="60 days"/>
    <x v="4"/>
    <n v="0.09"/>
    <n v="7704"/>
    <n v="6.26"/>
    <n v="65"/>
    <n v="118.52307692307693"/>
    <s v="Houston"/>
    <s v="French"/>
    <n v="718"/>
    <n v="2485"/>
    <n v="5"/>
    <s v="Fashionistas"/>
    <x v="26"/>
  </r>
  <r>
    <s v="Innovate Industries"/>
    <x v="2"/>
    <s v="Women 25-34"/>
    <s v="15 days"/>
    <x v="4"/>
    <n v="7.0000000000000007E-2"/>
    <n v="16130"/>
    <n v="5.83"/>
    <n v="51"/>
    <n v="316.27450980392155"/>
    <s v="Miami"/>
    <s v="English"/>
    <n v="733"/>
    <n v="4550"/>
    <n v="10"/>
    <s v="Fashionistas"/>
    <x v="27"/>
  </r>
  <r>
    <s v="DataTech Solutions"/>
    <x v="1"/>
    <s v="Women 25-34"/>
    <s v="15 days"/>
    <x v="4"/>
    <n v="0.03"/>
    <n v="6204"/>
    <n v="4.0599999999999996"/>
    <n v="14"/>
    <n v="443.14285714285717"/>
    <s v="Chicago"/>
    <s v="Spanish"/>
    <n v="454"/>
    <n v="7764"/>
    <n v="9"/>
    <s v="Health &amp; Wellness"/>
    <x v="28"/>
  </r>
  <r>
    <s v="Innovate Industries"/>
    <x v="2"/>
    <s v="Women 35-44"/>
    <s v="45 days"/>
    <x v="1"/>
    <n v="0.12"/>
    <n v="13813"/>
    <n v="4.46"/>
    <n v="97"/>
    <n v="142.4020618556701"/>
    <s v="Miami"/>
    <s v="French"/>
    <n v="806"/>
    <n v="3041"/>
    <n v="9"/>
    <s v="Outdoor Adventurers"/>
    <x v="29"/>
  </r>
  <r>
    <s v="TechCorp"/>
    <x v="3"/>
    <s v="Men 18-24"/>
    <s v="15 days"/>
    <x v="1"/>
    <n v="0.15"/>
    <n v="13689"/>
    <n v="2.6"/>
    <n v="35"/>
    <n v="391.1142857142857"/>
    <s v="Chicago"/>
    <s v="French"/>
    <n v="232"/>
    <n v="8249"/>
    <n v="5"/>
    <s v="Tech Enthusiasts"/>
    <x v="30"/>
  </r>
  <r>
    <s v="Innovate Industries"/>
    <x v="4"/>
    <s v="Women 35-44"/>
    <s v="30 days"/>
    <x v="4"/>
    <n v="0.13"/>
    <n v="17174"/>
    <n v="7.14"/>
    <n v="16"/>
    <n v="1073.375"/>
    <s v="Los Angeles"/>
    <s v="Spanish"/>
    <n v="125"/>
    <n v="9618"/>
    <n v="5"/>
    <s v="Tech Enthusiasts"/>
    <x v="31"/>
  </r>
  <r>
    <s v="DataTech Solutions"/>
    <x v="1"/>
    <s v="Women 25-34"/>
    <s v="30 days"/>
    <x v="5"/>
    <n v="0.12"/>
    <n v="17974"/>
    <n v="3.16"/>
    <n v="80"/>
    <n v="224.67500000000001"/>
    <s v="Chicago"/>
    <s v="English"/>
    <n v="664"/>
    <n v="1255"/>
    <n v="8"/>
    <s v="Fashionistas"/>
    <x v="32"/>
  </r>
  <r>
    <s v="TechCorp"/>
    <x v="0"/>
    <s v="Women 35-44"/>
    <s v="15 days"/>
    <x v="0"/>
    <n v="0.1"/>
    <n v="16047"/>
    <n v="6.47"/>
    <n v="26"/>
    <n v="617.19230769230774"/>
    <s v="Houston"/>
    <s v="English"/>
    <n v="259"/>
    <n v="1993"/>
    <n v="2"/>
    <s v="Outdoor Adventurers"/>
    <x v="33"/>
  </r>
  <r>
    <s v="DataTech Solutions"/>
    <x v="4"/>
    <s v="All Ages"/>
    <s v="30 days"/>
    <x v="3"/>
    <n v="7.0000000000000007E-2"/>
    <n v="13468"/>
    <n v="6.05"/>
    <n v="61"/>
    <n v="220.78688524590163"/>
    <s v="Los Angeles"/>
    <s v="Spanish"/>
    <n v="868"/>
    <n v="3888"/>
    <n v="4"/>
    <s v="Foodies"/>
    <x v="34"/>
  </r>
  <r>
    <s v="TechCorp"/>
    <x v="2"/>
    <s v="All Ages"/>
    <s v="15 days"/>
    <x v="2"/>
    <n v="0.08"/>
    <n v="8712"/>
    <n v="5.55"/>
    <n v="66"/>
    <n v="132"/>
    <s v="Houston"/>
    <s v="Spanish"/>
    <n v="824"/>
    <n v="6420"/>
    <n v="7"/>
    <s v="Health &amp; Wellness"/>
    <x v="35"/>
  </r>
  <r>
    <s v="Alpha Innovations"/>
    <x v="0"/>
    <s v="All Ages"/>
    <s v="45 days"/>
    <x v="3"/>
    <n v="0.03"/>
    <n v="17165"/>
    <n v="2.92"/>
    <n v="26"/>
    <n v="660.19230769230774"/>
    <s v="Miami"/>
    <s v="Mandarin"/>
    <n v="881"/>
    <n v="9282"/>
    <n v="6"/>
    <s v="Health &amp; Wellness"/>
    <x v="36"/>
  </r>
  <r>
    <s v="Innovate Industries"/>
    <x v="3"/>
    <s v="All Ages"/>
    <s v="60 days"/>
    <x v="3"/>
    <n v="0.05"/>
    <n v="5918"/>
    <n v="2.15"/>
    <n v="19"/>
    <n v="311.4736842105263"/>
    <s v="Los Angeles"/>
    <s v="French"/>
    <n v="378"/>
    <n v="9949"/>
    <n v="4"/>
    <s v="Health &amp; Wellness"/>
    <x v="37"/>
  </r>
  <r>
    <s v="TechCorp"/>
    <x v="4"/>
    <s v="All Ages"/>
    <s v="30 days"/>
    <x v="1"/>
    <n v="0.12"/>
    <n v="13641"/>
    <n v="7.69"/>
    <n v="100"/>
    <n v="136.41"/>
    <s v="New York"/>
    <s v="English"/>
    <n v="834"/>
    <n v="6836"/>
    <n v="7"/>
    <s v="Outdoor Adventurers"/>
    <x v="38"/>
  </r>
  <r>
    <s v="DataTech Solutions"/>
    <x v="2"/>
    <s v="Men 18-24"/>
    <s v="60 days"/>
    <x v="2"/>
    <n v="0.12"/>
    <n v="7388"/>
    <n v="4.87"/>
    <n v="85"/>
    <n v="86.917647058823533"/>
    <s v="Miami"/>
    <s v="German"/>
    <n v="709"/>
    <n v="5657"/>
    <n v="3"/>
    <s v="Tech Enthusiasts"/>
    <x v="39"/>
  </r>
  <r>
    <s v="DataTech Solutions"/>
    <x v="2"/>
    <s v="Women 25-34"/>
    <s v="45 days"/>
    <x v="1"/>
    <n v="0.02"/>
    <n v="6641"/>
    <n v="3.14"/>
    <n v="14"/>
    <n v="474.35714285714283"/>
    <s v="Houston"/>
    <s v="English"/>
    <n v="696"/>
    <n v="5458"/>
    <n v="5"/>
    <s v="Fashionistas"/>
    <x v="40"/>
  </r>
  <r>
    <s v="NexGen Systems"/>
    <x v="1"/>
    <s v="Women 35-44"/>
    <s v="30 days"/>
    <x v="5"/>
    <n v="0.13"/>
    <n v="19269"/>
    <n v="2.15"/>
    <n v="31"/>
    <n v="621.58064516129036"/>
    <s v="Chicago"/>
    <s v="Spanish"/>
    <n v="239"/>
    <n v="7346"/>
    <n v="10"/>
    <s v="Fashionistas"/>
    <x v="41"/>
  </r>
  <r>
    <s v="DataTech Solutions"/>
    <x v="3"/>
    <s v="Women 35-44"/>
    <s v="30 days"/>
    <x v="1"/>
    <n v="0.04"/>
    <n v="17299"/>
    <n v="7.91"/>
    <n v="36"/>
    <n v="480.52777777777777"/>
    <s v="Houston"/>
    <s v="German"/>
    <n v="890"/>
    <n v="5009"/>
    <n v="6"/>
    <s v="Fashionistas"/>
    <x v="42"/>
  </r>
  <r>
    <s v="Innovate Industries"/>
    <x v="4"/>
    <s v="Men 25-34"/>
    <s v="15 days"/>
    <x v="1"/>
    <n v="0.09"/>
    <n v="5816"/>
    <n v="4.6399999999999997"/>
    <n v="13"/>
    <n v="447.38461538461536"/>
    <s v="Houston"/>
    <s v="German"/>
    <n v="147"/>
    <n v="1629"/>
    <n v="9"/>
    <s v="Outdoor Adventurers"/>
    <x v="43"/>
  </r>
  <r>
    <s v="DataTech Solutions"/>
    <x v="3"/>
    <s v="Women 25-34"/>
    <s v="45 days"/>
    <x v="3"/>
    <n v="0.15"/>
    <n v="17201"/>
    <n v="5.32"/>
    <n v="127"/>
    <n v="135.44094488188978"/>
    <s v="Houston"/>
    <s v="Mandarin"/>
    <n v="849"/>
    <n v="6430"/>
    <n v="7"/>
    <s v="Foodies"/>
    <x v="44"/>
  </r>
  <r>
    <s v="NexGen Systems"/>
    <x v="2"/>
    <s v="Men 18-24"/>
    <s v="30 days"/>
    <x v="1"/>
    <n v="0.03"/>
    <n v="18611"/>
    <n v="6.78"/>
    <n v="12"/>
    <n v="1550.9166666666667"/>
    <s v="Los Angeles"/>
    <s v="Spanish"/>
    <n v="412"/>
    <n v="8230"/>
    <n v="1"/>
    <s v="Health &amp; Wellness"/>
    <x v="45"/>
  </r>
  <r>
    <s v="NexGen Systems"/>
    <x v="0"/>
    <s v="Women 25-34"/>
    <s v="45 days"/>
    <x v="3"/>
    <n v="0.03"/>
    <n v="7139"/>
    <n v="5.68"/>
    <n v="4"/>
    <n v="1784.75"/>
    <s v="Houston"/>
    <s v="Mandarin"/>
    <n v="118"/>
    <n v="6941"/>
    <n v="1"/>
    <s v="Foodies"/>
    <x v="46"/>
  </r>
  <r>
    <s v="TechCorp"/>
    <x v="2"/>
    <s v="All Ages"/>
    <s v="30 days"/>
    <x v="1"/>
    <n v="0.01"/>
    <n v="10699"/>
    <n v="6.43"/>
    <n v="5"/>
    <n v="2139.8000000000002"/>
    <s v="New York"/>
    <s v="German"/>
    <n v="525"/>
    <n v="2143"/>
    <n v="9"/>
    <s v="Fashionistas"/>
    <x v="47"/>
  </r>
  <r>
    <s v="NexGen Systems"/>
    <x v="1"/>
    <s v="Men 18-24"/>
    <s v="45 days"/>
    <x v="1"/>
    <n v="0.06"/>
    <n v="19526"/>
    <n v="7.14"/>
    <n v="18"/>
    <n v="1084.7777777777778"/>
    <s v="New York"/>
    <s v="Mandarin"/>
    <n v="294"/>
    <n v="6179"/>
    <n v="6"/>
    <s v="Fashionistas"/>
    <x v="48"/>
  </r>
  <r>
    <s v="NexGen Systems"/>
    <x v="3"/>
    <s v="Women 35-44"/>
    <s v="30 days"/>
    <x v="0"/>
    <n v="7.0000000000000007E-2"/>
    <n v="5576"/>
    <n v="7.97"/>
    <n v="43"/>
    <n v="129.67441860465115"/>
    <s v="Chicago"/>
    <s v="Mandarin"/>
    <n v="609"/>
    <n v="2349"/>
    <n v="10"/>
    <s v="Foodies"/>
    <x v="49"/>
  </r>
  <r>
    <s v="Innovate Industries"/>
    <x v="0"/>
    <s v="Men 25-34"/>
    <s v="15 days"/>
    <x v="0"/>
    <n v="0.04"/>
    <n v="6934"/>
    <n v="4.9800000000000004"/>
    <n v="26"/>
    <n v="266.69230769230768"/>
    <s v="Chicago"/>
    <s v="German"/>
    <n v="649"/>
    <n v="1416"/>
    <n v="7"/>
    <s v="Foodies"/>
    <x v="50"/>
  </r>
  <r>
    <s v="TechCorp"/>
    <x v="1"/>
    <s v="Men 18-24"/>
    <s v="60 days"/>
    <x v="5"/>
    <n v="0.01"/>
    <n v="9077"/>
    <n v="4.4000000000000004"/>
    <n v="9"/>
    <n v="1008.5555555555555"/>
    <s v="Los Angeles"/>
    <s v="Mandarin"/>
    <n v="860"/>
    <n v="6874"/>
    <n v="4"/>
    <s v="Tech Enthusiasts"/>
    <x v="51"/>
  </r>
  <r>
    <s v="DataTech Solutions"/>
    <x v="3"/>
    <s v="Men 25-34"/>
    <s v="15 days"/>
    <x v="1"/>
    <n v="0.09"/>
    <n v="5702"/>
    <n v="2.3199999999999998"/>
    <n v="75"/>
    <n v="76.026666666666671"/>
    <s v="Los Angeles"/>
    <s v="English"/>
    <n v="833"/>
    <n v="2831"/>
    <n v="10"/>
    <s v="Foodies"/>
    <x v="52"/>
  </r>
  <r>
    <s v="Innovate Industries"/>
    <x v="4"/>
    <s v="Women 35-44"/>
    <s v="45 days"/>
    <x v="4"/>
    <n v="0.02"/>
    <n v="10459"/>
    <n v="5.34"/>
    <n v="13"/>
    <n v="804.53846153846155"/>
    <s v="Los Angeles"/>
    <s v="English"/>
    <n v="642"/>
    <n v="9515"/>
    <n v="2"/>
    <s v="Foodies"/>
    <x v="53"/>
  </r>
  <r>
    <s v="DataTech Solutions"/>
    <x v="0"/>
    <s v="Women 35-44"/>
    <s v="45 days"/>
    <x v="2"/>
    <n v="0.1"/>
    <n v="9480"/>
    <n v="6.55"/>
    <n v="91"/>
    <n v="104.17582417582418"/>
    <s v="Miami"/>
    <s v="Spanish"/>
    <n v="908"/>
    <n v="6026"/>
    <n v="2"/>
    <s v="Foodies"/>
    <x v="54"/>
  </r>
  <r>
    <s v="NexGen Systems"/>
    <x v="4"/>
    <s v="Men 18-24"/>
    <s v="30 days"/>
    <x v="5"/>
    <n v="0.14000000000000001"/>
    <n v="6041"/>
    <n v="4.4000000000000004"/>
    <n v="81"/>
    <n v="74.580246913580254"/>
    <s v="New York"/>
    <s v="Mandarin"/>
    <n v="578"/>
    <n v="6558"/>
    <n v="6"/>
    <s v="Foodies"/>
    <x v="55"/>
  </r>
  <r>
    <s v="Alpha Innovations"/>
    <x v="0"/>
    <s v="Men 25-34"/>
    <s v="30 days"/>
    <x v="5"/>
    <n v="0.1"/>
    <n v="9036"/>
    <n v="2.76"/>
    <n v="14"/>
    <n v="645.42857142857144"/>
    <s v="Los Angeles"/>
    <s v="Mandarin"/>
    <n v="140"/>
    <n v="6245"/>
    <n v="7"/>
    <s v="Health &amp; Wellness"/>
    <x v="56"/>
  </r>
  <r>
    <s v="DataTech Solutions"/>
    <x v="2"/>
    <s v="Men 25-34"/>
    <s v="30 days"/>
    <x v="4"/>
    <n v="0.01"/>
    <n v="6772"/>
    <n v="4.3899999999999997"/>
    <n v="5"/>
    <n v="1354.4"/>
    <s v="Houston"/>
    <s v="German"/>
    <n v="540"/>
    <n v="2667"/>
    <n v="7"/>
    <s v="Health &amp; Wellness"/>
    <x v="57"/>
  </r>
  <r>
    <s v="Alpha Innovations"/>
    <x v="0"/>
    <s v="Men 25-34"/>
    <s v="30 days"/>
    <x v="5"/>
    <n v="7.0000000000000007E-2"/>
    <n v="17735"/>
    <n v="6.6"/>
    <n v="9"/>
    <n v="1970.5555555555557"/>
    <s v="Miami"/>
    <s v="English"/>
    <n v="124"/>
    <n v="2072"/>
    <n v="10"/>
    <s v="Outdoor Adventurers"/>
    <x v="58"/>
  </r>
  <r>
    <s v="TechCorp"/>
    <x v="3"/>
    <s v="Men 18-24"/>
    <s v="30 days"/>
    <x v="0"/>
    <n v="0.13"/>
    <n v="19742"/>
    <n v="4.21"/>
    <n v="122"/>
    <n v="161.81967213114754"/>
    <s v="Houston"/>
    <s v="Mandarin"/>
    <n v="942"/>
    <n v="7863"/>
    <n v="5"/>
    <s v="Health &amp; Wellness"/>
    <x v="59"/>
  </r>
  <r>
    <s v="Innovate Industries"/>
    <x v="2"/>
    <s v="Men 18-24"/>
    <s v="45 days"/>
    <x v="2"/>
    <n v="0.11"/>
    <n v="19796"/>
    <n v="6.99"/>
    <n v="62"/>
    <n v="319.29032258064518"/>
    <s v="Los Angeles"/>
    <s v="Mandarin"/>
    <n v="562"/>
    <n v="2883"/>
    <n v="1"/>
    <s v="Fashionistas"/>
    <x v="60"/>
  </r>
  <r>
    <s v="NexGen Systems"/>
    <x v="2"/>
    <s v="Men 18-24"/>
    <s v="45 days"/>
    <x v="3"/>
    <n v="0.02"/>
    <n v="16495"/>
    <n v="5.5"/>
    <n v="9"/>
    <n v="1832.7777777777778"/>
    <s v="Miami"/>
    <s v="Spanish"/>
    <n v="466"/>
    <n v="6126"/>
    <n v="8"/>
    <s v="Outdoor Adventurers"/>
    <x v="61"/>
  </r>
  <r>
    <s v="NexGen Systems"/>
    <x v="0"/>
    <s v="Women 25-34"/>
    <s v="30 days"/>
    <x v="3"/>
    <n v="7.0000000000000007E-2"/>
    <n v="11648"/>
    <n v="4.7300000000000004"/>
    <n v="13"/>
    <n v="896"/>
    <s v="Los Angeles"/>
    <s v="Mandarin"/>
    <n v="184"/>
    <n v="9142"/>
    <n v="8"/>
    <s v="Fashionistas"/>
    <x v="62"/>
  </r>
  <r>
    <s v="Alpha Innovations"/>
    <x v="4"/>
    <s v="Men 18-24"/>
    <s v="30 days"/>
    <x v="4"/>
    <n v="0.15"/>
    <n v="14521"/>
    <n v="2.0499999999999998"/>
    <n v="149"/>
    <n v="97.456375838926178"/>
    <s v="New York"/>
    <s v="German"/>
    <n v="991"/>
    <n v="2511"/>
    <n v="2"/>
    <s v="Foodies"/>
    <x v="63"/>
  </r>
  <r>
    <s v="NexGen Systems"/>
    <x v="2"/>
    <s v="Women 35-44"/>
    <s v="45 days"/>
    <x v="2"/>
    <n v="0.08"/>
    <n v="10618"/>
    <n v="7.34"/>
    <n v="54"/>
    <n v="196.62962962962962"/>
    <s v="New York"/>
    <s v="French"/>
    <n v="671"/>
    <n v="8433"/>
    <n v="10"/>
    <s v="Health &amp; Wellness"/>
    <x v="64"/>
  </r>
  <r>
    <s v="Alpha Innovations"/>
    <x v="0"/>
    <s v="Women 25-34"/>
    <s v="30 days"/>
    <x v="3"/>
    <n v="7.0000000000000007E-2"/>
    <n v="9482"/>
    <n v="7.25"/>
    <n v="22"/>
    <n v="431"/>
    <s v="Los Angeles"/>
    <s v="German"/>
    <n v="321"/>
    <n v="1043"/>
    <n v="10"/>
    <s v="Tech Enthusiasts"/>
    <x v="65"/>
  </r>
  <r>
    <s v="TechCorp"/>
    <x v="3"/>
    <s v="All Ages"/>
    <s v="45 days"/>
    <x v="1"/>
    <n v="0.11"/>
    <n v="14929"/>
    <n v="3.46"/>
    <n v="15"/>
    <n v="995.26666666666665"/>
    <s v="Miami"/>
    <s v="German"/>
    <n v="132"/>
    <n v="4453"/>
    <n v="1"/>
    <s v="Outdoor Adventurers"/>
    <x v="66"/>
  </r>
  <r>
    <s v="Innovate Industries"/>
    <x v="2"/>
    <s v="Men 25-34"/>
    <s v="60 days"/>
    <x v="0"/>
    <n v="0.01"/>
    <n v="7700"/>
    <n v="3.46"/>
    <n v="1"/>
    <n v="7700"/>
    <s v="Los Angeles"/>
    <s v="Mandarin"/>
    <n v="123"/>
    <n v="9889"/>
    <n v="8"/>
    <s v="Foodies"/>
    <x v="67"/>
  </r>
  <r>
    <s v="Alpha Innovations"/>
    <x v="4"/>
    <s v="Men 25-34"/>
    <s v="60 days"/>
    <x v="3"/>
    <n v="0.08"/>
    <n v="9786"/>
    <n v="6.26"/>
    <n v="12"/>
    <n v="815.5"/>
    <s v="New York"/>
    <s v="German"/>
    <n v="147"/>
    <n v="5764"/>
    <n v="9"/>
    <s v="Foodies"/>
    <x v="68"/>
  </r>
  <r>
    <s v="Alpha Innovations"/>
    <x v="1"/>
    <s v="All Ages"/>
    <s v="30 days"/>
    <x v="4"/>
    <n v="0.05"/>
    <n v="13888"/>
    <n v="2.63"/>
    <n v="23"/>
    <n v="603.82608695652175"/>
    <s v="Miami"/>
    <s v="English"/>
    <n v="469"/>
    <n v="9923"/>
    <n v="2"/>
    <s v="Fashionistas"/>
    <x v="69"/>
  </r>
  <r>
    <s v="NexGen Systems"/>
    <x v="4"/>
    <s v="All Ages"/>
    <s v="45 days"/>
    <x v="5"/>
    <n v="0.09"/>
    <n v="12790"/>
    <n v="5.0599999999999996"/>
    <n v="26"/>
    <n v="491.92307692307691"/>
    <s v="Los Angeles"/>
    <s v="German"/>
    <n v="285"/>
    <n v="4009"/>
    <n v="1"/>
    <s v="Foodies"/>
    <x v="70"/>
  </r>
  <r>
    <s v="DataTech Solutions"/>
    <x v="0"/>
    <s v="Men 18-24"/>
    <s v="15 days"/>
    <x v="0"/>
    <n v="0.05"/>
    <n v="9164"/>
    <n v="5.7"/>
    <n v="19"/>
    <n v="482.31578947368422"/>
    <s v="Miami"/>
    <s v="Mandarin"/>
    <n v="377"/>
    <n v="1659"/>
    <n v="5"/>
    <s v="Health &amp; Wellness"/>
    <x v="71"/>
  </r>
  <r>
    <s v="Innovate Industries"/>
    <x v="2"/>
    <s v="All Ages"/>
    <s v="30 days"/>
    <x v="1"/>
    <n v="0.06"/>
    <n v="12729"/>
    <n v="3.44"/>
    <n v="18"/>
    <n v="707.16666666666663"/>
    <s v="Houston"/>
    <s v="French"/>
    <n v="299"/>
    <n v="2099"/>
    <n v="2"/>
    <s v="Tech Enthusiasts"/>
    <x v="72"/>
  </r>
  <r>
    <s v="NexGen Systems"/>
    <x v="4"/>
    <s v="Women 25-34"/>
    <s v="60 days"/>
    <x v="3"/>
    <n v="0.09"/>
    <n v="19698"/>
    <n v="4.88"/>
    <n v="87"/>
    <n v="226.41379310344828"/>
    <s v="Los Angeles"/>
    <s v="Spanish"/>
    <n v="963"/>
    <n v="5724"/>
    <n v="3"/>
    <s v="Fashionistas"/>
    <x v="73"/>
  </r>
  <r>
    <s v="Alpha Innovations"/>
    <x v="3"/>
    <s v="Men 25-34"/>
    <s v="45 days"/>
    <x v="3"/>
    <n v="0.06"/>
    <n v="5680"/>
    <n v="7.68"/>
    <n v="17"/>
    <n v="334.11764705882354"/>
    <s v="Los Angeles"/>
    <s v="Spanish"/>
    <n v="279"/>
    <n v="6815"/>
    <n v="6"/>
    <s v="Outdoor Adventurers"/>
    <x v="74"/>
  </r>
  <r>
    <s v="Innovate Industries"/>
    <x v="3"/>
    <s v="Men 25-34"/>
    <s v="45 days"/>
    <x v="4"/>
    <n v="0.11"/>
    <n v="12492"/>
    <n v="2.5499999999999998"/>
    <n v="72"/>
    <n v="173.5"/>
    <s v="New York"/>
    <s v="English"/>
    <n v="656"/>
    <n v="2093"/>
    <n v="6"/>
    <s v="Fashionistas"/>
    <x v="75"/>
  </r>
  <r>
    <s v="NexGen Systems"/>
    <x v="1"/>
    <s v="Women 35-44"/>
    <s v="30 days"/>
    <x v="5"/>
    <n v="0.15"/>
    <n v="6292"/>
    <n v="2.64"/>
    <n v="70"/>
    <n v="89.885714285714286"/>
    <s v="Chicago"/>
    <s v="Mandarin"/>
    <n v="466"/>
    <n v="8207"/>
    <n v="8"/>
    <s v="Foodies"/>
    <x v="76"/>
  </r>
  <r>
    <s v="TechCorp"/>
    <x v="1"/>
    <s v="Men 18-24"/>
    <s v="30 days"/>
    <x v="4"/>
    <n v="7.0000000000000007E-2"/>
    <n v="19217"/>
    <n v="7.39"/>
    <n v="55"/>
    <n v="349.4"/>
    <s v="Miami"/>
    <s v="German"/>
    <n v="789"/>
    <n v="5994"/>
    <n v="10"/>
    <s v="Tech Enthusiasts"/>
    <x v="77"/>
  </r>
  <r>
    <s v="NexGen Systems"/>
    <x v="1"/>
    <s v="Women 25-34"/>
    <s v="45 days"/>
    <x v="5"/>
    <n v="0.12"/>
    <n v="15432"/>
    <n v="4.9000000000000004"/>
    <n v="62"/>
    <n v="248.90322580645162"/>
    <s v="Houston"/>
    <s v="German"/>
    <n v="520"/>
    <n v="5179"/>
    <n v="2"/>
    <s v="Fashionistas"/>
    <x v="78"/>
  </r>
  <r>
    <s v="TechCorp"/>
    <x v="3"/>
    <s v="All Ages"/>
    <s v="45 days"/>
    <x v="2"/>
    <n v="7.0000000000000007E-2"/>
    <n v="8593"/>
    <n v="7.13"/>
    <n v="14"/>
    <n v="613.78571428571433"/>
    <s v="New York"/>
    <s v="English"/>
    <n v="200"/>
    <n v="6668"/>
    <n v="5"/>
    <s v="Foodies"/>
    <x v="79"/>
  </r>
  <r>
    <s v="Alpha Innovations"/>
    <x v="3"/>
    <s v="All Ages"/>
    <s v="30 days"/>
    <x v="4"/>
    <n v="0.09"/>
    <n v="9723"/>
    <n v="5.0999999999999996"/>
    <n v="52"/>
    <n v="186.98076923076923"/>
    <s v="Los Angeles"/>
    <s v="Mandarin"/>
    <n v="577"/>
    <n v="9201"/>
    <n v="9"/>
    <s v="Tech Enthusiasts"/>
    <x v="80"/>
  </r>
  <r>
    <s v="Alpha Innovations"/>
    <x v="0"/>
    <s v="All Ages"/>
    <s v="15 days"/>
    <x v="0"/>
    <n v="0.11"/>
    <n v="19974"/>
    <n v="5.82"/>
    <n v="64"/>
    <n v="312.09375"/>
    <s v="Houston"/>
    <s v="Spanish"/>
    <n v="582"/>
    <n v="2461"/>
    <n v="10"/>
    <s v="Outdoor Adventurers"/>
    <x v="81"/>
  </r>
  <r>
    <s v="TechCorp"/>
    <x v="1"/>
    <s v="Women 25-34"/>
    <s v="60 days"/>
    <x v="3"/>
    <n v="0.04"/>
    <n v="18780"/>
    <n v="3.56"/>
    <n v="9"/>
    <n v="2086.6666666666665"/>
    <s v="Miami"/>
    <s v="Mandarin"/>
    <n v="221"/>
    <n v="4514"/>
    <n v="8"/>
    <s v="Tech Enthusiasts"/>
    <x v="82"/>
  </r>
  <r>
    <s v="Innovate Industries"/>
    <x v="1"/>
    <s v="Women 35-44"/>
    <s v="60 days"/>
    <x v="1"/>
    <n v="0.14000000000000001"/>
    <n v="16594"/>
    <n v="4.6900000000000004"/>
    <n v="108"/>
    <n v="153.64814814814815"/>
    <s v="Miami"/>
    <s v="Mandarin"/>
    <n v="773"/>
    <n v="3018"/>
    <n v="3"/>
    <s v="Fashionistas"/>
    <x v="83"/>
  </r>
  <r>
    <s v="NexGen Systems"/>
    <x v="3"/>
    <s v="Men 18-24"/>
    <s v="15 days"/>
    <x v="4"/>
    <n v="0.11"/>
    <n v="17226"/>
    <n v="4.09"/>
    <n v="36"/>
    <n v="478.5"/>
    <s v="Miami"/>
    <s v="Spanish"/>
    <n v="331"/>
    <n v="5699"/>
    <n v="6"/>
    <s v="Foodies"/>
    <x v="84"/>
  </r>
  <r>
    <s v="Alpha Innovations"/>
    <x v="4"/>
    <s v="Men 18-24"/>
    <s v="15 days"/>
    <x v="2"/>
    <n v="0.11"/>
    <n v="15664"/>
    <n v="3.76"/>
    <n v="35"/>
    <n v="447.54285714285714"/>
    <s v="Chicago"/>
    <s v="German"/>
    <n v="316"/>
    <n v="9996"/>
    <n v="5"/>
    <s v="Fashionistas"/>
    <x v="85"/>
  </r>
  <r>
    <s v="TechCorp"/>
    <x v="0"/>
    <s v="Men 18-24"/>
    <s v="15 days"/>
    <x v="3"/>
    <n v="0.04"/>
    <n v="10403"/>
    <n v="5.87"/>
    <n v="12"/>
    <n v="866.91666666666663"/>
    <s v="Los Angeles"/>
    <s v="Mandarin"/>
    <n v="301"/>
    <n v="5921"/>
    <n v="8"/>
    <s v="Health &amp; Wellness"/>
    <x v="86"/>
  </r>
  <r>
    <s v="Alpha Innovations"/>
    <x v="1"/>
    <s v="Women 25-34"/>
    <s v="60 days"/>
    <x v="1"/>
    <n v="0.02"/>
    <n v="9712"/>
    <n v="4.1900000000000004"/>
    <n v="2"/>
    <n v="4856"/>
    <s v="Miami"/>
    <s v="French"/>
    <n v="116"/>
    <n v="6836"/>
    <n v="7"/>
    <s v="Tech Enthusiasts"/>
    <x v="87"/>
  </r>
  <r>
    <s v="Alpha Innovations"/>
    <x v="4"/>
    <s v="Women 35-44"/>
    <s v="15 days"/>
    <x v="0"/>
    <n v="0.12"/>
    <n v="17117"/>
    <n v="7.41"/>
    <n v="118"/>
    <n v="145.0593220338983"/>
    <s v="Houston"/>
    <s v="English"/>
    <n v="987"/>
    <n v="9000"/>
    <n v="4"/>
    <s v="Foodies"/>
    <x v="88"/>
  </r>
  <r>
    <s v="Alpha Innovations"/>
    <x v="1"/>
    <s v="Women 25-34"/>
    <s v="60 days"/>
    <x v="0"/>
    <n v="0.06"/>
    <n v="13593"/>
    <n v="5.72"/>
    <n v="41"/>
    <n v="331.53658536585368"/>
    <s v="Los Angeles"/>
    <s v="English"/>
    <n v="690"/>
    <n v="1698"/>
    <n v="3"/>
    <s v="Foodies"/>
    <x v="89"/>
  </r>
  <r>
    <s v="TechCorp"/>
    <x v="0"/>
    <s v="Men 18-24"/>
    <s v="15 days"/>
    <x v="2"/>
    <n v="0.05"/>
    <n v="18167"/>
    <n v="3.16"/>
    <n v="46"/>
    <n v="394.93478260869563"/>
    <s v="Los Angeles"/>
    <s v="French"/>
    <n v="917"/>
    <n v="8122"/>
    <n v="6"/>
    <s v="Outdoor Adventurers"/>
    <x v="90"/>
  </r>
  <r>
    <s v="Alpha Innovations"/>
    <x v="3"/>
    <s v="Men 18-24"/>
    <s v="60 days"/>
    <x v="4"/>
    <n v="0.12"/>
    <n v="11054"/>
    <n v="4.37"/>
    <n v="27"/>
    <n v="409.40740740740739"/>
    <s v="Chicago"/>
    <s v="German"/>
    <n v="221"/>
    <n v="5287"/>
    <n v="1"/>
    <s v="Foodies"/>
    <x v="91"/>
  </r>
  <r>
    <s v="Innovate Industries"/>
    <x v="3"/>
    <s v="Women 35-44"/>
    <s v="60 days"/>
    <x v="1"/>
    <n v="0.02"/>
    <n v="6728"/>
    <n v="6.29"/>
    <n v="17"/>
    <n v="395.76470588235293"/>
    <s v="Chicago"/>
    <s v="Spanish"/>
    <n v="856"/>
    <n v="7061"/>
    <n v="8"/>
    <s v="Outdoor Adventurers"/>
    <x v="92"/>
  </r>
  <r>
    <s v="NexGen Systems"/>
    <x v="1"/>
    <s v="Women 35-44"/>
    <s v="60 days"/>
    <x v="1"/>
    <n v="0.03"/>
    <n v="10914"/>
    <n v="3.92"/>
    <n v="28"/>
    <n v="389.78571428571428"/>
    <s v="Los Angeles"/>
    <s v="German"/>
    <n v="933"/>
    <n v="3982"/>
    <n v="8"/>
    <s v="Tech Enthusiasts"/>
    <x v="93"/>
  </r>
  <r>
    <s v="DataTech Solutions"/>
    <x v="0"/>
    <s v="Women 35-44"/>
    <s v="15 days"/>
    <x v="0"/>
    <n v="0.11"/>
    <n v="17313"/>
    <n v="5.81"/>
    <n v="11"/>
    <n v="1573.909090909091"/>
    <s v="Houston"/>
    <s v="French"/>
    <n v="104"/>
    <n v="6210"/>
    <n v="5"/>
    <s v="Foodies"/>
    <x v="94"/>
  </r>
  <r>
    <s v="Innovate Industries"/>
    <x v="2"/>
    <s v="Women 35-44"/>
    <s v="15 days"/>
    <x v="1"/>
    <n v="0.12"/>
    <n v="11095"/>
    <n v="3.59"/>
    <n v="119"/>
    <n v="93.235294117647058"/>
    <s v="New York"/>
    <s v="Spanish"/>
    <n v="988"/>
    <n v="1689"/>
    <n v="5"/>
    <s v="Outdoor Adventurers"/>
    <x v="95"/>
  </r>
  <r>
    <s v="Alpha Innovations"/>
    <x v="0"/>
    <s v="Women 35-44"/>
    <s v="60 days"/>
    <x v="0"/>
    <n v="0.13"/>
    <n v="5130"/>
    <n v="5.15"/>
    <n v="112"/>
    <n v="45.803571428571431"/>
    <s v="Houston"/>
    <s v="Spanish"/>
    <n v="860"/>
    <n v="6784"/>
    <n v="5"/>
    <s v="Health &amp; Wellness"/>
    <x v="96"/>
  </r>
  <r>
    <s v="TechCorp"/>
    <x v="4"/>
    <s v="Men 25-34"/>
    <s v="60 days"/>
    <x v="1"/>
    <n v="0.02"/>
    <n v="13482"/>
    <n v="3.17"/>
    <n v="16"/>
    <n v="842.625"/>
    <s v="Houston"/>
    <s v="English"/>
    <n v="794"/>
    <n v="7657"/>
    <n v="6"/>
    <s v="Tech Enthusiasts"/>
    <x v="97"/>
  </r>
  <r>
    <s v="Innovate Industries"/>
    <x v="2"/>
    <s v="Women 35-44"/>
    <s v="30 days"/>
    <x v="1"/>
    <n v="0.01"/>
    <n v="18932"/>
    <n v="2.64"/>
    <n v="4"/>
    <n v="4733"/>
    <s v="New York"/>
    <s v="English"/>
    <n v="447"/>
    <n v="9257"/>
    <n v="3"/>
    <s v="Health &amp; Wellness"/>
    <x v="98"/>
  </r>
  <r>
    <s v="TechCorp"/>
    <x v="4"/>
    <s v="Women 25-34"/>
    <s v="15 days"/>
    <x v="4"/>
    <n v="0.05"/>
    <n v="16093"/>
    <n v="6.53"/>
    <n v="31"/>
    <n v="519.12903225806451"/>
    <s v="New York"/>
    <s v="Mandarin"/>
    <n v="610"/>
    <n v="5628"/>
    <n v="10"/>
    <s v="Fashionistas"/>
    <x v="99"/>
  </r>
  <r>
    <s v="Alpha Innovations"/>
    <x v="1"/>
    <s v="Women 25-34"/>
    <s v="30 days"/>
    <x v="4"/>
    <n v="0.11"/>
    <n v="14899"/>
    <n v="2.75"/>
    <n v="73"/>
    <n v="204.0958904109589"/>
    <s v="New York"/>
    <s v="French"/>
    <n v="666"/>
    <n v="6237"/>
    <n v="4"/>
    <s v="Fashionistas"/>
    <x v="100"/>
  </r>
  <r>
    <s v="Alpha Innovations"/>
    <x v="1"/>
    <s v="All Ages"/>
    <s v="45 days"/>
    <x v="4"/>
    <n v="0.1"/>
    <n v="8127"/>
    <n v="6.95"/>
    <n v="33"/>
    <n v="246.27272727272728"/>
    <s v="New York"/>
    <s v="Spanish"/>
    <n v="330"/>
    <n v="1955"/>
    <n v="7"/>
    <s v="Fashionistas"/>
    <x v="101"/>
  </r>
  <r>
    <s v="DataTech Solutions"/>
    <x v="0"/>
    <s v="Women 25-34"/>
    <s v="60 days"/>
    <x v="3"/>
    <n v="0.12"/>
    <n v="10839"/>
    <n v="6.05"/>
    <n v="98"/>
    <n v="110.60204081632654"/>
    <s v="Chicago"/>
    <s v="French"/>
    <n v="816"/>
    <n v="6414"/>
    <n v="6"/>
    <s v="Foodies"/>
    <x v="102"/>
  </r>
  <r>
    <s v="TechCorp"/>
    <x v="4"/>
    <s v="Women 25-34"/>
    <s v="60 days"/>
    <x v="1"/>
    <n v="0.02"/>
    <n v="16218"/>
    <n v="7.11"/>
    <n v="4"/>
    <n v="4054.5"/>
    <s v="New York"/>
    <s v="German"/>
    <n v="176"/>
    <n v="5609"/>
    <n v="4"/>
    <s v="Foodies"/>
    <x v="103"/>
  </r>
  <r>
    <s v="DataTech Solutions"/>
    <x v="0"/>
    <s v="Men 25-34"/>
    <s v="60 days"/>
    <x v="2"/>
    <n v="0.14000000000000001"/>
    <n v="7791"/>
    <n v="2.2599999999999998"/>
    <n v="32"/>
    <n v="243.46875"/>
    <s v="Miami"/>
    <s v="Mandarin"/>
    <n v="228"/>
    <n v="9197"/>
    <n v="8"/>
    <s v="Foodies"/>
    <x v="104"/>
  </r>
  <r>
    <s v="Innovate Industries"/>
    <x v="2"/>
    <s v="Women 25-34"/>
    <s v="30 days"/>
    <x v="1"/>
    <n v="0.02"/>
    <n v="17214"/>
    <n v="6.81"/>
    <n v="16"/>
    <n v="1075.875"/>
    <s v="New York"/>
    <s v="French"/>
    <n v="818"/>
    <n v="2267"/>
    <n v="1"/>
    <s v="Outdoor Adventurers"/>
    <x v="105"/>
  </r>
  <r>
    <s v="DataTech Solutions"/>
    <x v="4"/>
    <s v="Women 25-34"/>
    <s v="45 days"/>
    <x v="2"/>
    <n v="0.12"/>
    <n v="12922"/>
    <n v="7"/>
    <n v="116"/>
    <n v="111.39655172413794"/>
    <s v="Houston"/>
    <s v="Mandarin"/>
    <n v="970"/>
    <n v="3985"/>
    <n v="3"/>
    <s v="Tech Enthusiasts"/>
    <x v="106"/>
  </r>
  <r>
    <s v="Innovate Industries"/>
    <x v="0"/>
    <s v="Men 18-24"/>
    <s v="15 days"/>
    <x v="2"/>
    <n v="0.15"/>
    <n v="14159"/>
    <n v="4.71"/>
    <n v="78"/>
    <n v="181.52564102564102"/>
    <s v="Chicago"/>
    <s v="German"/>
    <n v="518"/>
    <n v="4366"/>
    <n v="10"/>
    <s v="Health &amp; Wellness"/>
    <x v="107"/>
  </r>
  <r>
    <s v="TechCorp"/>
    <x v="0"/>
    <s v="Men 25-34"/>
    <s v="60 days"/>
    <x v="2"/>
    <n v="0.12"/>
    <n v="5428"/>
    <n v="2.82"/>
    <n v="35"/>
    <n v="155.08571428571429"/>
    <s v="Houston"/>
    <s v="English"/>
    <n v="292"/>
    <n v="6313"/>
    <n v="4"/>
    <s v="Health &amp; Wellness"/>
    <x v="108"/>
  </r>
  <r>
    <s v="Innovate Industries"/>
    <x v="1"/>
    <s v="All Ages"/>
    <s v="30 days"/>
    <x v="5"/>
    <n v="0.03"/>
    <n v="9830"/>
    <n v="3.83"/>
    <n v="25"/>
    <n v="393.2"/>
    <s v="New York"/>
    <s v="Spanish"/>
    <n v="826"/>
    <n v="4248"/>
    <n v="10"/>
    <s v="Fashionistas"/>
    <x v="109"/>
  </r>
  <r>
    <s v="Innovate Industries"/>
    <x v="3"/>
    <s v="Women 35-44"/>
    <s v="45 days"/>
    <x v="1"/>
    <n v="0.02"/>
    <n v="17467"/>
    <n v="5.48"/>
    <n v="2"/>
    <n v="8733.5"/>
    <s v="Houston"/>
    <s v="Mandarin"/>
    <n v="120"/>
    <n v="8525"/>
    <n v="3"/>
    <s v="Tech Enthusiasts"/>
    <x v="110"/>
  </r>
  <r>
    <s v="Innovate Industries"/>
    <x v="0"/>
    <s v="Men 25-34"/>
    <s v="45 days"/>
    <x v="3"/>
    <n v="0.13"/>
    <n v="16475"/>
    <n v="5.56"/>
    <n v="85"/>
    <n v="193.8235294117647"/>
    <s v="Miami"/>
    <s v="German"/>
    <n v="652"/>
    <n v="2439"/>
    <n v="4"/>
    <s v="Foodies"/>
    <x v="111"/>
  </r>
  <r>
    <s v="TechCorp"/>
    <x v="1"/>
    <s v="All Ages"/>
    <s v="15 days"/>
    <x v="2"/>
    <n v="0.06"/>
    <n v="15682"/>
    <n v="4.04"/>
    <n v="17"/>
    <n v="922.47058823529414"/>
    <s v="Los Angeles"/>
    <s v="English"/>
    <n v="275"/>
    <n v="9717"/>
    <n v="3"/>
    <s v="Health &amp; Wellness"/>
    <x v="112"/>
  </r>
  <r>
    <s v="Innovate Industries"/>
    <x v="1"/>
    <s v="Women 25-34"/>
    <s v="45 days"/>
    <x v="2"/>
    <n v="0.03"/>
    <n v="11186"/>
    <n v="2.4700000000000002"/>
    <n v="6"/>
    <n v="1864.3333333333333"/>
    <s v="Miami"/>
    <s v="Mandarin"/>
    <n v="201"/>
    <n v="1215"/>
    <n v="1"/>
    <s v="Fashionistas"/>
    <x v="113"/>
  </r>
  <r>
    <s v="Innovate Industries"/>
    <x v="3"/>
    <s v="Women 25-34"/>
    <s v="15 days"/>
    <x v="5"/>
    <n v="0.11"/>
    <n v="14889"/>
    <n v="4.6500000000000004"/>
    <n v="50"/>
    <n v="297.77999999999997"/>
    <s v="Chicago"/>
    <s v="Mandarin"/>
    <n v="455"/>
    <n v="8222"/>
    <n v="8"/>
    <s v="Health &amp; Wellness"/>
    <x v="114"/>
  </r>
  <r>
    <s v="Innovate Industries"/>
    <x v="1"/>
    <s v="Women 35-44"/>
    <s v="60 days"/>
    <x v="2"/>
    <n v="0.09"/>
    <n v="10706"/>
    <n v="6.57"/>
    <n v="22"/>
    <n v="486.63636363636363"/>
    <s v="Chicago"/>
    <s v="Mandarin"/>
    <n v="244"/>
    <n v="2542"/>
    <n v="4"/>
    <s v="Health &amp; Wellness"/>
    <x v="115"/>
  </r>
  <r>
    <s v="Innovate Industries"/>
    <x v="3"/>
    <s v="Men 25-34"/>
    <s v="15 days"/>
    <x v="4"/>
    <n v="0.03"/>
    <n v="5757"/>
    <n v="3.1"/>
    <n v="16"/>
    <n v="359.8125"/>
    <s v="Miami"/>
    <s v="Mandarin"/>
    <n v="538"/>
    <n v="5801"/>
    <n v="1"/>
    <s v="Outdoor Adventurers"/>
    <x v="116"/>
  </r>
  <r>
    <s v="NexGen Systems"/>
    <x v="0"/>
    <s v="Men 25-34"/>
    <s v="15 days"/>
    <x v="5"/>
    <n v="0.09"/>
    <n v="18035"/>
    <n v="7.03"/>
    <n v="13"/>
    <n v="1387.3076923076924"/>
    <s v="Miami"/>
    <s v="English"/>
    <n v="147"/>
    <n v="6930"/>
    <n v="4"/>
    <s v="Tech Enthusiasts"/>
    <x v="117"/>
  </r>
  <r>
    <s v="NexGen Systems"/>
    <x v="1"/>
    <s v="Men 25-34"/>
    <s v="60 days"/>
    <x v="0"/>
    <n v="0.03"/>
    <n v="5234"/>
    <n v="6.93"/>
    <n v="4"/>
    <n v="1308.5"/>
    <s v="Miami"/>
    <s v="Spanish"/>
    <n v="149"/>
    <n v="6815"/>
    <n v="7"/>
    <s v="Outdoor Adventurers"/>
    <x v="118"/>
  </r>
  <r>
    <s v="NexGen Systems"/>
    <x v="3"/>
    <s v="Men 18-24"/>
    <s v="60 days"/>
    <x v="1"/>
    <n v="0.06"/>
    <n v="12495"/>
    <n v="4.1500000000000004"/>
    <n v="45"/>
    <n v="277.66666666666669"/>
    <s v="New York"/>
    <s v="Spanish"/>
    <n v="753"/>
    <n v="8752"/>
    <n v="10"/>
    <s v="Health &amp; Wellness"/>
    <x v="119"/>
  </r>
  <r>
    <s v="Alpha Innovations"/>
    <x v="2"/>
    <s v="Women 35-44"/>
    <s v="45 days"/>
    <x v="2"/>
    <n v="0.08"/>
    <n v="8241"/>
    <n v="7.63"/>
    <n v="29"/>
    <n v="284.17241379310343"/>
    <s v="Los Angeles"/>
    <s v="English"/>
    <n v="368"/>
    <n v="4360"/>
    <n v="4"/>
    <s v="Outdoor Adventurers"/>
    <x v="120"/>
  </r>
  <r>
    <s v="DataTech Solutions"/>
    <x v="0"/>
    <s v="Men 18-24"/>
    <s v="15 days"/>
    <x v="5"/>
    <n v="0.14000000000000001"/>
    <n v="19562"/>
    <n v="6.35"/>
    <n v="27"/>
    <n v="724.51851851851848"/>
    <s v="Chicago"/>
    <s v="Mandarin"/>
    <n v="194"/>
    <n v="9417"/>
    <n v="10"/>
    <s v="Foodies"/>
    <x v="121"/>
  </r>
  <r>
    <s v="NexGen Systems"/>
    <x v="2"/>
    <s v="Women 25-34"/>
    <s v="30 days"/>
    <x v="4"/>
    <n v="0.05"/>
    <n v="19456"/>
    <n v="7.56"/>
    <n v="9"/>
    <n v="2161.7777777777778"/>
    <s v="Los Angeles"/>
    <s v="German"/>
    <n v="172"/>
    <n v="2838"/>
    <n v="10"/>
    <s v="Health &amp; Wellness"/>
    <x v="122"/>
  </r>
  <r>
    <s v="NexGen Systems"/>
    <x v="4"/>
    <s v="Men 25-34"/>
    <s v="45 days"/>
    <x v="1"/>
    <n v="0.13"/>
    <n v="10420"/>
    <n v="3.55"/>
    <n v="96"/>
    <n v="108.54166666666667"/>
    <s v="Los Angeles"/>
    <s v="English"/>
    <n v="740"/>
    <n v="7051"/>
    <n v="3"/>
    <s v="Foodies"/>
    <x v="123"/>
  </r>
  <r>
    <s v="TechCorp"/>
    <x v="4"/>
    <s v="Women 25-34"/>
    <s v="30 days"/>
    <x v="3"/>
    <n v="0.11"/>
    <n v="17493"/>
    <n v="6.42"/>
    <n v="64"/>
    <n v="273.328125"/>
    <s v="Los Angeles"/>
    <s v="French"/>
    <n v="580"/>
    <n v="6874"/>
    <n v="2"/>
    <s v="Foodies"/>
    <x v="124"/>
  </r>
  <r>
    <s v="NexGen Systems"/>
    <x v="0"/>
    <s v="Men 18-24"/>
    <s v="30 days"/>
    <x v="2"/>
    <n v="7.0000000000000007E-2"/>
    <n v="18686"/>
    <n v="4.32"/>
    <n v="56"/>
    <n v="333.67857142857144"/>
    <s v="Chicago"/>
    <s v="Mandarin"/>
    <n v="798"/>
    <n v="6218"/>
    <n v="9"/>
    <s v="Foodies"/>
    <x v="125"/>
  </r>
  <r>
    <s v="TechCorp"/>
    <x v="4"/>
    <s v="Men 18-24"/>
    <s v="30 days"/>
    <x v="1"/>
    <n v="0.08"/>
    <n v="16765"/>
    <n v="7.85"/>
    <n v="75"/>
    <n v="223.53333333333333"/>
    <s v="Miami"/>
    <s v="Spanish"/>
    <n v="940"/>
    <n v="1333"/>
    <n v="4"/>
    <s v="Foodies"/>
    <x v="126"/>
  </r>
  <r>
    <s v="NexGen Systems"/>
    <x v="2"/>
    <s v="Women 25-34"/>
    <s v="45 days"/>
    <x v="4"/>
    <n v="0.06"/>
    <n v="17991"/>
    <n v="2.35"/>
    <n v="20"/>
    <n v="899.55"/>
    <s v="Los Angeles"/>
    <s v="English"/>
    <n v="325"/>
    <n v="9848"/>
    <n v="10"/>
    <s v="Health &amp; Wellness"/>
    <x v="127"/>
  </r>
  <r>
    <s v="DataTech Solutions"/>
    <x v="2"/>
    <s v="Men 25-34"/>
    <s v="45 days"/>
    <x v="4"/>
    <n v="0.05"/>
    <n v="14481"/>
    <n v="6.74"/>
    <n v="32"/>
    <n v="452.53125"/>
    <s v="Miami"/>
    <s v="Mandarin"/>
    <n v="637"/>
    <n v="6228"/>
    <n v="3"/>
    <s v="Tech Enthusiasts"/>
    <x v="128"/>
  </r>
  <r>
    <s v="DataTech Solutions"/>
    <x v="3"/>
    <s v="Women 35-44"/>
    <s v="30 days"/>
    <x v="5"/>
    <n v="0.13"/>
    <n v="17531"/>
    <n v="5.04"/>
    <n v="96"/>
    <n v="182.61458333333334"/>
    <s v="Miami"/>
    <s v="German"/>
    <n v="736"/>
    <n v="5551"/>
    <n v="2"/>
    <s v="Health &amp; Wellness"/>
    <x v="129"/>
  </r>
  <r>
    <s v="NexGen Systems"/>
    <x v="1"/>
    <s v="Women 25-34"/>
    <s v="45 days"/>
    <x v="4"/>
    <n v="0.1"/>
    <n v="15814"/>
    <n v="6.07"/>
    <n v="31"/>
    <n v="510.12903225806451"/>
    <s v="Houston"/>
    <s v="French"/>
    <n v="305"/>
    <n v="8942"/>
    <n v="6"/>
    <s v="Outdoor Adventurers"/>
    <x v="130"/>
  </r>
  <r>
    <s v="DataTech Solutions"/>
    <x v="2"/>
    <s v="All Ages"/>
    <s v="30 days"/>
    <x v="3"/>
    <n v="0.12"/>
    <n v="14037"/>
    <n v="3.98"/>
    <n v="61"/>
    <n v="230.11475409836066"/>
    <s v="Houston"/>
    <s v="French"/>
    <n v="512"/>
    <n v="5824"/>
    <n v="6"/>
    <s v="Foodies"/>
    <x v="131"/>
  </r>
  <r>
    <s v="Alpha Innovations"/>
    <x v="3"/>
    <s v="All Ages"/>
    <s v="60 days"/>
    <x v="2"/>
    <n v="0.09"/>
    <n v="14493"/>
    <n v="3.22"/>
    <n v="78"/>
    <n v="185.80769230769232"/>
    <s v="Chicago"/>
    <s v="Spanish"/>
    <n v="870"/>
    <n v="6980"/>
    <n v="4"/>
    <s v="Fashionistas"/>
    <x v="132"/>
  </r>
  <r>
    <s v="NexGen Systems"/>
    <x v="1"/>
    <s v="Men 25-34"/>
    <s v="45 days"/>
    <x v="2"/>
    <n v="0.03"/>
    <n v="19520"/>
    <n v="5.8"/>
    <n v="21"/>
    <n v="929.52380952380952"/>
    <s v="Chicago"/>
    <s v="Mandarin"/>
    <n v="702"/>
    <n v="4794"/>
    <n v="6"/>
    <s v="Tech Enthusiasts"/>
    <x v="133"/>
  </r>
  <r>
    <s v="TechCorp"/>
    <x v="4"/>
    <s v="Women 35-44"/>
    <s v="60 days"/>
    <x v="5"/>
    <n v="0.06"/>
    <n v="5538"/>
    <n v="4.79"/>
    <n v="31"/>
    <n v="178.64516129032259"/>
    <s v="Houston"/>
    <s v="English"/>
    <n v="520"/>
    <n v="6720"/>
    <n v="2"/>
    <s v="Tech Enthusiasts"/>
    <x v="134"/>
  </r>
  <r>
    <s v="Alpha Innovations"/>
    <x v="4"/>
    <s v="Men 25-34"/>
    <s v="45 days"/>
    <x v="1"/>
    <n v="0.12"/>
    <n v="10493"/>
    <n v="3.49"/>
    <n v="92"/>
    <n v="114.05434782608695"/>
    <s v="Houston"/>
    <s v="German"/>
    <n v="767"/>
    <n v="5005"/>
    <n v="2"/>
    <s v="Outdoor Adventurers"/>
    <x v="135"/>
  </r>
  <r>
    <s v="NexGen Systems"/>
    <x v="3"/>
    <s v="Men 18-24"/>
    <s v="30 days"/>
    <x v="3"/>
    <n v="0.06"/>
    <n v="16116"/>
    <n v="7.42"/>
    <n v="28"/>
    <n v="575.57142857142856"/>
    <s v="Chicago"/>
    <s v="Spanish"/>
    <n v="471"/>
    <n v="6621"/>
    <n v="1"/>
    <s v="Outdoor Adventurers"/>
    <x v="136"/>
  </r>
  <r>
    <s v="DataTech Solutions"/>
    <x v="0"/>
    <s v="Men 25-34"/>
    <s v="15 days"/>
    <x v="1"/>
    <n v="0.14000000000000001"/>
    <n v="7708"/>
    <n v="2.56"/>
    <n v="98"/>
    <n v="78.65306122448979"/>
    <s v="Chicago"/>
    <s v="Spanish"/>
    <n v="701"/>
    <n v="5101"/>
    <n v="9"/>
    <s v="Fashionistas"/>
    <x v="137"/>
  </r>
  <r>
    <s v="Alpha Innovations"/>
    <x v="4"/>
    <s v="Women 35-44"/>
    <s v="45 days"/>
    <x v="1"/>
    <n v="0.06"/>
    <n v="5935"/>
    <n v="5.92"/>
    <n v="56"/>
    <n v="105.98214285714286"/>
    <s v="Miami"/>
    <s v="Spanish"/>
    <n v="935"/>
    <n v="9752"/>
    <n v="9"/>
    <s v="Fashionistas"/>
    <x v="138"/>
  </r>
  <r>
    <s v="NexGen Systems"/>
    <x v="0"/>
    <s v="Men 25-34"/>
    <s v="60 days"/>
    <x v="1"/>
    <n v="0.05"/>
    <n v="9290"/>
    <n v="5.04"/>
    <n v="45"/>
    <n v="206.44444444444446"/>
    <s v="Los Angeles"/>
    <s v="Spanish"/>
    <n v="893"/>
    <n v="7613"/>
    <n v="5"/>
    <s v="Fashionistas"/>
    <x v="139"/>
  </r>
  <r>
    <s v="NexGen Systems"/>
    <x v="0"/>
    <s v="Men 25-34"/>
    <s v="15 days"/>
    <x v="2"/>
    <n v="0.08"/>
    <n v="19426"/>
    <n v="2.5"/>
    <n v="37"/>
    <n v="525.02702702702697"/>
    <s v="Houston"/>
    <s v="English"/>
    <n v="467"/>
    <n v="2450"/>
    <n v="3"/>
    <s v="Tech Enthusiasts"/>
    <x v="140"/>
  </r>
  <r>
    <s v="TechCorp"/>
    <x v="0"/>
    <s v="Women 25-34"/>
    <s v="30 days"/>
    <x v="1"/>
    <n v="0.14000000000000001"/>
    <n v="17183"/>
    <n v="3.58"/>
    <n v="43"/>
    <n v="399.60465116279067"/>
    <s v="Los Angeles"/>
    <s v="German"/>
    <n v="308"/>
    <n v="7984"/>
    <n v="2"/>
    <s v="Health &amp; Wellness"/>
    <x v="141"/>
  </r>
  <r>
    <s v="Alpha Innovations"/>
    <x v="2"/>
    <s v="Women 25-34"/>
    <s v="60 days"/>
    <x v="3"/>
    <n v="0.14000000000000001"/>
    <n v="15890"/>
    <n v="2.56"/>
    <n v="52"/>
    <n v="305.57692307692309"/>
    <s v="Houston"/>
    <s v="Spanish"/>
    <n v="374"/>
    <n v="2539"/>
    <n v="7"/>
    <s v="Health &amp; Wellness"/>
    <x v="142"/>
  </r>
  <r>
    <s v="DataTech Solutions"/>
    <x v="4"/>
    <s v="Men 25-34"/>
    <s v="30 days"/>
    <x v="0"/>
    <n v="0.11"/>
    <n v="6341"/>
    <n v="7.07"/>
    <n v="74"/>
    <n v="85.689189189189193"/>
    <s v="Miami"/>
    <s v="German"/>
    <n v="676"/>
    <n v="5334"/>
    <n v="9"/>
    <s v="Fashionistas"/>
    <x v="143"/>
  </r>
  <r>
    <s v="NexGen Systems"/>
    <x v="2"/>
    <s v="Women 25-34"/>
    <s v="45 days"/>
    <x v="5"/>
    <n v="0.12"/>
    <n v="16615"/>
    <n v="7.92"/>
    <n v="36"/>
    <n v="461.52777777777777"/>
    <s v="Los Angeles"/>
    <s v="English"/>
    <n v="301"/>
    <n v="3473"/>
    <n v="5"/>
    <s v="Health &amp; Wellness"/>
    <x v="144"/>
  </r>
  <r>
    <s v="TechCorp"/>
    <x v="0"/>
    <s v="Women 35-44"/>
    <s v="45 days"/>
    <x v="3"/>
    <n v="7.0000000000000007E-2"/>
    <n v="18822"/>
    <n v="7.77"/>
    <n v="33"/>
    <n v="570.36363636363637"/>
    <s v="New York"/>
    <s v="Mandarin"/>
    <n v="471"/>
    <n v="9465"/>
    <n v="10"/>
    <s v="Tech Enthusiasts"/>
    <x v="145"/>
  </r>
  <r>
    <s v="DataTech Solutions"/>
    <x v="3"/>
    <s v="All Ages"/>
    <s v="30 days"/>
    <x v="4"/>
    <n v="7.0000000000000007E-2"/>
    <n v="15713"/>
    <n v="7.67"/>
    <n v="12"/>
    <n v="1309.4166666666667"/>
    <s v="Los Angeles"/>
    <s v="English"/>
    <n v="167"/>
    <n v="5803"/>
    <n v="9"/>
    <s v="Foodies"/>
    <x v="146"/>
  </r>
  <r>
    <s v="TechCorp"/>
    <x v="1"/>
    <s v="Women 25-34"/>
    <s v="60 days"/>
    <x v="0"/>
    <n v="0.12"/>
    <n v="19754"/>
    <n v="3.85"/>
    <n v="48"/>
    <n v="411.54166666666669"/>
    <s v="New York"/>
    <s v="Spanish"/>
    <n v="397"/>
    <n v="9308"/>
    <n v="7"/>
    <s v="Health &amp; Wellness"/>
    <x v="147"/>
  </r>
  <r>
    <s v="Alpha Innovations"/>
    <x v="4"/>
    <s v="Men 18-24"/>
    <s v="30 days"/>
    <x v="4"/>
    <n v="0.03"/>
    <n v="16073"/>
    <n v="5.97"/>
    <n v="8"/>
    <n v="2009.125"/>
    <s v="Miami"/>
    <s v="French"/>
    <n v="260"/>
    <n v="7086"/>
    <n v="9"/>
    <s v="Fashionistas"/>
    <x v="148"/>
  </r>
  <r>
    <s v="NexGen Systems"/>
    <x v="3"/>
    <s v="Men 25-34"/>
    <s v="45 days"/>
    <x v="2"/>
    <n v="0.13"/>
    <n v="13716"/>
    <n v="6.03"/>
    <n v="88"/>
    <n v="155.86363636363637"/>
    <s v="Houston"/>
    <s v="Spanish"/>
    <n v="676"/>
    <n v="6304"/>
    <n v="9"/>
    <s v="Foodies"/>
    <x v="149"/>
  </r>
  <r>
    <s v="NexGen Systems"/>
    <x v="2"/>
    <s v="All Ages"/>
    <s v="15 days"/>
    <x v="4"/>
    <n v="0.08"/>
    <n v="12341"/>
    <n v="4.97"/>
    <n v="41"/>
    <n v="301"/>
    <s v="Houston"/>
    <s v="English"/>
    <n v="508"/>
    <n v="6150"/>
    <n v="3"/>
    <s v="Health &amp; Wellness"/>
    <x v="150"/>
  </r>
  <r>
    <s v="Innovate Industries"/>
    <x v="4"/>
    <s v="Men 18-24"/>
    <s v="15 days"/>
    <x v="1"/>
    <n v="0.02"/>
    <n v="13702"/>
    <n v="4.91"/>
    <n v="7"/>
    <n v="1957.4285714285713"/>
    <s v="Miami"/>
    <s v="Mandarin"/>
    <n v="353"/>
    <n v="8771"/>
    <n v="9"/>
    <s v="Foodies"/>
    <x v="151"/>
  </r>
  <r>
    <s v="Alpha Innovations"/>
    <x v="4"/>
    <s v="Women 25-34"/>
    <s v="45 days"/>
    <x v="4"/>
    <n v="0.04"/>
    <n v="18224"/>
    <n v="7.31"/>
    <n v="27"/>
    <n v="674.96296296296293"/>
    <s v="Los Angeles"/>
    <s v="English"/>
    <n v="682"/>
    <n v="4781"/>
    <n v="10"/>
    <s v="Fashionistas"/>
    <x v="152"/>
  </r>
  <r>
    <s v="Alpha Innovations"/>
    <x v="1"/>
    <s v="Men 25-34"/>
    <s v="15 days"/>
    <x v="3"/>
    <n v="0.05"/>
    <n v="15530"/>
    <n v="6.81"/>
    <n v="42"/>
    <n v="369.76190476190476"/>
    <s v="Chicago"/>
    <s v="English"/>
    <n v="830"/>
    <n v="7660"/>
    <n v="8"/>
    <s v="Outdoor Adventurers"/>
    <x v="153"/>
  </r>
  <r>
    <s v="DataTech Solutions"/>
    <x v="2"/>
    <s v="Men 18-24"/>
    <s v="30 days"/>
    <x v="3"/>
    <n v="0.14000000000000001"/>
    <n v="19102"/>
    <n v="4.9800000000000004"/>
    <n v="103"/>
    <n v="185.45631067961165"/>
    <s v="Miami"/>
    <s v="Mandarin"/>
    <n v="736"/>
    <n v="2811"/>
    <n v="5"/>
    <s v="Outdoor Adventurers"/>
    <x v="154"/>
  </r>
  <r>
    <s v="NexGen Systems"/>
    <x v="3"/>
    <s v="Women 35-44"/>
    <s v="60 days"/>
    <x v="2"/>
    <n v="0.14000000000000001"/>
    <n v="17123"/>
    <n v="3.31"/>
    <n v="134"/>
    <n v="127.78358208955224"/>
    <s v="Chicago"/>
    <s v="French"/>
    <n v="955"/>
    <n v="5738"/>
    <n v="7"/>
    <s v="Foodies"/>
    <x v="155"/>
  </r>
  <r>
    <s v="NexGen Systems"/>
    <x v="3"/>
    <s v="Women 25-34"/>
    <s v="15 days"/>
    <x v="1"/>
    <n v="0.02"/>
    <n v="8103"/>
    <n v="5.85"/>
    <n v="5"/>
    <n v="1620.6"/>
    <s v="New York"/>
    <s v="Spanish"/>
    <n v="262"/>
    <n v="9494"/>
    <n v="10"/>
    <s v="Outdoor Adventurers"/>
    <x v="156"/>
  </r>
  <r>
    <s v="NexGen Systems"/>
    <x v="2"/>
    <s v="Men 25-34"/>
    <s v="60 days"/>
    <x v="4"/>
    <n v="0.12"/>
    <n v="6787"/>
    <n v="7.17"/>
    <n v="93"/>
    <n v="72.978494623655919"/>
    <s v="Los Angeles"/>
    <s v="English"/>
    <n v="776"/>
    <n v="3071"/>
    <n v="6"/>
    <s v="Foodies"/>
    <x v="157"/>
  </r>
  <r>
    <s v="Innovate Industries"/>
    <x v="4"/>
    <s v="Men 18-24"/>
    <s v="30 days"/>
    <x v="2"/>
    <n v="0.09"/>
    <n v="18464"/>
    <n v="7.86"/>
    <n v="79"/>
    <n v="233.72151898734177"/>
    <s v="Los Angeles"/>
    <s v="English"/>
    <n v="883"/>
    <n v="7234"/>
    <n v="4"/>
    <s v="Tech Enthusiasts"/>
    <x v="158"/>
  </r>
  <r>
    <s v="Innovate Industries"/>
    <x v="3"/>
    <s v="Women 35-44"/>
    <s v="30 days"/>
    <x v="1"/>
    <n v="0.08"/>
    <n v="5214"/>
    <n v="5.41"/>
    <n v="79"/>
    <n v="66"/>
    <s v="New York"/>
    <s v="Spanish"/>
    <n v="986"/>
    <n v="5047"/>
    <n v="3"/>
    <s v="Fashionistas"/>
    <x v="159"/>
  </r>
  <r>
    <s v="TechCorp"/>
    <x v="1"/>
    <s v="Men 18-24"/>
    <s v="30 days"/>
    <x v="5"/>
    <n v="7.0000000000000007E-2"/>
    <n v="17678"/>
    <n v="4.7699999999999996"/>
    <n v="15"/>
    <n v="1178.5333333333333"/>
    <s v="Houston"/>
    <s v="German"/>
    <n v="215"/>
    <n v="6302"/>
    <n v="10"/>
    <s v="Foodies"/>
    <x v="160"/>
  </r>
  <r>
    <s v="NexGen Systems"/>
    <x v="4"/>
    <s v="All Ages"/>
    <s v="30 days"/>
    <x v="3"/>
    <n v="0.14000000000000001"/>
    <n v="10365"/>
    <n v="3.23"/>
    <n v="135"/>
    <n v="76.777777777777771"/>
    <s v="Miami"/>
    <s v="Spanish"/>
    <n v="965"/>
    <n v="1167"/>
    <n v="8"/>
    <s v="Outdoor Adventurers"/>
    <x v="161"/>
  </r>
  <r>
    <s v="NexGen Systems"/>
    <x v="0"/>
    <s v="All Ages"/>
    <s v="60 days"/>
    <x v="2"/>
    <n v="0.09"/>
    <n v="11139"/>
    <n v="7.54"/>
    <n v="58"/>
    <n v="192.05172413793105"/>
    <s v="Los Angeles"/>
    <s v="Mandarin"/>
    <n v="640"/>
    <n v="1144"/>
    <n v="7"/>
    <s v="Tech Enthusiasts"/>
    <x v="162"/>
  </r>
  <r>
    <s v="DataTech Solutions"/>
    <x v="3"/>
    <s v="Men 18-24"/>
    <s v="45 days"/>
    <x v="2"/>
    <n v="0.1"/>
    <n v="18407"/>
    <n v="2.2400000000000002"/>
    <n v="39"/>
    <n v="471.97435897435895"/>
    <s v="Chicago"/>
    <s v="German"/>
    <n v="388"/>
    <n v="2697"/>
    <n v="10"/>
    <s v="Tech Enthusiasts"/>
    <x v="163"/>
  </r>
  <r>
    <s v="TechCorp"/>
    <x v="1"/>
    <s v="Men 18-24"/>
    <s v="60 days"/>
    <x v="2"/>
    <n v="7.0000000000000007E-2"/>
    <n v="10863"/>
    <n v="5.21"/>
    <n v="35"/>
    <n v="310.37142857142857"/>
    <s v="Miami"/>
    <s v="Spanish"/>
    <n v="494"/>
    <n v="5354"/>
    <n v="10"/>
    <s v="Foodies"/>
    <x v="164"/>
  </r>
  <r>
    <s v="Alpha Innovations"/>
    <x v="3"/>
    <s v="Women 35-44"/>
    <s v="45 days"/>
    <x v="2"/>
    <n v="0.09"/>
    <n v="11535"/>
    <n v="6.44"/>
    <n v="39"/>
    <n v="295.76923076923077"/>
    <s v="Chicago"/>
    <s v="Spanish"/>
    <n v="432"/>
    <n v="8524"/>
    <n v="6"/>
    <s v="Tech Enthusiasts"/>
    <x v="165"/>
  </r>
  <r>
    <s v="Alpha Innovations"/>
    <x v="3"/>
    <s v="Men 18-24"/>
    <s v="15 days"/>
    <x v="1"/>
    <n v="0.03"/>
    <n v="16117"/>
    <n v="6.68"/>
    <n v="7"/>
    <n v="2302.4285714285716"/>
    <s v="Los Angeles"/>
    <s v="Spanish"/>
    <n v="237"/>
    <n v="7706"/>
    <n v="3"/>
    <s v="Tech Enthusiasts"/>
    <x v="166"/>
  </r>
  <r>
    <s v="TechCorp"/>
    <x v="0"/>
    <s v="Men 18-24"/>
    <s v="60 days"/>
    <x v="4"/>
    <n v="0.05"/>
    <n v="7641"/>
    <n v="5.05"/>
    <n v="12"/>
    <n v="636.75"/>
    <s v="Los Angeles"/>
    <s v="French"/>
    <n v="247"/>
    <n v="6859"/>
    <n v="10"/>
    <s v="Outdoor Adventurers"/>
    <x v="167"/>
  </r>
  <r>
    <s v="Alpha Innovations"/>
    <x v="3"/>
    <s v="Men 18-24"/>
    <s v="15 days"/>
    <x v="3"/>
    <n v="7.0000000000000007E-2"/>
    <n v="19122"/>
    <n v="5.86"/>
    <n v="59"/>
    <n v="324.10169491525426"/>
    <s v="Los Angeles"/>
    <s v="French"/>
    <n v="849"/>
    <n v="4127"/>
    <n v="8"/>
    <s v="Fashionistas"/>
    <x v="168"/>
  </r>
  <r>
    <s v="Alpha Innovations"/>
    <x v="1"/>
    <s v="Men 18-24"/>
    <s v="45 days"/>
    <x v="0"/>
    <n v="7.0000000000000007E-2"/>
    <n v="19905"/>
    <n v="3.28"/>
    <n v="29"/>
    <n v="686.37931034482756"/>
    <s v="New York"/>
    <s v="French"/>
    <n v="421"/>
    <n v="9220"/>
    <n v="1"/>
    <s v="Health &amp; Wellness"/>
    <x v="169"/>
  </r>
  <r>
    <s v="NexGen Systems"/>
    <x v="3"/>
    <s v="Men 18-24"/>
    <s v="30 days"/>
    <x v="1"/>
    <n v="0.03"/>
    <n v="9710"/>
    <n v="6.11"/>
    <n v="23"/>
    <n v="422.17391304347825"/>
    <s v="Chicago"/>
    <s v="French"/>
    <n v="775"/>
    <n v="1378"/>
    <n v="6"/>
    <s v="Foodies"/>
    <x v="170"/>
  </r>
  <r>
    <s v="DataTech Solutions"/>
    <x v="2"/>
    <s v="Women 35-44"/>
    <s v="30 days"/>
    <x v="4"/>
    <n v="0.06"/>
    <n v="11135"/>
    <n v="5.55"/>
    <n v="9"/>
    <n v="1237.2222222222222"/>
    <s v="Los Angeles"/>
    <s v="German"/>
    <n v="158"/>
    <n v="9372"/>
    <n v="5"/>
    <s v="Tech Enthusiasts"/>
    <x v="171"/>
  </r>
  <r>
    <s v="Innovate Industries"/>
    <x v="3"/>
    <s v="All Ages"/>
    <s v="15 days"/>
    <x v="1"/>
    <n v="0.02"/>
    <n v="18860"/>
    <n v="5.67"/>
    <n v="12"/>
    <n v="1571.6666666666667"/>
    <s v="Miami"/>
    <s v="Spanish"/>
    <n v="581"/>
    <n v="1624"/>
    <n v="9"/>
    <s v="Health &amp; Wellness"/>
    <x v="172"/>
  </r>
  <r>
    <s v="NexGen Systems"/>
    <x v="1"/>
    <s v="Women 35-44"/>
    <s v="60 days"/>
    <x v="0"/>
    <n v="0.13"/>
    <n v="9642"/>
    <n v="5.04"/>
    <n v="97"/>
    <n v="99.402061855670098"/>
    <s v="Los Angeles"/>
    <s v="French"/>
    <n v="745"/>
    <n v="1803"/>
    <n v="8"/>
    <s v="Outdoor Adventurers"/>
    <x v="173"/>
  </r>
  <r>
    <s v="NexGen Systems"/>
    <x v="4"/>
    <s v="Men 25-34"/>
    <s v="15 days"/>
    <x v="2"/>
    <n v="7.0000000000000007E-2"/>
    <n v="9225"/>
    <n v="7.88"/>
    <n v="59"/>
    <n v="156.35593220338984"/>
    <s v="Los Angeles"/>
    <s v="Mandarin"/>
    <n v="837"/>
    <n v="1454"/>
    <n v="4"/>
    <s v="Tech Enthusiasts"/>
    <x v="174"/>
  </r>
  <r>
    <s v="DataTech Solutions"/>
    <x v="3"/>
    <s v="Women 25-34"/>
    <s v="30 days"/>
    <x v="0"/>
    <n v="7.0000000000000007E-2"/>
    <n v="12493"/>
    <n v="6.26"/>
    <n v="19"/>
    <n v="657.52631578947364"/>
    <s v="Chicago"/>
    <s v="Mandarin"/>
    <n v="265"/>
    <n v="1716"/>
    <n v="1"/>
    <s v="Foodies"/>
    <x v="175"/>
  </r>
  <r>
    <s v="DataTech Solutions"/>
    <x v="0"/>
    <s v="Women 25-34"/>
    <s v="45 days"/>
    <x v="5"/>
    <n v="0.12"/>
    <n v="14740"/>
    <n v="2.29"/>
    <n v="113"/>
    <n v="130.44247787610618"/>
    <s v="Chicago"/>
    <s v="Spanish"/>
    <n v="941"/>
    <n v="4716"/>
    <n v="2"/>
    <s v="Fashionistas"/>
    <x v="176"/>
  </r>
  <r>
    <s v="TechCorp"/>
    <x v="3"/>
    <s v="All Ages"/>
    <s v="60 days"/>
    <x v="1"/>
    <n v="0.05"/>
    <n v="17300"/>
    <n v="6.46"/>
    <n v="26"/>
    <n v="665.38461538461536"/>
    <s v="New York"/>
    <s v="German"/>
    <n v="517"/>
    <n v="4930"/>
    <n v="1"/>
    <s v="Health &amp; Wellness"/>
    <x v="177"/>
  </r>
  <r>
    <s v="TechCorp"/>
    <x v="0"/>
    <s v="Men 25-34"/>
    <s v="30 days"/>
    <x v="2"/>
    <n v="0.13"/>
    <n v="7787"/>
    <n v="2.79"/>
    <n v="52"/>
    <n v="149.75"/>
    <s v="New York"/>
    <s v="Spanish"/>
    <n v="403"/>
    <n v="9196"/>
    <n v="5"/>
    <s v="Health &amp; Wellness"/>
    <x v="178"/>
  </r>
  <r>
    <s v="NexGen Systems"/>
    <x v="2"/>
    <s v="Men 18-24"/>
    <s v="60 days"/>
    <x v="5"/>
    <n v="0.06"/>
    <n v="7865"/>
    <n v="3.61"/>
    <n v="54"/>
    <n v="145.64814814814815"/>
    <s v="Houston"/>
    <s v="Mandarin"/>
    <n v="905"/>
    <n v="8601"/>
    <n v="5"/>
    <s v="Foodies"/>
    <x v="179"/>
  </r>
  <r>
    <s v="TechCorp"/>
    <x v="0"/>
    <s v="Men 18-24"/>
    <s v="15 days"/>
    <x v="1"/>
    <n v="0.13"/>
    <n v="14184"/>
    <n v="2.02"/>
    <n v="99"/>
    <n v="143.27272727272728"/>
    <s v="New York"/>
    <s v="Mandarin"/>
    <n v="761"/>
    <n v="3562"/>
    <n v="4"/>
    <s v="Health &amp; Wellness"/>
    <x v="180"/>
  </r>
  <r>
    <s v="NexGen Systems"/>
    <x v="1"/>
    <s v="Men 18-24"/>
    <s v="60 days"/>
    <x v="0"/>
    <n v="7.0000000000000007E-2"/>
    <n v="10088"/>
    <n v="5.79"/>
    <n v="64"/>
    <n v="157.625"/>
    <s v="New York"/>
    <s v="Mandarin"/>
    <n v="921"/>
    <n v="9943"/>
    <n v="10"/>
    <s v="Fashionistas"/>
    <x v="181"/>
  </r>
  <r>
    <s v="NexGen Systems"/>
    <x v="3"/>
    <s v="All Ages"/>
    <s v="15 days"/>
    <x v="2"/>
    <n v="0.14000000000000001"/>
    <n v="6341"/>
    <n v="7.89"/>
    <n v="64"/>
    <n v="99.078125"/>
    <s v="New York"/>
    <s v="French"/>
    <n v="457"/>
    <n v="2621"/>
    <n v="3"/>
    <s v="Foodies"/>
    <x v="182"/>
  </r>
  <r>
    <s v="TechCorp"/>
    <x v="1"/>
    <s v="Women 35-44"/>
    <s v="30 days"/>
    <x v="5"/>
    <n v="0.11"/>
    <n v="16691"/>
    <n v="6.12"/>
    <n v="47"/>
    <n v="355.12765957446811"/>
    <s v="Miami"/>
    <s v="English"/>
    <n v="430"/>
    <n v="5430"/>
    <n v="7"/>
    <s v="Tech Enthusiasts"/>
    <x v="183"/>
  </r>
  <r>
    <s v="NexGen Systems"/>
    <x v="0"/>
    <s v="Women 35-44"/>
    <s v="15 days"/>
    <x v="3"/>
    <n v="0.05"/>
    <n v="5279"/>
    <n v="7.26"/>
    <n v="49"/>
    <n v="107.73469387755102"/>
    <s v="Los Angeles"/>
    <s v="English"/>
    <n v="973"/>
    <n v="1947"/>
    <n v="2"/>
    <s v="Outdoor Adventurers"/>
    <x v="184"/>
  </r>
  <r>
    <s v="NexGen Systems"/>
    <x v="0"/>
    <s v="Women 25-34"/>
    <s v="30 days"/>
    <x v="3"/>
    <n v="0.14000000000000001"/>
    <n v="13778"/>
    <n v="3.57"/>
    <n v="18"/>
    <n v="765.44444444444446"/>
    <s v="Houston"/>
    <s v="Mandarin"/>
    <n v="129"/>
    <n v="2538"/>
    <n v="4"/>
    <s v="Tech Enthusiasts"/>
    <x v="185"/>
  </r>
  <r>
    <s v="Alpha Innovations"/>
    <x v="1"/>
    <s v="Men 25-34"/>
    <s v="60 days"/>
    <x v="5"/>
    <n v="0.1"/>
    <n v="16094"/>
    <n v="5.65"/>
    <n v="70"/>
    <n v="229.91428571428571"/>
    <s v="Chicago"/>
    <s v="Spanish"/>
    <n v="698"/>
    <n v="2868"/>
    <n v="3"/>
    <s v="Fashionistas"/>
    <x v="186"/>
  </r>
  <r>
    <s v="Innovate Industries"/>
    <x v="0"/>
    <s v="Women 25-34"/>
    <s v="30 days"/>
    <x v="5"/>
    <n v="0.04"/>
    <n v="16512"/>
    <n v="2.81"/>
    <n v="24"/>
    <n v="688"/>
    <s v="Chicago"/>
    <s v="English"/>
    <n v="588"/>
    <n v="4161"/>
    <n v="10"/>
    <s v="Fashionistas"/>
    <x v="187"/>
  </r>
  <r>
    <s v="Alpha Innovations"/>
    <x v="0"/>
    <s v="Men 18-24"/>
    <s v="30 days"/>
    <x v="0"/>
    <n v="0.05"/>
    <n v="7247"/>
    <n v="7.85"/>
    <n v="7"/>
    <n v="1035.2857142857142"/>
    <s v="Chicago"/>
    <s v="German"/>
    <n v="141"/>
    <n v="6235"/>
    <n v="4"/>
    <s v="Fashionistas"/>
    <x v="188"/>
  </r>
  <r>
    <s v="NexGen Systems"/>
    <x v="1"/>
    <s v="All Ages"/>
    <s v="15 days"/>
    <x v="5"/>
    <n v="0.02"/>
    <n v="5244"/>
    <n v="5.29"/>
    <n v="8"/>
    <n v="655.5"/>
    <s v="Chicago"/>
    <s v="German"/>
    <n v="416"/>
    <n v="3785"/>
    <n v="9"/>
    <s v="Tech Enthusiasts"/>
    <x v="189"/>
  </r>
  <r>
    <s v="Innovate Industries"/>
    <x v="0"/>
    <s v="Women 35-44"/>
    <s v="30 days"/>
    <x v="4"/>
    <n v="0.15"/>
    <n v="14082"/>
    <n v="7.44"/>
    <n v="98"/>
    <n v="143.69387755102042"/>
    <s v="Miami"/>
    <s v="Spanish"/>
    <n v="655"/>
    <n v="9066"/>
    <n v="2"/>
    <s v="Outdoor Adventurers"/>
    <x v="190"/>
  </r>
  <r>
    <s v="TechCorp"/>
    <x v="4"/>
    <s v="Men 18-24"/>
    <s v="60 days"/>
    <x v="5"/>
    <n v="0.11"/>
    <n v="17786"/>
    <n v="5.89"/>
    <n v="61"/>
    <n v="291.57377049180326"/>
    <s v="Los Angeles"/>
    <s v="English"/>
    <n v="557"/>
    <n v="9866"/>
    <n v="5"/>
    <s v="Foodies"/>
    <x v="191"/>
  </r>
  <r>
    <s v="Innovate Industries"/>
    <x v="1"/>
    <s v="Men 18-24"/>
    <s v="15 days"/>
    <x v="4"/>
    <n v="0.08"/>
    <n v="19714"/>
    <n v="3.57"/>
    <n v="33"/>
    <n v="597.39393939393938"/>
    <s v="Miami"/>
    <s v="Spanish"/>
    <n v="411"/>
    <n v="2211"/>
    <n v="3"/>
    <s v="Foodies"/>
    <x v="192"/>
  </r>
  <r>
    <s v="Innovate Industries"/>
    <x v="2"/>
    <s v="Men 25-34"/>
    <s v="60 days"/>
    <x v="2"/>
    <n v="0.03"/>
    <n v="6582"/>
    <n v="3.1"/>
    <n v="23"/>
    <n v="286.17391304347825"/>
    <s v="Chicago"/>
    <s v="German"/>
    <n v="750"/>
    <n v="5588"/>
    <n v="7"/>
    <s v="Health &amp; Wellness"/>
    <x v="193"/>
  </r>
  <r>
    <s v="Innovate Industries"/>
    <x v="0"/>
    <s v="All Ages"/>
    <s v="60 days"/>
    <x v="0"/>
    <n v="0.1"/>
    <n v="16574"/>
    <n v="4.82"/>
    <n v="26"/>
    <n v="637.46153846153845"/>
    <s v="Miami"/>
    <s v="English"/>
    <n v="260"/>
    <n v="2996"/>
    <n v="10"/>
    <s v="Fashionistas"/>
    <x v="194"/>
  </r>
  <r>
    <s v="TechCorp"/>
    <x v="0"/>
    <s v="All Ages"/>
    <s v="60 days"/>
    <x v="5"/>
    <n v="0.1"/>
    <n v="18996"/>
    <n v="3.12"/>
    <n v="89"/>
    <n v="213.43820224719101"/>
    <s v="Los Angeles"/>
    <s v="Spanish"/>
    <n v="890"/>
    <n v="8676"/>
    <n v="4"/>
    <s v="Health &amp; Wellness"/>
    <x v="195"/>
  </r>
  <r>
    <s v="Alpha Innovations"/>
    <x v="1"/>
    <s v="Women 25-34"/>
    <s v="30 days"/>
    <x v="2"/>
    <n v="0.12"/>
    <n v="13107"/>
    <n v="4.87"/>
    <n v="41"/>
    <n v="319.6829268292683"/>
    <s v="Miami"/>
    <s v="German"/>
    <n v="340"/>
    <n v="6394"/>
    <n v="2"/>
    <s v="Tech Enthusiasts"/>
    <x v="196"/>
  </r>
  <r>
    <s v="Alpha Innovations"/>
    <x v="1"/>
    <s v="Men 25-34"/>
    <s v="15 days"/>
    <x v="3"/>
    <n v="0.09"/>
    <n v="5801"/>
    <n v="7.42"/>
    <n v="64"/>
    <n v="90.640625"/>
    <s v="New York"/>
    <s v="French"/>
    <n v="714"/>
    <n v="2288"/>
    <n v="2"/>
    <s v="Health &amp; Wellness"/>
    <x v="197"/>
  </r>
  <r>
    <s v="TechCorp"/>
    <x v="1"/>
    <s v="Men 18-24"/>
    <s v="15 days"/>
    <x v="0"/>
    <n v="0.09"/>
    <n v="8660"/>
    <n v="6.38"/>
    <n v="15"/>
    <n v="577.33333333333337"/>
    <s v="Los Angeles"/>
    <s v="Spanish"/>
    <n v="172"/>
    <n v="9548"/>
    <n v="2"/>
    <s v="Outdoor Adventurers"/>
    <x v="198"/>
  </r>
  <r>
    <s v="Innovate Industries"/>
    <x v="2"/>
    <s v="Women 35-44"/>
    <s v="30 days"/>
    <x v="3"/>
    <n v="0.13"/>
    <n v="9283"/>
    <n v="2.1800000000000002"/>
    <n v="47"/>
    <n v="197.51063829787233"/>
    <s v="Houston"/>
    <s v="Spanish"/>
    <n v="363"/>
    <n v="6711"/>
    <n v="1"/>
    <s v="Health &amp; Wellness"/>
    <x v="199"/>
  </r>
  <r>
    <s v="Alpha Innovations"/>
    <x v="1"/>
    <s v="All Ages"/>
    <s v="60 days"/>
    <x v="2"/>
    <n v="0.1"/>
    <n v="12002"/>
    <n v="6.53"/>
    <n v="88"/>
    <n v="136.38636363636363"/>
    <s v="Houston"/>
    <s v="German"/>
    <n v="876"/>
    <n v="6554"/>
    <n v="7"/>
    <s v="Health &amp; Wellness"/>
    <x v="200"/>
  </r>
  <r>
    <s v="NexGen Systems"/>
    <x v="2"/>
    <s v="All Ages"/>
    <s v="15 days"/>
    <x v="3"/>
    <n v="0.08"/>
    <n v="12929"/>
    <n v="4.6399999999999997"/>
    <n v="48"/>
    <n v="269.35416666666669"/>
    <s v="Los Angeles"/>
    <s v="Spanish"/>
    <n v="605"/>
    <n v="4566"/>
    <n v="7"/>
    <s v="Tech Enthusiasts"/>
    <x v="201"/>
  </r>
  <r>
    <s v="TechCorp"/>
    <x v="3"/>
    <s v="Men 25-34"/>
    <s v="45 days"/>
    <x v="0"/>
    <n v="0.12"/>
    <n v="16013"/>
    <n v="4.75"/>
    <n v="87"/>
    <n v="184.05747126436782"/>
    <s v="Chicago"/>
    <s v="German"/>
    <n v="727"/>
    <n v="1353"/>
    <n v="9"/>
    <s v="Outdoor Adventurers"/>
    <x v="202"/>
  </r>
  <r>
    <s v="Alpha Innovations"/>
    <x v="3"/>
    <s v="All Ages"/>
    <s v="15 days"/>
    <x v="0"/>
    <n v="0.08"/>
    <n v="6640"/>
    <n v="4.53"/>
    <n v="41"/>
    <n v="161.95121951219511"/>
    <s v="Miami"/>
    <s v="English"/>
    <n v="508"/>
    <n v="2900"/>
    <n v="6"/>
    <s v="Outdoor Adventurers"/>
    <x v="203"/>
  </r>
  <r>
    <s v="DataTech Solutions"/>
    <x v="0"/>
    <s v="Men 25-34"/>
    <s v="60 days"/>
    <x v="2"/>
    <n v="0.05"/>
    <n v="12075"/>
    <n v="2.84"/>
    <n v="13"/>
    <n v="928.84615384615381"/>
    <s v="Houston"/>
    <s v="Mandarin"/>
    <n v="261"/>
    <n v="8859"/>
    <n v="3"/>
    <s v="Outdoor Adventurers"/>
    <x v="204"/>
  </r>
  <r>
    <s v="Alpha Innovations"/>
    <x v="0"/>
    <s v="All Ages"/>
    <s v="60 days"/>
    <x v="0"/>
    <n v="0.12"/>
    <n v="5236"/>
    <n v="6.38"/>
    <n v="53"/>
    <n v="98.79245283018868"/>
    <s v="Miami"/>
    <s v="Spanish"/>
    <n v="444"/>
    <n v="4623"/>
    <n v="10"/>
    <s v="Foodies"/>
    <x v="205"/>
  </r>
  <r>
    <s v="NexGen Systems"/>
    <x v="4"/>
    <s v="All Ages"/>
    <s v="45 days"/>
    <x v="0"/>
    <n v="0.13"/>
    <n v="18195"/>
    <n v="6.35"/>
    <n v="82"/>
    <n v="221.89024390243901"/>
    <s v="Chicago"/>
    <s v="English"/>
    <n v="629"/>
    <n v="2473"/>
    <n v="10"/>
    <s v="Health &amp; Wellness"/>
    <x v="206"/>
  </r>
  <r>
    <s v="DataTech Solutions"/>
    <x v="4"/>
    <s v="Women 35-44"/>
    <s v="60 days"/>
    <x v="1"/>
    <n v="0.06"/>
    <n v="12557"/>
    <n v="6.76"/>
    <n v="21"/>
    <n v="597.95238095238096"/>
    <s v="Houston"/>
    <s v="English"/>
    <n v="348"/>
    <n v="5800"/>
    <n v="6"/>
    <s v="Health &amp; Wellness"/>
    <x v="207"/>
  </r>
  <r>
    <s v="TechCorp"/>
    <x v="4"/>
    <s v="Women 35-44"/>
    <s v="30 days"/>
    <x v="5"/>
    <n v="0.04"/>
    <n v="12024"/>
    <n v="7.03"/>
    <n v="39"/>
    <n v="308.30769230769232"/>
    <s v="Miami"/>
    <s v="English"/>
    <n v="971"/>
    <n v="7660"/>
    <n v="3"/>
    <s v="Health &amp; Wellness"/>
    <x v="208"/>
  </r>
  <r>
    <s v="NexGen Systems"/>
    <x v="1"/>
    <s v="Men 25-34"/>
    <s v="15 days"/>
    <x v="4"/>
    <n v="0.08"/>
    <n v="13831"/>
    <n v="5.76"/>
    <n v="11"/>
    <n v="1257.3636363636363"/>
    <s v="Los Angeles"/>
    <s v="French"/>
    <n v="133"/>
    <n v="2508"/>
    <n v="6"/>
    <s v="Fashionistas"/>
    <x v="209"/>
  </r>
  <r>
    <s v="NexGen Systems"/>
    <x v="2"/>
    <s v="All Ages"/>
    <s v="15 days"/>
    <x v="2"/>
    <n v="0.04"/>
    <n v="14207"/>
    <n v="2.87"/>
    <n v="38"/>
    <n v="373.86842105263156"/>
    <s v="Houston"/>
    <s v="English"/>
    <n v="952"/>
    <n v="7391"/>
    <n v="10"/>
    <s v="Outdoor Adventurers"/>
    <x v="210"/>
  </r>
  <r>
    <s v="Innovate Industries"/>
    <x v="0"/>
    <s v="Men 18-24"/>
    <s v="45 days"/>
    <x v="2"/>
    <n v="0.14000000000000001"/>
    <n v="10698"/>
    <n v="5.45"/>
    <n v="83"/>
    <n v="128.89156626506025"/>
    <s v="Houston"/>
    <s v="Spanish"/>
    <n v="593"/>
    <n v="8788"/>
    <n v="8"/>
    <s v="Tech Enthusiasts"/>
    <x v="211"/>
  </r>
  <r>
    <s v="NexGen Systems"/>
    <x v="2"/>
    <s v="All Ages"/>
    <s v="60 days"/>
    <x v="0"/>
    <n v="0.02"/>
    <n v="7321"/>
    <n v="2.21"/>
    <n v="18"/>
    <n v="406.72222222222223"/>
    <s v="Chicago"/>
    <s v="English"/>
    <n v="897"/>
    <n v="5065"/>
    <n v="9"/>
    <s v="Health &amp; Wellness"/>
    <x v="212"/>
  </r>
  <r>
    <s v="TechCorp"/>
    <x v="0"/>
    <s v="Women 25-34"/>
    <s v="30 days"/>
    <x v="5"/>
    <n v="0.12"/>
    <n v="5070"/>
    <n v="3.7"/>
    <n v="112"/>
    <n v="45.267857142857146"/>
    <s v="New York"/>
    <s v="German"/>
    <n v="934"/>
    <n v="3769"/>
    <n v="4"/>
    <s v="Tech Enthusiasts"/>
    <x v="213"/>
  </r>
  <r>
    <s v="Innovate Industries"/>
    <x v="0"/>
    <s v="Men 25-34"/>
    <s v="45 days"/>
    <x v="3"/>
    <n v="0.09"/>
    <n v="8417"/>
    <n v="7.54"/>
    <n v="53"/>
    <n v="158.81132075471697"/>
    <s v="Miami"/>
    <s v="English"/>
    <n v="594"/>
    <n v="8142"/>
    <n v="3"/>
    <s v="Health &amp; Wellness"/>
    <x v="214"/>
  </r>
  <r>
    <s v="DataTech Solutions"/>
    <x v="4"/>
    <s v="Men 18-24"/>
    <s v="15 days"/>
    <x v="5"/>
    <n v="0.09"/>
    <n v="12149"/>
    <n v="7.66"/>
    <n v="14"/>
    <n v="867.78571428571433"/>
    <s v="Chicago"/>
    <s v="Mandarin"/>
    <n v="155"/>
    <n v="1790"/>
    <n v="2"/>
    <s v="Outdoor Adventurers"/>
    <x v="215"/>
  </r>
  <r>
    <s v="Alpha Innovations"/>
    <x v="1"/>
    <s v="Men 25-34"/>
    <s v="60 days"/>
    <x v="2"/>
    <n v="0.05"/>
    <n v="18733"/>
    <n v="2.5499999999999998"/>
    <n v="11"/>
    <n v="1703"/>
    <s v="Los Angeles"/>
    <s v="French"/>
    <n v="213"/>
    <n v="4768"/>
    <n v="3"/>
    <s v="Outdoor Adventurers"/>
    <x v="216"/>
  </r>
  <r>
    <s v="TechCorp"/>
    <x v="1"/>
    <s v="Men 25-34"/>
    <s v="45 days"/>
    <x v="0"/>
    <n v="0.13"/>
    <n v="13282"/>
    <n v="5.03"/>
    <n v="56"/>
    <n v="237.17857142857142"/>
    <s v="Los Angeles"/>
    <s v="English"/>
    <n v="433"/>
    <n v="6849"/>
    <n v="9"/>
    <s v="Health &amp; Wellness"/>
    <x v="217"/>
  </r>
  <r>
    <s v="TechCorp"/>
    <x v="3"/>
    <s v="Women 25-34"/>
    <s v="15 days"/>
    <x v="3"/>
    <n v="7.0000000000000007E-2"/>
    <n v="5027"/>
    <n v="6.02"/>
    <n v="67"/>
    <n v="75.02985074626865"/>
    <s v="Los Angeles"/>
    <s v="Mandarin"/>
    <n v="956"/>
    <n v="3644"/>
    <n v="9"/>
    <s v="Tech Enthusiasts"/>
    <x v="218"/>
  </r>
  <r>
    <s v="DataTech Solutions"/>
    <x v="4"/>
    <s v="Men 18-24"/>
    <s v="15 days"/>
    <x v="4"/>
    <n v="0.14000000000000001"/>
    <n v="14540"/>
    <n v="5.97"/>
    <n v="64"/>
    <n v="227.1875"/>
    <s v="Chicago"/>
    <s v="Spanish"/>
    <n v="454"/>
    <n v="4981"/>
    <n v="6"/>
    <s v="Tech Enthusiasts"/>
    <x v="219"/>
  </r>
  <r>
    <s v="DataTech Solutions"/>
    <x v="3"/>
    <s v="All Ages"/>
    <s v="15 days"/>
    <x v="5"/>
    <n v="0.08"/>
    <n v="10905"/>
    <n v="3.97"/>
    <n v="31"/>
    <n v="351.77419354838707"/>
    <s v="Los Angeles"/>
    <s v="English"/>
    <n v="392"/>
    <n v="8196"/>
    <n v="1"/>
    <s v="Health &amp; Wellness"/>
    <x v="220"/>
  </r>
  <r>
    <s v="DataTech Solutions"/>
    <x v="2"/>
    <s v="Women 25-34"/>
    <s v="60 days"/>
    <x v="3"/>
    <n v="0.06"/>
    <n v="16970"/>
    <n v="7.05"/>
    <n v="18"/>
    <n v="942.77777777777783"/>
    <s v="Houston"/>
    <s v="English"/>
    <n v="305"/>
    <n v="6899"/>
    <n v="3"/>
    <s v="Health &amp; Wellness"/>
    <x v="221"/>
  </r>
  <r>
    <s v="DataTech Solutions"/>
    <x v="0"/>
    <s v="Men 25-34"/>
    <s v="60 days"/>
    <x v="0"/>
    <n v="0.05"/>
    <n v="14910"/>
    <n v="5.27"/>
    <n v="9"/>
    <n v="1656.6666666666667"/>
    <s v="Chicago"/>
    <s v="Spanish"/>
    <n v="187"/>
    <n v="8782"/>
    <n v="2"/>
    <s v="Outdoor Adventurers"/>
    <x v="222"/>
  </r>
  <r>
    <s v="TechCorp"/>
    <x v="0"/>
    <s v="All Ages"/>
    <s v="45 days"/>
    <x v="1"/>
    <n v="0.09"/>
    <n v="12528"/>
    <n v="6.38"/>
    <n v="55"/>
    <n v="227.78181818181818"/>
    <s v="Houston"/>
    <s v="Mandarin"/>
    <n v="607"/>
    <n v="6861"/>
    <n v="7"/>
    <s v="Foodies"/>
    <x v="223"/>
  </r>
  <r>
    <s v="NexGen Systems"/>
    <x v="0"/>
    <s v="Men 25-34"/>
    <s v="15 days"/>
    <x v="1"/>
    <n v="0.04"/>
    <n v="18796"/>
    <n v="6.2"/>
    <n v="21"/>
    <n v="895.04761904761904"/>
    <s v="New York"/>
    <s v="German"/>
    <n v="530"/>
    <n v="3022"/>
    <n v="5"/>
    <s v="Fashionistas"/>
    <x v="224"/>
  </r>
  <r>
    <s v="DataTech Solutions"/>
    <x v="4"/>
    <s v="All Ages"/>
    <s v="60 days"/>
    <x v="5"/>
    <n v="0.09"/>
    <n v="14635"/>
    <n v="2.71"/>
    <n v="16"/>
    <n v="914.6875"/>
    <s v="Miami"/>
    <s v="French"/>
    <n v="177"/>
    <n v="2151"/>
    <n v="10"/>
    <s v="Foodies"/>
    <x v="225"/>
  </r>
  <r>
    <s v="DataTech Solutions"/>
    <x v="2"/>
    <s v="Men 25-34"/>
    <s v="60 days"/>
    <x v="1"/>
    <n v="0.02"/>
    <n v="8562"/>
    <n v="7.83"/>
    <n v="2"/>
    <n v="4281"/>
    <s v="Houston"/>
    <s v="German"/>
    <n v="117"/>
    <n v="9814"/>
    <n v="3"/>
    <s v="Tech Enthusiasts"/>
    <x v="226"/>
  </r>
  <r>
    <s v="TechCorp"/>
    <x v="4"/>
    <s v="Men 25-34"/>
    <s v="60 days"/>
    <x v="2"/>
    <n v="0.08"/>
    <n v="18690"/>
    <n v="5.47"/>
    <n v="48"/>
    <n v="389.375"/>
    <s v="Miami"/>
    <s v="Mandarin"/>
    <n v="598"/>
    <n v="5556"/>
    <n v="8"/>
    <s v="Outdoor Adventurers"/>
    <x v="227"/>
  </r>
  <r>
    <s v="Innovate Industries"/>
    <x v="0"/>
    <s v="Women 35-44"/>
    <s v="30 days"/>
    <x v="3"/>
    <n v="0.12"/>
    <n v="11229"/>
    <n v="7"/>
    <n v="17"/>
    <n v="660.52941176470586"/>
    <s v="Los Angeles"/>
    <s v="French"/>
    <n v="145"/>
    <n v="1535"/>
    <n v="8"/>
    <s v="Fashionistas"/>
    <x v="228"/>
  </r>
  <r>
    <s v="Alpha Innovations"/>
    <x v="1"/>
    <s v="All Ages"/>
    <s v="45 days"/>
    <x v="1"/>
    <n v="0.03"/>
    <n v="8633"/>
    <n v="4.47"/>
    <n v="25"/>
    <n v="345.32"/>
    <s v="Los Angeles"/>
    <s v="French"/>
    <n v="819"/>
    <n v="5487"/>
    <n v="8"/>
    <s v="Fashionistas"/>
    <x v="229"/>
  </r>
  <r>
    <s v="DataTech Solutions"/>
    <x v="2"/>
    <s v="Women 35-44"/>
    <s v="30 days"/>
    <x v="2"/>
    <n v="0.02"/>
    <n v="11529"/>
    <n v="2.4300000000000002"/>
    <n v="18"/>
    <n v="640.5"/>
    <s v="Los Angeles"/>
    <s v="Mandarin"/>
    <n v="881"/>
    <n v="2105"/>
    <n v="4"/>
    <s v="Outdoor Adventurers"/>
    <x v="230"/>
  </r>
  <r>
    <s v="Alpha Innovations"/>
    <x v="1"/>
    <s v="All Ages"/>
    <s v="30 days"/>
    <x v="3"/>
    <n v="0.02"/>
    <n v="13763"/>
    <n v="3.87"/>
    <n v="13"/>
    <n v="1058.6923076923076"/>
    <s v="New York"/>
    <s v="English"/>
    <n v="626"/>
    <n v="5983"/>
    <n v="3"/>
    <s v="Outdoor Adventurers"/>
    <x v="231"/>
  </r>
  <r>
    <s v="TechCorp"/>
    <x v="4"/>
    <s v="All Ages"/>
    <s v="30 days"/>
    <x v="0"/>
    <n v="0.08"/>
    <n v="13348"/>
    <n v="5.08"/>
    <n v="24"/>
    <n v="556.16666666666663"/>
    <s v="Miami"/>
    <s v="French"/>
    <n v="303"/>
    <n v="5330"/>
    <n v="7"/>
    <s v="Tech Enthusiasts"/>
    <x v="232"/>
  </r>
  <r>
    <s v="TechCorp"/>
    <x v="1"/>
    <s v="Men 18-24"/>
    <s v="45 days"/>
    <x v="5"/>
    <n v="0.1"/>
    <n v="17808"/>
    <n v="5.38"/>
    <n v="67"/>
    <n v="265.79104477611941"/>
    <s v="Chicago"/>
    <s v="Mandarin"/>
    <n v="667"/>
    <n v="8500"/>
    <n v="6"/>
    <s v="Tech Enthusiasts"/>
    <x v="233"/>
  </r>
  <r>
    <s v="DataTech Solutions"/>
    <x v="1"/>
    <s v="Men 18-24"/>
    <s v="30 days"/>
    <x v="1"/>
    <n v="0.12"/>
    <n v="5680"/>
    <n v="6.01"/>
    <n v="25"/>
    <n v="227.2"/>
    <s v="Chicago"/>
    <s v="English"/>
    <n v="209"/>
    <n v="8713"/>
    <n v="7"/>
    <s v="Fashionistas"/>
    <x v="234"/>
  </r>
  <r>
    <s v="Innovate Industries"/>
    <x v="4"/>
    <s v="Women 25-34"/>
    <s v="45 days"/>
    <x v="5"/>
    <n v="0.04"/>
    <n v="9893"/>
    <n v="6.7"/>
    <n v="17"/>
    <n v="581.94117647058829"/>
    <s v="Los Angeles"/>
    <s v="French"/>
    <n v="425"/>
    <n v="3307"/>
    <n v="5"/>
    <s v="Tech Enthusiasts"/>
    <x v="235"/>
  </r>
  <r>
    <s v="TechCorp"/>
    <x v="4"/>
    <s v="Men 25-34"/>
    <s v="30 days"/>
    <x v="0"/>
    <n v="0.02"/>
    <n v="18741"/>
    <n v="2.0099999999999998"/>
    <n v="9"/>
    <n v="2082.3333333333335"/>
    <s v="Miami"/>
    <s v="German"/>
    <n v="438"/>
    <n v="6714"/>
    <n v="7"/>
    <s v="Tech Enthusiasts"/>
    <x v="236"/>
  </r>
  <r>
    <s v="TechCorp"/>
    <x v="4"/>
    <s v="Men 18-24"/>
    <s v="45 days"/>
    <x v="4"/>
    <n v="0.09"/>
    <n v="13305"/>
    <n v="2.94"/>
    <n v="65"/>
    <n v="204.69230769230768"/>
    <s v="Houston"/>
    <s v="English"/>
    <n v="722"/>
    <n v="6088"/>
    <n v="9"/>
    <s v="Outdoor Adventurers"/>
    <x v="237"/>
  </r>
  <r>
    <s v="NexGen Systems"/>
    <x v="4"/>
    <s v="Men 25-34"/>
    <s v="45 days"/>
    <x v="4"/>
    <n v="0.04"/>
    <n v="16791"/>
    <n v="6.45"/>
    <n v="32"/>
    <n v="524.71875"/>
    <s v="New York"/>
    <s v="French"/>
    <n v="803"/>
    <n v="9693"/>
    <n v="5"/>
    <s v="Foodies"/>
    <x v="238"/>
  </r>
  <r>
    <s v="TechCorp"/>
    <x v="3"/>
    <s v="Men 18-24"/>
    <s v="15 days"/>
    <x v="0"/>
    <n v="0.01"/>
    <n v="7349"/>
    <n v="7.84"/>
    <n v="4"/>
    <n v="1837.25"/>
    <s v="Los Angeles"/>
    <s v="English"/>
    <n v="434"/>
    <n v="1064"/>
    <n v="2"/>
    <s v="Health &amp; Wellness"/>
    <x v="239"/>
  </r>
  <r>
    <s v="DataTech Solutions"/>
    <x v="0"/>
    <s v="All Ages"/>
    <s v="30 days"/>
    <x v="3"/>
    <n v="0.02"/>
    <n v="15672"/>
    <n v="3.2"/>
    <n v="12"/>
    <n v="1306"/>
    <s v="New York"/>
    <s v="German"/>
    <n v="609"/>
    <n v="1193"/>
    <n v="7"/>
    <s v="Fashionistas"/>
    <x v="240"/>
  </r>
  <r>
    <s v="NexGen Systems"/>
    <x v="3"/>
    <s v="All Ages"/>
    <s v="60 days"/>
    <x v="2"/>
    <n v="0.02"/>
    <n v="15366"/>
    <n v="6.98"/>
    <n v="17"/>
    <n v="903.88235294117646"/>
    <s v="Miami"/>
    <s v="English"/>
    <n v="866"/>
    <n v="5856"/>
    <n v="9"/>
    <s v="Health &amp; Wellness"/>
    <x v="241"/>
  </r>
  <r>
    <s v="TechCorp"/>
    <x v="3"/>
    <s v="Men 25-34"/>
    <s v="30 days"/>
    <x v="3"/>
    <n v="0.06"/>
    <n v="8497"/>
    <n v="6.7"/>
    <n v="34"/>
    <n v="249.91176470588235"/>
    <s v="Chicago"/>
    <s v="French"/>
    <n v="574"/>
    <n v="1948"/>
    <n v="10"/>
    <s v="Fashionistas"/>
    <x v="242"/>
  </r>
  <r>
    <s v="TechCorp"/>
    <x v="4"/>
    <s v="Women 35-44"/>
    <s v="15 days"/>
    <x v="5"/>
    <n v="7.0000000000000007E-2"/>
    <n v="10770"/>
    <n v="5.86"/>
    <n v="67"/>
    <n v="160.74626865671641"/>
    <s v="Miami"/>
    <s v="Mandarin"/>
    <n v="954"/>
    <n v="6924"/>
    <n v="4"/>
    <s v="Tech Enthusiasts"/>
    <x v="243"/>
  </r>
  <r>
    <s v="DataTech Solutions"/>
    <x v="2"/>
    <s v="All Ages"/>
    <s v="15 days"/>
    <x v="4"/>
    <n v="0.06"/>
    <n v="5325"/>
    <n v="5.01"/>
    <n v="58"/>
    <n v="91.810344827586206"/>
    <s v="Chicago"/>
    <s v="French"/>
    <n v="960"/>
    <n v="2859"/>
    <n v="8"/>
    <s v="Health &amp; Wellness"/>
    <x v="244"/>
  </r>
  <r>
    <s v="Alpha Innovations"/>
    <x v="0"/>
    <s v="Women 25-34"/>
    <s v="45 days"/>
    <x v="0"/>
    <n v="0.04"/>
    <n v="8772"/>
    <n v="6.85"/>
    <n v="23"/>
    <n v="381.39130434782606"/>
    <s v="Los Angeles"/>
    <s v="Spanish"/>
    <n v="584"/>
    <n v="7334"/>
    <n v="2"/>
    <s v="Health &amp; Wellness"/>
    <x v="245"/>
  </r>
  <r>
    <s v="Alpha Innovations"/>
    <x v="0"/>
    <s v="Men 18-24"/>
    <s v="15 days"/>
    <x v="3"/>
    <n v="0.11"/>
    <n v="10653"/>
    <n v="3.95"/>
    <n v="74"/>
    <n v="143.95945945945945"/>
    <s v="Miami"/>
    <s v="Spanish"/>
    <n v="670"/>
    <n v="2367"/>
    <n v="2"/>
    <s v="Fashionistas"/>
    <x v="246"/>
  </r>
  <r>
    <s v="TechCorp"/>
    <x v="4"/>
    <s v="All Ages"/>
    <s v="45 days"/>
    <x v="1"/>
    <n v="0.02"/>
    <n v="9676"/>
    <n v="7.52"/>
    <n v="12"/>
    <n v="806.33333333333337"/>
    <s v="New York"/>
    <s v="German"/>
    <n v="575"/>
    <n v="9944"/>
    <n v="2"/>
    <s v="Outdoor Adventurers"/>
    <x v="247"/>
  </r>
  <r>
    <s v="Alpha Innovations"/>
    <x v="2"/>
    <s v="Men 18-24"/>
    <s v="45 days"/>
    <x v="2"/>
    <n v="0.13"/>
    <n v="11347"/>
    <n v="3.1"/>
    <n v="56"/>
    <n v="202.625"/>
    <s v="Houston"/>
    <s v="Spanish"/>
    <n v="430"/>
    <n v="7632"/>
    <n v="2"/>
    <s v="Tech Enthusiasts"/>
    <x v="248"/>
  </r>
  <r>
    <s v="DataTech Solutions"/>
    <x v="1"/>
    <s v="Men 18-24"/>
    <s v="15 days"/>
    <x v="2"/>
    <n v="0.02"/>
    <n v="9661"/>
    <n v="6.68"/>
    <n v="14"/>
    <n v="690.07142857142856"/>
    <s v="New York"/>
    <s v="German"/>
    <n v="690"/>
    <n v="4424"/>
    <n v="3"/>
    <s v="Tech Enthusiasts"/>
    <x v="249"/>
  </r>
  <r>
    <s v="TechCorp"/>
    <x v="1"/>
    <s v="Men 25-34"/>
    <s v="15 days"/>
    <x v="4"/>
    <n v="0.05"/>
    <n v="17881"/>
    <n v="6.01"/>
    <n v="14"/>
    <n v="1277.2142857142858"/>
    <s v="Los Angeles"/>
    <s v="English"/>
    <n v="289"/>
    <n v="7005"/>
    <n v="8"/>
    <s v="Foodies"/>
    <x v="250"/>
  </r>
  <r>
    <s v="NexGen Systems"/>
    <x v="3"/>
    <s v="Women 25-34"/>
    <s v="30 days"/>
    <x v="1"/>
    <n v="0.06"/>
    <n v="17440"/>
    <n v="6.66"/>
    <n v="8"/>
    <n v="2180"/>
    <s v="Miami"/>
    <s v="English"/>
    <n v="140"/>
    <n v="7641"/>
    <n v="8"/>
    <s v="Foodies"/>
    <x v="251"/>
  </r>
  <r>
    <s v="TechCorp"/>
    <x v="2"/>
    <s v="Men 18-24"/>
    <s v="30 days"/>
    <x v="3"/>
    <n v="0.08"/>
    <n v="7053"/>
    <n v="7.12"/>
    <n v="39"/>
    <n v="180.84615384615384"/>
    <s v="Chicago"/>
    <s v="French"/>
    <n v="492"/>
    <n v="1731"/>
    <n v="8"/>
    <s v="Tech Enthusiasts"/>
    <x v="252"/>
  </r>
  <r>
    <s v="TechCorp"/>
    <x v="1"/>
    <s v="All Ages"/>
    <s v="45 days"/>
    <x v="0"/>
    <n v="0.14000000000000001"/>
    <n v="7803"/>
    <n v="6.58"/>
    <n v="75"/>
    <n v="104.04"/>
    <s v="New York"/>
    <s v="English"/>
    <n v="533"/>
    <n v="5832"/>
    <n v="2"/>
    <s v="Foodies"/>
    <x v="253"/>
  </r>
  <r>
    <s v="Alpha Innovations"/>
    <x v="4"/>
    <s v="Women 35-44"/>
    <s v="45 days"/>
    <x v="2"/>
    <n v="0.11"/>
    <n v="6994"/>
    <n v="3.89"/>
    <n v="90"/>
    <n v="77.711111111111109"/>
    <s v="Miami"/>
    <s v="Spanish"/>
    <n v="816"/>
    <n v="8407"/>
    <n v="8"/>
    <s v="Tech Enthusiasts"/>
    <x v="254"/>
  </r>
  <r>
    <s v="NexGen Systems"/>
    <x v="1"/>
    <s v="Women 25-34"/>
    <s v="45 days"/>
    <x v="2"/>
    <n v="0.14000000000000001"/>
    <n v="18943"/>
    <n v="7.01"/>
    <n v="85"/>
    <n v="222.85882352941175"/>
    <s v="Los Angeles"/>
    <s v="German"/>
    <n v="607"/>
    <n v="6262"/>
    <n v="9"/>
    <s v="Tech Enthusiasts"/>
    <x v="255"/>
  </r>
  <r>
    <s v="TechCorp"/>
    <x v="0"/>
    <s v="Women 35-44"/>
    <s v="15 days"/>
    <x v="3"/>
    <n v="0.11"/>
    <n v="7562"/>
    <n v="4.04"/>
    <n v="74"/>
    <n v="102.18918918918919"/>
    <s v="Miami"/>
    <s v="English"/>
    <n v="670"/>
    <n v="8428"/>
    <n v="8"/>
    <s v="Tech Enthusiasts"/>
    <x v="256"/>
  </r>
  <r>
    <s v="Alpha Innovations"/>
    <x v="0"/>
    <s v="All Ages"/>
    <s v="15 days"/>
    <x v="5"/>
    <n v="0.09"/>
    <n v="7740"/>
    <n v="7.54"/>
    <n v="81"/>
    <n v="95.555555555555557"/>
    <s v="Chicago"/>
    <s v="Spanish"/>
    <n v="899"/>
    <n v="5144"/>
    <n v="6"/>
    <s v="Tech Enthusiasts"/>
    <x v="257"/>
  </r>
  <r>
    <s v="Alpha Innovations"/>
    <x v="4"/>
    <s v="All Ages"/>
    <s v="15 days"/>
    <x v="4"/>
    <n v="0.11"/>
    <n v="11783"/>
    <n v="3.07"/>
    <n v="92"/>
    <n v="128.07608695652175"/>
    <s v="Miami"/>
    <s v="Spanish"/>
    <n v="836"/>
    <n v="4782"/>
    <n v="7"/>
    <s v="Foodies"/>
    <x v="258"/>
  </r>
  <r>
    <s v="DataTech Solutions"/>
    <x v="4"/>
    <s v="All Ages"/>
    <s v="15 days"/>
    <x v="3"/>
    <n v="0.02"/>
    <n v="12132"/>
    <n v="5.25"/>
    <n v="9"/>
    <n v="1348"/>
    <s v="Houston"/>
    <s v="Spanish"/>
    <n v="435"/>
    <n v="1192"/>
    <n v="10"/>
    <s v="Outdoor Adventurers"/>
    <x v="259"/>
  </r>
  <r>
    <s v="TechCorp"/>
    <x v="3"/>
    <s v="Men 25-34"/>
    <s v="30 days"/>
    <x v="1"/>
    <n v="0.14000000000000001"/>
    <n v="5430"/>
    <n v="3.12"/>
    <n v="30"/>
    <n v="181"/>
    <s v="New York"/>
    <s v="French"/>
    <n v="214"/>
    <n v="3572"/>
    <n v="8"/>
    <s v="Tech Enthusiasts"/>
    <x v="260"/>
  </r>
  <r>
    <s v="Alpha Innovations"/>
    <x v="3"/>
    <s v="All Ages"/>
    <s v="30 days"/>
    <x v="5"/>
    <n v="0.05"/>
    <n v="12047"/>
    <n v="6.47"/>
    <n v="22"/>
    <n v="547.59090909090912"/>
    <s v="Chicago"/>
    <s v="Mandarin"/>
    <n v="441"/>
    <n v="5779"/>
    <n v="3"/>
    <s v="Tech Enthusiasts"/>
    <x v="261"/>
  </r>
  <r>
    <s v="NexGen Systems"/>
    <x v="4"/>
    <s v="Men 18-24"/>
    <s v="60 days"/>
    <x v="2"/>
    <n v="0.05"/>
    <n v="15691"/>
    <n v="7.06"/>
    <n v="12"/>
    <n v="1307.5833333333333"/>
    <s v="Miami"/>
    <s v="French"/>
    <n v="238"/>
    <n v="3959"/>
    <n v="1"/>
    <s v="Tech Enthusiasts"/>
    <x v="262"/>
  </r>
  <r>
    <s v="NexGen Systems"/>
    <x v="0"/>
    <s v="Women 25-34"/>
    <s v="45 days"/>
    <x v="4"/>
    <n v="0.1"/>
    <n v="15132"/>
    <n v="4.96"/>
    <n v="13"/>
    <n v="1164"/>
    <s v="Miami"/>
    <s v="Mandarin"/>
    <n v="129"/>
    <n v="9551"/>
    <n v="7"/>
    <s v="Foodies"/>
    <x v="263"/>
  </r>
  <r>
    <s v="Innovate Industries"/>
    <x v="0"/>
    <s v="Women 35-44"/>
    <s v="15 days"/>
    <x v="1"/>
    <n v="0.11"/>
    <n v="13380"/>
    <n v="6.12"/>
    <n v="19"/>
    <n v="704.21052631578948"/>
    <s v="Houston"/>
    <s v="German"/>
    <n v="173"/>
    <n v="4397"/>
    <n v="3"/>
    <s v="Outdoor Adventurers"/>
    <x v="264"/>
  </r>
  <r>
    <s v="DataTech Solutions"/>
    <x v="1"/>
    <s v="All Ages"/>
    <s v="15 days"/>
    <x v="1"/>
    <n v="0.01"/>
    <n v="5770"/>
    <n v="2.4300000000000002"/>
    <n v="3"/>
    <n v="1923.3333333333333"/>
    <s v="Los Angeles"/>
    <s v="French"/>
    <n v="308"/>
    <n v="3307"/>
    <n v="5"/>
    <s v="Tech Enthusiasts"/>
    <x v="265"/>
  </r>
  <r>
    <s v="NexGen Systems"/>
    <x v="1"/>
    <s v="Men 18-24"/>
    <s v="45 days"/>
    <x v="5"/>
    <n v="0.13"/>
    <n v="8500"/>
    <n v="2.67"/>
    <n v="93"/>
    <n v="91.397849462365585"/>
    <s v="New York"/>
    <s v="German"/>
    <n v="712"/>
    <n v="4849"/>
    <n v="1"/>
    <s v="Foodies"/>
    <x v="266"/>
  </r>
  <r>
    <s v="TechCorp"/>
    <x v="0"/>
    <s v="Men 25-34"/>
    <s v="15 days"/>
    <x v="0"/>
    <n v="0.13"/>
    <n v="18453"/>
    <n v="4.76"/>
    <n v="24"/>
    <n v="768.875"/>
    <s v="Miami"/>
    <s v="Mandarin"/>
    <n v="187"/>
    <n v="5032"/>
    <n v="10"/>
    <s v="Fashionistas"/>
    <x v="267"/>
  </r>
  <r>
    <s v="NexGen Systems"/>
    <x v="4"/>
    <s v="Men 18-24"/>
    <s v="30 days"/>
    <x v="4"/>
    <n v="0.02"/>
    <n v="19030"/>
    <n v="5.63"/>
    <n v="17"/>
    <n v="1119.4117647058824"/>
    <s v="Miami"/>
    <s v="German"/>
    <n v="825"/>
    <n v="6146"/>
    <n v="2"/>
    <s v="Fashionistas"/>
    <x v="268"/>
  </r>
  <r>
    <s v="Alpha Innovations"/>
    <x v="3"/>
    <s v="Men 18-24"/>
    <s v="60 days"/>
    <x v="2"/>
    <n v="0.14000000000000001"/>
    <n v="9833"/>
    <n v="2.46"/>
    <n v="18"/>
    <n v="546.27777777777783"/>
    <s v="Chicago"/>
    <s v="Mandarin"/>
    <n v="131"/>
    <n v="9105"/>
    <n v="10"/>
    <s v="Fashionistas"/>
    <x v="269"/>
  </r>
  <r>
    <s v="NexGen Systems"/>
    <x v="0"/>
    <s v="All Ages"/>
    <s v="45 days"/>
    <x v="3"/>
    <n v="0.04"/>
    <n v="11581"/>
    <n v="4.25"/>
    <n v="36"/>
    <n v="321.69444444444446"/>
    <s v="Miami"/>
    <s v="French"/>
    <n v="903"/>
    <n v="9090"/>
    <n v="2"/>
    <s v="Health &amp; Wellness"/>
    <x v="270"/>
  </r>
  <r>
    <s v="Alpha Innovations"/>
    <x v="3"/>
    <s v="All Ages"/>
    <s v="45 days"/>
    <x v="0"/>
    <n v="0.04"/>
    <n v="12573"/>
    <n v="4.41"/>
    <n v="19"/>
    <n v="661.73684210526312"/>
    <s v="Miami"/>
    <s v="French"/>
    <n v="483"/>
    <n v="9896"/>
    <n v="3"/>
    <s v="Outdoor Adventurers"/>
    <x v="271"/>
  </r>
  <r>
    <s v="Innovate Industries"/>
    <x v="3"/>
    <s v="All Ages"/>
    <s v="30 days"/>
    <x v="0"/>
    <n v="7.0000000000000007E-2"/>
    <n v="9517"/>
    <n v="4.18"/>
    <n v="56"/>
    <n v="169.94642857142858"/>
    <s v="Houston"/>
    <s v="Spanish"/>
    <n v="794"/>
    <n v="9710"/>
    <n v="8"/>
    <s v="Tech Enthusiasts"/>
    <x v="272"/>
  </r>
  <r>
    <s v="TechCorp"/>
    <x v="3"/>
    <s v="Men 18-24"/>
    <s v="45 days"/>
    <x v="4"/>
    <n v="0.12"/>
    <n v="7672"/>
    <n v="3.55"/>
    <n v="41"/>
    <n v="187.1219512195122"/>
    <s v="Houston"/>
    <s v="French"/>
    <n v="344"/>
    <n v="6487"/>
    <n v="4"/>
    <s v="Fashionistas"/>
    <x v="273"/>
  </r>
  <r>
    <s v="Alpha Innovations"/>
    <x v="0"/>
    <s v="Men 25-34"/>
    <s v="45 days"/>
    <x v="5"/>
    <n v="0.03"/>
    <n v="10127"/>
    <n v="7.04"/>
    <n v="28"/>
    <n v="361.67857142857144"/>
    <s v="Miami"/>
    <s v="German"/>
    <n v="938"/>
    <n v="9741"/>
    <n v="2"/>
    <s v="Tech Enthusiasts"/>
    <x v="274"/>
  </r>
  <r>
    <s v="Innovate Industries"/>
    <x v="4"/>
    <s v="All Ages"/>
    <s v="45 days"/>
    <x v="5"/>
    <n v="0.14000000000000001"/>
    <n v="16265"/>
    <n v="4.22"/>
    <n v="82"/>
    <n v="198.35365853658536"/>
    <s v="New York"/>
    <s v="English"/>
    <n v="588"/>
    <n v="5299"/>
    <n v="6"/>
    <s v="Fashionistas"/>
    <x v="275"/>
  </r>
  <r>
    <s v="NexGen Systems"/>
    <x v="1"/>
    <s v="All Ages"/>
    <s v="15 days"/>
    <x v="5"/>
    <n v="0.08"/>
    <n v="12399"/>
    <n v="3.65"/>
    <n v="34"/>
    <n v="364.6764705882353"/>
    <s v="Chicago"/>
    <s v="French"/>
    <n v="423"/>
    <n v="7396"/>
    <n v="9"/>
    <s v="Tech Enthusiasts"/>
    <x v="276"/>
  </r>
  <r>
    <s v="Innovate Industries"/>
    <x v="4"/>
    <s v="Men 18-24"/>
    <s v="15 days"/>
    <x v="0"/>
    <n v="0.06"/>
    <n v="10179"/>
    <n v="5.29"/>
    <n v="6"/>
    <n v="1696.5"/>
    <s v="Miami"/>
    <s v="Spanish"/>
    <n v="102"/>
    <n v="4930"/>
    <n v="8"/>
    <s v="Fashionistas"/>
    <x v="277"/>
  </r>
  <r>
    <s v="Alpha Innovations"/>
    <x v="4"/>
    <s v="Men 25-34"/>
    <s v="30 days"/>
    <x v="1"/>
    <n v="0.02"/>
    <n v="18123"/>
    <n v="3.83"/>
    <n v="6"/>
    <n v="3020.5"/>
    <s v="Houston"/>
    <s v="English"/>
    <n v="307"/>
    <n v="1468"/>
    <n v="10"/>
    <s v="Fashionistas"/>
    <x v="278"/>
  </r>
  <r>
    <s v="NexGen Systems"/>
    <x v="1"/>
    <s v="Men 25-34"/>
    <s v="60 days"/>
    <x v="5"/>
    <n v="0.05"/>
    <n v="5481"/>
    <n v="4.71"/>
    <n v="25"/>
    <n v="219.24"/>
    <s v="Miami"/>
    <s v="German"/>
    <n v="496"/>
    <n v="9383"/>
    <n v="3"/>
    <s v="Fashionistas"/>
    <x v="279"/>
  </r>
  <r>
    <s v="Innovate Industries"/>
    <x v="0"/>
    <s v="Women 25-34"/>
    <s v="60 days"/>
    <x v="4"/>
    <n v="0.13"/>
    <n v="18673"/>
    <n v="6.04"/>
    <n v="125"/>
    <n v="149.38399999999999"/>
    <s v="Houston"/>
    <s v="French"/>
    <n v="964"/>
    <n v="3756"/>
    <n v="5"/>
    <s v="Foodies"/>
    <x v="280"/>
  </r>
  <r>
    <s v="DataTech Solutions"/>
    <x v="4"/>
    <s v="Women 25-34"/>
    <s v="30 days"/>
    <x v="0"/>
    <n v="0.1"/>
    <n v="16853"/>
    <n v="4.2"/>
    <n v="17"/>
    <n v="991.35294117647061"/>
    <s v="Los Angeles"/>
    <s v="French"/>
    <n v="174"/>
    <n v="9853"/>
    <n v="10"/>
    <s v="Outdoor Adventurers"/>
    <x v="281"/>
  </r>
  <r>
    <s v="NexGen Systems"/>
    <x v="1"/>
    <s v="Women 25-34"/>
    <s v="60 days"/>
    <x v="0"/>
    <n v="0.14000000000000001"/>
    <n v="18729"/>
    <n v="2.65"/>
    <n v="52"/>
    <n v="360.17307692307691"/>
    <s v="Houston"/>
    <s v="French"/>
    <n v="373"/>
    <n v="6003"/>
    <n v="2"/>
    <s v="Foodies"/>
    <x v="282"/>
  </r>
  <r>
    <s v="Innovate Industries"/>
    <x v="0"/>
    <s v="Women 35-44"/>
    <s v="15 days"/>
    <x v="4"/>
    <n v="0.09"/>
    <n v="8832"/>
    <n v="6.62"/>
    <n v="24"/>
    <n v="368"/>
    <s v="Miami"/>
    <s v="German"/>
    <n v="268"/>
    <n v="9943"/>
    <n v="1"/>
    <s v="Outdoor Adventurers"/>
    <x v="283"/>
  </r>
  <r>
    <s v="Innovate Industries"/>
    <x v="0"/>
    <s v="Women 25-34"/>
    <s v="60 days"/>
    <x v="0"/>
    <n v="0.12"/>
    <n v="11318"/>
    <n v="4.5599999999999996"/>
    <n v="21"/>
    <n v="538.95238095238096"/>
    <s v="Chicago"/>
    <s v="Spanish"/>
    <n v="177"/>
    <n v="6571"/>
    <n v="10"/>
    <s v="Outdoor Adventurers"/>
    <x v="284"/>
  </r>
  <r>
    <s v="DataTech Solutions"/>
    <x v="2"/>
    <s v="All Ages"/>
    <s v="30 days"/>
    <x v="4"/>
    <n v="0.08"/>
    <n v="8396"/>
    <n v="7.53"/>
    <n v="28"/>
    <n v="299.85714285714283"/>
    <s v="New York"/>
    <s v="German"/>
    <n v="345"/>
    <n v="5864"/>
    <n v="7"/>
    <s v="Fashionistas"/>
    <x v="285"/>
  </r>
  <r>
    <s v="NexGen Systems"/>
    <x v="2"/>
    <s v="All Ages"/>
    <s v="30 days"/>
    <x v="5"/>
    <n v="0.09"/>
    <n v="16132"/>
    <n v="4.4000000000000004"/>
    <n v="18"/>
    <n v="896.22222222222217"/>
    <s v="Houston"/>
    <s v="German"/>
    <n v="205"/>
    <n v="2828"/>
    <n v="1"/>
    <s v="Fashionistas"/>
    <x v="286"/>
  </r>
  <r>
    <s v="Innovate Industries"/>
    <x v="4"/>
    <s v="Men 18-24"/>
    <s v="15 days"/>
    <x v="1"/>
    <n v="0.11"/>
    <n v="8972"/>
    <n v="7.75"/>
    <n v="106"/>
    <n v="84.64150943396227"/>
    <s v="Houston"/>
    <s v="English"/>
    <n v="963"/>
    <n v="3148"/>
    <n v="6"/>
    <s v="Fashionistas"/>
    <x v="287"/>
  </r>
  <r>
    <s v="DataTech Solutions"/>
    <x v="3"/>
    <s v="Women 35-44"/>
    <s v="30 days"/>
    <x v="4"/>
    <n v="0.01"/>
    <n v="6117"/>
    <n v="2.75"/>
    <n v="8"/>
    <n v="764.625"/>
    <s v="Los Angeles"/>
    <s v="French"/>
    <n v="754"/>
    <n v="5592"/>
    <n v="5"/>
    <s v="Outdoor Adventurers"/>
    <x v="288"/>
  </r>
  <r>
    <s v="DataTech Solutions"/>
    <x v="0"/>
    <s v="All Ages"/>
    <s v="60 days"/>
    <x v="1"/>
    <n v="0.08"/>
    <n v="8036"/>
    <n v="4.1399999999999997"/>
    <n v="24"/>
    <n v="334.83333333333331"/>
    <s v="Houston"/>
    <s v="French"/>
    <n v="304"/>
    <n v="8555"/>
    <n v="6"/>
    <s v="Tech Enthusiasts"/>
    <x v="289"/>
  </r>
  <r>
    <s v="Innovate Industries"/>
    <x v="1"/>
    <s v="All Ages"/>
    <s v="60 days"/>
    <x v="2"/>
    <n v="0.08"/>
    <n v="6987"/>
    <n v="4.0599999999999996"/>
    <n v="17"/>
    <n v="411"/>
    <s v="Chicago"/>
    <s v="Spanish"/>
    <n v="212"/>
    <n v="9956"/>
    <n v="6"/>
    <s v="Fashionistas"/>
    <x v="290"/>
  </r>
  <r>
    <s v="Innovate Industries"/>
    <x v="1"/>
    <s v="All Ages"/>
    <s v="30 days"/>
    <x v="2"/>
    <n v="0.06"/>
    <n v="6760"/>
    <n v="7.88"/>
    <n v="19"/>
    <n v="355.78947368421052"/>
    <s v="Los Angeles"/>
    <s v="Spanish"/>
    <n v="322"/>
    <n v="1804"/>
    <n v="2"/>
    <s v="Fashionistas"/>
    <x v="291"/>
  </r>
  <r>
    <s v="Alpha Innovations"/>
    <x v="1"/>
    <s v="Women 25-34"/>
    <s v="15 days"/>
    <x v="3"/>
    <n v="0.03"/>
    <n v="13907"/>
    <n v="6.77"/>
    <n v="17"/>
    <n v="818.05882352941171"/>
    <s v="Miami"/>
    <s v="German"/>
    <n v="563"/>
    <n v="8425"/>
    <n v="3"/>
    <s v="Health &amp; Wellness"/>
    <x v="292"/>
  </r>
  <r>
    <s v="DataTech Solutions"/>
    <x v="3"/>
    <s v="Women 35-44"/>
    <s v="60 days"/>
    <x v="4"/>
    <n v="0.12"/>
    <n v="19441"/>
    <n v="3.91"/>
    <n v="22"/>
    <n v="883.68181818181813"/>
    <s v="Houston"/>
    <s v="English"/>
    <n v="187"/>
    <n v="4482"/>
    <n v="8"/>
    <s v="Outdoor Adventurers"/>
    <x v="293"/>
  </r>
  <r>
    <s v="DataTech Solutions"/>
    <x v="4"/>
    <s v="Men 25-34"/>
    <s v="45 days"/>
    <x v="3"/>
    <n v="0.13"/>
    <n v="10535"/>
    <n v="2.91"/>
    <n v="43"/>
    <n v="245"/>
    <s v="Los Angeles"/>
    <s v="German"/>
    <n v="334"/>
    <n v="9784"/>
    <n v="5"/>
    <s v="Foodies"/>
    <x v="294"/>
  </r>
  <r>
    <s v="Innovate Industries"/>
    <x v="1"/>
    <s v="Men 18-24"/>
    <s v="30 days"/>
    <x v="4"/>
    <n v="0.11"/>
    <n v="7254"/>
    <n v="5.04"/>
    <n v="33"/>
    <n v="219.81818181818181"/>
    <s v="Chicago"/>
    <s v="German"/>
    <n v="302"/>
    <n v="9367"/>
    <n v="9"/>
    <s v="Fashionistas"/>
    <x v="295"/>
  </r>
  <r>
    <s v="DataTech Solutions"/>
    <x v="0"/>
    <s v="Men 18-24"/>
    <s v="15 days"/>
    <x v="0"/>
    <n v="0.05"/>
    <n v="17392"/>
    <n v="2.39"/>
    <n v="31"/>
    <n v="561.0322580645161"/>
    <s v="Houston"/>
    <s v="French"/>
    <n v="628"/>
    <n v="7721"/>
    <n v="4"/>
    <s v="Tech Enthusiasts"/>
    <x v="296"/>
  </r>
  <r>
    <s v="DataTech Solutions"/>
    <x v="1"/>
    <s v="Men 25-34"/>
    <s v="15 days"/>
    <x v="5"/>
    <n v="0.14000000000000001"/>
    <n v="11298"/>
    <n v="5.46"/>
    <n v="73"/>
    <n v="154.76712328767124"/>
    <s v="Los Angeles"/>
    <s v="English"/>
    <n v="521"/>
    <n v="8717"/>
    <n v="1"/>
    <s v="Outdoor Adventurers"/>
    <x v="297"/>
  </r>
  <r>
    <s v="TechCorp"/>
    <x v="4"/>
    <s v="Men 18-24"/>
    <s v="45 days"/>
    <x v="0"/>
    <n v="0.08"/>
    <n v="11082"/>
    <n v="5.4"/>
    <n v="37"/>
    <n v="299.51351351351349"/>
    <s v="Chicago"/>
    <s v="French"/>
    <n v="464"/>
    <n v="3353"/>
    <n v="3"/>
    <s v="Foodies"/>
    <x v="298"/>
  </r>
  <r>
    <s v="TechCorp"/>
    <x v="2"/>
    <s v="Women 35-44"/>
    <s v="60 days"/>
    <x v="4"/>
    <n v="0.11"/>
    <n v="18746"/>
    <n v="4.84"/>
    <n v="99"/>
    <n v="189.35353535353536"/>
    <s v="New York"/>
    <s v="English"/>
    <n v="903"/>
    <n v="3552"/>
    <n v="10"/>
    <s v="Tech Enthusiasts"/>
    <x v="299"/>
  </r>
  <r>
    <s v="Innovate Industries"/>
    <x v="4"/>
    <s v="All Ages"/>
    <s v="30 days"/>
    <x v="1"/>
    <n v="0.13"/>
    <n v="13923"/>
    <n v="7.28"/>
    <n v="23"/>
    <n v="605.3478260869565"/>
    <s v="Los Angeles"/>
    <s v="French"/>
    <n v="176"/>
    <n v="8629"/>
    <n v="3"/>
    <s v="Tech Enthusiasts"/>
    <x v="300"/>
  </r>
  <r>
    <s v="TechCorp"/>
    <x v="1"/>
    <s v="Women 35-44"/>
    <s v="30 days"/>
    <x v="5"/>
    <n v="0.1"/>
    <n v="18157"/>
    <n v="5.3"/>
    <n v="19"/>
    <n v="955.63157894736844"/>
    <s v="Miami"/>
    <s v="French"/>
    <n v="190"/>
    <n v="6917"/>
    <n v="7"/>
    <s v="Tech Enthusiasts"/>
    <x v="301"/>
  </r>
  <r>
    <s v="Innovate Industries"/>
    <x v="3"/>
    <s v="Men 18-24"/>
    <s v="30 days"/>
    <x v="3"/>
    <n v="0.15"/>
    <n v="6920"/>
    <n v="7.09"/>
    <n v="141"/>
    <n v="49.078014184397162"/>
    <s v="Miami"/>
    <s v="Mandarin"/>
    <n v="942"/>
    <n v="9530"/>
    <n v="2"/>
    <s v="Health &amp; Wellness"/>
    <x v="302"/>
  </r>
  <r>
    <s v="Alpha Innovations"/>
    <x v="1"/>
    <s v="Women 35-44"/>
    <s v="15 days"/>
    <x v="0"/>
    <n v="7.0000000000000007E-2"/>
    <n v="17162"/>
    <n v="7.43"/>
    <n v="64"/>
    <n v="268.15625"/>
    <s v="Chicago"/>
    <s v="Spanish"/>
    <n v="912"/>
    <n v="1209"/>
    <n v="3"/>
    <s v="Foodies"/>
    <x v="303"/>
  </r>
  <r>
    <s v="TechCorp"/>
    <x v="0"/>
    <s v="All Ages"/>
    <s v="30 days"/>
    <x v="1"/>
    <n v="0.11"/>
    <n v="12918"/>
    <n v="3.84"/>
    <n v="76"/>
    <n v="169.97368421052633"/>
    <s v="Miami"/>
    <s v="French"/>
    <n v="694"/>
    <n v="3157"/>
    <n v="2"/>
    <s v="Fashionistas"/>
    <x v="304"/>
  </r>
  <r>
    <s v="TechCorp"/>
    <x v="1"/>
    <s v="Men 18-24"/>
    <s v="45 days"/>
    <x v="4"/>
    <n v="0.03"/>
    <n v="9323"/>
    <n v="2.13"/>
    <n v="4"/>
    <n v="2330.75"/>
    <s v="Los Angeles"/>
    <s v="French"/>
    <n v="118"/>
    <n v="6439"/>
    <n v="6"/>
    <s v="Outdoor Adventurers"/>
    <x v="305"/>
  </r>
  <r>
    <s v="NexGen Systems"/>
    <x v="1"/>
    <s v="Women 25-34"/>
    <s v="30 days"/>
    <x v="5"/>
    <n v="0.14000000000000001"/>
    <n v="9800"/>
    <n v="4.74"/>
    <n v="63"/>
    <n v="155.55555555555554"/>
    <s v="Los Angeles"/>
    <s v="French"/>
    <n v="448"/>
    <n v="1895"/>
    <n v="5"/>
    <s v="Tech Enthusiasts"/>
    <x v="306"/>
  </r>
  <r>
    <s v="TechCorp"/>
    <x v="2"/>
    <s v="Women 25-34"/>
    <s v="15 days"/>
    <x v="4"/>
    <n v="0.15"/>
    <n v="16870"/>
    <n v="7.83"/>
    <n v="109"/>
    <n v="154.77064220183487"/>
    <s v="Chicago"/>
    <s v="Mandarin"/>
    <n v="728"/>
    <n v="1636"/>
    <n v="2"/>
    <s v="Tech Enthusiasts"/>
    <x v="307"/>
  </r>
  <r>
    <s v="NexGen Systems"/>
    <x v="4"/>
    <s v="Women 25-34"/>
    <s v="30 days"/>
    <x v="2"/>
    <n v="0.13"/>
    <n v="6312"/>
    <n v="4.62"/>
    <n v="27"/>
    <n v="233.77777777777777"/>
    <s v="Chicago"/>
    <s v="Mandarin"/>
    <n v="208"/>
    <n v="8837"/>
    <n v="7"/>
    <s v="Foodies"/>
    <x v="308"/>
  </r>
  <r>
    <s v="Alpha Innovations"/>
    <x v="1"/>
    <s v="All Ages"/>
    <s v="60 days"/>
    <x v="4"/>
    <n v="0.14000000000000001"/>
    <n v="7239"/>
    <n v="3.16"/>
    <n v="90"/>
    <n v="80.433333333333337"/>
    <s v="New York"/>
    <s v="English"/>
    <n v="640"/>
    <n v="3565"/>
    <n v="1"/>
    <s v="Health &amp; Wellness"/>
    <x v="309"/>
  </r>
  <r>
    <s v="NexGen Systems"/>
    <x v="0"/>
    <s v="Women 35-44"/>
    <s v="15 days"/>
    <x v="5"/>
    <n v="0.03"/>
    <n v="19021"/>
    <n v="4.1900000000000004"/>
    <n v="11"/>
    <n v="1729.1818181818182"/>
    <s v="Miami"/>
    <s v="Mandarin"/>
    <n v="371"/>
    <n v="9059"/>
    <n v="9"/>
    <s v="Outdoor Adventurers"/>
    <x v="310"/>
  </r>
  <r>
    <s v="Innovate Industries"/>
    <x v="1"/>
    <s v="Women 25-34"/>
    <s v="15 days"/>
    <x v="5"/>
    <n v="0.05"/>
    <n v="10549"/>
    <n v="5.73"/>
    <n v="5"/>
    <n v="2109.8000000000002"/>
    <s v="New York"/>
    <s v="Spanish"/>
    <n v="106"/>
    <n v="7954"/>
    <n v="9"/>
    <s v="Tech Enthusiasts"/>
    <x v="311"/>
  </r>
  <r>
    <s v="Innovate Industries"/>
    <x v="4"/>
    <s v="Men 18-24"/>
    <s v="30 days"/>
    <x v="5"/>
    <n v="0.02"/>
    <n v="6813"/>
    <n v="3.63"/>
    <n v="12"/>
    <n v="567.75"/>
    <s v="Chicago"/>
    <s v="Mandarin"/>
    <n v="612"/>
    <n v="2006"/>
    <n v="6"/>
    <s v="Outdoor Adventurers"/>
    <x v="312"/>
  </r>
  <r>
    <s v="TechCorp"/>
    <x v="1"/>
    <s v="All Ages"/>
    <s v="30 days"/>
    <x v="5"/>
    <n v="0.14000000000000001"/>
    <n v="12425"/>
    <n v="4.22"/>
    <n v="109"/>
    <n v="113.9908256880734"/>
    <s v="Los Angeles"/>
    <s v="Mandarin"/>
    <n v="782"/>
    <n v="6136"/>
    <n v="9"/>
    <s v="Health &amp; Wellness"/>
    <x v="313"/>
  </r>
  <r>
    <s v="NexGen Systems"/>
    <x v="0"/>
    <s v="Women 25-34"/>
    <s v="30 days"/>
    <x v="5"/>
    <n v="0.14000000000000001"/>
    <n v="17496"/>
    <n v="2.06"/>
    <n v="74"/>
    <n v="236.43243243243242"/>
    <s v="Chicago"/>
    <s v="Spanish"/>
    <n v="532"/>
    <n v="7955"/>
    <n v="10"/>
    <s v="Outdoor Adventurers"/>
    <x v="314"/>
  </r>
  <r>
    <s v="NexGen Systems"/>
    <x v="1"/>
    <s v="Women 25-34"/>
    <s v="30 days"/>
    <x v="3"/>
    <n v="0.11"/>
    <n v="8735"/>
    <n v="3.27"/>
    <n v="107"/>
    <n v="81.635514018691595"/>
    <s v="Miami"/>
    <s v="Mandarin"/>
    <n v="971"/>
    <n v="7554"/>
    <n v="5"/>
    <s v="Fashionistas"/>
    <x v="315"/>
  </r>
  <r>
    <s v="Innovate Industries"/>
    <x v="4"/>
    <s v="Men 18-24"/>
    <s v="60 days"/>
    <x v="4"/>
    <n v="7.0000000000000007E-2"/>
    <n v="8857"/>
    <n v="5.67"/>
    <n v="22"/>
    <n v="402.59090909090907"/>
    <s v="Houston"/>
    <s v="Mandarin"/>
    <n v="311"/>
    <n v="8472"/>
    <n v="2"/>
    <s v="Tech Enthusiasts"/>
    <x v="316"/>
  </r>
  <r>
    <s v="TechCorp"/>
    <x v="4"/>
    <s v="Men 18-24"/>
    <s v="15 days"/>
    <x v="0"/>
    <n v="0.03"/>
    <n v="12375"/>
    <n v="7.25"/>
    <n v="13"/>
    <n v="951.92307692307691"/>
    <s v="Miami"/>
    <s v="Mandarin"/>
    <n v="444"/>
    <n v="7130"/>
    <n v="9"/>
    <s v="Tech Enthusiasts"/>
    <x v="317"/>
  </r>
  <r>
    <s v="NexGen Systems"/>
    <x v="1"/>
    <s v="All Ages"/>
    <s v="45 days"/>
    <x v="4"/>
    <n v="0.04"/>
    <n v="15892"/>
    <n v="7.18"/>
    <n v="29"/>
    <n v="548"/>
    <s v="Los Angeles"/>
    <s v="Mandarin"/>
    <n v="729"/>
    <n v="3777"/>
    <n v="5"/>
    <s v="Tech Enthusiasts"/>
    <x v="318"/>
  </r>
  <r>
    <s v="NexGen Systems"/>
    <x v="3"/>
    <s v="Women 25-34"/>
    <s v="60 days"/>
    <x v="0"/>
    <n v="0.02"/>
    <n v="8066"/>
    <n v="6.61"/>
    <n v="8"/>
    <n v="1008.25"/>
    <s v="Houston"/>
    <s v="Spanish"/>
    <n v="409"/>
    <n v="1883"/>
    <n v="3"/>
    <s v="Fashionistas"/>
    <x v="319"/>
  </r>
  <r>
    <s v="NexGen Systems"/>
    <x v="2"/>
    <s v="Women 35-44"/>
    <s v="60 days"/>
    <x v="1"/>
    <n v="0.1"/>
    <n v="11101"/>
    <n v="4.88"/>
    <n v="18"/>
    <n v="616.72222222222217"/>
    <s v="New York"/>
    <s v="English"/>
    <n v="183"/>
    <n v="3224"/>
    <n v="6"/>
    <s v="Fashionistas"/>
    <x v="320"/>
  </r>
  <r>
    <s v="DataTech Solutions"/>
    <x v="4"/>
    <s v="Men 18-24"/>
    <s v="15 days"/>
    <x v="0"/>
    <n v="0.11"/>
    <n v="11263"/>
    <n v="2.92"/>
    <n v="103"/>
    <n v="109.34951456310679"/>
    <s v="New York"/>
    <s v="Mandarin"/>
    <n v="932"/>
    <n v="5532"/>
    <n v="6"/>
    <s v="Tech Enthusiasts"/>
    <x v="321"/>
  </r>
  <r>
    <s v="NexGen Systems"/>
    <x v="4"/>
    <s v="Women 35-44"/>
    <s v="15 days"/>
    <x v="0"/>
    <n v="0.13"/>
    <n v="17126"/>
    <n v="5.83"/>
    <n v="71"/>
    <n v="241.21126760563379"/>
    <s v="Houston"/>
    <s v="Mandarin"/>
    <n v="549"/>
    <n v="6614"/>
    <n v="8"/>
    <s v="Foodies"/>
    <x v="322"/>
  </r>
  <r>
    <s v="DataTech Solutions"/>
    <x v="4"/>
    <s v="Men 18-24"/>
    <s v="30 days"/>
    <x v="0"/>
    <n v="0.1"/>
    <n v="19313"/>
    <n v="7.21"/>
    <n v="28"/>
    <n v="689.75"/>
    <s v="Los Angeles"/>
    <s v="French"/>
    <n v="280"/>
    <n v="6300"/>
    <n v="3"/>
    <s v="Foodies"/>
    <x v="323"/>
  </r>
  <r>
    <s v="NexGen Systems"/>
    <x v="3"/>
    <s v="Women 35-44"/>
    <s v="30 days"/>
    <x v="5"/>
    <n v="7.0000000000000007E-2"/>
    <n v="14499"/>
    <n v="5.59"/>
    <n v="18"/>
    <n v="805.5"/>
    <s v="Los Angeles"/>
    <s v="German"/>
    <n v="264"/>
    <n v="8994"/>
    <n v="6"/>
    <s v="Outdoor Adventurers"/>
    <x v="324"/>
  </r>
  <r>
    <s v="NexGen Systems"/>
    <x v="3"/>
    <s v="Men 18-24"/>
    <s v="60 days"/>
    <x v="2"/>
    <n v="0.14000000000000001"/>
    <n v="12109"/>
    <n v="4.46"/>
    <n v="121"/>
    <n v="100.07438016528926"/>
    <s v="Chicago"/>
    <s v="German"/>
    <n v="864"/>
    <n v="3535"/>
    <n v="6"/>
    <s v="Outdoor Adventurers"/>
    <x v="325"/>
  </r>
  <r>
    <s v="TechCorp"/>
    <x v="1"/>
    <s v="Men 25-34"/>
    <s v="45 days"/>
    <x v="3"/>
    <n v="0.05"/>
    <n v="12915"/>
    <n v="4.5"/>
    <n v="45"/>
    <n v="287"/>
    <s v="Miami"/>
    <s v="Mandarin"/>
    <n v="892"/>
    <n v="9877"/>
    <n v="9"/>
    <s v="Foodies"/>
    <x v="326"/>
  </r>
  <r>
    <s v="NexGen Systems"/>
    <x v="4"/>
    <s v="Men 18-24"/>
    <s v="45 days"/>
    <x v="4"/>
    <n v="0.03"/>
    <n v="10972"/>
    <n v="2.2000000000000002"/>
    <n v="5"/>
    <n v="2194.4"/>
    <s v="Miami"/>
    <s v="English"/>
    <n v="173"/>
    <n v="6960"/>
    <n v="2"/>
    <s v="Outdoor Adventurers"/>
    <x v="327"/>
  </r>
  <r>
    <s v="TechCorp"/>
    <x v="2"/>
    <s v="Men 18-24"/>
    <s v="60 days"/>
    <x v="0"/>
    <n v="0.04"/>
    <n v="17146"/>
    <n v="4.22"/>
    <n v="31"/>
    <n v="553.09677419354841"/>
    <s v="Chicago"/>
    <s v="English"/>
    <n v="763"/>
    <n v="7841"/>
    <n v="5"/>
    <s v="Fashionistas"/>
    <x v="328"/>
  </r>
  <r>
    <s v="Innovate Industries"/>
    <x v="2"/>
    <s v="Women 25-34"/>
    <s v="15 days"/>
    <x v="1"/>
    <n v="0.11"/>
    <n v="16826"/>
    <n v="5.39"/>
    <n v="108"/>
    <n v="155.7962962962963"/>
    <s v="Los Angeles"/>
    <s v="English"/>
    <n v="984"/>
    <n v="1672"/>
    <n v="10"/>
    <s v="Foodies"/>
    <x v="329"/>
  </r>
  <r>
    <s v="Innovate Industries"/>
    <x v="0"/>
    <s v="All Ages"/>
    <s v="30 days"/>
    <x v="2"/>
    <n v="0.02"/>
    <n v="19876"/>
    <n v="2.41"/>
    <n v="17"/>
    <n v="1169.1764705882354"/>
    <s v="Chicago"/>
    <s v="Mandarin"/>
    <n v="866"/>
    <n v="3988"/>
    <n v="5"/>
    <s v="Health &amp; Wellness"/>
    <x v="330"/>
  </r>
  <r>
    <s v="DataTech Solutions"/>
    <x v="4"/>
    <s v="Women 25-34"/>
    <s v="30 days"/>
    <x v="0"/>
    <n v="0.11"/>
    <n v="10029"/>
    <n v="7.96"/>
    <n v="33"/>
    <n v="303.90909090909093"/>
    <s v="New York"/>
    <s v="English"/>
    <n v="301"/>
    <n v="8024"/>
    <n v="5"/>
    <s v="Foodies"/>
    <x v="331"/>
  </r>
  <r>
    <s v="DataTech Solutions"/>
    <x v="1"/>
    <s v="Men 25-34"/>
    <s v="30 days"/>
    <x v="2"/>
    <n v="0.14000000000000001"/>
    <n v="11064"/>
    <n v="3.24"/>
    <n v="93"/>
    <n v="118.96774193548387"/>
    <s v="Los Angeles"/>
    <s v="French"/>
    <n v="661"/>
    <n v="2351"/>
    <n v="10"/>
    <s v="Tech Enthusiasts"/>
    <x v="332"/>
  </r>
  <r>
    <s v="Innovate Industries"/>
    <x v="2"/>
    <s v="Men 18-24"/>
    <s v="15 days"/>
    <x v="0"/>
    <n v="0.15"/>
    <n v="6504"/>
    <n v="6.7"/>
    <n v="18"/>
    <n v="361.33333333333331"/>
    <s v="Houston"/>
    <s v="English"/>
    <n v="123"/>
    <n v="9300"/>
    <n v="6"/>
    <s v="Tech Enthusiasts"/>
    <x v="333"/>
  </r>
  <r>
    <s v="Alpha Innovations"/>
    <x v="1"/>
    <s v="Men 18-24"/>
    <s v="60 days"/>
    <x v="1"/>
    <n v="0.06"/>
    <n v="19844"/>
    <n v="5.01"/>
    <n v="42"/>
    <n v="472.47619047619048"/>
    <s v="Los Angeles"/>
    <s v="Mandarin"/>
    <n v="693"/>
    <n v="1242"/>
    <n v="4"/>
    <s v="Foodies"/>
    <x v="334"/>
  </r>
  <r>
    <s v="Alpha Innovations"/>
    <x v="1"/>
    <s v="All Ages"/>
    <s v="45 days"/>
    <x v="1"/>
    <n v="0.04"/>
    <n v="12443"/>
    <n v="3.05"/>
    <n v="7"/>
    <n v="1777.5714285714287"/>
    <s v="New York"/>
    <s v="English"/>
    <n v="186"/>
    <n v="1782"/>
    <n v="6"/>
    <s v="Foodies"/>
    <x v="335"/>
  </r>
  <r>
    <s v="NexGen Systems"/>
    <x v="2"/>
    <s v="Women 35-44"/>
    <s v="30 days"/>
    <x v="2"/>
    <n v="0.12"/>
    <n v="5864"/>
    <n v="3.85"/>
    <n v="24"/>
    <n v="244.33333333333334"/>
    <s v="Chicago"/>
    <s v="Spanish"/>
    <n v="201"/>
    <n v="5840"/>
    <n v="8"/>
    <s v="Tech Enthusiasts"/>
    <x v="336"/>
  </r>
  <r>
    <s v="Alpha Innovations"/>
    <x v="4"/>
    <s v="All Ages"/>
    <s v="60 days"/>
    <x v="1"/>
    <n v="0.01"/>
    <n v="14556"/>
    <n v="4.97"/>
    <n v="10"/>
    <n v="1455.6"/>
    <s v="Los Angeles"/>
    <s v="Mandarin"/>
    <n v="993"/>
    <n v="2146"/>
    <n v="8"/>
    <s v="Health &amp; Wellness"/>
    <x v="337"/>
  </r>
  <r>
    <s v="TechCorp"/>
    <x v="4"/>
    <s v="Men 25-34"/>
    <s v="15 days"/>
    <x v="0"/>
    <n v="0.12"/>
    <n v="15732"/>
    <n v="5.85"/>
    <n v="71"/>
    <n v="221.57746478873239"/>
    <s v="New York"/>
    <s v="German"/>
    <n v="591"/>
    <n v="4368"/>
    <n v="8"/>
    <s v="Outdoor Adventurers"/>
    <x v="338"/>
  </r>
  <r>
    <s v="TechCorp"/>
    <x v="1"/>
    <s v="Men 25-34"/>
    <s v="30 days"/>
    <x v="0"/>
    <n v="0.1"/>
    <n v="7257"/>
    <n v="4.42"/>
    <n v="21"/>
    <n v="345.57142857142856"/>
    <s v="Houston"/>
    <s v="Spanish"/>
    <n v="211"/>
    <n v="8406"/>
    <n v="10"/>
    <s v="Health &amp; Wellness"/>
    <x v="339"/>
  </r>
  <r>
    <s v="TechCorp"/>
    <x v="2"/>
    <s v="All Ages"/>
    <s v="60 days"/>
    <x v="5"/>
    <n v="0.01"/>
    <n v="8413"/>
    <n v="4.5199999999999996"/>
    <n v="6"/>
    <n v="1402.1666666666667"/>
    <s v="New York"/>
    <s v="Mandarin"/>
    <n v="618"/>
    <n v="8242"/>
    <n v="7"/>
    <s v="Health &amp; Wellness"/>
    <x v="340"/>
  </r>
  <r>
    <s v="Alpha Innovations"/>
    <x v="0"/>
    <s v="Men 25-34"/>
    <s v="15 days"/>
    <x v="2"/>
    <n v="0.13"/>
    <n v="15437"/>
    <n v="5.3"/>
    <n v="66"/>
    <n v="233.89393939393941"/>
    <s v="New York"/>
    <s v="German"/>
    <n v="507"/>
    <n v="7161"/>
    <n v="10"/>
    <s v="Foodies"/>
    <x v="341"/>
  </r>
  <r>
    <s v="Innovate Industries"/>
    <x v="4"/>
    <s v="Women 35-44"/>
    <s v="15 days"/>
    <x v="1"/>
    <n v="0.06"/>
    <n v="18666"/>
    <n v="4.57"/>
    <n v="57"/>
    <n v="327.4736842105263"/>
    <s v="New York"/>
    <s v="English"/>
    <n v="945"/>
    <n v="7815"/>
    <n v="6"/>
    <s v="Health &amp; Wellness"/>
    <x v="342"/>
  </r>
  <r>
    <s v="Innovate Industries"/>
    <x v="2"/>
    <s v="Men 25-34"/>
    <s v="15 days"/>
    <x v="3"/>
    <n v="0.12"/>
    <n v="7595"/>
    <n v="6.41"/>
    <n v="44"/>
    <n v="172.61363636363637"/>
    <s v="Miami"/>
    <s v="Spanish"/>
    <n v="369"/>
    <n v="2900"/>
    <n v="8"/>
    <s v="Tech Enthusiasts"/>
    <x v="343"/>
  </r>
  <r>
    <s v="TechCorp"/>
    <x v="0"/>
    <s v="Men 25-34"/>
    <s v="30 days"/>
    <x v="1"/>
    <n v="0.11"/>
    <n v="6113"/>
    <n v="7.76"/>
    <n v="72"/>
    <n v="84.902777777777771"/>
    <s v="Chicago"/>
    <s v="English"/>
    <n v="652"/>
    <n v="6740"/>
    <n v="4"/>
    <s v="Foodies"/>
    <x v="344"/>
  </r>
  <r>
    <s v="DataTech Solutions"/>
    <x v="0"/>
    <s v="Women 35-44"/>
    <s v="15 days"/>
    <x v="1"/>
    <n v="0.12"/>
    <n v="11708"/>
    <n v="2.19"/>
    <n v="69"/>
    <n v="169.68115942028984"/>
    <s v="Los Angeles"/>
    <s v="French"/>
    <n v="574"/>
    <n v="8846"/>
    <n v="7"/>
    <s v="Foodies"/>
    <x v="345"/>
  </r>
  <r>
    <s v="DataTech Solutions"/>
    <x v="2"/>
    <s v="Men 18-24"/>
    <s v="60 days"/>
    <x v="2"/>
    <n v="0.14000000000000001"/>
    <n v="14993"/>
    <n v="7.12"/>
    <n v="120"/>
    <n v="124.94166666666666"/>
    <s v="Los Angeles"/>
    <s v="Spanish"/>
    <n v="858"/>
    <n v="3587"/>
    <n v="7"/>
    <s v="Foodies"/>
    <x v="346"/>
  </r>
  <r>
    <s v="NexGen Systems"/>
    <x v="1"/>
    <s v="Men 18-24"/>
    <s v="60 days"/>
    <x v="5"/>
    <n v="0.09"/>
    <n v="8801"/>
    <n v="7.14"/>
    <n v="12"/>
    <n v="733.41666666666663"/>
    <s v="Los Angeles"/>
    <s v="Mandarin"/>
    <n v="131"/>
    <n v="1992"/>
    <n v="7"/>
    <s v="Health &amp; Wellness"/>
    <x v="347"/>
  </r>
  <r>
    <s v="DataTech Solutions"/>
    <x v="1"/>
    <s v="Men 18-24"/>
    <s v="15 days"/>
    <x v="5"/>
    <n v="0.15"/>
    <n v="17067"/>
    <n v="3.37"/>
    <n v="94"/>
    <n v="181.56382978723406"/>
    <s v="New York"/>
    <s v="English"/>
    <n v="629"/>
    <n v="2321"/>
    <n v="5"/>
    <s v="Tech Enthusiasts"/>
    <x v="348"/>
  </r>
  <r>
    <s v="Alpha Innovations"/>
    <x v="2"/>
    <s v="Men 18-24"/>
    <s v="15 days"/>
    <x v="4"/>
    <n v="0.13"/>
    <n v="7268"/>
    <n v="5.73"/>
    <n v="111"/>
    <n v="65.477477477477478"/>
    <s v="New York"/>
    <s v="English"/>
    <n v="856"/>
    <n v="7009"/>
    <n v="1"/>
    <s v="Outdoor Adventurers"/>
    <x v="349"/>
  </r>
  <r>
    <s v="Innovate Industries"/>
    <x v="2"/>
    <s v="Men 18-24"/>
    <s v="15 days"/>
    <x v="5"/>
    <n v="0.04"/>
    <n v="6091"/>
    <n v="3.53"/>
    <n v="38"/>
    <n v="160.28947368421052"/>
    <s v="Los Angeles"/>
    <s v="French"/>
    <n v="940"/>
    <n v="1128"/>
    <n v="4"/>
    <s v="Outdoor Adventurers"/>
    <x v="350"/>
  </r>
  <r>
    <s v="TechCorp"/>
    <x v="3"/>
    <s v="All Ages"/>
    <s v="45 days"/>
    <x v="1"/>
    <n v="0.06"/>
    <n v="5960"/>
    <n v="7.78"/>
    <n v="24"/>
    <n v="248.33333333333334"/>
    <s v="Houston"/>
    <s v="German"/>
    <n v="400"/>
    <n v="9553"/>
    <n v="7"/>
    <s v="Tech Enthusiasts"/>
    <x v="351"/>
  </r>
  <r>
    <s v="DataTech Solutions"/>
    <x v="1"/>
    <s v="Women 25-34"/>
    <s v="30 days"/>
    <x v="2"/>
    <n v="0.13"/>
    <n v="7382"/>
    <n v="2.2799999999999998"/>
    <n v="88"/>
    <n v="83.88636363636364"/>
    <s v="Houston"/>
    <s v="German"/>
    <n v="678"/>
    <n v="6349"/>
    <n v="7"/>
    <s v="Tech Enthusiasts"/>
    <x v="352"/>
  </r>
  <r>
    <s v="NexGen Systems"/>
    <x v="4"/>
    <s v="Men 25-34"/>
    <s v="30 days"/>
    <x v="2"/>
    <n v="0.14000000000000001"/>
    <n v="7184"/>
    <n v="2.42"/>
    <n v="74"/>
    <n v="97.081081081081081"/>
    <s v="Chicago"/>
    <s v="French"/>
    <n v="525"/>
    <n v="7470"/>
    <n v="8"/>
    <s v="Fashionistas"/>
    <x v="353"/>
  </r>
  <r>
    <s v="NexGen Systems"/>
    <x v="1"/>
    <s v="Women 35-44"/>
    <s v="30 days"/>
    <x v="1"/>
    <n v="0.14000000000000001"/>
    <n v="15462"/>
    <n v="4.38"/>
    <n v="101"/>
    <n v="153.0891089108911"/>
    <s v="Houston"/>
    <s v="German"/>
    <n v="722"/>
    <n v="9428"/>
    <n v="1"/>
    <s v="Outdoor Adventurers"/>
    <x v="354"/>
  </r>
  <r>
    <s v="DataTech Solutions"/>
    <x v="3"/>
    <s v="Men 25-34"/>
    <s v="45 days"/>
    <x v="0"/>
    <n v="0.03"/>
    <n v="19773"/>
    <n v="4.28"/>
    <n v="7"/>
    <n v="2824.7142857142858"/>
    <s v="Miami"/>
    <s v="English"/>
    <n v="243"/>
    <n v="6215"/>
    <n v="3"/>
    <s v="Fashionistas"/>
    <x v="355"/>
  </r>
  <r>
    <s v="Innovate Industries"/>
    <x v="2"/>
    <s v="Men 25-34"/>
    <s v="15 days"/>
    <x v="3"/>
    <n v="0.13"/>
    <n v="11738"/>
    <n v="5.92"/>
    <n v="82"/>
    <n v="143.14634146341464"/>
    <s v="Los Angeles"/>
    <s v="German"/>
    <n v="628"/>
    <n v="7525"/>
    <n v="9"/>
    <s v="Tech Enthusiasts"/>
    <x v="356"/>
  </r>
  <r>
    <s v="DataTech Solutions"/>
    <x v="1"/>
    <s v="Women 35-44"/>
    <s v="30 days"/>
    <x v="5"/>
    <n v="0.1"/>
    <n v="13594"/>
    <n v="6.62"/>
    <n v="30"/>
    <n v="453.13333333333333"/>
    <s v="Los Angeles"/>
    <s v="French"/>
    <n v="300"/>
    <n v="7244"/>
    <n v="6"/>
    <s v="Outdoor Adventurers"/>
    <x v="357"/>
  </r>
  <r>
    <s v="TechCorp"/>
    <x v="4"/>
    <s v="Men 18-24"/>
    <s v="45 days"/>
    <x v="4"/>
    <n v="0.04"/>
    <n v="11047"/>
    <n v="5.65"/>
    <n v="17"/>
    <n v="649.82352941176475"/>
    <s v="Houston"/>
    <s v="French"/>
    <n v="427"/>
    <n v="6252"/>
    <n v="7"/>
    <s v="Foodies"/>
    <x v="358"/>
  </r>
  <r>
    <s v="TechCorp"/>
    <x v="4"/>
    <s v="All Ages"/>
    <s v="60 days"/>
    <x v="4"/>
    <n v="0.03"/>
    <n v="7319"/>
    <n v="6.04"/>
    <n v="8"/>
    <n v="914.875"/>
    <s v="Houston"/>
    <s v="French"/>
    <n v="269"/>
    <n v="3575"/>
    <n v="2"/>
    <s v="Health &amp; Wellness"/>
    <x v="359"/>
  </r>
  <r>
    <s v="Alpha Innovations"/>
    <x v="2"/>
    <s v="Women 25-34"/>
    <s v="45 days"/>
    <x v="3"/>
    <n v="0.05"/>
    <n v="19697"/>
    <n v="3.25"/>
    <n v="20"/>
    <n v="984.85"/>
    <s v="Los Angeles"/>
    <s v="French"/>
    <n v="398"/>
    <n v="5910"/>
    <n v="7"/>
    <s v="Health &amp; Wellness"/>
    <x v="360"/>
  </r>
  <r>
    <s v="Innovate Industries"/>
    <x v="0"/>
    <s v="Men 18-24"/>
    <s v="30 days"/>
    <x v="2"/>
    <n v="0.05"/>
    <n v="10227"/>
    <n v="4.0599999999999996"/>
    <n v="24"/>
    <n v="426.125"/>
    <s v="Chicago"/>
    <s v="Spanish"/>
    <n v="477"/>
    <n v="9097"/>
    <n v="1"/>
    <s v="Outdoor Adventurers"/>
    <x v="361"/>
  </r>
  <r>
    <s v="Alpha Innovations"/>
    <x v="3"/>
    <s v="Women 25-34"/>
    <s v="45 days"/>
    <x v="5"/>
    <n v="0.06"/>
    <n v="5376"/>
    <n v="4.8"/>
    <n v="21"/>
    <n v="256"/>
    <s v="Miami"/>
    <s v="English"/>
    <n v="351"/>
    <n v="3864"/>
    <n v="7"/>
    <s v="Outdoor Adventurers"/>
    <x v="362"/>
  </r>
  <r>
    <s v="TechCorp"/>
    <x v="2"/>
    <s v="Men 18-24"/>
    <s v="15 days"/>
    <x v="2"/>
    <n v="0.13"/>
    <n v="18790"/>
    <n v="3.51"/>
    <n v="66"/>
    <n v="284.69696969696969"/>
    <s v="Houston"/>
    <s v="French"/>
    <n v="504"/>
    <n v="4228"/>
    <n v="1"/>
    <s v="Health &amp; Wellness"/>
    <x v="363"/>
  </r>
  <r>
    <s v="NexGen Systems"/>
    <x v="3"/>
    <s v="All Ages"/>
    <s v="45 days"/>
    <x v="0"/>
    <n v="0.14000000000000001"/>
    <n v="11628"/>
    <n v="6.56"/>
    <n v="122"/>
    <n v="95.311475409836063"/>
    <s v="Chicago"/>
    <s v="Mandarin"/>
    <n v="868"/>
    <n v="3838"/>
    <n v="9"/>
    <s v="Health &amp; Wellness"/>
    <x v="364"/>
  </r>
  <r>
    <s v="NexGen Systems"/>
    <x v="0"/>
    <s v="Women 25-34"/>
    <s v="15 days"/>
    <x v="0"/>
    <n v="0.06"/>
    <n v="18335"/>
    <n v="3.53"/>
    <n v="27"/>
    <n v="679.07407407407402"/>
    <s v="Los Angeles"/>
    <s v="German"/>
    <n v="448"/>
    <n v="9779"/>
    <n v="3"/>
    <s v="Tech Enthusiasts"/>
    <x v="0"/>
  </r>
  <r>
    <s v="NexGen Systems"/>
    <x v="1"/>
    <s v="Men 18-24"/>
    <s v="15 days"/>
    <x v="4"/>
    <n v="0.12"/>
    <n v="14594"/>
    <n v="6.78"/>
    <n v="46"/>
    <n v="317.26086956521738"/>
    <s v="Los Angeles"/>
    <s v="French"/>
    <n v="381"/>
    <n v="3706"/>
    <n v="7"/>
    <s v="Foodies"/>
    <x v="1"/>
  </r>
  <r>
    <s v="NexGen Systems"/>
    <x v="1"/>
    <s v="Women 25-34"/>
    <s v="60 days"/>
    <x v="3"/>
    <n v="0.08"/>
    <n v="15973"/>
    <n v="6.81"/>
    <n v="44"/>
    <n v="363.02272727272725"/>
    <s v="Chicago"/>
    <s v="English"/>
    <n v="556"/>
    <n v="2878"/>
    <n v="1"/>
    <s v="Outdoor Adventurers"/>
    <x v="2"/>
  </r>
  <r>
    <s v="TechCorp"/>
    <x v="4"/>
    <s v="Women 35-44"/>
    <s v="15 days"/>
    <x v="2"/>
    <n v="0.1"/>
    <n v="15101"/>
    <n v="2.91"/>
    <n v="50"/>
    <n v="302.02"/>
    <s v="Los Angeles"/>
    <s v="English"/>
    <n v="497"/>
    <n v="4385"/>
    <n v="3"/>
    <s v="Health &amp; Wellness"/>
    <x v="3"/>
  </r>
  <r>
    <s v="NexGen Systems"/>
    <x v="0"/>
    <s v="Men 25-34"/>
    <s v="30 days"/>
    <x v="3"/>
    <n v="0.08"/>
    <n v="10122"/>
    <n v="6.02"/>
    <n v="33"/>
    <n v="306.72727272727275"/>
    <s v="Miami"/>
    <s v="French"/>
    <n v="418"/>
    <n v="3665"/>
    <n v="1"/>
    <s v="Fashionistas"/>
    <x v="4"/>
  </r>
  <r>
    <s v="DataTech Solutions"/>
    <x v="2"/>
    <s v="Women 25-34"/>
    <s v="60 days"/>
    <x v="3"/>
    <n v="0.15"/>
    <n v="7802"/>
    <n v="4.18"/>
    <n v="93"/>
    <n v="83.892473118279568"/>
    <s v="New York"/>
    <s v="French"/>
    <n v="621"/>
    <n v="7180"/>
    <n v="1"/>
    <s v="Foodies"/>
    <x v="5"/>
  </r>
  <r>
    <s v="Alpha Innovations"/>
    <x v="1"/>
    <s v="Women 35-44"/>
    <s v="45 days"/>
    <x v="4"/>
    <n v="0.04"/>
    <n v="13662"/>
    <n v="4.87"/>
    <n v="28"/>
    <n v="487.92857142857144"/>
    <s v="Miami"/>
    <s v="English"/>
    <n v="705"/>
    <n v="4721"/>
    <n v="10"/>
    <s v="Foodies"/>
    <x v="6"/>
  </r>
  <r>
    <s v="NexGen Systems"/>
    <x v="3"/>
    <s v="Men 18-24"/>
    <s v="60 days"/>
    <x v="2"/>
    <n v="0.12"/>
    <n v="19207"/>
    <n v="4.88"/>
    <n v="34"/>
    <n v="564.91176470588232"/>
    <s v="Houston"/>
    <s v="English"/>
    <n v="284"/>
    <n v="6664"/>
    <n v="8"/>
    <s v="Fashionistas"/>
    <x v="7"/>
  </r>
  <r>
    <s v="Alpha Innovations"/>
    <x v="1"/>
    <s v="Men 25-34"/>
    <s v="15 days"/>
    <x v="5"/>
    <n v="0.04"/>
    <n v="9328"/>
    <n v="5.67"/>
    <n v="10"/>
    <n v="932.8"/>
    <s v="Houston"/>
    <s v="Mandarin"/>
    <n v="241"/>
    <n v="1268"/>
    <n v="1"/>
    <s v="Foodies"/>
    <x v="8"/>
  </r>
  <r>
    <s v="Alpha Innovations"/>
    <x v="0"/>
    <s v="Men 25-34"/>
    <s v="15 days"/>
    <x v="4"/>
    <n v="0.13"/>
    <n v="9558"/>
    <n v="5.0599999999999996"/>
    <n v="47"/>
    <n v="203.36170212765958"/>
    <s v="New York"/>
    <s v="Mandarin"/>
    <n v="360"/>
    <n v="4728"/>
    <n v="8"/>
    <s v="Fashionistas"/>
    <x v="9"/>
  </r>
  <r>
    <s v="DataTech Solutions"/>
    <x v="2"/>
    <s v="Men 18-24"/>
    <s v="30 days"/>
    <x v="2"/>
    <n v="0.12"/>
    <n v="10631"/>
    <n v="5.28"/>
    <n v="35"/>
    <n v="303.74285714285713"/>
    <s v="Houston"/>
    <s v="French"/>
    <n v="293"/>
    <n v="9534"/>
    <n v="10"/>
    <s v="Fashionistas"/>
    <x v="10"/>
  </r>
  <r>
    <s v="Alpha Innovations"/>
    <x v="0"/>
    <s v="Men 18-24"/>
    <s v="15 days"/>
    <x v="0"/>
    <n v="0.04"/>
    <n v="19902"/>
    <n v="7.65"/>
    <n v="19"/>
    <n v="1047.4736842105262"/>
    <s v="Chicago"/>
    <s v="German"/>
    <n v="464"/>
    <n v="9991"/>
    <n v="3"/>
    <s v="Outdoor Adventurers"/>
    <x v="11"/>
  </r>
  <r>
    <s v="TechCorp"/>
    <x v="3"/>
    <s v="All Ages"/>
    <s v="60 days"/>
    <x v="4"/>
    <n v="0.06"/>
    <n v="7086"/>
    <n v="6.02"/>
    <n v="37"/>
    <n v="191.51351351351352"/>
    <s v="Los Angeles"/>
    <s v="French"/>
    <n v="624"/>
    <n v="5869"/>
    <n v="9"/>
    <s v="Health &amp; Wellness"/>
    <x v="12"/>
  </r>
  <r>
    <s v="DataTech Solutions"/>
    <x v="4"/>
    <s v="Women 35-44"/>
    <s v="60 days"/>
    <x v="3"/>
    <n v="0.11"/>
    <n v="11332"/>
    <n v="2.34"/>
    <n v="106"/>
    <n v="106.90566037735849"/>
    <s v="Chicago"/>
    <s v="Mandarin"/>
    <n v="968"/>
    <n v="9725"/>
    <n v="5"/>
    <s v="Fashionistas"/>
    <x v="13"/>
  </r>
  <r>
    <s v="Alpha Innovations"/>
    <x v="1"/>
    <s v="Men 25-34"/>
    <s v="30 days"/>
    <x v="2"/>
    <n v="0.09"/>
    <n v="15817"/>
    <n v="2.5"/>
    <n v="56"/>
    <n v="282.44642857142856"/>
    <s v="New York"/>
    <s v="Mandarin"/>
    <n v="617"/>
    <n v="5480"/>
    <n v="6"/>
    <s v="Foodies"/>
    <x v="14"/>
  </r>
  <r>
    <s v="TechCorp"/>
    <x v="1"/>
    <s v="Men 25-34"/>
    <s v="60 days"/>
    <x v="2"/>
    <n v="0.06"/>
    <n v="17001"/>
    <n v="7.95"/>
    <n v="23"/>
    <n v="739.17391304347825"/>
    <s v="Miami"/>
    <s v="Spanish"/>
    <n v="377"/>
    <n v="1655"/>
    <n v="6"/>
    <s v="Tech Enthusiasts"/>
    <x v="15"/>
  </r>
  <r>
    <s v="Innovate Industries"/>
    <x v="1"/>
    <s v="Women 25-34"/>
    <s v="45 days"/>
    <x v="4"/>
    <n v="0.05"/>
    <n v="13659"/>
    <n v="4.55"/>
    <n v="16"/>
    <n v="853.6875"/>
    <s v="Houston"/>
    <s v="French"/>
    <n v="328"/>
    <n v="6789"/>
    <n v="7"/>
    <s v="Outdoor Adventurers"/>
    <x v="16"/>
  </r>
  <r>
    <s v="Alpha Innovations"/>
    <x v="1"/>
    <s v="Men 18-24"/>
    <s v="60 days"/>
    <x v="1"/>
    <n v="0.13"/>
    <n v="18557"/>
    <n v="6.85"/>
    <n v="25"/>
    <n v="742.28"/>
    <s v="Houston"/>
    <s v="French"/>
    <n v="194"/>
    <n v="9701"/>
    <n v="5"/>
    <s v="Tech Enthusiasts"/>
    <x v="17"/>
  </r>
  <r>
    <s v="TechCorp"/>
    <x v="2"/>
    <s v="Women 25-34"/>
    <s v="15 days"/>
    <x v="1"/>
    <n v="0.05"/>
    <n v="5875"/>
    <n v="5.01"/>
    <n v="39"/>
    <n v="150.64102564102564"/>
    <s v="Miami"/>
    <s v="German"/>
    <n v="776"/>
    <n v="9382"/>
    <n v="8"/>
    <s v="Fashionistas"/>
    <x v="18"/>
  </r>
  <r>
    <s v="DataTech Solutions"/>
    <x v="2"/>
    <s v="Men 18-24"/>
    <s v="45 days"/>
    <x v="0"/>
    <n v="0.15"/>
    <n v="10556"/>
    <n v="3.51"/>
    <n v="114"/>
    <n v="92.596491228070178"/>
    <s v="Chicago"/>
    <s v="English"/>
    <n v="761"/>
    <n v="2186"/>
    <n v="7"/>
    <s v="Health &amp; Wellness"/>
    <x v="19"/>
  </r>
  <r>
    <s v="Innovate Industries"/>
    <x v="3"/>
    <s v="All Ages"/>
    <s v="60 days"/>
    <x v="2"/>
    <n v="0.09"/>
    <n v="11526"/>
    <n v="6.19"/>
    <n v="26"/>
    <n v="443.30769230769232"/>
    <s v="Los Angeles"/>
    <s v="French"/>
    <n v="289"/>
    <n v="5038"/>
    <n v="7"/>
    <s v="Fashionistas"/>
    <x v="20"/>
  </r>
  <r>
    <s v="Alpha Innovations"/>
    <x v="2"/>
    <s v="Men 18-24"/>
    <s v="45 days"/>
    <x v="1"/>
    <n v="0.05"/>
    <n v="13264"/>
    <n v="5.73"/>
    <n v="18"/>
    <n v="736.88888888888891"/>
    <s v="Chicago"/>
    <s v="French"/>
    <n v="364"/>
    <n v="4288"/>
    <n v="3"/>
    <s v="Tech Enthusiasts"/>
    <x v="21"/>
  </r>
  <r>
    <s v="TechCorp"/>
    <x v="1"/>
    <s v="Women 35-44"/>
    <s v="45 days"/>
    <x v="4"/>
    <n v="0.02"/>
    <n v="18963"/>
    <n v="6.72"/>
    <n v="9"/>
    <n v="2107"/>
    <s v="Miami"/>
    <s v="French"/>
    <n v="452"/>
    <n v="6828"/>
    <n v="7"/>
    <s v="Tech Enthusiasts"/>
    <x v="22"/>
  </r>
  <r>
    <s v="NexGen Systems"/>
    <x v="4"/>
    <s v="Men 18-24"/>
    <s v="60 days"/>
    <x v="5"/>
    <n v="0.05"/>
    <n v="12159"/>
    <n v="5.39"/>
    <n v="17"/>
    <n v="715.23529411764707"/>
    <s v="Miami"/>
    <s v="French"/>
    <n v="344"/>
    <n v="7327"/>
    <n v="5"/>
    <s v="Tech Enthusiasts"/>
    <x v="23"/>
  </r>
  <r>
    <s v="TechCorp"/>
    <x v="1"/>
    <s v="Women 35-44"/>
    <s v="60 days"/>
    <x v="5"/>
    <n v="0.09"/>
    <n v="15039"/>
    <n v="3.66"/>
    <n v="61"/>
    <n v="246.54098360655738"/>
    <s v="New York"/>
    <s v="Spanish"/>
    <n v="679"/>
    <n v="6655"/>
    <n v="3"/>
    <s v="Tech Enthusiasts"/>
    <x v="24"/>
  </r>
  <r>
    <s v="Alpha Innovations"/>
    <x v="4"/>
    <s v="Women 35-44"/>
    <s v="45 days"/>
    <x v="1"/>
    <n v="0.04"/>
    <n v="7113"/>
    <n v="4.29"/>
    <n v="11"/>
    <n v="646.63636363636363"/>
    <s v="Los Angeles"/>
    <s v="Spanish"/>
    <n v="268"/>
    <n v="4346"/>
    <n v="4"/>
    <s v="Foodies"/>
    <x v="25"/>
  </r>
  <r>
    <s v="DataTech Solutions"/>
    <x v="2"/>
    <s v="Women 25-34"/>
    <s v="60 days"/>
    <x v="5"/>
    <n v="0.12"/>
    <n v="13504"/>
    <n v="2.0099999999999998"/>
    <n v="67"/>
    <n v="201.55223880597015"/>
    <s v="New York"/>
    <s v="German"/>
    <n v="561"/>
    <n v="4474"/>
    <n v="7"/>
    <s v="Health &amp; Wellness"/>
    <x v="26"/>
  </r>
  <r>
    <s v="DataTech Solutions"/>
    <x v="1"/>
    <s v="Women 35-44"/>
    <s v="15 days"/>
    <x v="1"/>
    <n v="0.03"/>
    <n v="5475"/>
    <n v="5.65"/>
    <n v="8"/>
    <n v="684.375"/>
    <s v="Chicago"/>
    <s v="German"/>
    <n v="265"/>
    <n v="7782"/>
    <n v="3"/>
    <s v="Health &amp; Wellness"/>
    <x v="27"/>
  </r>
  <r>
    <s v="Innovate Industries"/>
    <x v="0"/>
    <s v="All Ages"/>
    <s v="45 days"/>
    <x v="3"/>
    <n v="0.04"/>
    <n v="12252"/>
    <n v="7.84"/>
    <n v="33"/>
    <n v="371.27272727272725"/>
    <s v="Chicago"/>
    <s v="French"/>
    <n v="816"/>
    <n v="4036"/>
    <n v="10"/>
    <s v="Outdoor Adventurers"/>
    <x v="28"/>
  </r>
  <r>
    <s v="Innovate Industries"/>
    <x v="2"/>
    <s v="Women 35-44"/>
    <s v="15 days"/>
    <x v="5"/>
    <n v="0.14000000000000001"/>
    <n v="5708"/>
    <n v="6.73"/>
    <n v="85"/>
    <n v="67.152941176470591"/>
    <s v="Chicago"/>
    <s v="French"/>
    <n v="606"/>
    <n v="1545"/>
    <n v="10"/>
    <s v="Outdoor Adventurers"/>
    <x v="29"/>
  </r>
  <r>
    <s v="Alpha Innovations"/>
    <x v="0"/>
    <s v="Women 35-44"/>
    <s v="30 days"/>
    <x v="1"/>
    <n v="0.12"/>
    <n v="11148"/>
    <n v="3.2"/>
    <n v="72"/>
    <n v="154.83333333333334"/>
    <s v="Houston"/>
    <s v="French"/>
    <n v="602"/>
    <n v="1014"/>
    <n v="1"/>
    <s v="Foodies"/>
    <x v="30"/>
  </r>
  <r>
    <s v="Innovate Industries"/>
    <x v="2"/>
    <s v="All Ages"/>
    <s v="30 days"/>
    <x v="0"/>
    <n v="7.0000000000000007E-2"/>
    <n v="13061"/>
    <n v="2.54"/>
    <n v="32"/>
    <n v="408.15625"/>
    <s v="New York"/>
    <s v="French"/>
    <n v="452"/>
    <n v="3613"/>
    <n v="9"/>
    <s v="Foodies"/>
    <x v="31"/>
  </r>
  <r>
    <s v="DataTech Solutions"/>
    <x v="3"/>
    <s v="All Ages"/>
    <s v="45 days"/>
    <x v="1"/>
    <n v="0.12"/>
    <n v="10573"/>
    <n v="2.78"/>
    <n v="26"/>
    <n v="406.65384615384613"/>
    <s v="Miami"/>
    <s v="French"/>
    <n v="217"/>
    <n v="3794"/>
    <n v="8"/>
    <s v="Fashionistas"/>
    <x v="32"/>
  </r>
  <r>
    <s v="Innovate Industries"/>
    <x v="1"/>
    <s v="All Ages"/>
    <s v="15 days"/>
    <x v="2"/>
    <n v="0.06"/>
    <n v="9575"/>
    <n v="3.52"/>
    <n v="10"/>
    <n v="957.5"/>
    <s v="Miami"/>
    <s v="English"/>
    <n v="162"/>
    <n v="4208"/>
    <n v="2"/>
    <s v="Outdoor Adventurers"/>
    <x v="33"/>
  </r>
  <r>
    <s v="NexGen Systems"/>
    <x v="1"/>
    <s v="Men 25-34"/>
    <s v="45 days"/>
    <x v="5"/>
    <n v="0.09"/>
    <n v="8008"/>
    <n v="5.33"/>
    <n v="56"/>
    <n v="143"/>
    <s v="Miami"/>
    <s v="German"/>
    <n v="623"/>
    <n v="3711"/>
    <n v="8"/>
    <s v="Foodies"/>
    <x v="34"/>
  </r>
  <r>
    <s v="DataTech Solutions"/>
    <x v="0"/>
    <s v="All Ages"/>
    <s v="60 days"/>
    <x v="4"/>
    <n v="0.03"/>
    <n v="16287"/>
    <n v="6.86"/>
    <n v="11"/>
    <n v="1480.6363636363637"/>
    <s v="Miami"/>
    <s v="English"/>
    <n v="372"/>
    <n v="9861"/>
    <n v="8"/>
    <s v="Fashionistas"/>
    <x v="35"/>
  </r>
  <r>
    <s v="DataTech Solutions"/>
    <x v="2"/>
    <s v="Men 18-24"/>
    <s v="30 days"/>
    <x v="0"/>
    <n v="0.13"/>
    <n v="11570"/>
    <n v="5.99"/>
    <n v="65"/>
    <n v="178"/>
    <s v="Chicago"/>
    <s v="Mandarin"/>
    <n v="502"/>
    <n v="2301"/>
    <n v="7"/>
    <s v="Health &amp; Wellness"/>
    <x v="36"/>
  </r>
  <r>
    <s v="Innovate Industries"/>
    <x v="1"/>
    <s v="All Ages"/>
    <s v="15 days"/>
    <x v="1"/>
    <n v="0.03"/>
    <n v="8166"/>
    <n v="4.4800000000000004"/>
    <n v="9"/>
    <n v="907.33333333333337"/>
    <s v="Miami"/>
    <s v="English"/>
    <n v="300"/>
    <n v="9023"/>
    <n v="3"/>
    <s v="Tech Enthusiasts"/>
    <x v="37"/>
  </r>
  <r>
    <s v="Innovate Industries"/>
    <x v="1"/>
    <s v="Men 25-34"/>
    <s v="45 days"/>
    <x v="5"/>
    <n v="0.06"/>
    <n v="13683"/>
    <n v="4.2699999999999996"/>
    <n v="26"/>
    <n v="526.26923076923072"/>
    <s v="New York"/>
    <s v="French"/>
    <n v="434"/>
    <n v="4834"/>
    <n v="1"/>
    <s v="Outdoor Adventurers"/>
    <x v="38"/>
  </r>
  <r>
    <s v="NexGen Systems"/>
    <x v="1"/>
    <s v="Men 18-24"/>
    <s v="30 days"/>
    <x v="1"/>
    <n v="0.09"/>
    <n v="15917"/>
    <n v="7.26"/>
    <n v="45"/>
    <n v="353.71111111111111"/>
    <s v="Houston"/>
    <s v="Spanish"/>
    <n v="502"/>
    <n v="1773"/>
    <n v="2"/>
    <s v="Foodies"/>
    <x v="39"/>
  </r>
  <r>
    <s v="NexGen Systems"/>
    <x v="3"/>
    <s v="Women 35-44"/>
    <s v="15 days"/>
    <x v="1"/>
    <n v="0.08"/>
    <n v="8459"/>
    <n v="3.25"/>
    <n v="27"/>
    <n v="313.2962962962963"/>
    <s v="New York"/>
    <s v="French"/>
    <n v="332"/>
    <n v="7047"/>
    <n v="2"/>
    <s v="Tech Enthusiasts"/>
    <x v="40"/>
  </r>
  <r>
    <s v="Alpha Innovations"/>
    <x v="0"/>
    <s v="Women 35-44"/>
    <s v="45 days"/>
    <x v="2"/>
    <n v="0.06"/>
    <n v="16990"/>
    <n v="7.18"/>
    <n v="48"/>
    <n v="353.95833333333331"/>
    <s v="Miami"/>
    <s v="Spanish"/>
    <n v="802"/>
    <n v="9908"/>
    <n v="5"/>
    <s v="Outdoor Adventurers"/>
    <x v="41"/>
  </r>
  <r>
    <s v="Alpha Innovations"/>
    <x v="4"/>
    <s v="All Ages"/>
    <s v="45 days"/>
    <x v="1"/>
    <n v="0.1"/>
    <n v="19156"/>
    <n v="5.65"/>
    <n v="24"/>
    <n v="798.16666666666663"/>
    <s v="Houston"/>
    <s v="English"/>
    <n v="236"/>
    <n v="3195"/>
    <n v="3"/>
    <s v="Foodies"/>
    <x v="42"/>
  </r>
  <r>
    <s v="NexGen Systems"/>
    <x v="1"/>
    <s v="Women 25-34"/>
    <s v="15 days"/>
    <x v="1"/>
    <n v="0.11"/>
    <n v="5478"/>
    <n v="4.12"/>
    <n v="91"/>
    <n v="60.197802197802197"/>
    <s v="Miami"/>
    <s v="German"/>
    <n v="826"/>
    <n v="5368"/>
    <n v="6"/>
    <s v="Health &amp; Wellness"/>
    <x v="43"/>
  </r>
  <r>
    <s v="Alpha Innovations"/>
    <x v="2"/>
    <s v="Women 35-44"/>
    <s v="60 days"/>
    <x v="1"/>
    <n v="0.11"/>
    <n v="14132"/>
    <n v="5.76"/>
    <n v="16"/>
    <n v="883.25"/>
    <s v="Chicago"/>
    <s v="German"/>
    <n v="146"/>
    <n v="2864"/>
    <n v="7"/>
    <s v="Health &amp; Wellness"/>
    <x v="44"/>
  </r>
  <r>
    <s v="DataTech Solutions"/>
    <x v="3"/>
    <s v="Women 35-44"/>
    <s v="15 days"/>
    <x v="2"/>
    <n v="0.1"/>
    <n v="5217"/>
    <n v="6.34"/>
    <n v="40"/>
    <n v="130.42500000000001"/>
    <s v="Houston"/>
    <s v="French"/>
    <n v="398"/>
    <n v="7812"/>
    <n v="6"/>
    <s v="Foodies"/>
    <x v="45"/>
  </r>
  <r>
    <s v="NexGen Systems"/>
    <x v="4"/>
    <s v="All Ages"/>
    <s v="30 days"/>
    <x v="3"/>
    <n v="0.11"/>
    <n v="11990"/>
    <n v="2.63"/>
    <n v="42"/>
    <n v="285.47619047619048"/>
    <s v="Miami"/>
    <s v="German"/>
    <n v="382"/>
    <n v="5589"/>
    <n v="2"/>
    <s v="Foodies"/>
    <x v="46"/>
  </r>
  <r>
    <s v="TechCorp"/>
    <x v="4"/>
    <s v="Women 35-44"/>
    <s v="45 days"/>
    <x v="2"/>
    <n v="0.04"/>
    <n v="5156"/>
    <n v="3.19"/>
    <n v="20"/>
    <n v="257.8"/>
    <s v="Los Angeles"/>
    <s v="Mandarin"/>
    <n v="492"/>
    <n v="7687"/>
    <n v="4"/>
    <s v="Tech Enthusiasts"/>
    <x v="47"/>
  </r>
  <r>
    <s v="DataTech Solutions"/>
    <x v="0"/>
    <s v="Women 35-44"/>
    <s v="15 days"/>
    <x v="3"/>
    <n v="0.05"/>
    <n v="14399"/>
    <n v="3.59"/>
    <n v="31"/>
    <n v="464.48387096774195"/>
    <s v="Chicago"/>
    <s v="Spanish"/>
    <n v="619"/>
    <n v="8791"/>
    <n v="1"/>
    <s v="Foodies"/>
    <x v="48"/>
  </r>
  <r>
    <s v="Innovate Industries"/>
    <x v="2"/>
    <s v="Women 35-44"/>
    <s v="60 days"/>
    <x v="1"/>
    <n v="0.06"/>
    <n v="6232"/>
    <n v="3.09"/>
    <n v="40"/>
    <n v="155.80000000000001"/>
    <s v="Miami"/>
    <s v="English"/>
    <n v="660"/>
    <n v="5207"/>
    <n v="4"/>
    <s v="Health &amp; Wellness"/>
    <x v="49"/>
  </r>
  <r>
    <s v="NexGen Systems"/>
    <x v="2"/>
    <s v="Women 25-34"/>
    <s v="15 days"/>
    <x v="1"/>
    <n v="0.02"/>
    <n v="6782"/>
    <n v="7.29"/>
    <n v="5"/>
    <n v="1356.4"/>
    <s v="Houston"/>
    <s v="French"/>
    <n v="268"/>
    <n v="5821"/>
    <n v="3"/>
    <s v="Health &amp; Wellness"/>
    <x v="50"/>
  </r>
  <r>
    <s v="Alpha Innovations"/>
    <x v="2"/>
    <s v="All Ages"/>
    <s v="15 days"/>
    <x v="5"/>
    <n v="0.08"/>
    <n v="5587"/>
    <n v="7.87"/>
    <n v="71"/>
    <n v="78.690140845070417"/>
    <s v="New York"/>
    <s v="Spanish"/>
    <n v="891"/>
    <n v="4082"/>
    <n v="7"/>
    <s v="Outdoor Adventurers"/>
    <x v="51"/>
  </r>
  <r>
    <s v="Innovate Industries"/>
    <x v="2"/>
    <s v="Women 25-34"/>
    <s v="60 days"/>
    <x v="1"/>
    <n v="0.14000000000000001"/>
    <n v="19025"/>
    <n v="6.36"/>
    <n v="84"/>
    <n v="226.48809523809524"/>
    <s v="Miami"/>
    <s v="Mandarin"/>
    <n v="599"/>
    <n v="1174"/>
    <n v="7"/>
    <s v="Health &amp; Wellness"/>
    <x v="52"/>
  </r>
  <r>
    <s v="DataTech Solutions"/>
    <x v="3"/>
    <s v="Women 25-34"/>
    <s v="30 days"/>
    <x v="2"/>
    <n v="0.02"/>
    <n v="18273"/>
    <n v="7.36"/>
    <n v="13"/>
    <n v="1405.6153846153845"/>
    <s v="New York"/>
    <s v="English"/>
    <n v="630"/>
    <n v="8961"/>
    <n v="6"/>
    <s v="Tech Enthusiasts"/>
    <x v="53"/>
  </r>
  <r>
    <s v="Alpha Innovations"/>
    <x v="1"/>
    <s v="Women 35-44"/>
    <s v="45 days"/>
    <x v="0"/>
    <n v="0.12"/>
    <n v="6966"/>
    <n v="2.33"/>
    <n v="113"/>
    <n v="61.646017699115042"/>
    <s v="New York"/>
    <s v="English"/>
    <n v="942"/>
    <n v="9262"/>
    <n v="5"/>
    <s v="Fashionistas"/>
    <x v="54"/>
  </r>
  <r>
    <s v="Innovate Industries"/>
    <x v="1"/>
    <s v="Men 25-34"/>
    <s v="30 days"/>
    <x v="1"/>
    <n v="0.14000000000000001"/>
    <n v="18318"/>
    <n v="6.26"/>
    <n v="37"/>
    <n v="495.08108108108109"/>
    <s v="Los Angeles"/>
    <s v="German"/>
    <n v="266"/>
    <n v="9860"/>
    <n v="8"/>
    <s v="Tech Enthusiasts"/>
    <x v="55"/>
  </r>
  <r>
    <s v="TechCorp"/>
    <x v="2"/>
    <s v="All Ages"/>
    <s v="60 days"/>
    <x v="5"/>
    <n v="0.05"/>
    <n v="10627"/>
    <n v="5.76"/>
    <n v="33"/>
    <n v="322.030303030303"/>
    <s v="Houston"/>
    <s v="Mandarin"/>
    <n v="663"/>
    <n v="4217"/>
    <n v="2"/>
    <s v="Outdoor Adventurers"/>
    <x v="56"/>
  </r>
  <r>
    <s v="Innovate Industries"/>
    <x v="4"/>
    <s v="Men 18-24"/>
    <s v="60 days"/>
    <x v="2"/>
    <n v="7.0000000000000007E-2"/>
    <n v="7471"/>
    <n v="4.1900000000000004"/>
    <n v="30"/>
    <n v="249.03333333333333"/>
    <s v="Miami"/>
    <s v="German"/>
    <n v="423"/>
    <n v="5776"/>
    <n v="3"/>
    <s v="Health &amp; Wellness"/>
    <x v="57"/>
  </r>
  <r>
    <s v="Innovate Industries"/>
    <x v="3"/>
    <s v="Women 25-34"/>
    <s v="45 days"/>
    <x v="5"/>
    <n v="7.0000000000000007E-2"/>
    <n v="5973"/>
    <n v="6.88"/>
    <n v="20"/>
    <n v="298.64999999999998"/>
    <s v="Houston"/>
    <s v="German"/>
    <n v="287"/>
    <n v="8737"/>
    <n v="9"/>
    <s v="Health &amp; Wellness"/>
    <x v="58"/>
  </r>
  <r>
    <s v="DataTech Solutions"/>
    <x v="3"/>
    <s v="Men 25-34"/>
    <s v="45 days"/>
    <x v="1"/>
    <n v="0.05"/>
    <n v="13069"/>
    <n v="4.3099999999999996"/>
    <n v="34"/>
    <n v="384.38235294117646"/>
    <s v="Los Angeles"/>
    <s v="Mandarin"/>
    <n v="675"/>
    <n v="4947"/>
    <n v="7"/>
    <s v="Health &amp; Wellness"/>
    <x v="59"/>
  </r>
  <r>
    <s v="Alpha Innovations"/>
    <x v="4"/>
    <s v="Women 25-34"/>
    <s v="30 days"/>
    <x v="3"/>
    <n v="0.1"/>
    <n v="17626"/>
    <n v="7.38"/>
    <n v="30"/>
    <n v="587.5333333333333"/>
    <s v="Miami"/>
    <s v="English"/>
    <n v="302"/>
    <n v="6973"/>
    <n v="2"/>
    <s v="Health &amp; Wellness"/>
    <x v="60"/>
  </r>
  <r>
    <s v="NexGen Systems"/>
    <x v="0"/>
    <s v="Men 18-24"/>
    <s v="30 days"/>
    <x v="0"/>
    <n v="0.14000000000000001"/>
    <n v="14320"/>
    <n v="7.82"/>
    <n v="18"/>
    <n v="795.55555555555554"/>
    <s v="Houston"/>
    <s v="Spanish"/>
    <n v="129"/>
    <n v="2025"/>
    <n v="10"/>
    <s v="Health &amp; Wellness"/>
    <x v="61"/>
  </r>
  <r>
    <s v="NexGen Systems"/>
    <x v="4"/>
    <s v="All Ages"/>
    <s v="15 days"/>
    <x v="4"/>
    <n v="0.06"/>
    <n v="13065"/>
    <n v="5.69"/>
    <n v="59"/>
    <n v="221.4406779661017"/>
    <s v="Houston"/>
    <s v="Mandarin"/>
    <n v="978"/>
    <n v="1617"/>
    <n v="5"/>
    <s v="Outdoor Adventurers"/>
    <x v="62"/>
  </r>
  <r>
    <s v="Innovate Industries"/>
    <x v="2"/>
    <s v="All Ages"/>
    <s v="60 days"/>
    <x v="3"/>
    <n v="0.12"/>
    <n v="8877"/>
    <n v="2.96"/>
    <n v="47"/>
    <n v="188.87234042553192"/>
    <s v="Chicago"/>
    <s v="Mandarin"/>
    <n v="389"/>
    <n v="3772"/>
    <n v="8"/>
    <s v="Foodies"/>
    <x v="63"/>
  </r>
  <r>
    <s v="Alpha Innovations"/>
    <x v="3"/>
    <s v="All Ages"/>
    <s v="60 days"/>
    <x v="4"/>
    <n v="0.13"/>
    <n v="10485"/>
    <n v="5.43"/>
    <n v="107"/>
    <n v="97.99065420560747"/>
    <s v="Houston"/>
    <s v="Mandarin"/>
    <n v="826"/>
    <n v="2286"/>
    <n v="6"/>
    <s v="Foodies"/>
    <x v="64"/>
  </r>
  <r>
    <s v="NexGen Systems"/>
    <x v="2"/>
    <s v="All Ages"/>
    <s v="30 days"/>
    <x v="4"/>
    <n v="0.13"/>
    <n v="8079"/>
    <n v="6.95"/>
    <n v="119"/>
    <n v="67.890756302521012"/>
    <s v="Miami"/>
    <s v="Spanish"/>
    <n v="912"/>
    <n v="5938"/>
    <n v="7"/>
    <s v="Tech Enthusiasts"/>
    <x v="65"/>
  </r>
  <r>
    <s v="DataTech Solutions"/>
    <x v="1"/>
    <s v="Women 35-44"/>
    <s v="30 days"/>
    <x v="3"/>
    <n v="0.12"/>
    <n v="10897"/>
    <n v="4.1500000000000004"/>
    <n v="86"/>
    <n v="126.70930232558139"/>
    <s v="Houston"/>
    <s v="French"/>
    <n v="717"/>
    <n v="7714"/>
    <n v="8"/>
    <s v="Health &amp; Wellness"/>
    <x v="66"/>
  </r>
  <r>
    <s v="DataTech Solutions"/>
    <x v="0"/>
    <s v="Women 35-44"/>
    <s v="45 days"/>
    <x v="3"/>
    <n v="0.1"/>
    <n v="15050"/>
    <n v="2.64"/>
    <n v="76"/>
    <n v="198.02631578947367"/>
    <s v="Los Angeles"/>
    <s v="Spanish"/>
    <n v="760"/>
    <n v="3875"/>
    <n v="1"/>
    <s v="Fashionistas"/>
    <x v="67"/>
  </r>
  <r>
    <s v="DataTech Solutions"/>
    <x v="4"/>
    <s v="Women 25-34"/>
    <s v="60 days"/>
    <x v="0"/>
    <n v="0.06"/>
    <n v="15805"/>
    <n v="4.41"/>
    <n v="59"/>
    <n v="267.88135593220341"/>
    <s v="Houston"/>
    <s v="Spanish"/>
    <n v="991"/>
    <n v="2560"/>
    <n v="8"/>
    <s v="Tech Enthusiasts"/>
    <x v="68"/>
  </r>
  <r>
    <s v="TechCorp"/>
    <x v="2"/>
    <s v="All Ages"/>
    <s v="30 days"/>
    <x v="1"/>
    <n v="0.09"/>
    <n v="10188"/>
    <n v="3.12"/>
    <n v="38"/>
    <n v="268.10526315789474"/>
    <s v="New York"/>
    <s v="Mandarin"/>
    <n v="424"/>
    <n v="5019"/>
    <n v="4"/>
    <s v="Health &amp; Wellness"/>
    <x v="69"/>
  </r>
  <r>
    <s v="DataTech Solutions"/>
    <x v="3"/>
    <s v="Women 25-34"/>
    <s v="15 days"/>
    <x v="1"/>
    <n v="0.03"/>
    <n v="5525"/>
    <n v="4.49"/>
    <n v="22"/>
    <n v="251.13636363636363"/>
    <s v="New York"/>
    <s v="Spanish"/>
    <n v="721"/>
    <n v="5015"/>
    <n v="4"/>
    <s v="Foodies"/>
    <x v="70"/>
  </r>
  <r>
    <s v="TechCorp"/>
    <x v="1"/>
    <s v="Men 18-24"/>
    <s v="15 days"/>
    <x v="4"/>
    <n v="0.13"/>
    <n v="7717"/>
    <n v="3.45"/>
    <n v="106"/>
    <n v="72.801886792452834"/>
    <s v="Miami"/>
    <s v="Spanish"/>
    <n v="818"/>
    <n v="1522"/>
    <n v="8"/>
    <s v="Health &amp; Wellness"/>
    <x v="71"/>
  </r>
  <r>
    <s v="TechCorp"/>
    <x v="2"/>
    <s v="Women 35-44"/>
    <s v="30 days"/>
    <x v="2"/>
    <n v="0.06"/>
    <n v="12548"/>
    <n v="7.65"/>
    <n v="30"/>
    <n v="418.26666666666665"/>
    <s v="New York"/>
    <s v="English"/>
    <n v="505"/>
    <n v="6839"/>
    <n v="1"/>
    <s v="Fashionistas"/>
    <x v="72"/>
  </r>
  <r>
    <s v="NexGen Systems"/>
    <x v="2"/>
    <s v="Women 25-34"/>
    <s v="45 days"/>
    <x v="2"/>
    <n v="7.0000000000000007E-2"/>
    <n v="15640"/>
    <n v="5.01"/>
    <n v="37"/>
    <n v="422.70270270270271"/>
    <s v="Houston"/>
    <s v="French"/>
    <n v="525"/>
    <n v="6399"/>
    <n v="7"/>
    <s v="Outdoor Adventurers"/>
    <x v="73"/>
  </r>
  <r>
    <s v="TechCorp"/>
    <x v="4"/>
    <s v="Women 35-44"/>
    <s v="60 days"/>
    <x v="1"/>
    <n v="0.04"/>
    <n v="10245"/>
    <n v="7.82"/>
    <n v="10"/>
    <n v="1024.5"/>
    <s v="Chicago"/>
    <s v="Spanish"/>
    <n v="252"/>
    <n v="9223"/>
    <n v="2"/>
    <s v="Tech Enthusiasts"/>
    <x v="74"/>
  </r>
  <r>
    <s v="TechCorp"/>
    <x v="2"/>
    <s v="Women 25-34"/>
    <s v="45 days"/>
    <x v="0"/>
    <n v="0.13"/>
    <n v="10458"/>
    <n v="2.62"/>
    <n v="27"/>
    <n v="387.33333333333331"/>
    <s v="Houston"/>
    <s v="English"/>
    <n v="205"/>
    <n v="8675"/>
    <n v="7"/>
    <s v="Outdoor Adventurers"/>
    <x v="75"/>
  </r>
  <r>
    <s v="DataTech Solutions"/>
    <x v="0"/>
    <s v="Men 18-24"/>
    <s v="15 days"/>
    <x v="3"/>
    <n v="0.05"/>
    <n v="17431"/>
    <n v="4.1399999999999997"/>
    <n v="36"/>
    <n v="484.19444444444446"/>
    <s v="Houston"/>
    <s v="German"/>
    <n v="719"/>
    <n v="2490"/>
    <n v="5"/>
    <s v="Tech Enthusiasts"/>
    <x v="76"/>
  </r>
  <r>
    <s v="Alpha Innovations"/>
    <x v="3"/>
    <s v="All Ages"/>
    <s v="15 days"/>
    <x v="2"/>
    <n v="0.06"/>
    <n v="18644"/>
    <n v="5.54"/>
    <n v="18"/>
    <n v="1035.7777777777778"/>
    <s v="Chicago"/>
    <s v="English"/>
    <n v="302"/>
    <n v="9918"/>
    <n v="7"/>
    <s v="Outdoor Adventurers"/>
    <x v="77"/>
  </r>
  <r>
    <s v="NexGen Systems"/>
    <x v="3"/>
    <s v="Women 25-34"/>
    <s v="15 days"/>
    <x v="2"/>
    <n v="0.01"/>
    <n v="11587"/>
    <n v="4.2699999999999996"/>
    <n v="3"/>
    <n v="3862.3333333333335"/>
    <s v="New York"/>
    <s v="Spanish"/>
    <n v="340"/>
    <n v="9548"/>
    <n v="9"/>
    <s v="Tech Enthusiasts"/>
    <x v="78"/>
  </r>
  <r>
    <s v="TechCorp"/>
    <x v="1"/>
    <s v="Men 25-34"/>
    <s v="60 days"/>
    <x v="4"/>
    <n v="0.05"/>
    <n v="13552"/>
    <n v="7.52"/>
    <n v="7"/>
    <n v="1936"/>
    <s v="Chicago"/>
    <s v="Mandarin"/>
    <n v="141"/>
    <n v="5741"/>
    <n v="4"/>
    <s v="Health &amp; Wellness"/>
    <x v="79"/>
  </r>
  <r>
    <s v="Alpha Innovations"/>
    <x v="0"/>
    <s v="Men 25-34"/>
    <s v="15 days"/>
    <x v="5"/>
    <n v="0.08"/>
    <n v="10807"/>
    <n v="4.55"/>
    <n v="44"/>
    <n v="245.61363636363637"/>
    <s v="Los Angeles"/>
    <s v="German"/>
    <n v="556"/>
    <n v="9389"/>
    <n v="8"/>
    <s v="Tech Enthusiasts"/>
    <x v="80"/>
  </r>
  <r>
    <s v="DataTech Solutions"/>
    <x v="3"/>
    <s v="Women 35-44"/>
    <s v="15 days"/>
    <x v="3"/>
    <n v="0.04"/>
    <n v="16282"/>
    <n v="4.95"/>
    <n v="7"/>
    <n v="2326"/>
    <s v="Miami"/>
    <s v="English"/>
    <n v="166"/>
    <n v="8707"/>
    <n v="6"/>
    <s v="Fashionistas"/>
    <x v="81"/>
  </r>
  <r>
    <s v="DataTech Solutions"/>
    <x v="0"/>
    <s v="All Ages"/>
    <s v="45 days"/>
    <x v="3"/>
    <n v="0.01"/>
    <n v="9713"/>
    <n v="3.34"/>
    <n v="2"/>
    <n v="4856.5"/>
    <s v="New York"/>
    <s v="English"/>
    <n v="192"/>
    <n v="3133"/>
    <n v="1"/>
    <s v="Tech Enthusiasts"/>
    <x v="82"/>
  </r>
  <r>
    <s v="Alpha Innovations"/>
    <x v="0"/>
    <s v="Men 25-34"/>
    <s v="60 days"/>
    <x v="4"/>
    <n v="0.02"/>
    <n v="13065"/>
    <n v="2.79"/>
    <n v="13"/>
    <n v="1005"/>
    <s v="Los Angeles"/>
    <s v="English"/>
    <n v="651"/>
    <n v="4440"/>
    <n v="7"/>
    <s v="Foodies"/>
    <x v="83"/>
  </r>
  <r>
    <s v="DataTech Solutions"/>
    <x v="3"/>
    <s v="All Ages"/>
    <s v="60 days"/>
    <x v="5"/>
    <n v="0.09"/>
    <n v="19999"/>
    <n v="2.65"/>
    <n v="65"/>
    <n v="307.67692307692306"/>
    <s v="Los Angeles"/>
    <s v="Mandarin"/>
    <n v="718"/>
    <n v="8349"/>
    <n v="3"/>
    <s v="Foodies"/>
    <x v="84"/>
  </r>
  <r>
    <s v="Innovate Industries"/>
    <x v="3"/>
    <s v="Men 25-34"/>
    <s v="15 days"/>
    <x v="4"/>
    <n v="0.12"/>
    <n v="9660"/>
    <n v="7.54"/>
    <n v="95"/>
    <n v="101.68421052631579"/>
    <s v="Miami"/>
    <s v="English"/>
    <n v="788"/>
    <n v="3668"/>
    <n v="10"/>
    <s v="Outdoor Adventurers"/>
    <x v="85"/>
  </r>
  <r>
    <s v="Innovate Industries"/>
    <x v="4"/>
    <s v="Women 25-34"/>
    <s v="30 days"/>
    <x v="3"/>
    <n v="7.0000000000000007E-2"/>
    <n v="9700"/>
    <n v="6.06"/>
    <n v="32"/>
    <n v="303.125"/>
    <s v="Los Angeles"/>
    <s v="English"/>
    <n v="450"/>
    <n v="9965"/>
    <n v="1"/>
    <s v="Health &amp; Wellness"/>
    <x v="86"/>
  </r>
  <r>
    <s v="TechCorp"/>
    <x v="1"/>
    <s v="Men 25-34"/>
    <s v="45 days"/>
    <x v="2"/>
    <n v="0.14000000000000001"/>
    <n v="15827"/>
    <n v="7.6"/>
    <n v="126"/>
    <n v="125.61111111111111"/>
    <s v="Los Angeles"/>
    <s v="French"/>
    <n v="900"/>
    <n v="1021"/>
    <n v="6"/>
    <s v="Foodies"/>
    <x v="87"/>
  </r>
  <r>
    <s v="Alpha Innovations"/>
    <x v="4"/>
    <s v="All Ages"/>
    <s v="45 days"/>
    <x v="1"/>
    <n v="0.11"/>
    <n v="13237"/>
    <n v="6.06"/>
    <n v="31"/>
    <n v="427"/>
    <s v="Houston"/>
    <s v="Mandarin"/>
    <n v="282"/>
    <n v="3918"/>
    <n v="5"/>
    <s v="Health &amp; Wellness"/>
    <x v="88"/>
  </r>
  <r>
    <s v="Innovate Industries"/>
    <x v="3"/>
    <s v="Men 18-24"/>
    <s v="30 days"/>
    <x v="2"/>
    <n v="0.09"/>
    <n v="15538"/>
    <n v="7.74"/>
    <n v="61"/>
    <n v="254.72131147540983"/>
    <s v="Los Angeles"/>
    <s v="English"/>
    <n v="677"/>
    <n v="5175"/>
    <n v="5"/>
    <s v="Health &amp; Wellness"/>
    <x v="89"/>
  </r>
  <r>
    <s v="Alpha Innovations"/>
    <x v="1"/>
    <s v="Women 35-44"/>
    <s v="30 days"/>
    <x v="5"/>
    <n v="0.14000000000000001"/>
    <n v="9437"/>
    <n v="4.75"/>
    <n v="38"/>
    <n v="248.34210526315789"/>
    <s v="Los Angeles"/>
    <s v="German"/>
    <n v="268"/>
    <n v="8855"/>
    <n v="1"/>
    <s v="Fashionistas"/>
    <x v="90"/>
  </r>
  <r>
    <s v="NexGen Systems"/>
    <x v="2"/>
    <s v="Men 25-34"/>
    <s v="30 days"/>
    <x v="0"/>
    <n v="0.12"/>
    <n v="14540"/>
    <n v="2.36"/>
    <n v="89"/>
    <n v="163.37078651685394"/>
    <s v="Houston"/>
    <s v="German"/>
    <n v="738"/>
    <n v="8562"/>
    <n v="2"/>
    <s v="Health &amp; Wellness"/>
    <x v="91"/>
  </r>
  <r>
    <s v="TechCorp"/>
    <x v="1"/>
    <s v="Men 18-24"/>
    <s v="30 days"/>
    <x v="4"/>
    <n v="0.08"/>
    <n v="13142"/>
    <n v="2.79"/>
    <n v="61"/>
    <n v="215.44262295081967"/>
    <s v="Los Angeles"/>
    <s v="Spanish"/>
    <n v="768"/>
    <n v="3518"/>
    <n v="6"/>
    <s v="Foodies"/>
    <x v="92"/>
  </r>
  <r>
    <s v="Alpha Innovations"/>
    <x v="4"/>
    <s v="Women 35-44"/>
    <s v="15 days"/>
    <x v="0"/>
    <n v="0.14000000000000001"/>
    <n v="9497"/>
    <n v="4.26"/>
    <n v="69"/>
    <n v="137.63768115942028"/>
    <s v="Miami"/>
    <s v="French"/>
    <n v="492"/>
    <n v="1074"/>
    <n v="9"/>
    <s v="Tech Enthusiasts"/>
    <x v="93"/>
  </r>
  <r>
    <s v="TechCorp"/>
    <x v="1"/>
    <s v="All Ages"/>
    <s v="45 days"/>
    <x v="3"/>
    <n v="0.08"/>
    <n v="7355"/>
    <n v="5.0599999999999996"/>
    <n v="35"/>
    <n v="210.14285714285714"/>
    <s v="Miami"/>
    <s v="French"/>
    <n v="432"/>
    <n v="9726"/>
    <n v="7"/>
    <s v="Fashionistas"/>
    <x v="94"/>
  </r>
  <r>
    <s v="TechCorp"/>
    <x v="4"/>
    <s v="Men 25-34"/>
    <s v="45 days"/>
    <x v="0"/>
    <n v="7.0000000000000007E-2"/>
    <n v="10174"/>
    <n v="7.67"/>
    <n v="63"/>
    <n v="161.49206349206349"/>
    <s v="Los Angeles"/>
    <s v="German"/>
    <n v="901"/>
    <n v="2192"/>
    <n v="5"/>
    <s v="Outdoor Adventurers"/>
    <x v="95"/>
  </r>
  <r>
    <s v="Innovate Industries"/>
    <x v="1"/>
    <s v="All Ages"/>
    <s v="45 days"/>
    <x v="0"/>
    <n v="0.12"/>
    <n v="9860"/>
    <n v="4.67"/>
    <n v="31"/>
    <n v="318.06451612903226"/>
    <s v="Los Angeles"/>
    <s v="Spanish"/>
    <n v="259"/>
    <n v="9252"/>
    <n v="4"/>
    <s v="Health &amp; Wellness"/>
    <x v="96"/>
  </r>
  <r>
    <s v="TechCorp"/>
    <x v="0"/>
    <s v="All Ages"/>
    <s v="45 days"/>
    <x v="3"/>
    <n v="0.09"/>
    <n v="6078"/>
    <n v="3.86"/>
    <n v="52"/>
    <n v="116.88461538461539"/>
    <s v="Miami"/>
    <s v="German"/>
    <n v="581"/>
    <n v="3091"/>
    <n v="7"/>
    <s v="Foodies"/>
    <x v="97"/>
  </r>
  <r>
    <s v="Alpha Innovations"/>
    <x v="1"/>
    <s v="Women 25-34"/>
    <s v="30 days"/>
    <x v="5"/>
    <n v="0.12"/>
    <n v="17577"/>
    <n v="7.7"/>
    <n v="39"/>
    <n v="450.69230769230768"/>
    <s v="Miami"/>
    <s v="English"/>
    <n v="326"/>
    <n v="7858"/>
    <n v="5"/>
    <s v="Foodies"/>
    <x v="98"/>
  </r>
  <r>
    <s v="Alpha Innovations"/>
    <x v="2"/>
    <s v="Women 35-44"/>
    <s v="30 days"/>
    <x v="1"/>
    <n v="0.05"/>
    <n v="14444"/>
    <n v="6.57"/>
    <n v="25"/>
    <n v="577.76"/>
    <s v="Chicago"/>
    <s v="German"/>
    <n v="490"/>
    <n v="1983"/>
    <n v="3"/>
    <s v="Outdoor Adventurers"/>
    <x v="99"/>
  </r>
  <r>
    <s v="Alpha Innovations"/>
    <x v="0"/>
    <s v="Women 25-34"/>
    <s v="30 days"/>
    <x v="5"/>
    <n v="0.03"/>
    <n v="11195"/>
    <n v="7.02"/>
    <n v="6"/>
    <n v="1865.8333333333333"/>
    <s v="Chicago"/>
    <s v="Spanish"/>
    <n v="188"/>
    <n v="3931"/>
    <n v="10"/>
    <s v="Fashionistas"/>
    <x v="100"/>
  </r>
  <r>
    <s v="NexGen Systems"/>
    <x v="1"/>
    <s v="Men 18-24"/>
    <s v="30 days"/>
    <x v="0"/>
    <n v="0.08"/>
    <n v="11898"/>
    <n v="3.24"/>
    <n v="34"/>
    <n v="349.94117647058823"/>
    <s v="Chicago"/>
    <s v="Mandarin"/>
    <n v="431"/>
    <n v="9379"/>
    <n v="2"/>
    <s v="Outdoor Adventurers"/>
    <x v="101"/>
  </r>
  <r>
    <s v="Alpha Innovations"/>
    <x v="3"/>
    <s v="Men 18-24"/>
    <s v="15 days"/>
    <x v="2"/>
    <n v="0.08"/>
    <n v="7071"/>
    <n v="7.7"/>
    <n v="51"/>
    <n v="138.64705882352942"/>
    <s v="Houston"/>
    <s v="German"/>
    <n v="633"/>
    <n v="8139"/>
    <n v="7"/>
    <s v="Tech Enthusiasts"/>
    <x v="102"/>
  </r>
  <r>
    <s v="Innovate Industries"/>
    <x v="1"/>
    <s v="Men 25-34"/>
    <s v="30 days"/>
    <x v="1"/>
    <n v="0.03"/>
    <n v="13411"/>
    <n v="7.44"/>
    <n v="16"/>
    <n v="838.1875"/>
    <s v="Los Angeles"/>
    <s v="English"/>
    <n v="531"/>
    <n v="9941"/>
    <n v="5"/>
    <s v="Foodies"/>
    <x v="103"/>
  </r>
  <r>
    <s v="NexGen Systems"/>
    <x v="2"/>
    <s v="Men 25-34"/>
    <s v="60 days"/>
    <x v="2"/>
    <n v="0.04"/>
    <n v="10620"/>
    <n v="4.7"/>
    <n v="30"/>
    <n v="354"/>
    <s v="Houston"/>
    <s v="French"/>
    <n v="745"/>
    <n v="6527"/>
    <n v="4"/>
    <s v="Foodies"/>
    <x v="104"/>
  </r>
  <r>
    <s v="DataTech Solutions"/>
    <x v="0"/>
    <s v="Men 25-34"/>
    <s v="60 days"/>
    <x v="5"/>
    <n v="0.03"/>
    <n v="6633"/>
    <n v="6.05"/>
    <n v="26"/>
    <n v="255.11538461538461"/>
    <s v="Miami"/>
    <s v="German"/>
    <n v="876"/>
    <n v="2847"/>
    <n v="5"/>
    <s v="Fashionistas"/>
    <x v="105"/>
  </r>
  <r>
    <s v="Alpha Innovations"/>
    <x v="4"/>
    <s v="Men 25-34"/>
    <s v="60 days"/>
    <x v="0"/>
    <n v="0.15"/>
    <n v="16501"/>
    <n v="5.58"/>
    <n v="44"/>
    <n v="375.02272727272725"/>
    <s v="Houston"/>
    <s v="German"/>
    <n v="294"/>
    <n v="2752"/>
    <n v="1"/>
    <s v="Foodies"/>
    <x v="106"/>
  </r>
  <r>
    <s v="Alpha Innovations"/>
    <x v="2"/>
    <s v="Women 35-44"/>
    <s v="30 days"/>
    <x v="0"/>
    <n v="0.11"/>
    <n v="6034"/>
    <n v="6.63"/>
    <n v="81"/>
    <n v="74.493827160493822"/>
    <s v="Miami"/>
    <s v="German"/>
    <n v="739"/>
    <n v="9752"/>
    <n v="6"/>
    <s v="Fashionistas"/>
    <x v="107"/>
  </r>
  <r>
    <s v="Innovate Industries"/>
    <x v="0"/>
    <s v="Men 18-24"/>
    <s v="15 days"/>
    <x v="5"/>
    <n v="0.03"/>
    <n v="19280"/>
    <n v="3.51"/>
    <n v="21"/>
    <n v="918.09523809523807"/>
    <s v="Miami"/>
    <s v="English"/>
    <n v="695"/>
    <n v="2349"/>
    <n v="3"/>
    <s v="Tech Enthusiasts"/>
    <x v="108"/>
  </r>
  <r>
    <s v="Alpha Innovations"/>
    <x v="4"/>
    <s v="Women 35-44"/>
    <s v="30 days"/>
    <x v="3"/>
    <n v="0.12"/>
    <n v="8545"/>
    <n v="2.02"/>
    <n v="22"/>
    <n v="388.40909090909093"/>
    <s v="Miami"/>
    <s v="French"/>
    <n v="183"/>
    <n v="1872"/>
    <n v="8"/>
    <s v="Foodies"/>
    <x v="109"/>
  </r>
  <r>
    <s v="Innovate Industries"/>
    <x v="1"/>
    <s v="Men 25-34"/>
    <s v="30 days"/>
    <x v="5"/>
    <n v="0.06"/>
    <n v="12901"/>
    <n v="5.44"/>
    <n v="22"/>
    <n v="586.40909090909088"/>
    <s v="New York"/>
    <s v="French"/>
    <n v="371"/>
    <n v="9404"/>
    <n v="1"/>
    <s v="Outdoor Adventurers"/>
    <x v="110"/>
  </r>
  <r>
    <s v="Alpha Innovations"/>
    <x v="0"/>
    <s v="Women 25-34"/>
    <s v="15 days"/>
    <x v="0"/>
    <n v="0.03"/>
    <n v="5594"/>
    <n v="2.96"/>
    <n v="13"/>
    <n v="430.30769230769232"/>
    <s v="Chicago"/>
    <s v="Mandarin"/>
    <n v="422"/>
    <n v="2749"/>
    <n v="2"/>
    <s v="Fashionistas"/>
    <x v="111"/>
  </r>
  <r>
    <s v="Alpha Innovations"/>
    <x v="1"/>
    <s v="Women 35-44"/>
    <s v="45 days"/>
    <x v="4"/>
    <n v="0.1"/>
    <n v="17730"/>
    <n v="2.46"/>
    <n v="41"/>
    <n v="432.4390243902439"/>
    <s v="Chicago"/>
    <s v="French"/>
    <n v="408"/>
    <n v="1024"/>
    <n v="5"/>
    <s v="Health &amp; Wellness"/>
    <x v="112"/>
  </r>
  <r>
    <s v="TechCorp"/>
    <x v="3"/>
    <s v="Men 25-34"/>
    <s v="30 days"/>
    <x v="2"/>
    <n v="0.03"/>
    <n v="9168"/>
    <n v="2.89"/>
    <n v="9"/>
    <n v="1018.6666666666666"/>
    <s v="Miami"/>
    <s v="Spanish"/>
    <n v="306"/>
    <n v="9997"/>
    <n v="10"/>
    <s v="Outdoor Adventurers"/>
    <x v="113"/>
  </r>
  <r>
    <s v="Alpha Innovations"/>
    <x v="0"/>
    <s v="Women 35-44"/>
    <s v="45 days"/>
    <x v="5"/>
    <n v="0.09"/>
    <n v="14492"/>
    <n v="6.68"/>
    <n v="30"/>
    <n v="483.06666666666666"/>
    <s v="Los Angeles"/>
    <s v="English"/>
    <n v="330"/>
    <n v="7555"/>
    <n v="9"/>
    <s v="Tech Enthusiasts"/>
    <x v="114"/>
  </r>
  <r>
    <s v="Innovate Industries"/>
    <x v="0"/>
    <s v="Men 25-34"/>
    <s v="15 days"/>
    <x v="5"/>
    <n v="0.15"/>
    <n v="10251"/>
    <n v="5.52"/>
    <n v="30"/>
    <n v="341.7"/>
    <s v="Chicago"/>
    <s v="Spanish"/>
    <n v="201"/>
    <n v="8342"/>
    <n v="6"/>
    <s v="Health &amp; Wellness"/>
    <x v="115"/>
  </r>
  <r>
    <s v="DataTech Solutions"/>
    <x v="1"/>
    <s v="Women 25-34"/>
    <s v="45 days"/>
    <x v="0"/>
    <n v="7.0000000000000007E-2"/>
    <n v="6043"/>
    <n v="2.8"/>
    <n v="17"/>
    <n v="355.47058823529414"/>
    <s v="Miami"/>
    <s v="French"/>
    <n v="241"/>
    <n v="8376"/>
    <n v="6"/>
    <s v="Tech Enthusiasts"/>
    <x v="116"/>
  </r>
  <r>
    <s v="NexGen Systems"/>
    <x v="3"/>
    <s v="Women 35-44"/>
    <s v="15 days"/>
    <x v="1"/>
    <n v="0.01"/>
    <n v="5765"/>
    <n v="2.7"/>
    <n v="6"/>
    <n v="960.83333333333337"/>
    <s v="Houston"/>
    <s v="Spanish"/>
    <n v="645"/>
    <n v="7700"/>
    <n v="8"/>
    <s v="Tech Enthusiasts"/>
    <x v="117"/>
  </r>
  <r>
    <s v="Innovate Industries"/>
    <x v="2"/>
    <s v="Women 35-44"/>
    <s v="60 days"/>
    <x v="5"/>
    <n v="0.1"/>
    <n v="19703"/>
    <n v="6.98"/>
    <n v="28"/>
    <n v="703.67857142857144"/>
    <s v="Miami"/>
    <s v="Mandarin"/>
    <n v="277"/>
    <n v="9363"/>
    <n v="10"/>
    <s v="Fashionistas"/>
    <x v="118"/>
  </r>
  <r>
    <s v="DataTech Solutions"/>
    <x v="3"/>
    <s v="Men 18-24"/>
    <s v="15 days"/>
    <x v="1"/>
    <n v="0.03"/>
    <n v="10639"/>
    <n v="3.12"/>
    <n v="20"/>
    <n v="531.95000000000005"/>
    <s v="Los Angeles"/>
    <s v="French"/>
    <n v="677"/>
    <n v="1818"/>
    <n v="10"/>
    <s v="Foodies"/>
    <x v="119"/>
  </r>
  <r>
    <s v="Alpha Innovations"/>
    <x v="2"/>
    <s v="Men 18-24"/>
    <s v="30 days"/>
    <x v="4"/>
    <n v="0.04"/>
    <n v="11290"/>
    <n v="7.62"/>
    <n v="36"/>
    <n v="313.61111111111109"/>
    <s v="Miami"/>
    <s v="Spanish"/>
    <n v="898"/>
    <n v="3077"/>
    <n v="4"/>
    <s v="Health &amp; Wellness"/>
    <x v="120"/>
  </r>
  <r>
    <s v="Innovate Industries"/>
    <x v="4"/>
    <s v="Women 25-34"/>
    <s v="45 days"/>
    <x v="0"/>
    <n v="0.1"/>
    <n v="17511"/>
    <n v="4.4000000000000004"/>
    <n v="18"/>
    <n v="972.83333333333337"/>
    <s v="Houston"/>
    <s v="French"/>
    <n v="179"/>
    <n v="5460"/>
    <n v="2"/>
    <s v="Foodies"/>
    <x v="121"/>
  </r>
  <r>
    <s v="DataTech Solutions"/>
    <x v="4"/>
    <s v="Men 18-24"/>
    <s v="45 days"/>
    <x v="0"/>
    <n v="0.06"/>
    <n v="5738"/>
    <n v="4.72"/>
    <n v="17"/>
    <n v="337.52941176470586"/>
    <s v="New York"/>
    <s v="German"/>
    <n v="277"/>
    <n v="2731"/>
    <n v="3"/>
    <s v="Outdoor Adventurers"/>
    <x v="122"/>
  </r>
  <r>
    <s v="Innovate Industries"/>
    <x v="1"/>
    <s v="Men 18-24"/>
    <s v="45 days"/>
    <x v="4"/>
    <n v="7.0000000000000007E-2"/>
    <n v="10498"/>
    <n v="7.65"/>
    <n v="60"/>
    <n v="174.96666666666667"/>
    <s v="Chicago"/>
    <s v="German"/>
    <n v="863"/>
    <n v="3783"/>
    <n v="6"/>
    <s v="Health &amp; Wellness"/>
    <x v="123"/>
  </r>
  <r>
    <s v="Innovate Industries"/>
    <x v="3"/>
    <s v="Men 18-24"/>
    <s v="45 days"/>
    <x v="0"/>
    <n v="0.06"/>
    <n v="7266"/>
    <n v="6.51"/>
    <n v="41"/>
    <n v="177.21951219512195"/>
    <s v="New York"/>
    <s v="French"/>
    <n v="689"/>
    <n v="5803"/>
    <n v="6"/>
    <s v="Outdoor Adventurers"/>
    <x v="124"/>
  </r>
  <r>
    <s v="Innovate Industries"/>
    <x v="1"/>
    <s v="Women 25-34"/>
    <s v="15 days"/>
    <x v="1"/>
    <n v="0.14000000000000001"/>
    <n v="6405"/>
    <n v="2.67"/>
    <n v="61"/>
    <n v="105"/>
    <s v="Miami"/>
    <s v="Spanish"/>
    <n v="434"/>
    <n v="3524"/>
    <n v="3"/>
    <s v="Foodies"/>
    <x v="125"/>
  </r>
  <r>
    <s v="Innovate Industries"/>
    <x v="2"/>
    <s v="Men 25-34"/>
    <s v="45 days"/>
    <x v="2"/>
    <n v="0.01"/>
    <n v="10198"/>
    <n v="2.78"/>
    <n v="7"/>
    <n v="1456.8571428571429"/>
    <s v="Miami"/>
    <s v="English"/>
    <n v="670"/>
    <n v="9938"/>
    <n v="2"/>
    <s v="Outdoor Adventurers"/>
    <x v="126"/>
  </r>
  <r>
    <s v="TechCorp"/>
    <x v="1"/>
    <s v="Women 25-34"/>
    <s v="15 days"/>
    <x v="1"/>
    <n v="0.03"/>
    <n v="12890"/>
    <n v="7.49"/>
    <n v="18"/>
    <n v="716.11111111111109"/>
    <s v="Los Angeles"/>
    <s v="English"/>
    <n v="600"/>
    <n v="5429"/>
    <n v="1"/>
    <s v="Foodies"/>
    <x v="127"/>
  </r>
  <r>
    <s v="DataTech Solutions"/>
    <x v="1"/>
    <s v="Women 35-44"/>
    <s v="15 days"/>
    <x v="5"/>
    <n v="0.13"/>
    <n v="16318"/>
    <n v="5.07"/>
    <n v="20"/>
    <n v="815.9"/>
    <s v="New York"/>
    <s v="English"/>
    <n v="153"/>
    <n v="1163"/>
    <n v="6"/>
    <s v="Fashionistas"/>
    <x v="128"/>
  </r>
  <r>
    <s v="TechCorp"/>
    <x v="1"/>
    <s v="Women 25-34"/>
    <s v="60 days"/>
    <x v="4"/>
    <n v="0.09"/>
    <n v="11025"/>
    <n v="4.51"/>
    <n v="37"/>
    <n v="297.97297297297297"/>
    <s v="Houston"/>
    <s v="German"/>
    <n v="407"/>
    <n v="1278"/>
    <n v="2"/>
    <s v="Foodies"/>
    <x v="129"/>
  </r>
  <r>
    <s v="NexGen Systems"/>
    <x v="1"/>
    <s v="Women 35-44"/>
    <s v="45 days"/>
    <x v="2"/>
    <n v="0.03"/>
    <n v="6244"/>
    <n v="6.57"/>
    <n v="23"/>
    <n v="271.47826086956519"/>
    <s v="New York"/>
    <s v="English"/>
    <n v="774"/>
    <n v="1864"/>
    <n v="4"/>
    <s v="Foodies"/>
    <x v="130"/>
  </r>
  <r>
    <s v="TechCorp"/>
    <x v="4"/>
    <s v="All Ages"/>
    <s v="60 days"/>
    <x v="5"/>
    <n v="0.13"/>
    <n v="15988"/>
    <n v="2.08"/>
    <n v="51"/>
    <n v="313.49019607843138"/>
    <s v="Miami"/>
    <s v="French"/>
    <n v="394"/>
    <n v="3239"/>
    <n v="7"/>
    <s v="Tech Enthusiasts"/>
    <x v="131"/>
  </r>
  <r>
    <s v="NexGen Systems"/>
    <x v="1"/>
    <s v="Women 25-34"/>
    <s v="60 days"/>
    <x v="3"/>
    <n v="0.1"/>
    <n v="12975"/>
    <n v="2.38"/>
    <n v="23"/>
    <n v="564.13043478260875"/>
    <s v="Chicago"/>
    <s v="Mandarin"/>
    <n v="227"/>
    <n v="9318"/>
    <n v="5"/>
    <s v="Fashionistas"/>
    <x v="132"/>
  </r>
  <r>
    <s v="DataTech Solutions"/>
    <x v="2"/>
    <s v="Men 25-34"/>
    <s v="60 days"/>
    <x v="5"/>
    <n v="0.06"/>
    <n v="5351"/>
    <n v="3.29"/>
    <n v="11"/>
    <n v="486.45454545454544"/>
    <s v="Houston"/>
    <s v="Mandarin"/>
    <n v="181"/>
    <n v="8462"/>
    <n v="1"/>
    <s v="Fashionistas"/>
    <x v="133"/>
  </r>
  <r>
    <s v="TechCorp"/>
    <x v="4"/>
    <s v="All Ages"/>
    <s v="15 days"/>
    <x v="3"/>
    <n v="0.1"/>
    <n v="8560"/>
    <n v="5.15"/>
    <n v="30"/>
    <n v="285.33333333333331"/>
    <s v="Chicago"/>
    <s v="Spanish"/>
    <n v="297"/>
    <n v="6484"/>
    <n v="2"/>
    <s v="Outdoor Adventurers"/>
    <x v="134"/>
  </r>
  <r>
    <s v="Innovate Industries"/>
    <x v="1"/>
    <s v="Men 18-24"/>
    <s v="15 days"/>
    <x v="0"/>
    <n v="0.13"/>
    <n v="17338"/>
    <n v="5.68"/>
    <n v="92"/>
    <n v="188.45652173913044"/>
    <s v="Houston"/>
    <s v="Spanish"/>
    <n v="708"/>
    <n v="5378"/>
    <n v="2"/>
    <s v="Fashionistas"/>
    <x v="135"/>
  </r>
  <r>
    <s v="TechCorp"/>
    <x v="3"/>
    <s v="Women 35-44"/>
    <s v="45 days"/>
    <x v="4"/>
    <n v="0.13"/>
    <n v="17534"/>
    <n v="3.79"/>
    <n v="49"/>
    <n v="357.83673469387753"/>
    <s v="Los Angeles"/>
    <s v="French"/>
    <n v="375"/>
    <n v="4267"/>
    <n v="9"/>
    <s v="Fashionistas"/>
    <x v="136"/>
  </r>
  <r>
    <s v="NexGen Systems"/>
    <x v="2"/>
    <s v="All Ages"/>
    <s v="30 days"/>
    <x v="0"/>
    <n v="0.09"/>
    <n v="16803"/>
    <n v="5.57"/>
    <n v="33"/>
    <n v="509.18181818181819"/>
    <s v="Los Angeles"/>
    <s v="French"/>
    <n v="371"/>
    <n v="1743"/>
    <n v="8"/>
    <s v="Outdoor Adventurers"/>
    <x v="137"/>
  </r>
  <r>
    <s v="DataTech Solutions"/>
    <x v="4"/>
    <s v="Men 25-34"/>
    <s v="60 days"/>
    <x v="1"/>
    <n v="0.05"/>
    <n v="11442"/>
    <n v="3.09"/>
    <n v="37"/>
    <n v="309.24324324324323"/>
    <s v="New York"/>
    <s v="German"/>
    <n v="740"/>
    <n v="9673"/>
    <n v="5"/>
    <s v="Health &amp; Wellness"/>
    <x v="138"/>
  </r>
  <r>
    <s v="TechCorp"/>
    <x v="0"/>
    <s v="Men 18-24"/>
    <s v="30 days"/>
    <x v="5"/>
    <n v="0.12"/>
    <n v="19434"/>
    <n v="5.26"/>
    <n v="54"/>
    <n v="359.88888888888891"/>
    <s v="Los Angeles"/>
    <s v="English"/>
    <n v="446"/>
    <n v="3227"/>
    <n v="6"/>
    <s v="Foodies"/>
    <x v="139"/>
  </r>
  <r>
    <s v="NexGen Systems"/>
    <x v="4"/>
    <s v="Men 25-34"/>
    <s v="45 days"/>
    <x v="4"/>
    <n v="0.08"/>
    <n v="9447"/>
    <n v="4.75"/>
    <n v="34"/>
    <n v="277.85294117647061"/>
    <s v="Miami"/>
    <s v="English"/>
    <n v="430"/>
    <n v="1845"/>
    <n v="2"/>
    <s v="Health &amp; Wellness"/>
    <x v="140"/>
  </r>
  <r>
    <s v="Innovate Industries"/>
    <x v="3"/>
    <s v="Men 25-34"/>
    <s v="60 days"/>
    <x v="0"/>
    <n v="0.1"/>
    <n v="10746"/>
    <n v="3.67"/>
    <n v="70"/>
    <n v="153.51428571428571"/>
    <s v="Los Angeles"/>
    <s v="Mandarin"/>
    <n v="702"/>
    <n v="3192"/>
    <n v="6"/>
    <s v="Outdoor Adventurers"/>
    <x v="141"/>
  </r>
  <r>
    <s v="Alpha Innovations"/>
    <x v="2"/>
    <s v="Women 25-34"/>
    <s v="45 days"/>
    <x v="3"/>
    <n v="0.02"/>
    <n v="8306"/>
    <n v="2.56"/>
    <n v="4"/>
    <n v="2076.5"/>
    <s v="Chicago"/>
    <s v="Spanish"/>
    <n v="189"/>
    <n v="2951"/>
    <n v="6"/>
    <s v="Outdoor Adventurers"/>
    <x v="142"/>
  </r>
  <r>
    <s v="Innovate Industries"/>
    <x v="4"/>
    <s v="Women 35-44"/>
    <s v="45 days"/>
    <x v="5"/>
    <n v="0.09"/>
    <n v="8402"/>
    <n v="2.04"/>
    <n v="17"/>
    <n v="494.23529411764707"/>
    <s v="Los Angeles"/>
    <s v="French"/>
    <n v="191"/>
    <n v="7627"/>
    <n v="2"/>
    <s v="Foodies"/>
    <x v="143"/>
  </r>
  <r>
    <s v="Innovate Industries"/>
    <x v="4"/>
    <s v="Men 25-34"/>
    <s v="60 days"/>
    <x v="4"/>
    <n v="0.1"/>
    <n v="19203"/>
    <n v="5.51"/>
    <n v="99"/>
    <n v="193.96969696969697"/>
    <s v="Chicago"/>
    <s v="Mandarin"/>
    <n v="990"/>
    <n v="2832"/>
    <n v="6"/>
    <s v="Foodies"/>
    <x v="144"/>
  </r>
  <r>
    <s v="Innovate Industries"/>
    <x v="1"/>
    <s v="Women 35-44"/>
    <s v="60 days"/>
    <x v="2"/>
    <n v="0.02"/>
    <n v="17746"/>
    <n v="5.17"/>
    <n v="18"/>
    <n v="985.88888888888891"/>
    <s v="Miami"/>
    <s v="English"/>
    <n v="921"/>
    <n v="5396"/>
    <n v="7"/>
    <s v="Tech Enthusiasts"/>
    <x v="145"/>
  </r>
  <r>
    <s v="Alpha Innovations"/>
    <x v="2"/>
    <s v="All Ages"/>
    <s v="45 days"/>
    <x v="3"/>
    <n v="0.08"/>
    <n v="12915"/>
    <n v="5.32"/>
    <n v="8"/>
    <n v="1614.375"/>
    <s v="New York"/>
    <s v="German"/>
    <n v="102"/>
    <n v="9174"/>
    <n v="4"/>
    <s v="Fashionistas"/>
    <x v="146"/>
  </r>
  <r>
    <s v="Innovate Industries"/>
    <x v="4"/>
    <s v="Women 35-44"/>
    <s v="15 days"/>
    <x v="5"/>
    <n v="0.1"/>
    <n v="18979"/>
    <n v="7.73"/>
    <n v="43"/>
    <n v="441.37209302325579"/>
    <s v="New York"/>
    <s v="French"/>
    <n v="431"/>
    <n v="3150"/>
    <n v="4"/>
    <s v="Outdoor Adventurers"/>
    <x v="147"/>
  </r>
  <r>
    <s v="Alpha Innovations"/>
    <x v="2"/>
    <s v="Men 18-24"/>
    <s v="30 days"/>
    <x v="4"/>
    <n v="0.12"/>
    <n v="13999"/>
    <n v="6.39"/>
    <n v="34"/>
    <n v="411.73529411764707"/>
    <s v="Miami"/>
    <s v="Mandarin"/>
    <n v="283"/>
    <n v="4078"/>
    <n v="6"/>
    <s v="Health &amp; Wellness"/>
    <x v="148"/>
  </r>
  <r>
    <s v="TechCorp"/>
    <x v="0"/>
    <s v="Men 25-34"/>
    <s v="45 days"/>
    <x v="0"/>
    <n v="0.11"/>
    <n v="8784"/>
    <n v="4.51"/>
    <n v="26"/>
    <n v="337.84615384615387"/>
    <s v="Los Angeles"/>
    <s v="Spanish"/>
    <n v="235"/>
    <n v="9709"/>
    <n v="4"/>
    <s v="Outdoor Adventurers"/>
    <x v="149"/>
  </r>
  <r>
    <s v="TechCorp"/>
    <x v="3"/>
    <s v="Men 25-34"/>
    <s v="15 days"/>
    <x v="0"/>
    <n v="0.01"/>
    <n v="7866"/>
    <n v="5.42"/>
    <n v="6"/>
    <n v="1311"/>
    <s v="Miami"/>
    <s v="English"/>
    <n v="576"/>
    <n v="5231"/>
    <n v="3"/>
    <s v="Fashionistas"/>
    <x v="150"/>
  </r>
  <r>
    <s v="NexGen Systems"/>
    <x v="4"/>
    <s v="Men 25-34"/>
    <s v="15 days"/>
    <x v="5"/>
    <n v="0.04"/>
    <n v="15526"/>
    <n v="4.8899999999999997"/>
    <n v="24"/>
    <n v="646.91666666666663"/>
    <s v="Chicago"/>
    <s v="German"/>
    <n v="599"/>
    <n v="3563"/>
    <n v="6"/>
    <s v="Tech Enthusiasts"/>
    <x v="151"/>
  </r>
  <r>
    <s v="Alpha Innovations"/>
    <x v="0"/>
    <s v="Women 35-44"/>
    <s v="15 days"/>
    <x v="2"/>
    <n v="0.02"/>
    <n v="15335"/>
    <n v="5.32"/>
    <n v="20"/>
    <n v="766.75"/>
    <s v="New York"/>
    <s v="Mandarin"/>
    <n v="990"/>
    <n v="5409"/>
    <n v="2"/>
    <s v="Fashionistas"/>
    <x v="152"/>
  </r>
  <r>
    <s v="Alpha Innovations"/>
    <x v="1"/>
    <s v="Men 25-34"/>
    <s v="60 days"/>
    <x v="0"/>
    <n v="0.14000000000000001"/>
    <n v="14198"/>
    <n v="6.31"/>
    <n v="38"/>
    <n v="373.63157894736844"/>
    <s v="Miami"/>
    <s v="Mandarin"/>
    <n v="268"/>
    <n v="6734"/>
    <n v="3"/>
    <s v="Tech Enthusiasts"/>
    <x v="153"/>
  </r>
  <r>
    <s v="NexGen Systems"/>
    <x v="0"/>
    <s v="All Ages"/>
    <s v="45 days"/>
    <x v="5"/>
    <n v="0.14000000000000001"/>
    <n v="15559"/>
    <n v="3.48"/>
    <n v="52"/>
    <n v="299.21153846153845"/>
    <s v="Los Angeles"/>
    <s v="Spanish"/>
    <n v="374"/>
    <n v="9474"/>
    <n v="7"/>
    <s v="Outdoor Adventurers"/>
    <x v="154"/>
  </r>
  <r>
    <s v="TechCorp"/>
    <x v="4"/>
    <s v="Men 25-34"/>
    <s v="60 days"/>
    <x v="4"/>
    <n v="7.0000000000000007E-2"/>
    <n v="19309"/>
    <n v="7.29"/>
    <n v="20"/>
    <n v="965.45"/>
    <s v="Miami"/>
    <s v="English"/>
    <n v="281"/>
    <n v="3554"/>
    <n v="7"/>
    <s v="Fashionistas"/>
    <x v="155"/>
  </r>
  <r>
    <s v="DataTech Solutions"/>
    <x v="2"/>
    <s v="All Ages"/>
    <s v="60 days"/>
    <x v="4"/>
    <n v="0.02"/>
    <n v="12792"/>
    <n v="2.5499999999999998"/>
    <n v="4"/>
    <n v="3198"/>
    <s v="Los Angeles"/>
    <s v="French"/>
    <n v="202"/>
    <n v="9619"/>
    <n v="8"/>
    <s v="Outdoor Adventurers"/>
    <x v="156"/>
  </r>
  <r>
    <s v="TechCorp"/>
    <x v="0"/>
    <s v="Women 25-34"/>
    <s v="45 days"/>
    <x v="3"/>
    <n v="0.09"/>
    <n v="5392"/>
    <n v="3.05"/>
    <n v="42"/>
    <n v="128.38095238095238"/>
    <s v="New York"/>
    <s v="Mandarin"/>
    <n v="467"/>
    <n v="1290"/>
    <n v="9"/>
    <s v="Outdoor Adventurers"/>
    <x v="157"/>
  </r>
  <r>
    <s v="DataTech Solutions"/>
    <x v="1"/>
    <s v="Men 18-24"/>
    <s v="30 days"/>
    <x v="3"/>
    <n v="0.11"/>
    <n v="10164"/>
    <n v="6.5"/>
    <n v="84"/>
    <n v="121"/>
    <s v="Miami"/>
    <s v="Mandarin"/>
    <n v="764"/>
    <n v="3135"/>
    <n v="9"/>
    <s v="Foodies"/>
    <x v="158"/>
  </r>
  <r>
    <s v="Alpha Innovations"/>
    <x v="1"/>
    <s v="Women 25-34"/>
    <s v="45 days"/>
    <x v="1"/>
    <n v="0.05"/>
    <n v="17787"/>
    <n v="2.38"/>
    <n v="44"/>
    <n v="404.25"/>
    <s v="Los Angeles"/>
    <s v="French"/>
    <n v="879"/>
    <n v="7240"/>
    <n v="10"/>
    <s v="Fashionistas"/>
    <x v="159"/>
  </r>
  <r>
    <s v="DataTech Solutions"/>
    <x v="0"/>
    <s v="Men 25-34"/>
    <s v="15 days"/>
    <x v="4"/>
    <n v="0.05"/>
    <n v="19142"/>
    <n v="7.37"/>
    <n v="45"/>
    <n v="425.37777777777779"/>
    <s v="Chicago"/>
    <s v="Mandarin"/>
    <n v="907"/>
    <n v="2907"/>
    <n v="1"/>
    <s v="Health &amp; Wellness"/>
    <x v="160"/>
  </r>
  <r>
    <s v="NexGen Systems"/>
    <x v="0"/>
    <s v="Men 25-34"/>
    <s v="45 days"/>
    <x v="3"/>
    <n v="0.02"/>
    <n v="14055"/>
    <n v="3.7"/>
    <n v="15"/>
    <n v="937"/>
    <s v="New York"/>
    <s v="French"/>
    <n v="771"/>
    <n v="9764"/>
    <n v="7"/>
    <s v="Fashionistas"/>
    <x v="161"/>
  </r>
  <r>
    <s v="Alpha Innovations"/>
    <x v="2"/>
    <s v="Men 18-24"/>
    <s v="60 days"/>
    <x v="2"/>
    <n v="0.08"/>
    <n v="6282"/>
    <n v="6.21"/>
    <n v="69"/>
    <n v="91.043478260869563"/>
    <s v="Chicago"/>
    <s v="Spanish"/>
    <n v="857"/>
    <n v="1077"/>
    <n v="9"/>
    <s v="Tech Enthusiasts"/>
    <x v="162"/>
  </r>
  <r>
    <s v="Innovate Industries"/>
    <x v="2"/>
    <s v="Men 18-24"/>
    <s v="60 days"/>
    <x v="5"/>
    <n v="0.01"/>
    <n v="17569"/>
    <n v="5.84"/>
    <n v="4"/>
    <n v="4392.25"/>
    <s v="New York"/>
    <s v="German"/>
    <n v="367"/>
    <n v="3392"/>
    <n v="3"/>
    <s v="Tech Enthusiasts"/>
    <x v="163"/>
  </r>
  <r>
    <s v="TechCorp"/>
    <x v="2"/>
    <s v="Women 35-44"/>
    <s v="45 days"/>
    <x v="0"/>
    <n v="0.12"/>
    <n v="15281"/>
    <n v="7.64"/>
    <n v="40"/>
    <n v="382.02499999999998"/>
    <s v="Miami"/>
    <s v="Spanish"/>
    <n v="337"/>
    <n v="9213"/>
    <n v="3"/>
    <s v="Outdoor Adventurers"/>
    <x v="164"/>
  </r>
  <r>
    <s v="NexGen Systems"/>
    <x v="3"/>
    <s v="Men 18-24"/>
    <s v="30 days"/>
    <x v="2"/>
    <n v="0.03"/>
    <n v="13728"/>
    <n v="2.4300000000000002"/>
    <n v="22"/>
    <n v="624"/>
    <s v="New York"/>
    <s v="French"/>
    <n v="744"/>
    <n v="2855"/>
    <n v="3"/>
    <s v="Tech Enthusiasts"/>
    <x v="165"/>
  </r>
  <r>
    <s v="TechCorp"/>
    <x v="1"/>
    <s v="Men 18-24"/>
    <s v="30 days"/>
    <x v="2"/>
    <n v="0.02"/>
    <n v="15115"/>
    <n v="5.67"/>
    <n v="2"/>
    <n v="7557.5"/>
    <s v="Houston"/>
    <s v="English"/>
    <n v="115"/>
    <n v="4917"/>
    <n v="2"/>
    <s v="Outdoor Adventurers"/>
    <x v="166"/>
  </r>
  <r>
    <s v="NexGen Systems"/>
    <x v="0"/>
    <s v="Men 18-24"/>
    <s v="60 days"/>
    <x v="3"/>
    <n v="0.05"/>
    <n v="13925"/>
    <n v="3.57"/>
    <n v="43"/>
    <n v="323.83720930232556"/>
    <s v="Houston"/>
    <s v="Spanish"/>
    <n v="853"/>
    <n v="4957"/>
    <n v="7"/>
    <s v="Outdoor Adventurers"/>
    <x v="167"/>
  </r>
  <r>
    <s v="TechCorp"/>
    <x v="2"/>
    <s v="Men 18-24"/>
    <s v="60 days"/>
    <x v="0"/>
    <n v="0.03"/>
    <n v="8082"/>
    <n v="6.59"/>
    <n v="16"/>
    <n v="505.125"/>
    <s v="Houston"/>
    <s v="German"/>
    <n v="541"/>
    <n v="1736"/>
    <n v="3"/>
    <s v="Outdoor Adventurers"/>
    <x v="168"/>
  </r>
  <r>
    <s v="TechCorp"/>
    <x v="4"/>
    <s v="Men 18-24"/>
    <s v="45 days"/>
    <x v="5"/>
    <n v="7.0000000000000007E-2"/>
    <n v="12181"/>
    <n v="2.16"/>
    <n v="8"/>
    <n v="1522.625"/>
    <s v="New York"/>
    <s v="Spanish"/>
    <n v="117"/>
    <n v="7472"/>
    <n v="2"/>
    <s v="Tech Enthusiasts"/>
    <x v="169"/>
  </r>
  <r>
    <s v="Alpha Innovations"/>
    <x v="2"/>
    <s v="Men 25-34"/>
    <s v="15 days"/>
    <x v="1"/>
    <n v="0.03"/>
    <n v="17247"/>
    <n v="5.48"/>
    <n v="28"/>
    <n v="615.96428571428567"/>
    <s v="Los Angeles"/>
    <s v="Spanish"/>
    <n v="930"/>
    <n v="2633"/>
    <n v="6"/>
    <s v="Fashionistas"/>
    <x v="170"/>
  </r>
  <r>
    <s v="DataTech Solutions"/>
    <x v="2"/>
    <s v="Men 25-34"/>
    <s v="15 days"/>
    <x v="0"/>
    <n v="7.0000000000000007E-2"/>
    <n v="15413"/>
    <n v="4.33"/>
    <n v="62"/>
    <n v="248.59677419354838"/>
    <s v="Chicago"/>
    <s v="Spanish"/>
    <n v="890"/>
    <n v="8521"/>
    <n v="1"/>
    <s v="Foodies"/>
    <x v="171"/>
  </r>
  <r>
    <s v="TechCorp"/>
    <x v="1"/>
    <s v="Men 25-34"/>
    <s v="45 days"/>
    <x v="4"/>
    <n v="0.06"/>
    <n v="8993"/>
    <n v="3"/>
    <n v="46"/>
    <n v="195.5"/>
    <s v="Los Angeles"/>
    <s v="Mandarin"/>
    <n v="762"/>
    <n v="7552"/>
    <n v="3"/>
    <s v="Outdoor Adventurers"/>
    <x v="172"/>
  </r>
  <r>
    <s v="Alpha Innovations"/>
    <x v="2"/>
    <s v="All Ages"/>
    <s v="60 days"/>
    <x v="2"/>
    <n v="0.04"/>
    <n v="10172"/>
    <n v="3.3"/>
    <n v="5"/>
    <n v="2034.4"/>
    <s v="Chicago"/>
    <s v="German"/>
    <n v="114"/>
    <n v="5009"/>
    <n v="4"/>
    <s v="Outdoor Adventurers"/>
    <x v="173"/>
  </r>
  <r>
    <s v="NexGen Systems"/>
    <x v="3"/>
    <s v="Men 18-24"/>
    <s v="60 days"/>
    <x v="1"/>
    <n v="0.02"/>
    <n v="18601"/>
    <n v="7.48"/>
    <n v="8"/>
    <n v="2325.125"/>
    <s v="Houston"/>
    <s v="Spanish"/>
    <n v="383"/>
    <n v="2025"/>
    <n v="7"/>
    <s v="Foodies"/>
    <x v="174"/>
  </r>
  <r>
    <s v="DataTech Solutions"/>
    <x v="2"/>
    <s v="Women 25-34"/>
    <s v="15 days"/>
    <x v="4"/>
    <n v="0.13"/>
    <n v="9948"/>
    <n v="2.48"/>
    <n v="56"/>
    <n v="177.64285714285714"/>
    <s v="Chicago"/>
    <s v="English"/>
    <n v="428"/>
    <n v="7090"/>
    <n v="2"/>
    <s v="Tech Enthusiasts"/>
    <x v="175"/>
  </r>
  <r>
    <s v="DataTech Solutions"/>
    <x v="2"/>
    <s v="All Ages"/>
    <s v="15 days"/>
    <x v="2"/>
    <n v="0.05"/>
    <n v="6998"/>
    <n v="5.13"/>
    <n v="13"/>
    <n v="538.30769230769226"/>
    <s v="Chicago"/>
    <s v="German"/>
    <n v="254"/>
    <n v="9773"/>
    <n v="8"/>
    <s v="Fashionistas"/>
    <x v="176"/>
  </r>
  <r>
    <s v="TechCorp"/>
    <x v="1"/>
    <s v="Women 35-44"/>
    <s v="15 days"/>
    <x v="3"/>
    <n v="0.12"/>
    <n v="19086"/>
    <n v="4.75"/>
    <n v="75"/>
    <n v="254.48"/>
    <s v="Chicago"/>
    <s v="German"/>
    <n v="626"/>
    <n v="3124"/>
    <n v="9"/>
    <s v="Fashionistas"/>
    <x v="177"/>
  </r>
  <r>
    <s v="NexGen Systems"/>
    <x v="0"/>
    <s v="Men 25-34"/>
    <s v="45 days"/>
    <x v="2"/>
    <n v="0.12"/>
    <n v="19772"/>
    <n v="3.13"/>
    <n v="47"/>
    <n v="420.68085106382978"/>
    <s v="Los Angeles"/>
    <s v="French"/>
    <n v="390"/>
    <n v="6425"/>
    <n v="5"/>
    <s v="Fashionistas"/>
    <x v="178"/>
  </r>
  <r>
    <s v="Alpha Innovations"/>
    <x v="4"/>
    <s v="All Ages"/>
    <s v="15 days"/>
    <x v="4"/>
    <n v="0.02"/>
    <n v="7441"/>
    <n v="7.95"/>
    <n v="2"/>
    <n v="3720.5"/>
    <s v="Los Angeles"/>
    <s v="English"/>
    <n v="115"/>
    <n v="6606"/>
    <n v="7"/>
    <s v="Foodies"/>
    <x v="179"/>
  </r>
  <r>
    <s v="DataTech Solutions"/>
    <x v="2"/>
    <s v="Men 25-34"/>
    <s v="15 days"/>
    <x v="2"/>
    <n v="0.06"/>
    <n v="9258"/>
    <n v="7.98"/>
    <n v="46"/>
    <n v="201.2608695652174"/>
    <s v="Chicago"/>
    <s v="English"/>
    <n v="774"/>
    <n v="8037"/>
    <n v="4"/>
    <s v="Health &amp; Wellness"/>
    <x v="180"/>
  </r>
  <r>
    <s v="NexGen Systems"/>
    <x v="2"/>
    <s v="All Ages"/>
    <s v="60 days"/>
    <x v="4"/>
    <n v="0.09"/>
    <n v="19266"/>
    <n v="5.32"/>
    <n v="22"/>
    <n v="875.72727272727275"/>
    <s v="Chicago"/>
    <s v="French"/>
    <n v="249"/>
    <n v="6219"/>
    <n v="1"/>
    <s v="Health &amp; Wellness"/>
    <x v="181"/>
  </r>
  <r>
    <s v="NexGen Systems"/>
    <x v="3"/>
    <s v="All Ages"/>
    <s v="45 days"/>
    <x v="2"/>
    <n v="0.15"/>
    <n v="10797"/>
    <n v="5.0599999999999996"/>
    <n v="63"/>
    <n v="171.38095238095238"/>
    <s v="New York"/>
    <s v="German"/>
    <n v="423"/>
    <n v="2154"/>
    <n v="10"/>
    <s v="Tech Enthusiasts"/>
    <x v="182"/>
  </r>
  <r>
    <s v="Alpha Innovations"/>
    <x v="1"/>
    <s v="All Ages"/>
    <s v="30 days"/>
    <x v="1"/>
    <n v="0.04"/>
    <n v="15949"/>
    <n v="5.87"/>
    <n v="24"/>
    <n v="664.54166666666663"/>
    <s v="Chicago"/>
    <s v="German"/>
    <n v="607"/>
    <n v="2857"/>
    <n v="3"/>
    <s v="Foodies"/>
    <x v="183"/>
  </r>
  <r>
    <s v="TechCorp"/>
    <x v="4"/>
    <s v="All Ages"/>
    <s v="45 days"/>
    <x v="1"/>
    <n v="0.14000000000000001"/>
    <n v="11429"/>
    <n v="6.9"/>
    <n v="137"/>
    <n v="83.423357664233578"/>
    <s v="Houston"/>
    <s v="German"/>
    <n v="976"/>
    <n v="8707"/>
    <n v="7"/>
    <s v="Fashionistas"/>
    <x v="184"/>
  </r>
  <r>
    <s v="DataTech Solutions"/>
    <x v="1"/>
    <s v="Men 25-34"/>
    <s v="60 days"/>
    <x v="2"/>
    <n v="0.04"/>
    <n v="8515"/>
    <n v="2.78"/>
    <n v="6"/>
    <n v="1419.1666666666667"/>
    <s v="Los Angeles"/>
    <s v="French"/>
    <n v="152"/>
    <n v="6533"/>
    <n v="10"/>
    <s v="Health &amp; Wellness"/>
    <x v="185"/>
  </r>
  <r>
    <s v="Innovate Industries"/>
    <x v="4"/>
    <s v="Men 25-34"/>
    <s v="30 days"/>
    <x v="1"/>
    <n v="0.1"/>
    <n v="11022"/>
    <n v="3.11"/>
    <n v="71"/>
    <n v="155.2394366197183"/>
    <s v="Los Angeles"/>
    <s v="Spanish"/>
    <n v="709"/>
    <n v="7382"/>
    <n v="8"/>
    <s v="Foodies"/>
    <x v="186"/>
  </r>
  <r>
    <s v="DataTech Solutions"/>
    <x v="0"/>
    <s v="Women 35-44"/>
    <s v="45 days"/>
    <x v="3"/>
    <n v="0.02"/>
    <n v="17373"/>
    <n v="5.9"/>
    <n v="8"/>
    <n v="2171.625"/>
    <s v="New York"/>
    <s v="Spanish"/>
    <n v="406"/>
    <n v="9078"/>
    <n v="10"/>
    <s v="Health &amp; Wellness"/>
    <x v="187"/>
  </r>
  <r>
    <s v="TechCorp"/>
    <x v="2"/>
    <s v="Men 25-34"/>
    <s v="60 days"/>
    <x v="0"/>
    <n v="0.13"/>
    <n v="13444"/>
    <n v="4.7699999999999996"/>
    <n v="19"/>
    <n v="707.57894736842104"/>
    <s v="Chicago"/>
    <s v="Mandarin"/>
    <n v="143"/>
    <n v="5198"/>
    <n v="2"/>
    <s v="Outdoor Adventurers"/>
    <x v="188"/>
  </r>
  <r>
    <s v="Alpha Innovations"/>
    <x v="4"/>
    <s v="Men 25-34"/>
    <s v="60 days"/>
    <x v="5"/>
    <n v="0.11"/>
    <n v="18267"/>
    <n v="2.71"/>
    <n v="78"/>
    <n v="234.19230769230768"/>
    <s v="Miami"/>
    <s v="Mandarin"/>
    <n v="713"/>
    <n v="2781"/>
    <n v="9"/>
    <s v="Fashionistas"/>
    <x v="189"/>
  </r>
  <r>
    <s v="TechCorp"/>
    <x v="1"/>
    <s v="Men 25-34"/>
    <s v="45 days"/>
    <x v="5"/>
    <n v="0.05"/>
    <n v="17185"/>
    <n v="5"/>
    <n v="23"/>
    <n v="747.17391304347825"/>
    <s v="New York"/>
    <s v="Mandarin"/>
    <n v="465"/>
    <n v="7105"/>
    <n v="9"/>
    <s v="Tech Enthusiasts"/>
    <x v="190"/>
  </r>
  <r>
    <s v="Innovate Industries"/>
    <x v="3"/>
    <s v="Men 18-24"/>
    <s v="45 days"/>
    <x v="2"/>
    <n v="0.05"/>
    <n v="6168"/>
    <n v="7.47"/>
    <n v="7"/>
    <n v="881.14285714285711"/>
    <s v="Miami"/>
    <s v="Mandarin"/>
    <n v="144"/>
    <n v="2171"/>
    <n v="1"/>
    <s v="Foodies"/>
    <x v="191"/>
  </r>
  <r>
    <s v="Alpha Innovations"/>
    <x v="2"/>
    <s v="All Ages"/>
    <s v="15 days"/>
    <x v="1"/>
    <n v="0.13"/>
    <n v="5415"/>
    <n v="4.6500000000000004"/>
    <n v="81"/>
    <n v="66.851851851851848"/>
    <s v="New York"/>
    <s v="Mandarin"/>
    <n v="624"/>
    <n v="2430"/>
    <n v="2"/>
    <s v="Health &amp; Wellness"/>
    <x v="192"/>
  </r>
  <r>
    <s v="Innovate Industries"/>
    <x v="0"/>
    <s v="Men 25-34"/>
    <s v="45 days"/>
    <x v="1"/>
    <n v="0.04"/>
    <n v="13580"/>
    <n v="5.41"/>
    <n v="25"/>
    <n v="543.20000000000005"/>
    <s v="Houston"/>
    <s v="Mandarin"/>
    <n v="614"/>
    <n v="5273"/>
    <n v="9"/>
    <s v="Foodies"/>
    <x v="193"/>
  </r>
  <r>
    <s v="Innovate Industries"/>
    <x v="4"/>
    <s v="All Ages"/>
    <s v="60 days"/>
    <x v="1"/>
    <n v="0.09"/>
    <n v="6258"/>
    <n v="4.01"/>
    <n v="79"/>
    <n v="79.215189873417728"/>
    <s v="Chicago"/>
    <s v="English"/>
    <n v="879"/>
    <n v="5281"/>
    <n v="9"/>
    <s v="Foodies"/>
    <x v="194"/>
  </r>
  <r>
    <s v="DataTech Solutions"/>
    <x v="1"/>
    <s v="All Ages"/>
    <s v="15 days"/>
    <x v="3"/>
    <n v="0.13"/>
    <n v="17604"/>
    <n v="5.25"/>
    <n v="36"/>
    <n v="489"/>
    <s v="Miami"/>
    <s v="Mandarin"/>
    <n v="278"/>
    <n v="9591"/>
    <n v="10"/>
    <s v="Health &amp; Wellness"/>
    <x v="195"/>
  </r>
  <r>
    <s v="DataTech Solutions"/>
    <x v="4"/>
    <s v="Men 18-24"/>
    <s v="30 days"/>
    <x v="3"/>
    <n v="0.03"/>
    <n v="18699"/>
    <n v="4.33"/>
    <n v="17"/>
    <n v="1099.9411764705883"/>
    <s v="Houston"/>
    <s v="Spanish"/>
    <n v="583"/>
    <n v="2856"/>
    <n v="8"/>
    <s v="Tech Enthusiasts"/>
    <x v="196"/>
  </r>
  <r>
    <s v="NexGen Systems"/>
    <x v="4"/>
    <s v="Men 25-34"/>
    <s v="60 days"/>
    <x v="1"/>
    <n v="0.08"/>
    <n v="8471"/>
    <n v="3.7"/>
    <n v="28"/>
    <n v="302.53571428571428"/>
    <s v="Chicago"/>
    <s v="English"/>
    <n v="347"/>
    <n v="2133"/>
    <n v="8"/>
    <s v="Foodies"/>
    <x v="197"/>
  </r>
  <r>
    <s v="NexGen Systems"/>
    <x v="4"/>
    <s v="Women 35-44"/>
    <s v="45 days"/>
    <x v="2"/>
    <n v="0.03"/>
    <n v="16294"/>
    <n v="5.41"/>
    <n v="28"/>
    <n v="581.92857142857144"/>
    <s v="New York"/>
    <s v="German"/>
    <n v="919"/>
    <n v="8709"/>
    <n v="2"/>
    <s v="Foodies"/>
    <x v="198"/>
  </r>
  <r>
    <s v="Alpha Innovations"/>
    <x v="2"/>
    <s v="All Ages"/>
    <s v="15 days"/>
    <x v="3"/>
    <n v="0.13"/>
    <n v="16986"/>
    <n v="2.5499999999999998"/>
    <n v="118"/>
    <n v="143.94915254237287"/>
    <s v="New York"/>
    <s v="Mandarin"/>
    <n v="908"/>
    <n v="1968"/>
    <n v="9"/>
    <s v="Tech Enthusiasts"/>
    <x v="199"/>
  </r>
  <r>
    <s v="Alpha Innovations"/>
    <x v="3"/>
    <s v="Women 35-44"/>
    <s v="60 days"/>
    <x v="1"/>
    <n v="0.08"/>
    <n v="10197"/>
    <n v="6.36"/>
    <n v="23"/>
    <n v="443.3478260869565"/>
    <s v="Houston"/>
    <s v="Mandarin"/>
    <n v="292"/>
    <n v="6494"/>
    <n v="4"/>
    <s v="Outdoor Adventurers"/>
    <x v="200"/>
  </r>
  <r>
    <s v="Alpha Innovations"/>
    <x v="3"/>
    <s v="Men 25-34"/>
    <s v="15 days"/>
    <x v="4"/>
    <n v="0.1"/>
    <n v="9723"/>
    <n v="3.67"/>
    <n v="66"/>
    <n v="147.31818181818181"/>
    <s v="Chicago"/>
    <s v="German"/>
    <n v="655"/>
    <n v="4817"/>
    <n v="6"/>
    <s v="Health &amp; Wellness"/>
    <x v="201"/>
  </r>
  <r>
    <s v="Innovate Industries"/>
    <x v="0"/>
    <s v="Women 25-34"/>
    <s v="60 days"/>
    <x v="3"/>
    <n v="0.01"/>
    <n v="15592"/>
    <n v="5.83"/>
    <n v="3"/>
    <n v="5197.333333333333"/>
    <s v="Chicago"/>
    <s v="Mandarin"/>
    <n v="262"/>
    <n v="2280"/>
    <n v="9"/>
    <s v="Health &amp; Wellness"/>
    <x v="202"/>
  </r>
  <r>
    <s v="NexGen Systems"/>
    <x v="3"/>
    <s v="Women 35-44"/>
    <s v="30 days"/>
    <x v="3"/>
    <n v="0.09"/>
    <n v="8889"/>
    <n v="4.68"/>
    <n v="66"/>
    <n v="134.68181818181819"/>
    <s v="Los Angeles"/>
    <s v="French"/>
    <n v="733"/>
    <n v="5645"/>
    <n v="7"/>
    <s v="Foodies"/>
    <x v="203"/>
  </r>
  <r>
    <s v="Alpha Innovations"/>
    <x v="1"/>
    <s v="Men 18-24"/>
    <s v="30 days"/>
    <x v="3"/>
    <n v="0.13"/>
    <n v="8924"/>
    <n v="4.84"/>
    <n v="108"/>
    <n v="82.629629629629633"/>
    <s v="New York"/>
    <s v="French"/>
    <n v="831"/>
    <n v="6917"/>
    <n v="6"/>
    <s v="Outdoor Adventurers"/>
    <x v="204"/>
  </r>
  <r>
    <s v="Innovate Industries"/>
    <x v="2"/>
    <s v="Men 25-34"/>
    <s v="15 days"/>
    <x v="0"/>
    <n v="0.08"/>
    <n v="6089"/>
    <n v="2.2400000000000002"/>
    <n v="55"/>
    <n v="110.7090909090909"/>
    <s v="Miami"/>
    <s v="French"/>
    <n v="690"/>
    <n v="2976"/>
    <n v="3"/>
    <s v="Fashionistas"/>
    <x v="205"/>
  </r>
  <r>
    <s v="Innovate Industries"/>
    <x v="3"/>
    <s v="Men 18-24"/>
    <s v="45 days"/>
    <x v="0"/>
    <n v="0.15"/>
    <n v="18187"/>
    <n v="7.57"/>
    <n v="36"/>
    <n v="505.19444444444446"/>
    <s v="Los Angeles"/>
    <s v="Spanish"/>
    <n v="240"/>
    <n v="7918"/>
    <n v="2"/>
    <s v="Foodies"/>
    <x v="206"/>
  </r>
  <r>
    <s v="Alpha Innovations"/>
    <x v="0"/>
    <s v="Men 18-24"/>
    <s v="45 days"/>
    <x v="4"/>
    <n v="0.02"/>
    <n v="12416"/>
    <n v="3.07"/>
    <n v="11"/>
    <n v="1128.7272727272727"/>
    <s v="Chicago"/>
    <s v="German"/>
    <n v="547"/>
    <n v="3996"/>
    <n v="9"/>
    <s v="Outdoor Adventurers"/>
    <x v="207"/>
  </r>
  <r>
    <s v="NexGen Systems"/>
    <x v="1"/>
    <s v="Women 35-44"/>
    <s v="15 days"/>
    <x v="1"/>
    <n v="0.11"/>
    <n v="6795"/>
    <n v="5.44"/>
    <n v="59"/>
    <n v="115.16949152542372"/>
    <s v="Los Angeles"/>
    <s v="German"/>
    <n v="534"/>
    <n v="6614"/>
    <n v="1"/>
    <s v="Tech Enthusiasts"/>
    <x v="208"/>
  </r>
  <r>
    <s v="TechCorp"/>
    <x v="1"/>
    <s v="Men 25-34"/>
    <s v="60 days"/>
    <x v="3"/>
    <n v="0.12"/>
    <n v="18603"/>
    <n v="6.98"/>
    <n v="89"/>
    <n v="209.02247191011236"/>
    <s v="New York"/>
    <s v="French"/>
    <n v="740"/>
    <n v="1181"/>
    <n v="1"/>
    <s v="Foodies"/>
    <x v="209"/>
  </r>
  <r>
    <s v="Innovate Industries"/>
    <x v="4"/>
    <s v="Women 35-44"/>
    <s v="45 days"/>
    <x v="2"/>
    <n v="0.05"/>
    <n v="12988"/>
    <n v="6.89"/>
    <n v="10"/>
    <n v="1298.8"/>
    <s v="New York"/>
    <s v="English"/>
    <n v="198"/>
    <n v="1415"/>
    <n v="2"/>
    <s v="Outdoor Adventurers"/>
    <x v="210"/>
  </r>
  <r>
    <s v="Alpha Innovations"/>
    <x v="2"/>
    <s v="Women 25-34"/>
    <s v="30 days"/>
    <x v="3"/>
    <n v="0.02"/>
    <n v="8505"/>
    <n v="5.77"/>
    <n v="11"/>
    <n v="773.18181818181813"/>
    <s v="Houston"/>
    <s v="German"/>
    <n v="545"/>
    <n v="9721"/>
    <n v="2"/>
    <s v="Tech Enthusiasts"/>
    <x v="211"/>
  </r>
  <r>
    <s v="Innovate Industries"/>
    <x v="2"/>
    <s v="All Ages"/>
    <s v="15 days"/>
    <x v="5"/>
    <n v="0.15"/>
    <n v="8623"/>
    <n v="3.09"/>
    <n v="60"/>
    <n v="143.71666666666667"/>
    <s v="Los Angeles"/>
    <s v="Mandarin"/>
    <n v="397"/>
    <n v="4772"/>
    <n v="3"/>
    <s v="Outdoor Adventurers"/>
    <x v="212"/>
  </r>
  <r>
    <s v="NexGen Systems"/>
    <x v="2"/>
    <s v="Women 35-44"/>
    <s v="30 days"/>
    <x v="1"/>
    <n v="0.11"/>
    <n v="5699"/>
    <n v="6.41"/>
    <n v="102"/>
    <n v="55.872549019607845"/>
    <s v="New York"/>
    <s v="German"/>
    <n v="931"/>
    <n v="9604"/>
    <n v="9"/>
    <s v="Fashionistas"/>
    <x v="213"/>
  </r>
  <r>
    <s v="DataTech Solutions"/>
    <x v="2"/>
    <s v="Women 35-44"/>
    <s v="45 days"/>
    <x v="4"/>
    <n v="0.15"/>
    <n v="5121"/>
    <n v="3.87"/>
    <n v="105"/>
    <n v="48.771428571428572"/>
    <s v="Los Angeles"/>
    <s v="Spanish"/>
    <n v="702"/>
    <n v="6887"/>
    <n v="1"/>
    <s v="Fashionistas"/>
    <x v="214"/>
  </r>
  <r>
    <s v="DataTech Solutions"/>
    <x v="1"/>
    <s v="Women 25-34"/>
    <s v="45 days"/>
    <x v="1"/>
    <n v="0.01"/>
    <n v="5697"/>
    <n v="6"/>
    <n v="9"/>
    <n v="633"/>
    <s v="Houston"/>
    <s v="English"/>
    <n v="899"/>
    <n v="5163"/>
    <n v="2"/>
    <s v="Health &amp; Wellness"/>
    <x v="215"/>
  </r>
  <r>
    <s v="Innovate Industries"/>
    <x v="1"/>
    <s v="Men 18-24"/>
    <s v="15 days"/>
    <x v="3"/>
    <n v="0.01"/>
    <n v="11178"/>
    <n v="5.39"/>
    <n v="3"/>
    <n v="3726"/>
    <s v="Los Angeles"/>
    <s v="French"/>
    <n v="328"/>
    <n v="8632"/>
    <n v="5"/>
    <s v="Fashionistas"/>
    <x v="216"/>
  </r>
  <r>
    <s v="Alpha Innovations"/>
    <x v="3"/>
    <s v="Women 25-34"/>
    <s v="15 days"/>
    <x v="2"/>
    <n v="0.06"/>
    <n v="7000"/>
    <n v="5.9"/>
    <n v="52"/>
    <n v="134.61538461538461"/>
    <s v="Miami"/>
    <s v="German"/>
    <n v="868"/>
    <n v="8308"/>
    <n v="7"/>
    <s v="Fashionistas"/>
    <x v="217"/>
  </r>
  <r>
    <s v="Innovate Industries"/>
    <x v="1"/>
    <s v="Men 18-24"/>
    <s v="30 days"/>
    <x v="5"/>
    <n v="0.03"/>
    <n v="16025"/>
    <n v="6.71"/>
    <n v="12"/>
    <n v="1335.4166666666667"/>
    <s v="Houston"/>
    <s v="German"/>
    <n v="398"/>
    <n v="6013"/>
    <n v="10"/>
    <s v="Health &amp; Wellness"/>
    <x v="218"/>
  </r>
  <r>
    <s v="NexGen Systems"/>
    <x v="4"/>
    <s v="Men 25-34"/>
    <s v="45 days"/>
    <x v="5"/>
    <n v="0.05"/>
    <n v="9139"/>
    <n v="2.13"/>
    <n v="10"/>
    <n v="913.9"/>
    <s v="Miami"/>
    <s v="German"/>
    <n v="193"/>
    <n v="8708"/>
    <n v="1"/>
    <s v="Fashionistas"/>
    <x v="219"/>
  </r>
  <r>
    <s v="Innovate Industries"/>
    <x v="3"/>
    <s v="All Ages"/>
    <s v="15 days"/>
    <x v="5"/>
    <n v="0.04"/>
    <n v="16839"/>
    <n v="4.72"/>
    <n v="20"/>
    <n v="841.95"/>
    <s v="Houston"/>
    <s v="Spanish"/>
    <n v="490"/>
    <n v="4451"/>
    <n v="2"/>
    <s v="Health &amp; Wellness"/>
    <x v="220"/>
  </r>
  <r>
    <s v="TechCorp"/>
    <x v="3"/>
    <s v="All Ages"/>
    <s v="15 days"/>
    <x v="0"/>
    <n v="0.12"/>
    <n v="18860"/>
    <n v="5.0999999999999996"/>
    <n v="67"/>
    <n v="281.49253731343282"/>
    <s v="Los Angeles"/>
    <s v="French"/>
    <n v="562"/>
    <n v="7982"/>
    <n v="8"/>
    <s v="Fashionistas"/>
    <x v="221"/>
  </r>
  <r>
    <s v="TechCorp"/>
    <x v="4"/>
    <s v="Men 25-34"/>
    <s v="30 days"/>
    <x v="5"/>
    <n v="0.03"/>
    <n v="14402"/>
    <n v="3.47"/>
    <n v="19"/>
    <n v="758"/>
    <s v="Houston"/>
    <s v="Mandarin"/>
    <n v="649"/>
    <n v="6224"/>
    <n v="9"/>
    <s v="Fashionistas"/>
    <x v="222"/>
  </r>
  <r>
    <s v="DataTech Solutions"/>
    <x v="2"/>
    <s v="Women 35-44"/>
    <s v="15 days"/>
    <x v="0"/>
    <n v="0.06"/>
    <n v="17894"/>
    <n v="4.08"/>
    <n v="59"/>
    <n v="303.28813559322032"/>
    <s v="Houston"/>
    <s v="Mandarin"/>
    <n v="984"/>
    <n v="8637"/>
    <n v="9"/>
    <s v="Outdoor Adventurers"/>
    <x v="223"/>
  </r>
  <r>
    <s v="DataTech Solutions"/>
    <x v="2"/>
    <s v="Women 35-44"/>
    <s v="30 days"/>
    <x v="5"/>
    <n v="0.13"/>
    <n v="14100"/>
    <n v="3.58"/>
    <n v="57"/>
    <n v="247.36842105263159"/>
    <s v="New York"/>
    <s v="Mandarin"/>
    <n v="436"/>
    <n v="3635"/>
    <n v="2"/>
    <s v="Outdoor Adventurers"/>
    <x v="224"/>
  </r>
  <r>
    <s v="Alpha Innovations"/>
    <x v="4"/>
    <s v="Men 18-24"/>
    <s v="30 days"/>
    <x v="4"/>
    <n v="7.0000000000000007E-2"/>
    <n v="13112"/>
    <n v="7.42"/>
    <n v="14"/>
    <n v="936.57142857142856"/>
    <s v="Los Angeles"/>
    <s v="Spanish"/>
    <n v="204"/>
    <n v="7184"/>
    <n v="3"/>
    <s v="Fashionistas"/>
    <x v="225"/>
  </r>
  <r>
    <s v="NexGen Systems"/>
    <x v="2"/>
    <s v="Women 25-34"/>
    <s v="60 days"/>
    <x v="5"/>
    <n v="0.13"/>
    <n v="15918"/>
    <n v="5.29"/>
    <n v="94"/>
    <n v="169.34042553191489"/>
    <s v="New York"/>
    <s v="English"/>
    <n v="723"/>
    <n v="3125"/>
    <n v="10"/>
    <s v="Foodies"/>
    <x v="226"/>
  </r>
  <r>
    <s v="Innovate Industries"/>
    <x v="1"/>
    <s v="Men 18-24"/>
    <s v="30 days"/>
    <x v="5"/>
    <n v="0.01"/>
    <n v="17455"/>
    <n v="6.33"/>
    <n v="2"/>
    <n v="8727.5"/>
    <s v="Los Angeles"/>
    <s v="German"/>
    <n v="235"/>
    <n v="9746"/>
    <n v="7"/>
    <s v="Outdoor Adventurers"/>
    <x v="227"/>
  </r>
  <r>
    <s v="Alpha Innovations"/>
    <x v="2"/>
    <s v="Women 25-34"/>
    <s v="30 days"/>
    <x v="2"/>
    <n v="0.01"/>
    <n v="5106"/>
    <n v="3.27"/>
    <n v="6"/>
    <n v="851"/>
    <s v="Miami"/>
    <s v="Spanish"/>
    <n v="603"/>
    <n v="3439"/>
    <n v="10"/>
    <s v="Foodies"/>
    <x v="228"/>
  </r>
  <r>
    <s v="Innovate Industries"/>
    <x v="4"/>
    <s v="Women 35-44"/>
    <s v="60 days"/>
    <x v="4"/>
    <n v="0.03"/>
    <n v="16375"/>
    <n v="7.27"/>
    <n v="11"/>
    <n v="1488.6363636363637"/>
    <s v="Los Angeles"/>
    <s v="English"/>
    <n v="351"/>
    <n v="1101"/>
    <n v="8"/>
    <s v="Tech Enthusiasts"/>
    <x v="229"/>
  </r>
  <r>
    <s v="Alpha Innovations"/>
    <x v="3"/>
    <s v="All Ages"/>
    <s v="60 days"/>
    <x v="2"/>
    <n v="0.05"/>
    <n v="10335"/>
    <n v="3.19"/>
    <n v="20"/>
    <n v="516.75"/>
    <s v="Miami"/>
    <s v="Spanish"/>
    <n v="396"/>
    <n v="7724"/>
    <n v="5"/>
    <s v="Tech Enthusiasts"/>
    <x v="230"/>
  </r>
  <r>
    <s v="TechCorp"/>
    <x v="1"/>
    <s v="All Ages"/>
    <s v="45 days"/>
    <x v="2"/>
    <n v="0.05"/>
    <n v="19515"/>
    <n v="2.39"/>
    <n v="6"/>
    <n v="3252.5"/>
    <s v="New York"/>
    <s v="Spanish"/>
    <n v="128"/>
    <n v="3767"/>
    <n v="7"/>
    <s v="Outdoor Adventurers"/>
    <x v="231"/>
  </r>
  <r>
    <s v="DataTech Solutions"/>
    <x v="3"/>
    <s v="Women 35-44"/>
    <s v="30 days"/>
    <x v="5"/>
    <n v="0.14000000000000001"/>
    <n v="17408"/>
    <n v="4.17"/>
    <n v="93"/>
    <n v="187.18279569892474"/>
    <s v="Chicago"/>
    <s v="Mandarin"/>
    <n v="665"/>
    <n v="3617"/>
    <n v="10"/>
    <s v="Tech Enthusiasts"/>
    <x v="232"/>
  </r>
  <r>
    <s v="NexGen Systems"/>
    <x v="0"/>
    <s v="Men 18-24"/>
    <s v="15 days"/>
    <x v="0"/>
    <n v="0.15"/>
    <n v="8373"/>
    <n v="2.81"/>
    <n v="75"/>
    <n v="111.64"/>
    <s v="Chicago"/>
    <s v="Spanish"/>
    <n v="503"/>
    <n v="7287"/>
    <n v="5"/>
    <s v="Outdoor Adventurers"/>
    <x v="233"/>
  </r>
  <r>
    <s v="DataTech Solutions"/>
    <x v="0"/>
    <s v="Men 18-24"/>
    <s v="45 days"/>
    <x v="2"/>
    <n v="0.15"/>
    <n v="18524"/>
    <n v="2.39"/>
    <n v="125"/>
    <n v="148.19200000000001"/>
    <s v="New York"/>
    <s v="Mandarin"/>
    <n v="831"/>
    <n v="8015"/>
    <n v="10"/>
    <s v="Outdoor Adventurers"/>
    <x v="234"/>
  </r>
  <r>
    <s v="Alpha Innovations"/>
    <x v="1"/>
    <s v="Men 18-24"/>
    <s v="30 days"/>
    <x v="2"/>
    <n v="0.02"/>
    <n v="13978"/>
    <n v="2.99"/>
    <n v="12"/>
    <n v="1164.8333333333333"/>
    <s v="Miami"/>
    <s v="Mandarin"/>
    <n v="607"/>
    <n v="3336"/>
    <n v="5"/>
    <s v="Outdoor Adventurers"/>
    <x v="235"/>
  </r>
  <r>
    <s v="TechCorp"/>
    <x v="1"/>
    <s v="Men 25-34"/>
    <s v="15 days"/>
    <x v="5"/>
    <n v="0.06"/>
    <n v="5741"/>
    <n v="4.79"/>
    <n v="23"/>
    <n v="249.60869565217391"/>
    <s v="New York"/>
    <s v="French"/>
    <n v="382"/>
    <n v="8295"/>
    <n v="1"/>
    <s v="Outdoor Adventurers"/>
    <x v="236"/>
  </r>
  <r>
    <s v="NexGen Systems"/>
    <x v="3"/>
    <s v="Women 35-44"/>
    <s v="15 days"/>
    <x v="5"/>
    <n v="0.06"/>
    <n v="6396"/>
    <n v="5.39"/>
    <n v="16"/>
    <n v="399.75"/>
    <s v="New York"/>
    <s v="Spanish"/>
    <n v="274"/>
    <n v="1979"/>
    <n v="3"/>
    <s v="Health &amp; Wellness"/>
    <x v="237"/>
  </r>
  <r>
    <s v="TechCorp"/>
    <x v="3"/>
    <s v="Women 35-44"/>
    <s v="45 days"/>
    <x v="3"/>
    <n v="0.04"/>
    <n v="12814"/>
    <n v="4.2699999999999996"/>
    <n v="13"/>
    <n v="985.69230769230774"/>
    <s v="Chicago"/>
    <s v="English"/>
    <n v="331"/>
    <n v="2872"/>
    <n v="3"/>
    <s v="Tech Enthusiasts"/>
    <x v="238"/>
  </r>
  <r>
    <s v="DataTech Solutions"/>
    <x v="2"/>
    <s v="All Ages"/>
    <s v="30 days"/>
    <x v="2"/>
    <n v="0.04"/>
    <n v="18274"/>
    <n v="2.1800000000000002"/>
    <n v="25"/>
    <n v="730.96"/>
    <s v="Miami"/>
    <s v="English"/>
    <n v="635"/>
    <n v="6238"/>
    <n v="2"/>
    <s v="Foodies"/>
    <x v="239"/>
  </r>
  <r>
    <s v="Innovate Industries"/>
    <x v="0"/>
    <s v="Men 25-34"/>
    <s v="45 days"/>
    <x v="3"/>
    <n v="0.05"/>
    <n v="19721"/>
    <n v="4.99"/>
    <n v="22"/>
    <n v="896.40909090909088"/>
    <s v="Los Angeles"/>
    <s v="English"/>
    <n v="433"/>
    <n v="2208"/>
    <n v="5"/>
    <s v="Fashionistas"/>
    <x v="240"/>
  </r>
  <r>
    <s v="TechCorp"/>
    <x v="0"/>
    <s v="All Ages"/>
    <s v="60 days"/>
    <x v="0"/>
    <n v="0.02"/>
    <n v="17314"/>
    <n v="4.24"/>
    <n v="17"/>
    <n v="1018.4705882352941"/>
    <s v="Miami"/>
    <s v="English"/>
    <n v="842"/>
    <n v="3939"/>
    <n v="5"/>
    <s v="Tech Enthusiasts"/>
    <x v="241"/>
  </r>
  <r>
    <s v="Innovate Industries"/>
    <x v="1"/>
    <s v="Women 35-44"/>
    <s v="45 days"/>
    <x v="3"/>
    <n v="0.02"/>
    <n v="16570"/>
    <n v="3.1"/>
    <n v="12"/>
    <n v="1380.8333333333333"/>
    <s v="Houston"/>
    <s v="Spanish"/>
    <n v="622"/>
    <n v="8302"/>
    <n v="7"/>
    <s v="Outdoor Adventurers"/>
    <x v="242"/>
  </r>
  <r>
    <s v="TechCorp"/>
    <x v="4"/>
    <s v="Men 18-24"/>
    <s v="45 days"/>
    <x v="1"/>
    <n v="0.02"/>
    <n v="18208"/>
    <n v="4.82"/>
    <n v="19"/>
    <n v="958.31578947368416"/>
    <s v="Houston"/>
    <s v="German"/>
    <n v="936"/>
    <n v="5721"/>
    <n v="6"/>
    <s v="Tech Enthusiasts"/>
    <x v="243"/>
  </r>
  <r>
    <s v="Alpha Innovations"/>
    <x v="1"/>
    <s v="Men 25-34"/>
    <s v="60 days"/>
    <x v="5"/>
    <n v="0.1"/>
    <n v="12124"/>
    <n v="6.24"/>
    <n v="19"/>
    <n v="638.10526315789468"/>
    <s v="Los Angeles"/>
    <s v="Spanish"/>
    <n v="188"/>
    <n v="5099"/>
    <n v="9"/>
    <s v="Foodies"/>
    <x v="244"/>
  </r>
  <r>
    <s v="Alpha Innovations"/>
    <x v="0"/>
    <s v="Men 25-34"/>
    <s v="45 days"/>
    <x v="2"/>
    <n v="0.11"/>
    <n v="10237"/>
    <n v="7.71"/>
    <n v="48"/>
    <n v="213.27083333333334"/>
    <s v="Houston"/>
    <s v="Mandarin"/>
    <n v="436"/>
    <n v="9191"/>
    <n v="10"/>
    <s v="Fashionistas"/>
    <x v="245"/>
  </r>
  <r>
    <s v="Innovate Industries"/>
    <x v="3"/>
    <s v="Men 18-24"/>
    <s v="45 days"/>
    <x v="5"/>
    <n v="0.04"/>
    <n v="17993"/>
    <n v="5.93"/>
    <n v="9"/>
    <n v="1999.2222222222222"/>
    <s v="Chicago"/>
    <s v="English"/>
    <n v="230"/>
    <n v="6367"/>
    <n v="6"/>
    <s v="Fashionistas"/>
    <x v="246"/>
  </r>
  <r>
    <s v="Alpha Innovations"/>
    <x v="1"/>
    <s v="Men 18-24"/>
    <s v="30 days"/>
    <x v="4"/>
    <n v="0.08"/>
    <n v="11835"/>
    <n v="4.0999999999999996"/>
    <n v="22"/>
    <n v="537.9545454545455"/>
    <s v="Miami"/>
    <s v="German"/>
    <n v="275"/>
    <n v="2369"/>
    <n v="8"/>
    <s v="Fashionistas"/>
    <x v="247"/>
  </r>
  <r>
    <s v="Innovate Industries"/>
    <x v="2"/>
    <s v="Women 35-44"/>
    <s v="45 days"/>
    <x v="2"/>
    <n v="0.09"/>
    <n v="12406"/>
    <n v="4.42"/>
    <n v="46"/>
    <n v="269.69565217391306"/>
    <s v="Chicago"/>
    <s v="Spanish"/>
    <n v="508"/>
    <n v="9319"/>
    <n v="6"/>
    <s v="Tech Enthusiasts"/>
    <x v="248"/>
  </r>
  <r>
    <s v="Innovate Industries"/>
    <x v="1"/>
    <s v="All Ages"/>
    <s v="30 days"/>
    <x v="4"/>
    <n v="0.05"/>
    <n v="7650"/>
    <n v="7.29"/>
    <n v="21"/>
    <n v="364.28571428571428"/>
    <s v="Miami"/>
    <s v="German"/>
    <n v="417"/>
    <n v="7416"/>
    <n v="4"/>
    <s v="Fashionistas"/>
    <x v="249"/>
  </r>
  <r>
    <s v="Innovate Industries"/>
    <x v="1"/>
    <s v="Women 35-44"/>
    <s v="30 days"/>
    <x v="4"/>
    <n v="0.13"/>
    <n v="12966"/>
    <n v="5.72"/>
    <n v="84"/>
    <n v="154.35714285714286"/>
    <s v="New York"/>
    <s v="German"/>
    <n v="645"/>
    <n v="4626"/>
    <n v="9"/>
    <s v="Fashionistas"/>
    <x v="250"/>
  </r>
  <r>
    <s v="DataTech Solutions"/>
    <x v="4"/>
    <s v="Women 35-44"/>
    <s v="15 days"/>
    <x v="4"/>
    <n v="0.08"/>
    <n v="8540"/>
    <n v="7.02"/>
    <n v="71"/>
    <n v="120.28169014084507"/>
    <s v="Houston"/>
    <s v="Spanish"/>
    <n v="893"/>
    <n v="6718"/>
    <n v="9"/>
    <s v="Tech Enthusiasts"/>
    <x v="251"/>
  </r>
  <r>
    <s v="DataTech Solutions"/>
    <x v="2"/>
    <s v="Men 25-34"/>
    <s v="30 days"/>
    <x v="0"/>
    <n v="0.13"/>
    <n v="8376"/>
    <n v="2.56"/>
    <n v="87"/>
    <n v="96.275862068965523"/>
    <s v="New York"/>
    <s v="Mandarin"/>
    <n v="667"/>
    <n v="2519"/>
    <n v="9"/>
    <s v="Foodies"/>
    <x v="252"/>
  </r>
  <r>
    <s v="Alpha Innovations"/>
    <x v="4"/>
    <s v="Women 35-44"/>
    <s v="45 days"/>
    <x v="2"/>
    <n v="0.09"/>
    <n v="9449"/>
    <n v="2.83"/>
    <n v="24"/>
    <n v="393.70833333333331"/>
    <s v="Houston"/>
    <s v="French"/>
    <n v="271"/>
    <n v="2500"/>
    <n v="9"/>
    <s v="Health &amp; Wellness"/>
    <x v="253"/>
  </r>
  <r>
    <s v="DataTech Solutions"/>
    <x v="3"/>
    <s v="Men 25-34"/>
    <s v="30 days"/>
    <x v="2"/>
    <n v="0.09"/>
    <n v="16313"/>
    <n v="7.6"/>
    <n v="20"/>
    <n v="815.65"/>
    <s v="Houston"/>
    <s v="English"/>
    <n v="218"/>
    <n v="7104"/>
    <n v="5"/>
    <s v="Outdoor Adventurers"/>
    <x v="254"/>
  </r>
  <r>
    <s v="DataTech Solutions"/>
    <x v="4"/>
    <s v="All Ages"/>
    <s v="45 days"/>
    <x v="5"/>
    <n v="0.06"/>
    <n v="5879"/>
    <n v="2.08"/>
    <n v="45"/>
    <n v="130.64444444444445"/>
    <s v="Miami"/>
    <s v="English"/>
    <n v="744"/>
    <n v="9472"/>
    <n v="5"/>
    <s v="Tech Enthusiasts"/>
    <x v="255"/>
  </r>
  <r>
    <s v="Innovate Industries"/>
    <x v="0"/>
    <s v="Men 25-34"/>
    <s v="30 days"/>
    <x v="0"/>
    <n v="0.14000000000000001"/>
    <n v="19480"/>
    <n v="4.3"/>
    <n v="48"/>
    <n v="405.83333333333331"/>
    <s v="Houston"/>
    <s v="English"/>
    <n v="346"/>
    <n v="2067"/>
    <n v="2"/>
    <s v="Outdoor Adventurers"/>
    <x v="256"/>
  </r>
  <r>
    <s v="DataTech Solutions"/>
    <x v="2"/>
    <s v="Men 18-24"/>
    <s v="30 days"/>
    <x v="0"/>
    <n v="0.12"/>
    <n v="7057"/>
    <n v="6.29"/>
    <n v="51"/>
    <n v="138.37254901960785"/>
    <s v="Miami"/>
    <s v="Mandarin"/>
    <n v="423"/>
    <n v="3670"/>
    <n v="6"/>
    <s v="Tech Enthusiasts"/>
    <x v="257"/>
  </r>
  <r>
    <s v="Alpha Innovations"/>
    <x v="3"/>
    <s v="Men 18-24"/>
    <s v="45 days"/>
    <x v="5"/>
    <n v="0.05"/>
    <n v="11252"/>
    <n v="3.06"/>
    <n v="13"/>
    <n v="865.53846153846155"/>
    <s v="Miami"/>
    <s v="Spanish"/>
    <n v="254"/>
    <n v="7896"/>
    <n v="4"/>
    <s v="Health &amp; Wellness"/>
    <x v="258"/>
  </r>
  <r>
    <s v="NexGen Systems"/>
    <x v="3"/>
    <s v="Men 25-34"/>
    <s v="45 days"/>
    <x v="5"/>
    <n v="0.15"/>
    <n v="5524"/>
    <n v="6.85"/>
    <n v="115"/>
    <n v="48.03478260869565"/>
    <s v="Chicago"/>
    <s v="German"/>
    <n v="769"/>
    <n v="2472"/>
    <n v="5"/>
    <s v="Foodies"/>
    <x v="259"/>
  </r>
  <r>
    <s v="Alpha Innovations"/>
    <x v="4"/>
    <s v="Women 35-44"/>
    <s v="60 days"/>
    <x v="3"/>
    <n v="0.14000000000000001"/>
    <n v="7286"/>
    <n v="7.88"/>
    <n v="114"/>
    <n v="63.912280701754383"/>
    <s v="New York"/>
    <s v="Mandarin"/>
    <n v="813"/>
    <n v="6052"/>
    <n v="10"/>
    <s v="Tech Enthusiasts"/>
    <x v="260"/>
  </r>
  <r>
    <s v="Alpha Innovations"/>
    <x v="3"/>
    <s v="Women 35-44"/>
    <s v="45 days"/>
    <x v="5"/>
    <n v="0.04"/>
    <n v="5825"/>
    <n v="7.61"/>
    <n v="11"/>
    <n v="529.5454545454545"/>
    <s v="Los Angeles"/>
    <s v="Mandarin"/>
    <n v="270"/>
    <n v="7351"/>
    <n v="3"/>
    <s v="Outdoor Adventurers"/>
    <x v="261"/>
  </r>
  <r>
    <s v="Innovate Industries"/>
    <x v="0"/>
    <s v="Women 35-44"/>
    <s v="15 days"/>
    <x v="2"/>
    <n v="0.06"/>
    <n v="18805"/>
    <n v="2.96"/>
    <n v="48"/>
    <n v="391.77083333333331"/>
    <s v="Chicago"/>
    <s v="Mandarin"/>
    <n v="805"/>
    <n v="9184"/>
    <n v="4"/>
    <s v="Foodies"/>
    <x v="262"/>
  </r>
  <r>
    <s v="TechCorp"/>
    <x v="1"/>
    <s v="Men 25-34"/>
    <s v="15 days"/>
    <x v="1"/>
    <n v="0.13"/>
    <n v="11366"/>
    <n v="7.68"/>
    <n v="45"/>
    <n v="252.57777777777778"/>
    <s v="Chicago"/>
    <s v="English"/>
    <n v="348"/>
    <n v="9167"/>
    <n v="1"/>
    <s v="Foodies"/>
    <x v="263"/>
  </r>
  <r>
    <s v="TechCorp"/>
    <x v="0"/>
    <s v="Women 25-34"/>
    <s v="30 days"/>
    <x v="1"/>
    <n v="0.12"/>
    <n v="13546"/>
    <n v="2.66"/>
    <n v="78"/>
    <n v="173.66666666666666"/>
    <s v="Chicago"/>
    <s v="French"/>
    <n v="649"/>
    <n v="5014"/>
    <n v="4"/>
    <s v="Outdoor Adventurers"/>
    <x v="264"/>
  </r>
  <r>
    <s v="TechCorp"/>
    <x v="0"/>
    <s v="All Ages"/>
    <s v="15 days"/>
    <x v="2"/>
    <n v="0.04"/>
    <n v="15454"/>
    <n v="4.93"/>
    <n v="9"/>
    <n v="1717.1111111111111"/>
    <s v="Miami"/>
    <s v="German"/>
    <n v="217"/>
    <n v="4205"/>
    <n v="1"/>
    <s v="Health &amp; Wellness"/>
    <x v="265"/>
  </r>
  <r>
    <s v="TechCorp"/>
    <x v="1"/>
    <s v="Men 25-34"/>
    <s v="60 days"/>
    <x v="1"/>
    <n v="0.06"/>
    <n v="7306"/>
    <n v="5.07"/>
    <n v="54"/>
    <n v="135.2962962962963"/>
    <s v="Chicago"/>
    <s v="English"/>
    <n v="898"/>
    <n v="2677"/>
    <n v="6"/>
    <s v="Outdoor Adventurers"/>
    <x v="266"/>
  </r>
  <r>
    <s v="Innovate Industries"/>
    <x v="1"/>
    <s v="Men 18-24"/>
    <s v="60 days"/>
    <x v="1"/>
    <n v="0.15"/>
    <n v="19289"/>
    <n v="2.96"/>
    <n v="88"/>
    <n v="219.19318181818181"/>
    <s v="New York"/>
    <s v="Mandarin"/>
    <n v="584"/>
    <n v="8542"/>
    <n v="5"/>
    <s v="Foodies"/>
    <x v="267"/>
  </r>
  <r>
    <s v="Innovate Industries"/>
    <x v="2"/>
    <s v="Men 25-34"/>
    <s v="15 days"/>
    <x v="1"/>
    <n v="0.15"/>
    <n v="14377"/>
    <n v="7.86"/>
    <n v="49"/>
    <n v="293.40816326530614"/>
    <s v="Chicago"/>
    <s v="Spanish"/>
    <n v="327"/>
    <n v="8692"/>
    <n v="8"/>
    <s v="Health &amp; Wellness"/>
    <x v="268"/>
  </r>
  <r>
    <s v="DataTech Solutions"/>
    <x v="3"/>
    <s v="Women 35-44"/>
    <s v="30 days"/>
    <x v="0"/>
    <n v="0.04"/>
    <n v="5256"/>
    <n v="5.38"/>
    <n v="32"/>
    <n v="164.25"/>
    <s v="Chicago"/>
    <s v="German"/>
    <n v="795"/>
    <n v="3850"/>
    <n v="8"/>
    <s v="Outdoor Adventurers"/>
    <x v="269"/>
  </r>
  <r>
    <s v="TechCorp"/>
    <x v="2"/>
    <s v="Men 18-24"/>
    <s v="30 days"/>
    <x v="1"/>
    <n v="0.14000000000000001"/>
    <n v="8237"/>
    <n v="6.12"/>
    <n v="96"/>
    <n v="85.802083333333329"/>
    <s v="New York"/>
    <s v="Spanish"/>
    <n v="686"/>
    <n v="2889"/>
    <n v="4"/>
    <s v="Outdoor Adventurers"/>
    <x v="270"/>
  </r>
  <r>
    <s v="Alpha Innovations"/>
    <x v="0"/>
    <s v="Women 35-44"/>
    <s v="15 days"/>
    <x v="1"/>
    <n v="0.12"/>
    <n v="6864"/>
    <n v="5.77"/>
    <n v="63"/>
    <n v="108.95238095238095"/>
    <s v="New York"/>
    <s v="French"/>
    <n v="522"/>
    <n v="5812"/>
    <n v="3"/>
    <s v="Outdoor Adventurers"/>
    <x v="271"/>
  </r>
  <r>
    <s v="DataTech Solutions"/>
    <x v="3"/>
    <s v="Men 25-34"/>
    <s v="15 days"/>
    <x v="4"/>
    <n v="0.14000000000000001"/>
    <n v="11053"/>
    <n v="3.44"/>
    <n v="138"/>
    <n v="80.094202898550719"/>
    <s v="Houston"/>
    <s v="German"/>
    <n v="989"/>
    <n v="4891"/>
    <n v="9"/>
    <s v="Fashionistas"/>
    <x v="272"/>
  </r>
  <r>
    <s v="DataTech Solutions"/>
    <x v="3"/>
    <s v="Men 18-24"/>
    <s v="15 days"/>
    <x v="0"/>
    <n v="0.14000000000000001"/>
    <n v="9957"/>
    <n v="4.5199999999999996"/>
    <n v="45"/>
    <n v="221.26666666666668"/>
    <s v="Miami"/>
    <s v="Mandarin"/>
    <n v="323"/>
    <n v="4469"/>
    <n v="10"/>
    <s v="Foodies"/>
    <x v="273"/>
  </r>
  <r>
    <s v="NexGen Systems"/>
    <x v="1"/>
    <s v="Men 25-34"/>
    <s v="30 days"/>
    <x v="3"/>
    <n v="0.03"/>
    <n v="6049"/>
    <n v="6.34"/>
    <n v="6"/>
    <n v="1008.1666666666666"/>
    <s v="Houston"/>
    <s v="Mandarin"/>
    <n v="189"/>
    <n v="3005"/>
    <n v="9"/>
    <s v="Health &amp; Wellness"/>
    <x v="274"/>
  </r>
  <r>
    <s v="Innovate Industries"/>
    <x v="1"/>
    <s v="Women 35-44"/>
    <s v="45 days"/>
    <x v="0"/>
    <n v="0.12"/>
    <n v="7897"/>
    <n v="4.78"/>
    <n v="72"/>
    <n v="109.68055555555556"/>
    <s v="Houston"/>
    <s v="Spanish"/>
    <n v="598"/>
    <n v="5840"/>
    <n v="2"/>
    <s v="Tech Enthusiasts"/>
    <x v="275"/>
  </r>
  <r>
    <s v="NexGen Systems"/>
    <x v="1"/>
    <s v="Men 18-24"/>
    <s v="30 days"/>
    <x v="2"/>
    <n v="0.03"/>
    <n v="10589"/>
    <n v="6.2"/>
    <n v="24"/>
    <n v="441.20833333333331"/>
    <s v="Chicago"/>
    <s v="Spanish"/>
    <n v="808"/>
    <n v="4524"/>
    <n v="5"/>
    <s v="Tech Enthusiasts"/>
    <x v="276"/>
  </r>
  <r>
    <s v="NexGen Systems"/>
    <x v="0"/>
    <s v="Women 25-34"/>
    <s v="15 days"/>
    <x v="5"/>
    <n v="0.06"/>
    <n v="19957"/>
    <n v="6.6"/>
    <n v="48"/>
    <n v="415.77083333333331"/>
    <s v="Chicago"/>
    <s v="English"/>
    <n v="800"/>
    <n v="4302"/>
    <n v="3"/>
    <s v="Outdoor Adventurers"/>
    <x v="277"/>
  </r>
  <r>
    <s v="NexGen Systems"/>
    <x v="0"/>
    <s v="All Ages"/>
    <s v="30 days"/>
    <x v="4"/>
    <n v="0.14000000000000001"/>
    <n v="14623"/>
    <n v="7.11"/>
    <n v="16"/>
    <n v="913.9375"/>
    <s v="Los Angeles"/>
    <s v="Mandarin"/>
    <n v="114"/>
    <n v="1591"/>
    <n v="5"/>
    <s v="Health &amp; Wellness"/>
    <x v="278"/>
  </r>
  <r>
    <s v="Innovate Industries"/>
    <x v="1"/>
    <s v="Women 35-44"/>
    <s v="45 days"/>
    <x v="1"/>
    <n v="7.0000000000000007E-2"/>
    <n v="8864"/>
    <n v="5.35"/>
    <n v="15"/>
    <n v="590.93333333333328"/>
    <s v="New York"/>
    <s v="English"/>
    <n v="218"/>
    <n v="7637"/>
    <n v="8"/>
    <s v="Outdoor Adventurers"/>
    <x v="279"/>
  </r>
  <r>
    <s v="Innovate Industries"/>
    <x v="1"/>
    <s v="Women 25-34"/>
    <s v="30 days"/>
    <x v="5"/>
    <n v="7.0000000000000007E-2"/>
    <n v="5659"/>
    <n v="5.55"/>
    <n v="40"/>
    <n v="141.47499999999999"/>
    <s v="Los Angeles"/>
    <s v="French"/>
    <n v="577"/>
    <n v="7151"/>
    <n v="5"/>
    <s v="Health &amp; Wellness"/>
    <x v="280"/>
  </r>
  <r>
    <s v="Alpha Innovations"/>
    <x v="2"/>
    <s v="All Ages"/>
    <s v="45 days"/>
    <x v="1"/>
    <n v="0.13"/>
    <n v="12389"/>
    <n v="5.15"/>
    <n v="128"/>
    <n v="96.7890625"/>
    <s v="Miami"/>
    <s v="French"/>
    <n v="983"/>
    <n v="3271"/>
    <n v="5"/>
    <s v="Tech Enthusiasts"/>
    <x v="281"/>
  </r>
  <r>
    <s v="Innovate Industries"/>
    <x v="3"/>
    <s v="Men 25-34"/>
    <s v="30 days"/>
    <x v="4"/>
    <n v="0.08"/>
    <n v="10481"/>
    <n v="3.17"/>
    <n v="13"/>
    <n v="806.23076923076928"/>
    <s v="Chicago"/>
    <s v="Spanish"/>
    <n v="158"/>
    <n v="2068"/>
    <n v="5"/>
    <s v="Tech Enthusiasts"/>
    <x v="282"/>
  </r>
  <r>
    <s v="Innovate Industries"/>
    <x v="1"/>
    <s v="Men 18-24"/>
    <s v="15 days"/>
    <x v="5"/>
    <n v="0.01"/>
    <n v="19232"/>
    <n v="6.32"/>
    <n v="4"/>
    <n v="4808"/>
    <s v="Los Angeles"/>
    <s v="Spanish"/>
    <n v="394"/>
    <n v="9182"/>
    <n v="9"/>
    <s v="Foodies"/>
    <x v="283"/>
  </r>
  <r>
    <s v="Alpha Innovations"/>
    <x v="0"/>
    <s v="All Ages"/>
    <s v="45 days"/>
    <x v="1"/>
    <n v="0.1"/>
    <n v="11895"/>
    <n v="7.96"/>
    <n v="45"/>
    <n v="264.33333333333331"/>
    <s v="Chicago"/>
    <s v="German"/>
    <n v="452"/>
    <n v="7510"/>
    <n v="9"/>
    <s v="Foodies"/>
    <x v="284"/>
  </r>
  <r>
    <s v="DataTech Solutions"/>
    <x v="4"/>
    <s v="Women 25-34"/>
    <s v="15 days"/>
    <x v="1"/>
    <n v="0.14000000000000001"/>
    <n v="7821"/>
    <n v="2.4700000000000002"/>
    <n v="48"/>
    <n v="162.9375"/>
    <s v="Houston"/>
    <s v="Spanish"/>
    <n v="342"/>
    <n v="8441"/>
    <n v="2"/>
    <s v="Fashionistas"/>
    <x v="285"/>
  </r>
  <r>
    <s v="DataTech Solutions"/>
    <x v="0"/>
    <s v="Men 25-34"/>
    <s v="60 days"/>
    <x v="1"/>
    <n v="0.12"/>
    <n v="11738"/>
    <n v="2.57"/>
    <n v="59"/>
    <n v="198.94915254237287"/>
    <s v="Houston"/>
    <s v="English"/>
    <n v="495"/>
    <n v="8759"/>
    <n v="7"/>
    <s v="Fashionistas"/>
    <x v="286"/>
  </r>
  <r>
    <s v="TechCorp"/>
    <x v="2"/>
    <s v="Men 18-24"/>
    <s v="60 days"/>
    <x v="4"/>
    <n v="0.03"/>
    <n v="14418"/>
    <n v="3.64"/>
    <n v="7"/>
    <n v="2059.7142857142858"/>
    <s v="New York"/>
    <s v="Mandarin"/>
    <n v="234"/>
    <n v="5821"/>
    <n v="2"/>
    <s v="Fashionistas"/>
    <x v="287"/>
  </r>
  <r>
    <s v="DataTech Solutions"/>
    <x v="2"/>
    <s v="Women 35-44"/>
    <s v="30 days"/>
    <x v="2"/>
    <n v="0.06"/>
    <n v="17788"/>
    <n v="2.52"/>
    <n v="44"/>
    <n v="404.27272727272725"/>
    <s v="Houston"/>
    <s v="Mandarin"/>
    <n v="729"/>
    <n v="4936"/>
    <n v="7"/>
    <s v="Tech Enthusiasts"/>
    <x v="288"/>
  </r>
  <r>
    <s v="Alpha Innovations"/>
    <x v="1"/>
    <s v="Women 25-34"/>
    <s v="45 days"/>
    <x v="0"/>
    <n v="7.0000000000000007E-2"/>
    <n v="19334"/>
    <n v="7.01"/>
    <n v="34"/>
    <n v="568.64705882352939"/>
    <s v="Miami"/>
    <s v="French"/>
    <n v="487"/>
    <n v="6873"/>
    <n v="1"/>
    <s v="Outdoor Adventurers"/>
    <x v="289"/>
  </r>
  <r>
    <s v="Alpha Innovations"/>
    <x v="2"/>
    <s v="Women 35-44"/>
    <s v="15 days"/>
    <x v="4"/>
    <n v="0.04"/>
    <n v="14685"/>
    <n v="6.88"/>
    <n v="13"/>
    <n v="1129.6153846153845"/>
    <s v="Miami"/>
    <s v="Mandarin"/>
    <n v="327"/>
    <n v="6024"/>
    <n v="10"/>
    <s v="Foodies"/>
    <x v="290"/>
  </r>
  <r>
    <s v="NexGen Systems"/>
    <x v="4"/>
    <s v="All Ages"/>
    <s v="15 days"/>
    <x v="4"/>
    <n v="0.13"/>
    <n v="16040"/>
    <n v="6.74"/>
    <n v="109"/>
    <n v="147.1559633027523"/>
    <s v="Los Angeles"/>
    <s v="Spanish"/>
    <n v="837"/>
    <n v="7996"/>
    <n v="9"/>
    <s v="Tech Enthusiasts"/>
    <x v="291"/>
  </r>
  <r>
    <s v="Alpha Innovations"/>
    <x v="3"/>
    <s v="Men 25-34"/>
    <s v="45 days"/>
    <x v="5"/>
    <n v="0.1"/>
    <n v="12268"/>
    <n v="4.55"/>
    <n v="27"/>
    <n v="454.37037037037038"/>
    <s v="Chicago"/>
    <s v="English"/>
    <n v="272"/>
    <n v="1605"/>
    <n v="5"/>
    <s v="Fashionistas"/>
    <x v="292"/>
  </r>
  <r>
    <s v="Innovate Industries"/>
    <x v="4"/>
    <s v="Men 25-34"/>
    <s v="30 days"/>
    <x v="5"/>
    <n v="0.08"/>
    <n v="8309"/>
    <n v="5.88"/>
    <n v="62"/>
    <n v="134.01612903225808"/>
    <s v="Houston"/>
    <s v="German"/>
    <n v="772"/>
    <n v="4733"/>
    <n v="10"/>
    <s v="Health &amp; Wellness"/>
    <x v="293"/>
  </r>
  <r>
    <s v="NexGen Systems"/>
    <x v="1"/>
    <s v="Men 25-34"/>
    <s v="45 days"/>
    <x v="3"/>
    <n v="0.09"/>
    <n v="11797"/>
    <n v="5.71"/>
    <n v="55"/>
    <n v="214.4909090909091"/>
    <s v="Miami"/>
    <s v="German"/>
    <n v="611"/>
    <n v="7630"/>
    <n v="4"/>
    <s v="Outdoor Adventurers"/>
    <x v="294"/>
  </r>
  <r>
    <s v="Alpha Innovations"/>
    <x v="0"/>
    <s v="Men 18-24"/>
    <s v="15 days"/>
    <x v="0"/>
    <n v="0.1"/>
    <n v="7479"/>
    <n v="3.24"/>
    <n v="73"/>
    <n v="102.45205479452055"/>
    <s v="Los Angeles"/>
    <s v="Mandarin"/>
    <n v="725"/>
    <n v="2489"/>
    <n v="4"/>
    <s v="Fashionistas"/>
    <x v="295"/>
  </r>
  <r>
    <s v="Innovate Industries"/>
    <x v="3"/>
    <s v="Men 25-34"/>
    <s v="15 days"/>
    <x v="1"/>
    <n v="0.13"/>
    <n v="17003"/>
    <n v="7.58"/>
    <n v="98"/>
    <n v="173.5"/>
    <s v="New York"/>
    <s v="Spanish"/>
    <n v="755"/>
    <n v="8216"/>
    <n v="3"/>
    <s v="Health &amp; Wellness"/>
    <x v="296"/>
  </r>
  <r>
    <s v="TechCorp"/>
    <x v="2"/>
    <s v="Men 18-24"/>
    <s v="45 days"/>
    <x v="1"/>
    <n v="7.0000000000000007E-2"/>
    <n v="10731"/>
    <n v="7.32"/>
    <n v="60"/>
    <n v="178.85"/>
    <s v="Chicago"/>
    <s v="English"/>
    <n v="857"/>
    <n v="2466"/>
    <n v="10"/>
    <s v="Outdoor Adventurers"/>
    <x v="297"/>
  </r>
  <r>
    <s v="Innovate Industries"/>
    <x v="3"/>
    <s v="Women 35-44"/>
    <s v="45 days"/>
    <x v="5"/>
    <n v="0.04"/>
    <n v="9273"/>
    <n v="5.0199999999999996"/>
    <n v="36"/>
    <n v="257.58333333333331"/>
    <s v="Houston"/>
    <s v="English"/>
    <n v="911"/>
    <n v="8189"/>
    <n v="4"/>
    <s v="Foodies"/>
    <x v="298"/>
  </r>
  <r>
    <s v="Alpha Innovations"/>
    <x v="3"/>
    <s v="Men 25-34"/>
    <s v="45 days"/>
    <x v="5"/>
    <n v="7.0000000000000007E-2"/>
    <n v="15180"/>
    <n v="4.08"/>
    <n v="31"/>
    <n v="489.67741935483872"/>
    <s v="Houston"/>
    <s v="Spanish"/>
    <n v="449"/>
    <n v="8299"/>
    <n v="10"/>
    <s v="Foodies"/>
    <x v="299"/>
  </r>
  <r>
    <s v="Alpha Innovations"/>
    <x v="2"/>
    <s v="All Ages"/>
    <s v="30 days"/>
    <x v="2"/>
    <n v="0.13"/>
    <n v="7471"/>
    <n v="7.43"/>
    <n v="67"/>
    <n v="111.50746268656717"/>
    <s v="Chicago"/>
    <s v="English"/>
    <n v="517"/>
    <n v="8909"/>
    <n v="1"/>
    <s v="Health &amp; Wellness"/>
    <x v="300"/>
  </r>
  <r>
    <s v="TechCorp"/>
    <x v="1"/>
    <s v="All Ages"/>
    <s v="15 days"/>
    <x v="0"/>
    <n v="0.02"/>
    <n v="16533"/>
    <n v="3.66"/>
    <n v="9"/>
    <n v="1837"/>
    <s v="Los Angeles"/>
    <s v="Mandarin"/>
    <n v="443"/>
    <n v="8182"/>
    <n v="6"/>
    <s v="Outdoor Adventurers"/>
    <x v="301"/>
  </r>
  <r>
    <s v="DataTech Solutions"/>
    <x v="1"/>
    <s v="All Ages"/>
    <s v="15 days"/>
    <x v="0"/>
    <n v="0.06"/>
    <n v="10500"/>
    <n v="2.0299999999999998"/>
    <n v="26"/>
    <n v="403.84615384615387"/>
    <s v="Chicago"/>
    <s v="English"/>
    <n v="432"/>
    <n v="8910"/>
    <n v="5"/>
    <s v="Fashionistas"/>
    <x v="302"/>
  </r>
  <r>
    <s v="TechCorp"/>
    <x v="0"/>
    <s v="Men 25-34"/>
    <s v="45 days"/>
    <x v="3"/>
    <n v="0.13"/>
    <n v="13760"/>
    <n v="5.04"/>
    <n v="119"/>
    <n v="115.63025210084034"/>
    <s v="Los Angeles"/>
    <s v="French"/>
    <n v="914"/>
    <n v="3650"/>
    <n v="6"/>
    <s v="Fashionistas"/>
    <x v="303"/>
  </r>
  <r>
    <s v="Alpha Innovations"/>
    <x v="1"/>
    <s v="Women 35-44"/>
    <s v="30 days"/>
    <x v="4"/>
    <n v="0.02"/>
    <n v="7578"/>
    <n v="2.71"/>
    <n v="19"/>
    <n v="398.84210526315792"/>
    <s v="Los Angeles"/>
    <s v="German"/>
    <n v="952"/>
    <n v="6371"/>
    <n v="6"/>
    <s v="Outdoor Adventurers"/>
    <x v="304"/>
  </r>
  <r>
    <s v="DataTech Solutions"/>
    <x v="4"/>
    <s v="Women 25-34"/>
    <s v="45 days"/>
    <x v="4"/>
    <n v="0.13"/>
    <n v="19947"/>
    <n v="2.99"/>
    <n v="103"/>
    <n v="193.66019417475729"/>
    <s v="New York"/>
    <s v="Spanish"/>
    <n v="792"/>
    <n v="1952"/>
    <n v="10"/>
    <s v="Fashionistas"/>
    <x v="305"/>
  </r>
  <r>
    <s v="NexGen Systems"/>
    <x v="2"/>
    <s v="Men 18-24"/>
    <s v="30 days"/>
    <x v="5"/>
    <n v="0.06"/>
    <n v="15339"/>
    <n v="4.6100000000000003"/>
    <n v="60"/>
    <n v="255.65"/>
    <s v="Los Angeles"/>
    <s v="Mandarin"/>
    <n v="998"/>
    <n v="8871"/>
    <n v="4"/>
    <s v="Health &amp; Wellness"/>
    <x v="306"/>
  </r>
  <r>
    <s v="TechCorp"/>
    <x v="3"/>
    <s v="Men 18-24"/>
    <s v="45 days"/>
    <x v="2"/>
    <n v="0.13"/>
    <n v="18421"/>
    <n v="7.95"/>
    <n v="45"/>
    <n v="409.35555555555555"/>
    <s v="Los Angeles"/>
    <s v="Spanish"/>
    <n v="343"/>
    <n v="1181"/>
    <n v="4"/>
    <s v="Health &amp; Wellness"/>
    <x v="307"/>
  </r>
  <r>
    <s v="NexGen Systems"/>
    <x v="0"/>
    <s v="All Ages"/>
    <s v="60 days"/>
    <x v="4"/>
    <n v="0.11"/>
    <n v="6121"/>
    <n v="5.58"/>
    <n v="100"/>
    <n v="61.21"/>
    <s v="Chicago"/>
    <s v="Mandarin"/>
    <n v="913"/>
    <n v="6420"/>
    <n v="7"/>
    <s v="Foodies"/>
    <x v="308"/>
  </r>
  <r>
    <s v="Innovate Industries"/>
    <x v="4"/>
    <s v="Women 35-44"/>
    <s v="45 days"/>
    <x v="5"/>
    <n v="0.12"/>
    <n v="5650"/>
    <n v="5.47"/>
    <n v="60"/>
    <n v="94.166666666666671"/>
    <s v="Los Angeles"/>
    <s v="French"/>
    <n v="500"/>
    <n v="4548"/>
    <n v="8"/>
    <s v="Fashionistas"/>
    <x v="309"/>
  </r>
  <r>
    <s v="TechCorp"/>
    <x v="3"/>
    <s v="Women 25-34"/>
    <s v="45 days"/>
    <x v="4"/>
    <n v="0.04"/>
    <n v="19324"/>
    <n v="7.98"/>
    <n v="35"/>
    <n v="552.11428571428576"/>
    <s v="Houston"/>
    <s v="French"/>
    <n v="886"/>
    <n v="2683"/>
    <n v="7"/>
    <s v="Outdoor Adventurers"/>
    <x v="310"/>
  </r>
  <r>
    <s v="DataTech Solutions"/>
    <x v="1"/>
    <s v="Women 25-34"/>
    <s v="45 days"/>
    <x v="3"/>
    <n v="0.01"/>
    <n v="5402"/>
    <n v="3.93"/>
    <n v="2"/>
    <n v="2701"/>
    <s v="Houston"/>
    <s v="French"/>
    <n v="169"/>
    <n v="2894"/>
    <n v="5"/>
    <s v="Health &amp; Wellness"/>
    <x v="311"/>
  </r>
  <r>
    <s v="DataTech Solutions"/>
    <x v="2"/>
    <s v="Men 18-24"/>
    <s v="45 days"/>
    <x v="2"/>
    <n v="7.0000000000000007E-2"/>
    <n v="14266"/>
    <n v="5.45"/>
    <n v="8"/>
    <n v="1783.25"/>
    <s v="Houston"/>
    <s v="Spanish"/>
    <n v="115"/>
    <n v="3055"/>
    <n v="4"/>
    <s v="Foodies"/>
    <x v="312"/>
  </r>
  <r>
    <s v="TechCorp"/>
    <x v="2"/>
    <s v="Women 25-34"/>
    <s v="60 days"/>
    <x v="2"/>
    <n v="0.06"/>
    <n v="11083"/>
    <n v="6.26"/>
    <n v="42"/>
    <n v="263.88095238095241"/>
    <s v="Los Angeles"/>
    <s v="German"/>
    <n v="708"/>
    <n v="6009"/>
    <n v="1"/>
    <s v="Fashionistas"/>
    <x v="313"/>
  </r>
  <r>
    <s v="Alpha Innovations"/>
    <x v="1"/>
    <s v="Men 25-34"/>
    <s v="60 days"/>
    <x v="3"/>
    <n v="0.11"/>
    <n v="9871"/>
    <n v="5.16"/>
    <n v="81"/>
    <n v="121.8641975308642"/>
    <s v="Chicago"/>
    <s v="French"/>
    <n v="738"/>
    <n v="1895"/>
    <n v="8"/>
    <s v="Foodies"/>
    <x v="314"/>
  </r>
  <r>
    <s v="DataTech Solutions"/>
    <x v="1"/>
    <s v="Women 35-44"/>
    <s v="30 days"/>
    <x v="0"/>
    <n v="0.13"/>
    <n v="5661"/>
    <n v="3.42"/>
    <n v="119"/>
    <n v="47.571428571428569"/>
    <s v="Los Angeles"/>
    <s v="Mandarin"/>
    <n v="913"/>
    <n v="6158"/>
    <n v="1"/>
    <s v="Foodies"/>
    <x v="315"/>
  </r>
  <r>
    <s v="DataTech Solutions"/>
    <x v="4"/>
    <s v="Men 25-34"/>
    <s v="60 days"/>
    <x v="0"/>
    <n v="0.03"/>
    <n v="6384"/>
    <n v="5.66"/>
    <n v="18"/>
    <n v="354.66666666666669"/>
    <s v="New York"/>
    <s v="French"/>
    <n v="605"/>
    <n v="3563"/>
    <n v="6"/>
    <s v="Fashionistas"/>
    <x v="316"/>
  </r>
  <r>
    <s v="Alpha Innovations"/>
    <x v="2"/>
    <s v="Women 25-34"/>
    <s v="15 days"/>
    <x v="3"/>
    <n v="0.13"/>
    <n v="17513"/>
    <n v="7.32"/>
    <n v="125"/>
    <n v="140.10400000000001"/>
    <s v="Los Angeles"/>
    <s v="German"/>
    <n v="958"/>
    <n v="5905"/>
    <n v="1"/>
    <s v="Outdoor Adventurers"/>
    <x v="317"/>
  </r>
  <r>
    <s v="DataTech Solutions"/>
    <x v="2"/>
    <s v="All Ages"/>
    <s v="60 days"/>
    <x v="0"/>
    <n v="0.08"/>
    <n v="14596"/>
    <n v="2.0499999999999998"/>
    <n v="51"/>
    <n v="286.19607843137254"/>
    <s v="Houston"/>
    <s v="English"/>
    <n v="637"/>
    <n v="4212"/>
    <n v="9"/>
    <s v="Fashionistas"/>
    <x v="318"/>
  </r>
  <r>
    <s v="NexGen Systems"/>
    <x v="4"/>
    <s v="Women 25-34"/>
    <s v="60 days"/>
    <x v="5"/>
    <n v="0.14000000000000001"/>
    <n v="16057"/>
    <n v="6.59"/>
    <n v="47"/>
    <n v="341.63829787234044"/>
    <s v="Houston"/>
    <s v="German"/>
    <n v="338"/>
    <n v="5101"/>
    <n v="5"/>
    <s v="Fashionistas"/>
    <x v="319"/>
  </r>
  <r>
    <s v="TechCorp"/>
    <x v="3"/>
    <s v="All Ages"/>
    <s v="60 days"/>
    <x v="0"/>
    <n v="0.06"/>
    <n v="16052"/>
    <n v="4.28"/>
    <n v="50"/>
    <n v="321.04000000000002"/>
    <s v="Houston"/>
    <s v="Mandarin"/>
    <n v="832"/>
    <n v="6482"/>
    <n v="3"/>
    <s v="Foodies"/>
    <x v="320"/>
  </r>
  <r>
    <s v="Innovate Industries"/>
    <x v="2"/>
    <s v="Men 25-34"/>
    <s v="60 days"/>
    <x v="4"/>
    <n v="0.05"/>
    <n v="6649"/>
    <n v="3.08"/>
    <n v="39"/>
    <n v="170.48717948717947"/>
    <s v="Los Angeles"/>
    <s v="German"/>
    <n v="771"/>
    <n v="1937"/>
    <n v="1"/>
    <s v="Foodies"/>
    <x v="321"/>
  </r>
  <r>
    <s v="Innovate Industries"/>
    <x v="4"/>
    <s v="All Ages"/>
    <s v="60 days"/>
    <x v="1"/>
    <n v="0.06"/>
    <n v="16334"/>
    <n v="2.84"/>
    <n v="39"/>
    <n v="418.82051282051282"/>
    <s v="Chicago"/>
    <s v="French"/>
    <n v="653"/>
    <n v="4183"/>
    <n v="8"/>
    <s v="Fashionistas"/>
    <x v="322"/>
  </r>
  <r>
    <s v="NexGen Systems"/>
    <x v="4"/>
    <s v="Women 25-34"/>
    <s v="60 days"/>
    <x v="3"/>
    <n v="0.13"/>
    <n v="12462"/>
    <n v="6.2"/>
    <n v="128"/>
    <n v="97.359375"/>
    <s v="Los Angeles"/>
    <s v="French"/>
    <n v="987"/>
    <n v="8465"/>
    <n v="2"/>
    <s v="Fashionistas"/>
    <x v="323"/>
  </r>
  <r>
    <s v="Alpha Innovations"/>
    <x v="0"/>
    <s v="Men 25-34"/>
    <s v="30 days"/>
    <x v="3"/>
    <n v="0.08"/>
    <n v="13326"/>
    <n v="3.45"/>
    <n v="60"/>
    <n v="222.1"/>
    <s v="Miami"/>
    <s v="German"/>
    <n v="756"/>
    <n v="9149"/>
    <n v="5"/>
    <s v="Outdoor Adventurers"/>
    <x v="324"/>
  </r>
  <r>
    <s v="Innovate Industries"/>
    <x v="2"/>
    <s v="Men 25-34"/>
    <s v="15 days"/>
    <x v="2"/>
    <n v="0.12"/>
    <n v="8902"/>
    <n v="7.37"/>
    <n v="33"/>
    <n v="269.75757575757575"/>
    <s v="Miami"/>
    <s v="French"/>
    <n v="273"/>
    <n v="3784"/>
    <n v="9"/>
    <s v="Tech Enthusiasts"/>
    <x v="325"/>
  </r>
  <r>
    <s v="Alpha Innovations"/>
    <x v="4"/>
    <s v="All Ages"/>
    <s v="45 days"/>
    <x v="2"/>
    <n v="0.03"/>
    <n v="9125"/>
    <n v="4.68"/>
    <n v="17"/>
    <n v="536.76470588235293"/>
    <s v="Miami"/>
    <s v="Spanish"/>
    <n v="558"/>
    <n v="5336"/>
    <n v="1"/>
    <s v="Health &amp; Wellness"/>
    <x v="326"/>
  </r>
  <r>
    <s v="Alpha Innovations"/>
    <x v="3"/>
    <s v="Women 35-44"/>
    <s v="30 days"/>
    <x v="1"/>
    <n v="0.15"/>
    <n v="11408"/>
    <n v="2.74"/>
    <n v="26"/>
    <n v="438.76923076923077"/>
    <s v="Houston"/>
    <s v="Mandarin"/>
    <n v="170"/>
    <n v="7670"/>
    <n v="3"/>
    <s v="Foodies"/>
    <x v="327"/>
  </r>
  <r>
    <s v="Innovate Industries"/>
    <x v="3"/>
    <s v="Men 25-34"/>
    <s v="30 days"/>
    <x v="0"/>
    <n v="0.14000000000000001"/>
    <n v="5199"/>
    <n v="7"/>
    <n v="101"/>
    <n v="51.475247524752476"/>
    <s v="Miami"/>
    <s v="Mandarin"/>
    <n v="719"/>
    <n v="3907"/>
    <n v="6"/>
    <s v="Fashionistas"/>
    <x v="328"/>
  </r>
  <r>
    <s v="Innovate Industries"/>
    <x v="0"/>
    <s v="Men 25-34"/>
    <s v="30 days"/>
    <x v="4"/>
    <n v="7.0000000000000007E-2"/>
    <n v="18797"/>
    <n v="4.2300000000000004"/>
    <n v="23"/>
    <n v="817.26086956521738"/>
    <s v="Miami"/>
    <s v="French"/>
    <n v="326"/>
    <n v="7544"/>
    <n v="2"/>
    <s v="Health &amp; Wellness"/>
    <x v="329"/>
  </r>
  <r>
    <s v="TechCorp"/>
    <x v="0"/>
    <s v="Men 25-34"/>
    <s v="15 days"/>
    <x v="4"/>
    <n v="0.06"/>
    <n v="16926"/>
    <n v="3.6"/>
    <n v="20"/>
    <n v="846.3"/>
    <s v="New York"/>
    <s v="Spanish"/>
    <n v="340"/>
    <n v="8754"/>
    <n v="3"/>
    <s v="Fashionistas"/>
    <x v="330"/>
  </r>
  <r>
    <s v="Innovate Industries"/>
    <x v="1"/>
    <s v="Women 25-34"/>
    <s v="45 days"/>
    <x v="5"/>
    <n v="0.03"/>
    <n v="14649"/>
    <n v="7.68"/>
    <n v="24"/>
    <n v="610.375"/>
    <s v="New York"/>
    <s v="Mandarin"/>
    <n v="814"/>
    <n v="6084"/>
    <n v="8"/>
    <s v="Tech Enthusiasts"/>
    <x v="331"/>
  </r>
  <r>
    <s v="NexGen Systems"/>
    <x v="2"/>
    <s v="Men 18-24"/>
    <s v="60 days"/>
    <x v="3"/>
    <n v="0.14000000000000001"/>
    <n v="18902"/>
    <n v="5.0599999999999996"/>
    <n v="129"/>
    <n v="146.52713178294573"/>
    <s v="Houston"/>
    <s v="English"/>
    <n v="921"/>
    <n v="7989"/>
    <n v="8"/>
    <s v="Fashionistas"/>
    <x v="332"/>
  </r>
  <r>
    <s v="TechCorp"/>
    <x v="1"/>
    <s v="Men 18-24"/>
    <s v="60 days"/>
    <x v="1"/>
    <n v="7.0000000000000007E-2"/>
    <n v="5751"/>
    <n v="2.84"/>
    <n v="33"/>
    <n v="174.27272727272728"/>
    <s v="New York"/>
    <s v="Spanish"/>
    <n v="468"/>
    <n v="3069"/>
    <n v="3"/>
    <s v="Foodies"/>
    <x v="333"/>
  </r>
  <r>
    <s v="Innovate Industries"/>
    <x v="1"/>
    <s v="Men 18-24"/>
    <s v="60 days"/>
    <x v="1"/>
    <n v="0.05"/>
    <n v="18325"/>
    <n v="6.35"/>
    <n v="30"/>
    <n v="610.83333333333337"/>
    <s v="Chicago"/>
    <s v="Mandarin"/>
    <n v="596"/>
    <n v="1902"/>
    <n v="8"/>
    <s v="Outdoor Adventurers"/>
    <x v="334"/>
  </r>
  <r>
    <s v="TechCorp"/>
    <x v="2"/>
    <s v="Women 35-44"/>
    <s v="30 days"/>
    <x v="3"/>
    <n v="0.14000000000000001"/>
    <n v="5475"/>
    <n v="7.69"/>
    <n v="26"/>
    <n v="210.57692307692307"/>
    <s v="Houston"/>
    <s v="English"/>
    <n v="188"/>
    <n v="8909"/>
    <n v="3"/>
    <s v="Health &amp; Wellness"/>
    <x v="335"/>
  </r>
  <r>
    <s v="Innovate Industries"/>
    <x v="2"/>
    <s v="Men 25-34"/>
    <s v="30 days"/>
    <x v="4"/>
    <n v="0.08"/>
    <n v="19191"/>
    <n v="3.63"/>
    <n v="34"/>
    <n v="564.44117647058829"/>
    <s v="Chicago"/>
    <s v="Spanish"/>
    <n v="431"/>
    <n v="1465"/>
    <n v="3"/>
    <s v="Outdoor Adventurers"/>
    <x v="336"/>
  </r>
  <r>
    <s v="NexGen Systems"/>
    <x v="4"/>
    <s v="All Ages"/>
    <s v="45 days"/>
    <x v="1"/>
    <n v="0.09"/>
    <n v="7993"/>
    <n v="5.03"/>
    <n v="14"/>
    <n v="570.92857142857144"/>
    <s v="Chicago"/>
    <s v="Spanish"/>
    <n v="155"/>
    <n v="6114"/>
    <n v="4"/>
    <s v="Outdoor Adventurers"/>
    <x v="337"/>
  </r>
  <r>
    <s v="Innovate Industries"/>
    <x v="4"/>
    <s v="All Ages"/>
    <s v="45 days"/>
    <x v="2"/>
    <n v="7.0000000000000007E-2"/>
    <n v="8980"/>
    <n v="6.94"/>
    <n v="68"/>
    <n v="132.05882352941177"/>
    <s v="Los Angeles"/>
    <s v="French"/>
    <n v="965"/>
    <n v="4505"/>
    <n v="7"/>
    <s v="Outdoor Adventurers"/>
    <x v="338"/>
  </r>
  <r>
    <s v="Alpha Innovations"/>
    <x v="0"/>
    <s v="Women 35-44"/>
    <s v="60 days"/>
    <x v="5"/>
    <n v="0.14000000000000001"/>
    <n v="15534"/>
    <n v="3.85"/>
    <n v="57"/>
    <n v="272.5263157894737"/>
    <s v="Miami"/>
    <s v="English"/>
    <n v="405"/>
    <n v="8649"/>
    <n v="2"/>
    <s v="Tech Enthusiasts"/>
    <x v="339"/>
  </r>
  <r>
    <s v="DataTech Solutions"/>
    <x v="4"/>
    <s v="Men 25-34"/>
    <s v="60 days"/>
    <x v="3"/>
    <n v="0.11"/>
    <n v="7980"/>
    <n v="7.49"/>
    <n v="83"/>
    <n v="96.144578313253007"/>
    <s v="Miami"/>
    <s v="English"/>
    <n v="754"/>
    <n v="5957"/>
    <n v="1"/>
    <s v="Health &amp; Wellness"/>
    <x v="340"/>
  </r>
  <r>
    <s v="Innovate Industries"/>
    <x v="1"/>
    <s v="Men 18-24"/>
    <s v="60 days"/>
    <x v="1"/>
    <n v="0.08"/>
    <n v="5161"/>
    <n v="7.17"/>
    <n v="63"/>
    <n v="81.920634920634924"/>
    <s v="Houston"/>
    <s v="Mandarin"/>
    <n v="786"/>
    <n v="1961"/>
    <n v="5"/>
    <s v="Health &amp; Wellness"/>
    <x v="341"/>
  </r>
  <r>
    <s v="DataTech Solutions"/>
    <x v="0"/>
    <s v="Women 35-44"/>
    <s v="60 days"/>
    <x v="2"/>
    <n v="0.11"/>
    <n v="16999"/>
    <n v="6"/>
    <n v="38"/>
    <n v="447.34210526315792"/>
    <s v="Miami"/>
    <s v="French"/>
    <n v="346"/>
    <n v="3558"/>
    <n v="5"/>
    <s v="Foodies"/>
    <x v="342"/>
  </r>
  <r>
    <s v="Innovate Industries"/>
    <x v="2"/>
    <s v="Men 18-24"/>
    <s v="60 days"/>
    <x v="2"/>
    <n v="0.02"/>
    <n v="8684"/>
    <n v="3.29"/>
    <n v="11"/>
    <n v="789.4545454545455"/>
    <s v="New York"/>
    <s v="English"/>
    <n v="536"/>
    <n v="5612"/>
    <n v="7"/>
    <s v="Health &amp; Wellness"/>
    <x v="343"/>
  </r>
  <r>
    <s v="TechCorp"/>
    <x v="2"/>
    <s v="All Ages"/>
    <s v="60 days"/>
    <x v="2"/>
    <n v="0.14000000000000001"/>
    <n v="6548"/>
    <n v="5.41"/>
    <n v="82"/>
    <n v="79.853658536585371"/>
    <s v="New York"/>
    <s v="Spanish"/>
    <n v="583"/>
    <n v="1081"/>
    <n v="1"/>
    <s v="Health &amp; Wellness"/>
    <x v="344"/>
  </r>
  <r>
    <s v="NexGen Systems"/>
    <x v="0"/>
    <s v="Men 25-34"/>
    <s v="60 days"/>
    <x v="3"/>
    <n v="0.08"/>
    <n v="19584"/>
    <n v="5.86"/>
    <n v="72"/>
    <n v="272"/>
    <s v="New York"/>
    <s v="English"/>
    <n v="895"/>
    <n v="2941"/>
    <n v="9"/>
    <s v="Outdoor Adventurers"/>
    <x v="345"/>
  </r>
  <r>
    <s v="TechCorp"/>
    <x v="1"/>
    <s v="Women 35-44"/>
    <s v="30 days"/>
    <x v="1"/>
    <n v="0.02"/>
    <n v="8779"/>
    <n v="2.68"/>
    <n v="4"/>
    <n v="2194.75"/>
    <s v="Los Angeles"/>
    <s v="German"/>
    <n v="202"/>
    <n v="6358"/>
    <n v="2"/>
    <s v="Outdoor Adventurers"/>
    <x v="346"/>
  </r>
  <r>
    <s v="DataTech Solutions"/>
    <x v="1"/>
    <s v="Men 18-24"/>
    <s v="30 days"/>
    <x v="2"/>
    <n v="7.0000000000000007E-2"/>
    <n v="19568"/>
    <n v="7.09"/>
    <n v="10"/>
    <n v="1956.8"/>
    <s v="Miami"/>
    <s v="Mandarin"/>
    <n v="140"/>
    <n v="4789"/>
    <n v="5"/>
    <s v="Foodies"/>
    <x v="347"/>
  </r>
  <r>
    <s v="TechCorp"/>
    <x v="0"/>
    <s v="Men 18-24"/>
    <s v="60 days"/>
    <x v="0"/>
    <n v="0.15"/>
    <n v="13953"/>
    <n v="7.49"/>
    <n v="147"/>
    <n v="94.91836734693878"/>
    <s v="Chicago"/>
    <s v="Mandarin"/>
    <n v="981"/>
    <n v="7707"/>
    <n v="3"/>
    <s v="Foodies"/>
    <x v="348"/>
  </r>
  <r>
    <s v="Alpha Innovations"/>
    <x v="3"/>
    <s v="Men 18-24"/>
    <s v="60 days"/>
    <x v="0"/>
    <n v="0.06"/>
    <n v="5852"/>
    <n v="6.99"/>
    <n v="8"/>
    <n v="731.5"/>
    <s v="Miami"/>
    <s v="Mandarin"/>
    <n v="130"/>
    <n v="4084"/>
    <n v="3"/>
    <s v="Foodies"/>
    <x v="349"/>
  </r>
  <r>
    <s v="TechCorp"/>
    <x v="1"/>
    <s v="Women 35-44"/>
    <s v="60 days"/>
    <x v="3"/>
    <n v="0.05"/>
    <n v="19102"/>
    <n v="2.25"/>
    <n v="32"/>
    <n v="596.9375"/>
    <s v="Miami"/>
    <s v="Mandarin"/>
    <n v="644"/>
    <n v="6303"/>
    <n v="7"/>
    <s v="Health &amp; Wellness"/>
    <x v="350"/>
  </r>
  <r>
    <s v="Alpha Innovations"/>
    <x v="4"/>
    <s v="Women 25-34"/>
    <s v="15 days"/>
    <x v="1"/>
    <n v="0.01"/>
    <n v="13496"/>
    <n v="4.16"/>
    <n v="3"/>
    <n v="4498.666666666667"/>
    <s v="Los Angeles"/>
    <s v="English"/>
    <n v="323"/>
    <n v="9354"/>
    <n v="5"/>
    <s v="Fashionistas"/>
    <x v="351"/>
  </r>
  <r>
    <s v="NexGen Systems"/>
    <x v="2"/>
    <s v="Women 35-44"/>
    <s v="30 days"/>
    <x v="0"/>
    <n v="0.09"/>
    <n v="19387"/>
    <n v="7.31"/>
    <n v="87"/>
    <n v="222.83908045977012"/>
    <s v="Houston"/>
    <s v="Mandarin"/>
    <n v="962"/>
    <n v="5420"/>
    <n v="8"/>
    <s v="Health &amp; Wellness"/>
    <x v="352"/>
  </r>
  <r>
    <s v="Innovate Industries"/>
    <x v="3"/>
    <s v="Women 35-44"/>
    <s v="30 days"/>
    <x v="4"/>
    <n v="0.03"/>
    <n v="16204"/>
    <n v="2.29"/>
    <n v="16"/>
    <n v="1012.75"/>
    <s v="Miami"/>
    <s v="Mandarin"/>
    <n v="531"/>
    <n v="7986"/>
    <n v="10"/>
    <s v="Foodies"/>
    <x v="353"/>
  </r>
  <r>
    <s v="Alpha Innovations"/>
    <x v="3"/>
    <s v="Men 18-24"/>
    <s v="60 days"/>
    <x v="2"/>
    <n v="0.09"/>
    <n v="7916"/>
    <n v="7.26"/>
    <n v="41"/>
    <n v="193.07317073170731"/>
    <s v="Houston"/>
    <s v="German"/>
    <n v="458"/>
    <n v="5532"/>
    <n v="5"/>
    <s v="Foodies"/>
    <x v="354"/>
  </r>
  <r>
    <s v="Alpha Innovations"/>
    <x v="3"/>
    <s v="Women 35-44"/>
    <s v="30 days"/>
    <x v="4"/>
    <n v="0.13"/>
    <n v="16357"/>
    <n v="5.83"/>
    <n v="65"/>
    <n v="251.64615384615385"/>
    <s v="Miami"/>
    <s v="Spanish"/>
    <n v="497"/>
    <n v="3236"/>
    <n v="7"/>
    <s v="Tech Enthusiasts"/>
    <x v="355"/>
  </r>
  <r>
    <s v="DataTech Solutions"/>
    <x v="0"/>
    <s v="Women 35-44"/>
    <s v="30 days"/>
    <x v="1"/>
    <n v="0.05"/>
    <n v="14641"/>
    <n v="6.17"/>
    <n v="41"/>
    <n v="357.09756097560978"/>
    <s v="Los Angeles"/>
    <s v="Spanish"/>
    <n v="826"/>
    <n v="6562"/>
    <n v="5"/>
    <s v="Health &amp; Wellness"/>
    <x v="356"/>
  </r>
  <r>
    <s v="NexGen Systems"/>
    <x v="1"/>
    <s v="Men 18-24"/>
    <s v="30 days"/>
    <x v="1"/>
    <n v="7.0000000000000007E-2"/>
    <n v="19269"/>
    <n v="5.64"/>
    <n v="42"/>
    <n v="458.78571428571428"/>
    <s v="New York"/>
    <s v="English"/>
    <n v="606"/>
    <n v="3427"/>
    <n v="1"/>
    <s v="Fashionistas"/>
    <x v="357"/>
  </r>
  <r>
    <s v="TechCorp"/>
    <x v="1"/>
    <s v="Men 18-24"/>
    <s v="30 days"/>
    <x v="5"/>
    <n v="0.02"/>
    <n v="6072"/>
    <n v="6.56"/>
    <n v="13"/>
    <n v="467.07692307692309"/>
    <s v="Chicago"/>
    <s v="Mandarin"/>
    <n v="637"/>
    <n v="6409"/>
    <n v="10"/>
    <s v="Outdoor Adventurers"/>
    <x v="358"/>
  </r>
  <r>
    <s v="DataTech Solutions"/>
    <x v="3"/>
    <s v="Men 18-24"/>
    <s v="45 days"/>
    <x v="3"/>
    <n v="0.06"/>
    <n v="17093"/>
    <n v="5.93"/>
    <n v="45"/>
    <n v="379.84444444444443"/>
    <s v="Chicago"/>
    <s v="English"/>
    <n v="748"/>
    <n v="5909"/>
    <n v="6"/>
    <s v="Outdoor Adventurers"/>
    <x v="359"/>
  </r>
  <r>
    <s v="Alpha Innovations"/>
    <x v="4"/>
    <s v="Men 18-24"/>
    <s v="60 days"/>
    <x v="1"/>
    <n v="0.04"/>
    <n v="9762"/>
    <n v="7.48"/>
    <n v="28"/>
    <n v="348.64285714285717"/>
    <s v="Chicago"/>
    <s v="Mandarin"/>
    <n v="691"/>
    <n v="9981"/>
    <n v="10"/>
    <s v="Foodies"/>
    <x v="360"/>
  </r>
  <r>
    <s v="NexGen Systems"/>
    <x v="0"/>
    <s v="All Ages"/>
    <s v="30 days"/>
    <x v="3"/>
    <n v="0.01"/>
    <n v="11964"/>
    <n v="3.32"/>
    <n v="5"/>
    <n v="2392.8000000000002"/>
    <s v="Houston"/>
    <s v="Mandarin"/>
    <n v="469"/>
    <n v="3793"/>
    <n v="9"/>
    <s v="Health &amp; Wellness"/>
    <x v="361"/>
  </r>
  <r>
    <s v="TechCorp"/>
    <x v="4"/>
    <s v="Men 18-24"/>
    <s v="60 days"/>
    <x v="2"/>
    <n v="0.08"/>
    <n v="18902"/>
    <n v="6.58"/>
    <n v="16"/>
    <n v="1181.375"/>
    <s v="New York"/>
    <s v="Mandarin"/>
    <n v="204"/>
    <n v="3753"/>
    <n v="1"/>
    <s v="Foodies"/>
    <x v="362"/>
  </r>
  <r>
    <s v="Alpha Innovations"/>
    <x v="0"/>
    <s v="Men 25-34"/>
    <s v="15 days"/>
    <x v="2"/>
    <n v="0.14000000000000001"/>
    <n v="13681"/>
    <n v="2.02"/>
    <n v="64"/>
    <n v="213.765625"/>
    <s v="Houston"/>
    <s v="Mandarin"/>
    <n v="460"/>
    <n v="1936"/>
    <n v="10"/>
    <s v="Fashionistas"/>
    <x v="363"/>
  </r>
  <r>
    <s v="NexGen Systems"/>
    <x v="0"/>
    <s v="Women 35-44"/>
    <s v="30 days"/>
    <x v="3"/>
    <n v="7.0000000000000007E-2"/>
    <n v="9320"/>
    <n v="2.5499999999999998"/>
    <n v="67"/>
    <n v="139.1044776119403"/>
    <s v="Miami"/>
    <s v="French"/>
    <n v="951"/>
    <n v="3500"/>
    <n v="5"/>
    <s v="Tech Enthusiasts"/>
    <x v="364"/>
  </r>
  <r>
    <s v="NexGen Systems"/>
    <x v="3"/>
    <s v="Men 25-34"/>
    <s v="45 days"/>
    <x v="5"/>
    <n v="0.02"/>
    <n v="16024"/>
    <n v="2.95"/>
    <n v="19"/>
    <n v="843.36842105263156"/>
    <s v="Chicago"/>
    <s v="Mandarin"/>
    <n v="929"/>
    <n v="5720"/>
    <n v="3"/>
    <s v="Foodies"/>
    <x v="0"/>
  </r>
  <r>
    <s v="Innovate Industries"/>
    <x v="2"/>
    <s v="Women 25-34"/>
    <s v="15 days"/>
    <x v="3"/>
    <n v="0.11"/>
    <n v="15793"/>
    <n v="5.84"/>
    <n v="75"/>
    <n v="210.57333333333332"/>
    <s v="New York"/>
    <s v="Mandarin"/>
    <n v="681"/>
    <n v="1586"/>
    <n v="3"/>
    <s v="Fashionistas"/>
    <x v="1"/>
  </r>
  <r>
    <s v="DataTech Solutions"/>
    <x v="3"/>
    <s v="Women 35-44"/>
    <s v="60 days"/>
    <x v="0"/>
    <n v="0.03"/>
    <n v="7867"/>
    <n v="5.67"/>
    <n v="10"/>
    <n v="786.7"/>
    <s v="Los Angeles"/>
    <s v="Spanish"/>
    <n v="344"/>
    <n v="4687"/>
    <n v="3"/>
    <s v="Outdoor Adventurers"/>
    <x v="2"/>
  </r>
  <r>
    <s v="NexGen Systems"/>
    <x v="2"/>
    <s v="Men 25-34"/>
    <s v="30 days"/>
    <x v="1"/>
    <n v="0.05"/>
    <n v="16413"/>
    <n v="6.12"/>
    <n v="22"/>
    <n v="746.0454545454545"/>
    <s v="Los Angeles"/>
    <s v="German"/>
    <n v="433"/>
    <n v="1151"/>
    <n v="7"/>
    <s v="Foodies"/>
    <x v="3"/>
  </r>
  <r>
    <s v="TechCorp"/>
    <x v="4"/>
    <s v="Men 18-24"/>
    <s v="15 days"/>
    <x v="3"/>
    <n v="7.0000000000000007E-2"/>
    <n v="16805"/>
    <n v="5.29"/>
    <n v="68"/>
    <n v="247.13235294117646"/>
    <s v="New York"/>
    <s v="Mandarin"/>
    <n v="965"/>
    <n v="6252"/>
    <n v="3"/>
    <s v="Foodies"/>
    <x v="4"/>
  </r>
  <r>
    <s v="Innovate Industries"/>
    <x v="1"/>
    <s v="All Ages"/>
    <s v="45 days"/>
    <x v="3"/>
    <n v="0.14000000000000001"/>
    <n v="18698"/>
    <n v="7.99"/>
    <n v="139"/>
    <n v="134.5179856115108"/>
    <s v="Los Angeles"/>
    <s v="Mandarin"/>
    <n v="994"/>
    <n v="8016"/>
    <n v="4"/>
    <s v="Foodies"/>
    <x v="5"/>
  </r>
  <r>
    <s v="Alpha Innovations"/>
    <x v="3"/>
    <s v="Men 25-34"/>
    <s v="60 days"/>
    <x v="3"/>
    <n v="0.05"/>
    <n v="19242"/>
    <n v="3.42"/>
    <n v="36"/>
    <n v="534.5"/>
    <s v="Chicago"/>
    <s v="Spanish"/>
    <n v="721"/>
    <n v="3441"/>
    <n v="4"/>
    <s v="Tech Enthusiasts"/>
    <x v="6"/>
  </r>
  <r>
    <s v="NexGen Systems"/>
    <x v="3"/>
    <s v="All Ages"/>
    <s v="60 days"/>
    <x v="4"/>
    <n v="0.11"/>
    <n v="8254"/>
    <n v="3.66"/>
    <n v="46"/>
    <n v="179.43478260869566"/>
    <s v="Chicago"/>
    <s v="German"/>
    <n v="414"/>
    <n v="1726"/>
    <n v="2"/>
    <s v="Outdoor Adventurers"/>
    <x v="7"/>
  </r>
  <r>
    <s v="DataTech Solutions"/>
    <x v="3"/>
    <s v="Men 25-34"/>
    <s v="60 days"/>
    <x v="1"/>
    <n v="0.02"/>
    <n v="16525"/>
    <n v="4.9800000000000004"/>
    <n v="2"/>
    <n v="8262.5"/>
    <s v="New York"/>
    <s v="Mandarin"/>
    <n v="107"/>
    <n v="3068"/>
    <n v="10"/>
    <s v="Health &amp; Wellness"/>
    <x v="8"/>
  </r>
  <r>
    <s v="Alpha Innovations"/>
    <x v="4"/>
    <s v="Men 25-34"/>
    <s v="15 days"/>
    <x v="5"/>
    <n v="0.1"/>
    <n v="17111"/>
    <n v="6.79"/>
    <n v="45"/>
    <n v="380.24444444444447"/>
    <s v="Chicago"/>
    <s v="English"/>
    <n v="445"/>
    <n v="6826"/>
    <n v="7"/>
    <s v="Tech Enthusiasts"/>
    <x v="9"/>
  </r>
  <r>
    <s v="TechCorp"/>
    <x v="0"/>
    <s v="Women 35-44"/>
    <s v="45 days"/>
    <x v="3"/>
    <n v="0.05"/>
    <n v="14379"/>
    <n v="2.46"/>
    <n v="43"/>
    <n v="334.39534883720933"/>
    <s v="New York"/>
    <s v="Mandarin"/>
    <n v="865"/>
    <n v="5147"/>
    <n v="1"/>
    <s v="Outdoor Adventurers"/>
    <x v="10"/>
  </r>
  <r>
    <s v="Alpha Innovations"/>
    <x v="2"/>
    <s v="Women 25-34"/>
    <s v="15 days"/>
    <x v="1"/>
    <n v="0.13"/>
    <n v="19873"/>
    <n v="6.12"/>
    <n v="110"/>
    <n v="180.66363636363636"/>
    <s v="New York"/>
    <s v="Spanish"/>
    <n v="846"/>
    <n v="7513"/>
    <n v="1"/>
    <s v="Tech Enthusiasts"/>
    <x v="11"/>
  </r>
  <r>
    <s v="Alpha Innovations"/>
    <x v="4"/>
    <s v="Men 25-34"/>
    <s v="30 days"/>
    <x v="1"/>
    <n v="0.1"/>
    <n v="12913"/>
    <n v="3.41"/>
    <n v="20"/>
    <n v="645.65"/>
    <s v="Miami"/>
    <s v="English"/>
    <n v="196"/>
    <n v="3515"/>
    <n v="6"/>
    <s v="Tech Enthusiasts"/>
    <x v="12"/>
  </r>
  <r>
    <s v="Alpha Innovations"/>
    <x v="0"/>
    <s v="Women 35-44"/>
    <s v="15 days"/>
    <x v="2"/>
    <n v="0.01"/>
    <n v="7847"/>
    <n v="3.62"/>
    <n v="5"/>
    <n v="1569.4"/>
    <s v="Los Angeles"/>
    <s v="French"/>
    <n v="470"/>
    <n v="1494"/>
    <n v="4"/>
    <s v="Fashionistas"/>
    <x v="13"/>
  </r>
  <r>
    <s v="Alpha Innovations"/>
    <x v="0"/>
    <s v="Women 35-44"/>
    <s v="60 days"/>
    <x v="3"/>
    <n v="0.13"/>
    <n v="5815"/>
    <n v="6.66"/>
    <n v="57"/>
    <n v="102.01754385964912"/>
    <s v="Los Angeles"/>
    <s v="French"/>
    <n v="442"/>
    <n v="9213"/>
    <n v="1"/>
    <s v="Outdoor Adventurers"/>
    <x v="14"/>
  </r>
  <r>
    <s v="DataTech Solutions"/>
    <x v="4"/>
    <s v="All Ages"/>
    <s v="30 days"/>
    <x v="0"/>
    <n v="0.1"/>
    <n v="17787"/>
    <n v="3.05"/>
    <n v="52"/>
    <n v="342.05769230769232"/>
    <s v="Chicago"/>
    <s v="English"/>
    <n v="519"/>
    <n v="2919"/>
    <n v="1"/>
    <s v="Fashionistas"/>
    <x v="15"/>
  </r>
  <r>
    <s v="DataTech Solutions"/>
    <x v="4"/>
    <s v="All Ages"/>
    <s v="60 days"/>
    <x v="2"/>
    <n v="0.15"/>
    <n v="17972"/>
    <n v="4.43"/>
    <n v="110"/>
    <n v="163.38181818181818"/>
    <s v="Miami"/>
    <s v="English"/>
    <n v="736"/>
    <n v="4806"/>
    <n v="4"/>
    <s v="Tech Enthusiasts"/>
    <x v="16"/>
  </r>
  <r>
    <s v="Innovate Industries"/>
    <x v="2"/>
    <s v="Women 35-44"/>
    <s v="30 days"/>
    <x v="4"/>
    <n v="0.02"/>
    <n v="6403"/>
    <n v="3.78"/>
    <n v="6"/>
    <n v="1067.1666666666667"/>
    <s v="Los Angeles"/>
    <s v="Mandarin"/>
    <n v="295"/>
    <n v="5038"/>
    <n v="3"/>
    <s v="Tech Enthusiasts"/>
    <x v="17"/>
  </r>
  <r>
    <s v="Innovate Industries"/>
    <x v="2"/>
    <s v="Men 18-24"/>
    <s v="15 days"/>
    <x v="5"/>
    <n v="0.06"/>
    <n v="16146"/>
    <n v="4.04"/>
    <n v="34"/>
    <n v="474.88235294117646"/>
    <s v="Miami"/>
    <s v="Spanish"/>
    <n v="559"/>
    <n v="7335"/>
    <n v="9"/>
    <s v="Tech Enthusiasts"/>
    <x v="18"/>
  </r>
  <r>
    <s v="TechCorp"/>
    <x v="0"/>
    <s v="Men 18-24"/>
    <s v="60 days"/>
    <x v="2"/>
    <n v="7.0000000000000007E-2"/>
    <n v="15607"/>
    <n v="3.48"/>
    <n v="44"/>
    <n v="354.70454545454544"/>
    <s v="Miami"/>
    <s v="German"/>
    <n v="632"/>
    <n v="8634"/>
    <n v="6"/>
    <s v="Tech Enthusiasts"/>
    <x v="19"/>
  </r>
  <r>
    <s v="DataTech Solutions"/>
    <x v="4"/>
    <s v="Men 18-24"/>
    <s v="15 days"/>
    <x v="1"/>
    <n v="0.05"/>
    <n v="14985"/>
    <n v="5.6"/>
    <n v="11"/>
    <n v="1362.2727272727273"/>
    <s v="New York"/>
    <s v="Mandarin"/>
    <n v="229"/>
    <n v="5185"/>
    <n v="3"/>
    <s v="Tech Enthusiasts"/>
    <x v="20"/>
  </r>
  <r>
    <s v="Innovate Industries"/>
    <x v="3"/>
    <s v="Women 25-34"/>
    <s v="60 days"/>
    <x v="0"/>
    <n v="0.06"/>
    <n v="17359"/>
    <n v="4.91"/>
    <n v="25"/>
    <n v="694.36"/>
    <s v="Chicago"/>
    <s v="English"/>
    <n v="422"/>
    <n v="9092"/>
    <n v="7"/>
    <s v="Foodies"/>
    <x v="21"/>
  </r>
  <r>
    <s v="Alpha Innovations"/>
    <x v="2"/>
    <s v="Women 25-34"/>
    <s v="30 days"/>
    <x v="0"/>
    <n v="0.11"/>
    <n v="9925"/>
    <n v="5.25"/>
    <n v="20"/>
    <n v="496.25"/>
    <s v="Chicago"/>
    <s v="Spanish"/>
    <n v="183"/>
    <n v="6148"/>
    <n v="4"/>
    <s v="Outdoor Adventurers"/>
    <x v="22"/>
  </r>
  <r>
    <s v="DataTech Solutions"/>
    <x v="4"/>
    <s v="Women 25-34"/>
    <s v="60 days"/>
    <x v="4"/>
    <n v="0.04"/>
    <n v="9441"/>
    <n v="5.24"/>
    <n v="31"/>
    <n v="304.54838709677421"/>
    <s v="Miami"/>
    <s v="English"/>
    <n v="783"/>
    <n v="2998"/>
    <n v="3"/>
    <s v="Outdoor Adventurers"/>
    <x v="23"/>
  </r>
  <r>
    <s v="NexGen Systems"/>
    <x v="1"/>
    <s v="All Ages"/>
    <s v="15 days"/>
    <x v="5"/>
    <n v="0.02"/>
    <n v="16223"/>
    <n v="5.87"/>
    <n v="5"/>
    <n v="3244.6"/>
    <s v="Houston"/>
    <s v="English"/>
    <n v="271"/>
    <n v="4829"/>
    <n v="10"/>
    <s v="Outdoor Adventurers"/>
    <x v="24"/>
  </r>
  <r>
    <s v="TechCorp"/>
    <x v="4"/>
    <s v="Women 25-34"/>
    <s v="45 days"/>
    <x v="2"/>
    <n v="0.15"/>
    <n v="17378"/>
    <n v="7.61"/>
    <n v="90"/>
    <n v="193.0888888888889"/>
    <s v="Miami"/>
    <s v="English"/>
    <n v="599"/>
    <n v="1933"/>
    <n v="2"/>
    <s v="Fashionistas"/>
    <x v="25"/>
  </r>
  <r>
    <s v="NexGen Systems"/>
    <x v="1"/>
    <s v="All Ages"/>
    <s v="15 days"/>
    <x v="0"/>
    <n v="0.1"/>
    <n v="8972"/>
    <n v="6.26"/>
    <n v="44"/>
    <n v="203.90909090909091"/>
    <s v="Los Angeles"/>
    <s v="Mandarin"/>
    <n v="441"/>
    <n v="6555"/>
    <n v="5"/>
    <s v="Fashionistas"/>
    <x v="26"/>
  </r>
  <r>
    <s v="Alpha Innovations"/>
    <x v="2"/>
    <s v="Men 25-34"/>
    <s v="30 days"/>
    <x v="1"/>
    <n v="0.03"/>
    <n v="11862"/>
    <n v="3.96"/>
    <n v="7"/>
    <n v="1694.5714285714287"/>
    <s v="Los Angeles"/>
    <s v="Mandarin"/>
    <n v="224"/>
    <n v="7841"/>
    <n v="6"/>
    <s v="Health &amp; Wellness"/>
    <x v="27"/>
  </r>
  <r>
    <s v="NexGen Systems"/>
    <x v="2"/>
    <s v="All Ages"/>
    <s v="30 days"/>
    <x v="4"/>
    <n v="0.05"/>
    <n v="7215"/>
    <n v="5.84"/>
    <n v="36"/>
    <n v="200.41666666666666"/>
    <s v="Miami"/>
    <s v="Mandarin"/>
    <n v="718"/>
    <n v="6491"/>
    <n v="1"/>
    <s v="Foodies"/>
    <x v="28"/>
  </r>
  <r>
    <s v="Alpha Innovations"/>
    <x v="1"/>
    <s v="Men 25-34"/>
    <s v="45 days"/>
    <x v="1"/>
    <n v="7.0000000000000007E-2"/>
    <n v="14858"/>
    <n v="6.56"/>
    <n v="43"/>
    <n v="345.53488372093022"/>
    <s v="Los Angeles"/>
    <s v="German"/>
    <n v="608"/>
    <n v="7267"/>
    <n v="6"/>
    <s v="Fashionistas"/>
    <x v="29"/>
  </r>
  <r>
    <s v="TechCorp"/>
    <x v="2"/>
    <s v="Women 35-44"/>
    <s v="15 days"/>
    <x v="2"/>
    <n v="0.08"/>
    <n v="11918"/>
    <n v="7.52"/>
    <n v="39"/>
    <n v="305.58974358974359"/>
    <s v="Houston"/>
    <s v="French"/>
    <n v="490"/>
    <n v="9394"/>
    <n v="9"/>
    <s v="Foodies"/>
    <x v="30"/>
  </r>
  <r>
    <s v="Alpha Innovations"/>
    <x v="1"/>
    <s v="All Ages"/>
    <s v="15 days"/>
    <x v="2"/>
    <n v="0.01"/>
    <n v="17380"/>
    <n v="4.8600000000000003"/>
    <n v="3"/>
    <n v="5793.333333333333"/>
    <s v="Miami"/>
    <s v="French"/>
    <n v="303"/>
    <n v="4035"/>
    <n v="1"/>
    <s v="Outdoor Adventurers"/>
    <x v="31"/>
  </r>
  <r>
    <s v="NexGen Systems"/>
    <x v="1"/>
    <s v="Men 18-24"/>
    <s v="30 days"/>
    <x v="1"/>
    <n v="0.04"/>
    <n v="9649"/>
    <n v="5.63"/>
    <n v="25"/>
    <n v="385.96"/>
    <s v="Los Angeles"/>
    <s v="French"/>
    <n v="624"/>
    <n v="3250"/>
    <n v="7"/>
    <s v="Fashionistas"/>
    <x v="32"/>
  </r>
  <r>
    <s v="Alpha Innovations"/>
    <x v="1"/>
    <s v="Women 25-34"/>
    <s v="45 days"/>
    <x v="5"/>
    <n v="0.09"/>
    <n v="19192"/>
    <n v="6.02"/>
    <n v="84"/>
    <n v="228.47619047619048"/>
    <s v="Chicago"/>
    <s v="English"/>
    <n v="930"/>
    <n v="8704"/>
    <n v="7"/>
    <s v="Foodies"/>
    <x v="33"/>
  </r>
  <r>
    <s v="NexGen Systems"/>
    <x v="3"/>
    <s v="Men 25-34"/>
    <s v="15 days"/>
    <x v="3"/>
    <n v="0.09"/>
    <n v="12752"/>
    <n v="7.14"/>
    <n v="54"/>
    <n v="236.14814814814815"/>
    <s v="Chicago"/>
    <s v="English"/>
    <n v="599"/>
    <n v="5013"/>
    <n v="6"/>
    <s v="Outdoor Adventurers"/>
    <x v="34"/>
  </r>
  <r>
    <s v="TechCorp"/>
    <x v="0"/>
    <s v="Women 25-34"/>
    <s v="45 days"/>
    <x v="2"/>
    <n v="0.01"/>
    <n v="13448"/>
    <n v="4.8499999999999996"/>
    <n v="6"/>
    <n v="2241.3333333333335"/>
    <s v="Miami"/>
    <s v="Spanish"/>
    <n v="645"/>
    <n v="4981"/>
    <n v="6"/>
    <s v="Fashionistas"/>
    <x v="35"/>
  </r>
  <r>
    <s v="TechCorp"/>
    <x v="4"/>
    <s v="Men 25-34"/>
    <s v="15 days"/>
    <x v="2"/>
    <n v="0.11"/>
    <n v="14134"/>
    <n v="4.82"/>
    <n v="106"/>
    <n v="133.33962264150944"/>
    <s v="Los Angeles"/>
    <s v="Mandarin"/>
    <n v="964"/>
    <n v="9933"/>
    <n v="8"/>
    <s v="Tech Enthusiasts"/>
    <x v="36"/>
  </r>
  <r>
    <s v="NexGen Systems"/>
    <x v="3"/>
    <s v="Men 25-34"/>
    <s v="15 days"/>
    <x v="2"/>
    <n v="0.02"/>
    <n v="11417"/>
    <n v="5.89"/>
    <n v="15"/>
    <n v="761.13333333333333"/>
    <s v="New York"/>
    <s v="German"/>
    <n v="755"/>
    <n v="8314"/>
    <n v="4"/>
    <s v="Health &amp; Wellness"/>
    <x v="37"/>
  </r>
  <r>
    <s v="Innovate Industries"/>
    <x v="1"/>
    <s v="Men 25-34"/>
    <s v="15 days"/>
    <x v="4"/>
    <n v="0.15"/>
    <n v="8905"/>
    <n v="6.33"/>
    <n v="57"/>
    <n v="156.2280701754386"/>
    <s v="Houston"/>
    <s v="Mandarin"/>
    <n v="378"/>
    <n v="5518"/>
    <n v="2"/>
    <s v="Health &amp; Wellness"/>
    <x v="38"/>
  </r>
  <r>
    <s v="Alpha Innovations"/>
    <x v="4"/>
    <s v="All Ages"/>
    <s v="45 days"/>
    <x v="2"/>
    <n v="0.13"/>
    <n v="9545"/>
    <n v="3.23"/>
    <n v="34"/>
    <n v="280.73529411764707"/>
    <s v="Los Angeles"/>
    <s v="German"/>
    <n v="263"/>
    <n v="2369"/>
    <n v="1"/>
    <s v="Health &amp; Wellness"/>
    <x v="39"/>
  </r>
  <r>
    <s v="DataTech Solutions"/>
    <x v="0"/>
    <s v="Men 18-24"/>
    <s v="15 days"/>
    <x v="5"/>
    <n v="0.05"/>
    <n v="10596"/>
    <n v="2.0299999999999998"/>
    <n v="38"/>
    <n v="278.84210526315792"/>
    <s v="Chicago"/>
    <s v="German"/>
    <n v="768"/>
    <n v="9505"/>
    <n v="2"/>
    <s v="Health &amp; Wellness"/>
    <x v="40"/>
  </r>
  <r>
    <s v="NexGen Systems"/>
    <x v="3"/>
    <s v="Men 18-24"/>
    <s v="15 days"/>
    <x v="2"/>
    <n v="0.1"/>
    <n v="13263"/>
    <n v="7.51"/>
    <n v="52"/>
    <n v="255.05769230769232"/>
    <s v="Miami"/>
    <s v="English"/>
    <n v="515"/>
    <n v="2644"/>
    <n v="7"/>
    <s v="Foodies"/>
    <x v="41"/>
  </r>
  <r>
    <s v="TechCorp"/>
    <x v="1"/>
    <s v="Women 25-34"/>
    <s v="45 days"/>
    <x v="4"/>
    <n v="0.02"/>
    <n v="8683"/>
    <n v="5.49"/>
    <n v="6"/>
    <n v="1447.1666666666667"/>
    <s v="Los Angeles"/>
    <s v="Spanish"/>
    <n v="290"/>
    <n v="9970"/>
    <n v="9"/>
    <s v="Foodies"/>
    <x v="42"/>
  </r>
  <r>
    <s v="DataTech Solutions"/>
    <x v="0"/>
    <s v="All Ages"/>
    <s v="60 days"/>
    <x v="1"/>
    <n v="0.14000000000000001"/>
    <n v="14398"/>
    <n v="5.18"/>
    <n v="66"/>
    <n v="218.15151515151516"/>
    <s v="New York"/>
    <s v="French"/>
    <n v="473"/>
    <n v="7580"/>
    <n v="9"/>
    <s v="Foodies"/>
    <x v="43"/>
  </r>
  <r>
    <s v="TechCorp"/>
    <x v="3"/>
    <s v="Women 25-34"/>
    <s v="15 days"/>
    <x v="1"/>
    <n v="0.15"/>
    <n v="19584"/>
    <n v="2.09"/>
    <n v="150"/>
    <n v="130.56"/>
    <s v="New York"/>
    <s v="German"/>
    <n v="997"/>
    <n v="2857"/>
    <n v="8"/>
    <s v="Fashionistas"/>
    <x v="44"/>
  </r>
  <r>
    <s v="NexGen Systems"/>
    <x v="3"/>
    <s v="All Ages"/>
    <s v="15 days"/>
    <x v="5"/>
    <n v="0.08"/>
    <n v="19509"/>
    <n v="7.83"/>
    <n v="45"/>
    <n v="433.53333333333336"/>
    <s v="Los Angeles"/>
    <s v="French"/>
    <n v="563"/>
    <n v="4062"/>
    <n v="2"/>
    <s v="Outdoor Adventurers"/>
    <x v="45"/>
  </r>
  <r>
    <s v="Alpha Innovations"/>
    <x v="4"/>
    <s v="All Ages"/>
    <s v="30 days"/>
    <x v="2"/>
    <n v="0.1"/>
    <n v="14209"/>
    <n v="7.65"/>
    <n v="50"/>
    <n v="284.18"/>
    <s v="New York"/>
    <s v="English"/>
    <n v="504"/>
    <n v="6662"/>
    <n v="8"/>
    <s v="Health &amp; Wellness"/>
    <x v="46"/>
  </r>
  <r>
    <s v="TechCorp"/>
    <x v="1"/>
    <s v="All Ages"/>
    <s v="45 days"/>
    <x v="1"/>
    <n v="0.05"/>
    <n v="11127"/>
    <n v="5.66"/>
    <n v="20"/>
    <n v="556.35"/>
    <s v="New York"/>
    <s v="French"/>
    <n v="409"/>
    <n v="4617"/>
    <n v="5"/>
    <s v="Health &amp; Wellness"/>
    <x v="47"/>
  </r>
  <r>
    <s v="Alpha Innovations"/>
    <x v="4"/>
    <s v="Women 25-34"/>
    <s v="30 days"/>
    <x v="3"/>
    <n v="0.12"/>
    <n v="19765"/>
    <n v="3.9"/>
    <n v="118"/>
    <n v="167.5"/>
    <s v="New York"/>
    <s v="Spanish"/>
    <n v="986"/>
    <n v="6331"/>
    <n v="7"/>
    <s v="Outdoor Adventurers"/>
    <x v="48"/>
  </r>
  <r>
    <s v="TechCorp"/>
    <x v="2"/>
    <s v="Men 18-24"/>
    <s v="45 days"/>
    <x v="5"/>
    <n v="0.09"/>
    <n v="5735"/>
    <n v="4.3099999999999996"/>
    <n v="73"/>
    <n v="78.561643835616437"/>
    <s v="New York"/>
    <s v="English"/>
    <n v="806"/>
    <n v="2542"/>
    <n v="4"/>
    <s v="Fashionistas"/>
    <x v="49"/>
  </r>
  <r>
    <s v="Alpha Innovations"/>
    <x v="2"/>
    <s v="Men 25-34"/>
    <s v="60 days"/>
    <x v="3"/>
    <n v="0.11"/>
    <n v="11503"/>
    <n v="5.51"/>
    <n v="11"/>
    <n v="1045.7272727272727"/>
    <s v="New York"/>
    <s v="French"/>
    <n v="101"/>
    <n v="8500"/>
    <n v="2"/>
    <s v="Tech Enthusiasts"/>
    <x v="50"/>
  </r>
  <r>
    <s v="TechCorp"/>
    <x v="0"/>
    <s v="Women 25-34"/>
    <s v="15 days"/>
    <x v="0"/>
    <n v="0.13"/>
    <n v="17283"/>
    <n v="3.48"/>
    <n v="16"/>
    <n v="1080.1875"/>
    <s v="Los Angeles"/>
    <s v="French"/>
    <n v="120"/>
    <n v="7828"/>
    <n v="7"/>
    <s v="Foodies"/>
    <x v="51"/>
  </r>
  <r>
    <s v="Innovate Industries"/>
    <x v="1"/>
    <s v="Men 25-34"/>
    <s v="15 days"/>
    <x v="4"/>
    <n v="0.13"/>
    <n v="19438"/>
    <n v="4.46"/>
    <n v="86"/>
    <n v="226.02325581395348"/>
    <s v="Los Angeles"/>
    <s v="English"/>
    <n v="661"/>
    <n v="4671"/>
    <n v="2"/>
    <s v="Tech Enthusiasts"/>
    <x v="52"/>
  </r>
  <r>
    <s v="NexGen Systems"/>
    <x v="0"/>
    <s v="All Ages"/>
    <s v="45 days"/>
    <x v="0"/>
    <n v="0.04"/>
    <n v="15887"/>
    <n v="2.99"/>
    <n v="32"/>
    <n v="496.46875"/>
    <s v="Houston"/>
    <s v="Mandarin"/>
    <n v="796"/>
    <n v="2663"/>
    <n v="7"/>
    <s v="Fashionistas"/>
    <x v="53"/>
  </r>
  <r>
    <s v="Innovate Industries"/>
    <x v="1"/>
    <s v="All Ages"/>
    <s v="30 days"/>
    <x v="4"/>
    <n v="0.04"/>
    <n v="5161"/>
    <n v="5.67"/>
    <n v="36"/>
    <n v="143.36111111111111"/>
    <s v="Chicago"/>
    <s v="German"/>
    <n v="893"/>
    <n v="4422"/>
    <n v="1"/>
    <s v="Outdoor Adventurers"/>
    <x v="54"/>
  </r>
  <r>
    <s v="Alpha Innovations"/>
    <x v="3"/>
    <s v="All Ages"/>
    <s v="60 days"/>
    <x v="3"/>
    <n v="0.06"/>
    <n v="5477"/>
    <n v="3.24"/>
    <n v="44"/>
    <n v="124.47727272727273"/>
    <s v="Houston"/>
    <s v="French"/>
    <n v="728"/>
    <n v="4607"/>
    <n v="4"/>
    <s v="Outdoor Adventurers"/>
    <x v="55"/>
  </r>
  <r>
    <s v="Innovate Industries"/>
    <x v="4"/>
    <s v="Women 25-34"/>
    <s v="15 days"/>
    <x v="0"/>
    <n v="0.02"/>
    <n v="16392"/>
    <n v="7.86"/>
    <n v="18"/>
    <n v="910.66666666666663"/>
    <s v="Houston"/>
    <s v="English"/>
    <n v="892"/>
    <n v="4104"/>
    <n v="7"/>
    <s v="Fashionistas"/>
    <x v="56"/>
  </r>
  <r>
    <s v="NexGen Systems"/>
    <x v="0"/>
    <s v="Men 18-24"/>
    <s v="45 days"/>
    <x v="0"/>
    <n v="0.1"/>
    <n v="15726"/>
    <n v="2.25"/>
    <n v="17"/>
    <n v="925.05882352941171"/>
    <s v="Miami"/>
    <s v="German"/>
    <n v="167"/>
    <n v="9628"/>
    <n v="4"/>
    <s v="Tech Enthusiasts"/>
    <x v="57"/>
  </r>
  <r>
    <s v="Alpha Innovations"/>
    <x v="1"/>
    <s v="Women 25-34"/>
    <s v="30 days"/>
    <x v="1"/>
    <n v="0.14000000000000001"/>
    <n v="9693"/>
    <n v="7.07"/>
    <n v="113"/>
    <n v="85.778761061946909"/>
    <s v="Houston"/>
    <s v="French"/>
    <n v="809"/>
    <n v="6847"/>
    <n v="8"/>
    <s v="Health &amp; Wellness"/>
    <x v="58"/>
  </r>
  <r>
    <s v="DataTech Solutions"/>
    <x v="3"/>
    <s v="Men 25-34"/>
    <s v="15 days"/>
    <x v="4"/>
    <n v="0.13"/>
    <n v="17301"/>
    <n v="2.63"/>
    <n v="64"/>
    <n v="270.328125"/>
    <s v="Chicago"/>
    <s v="French"/>
    <n v="493"/>
    <n v="1143"/>
    <n v="9"/>
    <s v="Health &amp; Wellness"/>
    <x v="59"/>
  </r>
  <r>
    <s v="NexGen Systems"/>
    <x v="0"/>
    <s v="Men 18-24"/>
    <s v="45 days"/>
    <x v="4"/>
    <n v="7.0000000000000007E-2"/>
    <n v="10528"/>
    <n v="7.86"/>
    <n v="36"/>
    <n v="292.44444444444446"/>
    <s v="Houston"/>
    <s v="French"/>
    <n v="519"/>
    <n v="2375"/>
    <n v="5"/>
    <s v="Fashionistas"/>
    <x v="60"/>
  </r>
  <r>
    <s v="Innovate Industries"/>
    <x v="2"/>
    <s v="Women 25-34"/>
    <s v="15 days"/>
    <x v="0"/>
    <n v="0.01"/>
    <n v="6939"/>
    <n v="5.87"/>
    <n v="9"/>
    <n v="771"/>
    <s v="New York"/>
    <s v="German"/>
    <n v="868"/>
    <n v="9416"/>
    <n v="8"/>
    <s v="Foodies"/>
    <x v="61"/>
  </r>
  <r>
    <s v="DataTech Solutions"/>
    <x v="0"/>
    <s v="Men 18-24"/>
    <s v="45 days"/>
    <x v="5"/>
    <n v="0.1"/>
    <n v="12367"/>
    <n v="3.35"/>
    <n v="30"/>
    <n v="412.23333333333335"/>
    <s v="New York"/>
    <s v="German"/>
    <n v="299"/>
    <n v="1863"/>
    <n v="2"/>
    <s v="Fashionistas"/>
    <x v="62"/>
  </r>
  <r>
    <s v="TechCorp"/>
    <x v="3"/>
    <s v="Men 18-24"/>
    <s v="30 days"/>
    <x v="3"/>
    <n v="0.12"/>
    <n v="7910"/>
    <n v="3.27"/>
    <n v="94"/>
    <n v="84.148936170212764"/>
    <s v="Houston"/>
    <s v="English"/>
    <n v="786"/>
    <n v="9483"/>
    <n v="9"/>
    <s v="Fashionistas"/>
    <x v="63"/>
  </r>
  <r>
    <s v="TechCorp"/>
    <x v="4"/>
    <s v="Women 35-44"/>
    <s v="45 days"/>
    <x v="4"/>
    <n v="0.12"/>
    <n v="6708"/>
    <n v="2.2599999999999998"/>
    <n v="32"/>
    <n v="209.625"/>
    <s v="Houston"/>
    <s v="German"/>
    <n v="268"/>
    <n v="6272"/>
    <n v="8"/>
    <s v="Foodies"/>
    <x v="64"/>
  </r>
  <r>
    <s v="DataTech Solutions"/>
    <x v="2"/>
    <s v="Women 35-44"/>
    <s v="15 days"/>
    <x v="2"/>
    <n v="0.1"/>
    <n v="7666"/>
    <n v="5.44"/>
    <n v="28"/>
    <n v="273.78571428571428"/>
    <s v="Los Angeles"/>
    <s v="Spanish"/>
    <n v="284"/>
    <n v="7676"/>
    <n v="7"/>
    <s v="Foodies"/>
    <x v="65"/>
  </r>
  <r>
    <s v="Alpha Innovations"/>
    <x v="2"/>
    <s v="Men 18-24"/>
    <s v="30 days"/>
    <x v="4"/>
    <n v="0.01"/>
    <n v="5252"/>
    <n v="5.28"/>
    <n v="2"/>
    <n v="2626"/>
    <s v="New York"/>
    <s v="Mandarin"/>
    <n v="190"/>
    <n v="7902"/>
    <n v="3"/>
    <s v="Tech Enthusiasts"/>
    <x v="66"/>
  </r>
  <r>
    <s v="TechCorp"/>
    <x v="4"/>
    <s v="Men 18-24"/>
    <s v="45 days"/>
    <x v="2"/>
    <n v="0.11"/>
    <n v="19256"/>
    <n v="2.3199999999999998"/>
    <n v="103"/>
    <n v="186.95145631067962"/>
    <s v="Los Angeles"/>
    <s v="Spanish"/>
    <n v="937"/>
    <n v="1215"/>
    <n v="1"/>
    <s v="Health &amp; Wellness"/>
    <x v="67"/>
  </r>
  <r>
    <s v="NexGen Systems"/>
    <x v="2"/>
    <s v="Men 25-34"/>
    <s v="60 days"/>
    <x v="3"/>
    <n v="0.09"/>
    <n v="18364"/>
    <n v="2"/>
    <n v="63"/>
    <n v="291.49206349206349"/>
    <s v="Los Angeles"/>
    <s v="Spanish"/>
    <n v="704"/>
    <n v="5626"/>
    <n v="5"/>
    <s v="Tech Enthusiasts"/>
    <x v="68"/>
  </r>
  <r>
    <s v="Alpha Innovations"/>
    <x v="0"/>
    <s v="Men 18-24"/>
    <s v="45 days"/>
    <x v="4"/>
    <n v="0.14000000000000001"/>
    <n v="10702"/>
    <n v="6.18"/>
    <n v="36"/>
    <n v="297.27777777777777"/>
    <s v="Los Angeles"/>
    <s v="German"/>
    <n v="254"/>
    <n v="8482"/>
    <n v="7"/>
    <s v="Foodies"/>
    <x v="69"/>
  </r>
  <r>
    <s v="Innovate Industries"/>
    <x v="0"/>
    <s v="Men 25-34"/>
    <s v="30 days"/>
    <x v="0"/>
    <n v="0.1"/>
    <n v="5520"/>
    <n v="7.9"/>
    <n v="26"/>
    <n v="212.30769230769232"/>
    <s v="New York"/>
    <s v="German"/>
    <n v="257"/>
    <n v="4779"/>
    <n v="10"/>
    <s v="Health &amp; Wellness"/>
    <x v="70"/>
  </r>
  <r>
    <s v="Alpha Innovations"/>
    <x v="2"/>
    <s v="Men 18-24"/>
    <s v="60 days"/>
    <x v="3"/>
    <n v="0.09"/>
    <n v="19294"/>
    <n v="5.68"/>
    <n v="74"/>
    <n v="260.72972972972974"/>
    <s v="New York"/>
    <s v="Spanish"/>
    <n v="825"/>
    <n v="8314"/>
    <n v="9"/>
    <s v="Fashionistas"/>
    <x v="71"/>
  </r>
  <r>
    <s v="Innovate Industries"/>
    <x v="3"/>
    <s v="Women 35-44"/>
    <s v="45 days"/>
    <x v="3"/>
    <n v="0.12"/>
    <n v="15356"/>
    <n v="4.6399999999999997"/>
    <n v="109"/>
    <n v="140.88073394495413"/>
    <s v="Houston"/>
    <s v="Mandarin"/>
    <n v="905"/>
    <n v="3116"/>
    <n v="5"/>
    <s v="Foodies"/>
    <x v="72"/>
  </r>
  <r>
    <s v="DataTech Solutions"/>
    <x v="0"/>
    <s v="Women 25-34"/>
    <s v="60 days"/>
    <x v="2"/>
    <n v="0.03"/>
    <n v="6684"/>
    <n v="6.5"/>
    <n v="25"/>
    <n v="267.36"/>
    <s v="Chicago"/>
    <s v="Spanish"/>
    <n v="824"/>
    <n v="3850"/>
    <n v="7"/>
    <s v="Tech Enthusiasts"/>
    <x v="73"/>
  </r>
  <r>
    <s v="TechCorp"/>
    <x v="4"/>
    <s v="Men 25-34"/>
    <s v="45 days"/>
    <x v="5"/>
    <n v="0.03"/>
    <n v="6440"/>
    <n v="5.21"/>
    <n v="26"/>
    <n v="247.69230769230768"/>
    <s v="Houston"/>
    <s v="French"/>
    <n v="883"/>
    <n v="5190"/>
    <n v="4"/>
    <s v="Foodies"/>
    <x v="74"/>
  </r>
  <r>
    <s v="Alpha Innovations"/>
    <x v="1"/>
    <s v="Women 25-34"/>
    <s v="30 days"/>
    <x v="5"/>
    <n v="0.06"/>
    <n v="10205"/>
    <n v="5.33"/>
    <n v="49"/>
    <n v="208.26530612244898"/>
    <s v="Houston"/>
    <s v="German"/>
    <n v="823"/>
    <n v="3836"/>
    <n v="9"/>
    <s v="Fashionistas"/>
    <x v="75"/>
  </r>
  <r>
    <s v="TechCorp"/>
    <x v="1"/>
    <s v="Women 35-44"/>
    <s v="30 days"/>
    <x v="4"/>
    <n v="0.09"/>
    <n v="12273"/>
    <n v="6.41"/>
    <n v="59"/>
    <n v="208.01694915254237"/>
    <s v="Chicago"/>
    <s v="English"/>
    <n v="656"/>
    <n v="5109"/>
    <n v="3"/>
    <s v="Tech Enthusiasts"/>
    <x v="76"/>
  </r>
  <r>
    <s v="Alpha Innovations"/>
    <x v="1"/>
    <s v="Men 25-34"/>
    <s v="15 days"/>
    <x v="2"/>
    <n v="0.04"/>
    <n v="18230"/>
    <n v="5.25"/>
    <n v="39"/>
    <n v="467.43589743589746"/>
    <s v="Miami"/>
    <s v="Mandarin"/>
    <n v="972"/>
    <n v="7060"/>
    <n v="6"/>
    <s v="Tech Enthusiasts"/>
    <x v="77"/>
  </r>
  <r>
    <s v="NexGen Systems"/>
    <x v="2"/>
    <s v="Women 25-34"/>
    <s v="30 days"/>
    <x v="4"/>
    <n v="0.03"/>
    <n v="6437"/>
    <n v="5.29"/>
    <n v="13"/>
    <n v="495.15384615384613"/>
    <s v="Houston"/>
    <s v="French"/>
    <n v="426"/>
    <n v="2249"/>
    <n v="4"/>
    <s v="Tech Enthusiasts"/>
    <x v="78"/>
  </r>
  <r>
    <s v="NexGen Systems"/>
    <x v="0"/>
    <s v="Men 25-34"/>
    <s v="15 days"/>
    <x v="0"/>
    <n v="0.12"/>
    <n v="17550"/>
    <n v="7.01"/>
    <n v="20"/>
    <n v="877.5"/>
    <s v="Miami"/>
    <s v="Mandarin"/>
    <n v="163"/>
    <n v="4992"/>
    <n v="4"/>
    <s v="Outdoor Adventurers"/>
    <x v="79"/>
  </r>
  <r>
    <s v="NexGen Systems"/>
    <x v="3"/>
    <s v="Women 35-44"/>
    <s v="15 days"/>
    <x v="4"/>
    <n v="0.1"/>
    <n v="15111"/>
    <n v="3.62"/>
    <n v="98"/>
    <n v="154.19387755102042"/>
    <s v="Miami"/>
    <s v="English"/>
    <n v="979"/>
    <n v="7222"/>
    <n v="9"/>
    <s v="Outdoor Adventurers"/>
    <x v="80"/>
  </r>
  <r>
    <s v="NexGen Systems"/>
    <x v="3"/>
    <s v="Women 35-44"/>
    <s v="60 days"/>
    <x v="3"/>
    <n v="0.06"/>
    <n v="5111"/>
    <n v="5.31"/>
    <n v="55"/>
    <n v="92.927272727272722"/>
    <s v="Houston"/>
    <s v="German"/>
    <n v="918"/>
    <n v="5611"/>
    <n v="9"/>
    <s v="Tech Enthusiasts"/>
    <x v="81"/>
  </r>
  <r>
    <s v="TechCorp"/>
    <x v="1"/>
    <s v="Women 25-34"/>
    <s v="60 days"/>
    <x v="5"/>
    <n v="0.09"/>
    <n v="9373"/>
    <n v="2.77"/>
    <n v="36"/>
    <n v="260.36111111111109"/>
    <s v="Chicago"/>
    <s v="Spanish"/>
    <n v="395"/>
    <n v="5952"/>
    <n v="9"/>
    <s v="Fashionistas"/>
    <x v="82"/>
  </r>
  <r>
    <s v="Alpha Innovations"/>
    <x v="4"/>
    <s v="Women 25-34"/>
    <s v="15 days"/>
    <x v="4"/>
    <n v="0.09"/>
    <n v="7834"/>
    <n v="2.36"/>
    <n v="54"/>
    <n v="145.07407407407408"/>
    <s v="Miami"/>
    <s v="Mandarin"/>
    <n v="601"/>
    <n v="3533"/>
    <n v="8"/>
    <s v="Health &amp; Wellness"/>
    <x v="83"/>
  </r>
  <r>
    <s v="NexGen Systems"/>
    <x v="1"/>
    <s v="Women 25-34"/>
    <s v="30 days"/>
    <x v="2"/>
    <n v="0.06"/>
    <n v="18131"/>
    <n v="5.7"/>
    <n v="49"/>
    <n v="370.0204081632653"/>
    <s v="Los Angeles"/>
    <s v="German"/>
    <n v="812"/>
    <n v="8953"/>
    <n v="4"/>
    <s v="Fashionistas"/>
    <x v="84"/>
  </r>
  <r>
    <s v="DataTech Solutions"/>
    <x v="3"/>
    <s v="Men 18-24"/>
    <s v="15 days"/>
    <x v="5"/>
    <n v="0.08"/>
    <n v="9160"/>
    <n v="6.21"/>
    <n v="51"/>
    <n v="179.60784313725489"/>
    <s v="Chicago"/>
    <s v="German"/>
    <n v="640"/>
    <n v="3840"/>
    <n v="10"/>
    <s v="Outdoor Adventurers"/>
    <x v="85"/>
  </r>
  <r>
    <s v="DataTech Solutions"/>
    <x v="1"/>
    <s v="All Ages"/>
    <s v="60 days"/>
    <x v="4"/>
    <n v="0.06"/>
    <n v="8411"/>
    <n v="2.66"/>
    <n v="10"/>
    <n v="841.1"/>
    <s v="Houston"/>
    <s v="English"/>
    <n v="161"/>
    <n v="7493"/>
    <n v="8"/>
    <s v="Foodies"/>
    <x v="86"/>
  </r>
  <r>
    <s v="TechCorp"/>
    <x v="3"/>
    <s v="All Ages"/>
    <s v="60 days"/>
    <x v="0"/>
    <n v="0.02"/>
    <n v="10862"/>
    <n v="4.34"/>
    <n v="10"/>
    <n v="1086.2"/>
    <s v="Los Angeles"/>
    <s v="Spanish"/>
    <n v="515"/>
    <n v="7070"/>
    <n v="6"/>
    <s v="Health &amp; Wellness"/>
    <x v="87"/>
  </r>
  <r>
    <s v="NexGen Systems"/>
    <x v="0"/>
    <s v="Women 35-44"/>
    <s v="45 days"/>
    <x v="1"/>
    <n v="0.08"/>
    <n v="8422"/>
    <n v="3.42"/>
    <n v="61"/>
    <n v="138.0655737704918"/>
    <s v="New York"/>
    <s v="English"/>
    <n v="758"/>
    <n v="1455"/>
    <n v="7"/>
    <s v="Tech Enthusiasts"/>
    <x v="88"/>
  </r>
  <r>
    <s v="DataTech Solutions"/>
    <x v="3"/>
    <s v="Men 25-34"/>
    <s v="60 days"/>
    <x v="5"/>
    <n v="0.06"/>
    <n v="18330"/>
    <n v="4.57"/>
    <n v="9"/>
    <n v="2036.6666666666667"/>
    <s v="Los Angeles"/>
    <s v="German"/>
    <n v="156"/>
    <n v="5696"/>
    <n v="3"/>
    <s v="Foodies"/>
    <x v="89"/>
  </r>
  <r>
    <s v="Alpha Innovations"/>
    <x v="4"/>
    <s v="All Ages"/>
    <s v="60 days"/>
    <x v="0"/>
    <n v="0.05"/>
    <n v="19233"/>
    <n v="3.65"/>
    <n v="6"/>
    <n v="3205.5"/>
    <s v="New York"/>
    <s v="Spanish"/>
    <n v="122"/>
    <n v="8862"/>
    <n v="5"/>
    <s v="Health &amp; Wellness"/>
    <x v="90"/>
  </r>
  <r>
    <s v="Innovate Industries"/>
    <x v="2"/>
    <s v="Women 25-34"/>
    <s v="45 days"/>
    <x v="0"/>
    <n v="0.15"/>
    <n v="7237"/>
    <n v="7.02"/>
    <n v="54"/>
    <n v="134.0185185185185"/>
    <s v="Los Angeles"/>
    <s v="French"/>
    <n v="357"/>
    <n v="2674"/>
    <n v="10"/>
    <s v="Tech Enthusiasts"/>
    <x v="91"/>
  </r>
  <r>
    <s v="TechCorp"/>
    <x v="4"/>
    <s v="All Ages"/>
    <s v="30 days"/>
    <x v="2"/>
    <n v="0.02"/>
    <n v="10286"/>
    <n v="3.72"/>
    <n v="9"/>
    <n v="1142.8888888888889"/>
    <s v="New York"/>
    <s v="Spanish"/>
    <n v="440"/>
    <n v="1835"/>
    <n v="3"/>
    <s v="Fashionistas"/>
    <x v="92"/>
  </r>
  <r>
    <s v="Alpha Innovations"/>
    <x v="1"/>
    <s v="All Ages"/>
    <s v="60 days"/>
    <x v="5"/>
    <n v="0.04"/>
    <n v="18227"/>
    <n v="4.8600000000000003"/>
    <n v="38"/>
    <n v="479.65789473684208"/>
    <s v="Miami"/>
    <s v="Mandarin"/>
    <n v="962"/>
    <n v="5137"/>
    <n v="5"/>
    <s v="Foodies"/>
    <x v="93"/>
  </r>
  <r>
    <s v="Innovate Industries"/>
    <x v="4"/>
    <s v="All Ages"/>
    <s v="45 days"/>
    <x v="3"/>
    <n v="0.03"/>
    <n v="14614"/>
    <n v="2.41"/>
    <n v="14"/>
    <n v="1043.8571428571429"/>
    <s v="Chicago"/>
    <s v="German"/>
    <n v="468"/>
    <n v="6010"/>
    <n v="9"/>
    <s v="Foodies"/>
    <x v="94"/>
  </r>
  <r>
    <s v="Alpha Innovations"/>
    <x v="2"/>
    <s v="Women 25-34"/>
    <s v="60 days"/>
    <x v="5"/>
    <n v="0.11"/>
    <n v="15690"/>
    <n v="3.72"/>
    <n v="56"/>
    <n v="280.17857142857144"/>
    <s v="Los Angeles"/>
    <s v="French"/>
    <n v="510"/>
    <n v="1815"/>
    <n v="6"/>
    <s v="Outdoor Adventurers"/>
    <x v="95"/>
  </r>
  <r>
    <s v="NexGen Systems"/>
    <x v="4"/>
    <s v="Women 35-44"/>
    <s v="30 days"/>
    <x v="3"/>
    <n v="0.04"/>
    <n v="15047"/>
    <n v="6.73"/>
    <n v="17"/>
    <n v="885.11764705882354"/>
    <s v="Miami"/>
    <s v="French"/>
    <n v="419"/>
    <n v="8498"/>
    <n v="1"/>
    <s v="Tech Enthusiasts"/>
    <x v="96"/>
  </r>
  <r>
    <s v="DataTech Solutions"/>
    <x v="4"/>
    <s v="Women 25-34"/>
    <s v="45 days"/>
    <x v="0"/>
    <n v="0.15"/>
    <n v="19216"/>
    <n v="6.52"/>
    <n v="75"/>
    <n v="256.21333333333331"/>
    <s v="New York"/>
    <s v="French"/>
    <n v="503"/>
    <n v="2413"/>
    <n v="9"/>
    <s v="Fashionistas"/>
    <x v="97"/>
  </r>
  <r>
    <s v="TechCorp"/>
    <x v="2"/>
    <s v="Women 35-44"/>
    <s v="60 days"/>
    <x v="0"/>
    <n v="0.12"/>
    <n v="18954"/>
    <n v="6.71"/>
    <n v="12"/>
    <n v="1579.5"/>
    <s v="Los Angeles"/>
    <s v="French"/>
    <n v="103"/>
    <n v="5640"/>
    <n v="9"/>
    <s v="Fashionistas"/>
    <x v="98"/>
  </r>
  <r>
    <s v="TechCorp"/>
    <x v="2"/>
    <s v="Men 18-24"/>
    <s v="30 days"/>
    <x v="3"/>
    <n v="0.13"/>
    <n v="15225"/>
    <n v="4.8899999999999997"/>
    <n v="35"/>
    <n v="435"/>
    <s v="Miami"/>
    <s v="Spanish"/>
    <n v="273"/>
    <n v="3357"/>
    <n v="9"/>
    <s v="Fashionistas"/>
    <x v="99"/>
  </r>
  <r>
    <s v="Innovate Industries"/>
    <x v="4"/>
    <s v="Men 25-34"/>
    <s v="45 days"/>
    <x v="5"/>
    <n v="7.0000000000000007E-2"/>
    <n v="9135"/>
    <n v="4.22"/>
    <n v="27"/>
    <n v="338.33333333333331"/>
    <s v="Miami"/>
    <s v="German"/>
    <n v="384"/>
    <n v="4130"/>
    <n v="8"/>
    <s v="Health &amp; Wellness"/>
    <x v="100"/>
  </r>
  <r>
    <s v="TechCorp"/>
    <x v="3"/>
    <s v="Women 25-34"/>
    <s v="60 days"/>
    <x v="4"/>
    <n v="0.09"/>
    <n v="5725"/>
    <n v="2.12"/>
    <n v="70"/>
    <n v="81.785714285714292"/>
    <s v="Chicago"/>
    <s v="Spanish"/>
    <n v="783"/>
    <n v="2198"/>
    <n v="4"/>
    <s v="Foodies"/>
    <x v="101"/>
  </r>
  <r>
    <s v="NexGen Systems"/>
    <x v="1"/>
    <s v="Men 25-34"/>
    <s v="15 days"/>
    <x v="3"/>
    <n v="0.15"/>
    <n v="13571"/>
    <n v="3.98"/>
    <n v="133"/>
    <n v="102.0375939849624"/>
    <s v="Los Angeles"/>
    <s v="French"/>
    <n v="884"/>
    <n v="9638"/>
    <n v="2"/>
    <s v="Health &amp; Wellness"/>
    <x v="102"/>
  </r>
  <r>
    <s v="Alpha Innovations"/>
    <x v="0"/>
    <s v="All Ages"/>
    <s v="30 days"/>
    <x v="2"/>
    <n v="0.06"/>
    <n v="19735"/>
    <n v="7.58"/>
    <n v="11"/>
    <n v="1794.090909090909"/>
    <s v="Houston"/>
    <s v="Spanish"/>
    <n v="186"/>
    <n v="2223"/>
    <n v="6"/>
    <s v="Health &amp; Wellness"/>
    <x v="103"/>
  </r>
  <r>
    <s v="Alpha Innovations"/>
    <x v="2"/>
    <s v="Women 35-44"/>
    <s v="45 days"/>
    <x v="3"/>
    <n v="0.06"/>
    <n v="6397"/>
    <n v="5.91"/>
    <n v="39"/>
    <n v="164.02564102564102"/>
    <s v="Miami"/>
    <s v="French"/>
    <n v="655"/>
    <n v="4663"/>
    <n v="4"/>
    <s v="Foodies"/>
    <x v="104"/>
  </r>
  <r>
    <s v="NexGen Systems"/>
    <x v="1"/>
    <s v="Women 35-44"/>
    <s v="45 days"/>
    <x v="2"/>
    <n v="0.12"/>
    <n v="17670"/>
    <n v="7.12"/>
    <n v="91"/>
    <n v="194.17582417582418"/>
    <s v="Los Angeles"/>
    <s v="Mandarin"/>
    <n v="759"/>
    <n v="7663"/>
    <n v="3"/>
    <s v="Health &amp; Wellness"/>
    <x v="105"/>
  </r>
  <r>
    <s v="DataTech Solutions"/>
    <x v="2"/>
    <s v="Women 35-44"/>
    <s v="15 days"/>
    <x v="4"/>
    <n v="0.04"/>
    <n v="9212"/>
    <n v="6.3"/>
    <n v="5"/>
    <n v="1842.4"/>
    <s v="Houston"/>
    <s v="German"/>
    <n v="118"/>
    <n v="8405"/>
    <n v="4"/>
    <s v="Outdoor Adventurers"/>
    <x v="106"/>
  </r>
  <r>
    <s v="TechCorp"/>
    <x v="3"/>
    <s v="All Ages"/>
    <s v="30 days"/>
    <x v="4"/>
    <n v="0.01"/>
    <n v="16546"/>
    <n v="4.0199999999999996"/>
    <n v="8"/>
    <n v="2068.25"/>
    <s v="Los Angeles"/>
    <s v="German"/>
    <n v="757"/>
    <n v="2053"/>
    <n v="7"/>
    <s v="Foodies"/>
    <x v="107"/>
  </r>
  <r>
    <s v="Alpha Innovations"/>
    <x v="3"/>
    <s v="Men 25-34"/>
    <s v="60 days"/>
    <x v="5"/>
    <n v="0.14000000000000001"/>
    <n v="8200"/>
    <n v="3.58"/>
    <n v="109"/>
    <n v="75.22935779816514"/>
    <s v="Houston"/>
    <s v="Mandarin"/>
    <n v="775"/>
    <n v="6975"/>
    <n v="10"/>
    <s v="Outdoor Adventurers"/>
    <x v="108"/>
  </r>
  <r>
    <s v="Innovate Industries"/>
    <x v="0"/>
    <s v="All Ages"/>
    <s v="45 days"/>
    <x v="2"/>
    <n v="0.12"/>
    <n v="10159"/>
    <n v="3.45"/>
    <n v="42"/>
    <n v="241.88095238095238"/>
    <s v="New York"/>
    <s v="Spanish"/>
    <n v="349"/>
    <n v="8179"/>
    <n v="7"/>
    <s v="Tech Enthusiasts"/>
    <x v="109"/>
  </r>
  <r>
    <s v="Alpha Innovations"/>
    <x v="4"/>
    <s v="Women 35-44"/>
    <s v="60 days"/>
    <x v="2"/>
    <n v="0.05"/>
    <n v="5712"/>
    <n v="4.41"/>
    <n v="29"/>
    <n v="196.9655172413793"/>
    <s v="Houston"/>
    <s v="French"/>
    <n v="573"/>
    <n v="8646"/>
    <n v="2"/>
    <s v="Outdoor Adventurers"/>
    <x v="110"/>
  </r>
  <r>
    <s v="Alpha Innovations"/>
    <x v="3"/>
    <s v="Men 18-24"/>
    <s v="60 days"/>
    <x v="3"/>
    <n v="0.14000000000000001"/>
    <n v="10229"/>
    <n v="3.91"/>
    <n v="116"/>
    <n v="88.181034482758619"/>
    <s v="Los Angeles"/>
    <s v="German"/>
    <n v="831"/>
    <n v="5825"/>
    <n v="8"/>
    <s v="Tech Enthusiasts"/>
    <x v="111"/>
  </r>
  <r>
    <s v="TechCorp"/>
    <x v="3"/>
    <s v="Women 35-44"/>
    <s v="60 days"/>
    <x v="0"/>
    <n v="0.15"/>
    <n v="10358"/>
    <n v="3.87"/>
    <n v="148"/>
    <n v="69.986486486486484"/>
    <s v="Miami"/>
    <s v="German"/>
    <n v="985"/>
    <n v="6974"/>
    <n v="10"/>
    <s v="Foodies"/>
    <x v="112"/>
  </r>
  <r>
    <s v="DataTech Solutions"/>
    <x v="3"/>
    <s v="Men 25-34"/>
    <s v="30 days"/>
    <x v="0"/>
    <n v="0.1"/>
    <n v="10783"/>
    <n v="5.24"/>
    <n v="72"/>
    <n v="149.76388888888889"/>
    <s v="New York"/>
    <s v="Mandarin"/>
    <n v="715"/>
    <n v="3450"/>
    <n v="9"/>
    <s v="Fashionistas"/>
    <x v="113"/>
  </r>
  <r>
    <s v="Alpha Innovations"/>
    <x v="4"/>
    <s v="Women 25-34"/>
    <s v="60 days"/>
    <x v="4"/>
    <n v="0.11"/>
    <n v="11096"/>
    <n v="4.51"/>
    <n v="89"/>
    <n v="124.67415730337079"/>
    <s v="Houston"/>
    <s v="French"/>
    <n v="806"/>
    <n v="4353"/>
    <n v="7"/>
    <s v="Fashionistas"/>
    <x v="114"/>
  </r>
  <r>
    <s v="NexGen Systems"/>
    <x v="3"/>
    <s v="Women 25-34"/>
    <s v="60 days"/>
    <x v="2"/>
    <n v="0.05"/>
    <n v="11780"/>
    <n v="5.45"/>
    <n v="19"/>
    <n v="620"/>
    <s v="Miami"/>
    <s v="German"/>
    <n v="376"/>
    <n v="6635"/>
    <n v="5"/>
    <s v="Fashionistas"/>
    <x v="115"/>
  </r>
  <r>
    <s v="DataTech Solutions"/>
    <x v="0"/>
    <s v="Women 25-34"/>
    <s v="45 days"/>
    <x v="5"/>
    <n v="0.04"/>
    <n v="12054"/>
    <n v="6.48"/>
    <n v="6"/>
    <n v="2009"/>
    <s v="Los Angeles"/>
    <s v="Spanish"/>
    <n v="140"/>
    <n v="4599"/>
    <n v="8"/>
    <s v="Fashionistas"/>
    <x v="116"/>
  </r>
  <r>
    <s v="TechCorp"/>
    <x v="0"/>
    <s v="Women 35-44"/>
    <s v="60 days"/>
    <x v="5"/>
    <n v="0.06"/>
    <n v="15947"/>
    <n v="5.73"/>
    <n v="12"/>
    <n v="1328.9166666666667"/>
    <s v="Miami"/>
    <s v="Spanish"/>
    <n v="198"/>
    <n v="1820"/>
    <n v="1"/>
    <s v="Foodies"/>
    <x v="117"/>
  </r>
  <r>
    <s v="Alpha Innovations"/>
    <x v="1"/>
    <s v="Men 25-34"/>
    <s v="45 days"/>
    <x v="4"/>
    <n v="0.09"/>
    <n v="13432"/>
    <n v="2.81"/>
    <n v="78"/>
    <n v="172.2051282051282"/>
    <s v="Houston"/>
    <s v="Mandarin"/>
    <n v="868"/>
    <n v="2221"/>
    <n v="9"/>
    <s v="Foodies"/>
    <x v="118"/>
  </r>
  <r>
    <s v="Innovate Industries"/>
    <x v="3"/>
    <s v="Men 18-24"/>
    <s v="15 days"/>
    <x v="3"/>
    <n v="0.06"/>
    <n v="12031"/>
    <n v="7.41"/>
    <n v="31"/>
    <n v="388.09677419354841"/>
    <s v="Los Angeles"/>
    <s v="German"/>
    <n v="513"/>
    <n v="9586"/>
    <n v="5"/>
    <s v="Foodies"/>
    <x v="119"/>
  </r>
  <r>
    <s v="DataTech Solutions"/>
    <x v="4"/>
    <s v="Women 25-34"/>
    <s v="30 days"/>
    <x v="4"/>
    <n v="0.06"/>
    <n v="8340"/>
    <n v="5.18"/>
    <n v="28"/>
    <n v="297.85714285714283"/>
    <s v="Houston"/>
    <s v="English"/>
    <n v="463"/>
    <n v="7047"/>
    <n v="2"/>
    <s v="Fashionistas"/>
    <x v="120"/>
  </r>
  <r>
    <s v="TechCorp"/>
    <x v="0"/>
    <s v="Women 35-44"/>
    <s v="30 days"/>
    <x v="5"/>
    <n v="0.12"/>
    <n v="9014"/>
    <n v="2.19"/>
    <n v="58"/>
    <n v="155.41379310344828"/>
    <s v="New York"/>
    <s v="French"/>
    <n v="481"/>
    <n v="8990"/>
    <n v="5"/>
    <s v="Outdoor Adventurers"/>
    <x v="121"/>
  </r>
  <r>
    <s v="Innovate Industries"/>
    <x v="1"/>
    <s v="All Ages"/>
    <s v="45 days"/>
    <x v="0"/>
    <n v="7.0000000000000007E-2"/>
    <n v="11977"/>
    <n v="5.08"/>
    <n v="15"/>
    <n v="798.4666666666667"/>
    <s v="Chicago"/>
    <s v="Spanish"/>
    <n v="216"/>
    <n v="8693"/>
    <n v="5"/>
    <s v="Outdoor Adventurers"/>
    <x v="122"/>
  </r>
  <r>
    <s v="Alpha Innovations"/>
    <x v="0"/>
    <s v="Men 25-34"/>
    <s v="15 days"/>
    <x v="4"/>
    <n v="0.02"/>
    <n v="12675"/>
    <n v="4.8600000000000003"/>
    <n v="12"/>
    <n v="1056.25"/>
    <s v="Chicago"/>
    <s v="German"/>
    <n v="611"/>
    <n v="1114"/>
    <n v="5"/>
    <s v="Outdoor Adventurers"/>
    <x v="123"/>
  </r>
  <r>
    <s v="NexGen Systems"/>
    <x v="0"/>
    <s v="Men 18-24"/>
    <s v="45 days"/>
    <x v="4"/>
    <n v="0.14000000000000001"/>
    <n v="11215"/>
    <n v="3.34"/>
    <n v="96"/>
    <n v="116.82291666666667"/>
    <s v="Miami"/>
    <s v="Mandarin"/>
    <n v="688"/>
    <n v="5640"/>
    <n v="4"/>
    <s v="Fashionistas"/>
    <x v="124"/>
  </r>
  <r>
    <s v="TechCorp"/>
    <x v="1"/>
    <s v="Men 25-34"/>
    <s v="30 days"/>
    <x v="5"/>
    <n v="0.04"/>
    <n v="5685"/>
    <n v="5.74"/>
    <n v="17"/>
    <n v="334.41176470588238"/>
    <s v="Los Angeles"/>
    <s v="French"/>
    <n v="435"/>
    <n v="2918"/>
    <n v="4"/>
    <s v="Foodies"/>
    <x v="125"/>
  </r>
  <r>
    <s v="NexGen Systems"/>
    <x v="1"/>
    <s v="Women 25-34"/>
    <s v="15 days"/>
    <x v="4"/>
    <n v="0.01"/>
    <n v="13989"/>
    <n v="2.88"/>
    <n v="8"/>
    <n v="1748.625"/>
    <s v="New York"/>
    <s v="French"/>
    <n v="837"/>
    <n v="7303"/>
    <n v="3"/>
    <s v="Tech Enthusiasts"/>
    <x v="126"/>
  </r>
  <r>
    <s v="TechCorp"/>
    <x v="0"/>
    <s v="Men 18-24"/>
    <s v="45 days"/>
    <x v="1"/>
    <n v="0.11"/>
    <n v="12484"/>
    <n v="5.77"/>
    <n v="24"/>
    <n v="520.16666666666663"/>
    <s v="Miami"/>
    <s v="Mandarin"/>
    <n v="222"/>
    <n v="1622"/>
    <n v="9"/>
    <s v="Health &amp; Wellness"/>
    <x v="127"/>
  </r>
  <r>
    <s v="Alpha Innovations"/>
    <x v="4"/>
    <s v="Men 25-34"/>
    <s v="45 days"/>
    <x v="4"/>
    <n v="0.08"/>
    <n v="9270"/>
    <n v="3.27"/>
    <n v="79"/>
    <n v="117.34177215189874"/>
    <s v="Chicago"/>
    <s v="German"/>
    <n v="987"/>
    <n v="9060"/>
    <n v="10"/>
    <s v="Foodies"/>
    <x v="128"/>
  </r>
  <r>
    <s v="Alpha Innovations"/>
    <x v="0"/>
    <s v="Women 35-44"/>
    <s v="45 days"/>
    <x v="2"/>
    <n v="0.1"/>
    <n v="10539"/>
    <n v="3.27"/>
    <n v="91"/>
    <n v="115.81318681318682"/>
    <s v="Houston"/>
    <s v="Spanish"/>
    <n v="908"/>
    <n v="2673"/>
    <n v="2"/>
    <s v="Tech Enthusiasts"/>
    <x v="129"/>
  </r>
  <r>
    <s v="NexGen Systems"/>
    <x v="2"/>
    <s v="All Ages"/>
    <s v="15 days"/>
    <x v="4"/>
    <n v="0.01"/>
    <n v="7599"/>
    <n v="3.31"/>
    <n v="5"/>
    <n v="1519.8"/>
    <s v="Los Angeles"/>
    <s v="English"/>
    <n v="506"/>
    <n v="8733"/>
    <n v="9"/>
    <s v="Foodies"/>
    <x v="130"/>
  </r>
  <r>
    <s v="TechCorp"/>
    <x v="2"/>
    <s v="Women 25-34"/>
    <s v="15 days"/>
    <x v="2"/>
    <n v="7.0000000000000007E-2"/>
    <n v="18233"/>
    <n v="5.85"/>
    <n v="22"/>
    <n v="828.77272727272725"/>
    <s v="Chicago"/>
    <s v="Mandarin"/>
    <n v="317"/>
    <n v="1822"/>
    <n v="6"/>
    <s v="Outdoor Adventurers"/>
    <x v="131"/>
  </r>
  <r>
    <s v="Alpha Innovations"/>
    <x v="3"/>
    <s v="Men 25-34"/>
    <s v="45 days"/>
    <x v="3"/>
    <n v="0.11"/>
    <n v="16358"/>
    <n v="3.74"/>
    <n v="16"/>
    <n v="1022.375"/>
    <s v="New York"/>
    <s v="French"/>
    <n v="144"/>
    <n v="6270"/>
    <n v="5"/>
    <s v="Fashionistas"/>
    <x v="132"/>
  </r>
  <r>
    <s v="Alpha Innovations"/>
    <x v="2"/>
    <s v="Women 35-44"/>
    <s v="15 days"/>
    <x v="1"/>
    <n v="0.14000000000000001"/>
    <n v="14642"/>
    <n v="7.4"/>
    <n v="115"/>
    <n v="127.32173913043478"/>
    <s v="Miami"/>
    <s v="Spanish"/>
    <n v="822"/>
    <n v="2687"/>
    <n v="9"/>
    <s v="Foodies"/>
    <x v="133"/>
  </r>
  <r>
    <s v="TechCorp"/>
    <x v="0"/>
    <s v="All Ages"/>
    <s v="15 days"/>
    <x v="2"/>
    <n v="0.12"/>
    <n v="14796"/>
    <n v="4.07"/>
    <n v="40"/>
    <n v="369.9"/>
    <s v="Los Angeles"/>
    <s v="Mandarin"/>
    <n v="337"/>
    <n v="2216"/>
    <n v="8"/>
    <s v="Tech Enthusiasts"/>
    <x v="134"/>
  </r>
  <r>
    <s v="DataTech Solutions"/>
    <x v="0"/>
    <s v="All Ages"/>
    <s v="15 days"/>
    <x v="5"/>
    <n v="0.05"/>
    <n v="6747"/>
    <n v="7.67"/>
    <n v="19"/>
    <n v="355.10526315789474"/>
    <s v="Los Angeles"/>
    <s v="Mandarin"/>
    <n v="387"/>
    <n v="5694"/>
    <n v="10"/>
    <s v="Health &amp; Wellness"/>
    <x v="135"/>
  </r>
  <r>
    <s v="NexGen Systems"/>
    <x v="4"/>
    <s v="All Ages"/>
    <s v="30 days"/>
    <x v="2"/>
    <n v="0.02"/>
    <n v="19111"/>
    <n v="4.0599999999999996"/>
    <n v="13"/>
    <n v="1470.0769230769231"/>
    <s v="Chicago"/>
    <s v="English"/>
    <n v="670"/>
    <n v="3982"/>
    <n v="3"/>
    <s v="Health &amp; Wellness"/>
    <x v="136"/>
  </r>
  <r>
    <s v="NexGen Systems"/>
    <x v="2"/>
    <s v="Women 35-44"/>
    <s v="15 days"/>
    <x v="2"/>
    <n v="0.14000000000000001"/>
    <n v="16051"/>
    <n v="3.7"/>
    <n v="109"/>
    <n v="147.25688073394497"/>
    <s v="Los Angeles"/>
    <s v="Spanish"/>
    <n v="777"/>
    <n v="1596"/>
    <n v="3"/>
    <s v="Foodies"/>
    <x v="137"/>
  </r>
  <r>
    <s v="NexGen Systems"/>
    <x v="3"/>
    <s v="Women 35-44"/>
    <s v="60 days"/>
    <x v="4"/>
    <n v="0.06"/>
    <n v="5214"/>
    <n v="7.03"/>
    <n v="52"/>
    <n v="100.26923076923077"/>
    <s v="Chicago"/>
    <s v="French"/>
    <n v="869"/>
    <n v="5462"/>
    <n v="1"/>
    <s v="Foodies"/>
    <x v="138"/>
  </r>
  <r>
    <s v="TechCorp"/>
    <x v="0"/>
    <s v="Women 35-44"/>
    <s v="15 days"/>
    <x v="1"/>
    <n v="0.15"/>
    <n v="11348"/>
    <n v="6.21"/>
    <n v="62"/>
    <n v="183.03225806451613"/>
    <s v="Chicago"/>
    <s v="German"/>
    <n v="414"/>
    <n v="3758"/>
    <n v="7"/>
    <s v="Fashionistas"/>
    <x v="139"/>
  </r>
  <r>
    <s v="NexGen Systems"/>
    <x v="4"/>
    <s v="Women 35-44"/>
    <s v="60 days"/>
    <x v="5"/>
    <n v="0.14000000000000001"/>
    <n v="18357"/>
    <n v="2.74"/>
    <n v="55"/>
    <n v="333.76363636363635"/>
    <s v="New York"/>
    <s v="German"/>
    <n v="395"/>
    <n v="3038"/>
    <n v="1"/>
    <s v="Outdoor Adventurers"/>
    <x v="140"/>
  </r>
  <r>
    <s v="Alpha Innovations"/>
    <x v="1"/>
    <s v="All Ages"/>
    <s v="60 days"/>
    <x v="0"/>
    <n v="0.06"/>
    <n v="17071"/>
    <n v="6.77"/>
    <n v="46"/>
    <n v="371.10869565217394"/>
    <s v="Houston"/>
    <s v="French"/>
    <n v="772"/>
    <n v="1724"/>
    <n v="10"/>
    <s v="Outdoor Adventurers"/>
    <x v="141"/>
  </r>
  <r>
    <s v="NexGen Systems"/>
    <x v="0"/>
    <s v="Men 25-34"/>
    <s v="60 days"/>
    <x v="5"/>
    <n v="0.09"/>
    <n v="18435"/>
    <n v="7.91"/>
    <n v="33"/>
    <n v="558.63636363636363"/>
    <s v="New York"/>
    <s v="English"/>
    <n v="366"/>
    <n v="5170"/>
    <n v="2"/>
    <s v="Foodies"/>
    <x v="142"/>
  </r>
  <r>
    <s v="DataTech Solutions"/>
    <x v="1"/>
    <s v="All Ages"/>
    <s v="30 days"/>
    <x v="2"/>
    <n v="0.14000000000000001"/>
    <n v="10240"/>
    <n v="5.97"/>
    <n v="122"/>
    <n v="83.93442622950819"/>
    <s v="Houston"/>
    <s v="Mandarin"/>
    <n v="868"/>
    <n v="3410"/>
    <n v="8"/>
    <s v="Outdoor Adventurers"/>
    <x v="143"/>
  </r>
  <r>
    <s v="DataTech Solutions"/>
    <x v="0"/>
    <s v="Women 35-44"/>
    <s v="45 days"/>
    <x v="1"/>
    <n v="0.13"/>
    <n v="12126"/>
    <n v="7.53"/>
    <n v="79"/>
    <n v="153.49367088607596"/>
    <s v="Houston"/>
    <s v="German"/>
    <n v="605"/>
    <n v="8048"/>
    <n v="6"/>
    <s v="Tech Enthusiasts"/>
    <x v="144"/>
  </r>
  <r>
    <s v="NexGen Systems"/>
    <x v="2"/>
    <s v="Women 35-44"/>
    <s v="45 days"/>
    <x v="4"/>
    <n v="0.11"/>
    <n v="16198"/>
    <n v="6.34"/>
    <n v="73"/>
    <n v="221.89041095890411"/>
    <s v="Houston"/>
    <s v="English"/>
    <n v="667"/>
    <n v="7095"/>
    <n v="10"/>
    <s v="Outdoor Adventurers"/>
    <x v="145"/>
  </r>
  <r>
    <s v="TechCorp"/>
    <x v="2"/>
    <s v="Women 35-44"/>
    <s v="45 days"/>
    <x v="1"/>
    <n v="0.09"/>
    <n v="16123"/>
    <n v="7.78"/>
    <n v="25"/>
    <n v="644.91999999999996"/>
    <s v="Chicago"/>
    <s v="English"/>
    <n v="282"/>
    <n v="5001"/>
    <n v="7"/>
    <s v="Tech Enthusiasts"/>
    <x v="146"/>
  </r>
  <r>
    <s v="DataTech Solutions"/>
    <x v="2"/>
    <s v="Women 35-44"/>
    <s v="45 days"/>
    <x v="0"/>
    <n v="0.06"/>
    <n v="13308"/>
    <n v="7.56"/>
    <n v="34"/>
    <n v="391.41176470588238"/>
    <s v="Miami"/>
    <s v="English"/>
    <n v="571"/>
    <n v="3118"/>
    <n v="10"/>
    <s v="Tech Enthusiasts"/>
    <x v="147"/>
  </r>
  <r>
    <s v="DataTech Solutions"/>
    <x v="4"/>
    <s v="Women 35-44"/>
    <s v="60 days"/>
    <x v="2"/>
    <n v="0.11"/>
    <n v="5665"/>
    <n v="4.22"/>
    <n v="27"/>
    <n v="209.81481481481481"/>
    <s v="Chicago"/>
    <s v="English"/>
    <n v="241"/>
    <n v="3266"/>
    <n v="2"/>
    <s v="Health &amp; Wellness"/>
    <x v="148"/>
  </r>
  <r>
    <s v="DataTech Solutions"/>
    <x v="1"/>
    <s v="Men 18-24"/>
    <s v="60 days"/>
    <x v="1"/>
    <n v="0.15"/>
    <n v="13060"/>
    <n v="6.6"/>
    <n v="50"/>
    <n v="261.2"/>
    <s v="Chicago"/>
    <s v="German"/>
    <n v="334"/>
    <n v="4892"/>
    <n v="6"/>
    <s v="Foodies"/>
    <x v="149"/>
  </r>
  <r>
    <s v="DataTech Solutions"/>
    <x v="4"/>
    <s v="All Ages"/>
    <s v="15 days"/>
    <x v="1"/>
    <n v="7.0000000000000007E-2"/>
    <n v="16729"/>
    <n v="5.65"/>
    <n v="63"/>
    <n v="265.53968253968253"/>
    <s v="New York"/>
    <s v="English"/>
    <n v="906"/>
    <n v="1004"/>
    <n v="10"/>
    <s v="Outdoor Adventurers"/>
    <x v="150"/>
  </r>
  <r>
    <s v="Innovate Industries"/>
    <x v="0"/>
    <s v="Women 35-44"/>
    <s v="45 days"/>
    <x v="0"/>
    <n v="0.06"/>
    <n v="6095"/>
    <n v="2.58"/>
    <n v="20"/>
    <n v="304.75"/>
    <s v="Chicago"/>
    <s v="Spanish"/>
    <n v="330"/>
    <n v="8440"/>
    <n v="7"/>
    <s v="Tech Enthusiasts"/>
    <x v="151"/>
  </r>
  <r>
    <s v="NexGen Systems"/>
    <x v="2"/>
    <s v="All Ages"/>
    <s v="30 days"/>
    <x v="2"/>
    <n v="0.02"/>
    <n v="16296"/>
    <n v="3.13"/>
    <n v="16"/>
    <n v="1018.5"/>
    <s v="New York"/>
    <s v="Spanish"/>
    <n v="790"/>
    <n v="9439"/>
    <n v="1"/>
    <s v="Outdoor Adventurers"/>
    <x v="152"/>
  </r>
  <r>
    <s v="DataTech Solutions"/>
    <x v="3"/>
    <s v="Men 18-24"/>
    <s v="45 days"/>
    <x v="3"/>
    <n v="0.08"/>
    <n v="6267"/>
    <n v="5.5"/>
    <n v="24"/>
    <n v="261.125"/>
    <s v="New York"/>
    <s v="Mandarin"/>
    <n v="300"/>
    <n v="9784"/>
    <n v="1"/>
    <s v="Fashionistas"/>
    <x v="153"/>
  </r>
  <r>
    <s v="TechCorp"/>
    <x v="2"/>
    <s v="Men 18-24"/>
    <s v="60 days"/>
    <x v="2"/>
    <n v="0.11"/>
    <n v="15307"/>
    <n v="3.03"/>
    <n v="62"/>
    <n v="246.88709677419354"/>
    <s v="New York"/>
    <s v="Spanish"/>
    <n v="560"/>
    <n v="8180"/>
    <n v="7"/>
    <s v="Health &amp; Wellness"/>
    <x v="154"/>
  </r>
  <r>
    <s v="DataTech Solutions"/>
    <x v="4"/>
    <s v="Women 25-34"/>
    <s v="15 days"/>
    <x v="1"/>
    <n v="0.04"/>
    <n v="14116"/>
    <n v="6.28"/>
    <n v="10"/>
    <n v="1411.6"/>
    <s v="Los Angeles"/>
    <s v="English"/>
    <n v="244"/>
    <n v="3565"/>
    <n v="5"/>
    <s v="Tech Enthusiasts"/>
    <x v="155"/>
  </r>
  <r>
    <s v="TechCorp"/>
    <x v="0"/>
    <s v="Women 35-44"/>
    <s v="30 days"/>
    <x v="0"/>
    <n v="0.03"/>
    <n v="16101"/>
    <n v="6.12"/>
    <n v="26"/>
    <n v="619.26923076923072"/>
    <s v="Chicago"/>
    <s v="Mandarin"/>
    <n v="851"/>
    <n v="5365"/>
    <n v="9"/>
    <s v="Foodies"/>
    <x v="156"/>
  </r>
  <r>
    <s v="NexGen Systems"/>
    <x v="3"/>
    <s v="Women 35-44"/>
    <s v="30 days"/>
    <x v="3"/>
    <n v="0.06"/>
    <n v="14863"/>
    <n v="2.34"/>
    <n v="34"/>
    <n v="437.14705882352939"/>
    <s v="New York"/>
    <s v="Mandarin"/>
    <n v="566"/>
    <n v="7998"/>
    <n v="7"/>
    <s v="Tech Enthusiasts"/>
    <x v="157"/>
  </r>
  <r>
    <s v="DataTech Solutions"/>
    <x v="1"/>
    <s v="Men 25-34"/>
    <s v="15 days"/>
    <x v="0"/>
    <n v="0.08"/>
    <n v="9277"/>
    <n v="4.2699999999999996"/>
    <n v="77"/>
    <n v="120.48051948051948"/>
    <s v="New York"/>
    <s v="French"/>
    <n v="965"/>
    <n v="6798"/>
    <n v="3"/>
    <s v="Fashionistas"/>
    <x v="158"/>
  </r>
  <r>
    <s v="TechCorp"/>
    <x v="3"/>
    <s v="Women 25-34"/>
    <s v="60 days"/>
    <x v="4"/>
    <n v="7.0000000000000007E-2"/>
    <n v="12535"/>
    <n v="5.91"/>
    <n v="29"/>
    <n v="432.24137931034483"/>
    <s v="Miami"/>
    <s v="French"/>
    <n v="415"/>
    <n v="1824"/>
    <n v="9"/>
    <s v="Foodies"/>
    <x v="159"/>
  </r>
  <r>
    <s v="DataTech Solutions"/>
    <x v="0"/>
    <s v="Men 18-24"/>
    <s v="15 days"/>
    <x v="4"/>
    <n v="0.03"/>
    <n v="18550"/>
    <n v="5.99"/>
    <n v="13"/>
    <n v="1426.9230769230769"/>
    <s v="Los Angeles"/>
    <s v="German"/>
    <n v="428"/>
    <n v="7371"/>
    <n v="9"/>
    <s v="Health &amp; Wellness"/>
    <x v="160"/>
  </r>
  <r>
    <s v="TechCorp"/>
    <x v="3"/>
    <s v="Women 35-44"/>
    <s v="15 days"/>
    <x v="1"/>
    <n v="0.03"/>
    <n v="8149"/>
    <n v="2.75"/>
    <n v="15"/>
    <n v="543.26666666666665"/>
    <s v="Los Angeles"/>
    <s v="English"/>
    <n v="487"/>
    <n v="6102"/>
    <n v="2"/>
    <s v="Health &amp; Wellness"/>
    <x v="161"/>
  </r>
  <r>
    <s v="NexGen Systems"/>
    <x v="2"/>
    <s v="Women 25-34"/>
    <s v="30 days"/>
    <x v="5"/>
    <n v="0.06"/>
    <n v="13310"/>
    <n v="3.16"/>
    <n v="20"/>
    <n v="665.5"/>
    <s v="Chicago"/>
    <s v="English"/>
    <n v="334"/>
    <n v="3350"/>
    <n v="8"/>
    <s v="Tech Enthusiasts"/>
    <x v="162"/>
  </r>
  <r>
    <s v="NexGen Systems"/>
    <x v="0"/>
    <s v="Men 18-24"/>
    <s v="45 days"/>
    <x v="1"/>
    <n v="0.09"/>
    <n v="16130"/>
    <n v="6.96"/>
    <n v="82"/>
    <n v="196.70731707317074"/>
    <s v="Miami"/>
    <s v="French"/>
    <n v="912"/>
    <n v="8343"/>
    <n v="6"/>
    <s v="Tech Enthusiasts"/>
    <x v="163"/>
  </r>
  <r>
    <s v="TechCorp"/>
    <x v="0"/>
    <s v="Women 35-44"/>
    <s v="15 days"/>
    <x v="5"/>
    <n v="0.08"/>
    <n v="11288"/>
    <n v="2.29"/>
    <n v="46"/>
    <n v="245.39130434782609"/>
    <s v="Los Angeles"/>
    <s v="Mandarin"/>
    <n v="577"/>
    <n v="5936"/>
    <n v="8"/>
    <s v="Fashionistas"/>
    <x v="164"/>
  </r>
  <r>
    <s v="NexGen Systems"/>
    <x v="3"/>
    <s v="Women 25-34"/>
    <s v="30 days"/>
    <x v="1"/>
    <n v="0.1"/>
    <n v="18218"/>
    <n v="3.86"/>
    <n v="45"/>
    <n v="404.84444444444443"/>
    <s v="New York"/>
    <s v="Spanish"/>
    <n v="452"/>
    <n v="4033"/>
    <n v="5"/>
    <s v="Fashionistas"/>
    <x v="165"/>
  </r>
  <r>
    <s v="DataTech Solutions"/>
    <x v="1"/>
    <s v="Women 35-44"/>
    <s v="30 days"/>
    <x v="3"/>
    <n v="0.02"/>
    <n v="5708"/>
    <n v="3.72"/>
    <n v="7"/>
    <n v="815.42857142857144"/>
    <s v="Chicago"/>
    <s v="Mandarin"/>
    <n v="345"/>
    <n v="7102"/>
    <n v="6"/>
    <s v="Fashionistas"/>
    <x v="166"/>
  </r>
  <r>
    <s v="Innovate Industries"/>
    <x v="0"/>
    <s v="Men 25-34"/>
    <s v="30 days"/>
    <x v="0"/>
    <n v="0.12"/>
    <n v="11855"/>
    <n v="2.66"/>
    <n v="13"/>
    <n v="911.92307692307691"/>
    <s v="Chicago"/>
    <s v="Spanish"/>
    <n v="105"/>
    <n v="2234"/>
    <n v="8"/>
    <s v="Fashionistas"/>
    <x v="167"/>
  </r>
  <r>
    <s v="NexGen Systems"/>
    <x v="2"/>
    <s v="All Ages"/>
    <s v="60 days"/>
    <x v="0"/>
    <n v="0.12"/>
    <n v="18287"/>
    <n v="6.53"/>
    <n v="19"/>
    <n v="962.47368421052636"/>
    <s v="Miami"/>
    <s v="German"/>
    <n v="157"/>
    <n v="5905"/>
    <n v="5"/>
    <s v="Foodies"/>
    <x v="168"/>
  </r>
  <r>
    <s v="TechCorp"/>
    <x v="4"/>
    <s v="Men 25-34"/>
    <s v="45 days"/>
    <x v="5"/>
    <n v="0.02"/>
    <n v="11618"/>
    <n v="6.73"/>
    <n v="15"/>
    <n v="774.5333333333333"/>
    <s v="Chicago"/>
    <s v="Spanish"/>
    <n v="746"/>
    <n v="4190"/>
    <n v="8"/>
    <s v="Health &amp; Wellness"/>
    <x v="169"/>
  </r>
  <r>
    <s v="DataTech Solutions"/>
    <x v="3"/>
    <s v="Women 25-34"/>
    <s v="15 days"/>
    <x v="1"/>
    <n v="0.11"/>
    <n v="6238"/>
    <n v="4.9000000000000004"/>
    <n v="109"/>
    <n v="57.22935779816514"/>
    <s v="Los Angeles"/>
    <s v="Spanish"/>
    <n v="989"/>
    <n v="5228"/>
    <n v="6"/>
    <s v="Fashionistas"/>
    <x v="170"/>
  </r>
  <r>
    <s v="DataTech Solutions"/>
    <x v="0"/>
    <s v="All Ages"/>
    <s v="45 days"/>
    <x v="5"/>
    <n v="0.12"/>
    <n v="15848"/>
    <n v="7.26"/>
    <n v="105"/>
    <n v="150.93333333333334"/>
    <s v="New York"/>
    <s v="German"/>
    <n v="877"/>
    <n v="3471"/>
    <n v="1"/>
    <s v="Tech Enthusiasts"/>
    <x v="171"/>
  </r>
  <r>
    <s v="Innovate Industries"/>
    <x v="1"/>
    <s v="All Ages"/>
    <s v="60 days"/>
    <x v="3"/>
    <n v="0.04"/>
    <n v="5928"/>
    <n v="7.53"/>
    <n v="32"/>
    <n v="185.25"/>
    <s v="Los Angeles"/>
    <s v="English"/>
    <n v="795"/>
    <n v="7633"/>
    <n v="7"/>
    <s v="Health &amp; Wellness"/>
    <x v="172"/>
  </r>
  <r>
    <s v="NexGen Systems"/>
    <x v="0"/>
    <s v="All Ages"/>
    <s v="60 days"/>
    <x v="5"/>
    <n v="0.1"/>
    <n v="6252"/>
    <n v="6.28"/>
    <n v="63"/>
    <n v="99.238095238095241"/>
    <s v="Los Angeles"/>
    <s v="French"/>
    <n v="629"/>
    <n v="4581"/>
    <n v="2"/>
    <s v="Foodies"/>
    <x v="173"/>
  </r>
  <r>
    <s v="NexGen Systems"/>
    <x v="0"/>
    <s v="Women 35-44"/>
    <s v="30 days"/>
    <x v="2"/>
    <n v="0.1"/>
    <n v="6796"/>
    <n v="6.65"/>
    <n v="24"/>
    <n v="283.16666666666669"/>
    <s v="Los Angeles"/>
    <s v="English"/>
    <n v="238"/>
    <n v="3730"/>
    <n v="10"/>
    <s v="Tech Enthusiasts"/>
    <x v="174"/>
  </r>
  <r>
    <s v="NexGen Systems"/>
    <x v="0"/>
    <s v="Men 25-34"/>
    <s v="15 days"/>
    <x v="4"/>
    <n v="0.1"/>
    <n v="9895"/>
    <n v="4.5599999999999996"/>
    <n v="27"/>
    <n v="366.48148148148147"/>
    <s v="Los Angeles"/>
    <s v="French"/>
    <n v="272"/>
    <n v="7435"/>
    <n v="5"/>
    <s v="Health &amp; Wellness"/>
    <x v="175"/>
  </r>
  <r>
    <s v="Alpha Innovations"/>
    <x v="1"/>
    <s v="All Ages"/>
    <s v="30 days"/>
    <x v="0"/>
    <n v="0.12"/>
    <n v="18104"/>
    <n v="5.45"/>
    <n v="44"/>
    <n v="411.45454545454544"/>
    <s v="Chicago"/>
    <s v="English"/>
    <n v="368"/>
    <n v="5530"/>
    <n v="5"/>
    <s v="Fashionistas"/>
    <x v="176"/>
  </r>
  <r>
    <s v="TechCorp"/>
    <x v="4"/>
    <s v="Women 25-34"/>
    <s v="30 days"/>
    <x v="3"/>
    <n v="0.03"/>
    <n v="8859"/>
    <n v="7"/>
    <n v="30"/>
    <n v="295.3"/>
    <s v="New York"/>
    <s v="Spanish"/>
    <n v="992"/>
    <n v="7574"/>
    <n v="9"/>
    <s v="Health &amp; Wellness"/>
    <x v="177"/>
  </r>
  <r>
    <s v="DataTech Solutions"/>
    <x v="4"/>
    <s v="Men 25-34"/>
    <s v="60 days"/>
    <x v="4"/>
    <n v="0.09"/>
    <n v="14503"/>
    <n v="6.64"/>
    <n v="20"/>
    <n v="725.15"/>
    <s v="Chicago"/>
    <s v="French"/>
    <n v="221"/>
    <n v="3567"/>
    <n v="5"/>
    <s v="Foodies"/>
    <x v="178"/>
  </r>
  <r>
    <s v="NexGen Systems"/>
    <x v="2"/>
    <s v="Men 18-24"/>
    <s v="30 days"/>
    <x v="5"/>
    <n v="7.0000000000000007E-2"/>
    <n v="10743"/>
    <n v="5.03"/>
    <n v="53"/>
    <n v="202.69811320754718"/>
    <s v="New York"/>
    <s v="Mandarin"/>
    <n v="752"/>
    <n v="1807"/>
    <n v="6"/>
    <s v="Fashionistas"/>
    <x v="179"/>
  </r>
  <r>
    <s v="Alpha Innovations"/>
    <x v="0"/>
    <s v="Men 18-24"/>
    <s v="15 days"/>
    <x v="0"/>
    <n v="0.04"/>
    <n v="17569"/>
    <n v="4.26"/>
    <n v="36"/>
    <n v="488.02777777777777"/>
    <s v="New York"/>
    <s v="French"/>
    <n v="895"/>
    <n v="2185"/>
    <n v="5"/>
    <s v="Tech Enthusiasts"/>
    <x v="180"/>
  </r>
  <r>
    <s v="Alpha Innovations"/>
    <x v="0"/>
    <s v="Men 18-24"/>
    <s v="45 days"/>
    <x v="2"/>
    <n v="7.0000000000000007E-2"/>
    <n v="11926"/>
    <n v="2.39"/>
    <n v="44"/>
    <n v="271.04545454545456"/>
    <s v="Los Angeles"/>
    <s v="Spanish"/>
    <n v="631"/>
    <n v="1485"/>
    <n v="3"/>
    <s v="Outdoor Adventurers"/>
    <x v="181"/>
  </r>
  <r>
    <s v="NexGen Systems"/>
    <x v="2"/>
    <s v="Women 25-34"/>
    <s v="60 days"/>
    <x v="2"/>
    <n v="0.03"/>
    <n v="14374"/>
    <n v="4.1399999999999997"/>
    <n v="26"/>
    <n v="552.84615384615381"/>
    <s v="New York"/>
    <s v="Spanish"/>
    <n v="865"/>
    <n v="8480"/>
    <n v="7"/>
    <s v="Foodies"/>
    <x v="182"/>
  </r>
  <r>
    <s v="Innovate Industries"/>
    <x v="0"/>
    <s v="Men 25-34"/>
    <s v="60 days"/>
    <x v="5"/>
    <n v="0.01"/>
    <n v="9887"/>
    <n v="4.68"/>
    <n v="5"/>
    <n v="1977.4"/>
    <s v="Houston"/>
    <s v="German"/>
    <n v="501"/>
    <n v="8783"/>
    <n v="8"/>
    <s v="Tech Enthusiasts"/>
    <x v="183"/>
  </r>
  <r>
    <s v="NexGen Systems"/>
    <x v="3"/>
    <s v="Women 35-44"/>
    <s v="45 days"/>
    <x v="3"/>
    <n v="0.12"/>
    <n v="8325"/>
    <n v="6.76"/>
    <n v="102"/>
    <n v="81.617647058823536"/>
    <s v="Chicago"/>
    <s v="Mandarin"/>
    <n v="852"/>
    <n v="3570"/>
    <n v="6"/>
    <s v="Tech Enthusiasts"/>
    <x v="184"/>
  </r>
  <r>
    <s v="NexGen Systems"/>
    <x v="0"/>
    <s v="Women 25-34"/>
    <s v="30 days"/>
    <x v="5"/>
    <n v="7.0000000000000007E-2"/>
    <n v="13432"/>
    <n v="3.34"/>
    <n v="14"/>
    <n v="959.42857142857144"/>
    <s v="Los Angeles"/>
    <s v="Spanish"/>
    <n v="197"/>
    <n v="5963"/>
    <n v="7"/>
    <s v="Fashionistas"/>
    <x v="185"/>
  </r>
  <r>
    <s v="DataTech Solutions"/>
    <x v="0"/>
    <s v="Men 25-34"/>
    <s v="60 days"/>
    <x v="4"/>
    <n v="0.03"/>
    <n v="12460"/>
    <n v="4.8899999999999997"/>
    <n v="16"/>
    <n v="778.75"/>
    <s v="Miami"/>
    <s v="English"/>
    <n v="548"/>
    <n v="2500"/>
    <n v="9"/>
    <s v="Tech Enthusiasts"/>
    <x v="186"/>
  </r>
  <r>
    <s v="Alpha Innovations"/>
    <x v="3"/>
    <s v="All Ages"/>
    <s v="45 days"/>
    <x v="5"/>
    <n v="0.11"/>
    <n v="8952"/>
    <n v="2.27"/>
    <n v="59"/>
    <n v="151.72881355932202"/>
    <s v="Chicago"/>
    <s v="English"/>
    <n v="536"/>
    <n v="7119"/>
    <n v="4"/>
    <s v="Tech Enthusiasts"/>
    <x v="187"/>
  </r>
  <r>
    <s v="DataTech Solutions"/>
    <x v="0"/>
    <s v="Men 25-34"/>
    <s v="15 days"/>
    <x v="3"/>
    <n v="0.02"/>
    <n v="10898"/>
    <n v="5.21"/>
    <n v="16"/>
    <n v="681.125"/>
    <s v="Los Angeles"/>
    <s v="French"/>
    <n v="821"/>
    <n v="4209"/>
    <n v="3"/>
    <s v="Health &amp; Wellness"/>
    <x v="188"/>
  </r>
  <r>
    <s v="Alpha Innovations"/>
    <x v="0"/>
    <s v="Women 25-34"/>
    <s v="30 days"/>
    <x v="0"/>
    <n v="0.14000000000000001"/>
    <n v="10707"/>
    <n v="7.04"/>
    <n v="36"/>
    <n v="297.41666666666669"/>
    <s v="Los Angeles"/>
    <s v="French"/>
    <n v="254"/>
    <n v="7406"/>
    <n v="6"/>
    <s v="Tech Enthusiasts"/>
    <x v="189"/>
  </r>
  <r>
    <s v="Innovate Industries"/>
    <x v="4"/>
    <s v="Women 35-44"/>
    <s v="15 days"/>
    <x v="0"/>
    <n v="0.14000000000000001"/>
    <n v="8395"/>
    <n v="5.18"/>
    <n v="67"/>
    <n v="125.29850746268657"/>
    <s v="Miami"/>
    <s v="German"/>
    <n v="478"/>
    <n v="7786"/>
    <n v="4"/>
    <s v="Foodies"/>
    <x v="190"/>
  </r>
  <r>
    <s v="DataTech Solutions"/>
    <x v="0"/>
    <s v="Women 35-44"/>
    <s v="30 days"/>
    <x v="1"/>
    <n v="0.01"/>
    <n v="10584"/>
    <n v="6.12"/>
    <n v="6"/>
    <n v="1764"/>
    <s v="Houston"/>
    <s v="English"/>
    <n v="557"/>
    <n v="2592"/>
    <n v="3"/>
    <s v="Health &amp; Wellness"/>
    <x v="191"/>
  </r>
  <r>
    <s v="Innovate Industries"/>
    <x v="0"/>
    <s v="All Ages"/>
    <s v="15 days"/>
    <x v="3"/>
    <n v="0.15"/>
    <n v="7380"/>
    <n v="2.06"/>
    <n v="25"/>
    <n v="295.2"/>
    <s v="Chicago"/>
    <s v="French"/>
    <n v="167"/>
    <n v="1664"/>
    <n v="1"/>
    <s v="Tech Enthusiasts"/>
    <x v="192"/>
  </r>
  <r>
    <s v="NexGen Systems"/>
    <x v="2"/>
    <s v="All Ages"/>
    <s v="60 days"/>
    <x v="3"/>
    <n v="0.1"/>
    <n v="15133"/>
    <n v="5.77"/>
    <n v="94"/>
    <n v="160.98936170212767"/>
    <s v="Houston"/>
    <s v="English"/>
    <n v="942"/>
    <n v="4659"/>
    <n v="5"/>
    <s v="Health &amp; Wellness"/>
    <x v="193"/>
  </r>
  <r>
    <s v="Alpha Innovations"/>
    <x v="0"/>
    <s v="Women 25-34"/>
    <s v="30 days"/>
    <x v="4"/>
    <n v="0.08"/>
    <n v="5915"/>
    <n v="5.93"/>
    <n v="40"/>
    <n v="147.875"/>
    <s v="Houston"/>
    <s v="English"/>
    <n v="497"/>
    <n v="5947"/>
    <n v="3"/>
    <s v="Foodies"/>
    <x v="194"/>
  </r>
  <r>
    <s v="TechCorp"/>
    <x v="1"/>
    <s v="Women 35-44"/>
    <s v="60 days"/>
    <x v="5"/>
    <n v="0.04"/>
    <n v="10986"/>
    <n v="4.1500000000000004"/>
    <n v="14"/>
    <n v="784.71428571428567"/>
    <s v="New York"/>
    <s v="Mandarin"/>
    <n v="341"/>
    <n v="9594"/>
    <n v="5"/>
    <s v="Fashionistas"/>
    <x v="195"/>
  </r>
  <r>
    <s v="DataTech Solutions"/>
    <x v="4"/>
    <s v="Men 25-34"/>
    <s v="45 days"/>
    <x v="5"/>
    <n v="0.03"/>
    <n v="10887"/>
    <n v="5.23"/>
    <n v="24"/>
    <n v="453.625"/>
    <s v="Houston"/>
    <s v="Mandarin"/>
    <n v="804"/>
    <n v="8062"/>
    <n v="8"/>
    <s v="Health &amp; Wellness"/>
    <x v="196"/>
  </r>
  <r>
    <s v="Alpha Innovations"/>
    <x v="0"/>
    <s v="All Ages"/>
    <s v="60 days"/>
    <x v="2"/>
    <n v="0.15"/>
    <n v="5790"/>
    <n v="7.21"/>
    <n v="86"/>
    <n v="67.325581395348834"/>
    <s v="New York"/>
    <s v="Mandarin"/>
    <n v="573"/>
    <n v="6648"/>
    <n v="9"/>
    <s v="Health &amp; Wellness"/>
    <x v="197"/>
  </r>
  <r>
    <s v="Innovate Industries"/>
    <x v="0"/>
    <s v="Men 25-34"/>
    <s v="45 days"/>
    <x v="5"/>
    <n v="0.09"/>
    <n v="11754"/>
    <n v="4.4400000000000004"/>
    <n v="73"/>
    <n v="161.01369863013699"/>
    <s v="Chicago"/>
    <s v="French"/>
    <n v="810"/>
    <n v="4274"/>
    <n v="3"/>
    <s v="Tech Enthusiasts"/>
    <x v="198"/>
  </r>
  <r>
    <s v="TechCorp"/>
    <x v="0"/>
    <s v="Women 25-34"/>
    <s v="60 days"/>
    <x v="4"/>
    <n v="0.03"/>
    <n v="5547"/>
    <n v="6.94"/>
    <n v="13"/>
    <n v="426.69230769230768"/>
    <s v="Miami"/>
    <s v="English"/>
    <n v="418"/>
    <n v="2397"/>
    <n v="6"/>
    <s v="Foodies"/>
    <x v="199"/>
  </r>
  <r>
    <s v="Innovate Industries"/>
    <x v="0"/>
    <s v="Women 25-34"/>
    <s v="30 days"/>
    <x v="2"/>
    <n v="0.11"/>
    <n v="7649"/>
    <n v="7.6"/>
    <n v="66"/>
    <n v="115.89393939393939"/>
    <s v="Los Angeles"/>
    <s v="French"/>
    <n v="601"/>
    <n v="5735"/>
    <n v="6"/>
    <s v="Tech Enthusiasts"/>
    <x v="200"/>
  </r>
  <r>
    <s v="DataTech Solutions"/>
    <x v="1"/>
    <s v="Men 25-34"/>
    <s v="30 days"/>
    <x v="2"/>
    <n v="0.15"/>
    <n v="17171"/>
    <n v="2.69"/>
    <n v="133"/>
    <n v="129.10526315789474"/>
    <s v="Chicago"/>
    <s v="English"/>
    <n v="888"/>
    <n v="9348"/>
    <n v="4"/>
    <s v="Foodies"/>
    <x v="201"/>
  </r>
  <r>
    <s v="NexGen Systems"/>
    <x v="4"/>
    <s v="Men 25-34"/>
    <s v="30 days"/>
    <x v="2"/>
    <n v="0.11"/>
    <n v="12348"/>
    <n v="3.54"/>
    <n v="67"/>
    <n v="184.29850746268656"/>
    <s v="Los Angeles"/>
    <s v="German"/>
    <n v="608"/>
    <n v="7469"/>
    <n v="2"/>
    <s v="Fashionistas"/>
    <x v="202"/>
  </r>
  <r>
    <s v="DataTech Solutions"/>
    <x v="4"/>
    <s v="Men 25-34"/>
    <s v="15 days"/>
    <x v="2"/>
    <n v="0.08"/>
    <n v="11913"/>
    <n v="7.14"/>
    <n v="63"/>
    <n v="189.0952380952381"/>
    <s v="Miami"/>
    <s v="German"/>
    <n v="789"/>
    <n v="7249"/>
    <n v="8"/>
    <s v="Tech Enthusiasts"/>
    <x v="203"/>
  </r>
  <r>
    <s v="NexGen Systems"/>
    <x v="0"/>
    <s v="Women 35-44"/>
    <s v="30 days"/>
    <x v="3"/>
    <n v="0.14000000000000001"/>
    <n v="6667"/>
    <n v="6.29"/>
    <n v="107"/>
    <n v="62.308411214953274"/>
    <s v="Los Angeles"/>
    <s v="English"/>
    <n v="762"/>
    <n v="5469"/>
    <n v="9"/>
    <s v="Health &amp; Wellness"/>
    <x v="204"/>
  </r>
  <r>
    <s v="Innovate Industries"/>
    <x v="0"/>
    <s v="All Ages"/>
    <s v="30 days"/>
    <x v="3"/>
    <n v="0.14000000000000001"/>
    <n v="14660"/>
    <n v="4.0599999999999996"/>
    <n v="38"/>
    <n v="385.78947368421052"/>
    <s v="Miami"/>
    <s v="English"/>
    <n v="273"/>
    <n v="4775"/>
    <n v="7"/>
    <s v="Tech Enthusiasts"/>
    <x v="205"/>
  </r>
  <r>
    <s v="Innovate Industries"/>
    <x v="4"/>
    <s v="All Ages"/>
    <s v="60 days"/>
    <x v="5"/>
    <n v="0.12"/>
    <n v="8139"/>
    <n v="2.04"/>
    <n v="108"/>
    <n v="75.361111111111114"/>
    <s v="Miami"/>
    <s v="Mandarin"/>
    <n v="899"/>
    <n v="6510"/>
    <n v="5"/>
    <s v="Outdoor Adventurers"/>
    <x v="206"/>
  </r>
  <r>
    <s v="NexGen Systems"/>
    <x v="3"/>
    <s v="Women 35-44"/>
    <s v="45 days"/>
    <x v="2"/>
    <n v="0.12"/>
    <n v="14458"/>
    <n v="6.2"/>
    <n v="90"/>
    <n v="160.64444444444445"/>
    <s v="Miami"/>
    <s v="English"/>
    <n v="747"/>
    <n v="3517"/>
    <n v="9"/>
    <s v="Outdoor Adventurers"/>
    <x v="207"/>
  </r>
  <r>
    <s v="TechCorp"/>
    <x v="1"/>
    <s v="All Ages"/>
    <s v="60 days"/>
    <x v="5"/>
    <n v="0.08"/>
    <n v="12913"/>
    <n v="6.38"/>
    <n v="22"/>
    <n v="586.9545454545455"/>
    <s v="Miami"/>
    <s v="Mandarin"/>
    <n v="270"/>
    <n v="7095"/>
    <n v="6"/>
    <s v="Outdoor Adventurers"/>
    <x v="208"/>
  </r>
  <r>
    <s v="TechCorp"/>
    <x v="0"/>
    <s v="Women 25-34"/>
    <s v="30 days"/>
    <x v="5"/>
    <n v="0.03"/>
    <n v="5381"/>
    <n v="5.48"/>
    <n v="10"/>
    <n v="538.1"/>
    <s v="New York"/>
    <s v="Mandarin"/>
    <n v="321"/>
    <n v="2376"/>
    <n v="8"/>
    <s v="Foodies"/>
    <x v="209"/>
  </r>
  <r>
    <s v="Innovate Industries"/>
    <x v="2"/>
    <s v="Women 35-44"/>
    <s v="30 days"/>
    <x v="4"/>
    <n v="0.12"/>
    <n v="8149"/>
    <n v="7.58"/>
    <n v="101"/>
    <n v="80.683168316831683"/>
    <s v="New York"/>
    <s v="Mandarin"/>
    <n v="843"/>
    <n v="2541"/>
    <n v="6"/>
    <s v="Tech Enthusiasts"/>
    <x v="210"/>
  </r>
  <r>
    <s v="TechCorp"/>
    <x v="3"/>
    <s v="Women 25-34"/>
    <s v="45 days"/>
    <x v="5"/>
    <n v="0.14000000000000001"/>
    <n v="19289"/>
    <n v="3.07"/>
    <n v="131"/>
    <n v="147.24427480916032"/>
    <s v="Houston"/>
    <s v="Mandarin"/>
    <n v="934"/>
    <n v="1129"/>
    <n v="7"/>
    <s v="Outdoor Adventurers"/>
    <x v="211"/>
  </r>
  <r>
    <s v="NexGen Systems"/>
    <x v="1"/>
    <s v="Men 25-34"/>
    <s v="30 days"/>
    <x v="2"/>
    <n v="0.11"/>
    <n v="8735"/>
    <n v="5.2"/>
    <n v="49"/>
    <n v="178.26530612244898"/>
    <s v="Miami"/>
    <s v="Spanish"/>
    <n v="447"/>
    <n v="9463"/>
    <n v="2"/>
    <s v="Fashionistas"/>
    <x v="212"/>
  </r>
  <r>
    <s v="Innovate Industries"/>
    <x v="3"/>
    <s v="Women 25-34"/>
    <s v="45 days"/>
    <x v="2"/>
    <n v="0.05"/>
    <n v="13284"/>
    <n v="6.35"/>
    <n v="46"/>
    <n v="288.78260869565219"/>
    <s v="Houston"/>
    <s v="Mandarin"/>
    <n v="925"/>
    <n v="5345"/>
    <n v="5"/>
    <s v="Tech Enthusiasts"/>
    <x v="213"/>
  </r>
  <r>
    <s v="Innovate Industries"/>
    <x v="2"/>
    <s v="Men 18-24"/>
    <s v="15 days"/>
    <x v="2"/>
    <n v="0.14000000000000001"/>
    <n v="17183"/>
    <n v="5.8"/>
    <n v="128"/>
    <n v="134.2421875"/>
    <s v="New York"/>
    <s v="English"/>
    <n v="917"/>
    <n v="6758"/>
    <n v="7"/>
    <s v="Tech Enthusiasts"/>
    <x v="214"/>
  </r>
  <r>
    <s v="TechCorp"/>
    <x v="4"/>
    <s v="Women 25-34"/>
    <s v="45 days"/>
    <x v="0"/>
    <n v="7.0000000000000007E-2"/>
    <n v="7586"/>
    <n v="7.9"/>
    <n v="47"/>
    <n v="161.40425531914894"/>
    <s v="Houston"/>
    <s v="French"/>
    <n v="670"/>
    <n v="9138"/>
    <n v="1"/>
    <s v="Fashionistas"/>
    <x v="215"/>
  </r>
  <r>
    <s v="DataTech Solutions"/>
    <x v="4"/>
    <s v="Men 25-34"/>
    <s v="60 days"/>
    <x v="2"/>
    <n v="0.14000000000000001"/>
    <n v="15513"/>
    <n v="6.15"/>
    <n v="44"/>
    <n v="352.56818181818181"/>
    <s v="Miami"/>
    <s v="German"/>
    <n v="315"/>
    <n v="8368"/>
    <n v="6"/>
    <s v="Fashionistas"/>
    <x v="216"/>
  </r>
  <r>
    <s v="NexGen Systems"/>
    <x v="1"/>
    <s v="Men 25-34"/>
    <s v="45 days"/>
    <x v="3"/>
    <n v="0.06"/>
    <n v="16345"/>
    <n v="2.97"/>
    <n v="20"/>
    <n v="817.25"/>
    <s v="New York"/>
    <s v="Spanish"/>
    <n v="341"/>
    <n v="9981"/>
    <n v="10"/>
    <s v="Health &amp; Wellness"/>
    <x v="217"/>
  </r>
  <r>
    <s v="Innovate Industries"/>
    <x v="3"/>
    <s v="Men 18-24"/>
    <s v="15 days"/>
    <x v="4"/>
    <n v="7.0000000000000007E-2"/>
    <n v="18485"/>
    <n v="5.16"/>
    <n v="61"/>
    <n v="303.03278688524591"/>
    <s v="Miami"/>
    <s v="French"/>
    <n v="867"/>
    <n v="4034"/>
    <n v="7"/>
    <s v="Foodies"/>
    <x v="218"/>
  </r>
  <r>
    <s v="TechCorp"/>
    <x v="4"/>
    <s v="Women 35-44"/>
    <s v="15 days"/>
    <x v="4"/>
    <n v="0.11"/>
    <n v="8617"/>
    <n v="3.34"/>
    <n v="73"/>
    <n v="118.04109589041096"/>
    <s v="Houston"/>
    <s v="English"/>
    <n v="665"/>
    <n v="5374"/>
    <n v="2"/>
    <s v="Health &amp; Wellness"/>
    <x v="219"/>
  </r>
  <r>
    <s v="DataTech Solutions"/>
    <x v="3"/>
    <s v="Women 25-34"/>
    <s v="60 days"/>
    <x v="2"/>
    <n v="0.13"/>
    <n v="19022"/>
    <n v="2.0699999999999998"/>
    <n v="77"/>
    <n v="247.03896103896105"/>
    <s v="Miami"/>
    <s v="German"/>
    <n v="590"/>
    <n v="1976"/>
    <n v="8"/>
    <s v="Fashionistas"/>
    <x v="220"/>
  </r>
  <r>
    <s v="DataTech Solutions"/>
    <x v="4"/>
    <s v="Women 25-34"/>
    <s v="60 days"/>
    <x v="1"/>
    <n v="7.0000000000000007E-2"/>
    <n v="5969"/>
    <n v="7.96"/>
    <n v="44"/>
    <n v="135.65909090909091"/>
    <s v="Los Angeles"/>
    <s v="English"/>
    <n v="631"/>
    <n v="3370"/>
    <n v="8"/>
    <s v="Health &amp; Wellness"/>
    <x v="221"/>
  </r>
  <r>
    <s v="TechCorp"/>
    <x v="0"/>
    <s v="Men 18-24"/>
    <s v="45 days"/>
    <x v="2"/>
    <n v="0.02"/>
    <n v="10776"/>
    <n v="7.22"/>
    <n v="15"/>
    <n v="718.4"/>
    <s v="Miami"/>
    <s v="German"/>
    <n v="734"/>
    <n v="9643"/>
    <n v="3"/>
    <s v="Foodies"/>
    <x v="222"/>
  </r>
  <r>
    <s v="NexGen Systems"/>
    <x v="1"/>
    <s v="Women 25-34"/>
    <s v="15 days"/>
    <x v="2"/>
    <n v="0.11"/>
    <n v="15607"/>
    <n v="7.84"/>
    <n v="103"/>
    <n v="151.52427184466021"/>
    <s v="Houston"/>
    <s v="German"/>
    <n v="934"/>
    <n v="5880"/>
    <n v="2"/>
    <s v="Health &amp; Wellness"/>
    <x v="223"/>
  </r>
  <r>
    <s v="DataTech Solutions"/>
    <x v="1"/>
    <s v="Women 25-34"/>
    <s v="30 days"/>
    <x v="1"/>
    <n v="0.01"/>
    <n v="15219"/>
    <n v="4.62"/>
    <n v="3"/>
    <n v="5073"/>
    <s v="Houston"/>
    <s v="French"/>
    <n v="271"/>
    <n v="6601"/>
    <n v="1"/>
    <s v="Health &amp; Wellness"/>
    <x v="224"/>
  </r>
  <r>
    <s v="Alpha Innovations"/>
    <x v="0"/>
    <s v="Men 18-24"/>
    <s v="15 days"/>
    <x v="5"/>
    <n v="0.14000000000000001"/>
    <n v="10080"/>
    <n v="6.22"/>
    <n v="98"/>
    <n v="102.85714285714286"/>
    <s v="New York"/>
    <s v="English"/>
    <n v="697"/>
    <n v="3221"/>
    <n v="4"/>
    <s v="Fashionistas"/>
    <x v="225"/>
  </r>
  <r>
    <s v="Alpha Innovations"/>
    <x v="1"/>
    <s v="Women 35-44"/>
    <s v="60 days"/>
    <x v="5"/>
    <n v="0.05"/>
    <n v="18114"/>
    <n v="7.46"/>
    <n v="34"/>
    <n v="532.76470588235293"/>
    <s v="Chicago"/>
    <s v="Spanish"/>
    <n v="670"/>
    <n v="1439"/>
    <n v="4"/>
    <s v="Foodies"/>
    <x v="226"/>
  </r>
  <r>
    <s v="DataTech Solutions"/>
    <x v="2"/>
    <s v="Women 35-44"/>
    <s v="15 days"/>
    <x v="4"/>
    <n v="0.14000000000000001"/>
    <n v="9058"/>
    <n v="5.67"/>
    <n v="72"/>
    <n v="125.80555555555556"/>
    <s v="Miami"/>
    <s v="French"/>
    <n v="514"/>
    <n v="1551"/>
    <n v="6"/>
    <s v="Foodies"/>
    <x v="227"/>
  </r>
  <r>
    <s v="NexGen Systems"/>
    <x v="4"/>
    <s v="Women 35-44"/>
    <s v="60 days"/>
    <x v="3"/>
    <n v="0.03"/>
    <n v="13314"/>
    <n v="3.59"/>
    <n v="20"/>
    <n v="665.7"/>
    <s v="Los Angeles"/>
    <s v="Mandarin"/>
    <n v="682"/>
    <n v="4634"/>
    <n v="3"/>
    <s v="Outdoor Adventurers"/>
    <x v="228"/>
  </r>
  <r>
    <s v="DataTech Solutions"/>
    <x v="2"/>
    <s v="Men 18-24"/>
    <s v="15 days"/>
    <x v="5"/>
    <n v="0.08"/>
    <n v="11203"/>
    <n v="2.93"/>
    <n v="58"/>
    <n v="193.15517241379311"/>
    <s v="Houston"/>
    <s v="Mandarin"/>
    <n v="730"/>
    <n v="5815"/>
    <n v="5"/>
    <s v="Foodies"/>
    <x v="229"/>
  </r>
  <r>
    <s v="Innovate Industries"/>
    <x v="2"/>
    <s v="Women 25-34"/>
    <s v="30 days"/>
    <x v="2"/>
    <n v="0.04"/>
    <n v="7388"/>
    <n v="3.19"/>
    <n v="22"/>
    <n v="335.81818181818181"/>
    <s v="Los Angeles"/>
    <s v="English"/>
    <n v="560"/>
    <n v="4839"/>
    <n v="2"/>
    <s v="Fashionistas"/>
    <x v="230"/>
  </r>
  <r>
    <s v="Innovate Industries"/>
    <x v="1"/>
    <s v="Men 25-34"/>
    <s v="45 days"/>
    <x v="2"/>
    <n v="0.14000000000000001"/>
    <n v="19150"/>
    <n v="6.92"/>
    <n v="133"/>
    <n v="143.98496240601503"/>
    <s v="Houston"/>
    <s v="German"/>
    <n v="951"/>
    <n v="2497"/>
    <n v="10"/>
    <s v="Fashionistas"/>
    <x v="231"/>
  </r>
  <r>
    <s v="Innovate Industries"/>
    <x v="0"/>
    <s v="All Ages"/>
    <s v="30 days"/>
    <x v="0"/>
    <n v="7.0000000000000007E-2"/>
    <n v="5950"/>
    <n v="2.0699999999999998"/>
    <n v="60"/>
    <n v="99.166666666666671"/>
    <s v="New York"/>
    <s v="Spanish"/>
    <n v="850"/>
    <n v="6686"/>
    <n v="6"/>
    <s v="Tech Enthusiasts"/>
    <x v="232"/>
  </r>
  <r>
    <s v="DataTech Solutions"/>
    <x v="2"/>
    <s v="Men 25-34"/>
    <s v="60 days"/>
    <x v="1"/>
    <n v="0.11"/>
    <n v="8052"/>
    <n v="5.49"/>
    <n v="102"/>
    <n v="78.941176470588232"/>
    <s v="Miami"/>
    <s v="French"/>
    <n v="927"/>
    <n v="9865"/>
    <n v="1"/>
    <s v="Health &amp; Wellness"/>
    <x v="233"/>
  </r>
  <r>
    <s v="NexGen Systems"/>
    <x v="3"/>
    <s v="Women 35-44"/>
    <s v="60 days"/>
    <x v="5"/>
    <n v="0.06"/>
    <n v="8357"/>
    <n v="3.99"/>
    <n v="9"/>
    <n v="928.55555555555554"/>
    <s v="Miami"/>
    <s v="German"/>
    <n v="144"/>
    <n v="1721"/>
    <n v="2"/>
    <s v="Tech Enthusiasts"/>
    <x v="234"/>
  </r>
  <r>
    <s v="TechCorp"/>
    <x v="4"/>
    <s v="Men 18-24"/>
    <s v="60 days"/>
    <x v="4"/>
    <n v="0.05"/>
    <n v="19386"/>
    <n v="6.17"/>
    <n v="21"/>
    <n v="923.14285714285711"/>
    <s v="Chicago"/>
    <s v="German"/>
    <n v="425"/>
    <n v="1212"/>
    <n v="6"/>
    <s v="Fashionistas"/>
    <x v="235"/>
  </r>
  <r>
    <s v="Innovate Industries"/>
    <x v="2"/>
    <s v="Men 25-34"/>
    <s v="60 days"/>
    <x v="3"/>
    <n v="0.12"/>
    <n v="7636"/>
    <n v="4.9000000000000004"/>
    <n v="40"/>
    <n v="190.9"/>
    <s v="Miami"/>
    <s v="English"/>
    <n v="335"/>
    <n v="7053"/>
    <n v="1"/>
    <s v="Outdoor Adventurers"/>
    <x v="236"/>
  </r>
  <r>
    <s v="NexGen Systems"/>
    <x v="3"/>
    <s v="All Ages"/>
    <s v="45 days"/>
    <x v="4"/>
    <n v="0.1"/>
    <n v="18242"/>
    <n v="5.7"/>
    <n v="72"/>
    <n v="253.36111111111111"/>
    <s v="Miami"/>
    <s v="German"/>
    <n v="717"/>
    <n v="7812"/>
    <n v="1"/>
    <s v="Tech Enthusiasts"/>
    <x v="237"/>
  </r>
  <r>
    <s v="TechCorp"/>
    <x v="0"/>
    <s v="All Ages"/>
    <s v="15 days"/>
    <x v="2"/>
    <n v="0.01"/>
    <n v="11335"/>
    <n v="4.7699999999999996"/>
    <n v="3"/>
    <n v="3778.3333333333335"/>
    <s v="Houston"/>
    <s v="Mandarin"/>
    <n v="319"/>
    <n v="1557"/>
    <n v="2"/>
    <s v="Foodies"/>
    <x v="238"/>
  </r>
  <r>
    <s v="TechCorp"/>
    <x v="1"/>
    <s v="Women 25-34"/>
    <s v="30 days"/>
    <x v="3"/>
    <n v="0.12"/>
    <n v="14893"/>
    <n v="2.31"/>
    <n v="97"/>
    <n v="153.53608247422682"/>
    <s v="Miami"/>
    <s v="French"/>
    <n v="811"/>
    <n v="5812"/>
    <n v="7"/>
    <s v="Tech Enthusiasts"/>
    <x v="239"/>
  </r>
  <r>
    <s v="Alpha Innovations"/>
    <x v="4"/>
    <s v="Men 25-34"/>
    <s v="30 days"/>
    <x v="2"/>
    <n v="0.08"/>
    <n v="13044"/>
    <n v="6.85"/>
    <n v="21"/>
    <n v="621.14285714285711"/>
    <s v="New York"/>
    <s v="German"/>
    <n v="259"/>
    <n v="2521"/>
    <n v="10"/>
    <s v="Tech Enthusiasts"/>
    <x v="240"/>
  </r>
  <r>
    <s v="NexGen Systems"/>
    <x v="4"/>
    <s v="Women 35-44"/>
    <s v="30 days"/>
    <x v="2"/>
    <n v="0.08"/>
    <n v="12661"/>
    <n v="5.46"/>
    <n v="52"/>
    <n v="243.48076923076923"/>
    <s v="New York"/>
    <s v="French"/>
    <n v="647"/>
    <n v="9407"/>
    <n v="7"/>
    <s v="Fashionistas"/>
    <x v="241"/>
  </r>
  <r>
    <s v="DataTech Solutions"/>
    <x v="2"/>
    <s v="Men 25-34"/>
    <s v="60 days"/>
    <x v="3"/>
    <n v="7.0000000000000007E-2"/>
    <n v="7115"/>
    <n v="5.17"/>
    <n v="15"/>
    <n v="474.33333333333331"/>
    <s v="Houston"/>
    <s v="French"/>
    <n v="219"/>
    <n v="3032"/>
    <n v="3"/>
    <s v="Fashionistas"/>
    <x v="242"/>
  </r>
  <r>
    <s v="TechCorp"/>
    <x v="1"/>
    <s v="Men 25-34"/>
    <s v="60 days"/>
    <x v="1"/>
    <n v="0.01"/>
    <n v="16084"/>
    <n v="7.75"/>
    <n v="10"/>
    <n v="1608.4"/>
    <s v="Houston"/>
    <s v="English"/>
    <n v="994"/>
    <n v="3271"/>
    <n v="1"/>
    <s v="Tech Enthusiasts"/>
    <x v="243"/>
  </r>
  <r>
    <s v="NexGen Systems"/>
    <x v="1"/>
    <s v="Men 25-34"/>
    <s v="15 days"/>
    <x v="1"/>
    <n v="0.1"/>
    <n v="7942"/>
    <n v="2.94"/>
    <n v="95"/>
    <n v="83.6"/>
    <s v="Chicago"/>
    <s v="French"/>
    <n v="949"/>
    <n v="7626"/>
    <n v="2"/>
    <s v="Health &amp; Wellness"/>
    <x v="244"/>
  </r>
  <r>
    <s v="DataTech Solutions"/>
    <x v="1"/>
    <s v="Women 25-34"/>
    <s v="15 days"/>
    <x v="2"/>
    <n v="0.06"/>
    <n v="5826"/>
    <n v="4.04"/>
    <n v="54"/>
    <n v="107.88888888888889"/>
    <s v="Miami"/>
    <s v="German"/>
    <n v="908"/>
    <n v="2991"/>
    <n v="5"/>
    <s v="Health &amp; Wellness"/>
    <x v="245"/>
  </r>
  <r>
    <s v="NexGen Systems"/>
    <x v="4"/>
    <s v="Women 25-34"/>
    <s v="30 days"/>
    <x v="1"/>
    <n v="0.03"/>
    <n v="10650"/>
    <n v="2.63"/>
    <n v="19"/>
    <n v="560.52631578947364"/>
    <s v="Houston"/>
    <s v="French"/>
    <n v="649"/>
    <n v="9998"/>
    <n v="3"/>
    <s v="Foodies"/>
    <x v="246"/>
  </r>
  <r>
    <s v="NexGen Systems"/>
    <x v="1"/>
    <s v="Men 25-34"/>
    <s v="15 days"/>
    <x v="4"/>
    <n v="0.02"/>
    <n v="16998"/>
    <n v="6.25"/>
    <n v="8"/>
    <n v="2124.75"/>
    <s v="New York"/>
    <s v="Mandarin"/>
    <n v="391"/>
    <n v="6662"/>
    <n v="5"/>
    <s v="Tech Enthusiasts"/>
    <x v="247"/>
  </r>
  <r>
    <s v="NexGen Systems"/>
    <x v="2"/>
    <s v="Men 25-34"/>
    <s v="60 days"/>
    <x v="1"/>
    <n v="0.1"/>
    <n v="17838"/>
    <n v="5.42"/>
    <n v="89"/>
    <n v="200.42696629213484"/>
    <s v="Houston"/>
    <s v="German"/>
    <n v="888"/>
    <n v="2758"/>
    <n v="6"/>
    <s v="Fashionistas"/>
    <x v="248"/>
  </r>
  <r>
    <s v="Innovate Industries"/>
    <x v="1"/>
    <s v="Women 25-34"/>
    <s v="45 days"/>
    <x v="4"/>
    <n v="0.14000000000000001"/>
    <n v="8670"/>
    <n v="5.14"/>
    <n v="75"/>
    <n v="115.6"/>
    <s v="Chicago"/>
    <s v="French"/>
    <n v="538"/>
    <n v="2979"/>
    <n v="4"/>
    <s v="Fashionistas"/>
    <x v="249"/>
  </r>
  <r>
    <s v="Alpha Innovations"/>
    <x v="2"/>
    <s v="Women 25-34"/>
    <s v="30 days"/>
    <x v="3"/>
    <n v="0.04"/>
    <n v="19326"/>
    <n v="5.1100000000000003"/>
    <n v="6"/>
    <n v="3221"/>
    <s v="Chicago"/>
    <s v="Spanish"/>
    <n v="155"/>
    <n v="5811"/>
    <n v="3"/>
    <s v="Tech Enthusiasts"/>
    <x v="250"/>
  </r>
  <r>
    <s v="Innovate Industries"/>
    <x v="1"/>
    <s v="Men 25-34"/>
    <s v="60 days"/>
    <x v="4"/>
    <n v="0.04"/>
    <n v="19781"/>
    <n v="3.77"/>
    <n v="23"/>
    <n v="860.04347826086962"/>
    <s v="Miami"/>
    <s v="Spanish"/>
    <n v="579"/>
    <n v="8550"/>
    <n v="9"/>
    <s v="Tech Enthusiasts"/>
    <x v="251"/>
  </r>
  <r>
    <s v="TechCorp"/>
    <x v="1"/>
    <s v="Men 18-24"/>
    <s v="45 days"/>
    <x v="3"/>
    <n v="0.06"/>
    <n v="7424"/>
    <n v="7.02"/>
    <n v="12"/>
    <n v="618.66666666666663"/>
    <s v="Chicago"/>
    <s v="English"/>
    <n v="192"/>
    <n v="4746"/>
    <n v="4"/>
    <s v="Health &amp; Wellness"/>
    <x v="252"/>
  </r>
  <r>
    <s v="DataTech Solutions"/>
    <x v="4"/>
    <s v="Women 25-34"/>
    <s v="60 days"/>
    <x v="2"/>
    <n v="0.02"/>
    <n v="15420"/>
    <n v="6.11"/>
    <n v="12"/>
    <n v="1285"/>
    <s v="New York"/>
    <s v="Spanish"/>
    <n v="578"/>
    <n v="8279"/>
    <n v="3"/>
    <s v="Health &amp; Wellness"/>
    <x v="253"/>
  </r>
  <r>
    <s v="TechCorp"/>
    <x v="1"/>
    <s v="Men 25-34"/>
    <s v="60 days"/>
    <x v="5"/>
    <n v="0.08"/>
    <n v="16255"/>
    <n v="6.69"/>
    <n v="14"/>
    <n v="1161.0714285714287"/>
    <s v="Chicago"/>
    <s v="French"/>
    <n v="169"/>
    <n v="7752"/>
    <n v="4"/>
    <s v="Health &amp; Wellness"/>
    <x v="254"/>
  </r>
  <r>
    <s v="TechCorp"/>
    <x v="3"/>
    <s v="All Ages"/>
    <s v="45 days"/>
    <x v="0"/>
    <n v="0.15"/>
    <n v="12875"/>
    <n v="4.2"/>
    <n v="54"/>
    <n v="238.42592592592592"/>
    <s v="Los Angeles"/>
    <s v="French"/>
    <n v="363"/>
    <n v="7896"/>
    <n v="3"/>
    <s v="Tech Enthusiasts"/>
    <x v="255"/>
  </r>
  <r>
    <s v="TechCorp"/>
    <x v="1"/>
    <s v="Men 25-34"/>
    <s v="30 days"/>
    <x v="2"/>
    <n v="0.11"/>
    <n v="6358"/>
    <n v="6.06"/>
    <n v="50"/>
    <n v="127.16"/>
    <s v="Miami"/>
    <s v="Mandarin"/>
    <n v="454"/>
    <n v="2163"/>
    <n v="2"/>
    <s v="Fashionistas"/>
    <x v="256"/>
  </r>
  <r>
    <s v="NexGen Systems"/>
    <x v="0"/>
    <s v="Women 35-44"/>
    <s v="30 days"/>
    <x v="1"/>
    <n v="0.12"/>
    <n v="5515"/>
    <n v="3.24"/>
    <n v="100"/>
    <n v="55.15"/>
    <s v="New York"/>
    <s v="Spanish"/>
    <n v="831"/>
    <n v="6260"/>
    <n v="5"/>
    <s v="Fashionistas"/>
    <x v="257"/>
  </r>
  <r>
    <s v="Innovate Industries"/>
    <x v="4"/>
    <s v="Men 25-34"/>
    <s v="45 days"/>
    <x v="4"/>
    <n v="0.14000000000000001"/>
    <n v="15676"/>
    <n v="3.46"/>
    <n v="54"/>
    <n v="290.2962962962963"/>
    <s v="Miami"/>
    <s v="German"/>
    <n v="384"/>
    <n v="6068"/>
    <n v="1"/>
    <s v="Foodies"/>
    <x v="258"/>
  </r>
  <r>
    <s v="NexGen Systems"/>
    <x v="4"/>
    <s v="Women 25-34"/>
    <s v="60 days"/>
    <x v="4"/>
    <n v="0.02"/>
    <n v="15373"/>
    <n v="7.22"/>
    <n v="8"/>
    <n v="1921.625"/>
    <s v="Houston"/>
    <s v="French"/>
    <n v="408"/>
    <n v="5251"/>
    <n v="10"/>
    <s v="Fashionistas"/>
    <x v="259"/>
  </r>
  <r>
    <s v="TechCorp"/>
    <x v="4"/>
    <s v="Men 25-34"/>
    <s v="15 days"/>
    <x v="0"/>
    <n v="0.14000000000000001"/>
    <n v="12131"/>
    <n v="5.82"/>
    <n v="81"/>
    <n v="149.76543209876544"/>
    <s v="Chicago"/>
    <s v="Spanish"/>
    <n v="577"/>
    <n v="8997"/>
    <n v="6"/>
    <s v="Tech Enthusiasts"/>
    <x v="260"/>
  </r>
  <r>
    <s v="Innovate Industries"/>
    <x v="0"/>
    <s v="Men 25-34"/>
    <s v="60 days"/>
    <x v="2"/>
    <n v="0.09"/>
    <n v="7151"/>
    <n v="7.13"/>
    <n v="75"/>
    <n v="95.346666666666664"/>
    <s v="Miami"/>
    <s v="Mandarin"/>
    <n v="834"/>
    <n v="9304"/>
    <n v="5"/>
    <s v="Outdoor Adventurers"/>
    <x v="261"/>
  </r>
  <r>
    <s v="DataTech Solutions"/>
    <x v="0"/>
    <s v="Women 35-44"/>
    <s v="30 days"/>
    <x v="1"/>
    <n v="0.14000000000000001"/>
    <n v="9826"/>
    <n v="6.46"/>
    <n v="28"/>
    <n v="350.92857142857144"/>
    <s v="New York"/>
    <s v="English"/>
    <n v="203"/>
    <n v="6759"/>
    <n v="3"/>
    <s v="Outdoor Adventurers"/>
    <x v="262"/>
  </r>
  <r>
    <s v="TechCorp"/>
    <x v="1"/>
    <s v="Women 35-44"/>
    <s v="15 days"/>
    <x v="0"/>
    <n v="0.14000000000000001"/>
    <n v="12732"/>
    <n v="6.26"/>
    <n v="60"/>
    <n v="212.2"/>
    <s v="Los Angeles"/>
    <s v="German"/>
    <n v="429"/>
    <n v="8299"/>
    <n v="10"/>
    <s v="Tech Enthusiasts"/>
    <x v="263"/>
  </r>
  <r>
    <s v="NexGen Systems"/>
    <x v="0"/>
    <s v="Women 35-44"/>
    <s v="30 days"/>
    <x v="4"/>
    <n v="0.01"/>
    <n v="5066"/>
    <n v="4.93"/>
    <n v="2"/>
    <n v="2533"/>
    <s v="Miami"/>
    <s v="English"/>
    <n v="151"/>
    <n v="3567"/>
    <n v="7"/>
    <s v="Health &amp; Wellness"/>
    <x v="264"/>
  </r>
  <r>
    <s v="NexGen Systems"/>
    <x v="4"/>
    <s v="Women 25-34"/>
    <s v="15 days"/>
    <x v="1"/>
    <n v="0.01"/>
    <n v="12095"/>
    <n v="5.85"/>
    <n v="6"/>
    <n v="2015.8333333333333"/>
    <s v="Miami"/>
    <s v="French"/>
    <n v="613"/>
    <n v="6300"/>
    <n v="2"/>
    <s v="Fashionistas"/>
    <x v="265"/>
  </r>
  <r>
    <s v="DataTech Solutions"/>
    <x v="0"/>
    <s v="Men 18-24"/>
    <s v="30 days"/>
    <x v="2"/>
    <n v="0.02"/>
    <n v="15577"/>
    <n v="2.23"/>
    <n v="18"/>
    <n v="865.38888888888891"/>
    <s v="Chicago"/>
    <s v="Mandarin"/>
    <n v="906"/>
    <n v="8752"/>
    <n v="5"/>
    <s v="Tech Enthusiasts"/>
    <x v="266"/>
  </r>
  <r>
    <s v="Innovate Industries"/>
    <x v="2"/>
    <s v="Men 18-24"/>
    <s v="30 days"/>
    <x v="1"/>
    <n v="0.05"/>
    <n v="8134"/>
    <n v="4.97"/>
    <n v="31"/>
    <n v="262.38709677419354"/>
    <s v="Miami"/>
    <s v="French"/>
    <n v="628"/>
    <n v="1668"/>
    <n v="6"/>
    <s v="Foodies"/>
    <x v="267"/>
  </r>
  <r>
    <s v="DataTech Solutions"/>
    <x v="3"/>
    <s v="Women 35-44"/>
    <s v="30 days"/>
    <x v="2"/>
    <n v="0.11"/>
    <n v="14489"/>
    <n v="7.44"/>
    <n v="44"/>
    <n v="329.29545454545456"/>
    <s v="Houston"/>
    <s v="Spanish"/>
    <n v="404"/>
    <n v="1442"/>
    <n v="4"/>
    <s v="Outdoor Adventurers"/>
    <x v="268"/>
  </r>
  <r>
    <s v="NexGen Systems"/>
    <x v="3"/>
    <s v="Women 35-44"/>
    <s v="60 days"/>
    <x v="3"/>
    <n v="0.1"/>
    <n v="15059"/>
    <n v="2.91"/>
    <n v="99"/>
    <n v="152.11111111111111"/>
    <s v="Chicago"/>
    <s v="Spanish"/>
    <n v="993"/>
    <n v="4021"/>
    <n v="10"/>
    <s v="Outdoor Adventurers"/>
    <x v="269"/>
  </r>
  <r>
    <s v="NexGen Systems"/>
    <x v="4"/>
    <s v="Men 25-34"/>
    <s v="30 days"/>
    <x v="5"/>
    <n v="0.03"/>
    <n v="6360"/>
    <n v="3.7"/>
    <n v="20"/>
    <n v="318"/>
    <s v="New York"/>
    <s v="English"/>
    <n v="654"/>
    <n v="3251"/>
    <n v="9"/>
    <s v="Outdoor Adventurers"/>
    <x v="270"/>
  </r>
  <r>
    <s v="Alpha Innovations"/>
    <x v="1"/>
    <s v="Men 25-34"/>
    <s v="15 days"/>
    <x v="5"/>
    <n v="0.12"/>
    <n v="7266"/>
    <n v="3.16"/>
    <n v="60"/>
    <n v="121.1"/>
    <s v="Los Angeles"/>
    <s v="English"/>
    <n v="497"/>
    <n v="5273"/>
    <n v="2"/>
    <s v="Outdoor Adventurers"/>
    <x v="271"/>
  </r>
  <r>
    <s v="NexGen Systems"/>
    <x v="3"/>
    <s v="Men 25-34"/>
    <s v="15 days"/>
    <x v="2"/>
    <n v="0.03"/>
    <n v="18544"/>
    <n v="2.93"/>
    <n v="4"/>
    <n v="4636"/>
    <s v="Miami"/>
    <s v="German"/>
    <n v="134"/>
    <n v="2194"/>
    <n v="10"/>
    <s v="Health &amp; Wellness"/>
    <x v="272"/>
  </r>
  <r>
    <s v="Alpha Innovations"/>
    <x v="4"/>
    <s v="Women 35-44"/>
    <s v="45 days"/>
    <x v="2"/>
    <n v="0.12"/>
    <n v="14239"/>
    <n v="5.08"/>
    <n v="27"/>
    <n v="527.37037037037032"/>
    <s v="Chicago"/>
    <s v="English"/>
    <n v="221"/>
    <n v="2675"/>
    <n v="2"/>
    <s v="Health &amp; Wellness"/>
    <x v="273"/>
  </r>
  <r>
    <s v="TechCorp"/>
    <x v="4"/>
    <s v="Men 25-34"/>
    <s v="60 days"/>
    <x v="5"/>
    <n v="0.09"/>
    <n v="10370"/>
    <n v="6.64"/>
    <n v="67"/>
    <n v="154.77611940298507"/>
    <s v="Houston"/>
    <s v="English"/>
    <n v="748"/>
    <n v="9165"/>
    <n v="5"/>
    <s v="Foodies"/>
    <x v="274"/>
  </r>
  <r>
    <s v="DataTech Solutions"/>
    <x v="1"/>
    <s v="Women 35-44"/>
    <s v="45 days"/>
    <x v="2"/>
    <n v="0.1"/>
    <n v="17493"/>
    <n v="7.64"/>
    <n v="37"/>
    <n v="472.7837837837838"/>
    <s v="Houston"/>
    <s v="English"/>
    <n v="369"/>
    <n v="1706"/>
    <n v="3"/>
    <s v="Foodies"/>
    <x v="275"/>
  </r>
  <r>
    <s v="Alpha Innovations"/>
    <x v="2"/>
    <s v="Women 25-34"/>
    <s v="60 days"/>
    <x v="5"/>
    <n v="0.04"/>
    <n v="17133"/>
    <n v="2.16"/>
    <n v="37"/>
    <n v="463.05405405405406"/>
    <s v="New York"/>
    <s v="French"/>
    <n v="936"/>
    <n v="5644"/>
    <n v="7"/>
    <s v="Outdoor Adventurers"/>
    <x v="276"/>
  </r>
  <r>
    <s v="TechCorp"/>
    <x v="2"/>
    <s v="All Ages"/>
    <s v="30 days"/>
    <x v="2"/>
    <n v="0.08"/>
    <n v="10896"/>
    <n v="6.67"/>
    <n v="64"/>
    <n v="170.25"/>
    <s v="Los Angeles"/>
    <s v="Spanish"/>
    <n v="799"/>
    <n v="7233"/>
    <n v="4"/>
    <s v="Health &amp; Wellness"/>
    <x v="277"/>
  </r>
  <r>
    <s v="Alpha Innovations"/>
    <x v="2"/>
    <s v="Women 35-44"/>
    <s v="60 days"/>
    <x v="0"/>
    <n v="0.03"/>
    <n v="17088"/>
    <n v="7.09"/>
    <n v="7"/>
    <n v="2441.1428571428573"/>
    <s v="Houston"/>
    <s v="French"/>
    <n v="241"/>
    <n v="9598"/>
    <n v="7"/>
    <s v="Tech Enthusiasts"/>
    <x v="278"/>
  </r>
  <r>
    <s v="NexGen Systems"/>
    <x v="2"/>
    <s v="Men 25-34"/>
    <s v="30 days"/>
    <x v="3"/>
    <n v="0.12"/>
    <n v="10683"/>
    <n v="2.37"/>
    <n v="18"/>
    <n v="593.5"/>
    <s v="New York"/>
    <s v="English"/>
    <n v="150"/>
    <n v="2376"/>
    <n v="2"/>
    <s v="Outdoor Adventurers"/>
    <x v="279"/>
  </r>
  <r>
    <s v="TechCorp"/>
    <x v="0"/>
    <s v="Women 25-34"/>
    <s v="30 days"/>
    <x v="5"/>
    <n v="0.14000000000000001"/>
    <n v="13654"/>
    <n v="4.82"/>
    <n v="86"/>
    <n v="158.76744186046511"/>
    <s v="Miami"/>
    <s v="German"/>
    <n v="614"/>
    <n v="3705"/>
    <n v="4"/>
    <s v="Foodies"/>
    <x v="280"/>
  </r>
  <r>
    <s v="DataTech Solutions"/>
    <x v="3"/>
    <s v="Men 25-34"/>
    <s v="60 days"/>
    <x v="1"/>
    <n v="0.06"/>
    <n v="17232"/>
    <n v="3.27"/>
    <n v="38"/>
    <n v="453.4736842105263"/>
    <s v="New York"/>
    <s v="Mandarin"/>
    <n v="640"/>
    <n v="4872"/>
    <n v="9"/>
    <s v="Tech Enthusiasts"/>
    <x v="281"/>
  </r>
  <r>
    <s v="DataTech Solutions"/>
    <x v="4"/>
    <s v="Women 35-44"/>
    <s v="60 days"/>
    <x v="2"/>
    <n v="0.03"/>
    <n v="17598"/>
    <n v="2.5"/>
    <n v="20"/>
    <n v="879.9"/>
    <s v="New York"/>
    <s v="Spanish"/>
    <n v="674"/>
    <n v="4116"/>
    <n v="3"/>
    <s v="Foodies"/>
    <x v="282"/>
  </r>
  <r>
    <s v="NexGen Systems"/>
    <x v="0"/>
    <s v="Men 25-34"/>
    <s v="15 days"/>
    <x v="4"/>
    <n v="0.01"/>
    <n v="18795"/>
    <n v="2.4300000000000002"/>
    <n v="9"/>
    <n v="2088.3333333333335"/>
    <s v="Houston"/>
    <s v="English"/>
    <n v="949"/>
    <n v="7338"/>
    <n v="4"/>
    <s v="Tech Enthusiasts"/>
    <x v="283"/>
  </r>
  <r>
    <s v="DataTech Solutions"/>
    <x v="0"/>
    <s v="Women 25-34"/>
    <s v="30 days"/>
    <x v="3"/>
    <n v="0.04"/>
    <n v="10826"/>
    <n v="3.37"/>
    <n v="34"/>
    <n v="318.41176470588238"/>
    <s v="Houston"/>
    <s v="French"/>
    <n v="855"/>
    <n v="5149"/>
    <n v="9"/>
    <s v="Outdoor Adventurers"/>
    <x v="284"/>
  </r>
  <r>
    <s v="Alpha Innovations"/>
    <x v="2"/>
    <s v="Women 25-34"/>
    <s v="45 days"/>
    <x v="2"/>
    <n v="0.04"/>
    <n v="5615"/>
    <n v="2"/>
    <n v="14"/>
    <n v="401.07142857142856"/>
    <s v="New York"/>
    <s v="English"/>
    <n v="359"/>
    <n v="3159"/>
    <n v="10"/>
    <s v="Tech Enthusiasts"/>
    <x v="285"/>
  </r>
  <r>
    <s v="Innovate Industries"/>
    <x v="3"/>
    <s v="Women 35-44"/>
    <s v="15 days"/>
    <x v="2"/>
    <n v="0.11"/>
    <n v="16604"/>
    <n v="5.39"/>
    <n v="98"/>
    <n v="169.42857142857142"/>
    <s v="Los Angeles"/>
    <s v="English"/>
    <n v="895"/>
    <n v="8738"/>
    <n v="3"/>
    <s v="Outdoor Adventurers"/>
    <x v="286"/>
  </r>
  <r>
    <s v="TechCorp"/>
    <x v="3"/>
    <s v="Men 18-24"/>
    <s v="30 days"/>
    <x v="3"/>
    <n v="0.03"/>
    <n v="15809"/>
    <n v="5.7"/>
    <n v="14"/>
    <n v="1129.2142857142858"/>
    <s v="Los Angeles"/>
    <s v="German"/>
    <n v="478"/>
    <n v="8731"/>
    <n v="10"/>
    <s v="Foodies"/>
    <x v="287"/>
  </r>
  <r>
    <s v="NexGen Systems"/>
    <x v="3"/>
    <s v="Women 35-44"/>
    <s v="45 days"/>
    <x v="5"/>
    <n v="0.06"/>
    <n v="6171"/>
    <n v="2.68"/>
    <n v="19"/>
    <n v="324.78947368421052"/>
    <s v="New York"/>
    <s v="Mandarin"/>
    <n v="322"/>
    <n v="9977"/>
    <n v="8"/>
    <s v="Health &amp; Wellness"/>
    <x v="288"/>
  </r>
  <r>
    <s v="TechCorp"/>
    <x v="3"/>
    <s v="Men 18-24"/>
    <s v="30 days"/>
    <x v="5"/>
    <n v="0.08"/>
    <n v="18563"/>
    <n v="4.88"/>
    <n v="12"/>
    <n v="1546.9166666666667"/>
    <s v="Houston"/>
    <s v="Spanish"/>
    <n v="153"/>
    <n v="9046"/>
    <n v="9"/>
    <s v="Health &amp; Wellness"/>
    <x v="289"/>
  </r>
  <r>
    <s v="Alpha Innovations"/>
    <x v="1"/>
    <s v="All Ages"/>
    <s v="30 days"/>
    <x v="5"/>
    <n v="0.06"/>
    <n v="9613"/>
    <n v="3.61"/>
    <n v="60"/>
    <n v="160.21666666666667"/>
    <s v="New York"/>
    <s v="French"/>
    <n v="999"/>
    <n v="5612"/>
    <n v="8"/>
    <s v="Foodies"/>
    <x v="290"/>
  </r>
  <r>
    <s v="DataTech Solutions"/>
    <x v="1"/>
    <s v="Women 35-44"/>
    <s v="60 days"/>
    <x v="0"/>
    <n v="0.06"/>
    <n v="15992"/>
    <n v="6.24"/>
    <n v="6"/>
    <n v="2665.3333333333335"/>
    <s v="Houston"/>
    <s v="German"/>
    <n v="108"/>
    <n v="5590"/>
    <n v="5"/>
    <s v="Fashionistas"/>
    <x v="291"/>
  </r>
  <r>
    <s v="Alpha Innovations"/>
    <x v="1"/>
    <s v="All Ages"/>
    <s v="15 days"/>
    <x v="5"/>
    <n v="0.12"/>
    <n v="11824"/>
    <n v="2.54"/>
    <n v="62"/>
    <n v="190.70967741935485"/>
    <s v="Miami"/>
    <s v="Spanish"/>
    <n v="515"/>
    <n v="4375"/>
    <n v="7"/>
    <s v="Tech Enthusiasts"/>
    <x v="292"/>
  </r>
  <r>
    <s v="Innovate Industries"/>
    <x v="3"/>
    <s v="All Ages"/>
    <s v="30 days"/>
    <x v="5"/>
    <n v="0.09"/>
    <n v="17415"/>
    <n v="4.3099999999999996"/>
    <n v="40"/>
    <n v="435.375"/>
    <s v="Houston"/>
    <s v="French"/>
    <n v="440"/>
    <n v="4515"/>
    <n v="2"/>
    <s v="Outdoor Adventurers"/>
    <x v="293"/>
  </r>
  <r>
    <s v="DataTech Solutions"/>
    <x v="0"/>
    <s v="Women 35-44"/>
    <s v="30 days"/>
    <x v="0"/>
    <n v="0.12"/>
    <n v="12019"/>
    <n v="6.34"/>
    <n v="77"/>
    <n v="156.09090909090909"/>
    <s v="Los Angeles"/>
    <s v="Spanish"/>
    <n v="638"/>
    <n v="6482"/>
    <n v="2"/>
    <s v="Foodies"/>
    <x v="294"/>
  </r>
  <r>
    <s v="Alpha Innovations"/>
    <x v="3"/>
    <s v="All Ages"/>
    <s v="60 days"/>
    <x v="0"/>
    <n v="0.04"/>
    <n v="7612"/>
    <n v="4.8600000000000003"/>
    <n v="13"/>
    <n v="585.53846153846155"/>
    <s v="New York"/>
    <s v="English"/>
    <n v="332"/>
    <n v="5567"/>
    <n v="2"/>
    <s v="Fashionistas"/>
    <x v="295"/>
  </r>
  <r>
    <s v="Alpha Innovations"/>
    <x v="1"/>
    <s v="Women 25-34"/>
    <s v="45 days"/>
    <x v="3"/>
    <n v="7.0000000000000007E-2"/>
    <n v="10094"/>
    <n v="4.49"/>
    <n v="48"/>
    <n v="210.29166666666666"/>
    <s v="Houston"/>
    <s v="Spanish"/>
    <n v="680"/>
    <n v="9806"/>
    <n v="6"/>
    <s v="Foodies"/>
    <x v="296"/>
  </r>
  <r>
    <s v="TechCorp"/>
    <x v="1"/>
    <s v="Women 35-44"/>
    <s v="45 days"/>
    <x v="1"/>
    <n v="0.04"/>
    <n v="19546"/>
    <n v="2.71"/>
    <n v="34"/>
    <n v="574.88235294117646"/>
    <s v="Los Angeles"/>
    <s v="German"/>
    <n v="838"/>
    <n v="7910"/>
    <n v="3"/>
    <s v="Foodies"/>
    <x v="297"/>
  </r>
  <r>
    <s v="Alpha Innovations"/>
    <x v="4"/>
    <s v="Women 25-34"/>
    <s v="45 days"/>
    <x v="1"/>
    <n v="0.11"/>
    <n v="14465"/>
    <n v="7.16"/>
    <n v="61"/>
    <n v="237.13114754098362"/>
    <s v="Chicago"/>
    <s v="French"/>
    <n v="556"/>
    <n v="2045"/>
    <n v="8"/>
    <s v="Foodies"/>
    <x v="298"/>
  </r>
  <r>
    <s v="Innovate Industries"/>
    <x v="3"/>
    <s v="Men 18-24"/>
    <s v="60 days"/>
    <x v="5"/>
    <n v="7.0000000000000007E-2"/>
    <n v="6464"/>
    <n v="7.26"/>
    <n v="12"/>
    <n v="538.66666666666663"/>
    <s v="Houston"/>
    <s v="English"/>
    <n v="170"/>
    <n v="1129"/>
    <n v="4"/>
    <s v="Fashionistas"/>
    <x v="299"/>
  </r>
  <r>
    <s v="NexGen Systems"/>
    <x v="4"/>
    <s v="Men 18-24"/>
    <s v="60 days"/>
    <x v="2"/>
    <n v="0.13"/>
    <n v="14567"/>
    <n v="4.12"/>
    <n v="107"/>
    <n v="136.14018691588785"/>
    <s v="Chicago"/>
    <s v="Mandarin"/>
    <n v="822"/>
    <n v="4933"/>
    <n v="3"/>
    <s v="Health &amp; Wellness"/>
    <x v="300"/>
  </r>
  <r>
    <s v="Innovate Industries"/>
    <x v="2"/>
    <s v="Men 25-34"/>
    <s v="45 days"/>
    <x v="1"/>
    <n v="0.09"/>
    <n v="10954"/>
    <n v="4.87"/>
    <n v="89"/>
    <n v="123.07865168539325"/>
    <s v="Chicago"/>
    <s v="Mandarin"/>
    <n v="990"/>
    <n v="8909"/>
    <n v="8"/>
    <s v="Foodies"/>
    <x v="301"/>
  </r>
  <r>
    <s v="NexGen Systems"/>
    <x v="4"/>
    <s v="Women 35-44"/>
    <s v="15 days"/>
    <x v="1"/>
    <n v="0.08"/>
    <n v="6003"/>
    <n v="7.36"/>
    <n v="58"/>
    <n v="103.5"/>
    <s v="Houston"/>
    <s v="Spanish"/>
    <n v="726"/>
    <n v="8605"/>
    <n v="9"/>
    <s v="Tech Enthusiasts"/>
    <x v="302"/>
  </r>
  <r>
    <s v="NexGen Systems"/>
    <x v="3"/>
    <s v="All Ages"/>
    <s v="60 days"/>
    <x v="0"/>
    <n v="0.04"/>
    <n v="10336"/>
    <n v="2.98"/>
    <n v="22"/>
    <n v="469.81818181818181"/>
    <s v="Houston"/>
    <s v="German"/>
    <n v="561"/>
    <n v="3756"/>
    <n v="5"/>
    <s v="Fashionistas"/>
    <x v="303"/>
  </r>
  <r>
    <s v="TechCorp"/>
    <x v="3"/>
    <s v="Men 25-34"/>
    <s v="60 days"/>
    <x v="4"/>
    <n v="0.11"/>
    <n v="11471"/>
    <n v="7.97"/>
    <n v="109"/>
    <n v="105.23853211009174"/>
    <s v="Houston"/>
    <s v="Spanish"/>
    <n v="990"/>
    <n v="3294"/>
    <n v="4"/>
    <s v="Outdoor Adventurers"/>
    <x v="304"/>
  </r>
  <r>
    <s v="Alpha Innovations"/>
    <x v="3"/>
    <s v="Women 35-44"/>
    <s v="45 days"/>
    <x v="1"/>
    <n v="0.1"/>
    <n v="16800"/>
    <n v="6.76"/>
    <n v="63"/>
    <n v="266.66666666666669"/>
    <s v="Los Angeles"/>
    <s v="Spanish"/>
    <n v="629"/>
    <n v="6501"/>
    <n v="4"/>
    <s v="Foodies"/>
    <x v="305"/>
  </r>
  <r>
    <s v="DataTech Solutions"/>
    <x v="4"/>
    <s v="Men 25-34"/>
    <s v="60 days"/>
    <x v="1"/>
    <n v="0.04"/>
    <n v="7487"/>
    <n v="4.0199999999999996"/>
    <n v="9"/>
    <n v="831.88888888888891"/>
    <s v="Houston"/>
    <s v="Mandarin"/>
    <n v="233"/>
    <n v="9875"/>
    <n v="10"/>
    <s v="Fashionistas"/>
    <x v="306"/>
  </r>
  <r>
    <s v="NexGen Systems"/>
    <x v="3"/>
    <s v="Women 35-44"/>
    <s v="60 days"/>
    <x v="0"/>
    <n v="0.12"/>
    <n v="15710"/>
    <n v="7.32"/>
    <n v="46"/>
    <n v="341.52173913043481"/>
    <s v="Chicago"/>
    <s v="English"/>
    <n v="381"/>
    <n v="4714"/>
    <n v="9"/>
    <s v="Outdoor Adventurers"/>
    <x v="307"/>
  </r>
  <r>
    <s v="Alpha Innovations"/>
    <x v="2"/>
    <s v="Men 18-24"/>
    <s v="45 days"/>
    <x v="5"/>
    <n v="0.01"/>
    <n v="14924"/>
    <n v="4.62"/>
    <n v="8"/>
    <n v="1865.5"/>
    <s v="Houston"/>
    <s v="French"/>
    <n v="819"/>
    <n v="9709"/>
    <n v="9"/>
    <s v="Foodies"/>
    <x v="308"/>
  </r>
  <r>
    <s v="TechCorp"/>
    <x v="4"/>
    <s v="All Ages"/>
    <s v="30 days"/>
    <x v="2"/>
    <n v="0.02"/>
    <n v="10609"/>
    <n v="7.82"/>
    <n v="14"/>
    <n v="757.78571428571433"/>
    <s v="Houston"/>
    <s v="German"/>
    <n v="706"/>
    <n v="9926"/>
    <n v="3"/>
    <s v="Outdoor Adventurers"/>
    <x v="309"/>
  </r>
  <r>
    <s v="TechCorp"/>
    <x v="1"/>
    <s v="Women 35-44"/>
    <s v="30 days"/>
    <x v="2"/>
    <n v="0.08"/>
    <n v="14939"/>
    <n v="6.05"/>
    <n v="11"/>
    <n v="1358.090909090909"/>
    <s v="New York"/>
    <s v="Mandarin"/>
    <n v="138"/>
    <n v="5878"/>
    <n v="7"/>
    <s v="Outdoor Adventurers"/>
    <x v="310"/>
  </r>
  <r>
    <s v="TechCorp"/>
    <x v="1"/>
    <s v="Women 25-34"/>
    <s v="45 days"/>
    <x v="4"/>
    <n v="0.09"/>
    <n v="5793"/>
    <n v="6.11"/>
    <n v="65"/>
    <n v="89.123076923076923"/>
    <s v="New York"/>
    <s v="English"/>
    <n v="726"/>
    <n v="3946"/>
    <n v="9"/>
    <s v="Tech Enthusiasts"/>
    <x v="311"/>
  </r>
  <r>
    <s v="Alpha Innovations"/>
    <x v="4"/>
    <s v="Women 25-34"/>
    <s v="60 days"/>
    <x v="1"/>
    <n v="0.1"/>
    <n v="8037"/>
    <n v="4.03"/>
    <n v="68"/>
    <n v="118.19117647058823"/>
    <s v="Los Angeles"/>
    <s v="English"/>
    <n v="676"/>
    <n v="1157"/>
    <n v="10"/>
    <s v="Health &amp; Wellness"/>
    <x v="312"/>
  </r>
  <r>
    <s v="DataTech Solutions"/>
    <x v="3"/>
    <s v="Men 25-34"/>
    <s v="60 days"/>
    <x v="1"/>
    <n v="0.13"/>
    <n v="15512"/>
    <n v="5.49"/>
    <n v="46"/>
    <n v="337.21739130434781"/>
    <s v="Miami"/>
    <s v="Mandarin"/>
    <n v="352"/>
    <n v="7412"/>
    <n v="1"/>
    <s v="Fashionistas"/>
    <x v="313"/>
  </r>
  <r>
    <s v="DataTech Solutions"/>
    <x v="0"/>
    <s v="Men 25-34"/>
    <s v="60 days"/>
    <x v="1"/>
    <n v="0.15"/>
    <n v="17266"/>
    <n v="7.55"/>
    <n v="147"/>
    <n v="117.45578231292517"/>
    <s v="New York"/>
    <s v="Mandarin"/>
    <n v="977"/>
    <n v="9567"/>
    <n v="4"/>
    <s v="Fashionistas"/>
    <x v="314"/>
  </r>
  <r>
    <s v="TechCorp"/>
    <x v="2"/>
    <s v="Women 35-44"/>
    <s v="30 days"/>
    <x v="4"/>
    <n v="0.13"/>
    <n v="9700"/>
    <n v="6.61"/>
    <n v="38"/>
    <n v="255.26315789473685"/>
    <s v="Miami"/>
    <s v="Spanish"/>
    <n v="294"/>
    <n v="3352"/>
    <n v="6"/>
    <s v="Foodies"/>
    <x v="315"/>
  </r>
  <r>
    <s v="TechCorp"/>
    <x v="2"/>
    <s v="Men 25-34"/>
    <s v="15 days"/>
    <x v="5"/>
    <n v="0.03"/>
    <n v="10387"/>
    <n v="6.77"/>
    <n v="22"/>
    <n v="472.13636363636363"/>
    <s v="Los Angeles"/>
    <s v="Spanish"/>
    <n v="722"/>
    <n v="6216"/>
    <n v="9"/>
    <s v="Outdoor Adventurers"/>
    <x v="316"/>
  </r>
  <r>
    <s v="Innovate Industries"/>
    <x v="0"/>
    <s v="Men 18-24"/>
    <s v="30 days"/>
    <x v="0"/>
    <n v="0.13"/>
    <n v="8201"/>
    <n v="4.66"/>
    <n v="33"/>
    <n v="248.5151515151515"/>
    <s v="New York"/>
    <s v="German"/>
    <n v="250"/>
    <n v="5862"/>
    <n v="5"/>
    <s v="Foodies"/>
    <x v="317"/>
  </r>
  <r>
    <s v="Alpha Innovations"/>
    <x v="0"/>
    <s v="Women 35-44"/>
    <s v="45 days"/>
    <x v="5"/>
    <n v="0.03"/>
    <n v="8674"/>
    <n v="5.85"/>
    <n v="22"/>
    <n v="394.27272727272725"/>
    <s v="Chicago"/>
    <s v="English"/>
    <n v="731"/>
    <n v="4675"/>
    <n v="9"/>
    <s v="Tech Enthusiasts"/>
    <x v="318"/>
  </r>
  <r>
    <s v="Innovate Industries"/>
    <x v="4"/>
    <s v="Men 18-24"/>
    <s v="45 days"/>
    <x v="3"/>
    <n v="0.12"/>
    <n v="18358"/>
    <n v="4.29"/>
    <n v="27"/>
    <n v="679.92592592592598"/>
    <s v="Chicago"/>
    <s v="German"/>
    <n v="221"/>
    <n v="5357"/>
    <n v="4"/>
    <s v="Fashionistas"/>
    <x v="319"/>
  </r>
  <r>
    <s v="Alpha Innovations"/>
    <x v="2"/>
    <s v="All Ages"/>
    <s v="15 days"/>
    <x v="5"/>
    <n v="0.12"/>
    <n v="7188"/>
    <n v="4.16"/>
    <n v="22"/>
    <n v="326.72727272727275"/>
    <s v="Chicago"/>
    <s v="English"/>
    <n v="182"/>
    <n v="4644"/>
    <n v="3"/>
    <s v="Foodies"/>
    <x v="320"/>
  </r>
  <r>
    <s v="DataTech Solutions"/>
    <x v="3"/>
    <s v="Women 25-34"/>
    <s v="30 days"/>
    <x v="4"/>
    <n v="0.04"/>
    <n v="10426"/>
    <n v="7.48"/>
    <n v="17"/>
    <n v="613.29411764705878"/>
    <s v="Houston"/>
    <s v="German"/>
    <n v="428"/>
    <n v="4413"/>
    <n v="10"/>
    <s v="Tech Enthusiasts"/>
    <x v="321"/>
  </r>
  <r>
    <s v="NexGen Systems"/>
    <x v="0"/>
    <s v="Women 35-44"/>
    <s v="30 days"/>
    <x v="5"/>
    <n v="0.05"/>
    <n v="14363"/>
    <n v="6.68"/>
    <n v="40"/>
    <n v="359.07499999999999"/>
    <s v="New York"/>
    <s v="German"/>
    <n v="797"/>
    <n v="4606"/>
    <n v="10"/>
    <s v="Outdoor Adventurers"/>
    <x v="322"/>
  </r>
  <r>
    <s v="Alpha Innovations"/>
    <x v="3"/>
    <s v="Women 35-44"/>
    <s v="60 days"/>
    <x v="3"/>
    <n v="0.01"/>
    <n v="11244"/>
    <n v="3.72"/>
    <n v="7"/>
    <n v="1606.2857142857142"/>
    <s v="New York"/>
    <s v="German"/>
    <n v="691"/>
    <n v="5877"/>
    <n v="1"/>
    <s v="Tech Enthusiasts"/>
    <x v="323"/>
  </r>
  <r>
    <s v="TechCorp"/>
    <x v="1"/>
    <s v="All Ages"/>
    <s v="30 days"/>
    <x v="0"/>
    <n v="7.0000000000000007E-2"/>
    <n v="11182"/>
    <n v="4.41"/>
    <n v="67"/>
    <n v="166.8955223880597"/>
    <s v="Los Angeles"/>
    <s v="Spanish"/>
    <n v="959"/>
    <n v="1218"/>
    <n v="7"/>
    <s v="Outdoor Adventurers"/>
    <x v="324"/>
  </r>
  <r>
    <s v="Innovate Industries"/>
    <x v="2"/>
    <s v="Men 25-34"/>
    <s v="30 days"/>
    <x v="4"/>
    <n v="0.05"/>
    <n v="10740"/>
    <n v="5.16"/>
    <n v="30"/>
    <n v="358"/>
    <s v="New York"/>
    <s v="English"/>
    <n v="594"/>
    <n v="1206"/>
    <n v="3"/>
    <s v="Fashionistas"/>
    <x v="325"/>
  </r>
  <r>
    <s v="Alpha Innovations"/>
    <x v="2"/>
    <s v="Women 25-34"/>
    <s v="30 days"/>
    <x v="3"/>
    <n v="0.01"/>
    <n v="5597"/>
    <n v="3.83"/>
    <n v="7"/>
    <n v="799.57142857142856"/>
    <s v="Miami"/>
    <s v="Mandarin"/>
    <n v="672"/>
    <n v="6608"/>
    <n v="4"/>
    <s v="Tech Enthusiasts"/>
    <x v="326"/>
  </r>
  <r>
    <s v="NexGen Systems"/>
    <x v="0"/>
    <s v="Women 35-44"/>
    <s v="60 days"/>
    <x v="3"/>
    <n v="0.02"/>
    <n v="15088"/>
    <n v="4.9000000000000004"/>
    <n v="5"/>
    <n v="3017.6"/>
    <s v="Chicago"/>
    <s v="English"/>
    <n v="248"/>
    <n v="9279"/>
    <n v="1"/>
    <s v="Tech Enthusiasts"/>
    <x v="327"/>
  </r>
  <r>
    <s v="DataTech Solutions"/>
    <x v="4"/>
    <s v="Women 25-34"/>
    <s v="60 days"/>
    <x v="2"/>
    <n v="0.06"/>
    <n v="8336"/>
    <n v="3.4"/>
    <n v="26"/>
    <n v="320.61538461538464"/>
    <s v="Miami"/>
    <s v="English"/>
    <n v="426"/>
    <n v="3081"/>
    <n v="1"/>
    <s v="Tech Enthusiasts"/>
    <x v="328"/>
  </r>
  <r>
    <s v="NexGen Systems"/>
    <x v="3"/>
    <s v="Men 25-34"/>
    <s v="15 days"/>
    <x v="5"/>
    <n v="0.14000000000000001"/>
    <n v="13825"/>
    <n v="2.5499999999999998"/>
    <n v="110"/>
    <n v="125.68181818181819"/>
    <s v="Miami"/>
    <s v="Mandarin"/>
    <n v="783"/>
    <n v="8810"/>
    <n v="5"/>
    <s v="Fashionistas"/>
    <x v="329"/>
  </r>
  <r>
    <s v="DataTech Solutions"/>
    <x v="4"/>
    <s v="Men 18-24"/>
    <s v="60 days"/>
    <x v="4"/>
    <n v="0.04"/>
    <n v="9370"/>
    <n v="6.5"/>
    <n v="5"/>
    <n v="1874"/>
    <s v="New York"/>
    <s v="German"/>
    <n v="116"/>
    <n v="8835"/>
    <n v="6"/>
    <s v="Tech Enthusiasts"/>
    <x v="330"/>
  </r>
  <r>
    <s v="NexGen Systems"/>
    <x v="2"/>
    <s v="Women 25-34"/>
    <s v="30 days"/>
    <x v="5"/>
    <n v="0.13"/>
    <n v="19027"/>
    <n v="7.02"/>
    <n v="45"/>
    <n v="422.82222222222219"/>
    <s v="Los Angeles"/>
    <s v="Mandarin"/>
    <n v="347"/>
    <n v="5440"/>
    <n v="2"/>
    <s v="Tech Enthusiasts"/>
    <x v="331"/>
  </r>
  <r>
    <s v="Innovate Industries"/>
    <x v="0"/>
    <s v="Men 18-24"/>
    <s v="45 days"/>
    <x v="1"/>
    <n v="0.13"/>
    <n v="7363"/>
    <n v="5.3"/>
    <n v="41"/>
    <n v="179.58536585365854"/>
    <s v="Chicago"/>
    <s v="English"/>
    <n v="314"/>
    <n v="5134"/>
    <n v="6"/>
    <s v="Outdoor Adventurers"/>
    <x v="332"/>
  </r>
  <r>
    <s v="NexGen Systems"/>
    <x v="0"/>
    <s v="Men 18-24"/>
    <s v="60 days"/>
    <x v="1"/>
    <n v="0.06"/>
    <n v="13275"/>
    <n v="7.95"/>
    <n v="12"/>
    <n v="1106.25"/>
    <s v="Chicago"/>
    <s v="Spanish"/>
    <n v="193"/>
    <n v="8429"/>
    <n v="7"/>
    <s v="Foodies"/>
    <x v="333"/>
  </r>
  <r>
    <s v="TechCorp"/>
    <x v="2"/>
    <s v="Men 18-24"/>
    <s v="30 days"/>
    <x v="3"/>
    <n v="0.08"/>
    <n v="12364"/>
    <n v="6.17"/>
    <n v="50"/>
    <n v="247.28"/>
    <s v="Los Angeles"/>
    <s v="Spanish"/>
    <n v="628"/>
    <n v="3512"/>
    <n v="10"/>
    <s v="Fashionistas"/>
    <x v="334"/>
  </r>
  <r>
    <s v="TechCorp"/>
    <x v="4"/>
    <s v="Men 25-34"/>
    <s v="15 days"/>
    <x v="5"/>
    <n v="0.1"/>
    <n v="17078"/>
    <n v="4.26"/>
    <n v="16"/>
    <n v="1067.375"/>
    <s v="Chicago"/>
    <s v="French"/>
    <n v="156"/>
    <n v="5376"/>
    <n v="8"/>
    <s v="Foodies"/>
    <x v="335"/>
  </r>
  <r>
    <s v="DataTech Solutions"/>
    <x v="3"/>
    <s v="All Ages"/>
    <s v="60 days"/>
    <x v="2"/>
    <n v="0.04"/>
    <n v="7839"/>
    <n v="4.18"/>
    <n v="25"/>
    <n v="313.56"/>
    <s v="Miami"/>
    <s v="Mandarin"/>
    <n v="637"/>
    <n v="7973"/>
    <n v="5"/>
    <s v="Health &amp; Wellness"/>
    <x v="336"/>
  </r>
  <r>
    <s v="TechCorp"/>
    <x v="3"/>
    <s v="Men 25-34"/>
    <s v="60 days"/>
    <x v="1"/>
    <n v="0.11"/>
    <n v="9959"/>
    <n v="6.33"/>
    <n v="57"/>
    <n v="174.71929824561403"/>
    <s v="Chicago"/>
    <s v="German"/>
    <n v="514"/>
    <n v="2561"/>
    <n v="6"/>
    <s v="Foodies"/>
    <x v="337"/>
  </r>
  <r>
    <s v="TechCorp"/>
    <x v="1"/>
    <s v="Women 35-44"/>
    <s v="60 days"/>
    <x v="5"/>
    <n v="0.06"/>
    <n v="6595"/>
    <n v="4.72"/>
    <n v="38"/>
    <n v="173.55263157894737"/>
    <s v="New York"/>
    <s v="French"/>
    <n v="637"/>
    <n v="1106"/>
    <n v="5"/>
    <s v="Outdoor Adventurers"/>
    <x v="338"/>
  </r>
  <r>
    <s v="NexGen Systems"/>
    <x v="4"/>
    <s v="Men 18-24"/>
    <s v="45 days"/>
    <x v="1"/>
    <n v="0.11"/>
    <n v="13531"/>
    <n v="2.58"/>
    <n v="68"/>
    <n v="198.98529411764707"/>
    <s v="New York"/>
    <s v="English"/>
    <n v="615"/>
    <n v="5131"/>
    <n v="7"/>
    <s v="Foodies"/>
    <x v="339"/>
  </r>
  <r>
    <s v="NexGen Systems"/>
    <x v="1"/>
    <s v="All Ages"/>
    <s v="15 days"/>
    <x v="4"/>
    <n v="0.06"/>
    <n v="19057"/>
    <n v="7.48"/>
    <n v="7"/>
    <n v="2722.4285714285716"/>
    <s v="New York"/>
    <s v="English"/>
    <n v="115"/>
    <n v="1861"/>
    <n v="8"/>
    <s v="Foodies"/>
    <x v="340"/>
  </r>
  <r>
    <s v="TechCorp"/>
    <x v="3"/>
    <s v="All Ages"/>
    <s v="15 days"/>
    <x v="1"/>
    <n v="0.14000000000000001"/>
    <n v="12633"/>
    <n v="2.11"/>
    <n v="75"/>
    <n v="168.44"/>
    <s v="Houston"/>
    <s v="Mandarin"/>
    <n v="533"/>
    <n v="4332"/>
    <n v="5"/>
    <s v="Fashionistas"/>
    <x v="341"/>
  </r>
  <r>
    <s v="NexGen Systems"/>
    <x v="0"/>
    <s v="Men 18-24"/>
    <s v="30 days"/>
    <x v="4"/>
    <n v="0.1"/>
    <n v="6163"/>
    <n v="7.96"/>
    <n v="43"/>
    <n v="143.32558139534885"/>
    <s v="Los Angeles"/>
    <s v="English"/>
    <n v="432"/>
    <n v="9291"/>
    <n v="8"/>
    <s v="Fashionistas"/>
    <x v="342"/>
  </r>
  <r>
    <s v="TechCorp"/>
    <x v="4"/>
    <s v="Women 35-44"/>
    <s v="15 days"/>
    <x v="3"/>
    <n v="0.1"/>
    <n v="8749"/>
    <n v="7.53"/>
    <n v="36"/>
    <n v="243.02777777777777"/>
    <s v="Los Angeles"/>
    <s v="Spanish"/>
    <n v="356"/>
    <n v="5948"/>
    <n v="9"/>
    <s v="Health &amp; Wellness"/>
    <x v="343"/>
  </r>
  <r>
    <s v="Innovate Industries"/>
    <x v="3"/>
    <s v="Women 35-44"/>
    <s v="45 days"/>
    <x v="2"/>
    <n v="0.02"/>
    <n v="6786"/>
    <n v="7.81"/>
    <n v="16"/>
    <n v="424.125"/>
    <s v="New York"/>
    <s v="German"/>
    <n v="799"/>
    <n v="3481"/>
    <n v="8"/>
    <s v="Outdoor Adventurers"/>
    <x v="344"/>
  </r>
  <r>
    <s v="TechCorp"/>
    <x v="0"/>
    <s v="Women 25-34"/>
    <s v="60 days"/>
    <x v="1"/>
    <n v="0.09"/>
    <n v="17055"/>
    <n v="5.58"/>
    <n v="23"/>
    <n v="741.52173913043475"/>
    <s v="Miami"/>
    <s v="French"/>
    <n v="255"/>
    <n v="2479"/>
    <n v="2"/>
    <s v="Tech Enthusiasts"/>
    <x v="345"/>
  </r>
  <r>
    <s v="Alpha Innovations"/>
    <x v="1"/>
    <s v="Women 25-34"/>
    <s v="30 days"/>
    <x v="0"/>
    <n v="0.09"/>
    <n v="15834"/>
    <n v="6.37"/>
    <n v="64"/>
    <n v="247.40625"/>
    <s v="New York"/>
    <s v="Mandarin"/>
    <n v="706"/>
    <n v="7573"/>
    <n v="7"/>
    <s v="Tech Enthusiasts"/>
    <x v="346"/>
  </r>
  <r>
    <s v="NexGen Systems"/>
    <x v="1"/>
    <s v="All Ages"/>
    <s v="30 days"/>
    <x v="0"/>
    <n v="0.03"/>
    <n v="10993"/>
    <n v="2.8"/>
    <n v="30"/>
    <n v="366.43333333333334"/>
    <s v="Chicago"/>
    <s v="French"/>
    <n v="999"/>
    <n v="5600"/>
    <n v="3"/>
    <s v="Health &amp; Wellness"/>
    <x v="347"/>
  </r>
  <r>
    <s v="NexGen Systems"/>
    <x v="1"/>
    <s v="Men 18-24"/>
    <s v="60 days"/>
    <x v="5"/>
    <n v="0.01"/>
    <n v="6960"/>
    <n v="5.66"/>
    <n v="6"/>
    <n v="1160"/>
    <s v="Houston"/>
    <s v="German"/>
    <n v="587"/>
    <n v="3895"/>
    <n v="8"/>
    <s v="Tech Enthusiasts"/>
    <x v="348"/>
  </r>
  <r>
    <s v="Innovate Industries"/>
    <x v="0"/>
    <s v="Women 25-34"/>
    <s v="60 days"/>
    <x v="5"/>
    <n v="0.04"/>
    <n v="13319"/>
    <n v="5.14"/>
    <n v="23"/>
    <n v="579.08695652173913"/>
    <s v="New York"/>
    <s v="French"/>
    <n v="565"/>
    <n v="5694"/>
    <n v="10"/>
    <s v="Health &amp; Wellness"/>
    <x v="349"/>
  </r>
  <r>
    <s v="Innovate Industries"/>
    <x v="3"/>
    <s v="Men 18-24"/>
    <s v="60 days"/>
    <x v="2"/>
    <n v="0.11"/>
    <n v="5970"/>
    <n v="3.75"/>
    <n v="48"/>
    <n v="124.375"/>
    <s v="New York"/>
    <s v="Mandarin"/>
    <n v="440"/>
    <n v="3088"/>
    <n v="8"/>
    <s v="Fashionistas"/>
    <x v="350"/>
  </r>
  <r>
    <s v="NexGen Systems"/>
    <x v="3"/>
    <s v="Women 25-34"/>
    <s v="45 days"/>
    <x v="5"/>
    <n v="0.06"/>
    <n v="13419"/>
    <n v="4.25"/>
    <n v="24"/>
    <n v="559.125"/>
    <s v="Miami"/>
    <s v="Spanish"/>
    <n v="405"/>
    <n v="8967"/>
    <n v="2"/>
    <s v="Foodies"/>
    <x v="351"/>
  </r>
  <r>
    <s v="TechCorp"/>
    <x v="3"/>
    <s v="All Ages"/>
    <s v="15 days"/>
    <x v="2"/>
    <n v="0.04"/>
    <n v="14075"/>
    <n v="5.1100000000000003"/>
    <n v="11"/>
    <n v="1279.5454545454545"/>
    <s v="New York"/>
    <s v="English"/>
    <n v="268"/>
    <n v="4817"/>
    <n v="2"/>
    <s v="Health &amp; Wellness"/>
    <x v="352"/>
  </r>
  <r>
    <s v="Alpha Innovations"/>
    <x v="2"/>
    <s v="Women 35-44"/>
    <s v="45 days"/>
    <x v="4"/>
    <n v="0.09"/>
    <n v="13506"/>
    <n v="3.83"/>
    <n v="46"/>
    <n v="293.60869565217394"/>
    <s v="New York"/>
    <s v="Mandarin"/>
    <n v="515"/>
    <n v="8550"/>
    <n v="7"/>
    <s v="Health &amp; Wellness"/>
    <x v="353"/>
  </r>
  <r>
    <s v="Innovate Industries"/>
    <x v="4"/>
    <s v="Men 18-24"/>
    <s v="60 days"/>
    <x v="5"/>
    <n v="0.06"/>
    <n v="6134"/>
    <n v="7.21"/>
    <n v="51"/>
    <n v="120.27450980392157"/>
    <s v="Los Angeles"/>
    <s v="Mandarin"/>
    <n v="847"/>
    <n v="9467"/>
    <n v="1"/>
    <s v="Tech Enthusiasts"/>
    <x v="354"/>
  </r>
  <r>
    <s v="DataTech Solutions"/>
    <x v="0"/>
    <s v="Men 25-34"/>
    <s v="30 days"/>
    <x v="2"/>
    <n v="0.06"/>
    <n v="10084"/>
    <n v="4.55"/>
    <n v="20"/>
    <n v="504.2"/>
    <s v="Los Angeles"/>
    <s v="Mandarin"/>
    <n v="341"/>
    <n v="6547"/>
    <n v="9"/>
    <s v="Tech Enthusiasts"/>
    <x v="355"/>
  </r>
  <r>
    <s v="Innovate Industries"/>
    <x v="3"/>
    <s v="Women 35-44"/>
    <s v="45 days"/>
    <x v="0"/>
    <n v="0.11"/>
    <n v="18988"/>
    <n v="6.12"/>
    <n v="52"/>
    <n v="365.15384615384613"/>
    <s v="Chicago"/>
    <s v="Mandarin"/>
    <n v="474"/>
    <n v="9227"/>
    <n v="5"/>
    <s v="Fashionistas"/>
    <x v="356"/>
  </r>
  <r>
    <s v="Innovate Industries"/>
    <x v="2"/>
    <s v="Men 25-34"/>
    <s v="60 days"/>
    <x v="4"/>
    <n v="0.1"/>
    <n v="8660"/>
    <n v="4.72"/>
    <n v="72"/>
    <n v="120.27777777777777"/>
    <s v="Houston"/>
    <s v="English"/>
    <n v="724"/>
    <n v="3369"/>
    <n v="7"/>
    <s v="Tech Enthusiasts"/>
    <x v="357"/>
  </r>
  <r>
    <s v="TechCorp"/>
    <x v="1"/>
    <s v="Women 25-34"/>
    <s v="45 days"/>
    <x v="2"/>
    <n v="0.06"/>
    <n v="18198"/>
    <n v="5.0599999999999996"/>
    <n v="20"/>
    <n v="909.9"/>
    <s v="Chicago"/>
    <s v="Mandarin"/>
    <n v="339"/>
    <n v="5883"/>
    <n v="6"/>
    <s v="Foodies"/>
    <x v="358"/>
  </r>
  <r>
    <s v="TechCorp"/>
    <x v="3"/>
    <s v="Men 25-34"/>
    <s v="45 days"/>
    <x v="2"/>
    <n v="0.04"/>
    <n v="13019"/>
    <n v="3.49"/>
    <n v="16"/>
    <n v="813.6875"/>
    <s v="Houston"/>
    <s v="French"/>
    <n v="393"/>
    <n v="7888"/>
    <n v="8"/>
    <s v="Outdoor Adventurers"/>
    <x v="359"/>
  </r>
  <r>
    <s v="DataTech Solutions"/>
    <x v="3"/>
    <s v="Women 35-44"/>
    <s v="45 days"/>
    <x v="3"/>
    <n v="0.04"/>
    <n v="17550"/>
    <n v="5.81"/>
    <n v="34"/>
    <n v="516.17647058823525"/>
    <s v="Miami"/>
    <s v="Spanish"/>
    <n v="851"/>
    <n v="4987"/>
    <n v="10"/>
    <s v="Health &amp; Wellness"/>
    <x v="360"/>
  </r>
  <r>
    <s v="TechCorp"/>
    <x v="4"/>
    <s v="Women 35-44"/>
    <s v="30 days"/>
    <x v="1"/>
    <n v="0.04"/>
    <n v="8990"/>
    <n v="5.96"/>
    <n v="31"/>
    <n v="290"/>
    <s v="New York"/>
    <s v="Mandarin"/>
    <n v="785"/>
    <n v="8949"/>
    <n v="2"/>
    <s v="Tech Enthusiasts"/>
    <x v="361"/>
  </r>
  <r>
    <s v="DataTech Solutions"/>
    <x v="2"/>
    <s v="Women 35-44"/>
    <s v="60 days"/>
    <x v="2"/>
    <n v="0.12"/>
    <n v="15289"/>
    <n v="6.04"/>
    <n v="86"/>
    <n v="177.77906976744185"/>
    <s v="Miami"/>
    <s v="English"/>
    <n v="715"/>
    <n v="5090"/>
    <n v="1"/>
    <s v="Tech Enthusiasts"/>
    <x v="362"/>
  </r>
  <r>
    <s v="Alpha Innovations"/>
    <x v="4"/>
    <s v="All Ages"/>
    <s v="15 days"/>
    <x v="5"/>
    <n v="0.03"/>
    <n v="6665"/>
    <n v="4.79"/>
    <n v="29"/>
    <n v="229.82758620689654"/>
    <s v="Los Angeles"/>
    <s v="German"/>
    <n v="959"/>
    <n v="8106"/>
    <n v="1"/>
    <s v="Tech Enthusiasts"/>
    <x v="363"/>
  </r>
  <r>
    <s v="Alpha Innovations"/>
    <x v="4"/>
    <s v="Women 35-44"/>
    <s v="60 days"/>
    <x v="2"/>
    <n v="7.0000000000000007E-2"/>
    <n v="15440"/>
    <n v="2.15"/>
    <n v="57"/>
    <n v="270.87719298245617"/>
    <s v="Houston"/>
    <s v="Spanish"/>
    <n v="813"/>
    <n v="2656"/>
    <n v="4"/>
    <s v="Tech Enthusiasts"/>
    <x v="364"/>
  </r>
  <r>
    <s v="TechCorp"/>
    <x v="0"/>
    <s v="Men 18-24"/>
    <s v="30 days"/>
    <x v="5"/>
    <n v="0.1"/>
    <n v="7738"/>
    <n v="7.42"/>
    <n v="100"/>
    <n v="77.38"/>
    <s v="Miami"/>
    <s v="Mandarin"/>
    <n v="999"/>
    <n v="5489"/>
    <n v="7"/>
    <s v="Foodies"/>
    <x v="0"/>
  </r>
  <r>
    <s v="Alpha Innovations"/>
    <x v="3"/>
    <s v="Men 25-34"/>
    <s v="30 days"/>
    <x v="0"/>
    <n v="0.05"/>
    <n v="11694"/>
    <n v="6.99"/>
    <n v="49"/>
    <n v="238.65306122448979"/>
    <s v="New York"/>
    <s v="French"/>
    <n v="970"/>
    <n v="5949"/>
    <n v="2"/>
    <s v="Fashionistas"/>
    <x v="1"/>
  </r>
  <r>
    <s v="DataTech Solutions"/>
    <x v="1"/>
    <s v="Men 25-34"/>
    <s v="15 days"/>
    <x v="0"/>
    <n v="0.06"/>
    <n v="17393"/>
    <n v="3.26"/>
    <n v="54"/>
    <n v="322.09259259259261"/>
    <s v="Los Angeles"/>
    <s v="German"/>
    <n v="895"/>
    <n v="2934"/>
    <n v="8"/>
    <s v="Health &amp; Wellness"/>
    <x v="2"/>
  </r>
  <r>
    <s v="DataTech Solutions"/>
    <x v="1"/>
    <s v="Men 25-34"/>
    <s v="30 days"/>
    <x v="4"/>
    <n v="0.09"/>
    <n v="12014"/>
    <n v="4.16"/>
    <n v="43"/>
    <n v="279.39534883720933"/>
    <s v="Chicago"/>
    <s v="Spanish"/>
    <n v="477"/>
    <n v="2055"/>
    <n v="9"/>
    <s v="Foodies"/>
    <x v="3"/>
  </r>
  <r>
    <s v="DataTech Solutions"/>
    <x v="4"/>
    <s v="Women 35-44"/>
    <s v="60 days"/>
    <x v="5"/>
    <n v="0.11"/>
    <n v="9317"/>
    <n v="4.1900000000000004"/>
    <n v="36"/>
    <n v="258.80555555555554"/>
    <s v="Houston"/>
    <s v="German"/>
    <n v="331"/>
    <n v="1453"/>
    <n v="9"/>
    <s v="Outdoor Adventurers"/>
    <x v="4"/>
  </r>
  <r>
    <s v="NexGen Systems"/>
    <x v="4"/>
    <s v="Women 35-44"/>
    <s v="60 days"/>
    <x v="5"/>
    <n v="0.05"/>
    <n v="18736"/>
    <n v="3.64"/>
    <n v="17"/>
    <n v="1102.1176470588234"/>
    <s v="Miami"/>
    <s v="German"/>
    <n v="339"/>
    <n v="4614"/>
    <n v="10"/>
    <s v="Fashionistas"/>
    <x v="5"/>
  </r>
  <r>
    <s v="DataTech Solutions"/>
    <x v="1"/>
    <s v="Men 18-24"/>
    <s v="45 days"/>
    <x v="5"/>
    <n v="0.11"/>
    <n v="7773"/>
    <n v="5.97"/>
    <n v="16"/>
    <n v="485.8125"/>
    <s v="New York"/>
    <s v="German"/>
    <n v="146"/>
    <n v="3573"/>
    <n v="9"/>
    <s v="Tech Enthusiasts"/>
    <x v="6"/>
  </r>
  <r>
    <s v="TechCorp"/>
    <x v="0"/>
    <s v="All Ages"/>
    <s v="15 days"/>
    <x v="4"/>
    <n v="0.02"/>
    <n v="7595"/>
    <n v="4.68"/>
    <n v="12"/>
    <n v="632.91666666666663"/>
    <s v="Miami"/>
    <s v="Mandarin"/>
    <n v="597"/>
    <n v="6535"/>
    <n v="4"/>
    <s v="Health &amp; Wellness"/>
    <x v="7"/>
  </r>
  <r>
    <s v="Alpha Innovations"/>
    <x v="2"/>
    <s v="Men 18-24"/>
    <s v="30 days"/>
    <x v="5"/>
    <n v="0.12"/>
    <n v="10631"/>
    <n v="4.76"/>
    <n v="24"/>
    <n v="442.95833333333331"/>
    <s v="Chicago"/>
    <s v="Spanish"/>
    <n v="198"/>
    <n v="5859"/>
    <n v="7"/>
    <s v="Foodies"/>
    <x v="8"/>
  </r>
  <r>
    <s v="TechCorp"/>
    <x v="2"/>
    <s v="Men 25-34"/>
    <s v="30 days"/>
    <x v="2"/>
    <n v="0.05"/>
    <n v="5498"/>
    <n v="4.91"/>
    <n v="18"/>
    <n v="305.44444444444446"/>
    <s v="New York"/>
    <s v="Mandarin"/>
    <n v="352"/>
    <n v="1852"/>
    <n v="5"/>
    <s v="Health &amp; Wellness"/>
    <x v="9"/>
  </r>
  <r>
    <s v="Alpha Innovations"/>
    <x v="1"/>
    <s v="Women 35-44"/>
    <s v="30 days"/>
    <x v="3"/>
    <n v="0.05"/>
    <n v="16401"/>
    <n v="4.5599999999999996"/>
    <n v="34"/>
    <n v="482.38235294117646"/>
    <s v="Houston"/>
    <s v="German"/>
    <n v="676"/>
    <n v="9040"/>
    <n v="5"/>
    <s v="Health &amp; Wellness"/>
    <x v="10"/>
  </r>
  <r>
    <s v="Innovate Industries"/>
    <x v="1"/>
    <s v="Women 25-34"/>
    <s v="30 days"/>
    <x v="5"/>
    <n v="7.0000000000000007E-2"/>
    <n v="13019"/>
    <n v="2.96"/>
    <n v="15"/>
    <n v="867.93333333333328"/>
    <s v="Los Angeles"/>
    <s v="Mandarin"/>
    <n v="211"/>
    <n v="2928"/>
    <n v="10"/>
    <s v="Outdoor Adventurers"/>
    <x v="11"/>
  </r>
  <r>
    <s v="Innovate Industries"/>
    <x v="4"/>
    <s v="Women 25-34"/>
    <s v="60 days"/>
    <x v="5"/>
    <n v="0.01"/>
    <n v="7215"/>
    <n v="7.32"/>
    <n v="6"/>
    <n v="1202.5"/>
    <s v="Miami"/>
    <s v="English"/>
    <n v="616"/>
    <n v="9826"/>
    <n v="1"/>
    <s v="Tech Enthusiasts"/>
    <x v="12"/>
  </r>
  <r>
    <s v="DataTech Solutions"/>
    <x v="0"/>
    <s v="Women 25-34"/>
    <s v="60 days"/>
    <x v="1"/>
    <n v="0.1"/>
    <n v="13603"/>
    <n v="4.13"/>
    <n v="35"/>
    <n v="388.65714285714284"/>
    <s v="Los Angeles"/>
    <s v="German"/>
    <n v="346"/>
    <n v="9327"/>
    <n v="1"/>
    <s v="Health &amp; Wellness"/>
    <x v="13"/>
  </r>
  <r>
    <s v="Innovate Industries"/>
    <x v="2"/>
    <s v="Men 18-24"/>
    <s v="45 days"/>
    <x v="2"/>
    <n v="0.09"/>
    <n v="18249"/>
    <n v="3.19"/>
    <n v="9"/>
    <n v="2027.6666666666667"/>
    <s v="New York"/>
    <s v="German"/>
    <n v="104"/>
    <n v="6969"/>
    <n v="4"/>
    <s v="Outdoor Adventurers"/>
    <x v="14"/>
  </r>
  <r>
    <s v="DataTech Solutions"/>
    <x v="4"/>
    <s v="All Ages"/>
    <s v="60 days"/>
    <x v="5"/>
    <n v="0.14000000000000001"/>
    <n v="11648"/>
    <n v="3.41"/>
    <n v="97"/>
    <n v="120.08247422680412"/>
    <s v="Los Angeles"/>
    <s v="English"/>
    <n v="696"/>
    <n v="3025"/>
    <n v="9"/>
    <s v="Outdoor Adventurers"/>
    <x v="15"/>
  </r>
  <r>
    <s v="NexGen Systems"/>
    <x v="1"/>
    <s v="All Ages"/>
    <s v="30 days"/>
    <x v="5"/>
    <n v="0.05"/>
    <n v="6410"/>
    <n v="2.77"/>
    <n v="15"/>
    <n v="427.33333333333331"/>
    <s v="Houston"/>
    <s v="German"/>
    <n v="301"/>
    <n v="4085"/>
    <n v="1"/>
    <s v="Tech Enthusiasts"/>
    <x v="16"/>
  </r>
  <r>
    <s v="NexGen Systems"/>
    <x v="3"/>
    <s v="Men 18-24"/>
    <s v="30 days"/>
    <x v="4"/>
    <n v="0.05"/>
    <n v="14476"/>
    <n v="7.18"/>
    <n v="45"/>
    <n v="321.68888888888887"/>
    <s v="New York"/>
    <s v="French"/>
    <n v="904"/>
    <n v="1003"/>
    <n v="3"/>
    <s v="Health &amp; Wellness"/>
    <x v="17"/>
  </r>
  <r>
    <s v="NexGen Systems"/>
    <x v="4"/>
    <s v="Women 35-44"/>
    <s v="30 days"/>
    <x v="3"/>
    <n v="0.14000000000000001"/>
    <n v="19597"/>
    <n v="5.37"/>
    <n v="23"/>
    <n v="852.04347826086962"/>
    <s v="Los Angeles"/>
    <s v="German"/>
    <n v="163"/>
    <n v="3150"/>
    <n v="3"/>
    <s v="Foodies"/>
    <x v="18"/>
  </r>
  <r>
    <s v="Innovate Industries"/>
    <x v="0"/>
    <s v="Men 18-24"/>
    <s v="60 days"/>
    <x v="4"/>
    <n v="0.14000000000000001"/>
    <n v="7795"/>
    <n v="6.39"/>
    <n v="45"/>
    <n v="173.22222222222223"/>
    <s v="New York"/>
    <s v="Spanish"/>
    <n v="323"/>
    <n v="4262"/>
    <n v="6"/>
    <s v="Outdoor Adventurers"/>
    <x v="19"/>
  </r>
  <r>
    <s v="Innovate Industries"/>
    <x v="2"/>
    <s v="Men 18-24"/>
    <s v="45 days"/>
    <x v="5"/>
    <n v="0.12"/>
    <n v="19921"/>
    <n v="4.07"/>
    <n v="106"/>
    <n v="187.93396226415095"/>
    <s v="Los Angeles"/>
    <s v="Spanish"/>
    <n v="884"/>
    <n v="2980"/>
    <n v="7"/>
    <s v="Tech Enthusiasts"/>
    <x v="20"/>
  </r>
  <r>
    <s v="NexGen Systems"/>
    <x v="2"/>
    <s v="Women 25-34"/>
    <s v="30 days"/>
    <x v="4"/>
    <n v="0.02"/>
    <n v="16232"/>
    <n v="4.3099999999999996"/>
    <n v="16"/>
    <n v="1014.5"/>
    <s v="Chicago"/>
    <s v="English"/>
    <n v="810"/>
    <n v="8579"/>
    <n v="4"/>
    <s v="Fashionistas"/>
    <x v="21"/>
  </r>
  <r>
    <s v="NexGen Systems"/>
    <x v="2"/>
    <s v="All Ages"/>
    <s v="60 days"/>
    <x v="5"/>
    <n v="0.01"/>
    <n v="8691"/>
    <n v="2.74"/>
    <n v="2"/>
    <n v="4345.5"/>
    <s v="New York"/>
    <s v="German"/>
    <n v="193"/>
    <n v="5942"/>
    <n v="3"/>
    <s v="Tech Enthusiasts"/>
    <x v="22"/>
  </r>
  <r>
    <s v="NexGen Systems"/>
    <x v="0"/>
    <s v="Women 25-34"/>
    <s v="30 days"/>
    <x v="1"/>
    <n v="0.15"/>
    <n v="13628"/>
    <n v="3.39"/>
    <n v="114"/>
    <n v="119.54385964912281"/>
    <s v="Houston"/>
    <s v="German"/>
    <n v="759"/>
    <n v="2217"/>
    <n v="3"/>
    <s v="Fashionistas"/>
    <x v="23"/>
  </r>
  <r>
    <s v="Alpha Innovations"/>
    <x v="2"/>
    <s v="Women 35-44"/>
    <s v="60 days"/>
    <x v="0"/>
    <n v="0.04"/>
    <n v="13808"/>
    <n v="4.8499999999999996"/>
    <n v="39"/>
    <n v="354.05128205128204"/>
    <s v="Chicago"/>
    <s v="French"/>
    <n v="981"/>
    <n v="5515"/>
    <n v="2"/>
    <s v="Foodies"/>
    <x v="24"/>
  </r>
  <r>
    <s v="Innovate Industries"/>
    <x v="2"/>
    <s v="Women 25-34"/>
    <s v="45 days"/>
    <x v="2"/>
    <n v="0.02"/>
    <n v="17342"/>
    <n v="4.4800000000000004"/>
    <n v="17"/>
    <n v="1020.1176470588235"/>
    <s v="Los Angeles"/>
    <s v="English"/>
    <n v="866"/>
    <n v="5734"/>
    <n v="9"/>
    <s v="Tech Enthusiasts"/>
    <x v="25"/>
  </r>
  <r>
    <s v="TechCorp"/>
    <x v="0"/>
    <s v="Women 25-34"/>
    <s v="30 days"/>
    <x v="3"/>
    <n v="0.15"/>
    <n v="16696"/>
    <n v="6.62"/>
    <n v="85"/>
    <n v="196.42352941176472"/>
    <s v="Chicago"/>
    <s v="French"/>
    <n v="565"/>
    <n v="7191"/>
    <n v="9"/>
    <s v="Tech Enthusiasts"/>
    <x v="26"/>
  </r>
  <r>
    <s v="NexGen Systems"/>
    <x v="1"/>
    <s v="Men 18-24"/>
    <s v="60 days"/>
    <x v="0"/>
    <n v="0.12"/>
    <n v="12023"/>
    <n v="6.69"/>
    <n v="112"/>
    <n v="107.34821428571429"/>
    <s v="New York"/>
    <s v="Mandarin"/>
    <n v="930"/>
    <n v="5020"/>
    <n v="5"/>
    <s v="Fashionistas"/>
    <x v="27"/>
  </r>
  <r>
    <s v="TechCorp"/>
    <x v="0"/>
    <s v="Women 35-44"/>
    <s v="45 days"/>
    <x v="3"/>
    <n v="0.08"/>
    <n v="15553"/>
    <n v="4.0599999999999996"/>
    <n v="24"/>
    <n v="648.04166666666663"/>
    <s v="New York"/>
    <s v="German"/>
    <n v="295"/>
    <n v="3096"/>
    <n v="10"/>
    <s v="Fashionistas"/>
    <x v="28"/>
  </r>
  <r>
    <s v="NexGen Systems"/>
    <x v="2"/>
    <s v="Women 35-44"/>
    <s v="15 days"/>
    <x v="2"/>
    <n v="0.02"/>
    <n v="5818"/>
    <n v="2.78"/>
    <n v="8"/>
    <n v="727.25"/>
    <s v="Los Angeles"/>
    <s v="Mandarin"/>
    <n v="380"/>
    <n v="2732"/>
    <n v="1"/>
    <s v="Outdoor Adventurers"/>
    <x v="29"/>
  </r>
  <r>
    <s v="DataTech Solutions"/>
    <x v="4"/>
    <s v="Women 35-44"/>
    <s v="45 days"/>
    <x v="5"/>
    <n v="0.09"/>
    <n v="5581"/>
    <n v="4.4400000000000004"/>
    <n v="45"/>
    <n v="124.02222222222223"/>
    <s v="Los Angeles"/>
    <s v="French"/>
    <n v="497"/>
    <n v="9679"/>
    <n v="2"/>
    <s v="Outdoor Adventurers"/>
    <x v="30"/>
  </r>
  <r>
    <s v="DataTech Solutions"/>
    <x v="4"/>
    <s v="Women 25-34"/>
    <s v="60 days"/>
    <x v="2"/>
    <n v="0.02"/>
    <n v="19613"/>
    <n v="2.08"/>
    <n v="17"/>
    <n v="1153.7058823529412"/>
    <s v="Chicago"/>
    <s v="English"/>
    <n v="832"/>
    <n v="5899"/>
    <n v="1"/>
    <s v="Health &amp; Wellness"/>
    <x v="31"/>
  </r>
  <r>
    <s v="TechCorp"/>
    <x v="0"/>
    <s v="Women 35-44"/>
    <s v="30 days"/>
    <x v="4"/>
    <n v="0.14000000000000001"/>
    <n v="10353"/>
    <n v="5.55"/>
    <n v="128"/>
    <n v="80.8828125"/>
    <s v="Los Angeles"/>
    <s v="Mandarin"/>
    <n v="912"/>
    <n v="2116"/>
    <n v="9"/>
    <s v="Tech Enthusiasts"/>
    <x v="32"/>
  </r>
  <r>
    <s v="TechCorp"/>
    <x v="0"/>
    <s v="Women 25-34"/>
    <s v="45 days"/>
    <x v="1"/>
    <n v="0.11"/>
    <n v="16905"/>
    <n v="5.45"/>
    <n v="20"/>
    <n v="845.25"/>
    <s v="New York"/>
    <s v="German"/>
    <n v="180"/>
    <n v="7965"/>
    <n v="10"/>
    <s v="Health &amp; Wellness"/>
    <x v="33"/>
  </r>
  <r>
    <s v="Innovate Industries"/>
    <x v="1"/>
    <s v="Men 18-24"/>
    <s v="30 days"/>
    <x v="2"/>
    <n v="0.1"/>
    <n v="8326"/>
    <n v="7.67"/>
    <n v="77"/>
    <n v="108.12987012987013"/>
    <s v="Houston"/>
    <s v="Spanish"/>
    <n v="767"/>
    <n v="3631"/>
    <n v="2"/>
    <s v="Health &amp; Wellness"/>
    <x v="34"/>
  </r>
  <r>
    <s v="TechCorp"/>
    <x v="2"/>
    <s v="All Ages"/>
    <s v="60 days"/>
    <x v="0"/>
    <n v="0.09"/>
    <n v="18771"/>
    <n v="4.26"/>
    <n v="63"/>
    <n v="297.95238095238096"/>
    <s v="New York"/>
    <s v="French"/>
    <n v="701"/>
    <n v="6715"/>
    <n v="9"/>
    <s v="Fashionistas"/>
    <x v="35"/>
  </r>
  <r>
    <s v="TechCorp"/>
    <x v="2"/>
    <s v="Women 25-34"/>
    <s v="30 days"/>
    <x v="2"/>
    <n v="0.12"/>
    <n v="5591"/>
    <n v="4.9800000000000004"/>
    <n v="91"/>
    <n v="61.439560439560438"/>
    <s v="Los Angeles"/>
    <s v="French"/>
    <n v="761"/>
    <n v="9484"/>
    <n v="3"/>
    <s v="Health &amp; Wellness"/>
    <x v="36"/>
  </r>
  <r>
    <s v="NexGen Systems"/>
    <x v="1"/>
    <s v="All Ages"/>
    <s v="30 days"/>
    <x v="0"/>
    <n v="0.12"/>
    <n v="13324"/>
    <n v="2.73"/>
    <n v="108"/>
    <n v="123.37037037037037"/>
    <s v="Chicago"/>
    <s v="English"/>
    <n v="898"/>
    <n v="6975"/>
    <n v="2"/>
    <s v="Fashionistas"/>
    <x v="37"/>
  </r>
  <r>
    <s v="Alpha Innovations"/>
    <x v="1"/>
    <s v="Men 18-24"/>
    <s v="60 days"/>
    <x v="5"/>
    <n v="0.06"/>
    <n v="13757"/>
    <n v="6.22"/>
    <n v="24"/>
    <n v="573.20833333333337"/>
    <s v="Los Angeles"/>
    <s v="Spanish"/>
    <n v="397"/>
    <n v="7940"/>
    <n v="9"/>
    <s v="Tech Enthusiasts"/>
    <x v="38"/>
  </r>
  <r>
    <s v="DataTech Solutions"/>
    <x v="0"/>
    <s v="Women 35-44"/>
    <s v="60 days"/>
    <x v="3"/>
    <n v="0.05"/>
    <n v="9487"/>
    <n v="7.45"/>
    <n v="47"/>
    <n v="201.85106382978722"/>
    <s v="Los Angeles"/>
    <s v="Mandarin"/>
    <n v="945"/>
    <n v="4138"/>
    <n v="5"/>
    <s v="Fashionistas"/>
    <x v="39"/>
  </r>
  <r>
    <s v="Innovate Industries"/>
    <x v="4"/>
    <s v="Women 35-44"/>
    <s v="30 days"/>
    <x v="5"/>
    <n v="0.05"/>
    <n v="19721"/>
    <n v="7.45"/>
    <n v="45"/>
    <n v="438.24444444444447"/>
    <s v="Miami"/>
    <s v="German"/>
    <n v="893"/>
    <n v="9614"/>
    <n v="5"/>
    <s v="Fashionistas"/>
    <x v="40"/>
  </r>
  <r>
    <s v="Innovate Industries"/>
    <x v="4"/>
    <s v="Men 18-24"/>
    <s v="45 days"/>
    <x v="5"/>
    <n v="0.1"/>
    <n v="13686"/>
    <n v="5.9"/>
    <n v="48"/>
    <n v="285.125"/>
    <s v="Los Angeles"/>
    <s v="French"/>
    <n v="479"/>
    <n v="4501"/>
    <n v="1"/>
    <s v="Tech Enthusiasts"/>
    <x v="41"/>
  </r>
  <r>
    <s v="NexGen Systems"/>
    <x v="3"/>
    <s v="All Ages"/>
    <s v="45 days"/>
    <x v="1"/>
    <n v="0.03"/>
    <n v="10066"/>
    <n v="3.6"/>
    <n v="3"/>
    <n v="3355.3333333333335"/>
    <s v="Los Angeles"/>
    <s v="English"/>
    <n v="111"/>
    <n v="1740"/>
    <n v="4"/>
    <s v="Foodies"/>
    <x v="42"/>
  </r>
  <r>
    <s v="DataTech Solutions"/>
    <x v="4"/>
    <s v="All Ages"/>
    <s v="30 days"/>
    <x v="0"/>
    <n v="0.03"/>
    <n v="16120"/>
    <n v="4.16"/>
    <n v="15"/>
    <n v="1074.6666666666667"/>
    <s v="New York"/>
    <s v="Mandarin"/>
    <n v="495"/>
    <n v="5114"/>
    <n v="2"/>
    <s v="Health &amp; Wellness"/>
    <x v="43"/>
  </r>
  <r>
    <s v="DataTech Solutions"/>
    <x v="3"/>
    <s v="Women 35-44"/>
    <s v="45 days"/>
    <x v="2"/>
    <n v="0.08"/>
    <n v="8875"/>
    <n v="2.2200000000000002"/>
    <n v="15"/>
    <n v="591.66666666666663"/>
    <s v="Chicago"/>
    <s v="French"/>
    <n v="185"/>
    <n v="2090"/>
    <n v="6"/>
    <s v="Tech Enthusiasts"/>
    <x v="44"/>
  </r>
  <r>
    <s v="TechCorp"/>
    <x v="0"/>
    <s v="Men 25-34"/>
    <s v="60 days"/>
    <x v="3"/>
    <n v="0.13"/>
    <n v="13496"/>
    <n v="2.19"/>
    <n v="75"/>
    <n v="179.94666666666666"/>
    <s v="Chicago"/>
    <s v="German"/>
    <n v="575"/>
    <n v="2408"/>
    <n v="7"/>
    <s v="Tech Enthusiasts"/>
    <x v="45"/>
  </r>
  <r>
    <s v="Innovate Industries"/>
    <x v="2"/>
    <s v="Men 18-24"/>
    <s v="15 days"/>
    <x v="5"/>
    <n v="0.09"/>
    <n v="11964"/>
    <n v="5.91"/>
    <n v="80"/>
    <n v="149.55000000000001"/>
    <s v="Chicago"/>
    <s v="English"/>
    <n v="892"/>
    <n v="7440"/>
    <n v="3"/>
    <s v="Outdoor Adventurers"/>
    <x v="46"/>
  </r>
  <r>
    <s v="DataTech Solutions"/>
    <x v="4"/>
    <s v="Men 25-34"/>
    <s v="15 days"/>
    <x v="5"/>
    <n v="0.06"/>
    <n v="15466"/>
    <n v="4.71"/>
    <n v="8"/>
    <n v="1933.25"/>
    <s v="Los Angeles"/>
    <s v="English"/>
    <n v="129"/>
    <n v="9035"/>
    <n v="10"/>
    <s v="Fashionistas"/>
    <x v="47"/>
  </r>
  <r>
    <s v="Innovate Industries"/>
    <x v="0"/>
    <s v="Women 25-34"/>
    <s v="60 days"/>
    <x v="5"/>
    <n v="0.11"/>
    <n v="11278"/>
    <n v="2.1800000000000002"/>
    <n v="76"/>
    <n v="148.39473684210526"/>
    <s v="Houston"/>
    <s v="Spanish"/>
    <n v="693"/>
    <n v="3660"/>
    <n v="10"/>
    <s v="Tech Enthusiasts"/>
    <x v="48"/>
  </r>
  <r>
    <s v="Innovate Industries"/>
    <x v="1"/>
    <s v="Men 25-34"/>
    <s v="45 days"/>
    <x v="4"/>
    <n v="0.14000000000000001"/>
    <n v="12501"/>
    <n v="7.97"/>
    <n v="88"/>
    <n v="142.05681818181819"/>
    <s v="Miami"/>
    <s v="Spanish"/>
    <n v="626"/>
    <n v="9190"/>
    <n v="6"/>
    <s v="Outdoor Adventurers"/>
    <x v="49"/>
  </r>
  <r>
    <s v="TechCorp"/>
    <x v="0"/>
    <s v="Men 18-24"/>
    <s v="45 days"/>
    <x v="1"/>
    <n v="0.02"/>
    <n v="13955"/>
    <n v="2.82"/>
    <n v="10"/>
    <n v="1395.5"/>
    <s v="Houston"/>
    <s v="English"/>
    <n v="512"/>
    <n v="8155"/>
    <n v="3"/>
    <s v="Outdoor Adventurers"/>
    <x v="50"/>
  </r>
  <r>
    <s v="Innovate Industries"/>
    <x v="1"/>
    <s v="Men 18-24"/>
    <s v="60 days"/>
    <x v="5"/>
    <n v="0.04"/>
    <n v="14006"/>
    <n v="7.83"/>
    <n v="20"/>
    <n v="700.3"/>
    <s v="Miami"/>
    <s v="Mandarin"/>
    <n v="498"/>
    <n v="7946"/>
    <n v="4"/>
    <s v="Outdoor Adventurers"/>
    <x v="51"/>
  </r>
  <r>
    <s v="Alpha Innovations"/>
    <x v="0"/>
    <s v="Women 25-34"/>
    <s v="45 days"/>
    <x v="3"/>
    <n v="0.08"/>
    <n v="14175"/>
    <n v="3.59"/>
    <n v="47"/>
    <n v="301.59574468085106"/>
    <s v="Houston"/>
    <s v="French"/>
    <n v="587"/>
    <n v="4266"/>
    <n v="3"/>
    <s v="Foodies"/>
    <x v="52"/>
  </r>
  <r>
    <s v="TechCorp"/>
    <x v="1"/>
    <s v="Women 25-34"/>
    <s v="45 days"/>
    <x v="0"/>
    <n v="0.14000000000000001"/>
    <n v="9447"/>
    <n v="6.28"/>
    <n v="97"/>
    <n v="97.391752577319593"/>
    <s v="Miami"/>
    <s v="Mandarin"/>
    <n v="693"/>
    <n v="4892"/>
    <n v="2"/>
    <s v="Health &amp; Wellness"/>
    <x v="53"/>
  </r>
  <r>
    <s v="Innovate Industries"/>
    <x v="2"/>
    <s v="All Ages"/>
    <s v="60 days"/>
    <x v="3"/>
    <n v="0.11"/>
    <n v="5618"/>
    <n v="4.83"/>
    <n v="81"/>
    <n v="69.358024691358025"/>
    <s v="New York"/>
    <s v="French"/>
    <n v="738"/>
    <n v="6151"/>
    <n v="5"/>
    <s v="Foodies"/>
    <x v="54"/>
  </r>
  <r>
    <s v="Alpha Innovations"/>
    <x v="0"/>
    <s v="Women 35-44"/>
    <s v="60 days"/>
    <x v="4"/>
    <n v="0.06"/>
    <n v="13456"/>
    <n v="6.62"/>
    <n v="56"/>
    <n v="240.28571428571428"/>
    <s v="Miami"/>
    <s v="Spanish"/>
    <n v="925"/>
    <n v="8790"/>
    <n v="7"/>
    <s v="Fashionistas"/>
    <x v="55"/>
  </r>
  <r>
    <s v="DataTech Solutions"/>
    <x v="1"/>
    <s v="Women 35-44"/>
    <s v="45 days"/>
    <x v="5"/>
    <n v="0.08"/>
    <n v="19274"/>
    <n v="3.32"/>
    <n v="33"/>
    <n v="584.06060606060601"/>
    <s v="Chicago"/>
    <s v="English"/>
    <n v="408"/>
    <n v="5183"/>
    <n v="8"/>
    <s v="Health &amp; Wellness"/>
    <x v="56"/>
  </r>
  <r>
    <s v="NexGen Systems"/>
    <x v="0"/>
    <s v="All Ages"/>
    <s v="15 days"/>
    <x v="3"/>
    <n v="0.1"/>
    <n v="19932"/>
    <n v="4.38"/>
    <n v="73"/>
    <n v="273.04109589041099"/>
    <s v="Houston"/>
    <s v="German"/>
    <n v="730"/>
    <n v="8081"/>
    <n v="6"/>
    <s v="Foodies"/>
    <x v="57"/>
  </r>
  <r>
    <s v="Alpha Innovations"/>
    <x v="4"/>
    <s v="All Ages"/>
    <s v="15 days"/>
    <x v="2"/>
    <n v="0.01"/>
    <n v="13451"/>
    <n v="3.48"/>
    <n v="8"/>
    <n v="1681.375"/>
    <s v="Chicago"/>
    <s v="English"/>
    <n v="762"/>
    <n v="4209"/>
    <n v="4"/>
    <s v="Fashionistas"/>
    <x v="58"/>
  </r>
  <r>
    <s v="Innovate Industries"/>
    <x v="0"/>
    <s v="Women 25-34"/>
    <s v="15 days"/>
    <x v="2"/>
    <n v="0.08"/>
    <n v="10497"/>
    <n v="3.73"/>
    <n v="62"/>
    <n v="169.30645161290323"/>
    <s v="Houston"/>
    <s v="English"/>
    <n v="779"/>
    <n v="3072"/>
    <n v="6"/>
    <s v="Foodies"/>
    <x v="59"/>
  </r>
  <r>
    <s v="Innovate Industries"/>
    <x v="2"/>
    <s v="Men 25-34"/>
    <s v="45 days"/>
    <x v="2"/>
    <n v="0.13"/>
    <n v="5324"/>
    <n v="2.5"/>
    <n v="62"/>
    <n v="85.870967741935488"/>
    <s v="Los Angeles"/>
    <s v="German"/>
    <n v="478"/>
    <n v="9071"/>
    <n v="10"/>
    <s v="Foodies"/>
    <x v="60"/>
  </r>
  <r>
    <s v="DataTech Solutions"/>
    <x v="0"/>
    <s v="Women 25-34"/>
    <s v="30 days"/>
    <x v="0"/>
    <n v="0.04"/>
    <n v="14727"/>
    <n v="4.4000000000000004"/>
    <n v="12"/>
    <n v="1227.25"/>
    <s v="Chicago"/>
    <s v="French"/>
    <n v="290"/>
    <n v="3498"/>
    <n v="7"/>
    <s v="Health &amp; Wellness"/>
    <x v="61"/>
  </r>
  <r>
    <s v="DataTech Solutions"/>
    <x v="1"/>
    <s v="Women 35-44"/>
    <s v="30 days"/>
    <x v="4"/>
    <n v="0.14000000000000001"/>
    <n v="6265"/>
    <n v="7.42"/>
    <n v="88"/>
    <n v="71.193181818181813"/>
    <s v="Los Angeles"/>
    <s v="French"/>
    <n v="628"/>
    <n v="7000"/>
    <n v="2"/>
    <s v="Outdoor Adventurers"/>
    <x v="62"/>
  </r>
  <r>
    <s v="DataTech Solutions"/>
    <x v="0"/>
    <s v="Men 18-24"/>
    <s v="15 days"/>
    <x v="1"/>
    <n v="0.13"/>
    <n v="10081"/>
    <n v="3.03"/>
    <n v="103"/>
    <n v="97.873786407766985"/>
    <s v="Los Angeles"/>
    <s v="Mandarin"/>
    <n v="792"/>
    <n v="1931"/>
    <n v="6"/>
    <s v="Health &amp; Wellness"/>
    <x v="63"/>
  </r>
  <r>
    <s v="DataTech Solutions"/>
    <x v="2"/>
    <s v="All Ages"/>
    <s v="15 days"/>
    <x v="0"/>
    <n v="0.04"/>
    <n v="14234"/>
    <n v="3.45"/>
    <n v="18"/>
    <n v="790.77777777777783"/>
    <s v="Houston"/>
    <s v="Mandarin"/>
    <n v="453"/>
    <n v="5257"/>
    <n v="2"/>
    <s v="Outdoor Adventurers"/>
    <x v="64"/>
  </r>
  <r>
    <s v="Innovate Industries"/>
    <x v="4"/>
    <s v="Men 25-34"/>
    <s v="60 days"/>
    <x v="5"/>
    <n v="0.06"/>
    <n v="16883"/>
    <n v="6.53"/>
    <n v="21"/>
    <n v="803.95238095238096"/>
    <s v="Los Angeles"/>
    <s v="German"/>
    <n v="344"/>
    <n v="3433"/>
    <n v="9"/>
    <s v="Tech Enthusiasts"/>
    <x v="65"/>
  </r>
  <r>
    <s v="DataTech Solutions"/>
    <x v="4"/>
    <s v="Women 35-44"/>
    <s v="45 days"/>
    <x v="2"/>
    <n v="0.15"/>
    <n v="15315"/>
    <n v="5.7"/>
    <n v="121"/>
    <n v="126.5702479338843"/>
    <s v="Los Angeles"/>
    <s v="Spanish"/>
    <n v="808"/>
    <n v="8935"/>
    <n v="10"/>
    <s v="Foodies"/>
    <x v="66"/>
  </r>
  <r>
    <s v="TechCorp"/>
    <x v="3"/>
    <s v="Women 25-34"/>
    <s v="30 days"/>
    <x v="3"/>
    <n v="0.13"/>
    <n v="10022"/>
    <n v="2.11"/>
    <n v="61"/>
    <n v="164.29508196721312"/>
    <s v="Chicago"/>
    <s v="English"/>
    <n v="472"/>
    <n v="5423"/>
    <n v="4"/>
    <s v="Outdoor Adventurers"/>
    <x v="67"/>
  </r>
  <r>
    <s v="Alpha Innovations"/>
    <x v="0"/>
    <s v="Men 18-24"/>
    <s v="60 days"/>
    <x v="1"/>
    <n v="0.04"/>
    <n v="8404"/>
    <n v="7.81"/>
    <n v="26"/>
    <n v="323.23076923076923"/>
    <s v="Los Angeles"/>
    <s v="Spanish"/>
    <n v="662"/>
    <n v="4125"/>
    <n v="2"/>
    <s v="Health &amp; Wellness"/>
    <x v="68"/>
  </r>
  <r>
    <s v="TechCorp"/>
    <x v="4"/>
    <s v="Men 18-24"/>
    <s v="30 days"/>
    <x v="0"/>
    <n v="0.05"/>
    <n v="16934"/>
    <n v="6.79"/>
    <n v="22"/>
    <n v="769.72727272727275"/>
    <s v="Chicago"/>
    <s v="German"/>
    <n v="446"/>
    <n v="4904"/>
    <n v="6"/>
    <s v="Fashionistas"/>
    <x v="69"/>
  </r>
  <r>
    <s v="DataTech Solutions"/>
    <x v="1"/>
    <s v="Men 25-34"/>
    <s v="45 days"/>
    <x v="5"/>
    <n v="0.08"/>
    <n v="6110"/>
    <n v="4"/>
    <n v="71"/>
    <n v="86.056338028169009"/>
    <s v="Miami"/>
    <s v="English"/>
    <n v="883"/>
    <n v="7094"/>
    <n v="9"/>
    <s v="Health &amp; Wellness"/>
    <x v="70"/>
  </r>
  <r>
    <s v="DataTech Solutions"/>
    <x v="1"/>
    <s v="All Ages"/>
    <s v="15 days"/>
    <x v="1"/>
    <n v="0.09"/>
    <n v="8208"/>
    <n v="4.7699999999999996"/>
    <n v="30"/>
    <n v="273.60000000000002"/>
    <s v="New York"/>
    <s v="French"/>
    <n v="329"/>
    <n v="4529"/>
    <n v="5"/>
    <s v="Tech Enthusiasts"/>
    <x v="71"/>
  </r>
  <r>
    <s v="Innovate Industries"/>
    <x v="4"/>
    <s v="Men 18-24"/>
    <s v="45 days"/>
    <x v="1"/>
    <n v="0.13"/>
    <n v="16258"/>
    <n v="7.79"/>
    <n v="58"/>
    <n v="280.31034482758622"/>
    <s v="New York"/>
    <s v="Spanish"/>
    <n v="444"/>
    <n v="8893"/>
    <n v="1"/>
    <s v="Fashionistas"/>
    <x v="72"/>
  </r>
  <r>
    <s v="TechCorp"/>
    <x v="2"/>
    <s v="Men 18-24"/>
    <s v="30 days"/>
    <x v="5"/>
    <n v="0.11"/>
    <n v="12112"/>
    <n v="5.49"/>
    <n v="32"/>
    <n v="378.5"/>
    <s v="Miami"/>
    <s v="English"/>
    <n v="290"/>
    <n v="7730"/>
    <n v="1"/>
    <s v="Health &amp; Wellness"/>
    <x v="73"/>
  </r>
  <r>
    <s v="Alpha Innovations"/>
    <x v="3"/>
    <s v="Women 25-34"/>
    <s v="60 days"/>
    <x v="4"/>
    <n v="0.02"/>
    <n v="11137"/>
    <n v="5.52"/>
    <n v="8"/>
    <n v="1392.125"/>
    <s v="Miami"/>
    <s v="French"/>
    <n v="393"/>
    <n v="9223"/>
    <n v="3"/>
    <s v="Foodies"/>
    <x v="74"/>
  </r>
  <r>
    <s v="DataTech Solutions"/>
    <x v="0"/>
    <s v="Men 25-34"/>
    <s v="60 days"/>
    <x v="4"/>
    <n v="0.1"/>
    <n v="15143"/>
    <n v="4.01"/>
    <n v="23"/>
    <n v="658.39130434782612"/>
    <s v="Chicago"/>
    <s v="German"/>
    <n v="229"/>
    <n v="5705"/>
    <n v="9"/>
    <s v="Fashionistas"/>
    <x v="75"/>
  </r>
  <r>
    <s v="Innovate Industries"/>
    <x v="0"/>
    <s v="Men 18-24"/>
    <s v="45 days"/>
    <x v="3"/>
    <n v="0.08"/>
    <n v="7875"/>
    <n v="7.08"/>
    <n v="16"/>
    <n v="492.1875"/>
    <s v="Chicago"/>
    <s v="English"/>
    <n v="195"/>
    <n v="8176"/>
    <n v="6"/>
    <s v="Tech Enthusiasts"/>
    <x v="76"/>
  </r>
  <r>
    <s v="DataTech Solutions"/>
    <x v="4"/>
    <s v="Women 25-34"/>
    <s v="60 days"/>
    <x v="1"/>
    <n v="7.0000000000000007E-2"/>
    <n v="6228"/>
    <n v="6.92"/>
    <n v="50"/>
    <n v="124.56"/>
    <s v="New York"/>
    <s v="German"/>
    <n v="715"/>
    <n v="9976"/>
    <n v="10"/>
    <s v="Tech Enthusiasts"/>
    <x v="77"/>
  </r>
  <r>
    <s v="Innovate Industries"/>
    <x v="1"/>
    <s v="Women 35-44"/>
    <s v="45 days"/>
    <x v="1"/>
    <n v="7.0000000000000007E-2"/>
    <n v="7419"/>
    <n v="4.7300000000000004"/>
    <n v="33"/>
    <n v="224.81818181818181"/>
    <s v="Chicago"/>
    <s v="German"/>
    <n v="477"/>
    <n v="1014"/>
    <n v="1"/>
    <s v="Fashionistas"/>
    <x v="78"/>
  </r>
  <r>
    <s v="TechCorp"/>
    <x v="3"/>
    <s v="Men 18-24"/>
    <s v="15 days"/>
    <x v="2"/>
    <n v="0.13"/>
    <n v="18673"/>
    <n v="4.5"/>
    <n v="106"/>
    <n v="176.16037735849056"/>
    <s v="Los Angeles"/>
    <s v="Mandarin"/>
    <n v="812"/>
    <n v="5178"/>
    <n v="3"/>
    <s v="Outdoor Adventurers"/>
    <x v="79"/>
  </r>
  <r>
    <s v="Alpha Innovations"/>
    <x v="2"/>
    <s v="Women 35-44"/>
    <s v="45 days"/>
    <x v="5"/>
    <n v="0.05"/>
    <n v="17055"/>
    <n v="4.95"/>
    <n v="49"/>
    <n v="348.0612244897959"/>
    <s v="New York"/>
    <s v="Spanish"/>
    <n v="970"/>
    <n v="3580"/>
    <n v="8"/>
    <s v="Foodies"/>
    <x v="80"/>
  </r>
  <r>
    <s v="DataTech Solutions"/>
    <x v="1"/>
    <s v="All Ages"/>
    <s v="60 days"/>
    <x v="3"/>
    <n v="0.06"/>
    <n v="12353"/>
    <n v="6.24"/>
    <n v="41"/>
    <n v="301.29268292682929"/>
    <s v="Miami"/>
    <s v="German"/>
    <n v="678"/>
    <n v="9463"/>
    <n v="5"/>
    <s v="Health &amp; Wellness"/>
    <x v="81"/>
  </r>
  <r>
    <s v="NexGen Systems"/>
    <x v="4"/>
    <s v="Women 25-34"/>
    <s v="30 days"/>
    <x v="4"/>
    <n v="7.0000000000000007E-2"/>
    <n v="14598"/>
    <n v="2.64"/>
    <n v="45"/>
    <n v="324.39999999999998"/>
    <s v="Houston"/>
    <s v="Spanish"/>
    <n v="636"/>
    <n v="1986"/>
    <n v="1"/>
    <s v="Fashionistas"/>
    <x v="82"/>
  </r>
  <r>
    <s v="Innovate Industries"/>
    <x v="3"/>
    <s v="All Ages"/>
    <s v="60 days"/>
    <x v="4"/>
    <n v="0.14000000000000001"/>
    <n v="11247"/>
    <n v="6.64"/>
    <n v="119"/>
    <n v="94.512605042016801"/>
    <s v="Los Angeles"/>
    <s v="French"/>
    <n v="852"/>
    <n v="4096"/>
    <n v="3"/>
    <s v="Tech Enthusiasts"/>
    <x v="83"/>
  </r>
  <r>
    <s v="Alpha Innovations"/>
    <x v="0"/>
    <s v="Men 18-24"/>
    <s v="45 days"/>
    <x v="2"/>
    <n v="0.09"/>
    <n v="5675"/>
    <n v="3.29"/>
    <n v="35"/>
    <n v="162.14285714285714"/>
    <s v="Miami"/>
    <s v="English"/>
    <n v="392"/>
    <n v="1469"/>
    <n v="5"/>
    <s v="Tech Enthusiasts"/>
    <x v="84"/>
  </r>
  <r>
    <s v="TechCorp"/>
    <x v="4"/>
    <s v="Men 25-34"/>
    <s v="60 days"/>
    <x v="1"/>
    <n v="0.03"/>
    <n v="18756"/>
    <n v="6.49"/>
    <n v="7"/>
    <n v="2679.4285714285716"/>
    <s v="Chicago"/>
    <s v="English"/>
    <n v="248"/>
    <n v="7831"/>
    <n v="5"/>
    <s v="Fashionistas"/>
    <x v="85"/>
  </r>
  <r>
    <s v="Innovate Industries"/>
    <x v="0"/>
    <s v="Men 18-24"/>
    <s v="30 days"/>
    <x v="5"/>
    <n v="0.15"/>
    <n v="6473"/>
    <n v="2.91"/>
    <n v="147"/>
    <n v="44.034013605442176"/>
    <s v="Chicago"/>
    <s v="English"/>
    <n v="979"/>
    <n v="1791"/>
    <n v="9"/>
    <s v="Foodies"/>
    <x v="86"/>
  </r>
  <r>
    <s v="NexGen Systems"/>
    <x v="4"/>
    <s v="Men 25-34"/>
    <s v="45 days"/>
    <x v="4"/>
    <n v="0.09"/>
    <n v="12684"/>
    <n v="5.08"/>
    <n v="62"/>
    <n v="204.58064516129033"/>
    <s v="Chicago"/>
    <s v="Mandarin"/>
    <n v="687"/>
    <n v="2351"/>
    <n v="5"/>
    <s v="Health &amp; Wellness"/>
    <x v="87"/>
  </r>
  <r>
    <s v="Innovate Industries"/>
    <x v="1"/>
    <s v="Men 18-24"/>
    <s v="45 days"/>
    <x v="1"/>
    <n v="0.06"/>
    <n v="8956"/>
    <n v="5.59"/>
    <n v="54"/>
    <n v="165.85185185185185"/>
    <s v="Los Angeles"/>
    <s v="French"/>
    <n v="896"/>
    <n v="9621"/>
    <n v="1"/>
    <s v="Tech Enthusiasts"/>
    <x v="88"/>
  </r>
  <r>
    <s v="DataTech Solutions"/>
    <x v="1"/>
    <s v="Women 25-34"/>
    <s v="60 days"/>
    <x v="1"/>
    <n v="0.05"/>
    <n v="12578"/>
    <n v="2.38"/>
    <n v="21"/>
    <n v="598.95238095238096"/>
    <s v="Houston"/>
    <s v="French"/>
    <n v="418"/>
    <n v="8640"/>
    <n v="3"/>
    <s v="Health &amp; Wellness"/>
    <x v="89"/>
  </r>
  <r>
    <s v="TechCorp"/>
    <x v="2"/>
    <s v="Women 25-34"/>
    <s v="60 days"/>
    <x v="4"/>
    <n v="0.01"/>
    <n v="6311"/>
    <n v="6.34"/>
    <n v="2"/>
    <n v="3155.5"/>
    <s v="Miami"/>
    <s v="English"/>
    <n v="169"/>
    <n v="5535"/>
    <n v="9"/>
    <s v="Outdoor Adventurers"/>
    <x v="90"/>
  </r>
  <r>
    <s v="TechCorp"/>
    <x v="4"/>
    <s v="Women 35-44"/>
    <s v="15 days"/>
    <x v="4"/>
    <n v="0.09"/>
    <n v="18411"/>
    <n v="2.4300000000000002"/>
    <n v="87"/>
    <n v="211.62068965517241"/>
    <s v="Chicago"/>
    <s v="English"/>
    <n v="972"/>
    <n v="3079"/>
    <n v="10"/>
    <s v="Health &amp; Wellness"/>
    <x v="91"/>
  </r>
  <r>
    <s v="Innovate Industries"/>
    <x v="4"/>
    <s v="Men 25-34"/>
    <s v="60 days"/>
    <x v="1"/>
    <n v="0.13"/>
    <n v="19972"/>
    <n v="5.35"/>
    <n v="70"/>
    <n v="285.31428571428569"/>
    <s v="Los Angeles"/>
    <s v="English"/>
    <n v="542"/>
    <n v="4886"/>
    <n v="1"/>
    <s v="Foodies"/>
    <x v="92"/>
  </r>
  <r>
    <s v="NexGen Systems"/>
    <x v="4"/>
    <s v="All Ages"/>
    <s v="30 days"/>
    <x v="3"/>
    <n v="0.14000000000000001"/>
    <n v="14615"/>
    <n v="3.67"/>
    <n v="54"/>
    <n v="270.64814814814815"/>
    <s v="Chicago"/>
    <s v="English"/>
    <n v="386"/>
    <n v="1947"/>
    <n v="6"/>
    <s v="Health &amp; Wellness"/>
    <x v="93"/>
  </r>
  <r>
    <s v="Alpha Innovations"/>
    <x v="0"/>
    <s v="Women 25-34"/>
    <s v="60 days"/>
    <x v="2"/>
    <n v="0.09"/>
    <n v="15876"/>
    <n v="7.06"/>
    <n v="78"/>
    <n v="203.53846153846155"/>
    <s v="Houston"/>
    <s v="German"/>
    <n v="871"/>
    <n v="7537"/>
    <n v="3"/>
    <s v="Fashionistas"/>
    <x v="94"/>
  </r>
  <r>
    <s v="NexGen Systems"/>
    <x v="2"/>
    <s v="Women 35-44"/>
    <s v="15 days"/>
    <x v="5"/>
    <n v="0.14000000000000001"/>
    <n v="10147"/>
    <n v="7.34"/>
    <n v="23"/>
    <n v="441.17391304347825"/>
    <s v="Chicago"/>
    <s v="English"/>
    <n v="161"/>
    <n v="6255"/>
    <n v="9"/>
    <s v="Outdoor Adventurers"/>
    <x v="95"/>
  </r>
  <r>
    <s v="Innovate Industries"/>
    <x v="4"/>
    <s v="Men 18-24"/>
    <s v="15 days"/>
    <x v="0"/>
    <n v="0.14000000000000001"/>
    <n v="14657"/>
    <n v="6.7"/>
    <n v="63"/>
    <n v="232.65079365079364"/>
    <s v="Chicago"/>
    <s v="French"/>
    <n v="449"/>
    <n v="4612"/>
    <n v="9"/>
    <s v="Health &amp; Wellness"/>
    <x v="96"/>
  </r>
  <r>
    <s v="TechCorp"/>
    <x v="2"/>
    <s v="Women 35-44"/>
    <s v="60 days"/>
    <x v="1"/>
    <n v="0.14000000000000001"/>
    <n v="19015"/>
    <n v="4"/>
    <n v="138"/>
    <n v="137.78985507246378"/>
    <s v="Los Angeles"/>
    <s v="Mandarin"/>
    <n v="988"/>
    <n v="6269"/>
    <n v="2"/>
    <s v="Fashionistas"/>
    <x v="97"/>
  </r>
  <r>
    <s v="Alpha Innovations"/>
    <x v="4"/>
    <s v="Men 18-24"/>
    <s v="60 days"/>
    <x v="1"/>
    <n v="0.12"/>
    <n v="10963"/>
    <n v="6.55"/>
    <n v="95"/>
    <n v="115.4"/>
    <s v="Houston"/>
    <s v="German"/>
    <n v="795"/>
    <n v="7837"/>
    <n v="5"/>
    <s v="Foodies"/>
    <x v="98"/>
  </r>
  <r>
    <s v="TechCorp"/>
    <x v="4"/>
    <s v="All Ages"/>
    <s v="15 days"/>
    <x v="0"/>
    <n v="7.0000000000000007E-2"/>
    <n v="16620"/>
    <n v="7.75"/>
    <n v="45"/>
    <n v="369.33333333333331"/>
    <s v="Miami"/>
    <s v="Spanish"/>
    <n v="640"/>
    <n v="6401"/>
    <n v="5"/>
    <s v="Tech Enthusiasts"/>
    <x v="99"/>
  </r>
  <r>
    <s v="Innovate Industries"/>
    <x v="3"/>
    <s v="All Ages"/>
    <s v="60 days"/>
    <x v="1"/>
    <n v="0.13"/>
    <n v="19860"/>
    <n v="4.71"/>
    <n v="60"/>
    <n v="331"/>
    <s v="Los Angeles"/>
    <s v="German"/>
    <n v="459"/>
    <n v="6322"/>
    <n v="1"/>
    <s v="Foodies"/>
    <x v="100"/>
  </r>
  <r>
    <s v="NexGen Systems"/>
    <x v="3"/>
    <s v="Women 25-34"/>
    <s v="60 days"/>
    <x v="0"/>
    <n v="0.14000000000000001"/>
    <n v="5820"/>
    <n v="6.99"/>
    <n v="106"/>
    <n v="54.905660377358494"/>
    <s v="Chicago"/>
    <s v="English"/>
    <n v="758"/>
    <n v="3253"/>
    <n v="9"/>
    <s v="Fashionistas"/>
    <x v="101"/>
  </r>
  <r>
    <s v="NexGen Systems"/>
    <x v="4"/>
    <s v="Men 25-34"/>
    <s v="60 days"/>
    <x v="1"/>
    <n v="0.03"/>
    <n v="18687"/>
    <n v="5.64"/>
    <n v="22"/>
    <n v="849.40909090909088"/>
    <s v="Houston"/>
    <s v="Mandarin"/>
    <n v="722"/>
    <n v="3451"/>
    <n v="7"/>
    <s v="Health &amp; Wellness"/>
    <x v="102"/>
  </r>
  <r>
    <s v="TechCorp"/>
    <x v="3"/>
    <s v="All Ages"/>
    <s v="15 days"/>
    <x v="4"/>
    <n v="0.05"/>
    <n v="11071"/>
    <n v="5.38"/>
    <n v="28"/>
    <n v="395.39285714285717"/>
    <s v="Houston"/>
    <s v="Mandarin"/>
    <n v="562"/>
    <n v="9069"/>
    <n v="8"/>
    <s v="Fashionistas"/>
    <x v="103"/>
  </r>
  <r>
    <s v="TechCorp"/>
    <x v="2"/>
    <s v="Men 18-24"/>
    <s v="30 days"/>
    <x v="1"/>
    <n v="0.08"/>
    <n v="14902"/>
    <n v="2.65"/>
    <n v="36"/>
    <n v="413.94444444444446"/>
    <s v="Miami"/>
    <s v="German"/>
    <n v="456"/>
    <n v="4811"/>
    <n v="6"/>
    <s v="Outdoor Adventurers"/>
    <x v="104"/>
  </r>
  <r>
    <s v="NexGen Systems"/>
    <x v="1"/>
    <s v="All Ages"/>
    <s v="60 days"/>
    <x v="0"/>
    <n v="0.11"/>
    <n v="14876"/>
    <n v="2.62"/>
    <n v="69"/>
    <n v="215.59420289855072"/>
    <s v="Chicago"/>
    <s v="English"/>
    <n v="626"/>
    <n v="9756"/>
    <n v="2"/>
    <s v="Health &amp; Wellness"/>
    <x v="105"/>
  </r>
  <r>
    <s v="Alpha Innovations"/>
    <x v="2"/>
    <s v="Men 25-34"/>
    <s v="15 days"/>
    <x v="0"/>
    <n v="0.05"/>
    <n v="5143"/>
    <n v="4.7699999999999996"/>
    <n v="23"/>
    <n v="223.60869565217391"/>
    <s v="Los Angeles"/>
    <s v="German"/>
    <n v="468"/>
    <n v="1890"/>
    <n v="4"/>
    <s v="Foodies"/>
    <x v="106"/>
  </r>
  <r>
    <s v="TechCorp"/>
    <x v="3"/>
    <s v="Women 35-44"/>
    <s v="15 days"/>
    <x v="4"/>
    <n v="0.12"/>
    <n v="8715"/>
    <n v="3.77"/>
    <n v="73"/>
    <n v="119.38356164383562"/>
    <s v="Chicago"/>
    <s v="French"/>
    <n v="607"/>
    <n v="1727"/>
    <n v="4"/>
    <s v="Outdoor Adventurers"/>
    <x v="107"/>
  </r>
  <r>
    <s v="DataTech Solutions"/>
    <x v="2"/>
    <s v="Men 25-34"/>
    <s v="30 days"/>
    <x v="3"/>
    <n v="0.02"/>
    <n v="17704"/>
    <n v="2.71"/>
    <n v="15"/>
    <n v="1180.2666666666667"/>
    <s v="Chicago"/>
    <s v="Spanish"/>
    <n v="732"/>
    <n v="3547"/>
    <n v="10"/>
    <s v="Tech Enthusiasts"/>
    <x v="108"/>
  </r>
  <r>
    <s v="Alpha Innovations"/>
    <x v="0"/>
    <s v="Women 35-44"/>
    <s v="15 days"/>
    <x v="1"/>
    <n v="0.04"/>
    <n v="6256"/>
    <n v="3.2"/>
    <n v="14"/>
    <n v="446.85714285714283"/>
    <s v="Houston"/>
    <s v="French"/>
    <n v="346"/>
    <n v="5913"/>
    <n v="5"/>
    <s v="Health &amp; Wellness"/>
    <x v="109"/>
  </r>
  <r>
    <s v="Innovate Industries"/>
    <x v="4"/>
    <s v="Women 35-44"/>
    <s v="60 days"/>
    <x v="5"/>
    <n v="7.0000000000000007E-2"/>
    <n v="15780"/>
    <n v="5.29"/>
    <n v="66"/>
    <n v="239.09090909090909"/>
    <s v="New York"/>
    <s v="Spanish"/>
    <n v="944"/>
    <n v="4372"/>
    <n v="2"/>
    <s v="Outdoor Adventurers"/>
    <x v="110"/>
  </r>
  <r>
    <s v="TechCorp"/>
    <x v="2"/>
    <s v="All Ages"/>
    <s v="60 days"/>
    <x v="0"/>
    <n v="0.04"/>
    <n v="7529"/>
    <n v="3.27"/>
    <n v="36"/>
    <n v="209.13888888888889"/>
    <s v="Houston"/>
    <s v="German"/>
    <n v="888"/>
    <n v="5667"/>
    <n v="3"/>
    <s v="Fashionistas"/>
    <x v="111"/>
  </r>
  <r>
    <s v="DataTech Solutions"/>
    <x v="1"/>
    <s v="All Ages"/>
    <s v="15 days"/>
    <x v="4"/>
    <n v="0.13"/>
    <n v="12918"/>
    <n v="2.13"/>
    <n v="90"/>
    <n v="143.53333333333333"/>
    <s v="Chicago"/>
    <s v="German"/>
    <n v="690"/>
    <n v="6400"/>
    <n v="5"/>
    <s v="Health &amp; Wellness"/>
    <x v="112"/>
  </r>
  <r>
    <s v="Alpha Innovations"/>
    <x v="3"/>
    <s v="Men 25-34"/>
    <s v="30 days"/>
    <x v="0"/>
    <n v="0.1"/>
    <n v="7389"/>
    <n v="7.23"/>
    <n v="13"/>
    <n v="568.38461538461536"/>
    <s v="Los Angeles"/>
    <s v="Spanish"/>
    <n v="130"/>
    <n v="5854"/>
    <n v="3"/>
    <s v="Tech Enthusiasts"/>
    <x v="113"/>
  </r>
  <r>
    <s v="Innovate Industries"/>
    <x v="2"/>
    <s v="Men 25-34"/>
    <s v="60 days"/>
    <x v="1"/>
    <n v="0.11"/>
    <n v="10983"/>
    <n v="6.2"/>
    <n v="84"/>
    <n v="130.75"/>
    <s v="Miami"/>
    <s v="English"/>
    <n v="761"/>
    <n v="7295"/>
    <n v="7"/>
    <s v="Health &amp; Wellness"/>
    <x v="114"/>
  </r>
  <r>
    <s v="NexGen Systems"/>
    <x v="2"/>
    <s v="Women 25-34"/>
    <s v="45 days"/>
    <x v="1"/>
    <n v="7.0000000000000007E-2"/>
    <n v="12511"/>
    <n v="3.99"/>
    <n v="10"/>
    <n v="1251.0999999999999"/>
    <s v="New York"/>
    <s v="English"/>
    <n v="139"/>
    <n v="7845"/>
    <n v="10"/>
    <s v="Foodies"/>
    <x v="115"/>
  </r>
  <r>
    <s v="Alpha Innovations"/>
    <x v="1"/>
    <s v="Men 18-24"/>
    <s v="60 days"/>
    <x v="1"/>
    <n v="0.11"/>
    <n v="5757"/>
    <n v="3.58"/>
    <n v="97"/>
    <n v="59.350515463917525"/>
    <s v="Chicago"/>
    <s v="English"/>
    <n v="883"/>
    <n v="9726"/>
    <n v="1"/>
    <s v="Outdoor Adventurers"/>
    <x v="116"/>
  </r>
  <r>
    <s v="Alpha Innovations"/>
    <x v="1"/>
    <s v="Women 25-34"/>
    <s v="15 days"/>
    <x v="1"/>
    <n v="0.01"/>
    <n v="14459"/>
    <n v="7.9"/>
    <n v="5"/>
    <n v="2891.8"/>
    <s v="Miami"/>
    <s v="Spanish"/>
    <n v="515"/>
    <n v="5588"/>
    <n v="9"/>
    <s v="Fashionistas"/>
    <x v="117"/>
  </r>
  <r>
    <s v="Alpha Innovations"/>
    <x v="0"/>
    <s v="Women 25-34"/>
    <s v="45 days"/>
    <x v="1"/>
    <n v="0.12"/>
    <n v="9334"/>
    <n v="3.41"/>
    <n v="65"/>
    <n v="143.6"/>
    <s v="Houston"/>
    <s v="German"/>
    <n v="538"/>
    <n v="3215"/>
    <n v="6"/>
    <s v="Tech Enthusiasts"/>
    <x v="118"/>
  </r>
  <r>
    <s v="DataTech Solutions"/>
    <x v="4"/>
    <s v="Men 18-24"/>
    <s v="45 days"/>
    <x v="3"/>
    <n v="0.08"/>
    <n v="9647"/>
    <n v="4.67"/>
    <n v="21"/>
    <n v="459.38095238095241"/>
    <s v="New York"/>
    <s v="French"/>
    <n v="263"/>
    <n v="4610"/>
    <n v="2"/>
    <s v="Tech Enthusiasts"/>
    <x v="119"/>
  </r>
  <r>
    <s v="TechCorp"/>
    <x v="3"/>
    <s v="All Ages"/>
    <s v="15 days"/>
    <x v="3"/>
    <n v="0.06"/>
    <n v="17251"/>
    <n v="6.52"/>
    <n v="30"/>
    <n v="575.0333333333333"/>
    <s v="Houston"/>
    <s v="German"/>
    <n v="494"/>
    <n v="7757"/>
    <n v="10"/>
    <s v="Tech Enthusiasts"/>
    <x v="120"/>
  </r>
  <r>
    <s v="Innovate Industries"/>
    <x v="0"/>
    <s v="Men 18-24"/>
    <s v="45 days"/>
    <x v="1"/>
    <n v="0.12"/>
    <n v="19643"/>
    <n v="6.36"/>
    <n v="34"/>
    <n v="577.73529411764707"/>
    <s v="New York"/>
    <s v="French"/>
    <n v="281"/>
    <n v="6824"/>
    <n v="8"/>
    <s v="Health &amp; Wellness"/>
    <x v="121"/>
  </r>
  <r>
    <s v="Alpha Innovations"/>
    <x v="4"/>
    <s v="Men 25-34"/>
    <s v="30 days"/>
    <x v="5"/>
    <n v="0.1"/>
    <n v="12281"/>
    <n v="4.7699999999999996"/>
    <n v="86"/>
    <n v="142.80232558139534"/>
    <s v="Houston"/>
    <s v="English"/>
    <n v="861"/>
    <n v="1208"/>
    <n v="10"/>
    <s v="Foodies"/>
    <x v="122"/>
  </r>
  <r>
    <s v="DataTech Solutions"/>
    <x v="2"/>
    <s v="Men 18-24"/>
    <s v="45 days"/>
    <x v="5"/>
    <n v="0.15"/>
    <n v="6295"/>
    <n v="7.2"/>
    <n v="127"/>
    <n v="49.566929133858267"/>
    <s v="Chicago"/>
    <s v="Spanish"/>
    <n v="848"/>
    <n v="3664"/>
    <n v="3"/>
    <s v="Tech Enthusiasts"/>
    <x v="123"/>
  </r>
  <r>
    <s v="Innovate Industries"/>
    <x v="0"/>
    <s v="Women 35-44"/>
    <s v="60 days"/>
    <x v="4"/>
    <n v="0.08"/>
    <n v="6402"/>
    <n v="5.38"/>
    <n v="70"/>
    <n v="91.457142857142856"/>
    <s v="Houston"/>
    <s v="English"/>
    <n v="875"/>
    <n v="9083"/>
    <n v="4"/>
    <s v="Tech Enthusiasts"/>
    <x v="124"/>
  </r>
  <r>
    <s v="NexGen Systems"/>
    <x v="0"/>
    <s v="Women 25-34"/>
    <s v="15 days"/>
    <x v="0"/>
    <n v="0.1"/>
    <n v="5520"/>
    <n v="4.18"/>
    <n v="67"/>
    <n v="82.388059701492537"/>
    <s v="Chicago"/>
    <s v="Mandarin"/>
    <n v="673"/>
    <n v="5773"/>
    <n v="9"/>
    <s v="Tech Enthusiasts"/>
    <x v="125"/>
  </r>
  <r>
    <s v="NexGen Systems"/>
    <x v="3"/>
    <s v="All Ages"/>
    <s v="45 days"/>
    <x v="5"/>
    <n v="0.15"/>
    <n v="12239"/>
    <n v="7.99"/>
    <n v="40"/>
    <n v="305.97500000000002"/>
    <s v="Miami"/>
    <s v="Mandarin"/>
    <n v="264"/>
    <n v="8446"/>
    <n v="2"/>
    <s v="Fashionistas"/>
    <x v="126"/>
  </r>
  <r>
    <s v="TechCorp"/>
    <x v="0"/>
    <s v="Women 35-44"/>
    <s v="45 days"/>
    <x v="3"/>
    <n v="0.06"/>
    <n v="5997"/>
    <n v="2.2599999999999998"/>
    <n v="43"/>
    <n v="139.46511627906978"/>
    <s v="Miami"/>
    <s v="Spanish"/>
    <n v="711"/>
    <n v="8497"/>
    <n v="1"/>
    <s v="Foodies"/>
    <x v="127"/>
  </r>
  <r>
    <s v="Innovate Industries"/>
    <x v="0"/>
    <s v="Women 35-44"/>
    <s v="15 days"/>
    <x v="1"/>
    <n v="0.09"/>
    <n v="13757"/>
    <n v="2.39"/>
    <n v="34"/>
    <n v="404.61764705882354"/>
    <s v="Houston"/>
    <s v="German"/>
    <n v="377"/>
    <n v="5371"/>
    <n v="4"/>
    <s v="Health &amp; Wellness"/>
    <x v="128"/>
  </r>
  <r>
    <s v="DataTech Solutions"/>
    <x v="4"/>
    <s v="Men 25-34"/>
    <s v="15 days"/>
    <x v="0"/>
    <n v="0.06"/>
    <n v="15233"/>
    <n v="5.51"/>
    <n v="30"/>
    <n v="507.76666666666665"/>
    <s v="New York"/>
    <s v="French"/>
    <n v="504"/>
    <n v="2666"/>
    <n v="8"/>
    <s v="Outdoor Adventurers"/>
    <x v="129"/>
  </r>
  <r>
    <s v="Innovate Industries"/>
    <x v="3"/>
    <s v="Women 25-34"/>
    <s v="45 days"/>
    <x v="1"/>
    <n v="0.11"/>
    <n v="13957"/>
    <n v="2.59"/>
    <n v="26"/>
    <n v="536.80769230769226"/>
    <s v="New York"/>
    <s v="French"/>
    <n v="232"/>
    <n v="8649"/>
    <n v="4"/>
    <s v="Tech Enthusiasts"/>
    <x v="130"/>
  </r>
  <r>
    <s v="DataTech Solutions"/>
    <x v="2"/>
    <s v="All Ages"/>
    <s v="30 days"/>
    <x v="1"/>
    <n v="0.06"/>
    <n v="16681"/>
    <n v="2.65"/>
    <n v="58"/>
    <n v="287.60344827586209"/>
    <s v="Houston"/>
    <s v="Mandarin"/>
    <n v="964"/>
    <n v="9809"/>
    <n v="5"/>
    <s v="Health &amp; Wellness"/>
    <x v="131"/>
  </r>
  <r>
    <s v="DataTech Solutions"/>
    <x v="2"/>
    <s v="Men 25-34"/>
    <s v="45 days"/>
    <x v="2"/>
    <n v="7.0000000000000007E-2"/>
    <n v="15007"/>
    <n v="5.52"/>
    <n v="7"/>
    <n v="2143.8571428571427"/>
    <s v="Chicago"/>
    <s v="Spanish"/>
    <n v="102"/>
    <n v="5960"/>
    <n v="10"/>
    <s v="Health &amp; Wellness"/>
    <x v="132"/>
  </r>
  <r>
    <s v="NexGen Systems"/>
    <x v="2"/>
    <s v="Women 35-44"/>
    <s v="60 days"/>
    <x v="4"/>
    <n v="0.03"/>
    <n v="11204"/>
    <n v="4.6100000000000003"/>
    <n v="28"/>
    <n v="400.14285714285717"/>
    <s v="Houston"/>
    <s v="English"/>
    <n v="927"/>
    <n v="8007"/>
    <n v="9"/>
    <s v="Foodies"/>
    <x v="133"/>
  </r>
  <r>
    <s v="Alpha Innovations"/>
    <x v="3"/>
    <s v="Men 25-34"/>
    <s v="60 days"/>
    <x v="2"/>
    <n v="0.02"/>
    <n v="16972"/>
    <n v="7.1"/>
    <n v="14"/>
    <n v="1212.2857142857142"/>
    <s v="New York"/>
    <s v="Spanish"/>
    <n v="695"/>
    <n v="4490"/>
    <n v="1"/>
    <s v="Fashionistas"/>
    <x v="134"/>
  </r>
  <r>
    <s v="Innovate Industries"/>
    <x v="3"/>
    <s v="Women 35-44"/>
    <s v="45 days"/>
    <x v="0"/>
    <n v="0.05"/>
    <n v="10845"/>
    <n v="3.22"/>
    <n v="19"/>
    <n v="570.78947368421052"/>
    <s v="New York"/>
    <s v="French"/>
    <n v="383"/>
    <n v="5885"/>
    <n v="1"/>
    <s v="Outdoor Adventurers"/>
    <x v="135"/>
  </r>
  <r>
    <s v="Innovate Industries"/>
    <x v="2"/>
    <s v="Women 35-44"/>
    <s v="60 days"/>
    <x v="3"/>
    <n v="0.06"/>
    <n v="6252"/>
    <n v="2.91"/>
    <n v="21"/>
    <n v="297.71428571428572"/>
    <s v="New York"/>
    <s v="Mandarin"/>
    <n v="347"/>
    <n v="7098"/>
    <n v="5"/>
    <s v="Foodies"/>
    <x v="136"/>
  </r>
  <r>
    <s v="TechCorp"/>
    <x v="2"/>
    <s v="Men 18-24"/>
    <s v="30 days"/>
    <x v="3"/>
    <n v="0.03"/>
    <n v="18761"/>
    <n v="3.62"/>
    <n v="5"/>
    <n v="3752.2"/>
    <s v="Chicago"/>
    <s v="German"/>
    <n v="162"/>
    <n v="9768"/>
    <n v="8"/>
    <s v="Outdoor Adventurers"/>
    <x v="137"/>
  </r>
  <r>
    <s v="Innovate Industries"/>
    <x v="1"/>
    <s v="Women 35-44"/>
    <s v="30 days"/>
    <x v="2"/>
    <n v="0.12"/>
    <n v="19844"/>
    <n v="5.51"/>
    <n v="80"/>
    <n v="248.05"/>
    <s v="Miami"/>
    <s v="Mandarin"/>
    <n v="668"/>
    <n v="8864"/>
    <n v="8"/>
    <s v="Outdoor Adventurers"/>
    <x v="138"/>
  </r>
  <r>
    <s v="Innovate Industries"/>
    <x v="4"/>
    <s v="Men 18-24"/>
    <s v="15 days"/>
    <x v="4"/>
    <n v="0.04"/>
    <n v="17970"/>
    <n v="5.08"/>
    <n v="37"/>
    <n v="485.67567567567568"/>
    <s v="Chicago"/>
    <s v="Mandarin"/>
    <n v="914"/>
    <n v="4236"/>
    <n v="7"/>
    <s v="Fashionistas"/>
    <x v="139"/>
  </r>
  <r>
    <s v="TechCorp"/>
    <x v="3"/>
    <s v="Men 25-34"/>
    <s v="60 days"/>
    <x v="5"/>
    <n v="0.03"/>
    <n v="6860"/>
    <n v="4.58"/>
    <n v="6"/>
    <n v="1143.3333333333333"/>
    <s v="Los Angeles"/>
    <s v="Mandarin"/>
    <n v="199"/>
    <n v="1227"/>
    <n v="4"/>
    <s v="Tech Enthusiasts"/>
    <x v="140"/>
  </r>
  <r>
    <s v="Innovate Industries"/>
    <x v="3"/>
    <s v="Men 18-24"/>
    <s v="30 days"/>
    <x v="4"/>
    <n v="0.06"/>
    <n v="18513"/>
    <n v="5.12"/>
    <n v="43"/>
    <n v="430.53488372093022"/>
    <s v="Chicago"/>
    <s v="English"/>
    <n v="710"/>
    <n v="6872"/>
    <n v="3"/>
    <s v="Outdoor Adventurers"/>
    <x v="141"/>
  </r>
  <r>
    <s v="Alpha Innovations"/>
    <x v="2"/>
    <s v="Men 25-34"/>
    <s v="45 days"/>
    <x v="3"/>
    <n v="0.14000000000000001"/>
    <n v="15494"/>
    <n v="7.29"/>
    <n v="80"/>
    <n v="193.67500000000001"/>
    <s v="Houston"/>
    <s v="Spanish"/>
    <n v="572"/>
    <n v="7640"/>
    <n v="3"/>
    <s v="Fashionistas"/>
    <x v="142"/>
  </r>
  <r>
    <s v="TechCorp"/>
    <x v="0"/>
    <s v="Men 25-34"/>
    <s v="15 days"/>
    <x v="3"/>
    <n v="0.05"/>
    <n v="18061"/>
    <n v="4.0599999999999996"/>
    <n v="19"/>
    <n v="950.57894736842104"/>
    <s v="Houston"/>
    <s v="German"/>
    <n v="377"/>
    <n v="7095"/>
    <n v="1"/>
    <s v="Tech Enthusiasts"/>
    <x v="143"/>
  </r>
  <r>
    <s v="Alpha Innovations"/>
    <x v="1"/>
    <s v="Men 25-34"/>
    <s v="15 days"/>
    <x v="1"/>
    <n v="0.11"/>
    <n v="9000"/>
    <n v="2.2999999999999998"/>
    <n v="42"/>
    <n v="214.28571428571428"/>
    <s v="Houston"/>
    <s v="Mandarin"/>
    <n v="380"/>
    <n v="2675"/>
    <n v="4"/>
    <s v="Fashionistas"/>
    <x v="144"/>
  </r>
  <r>
    <s v="Innovate Industries"/>
    <x v="3"/>
    <s v="Women 35-44"/>
    <s v="45 days"/>
    <x v="5"/>
    <n v="0.12"/>
    <n v="10307"/>
    <n v="3.17"/>
    <n v="119"/>
    <n v="86.613445378151255"/>
    <s v="Houston"/>
    <s v="French"/>
    <n v="989"/>
    <n v="5242"/>
    <n v="6"/>
    <s v="Outdoor Adventurers"/>
    <x v="145"/>
  </r>
  <r>
    <s v="Alpha Innovations"/>
    <x v="3"/>
    <s v="Women 25-34"/>
    <s v="30 days"/>
    <x v="3"/>
    <n v="0.02"/>
    <n v="19059"/>
    <n v="6.29"/>
    <n v="2"/>
    <n v="9529.5"/>
    <s v="New York"/>
    <s v="Mandarin"/>
    <n v="105"/>
    <n v="9248"/>
    <n v="3"/>
    <s v="Fashionistas"/>
    <x v="146"/>
  </r>
  <r>
    <s v="Alpha Innovations"/>
    <x v="2"/>
    <s v="All Ages"/>
    <s v="45 days"/>
    <x v="2"/>
    <n v="0.14000000000000001"/>
    <n v="9834"/>
    <n v="6.49"/>
    <n v="15"/>
    <n v="655.6"/>
    <s v="Houston"/>
    <s v="Spanish"/>
    <n v="110"/>
    <n v="4512"/>
    <n v="8"/>
    <s v="Foodies"/>
    <x v="147"/>
  </r>
  <r>
    <s v="Alpha Innovations"/>
    <x v="4"/>
    <s v="Women 35-44"/>
    <s v="45 days"/>
    <x v="4"/>
    <n v="0.03"/>
    <n v="12564"/>
    <n v="5.71"/>
    <n v="18"/>
    <n v="698"/>
    <s v="New York"/>
    <s v="Mandarin"/>
    <n v="589"/>
    <n v="5230"/>
    <n v="1"/>
    <s v="Health &amp; Wellness"/>
    <x v="148"/>
  </r>
  <r>
    <s v="DataTech Solutions"/>
    <x v="2"/>
    <s v="Women 25-34"/>
    <s v="60 days"/>
    <x v="3"/>
    <n v="0.06"/>
    <n v="8844"/>
    <n v="3.23"/>
    <n v="53"/>
    <n v="166.8679245283019"/>
    <s v="Los Angeles"/>
    <s v="German"/>
    <n v="876"/>
    <n v="3949"/>
    <n v="9"/>
    <s v="Fashionistas"/>
    <x v="149"/>
  </r>
  <r>
    <s v="NexGen Systems"/>
    <x v="0"/>
    <s v="Women 25-34"/>
    <s v="45 days"/>
    <x v="3"/>
    <n v="7.0000000000000007E-2"/>
    <n v="7242"/>
    <n v="7.54"/>
    <n v="69"/>
    <n v="104.95652173913044"/>
    <s v="Chicago"/>
    <s v="English"/>
    <n v="986"/>
    <n v="8533"/>
    <n v="3"/>
    <s v="Outdoor Adventurers"/>
    <x v="150"/>
  </r>
  <r>
    <s v="Innovate Industries"/>
    <x v="2"/>
    <s v="Men 25-34"/>
    <s v="45 days"/>
    <x v="5"/>
    <n v="0.13"/>
    <n v="13015"/>
    <n v="3.1"/>
    <n v="70"/>
    <n v="185.92857142857142"/>
    <s v="Los Angeles"/>
    <s v="Spanish"/>
    <n v="535"/>
    <n v="1428"/>
    <n v="7"/>
    <s v="Fashionistas"/>
    <x v="151"/>
  </r>
  <r>
    <s v="DataTech Solutions"/>
    <x v="1"/>
    <s v="Women 25-34"/>
    <s v="60 days"/>
    <x v="4"/>
    <n v="0.14000000000000001"/>
    <n v="18973"/>
    <n v="5.58"/>
    <n v="70"/>
    <n v="271.04285714285714"/>
    <s v="Miami"/>
    <s v="French"/>
    <n v="502"/>
    <n v="7820"/>
    <n v="2"/>
    <s v="Foodies"/>
    <x v="152"/>
  </r>
  <r>
    <s v="Innovate Industries"/>
    <x v="0"/>
    <s v="Men 25-34"/>
    <s v="45 days"/>
    <x v="3"/>
    <n v="0.03"/>
    <n v="5789"/>
    <n v="4.87"/>
    <n v="7"/>
    <n v="827"/>
    <s v="Los Angeles"/>
    <s v="English"/>
    <n v="247"/>
    <n v="4506"/>
    <n v="7"/>
    <s v="Health &amp; Wellness"/>
    <x v="153"/>
  </r>
  <r>
    <s v="DataTech Solutions"/>
    <x v="0"/>
    <s v="Men 25-34"/>
    <s v="15 days"/>
    <x v="0"/>
    <n v="0.08"/>
    <n v="12543"/>
    <n v="2.0299999999999998"/>
    <n v="30"/>
    <n v="418.1"/>
    <s v="New York"/>
    <s v="Mandarin"/>
    <n v="371"/>
    <n v="1409"/>
    <n v="9"/>
    <s v="Foodies"/>
    <x v="154"/>
  </r>
  <r>
    <s v="Innovate Industries"/>
    <x v="1"/>
    <s v="Men 25-34"/>
    <s v="45 days"/>
    <x v="1"/>
    <n v="0.1"/>
    <n v="16103"/>
    <n v="2.77"/>
    <n v="45"/>
    <n v="357.84444444444443"/>
    <s v="New York"/>
    <s v="Mandarin"/>
    <n v="451"/>
    <n v="9412"/>
    <n v="5"/>
    <s v="Fashionistas"/>
    <x v="155"/>
  </r>
  <r>
    <s v="TechCorp"/>
    <x v="1"/>
    <s v="Men 18-24"/>
    <s v="15 days"/>
    <x v="3"/>
    <n v="0.01"/>
    <n v="10580"/>
    <n v="5.0199999999999996"/>
    <n v="4"/>
    <n v="2645"/>
    <s v="Miami"/>
    <s v="English"/>
    <n v="445"/>
    <n v="3220"/>
    <n v="2"/>
    <s v="Foodies"/>
    <x v="156"/>
  </r>
  <r>
    <s v="NexGen Systems"/>
    <x v="2"/>
    <s v="Women 25-34"/>
    <s v="60 days"/>
    <x v="4"/>
    <n v="0.08"/>
    <n v="11926"/>
    <n v="3.83"/>
    <n v="19"/>
    <n v="627.68421052631584"/>
    <s v="Chicago"/>
    <s v="French"/>
    <n v="237"/>
    <n v="1698"/>
    <n v="9"/>
    <s v="Outdoor Adventurers"/>
    <x v="157"/>
  </r>
  <r>
    <s v="DataTech Solutions"/>
    <x v="0"/>
    <s v="Women 35-44"/>
    <s v="45 days"/>
    <x v="4"/>
    <n v="0.09"/>
    <n v="11059"/>
    <n v="5.08"/>
    <n v="30"/>
    <n v="368.63333333333333"/>
    <s v="Miami"/>
    <s v="Spanish"/>
    <n v="329"/>
    <n v="7654"/>
    <n v="1"/>
    <s v="Fashionistas"/>
    <x v="158"/>
  </r>
  <r>
    <s v="TechCorp"/>
    <x v="1"/>
    <s v="Men 25-34"/>
    <s v="45 days"/>
    <x v="3"/>
    <n v="0.14000000000000001"/>
    <n v="11034"/>
    <n v="3.92"/>
    <n v="84"/>
    <n v="131.35714285714286"/>
    <s v="New York"/>
    <s v="Spanish"/>
    <n v="600"/>
    <n v="5018"/>
    <n v="4"/>
    <s v="Foodies"/>
    <x v="159"/>
  </r>
  <r>
    <s v="Alpha Innovations"/>
    <x v="0"/>
    <s v="Men 18-24"/>
    <s v="15 days"/>
    <x v="0"/>
    <n v="0.06"/>
    <n v="10453"/>
    <n v="6.41"/>
    <n v="50"/>
    <n v="209.06"/>
    <s v="Houston"/>
    <s v="Spanish"/>
    <n v="830"/>
    <n v="7398"/>
    <n v="7"/>
    <s v="Fashionistas"/>
    <x v="160"/>
  </r>
  <r>
    <s v="NexGen Systems"/>
    <x v="4"/>
    <s v="Women 35-44"/>
    <s v="60 days"/>
    <x v="3"/>
    <n v="0.13"/>
    <n v="9655"/>
    <n v="3.23"/>
    <n v="110"/>
    <n v="87.772727272727266"/>
    <s v="New York"/>
    <s v="English"/>
    <n v="848"/>
    <n v="1384"/>
    <n v="1"/>
    <s v="Foodies"/>
    <x v="161"/>
  </r>
  <r>
    <s v="Alpha Innovations"/>
    <x v="3"/>
    <s v="Men 18-24"/>
    <s v="45 days"/>
    <x v="1"/>
    <n v="0.06"/>
    <n v="9373"/>
    <n v="4.68"/>
    <n v="19"/>
    <n v="493.31578947368422"/>
    <s v="Chicago"/>
    <s v="Spanish"/>
    <n v="313"/>
    <n v="6012"/>
    <n v="10"/>
    <s v="Health &amp; Wellness"/>
    <x v="162"/>
  </r>
  <r>
    <s v="Alpha Innovations"/>
    <x v="2"/>
    <s v="All Ages"/>
    <s v="30 days"/>
    <x v="3"/>
    <n v="0.14000000000000001"/>
    <n v="6077"/>
    <n v="5.18"/>
    <n v="90"/>
    <n v="67.522222222222226"/>
    <s v="Los Angeles"/>
    <s v="Mandarin"/>
    <n v="642"/>
    <n v="5682"/>
    <n v="10"/>
    <s v="Fashionistas"/>
    <x v="163"/>
  </r>
  <r>
    <s v="TechCorp"/>
    <x v="0"/>
    <s v="Women 25-34"/>
    <s v="60 days"/>
    <x v="2"/>
    <n v="0.15"/>
    <n v="19719"/>
    <n v="4.76"/>
    <n v="113"/>
    <n v="174.50442477876106"/>
    <s v="Chicago"/>
    <s v="Spanish"/>
    <n v="755"/>
    <n v="3287"/>
    <n v="9"/>
    <s v="Fashionistas"/>
    <x v="164"/>
  </r>
  <r>
    <s v="DataTech Solutions"/>
    <x v="0"/>
    <s v="Women 25-34"/>
    <s v="45 days"/>
    <x v="5"/>
    <n v="0.13"/>
    <n v="5277"/>
    <n v="2.2999999999999998"/>
    <n v="68"/>
    <n v="77.602941176470594"/>
    <s v="Houston"/>
    <s v="English"/>
    <n v="526"/>
    <n v="3991"/>
    <n v="1"/>
    <s v="Foodies"/>
    <x v="165"/>
  </r>
  <r>
    <s v="Innovate Industries"/>
    <x v="1"/>
    <s v="Women 35-44"/>
    <s v="15 days"/>
    <x v="0"/>
    <n v="0.12"/>
    <n v="14212"/>
    <n v="6.99"/>
    <n v="49"/>
    <n v="290.0408163265306"/>
    <s v="Houston"/>
    <s v="French"/>
    <n v="407"/>
    <n v="8351"/>
    <n v="4"/>
    <s v="Tech Enthusiasts"/>
    <x v="166"/>
  </r>
  <r>
    <s v="NexGen Systems"/>
    <x v="1"/>
    <s v="All Ages"/>
    <s v="60 days"/>
    <x v="1"/>
    <n v="0.15"/>
    <n v="19095"/>
    <n v="2.87"/>
    <n v="86"/>
    <n v="222.03488372093022"/>
    <s v="Miami"/>
    <s v="English"/>
    <n v="570"/>
    <n v="4991"/>
    <n v="9"/>
    <s v="Foodies"/>
    <x v="167"/>
  </r>
  <r>
    <s v="Innovate Industries"/>
    <x v="0"/>
    <s v="Women 25-34"/>
    <s v="45 days"/>
    <x v="1"/>
    <n v="0.03"/>
    <n v="11526"/>
    <n v="5.32"/>
    <n v="21"/>
    <n v="548.85714285714289"/>
    <s v="Chicago"/>
    <s v="French"/>
    <n v="703"/>
    <n v="9462"/>
    <n v="2"/>
    <s v="Foodies"/>
    <x v="168"/>
  </r>
  <r>
    <s v="TechCorp"/>
    <x v="3"/>
    <s v="Men 25-34"/>
    <s v="15 days"/>
    <x v="0"/>
    <n v="0.08"/>
    <n v="5973"/>
    <n v="2.42"/>
    <n v="70"/>
    <n v="85.328571428571422"/>
    <s v="New York"/>
    <s v="English"/>
    <n v="872"/>
    <n v="6181"/>
    <n v="8"/>
    <s v="Health &amp; Wellness"/>
    <x v="169"/>
  </r>
  <r>
    <s v="Alpha Innovations"/>
    <x v="2"/>
    <s v="Men 18-24"/>
    <s v="45 days"/>
    <x v="1"/>
    <n v="7.0000000000000007E-2"/>
    <n v="15636"/>
    <n v="6.85"/>
    <n v="45"/>
    <n v="347.46666666666664"/>
    <s v="Los Angeles"/>
    <s v="English"/>
    <n v="645"/>
    <n v="2905"/>
    <n v="3"/>
    <s v="Outdoor Adventurers"/>
    <x v="170"/>
  </r>
  <r>
    <s v="Innovate Industries"/>
    <x v="1"/>
    <s v="Women 25-34"/>
    <s v="15 days"/>
    <x v="0"/>
    <n v="0.03"/>
    <n v="9339"/>
    <n v="4.28"/>
    <n v="19"/>
    <n v="491.5263157894737"/>
    <s v="Houston"/>
    <s v="Mandarin"/>
    <n v="621"/>
    <n v="7281"/>
    <n v="5"/>
    <s v="Foodies"/>
    <x v="171"/>
  </r>
  <r>
    <s v="DataTech Solutions"/>
    <x v="1"/>
    <s v="Women 35-44"/>
    <s v="30 days"/>
    <x v="5"/>
    <n v="0.1"/>
    <n v="9967"/>
    <n v="4.1500000000000004"/>
    <n v="27"/>
    <n v="369.14814814814815"/>
    <s v="Los Angeles"/>
    <s v="German"/>
    <n v="272"/>
    <n v="2150"/>
    <n v="6"/>
    <s v="Fashionistas"/>
    <x v="172"/>
  </r>
  <r>
    <s v="DataTech Solutions"/>
    <x v="4"/>
    <s v="Women 35-44"/>
    <s v="60 days"/>
    <x v="1"/>
    <n v="0.02"/>
    <n v="17550"/>
    <n v="6.73"/>
    <n v="20"/>
    <n v="877.5"/>
    <s v="Miami"/>
    <s v="French"/>
    <n v="997"/>
    <n v="1173"/>
    <n v="4"/>
    <s v="Tech Enthusiasts"/>
    <x v="173"/>
  </r>
  <r>
    <s v="Alpha Innovations"/>
    <x v="4"/>
    <s v="Men 18-24"/>
    <s v="15 days"/>
    <x v="5"/>
    <n v="7.0000000000000007E-2"/>
    <n v="19920"/>
    <n v="5.28"/>
    <n v="60"/>
    <n v="332"/>
    <s v="Los Angeles"/>
    <s v="French"/>
    <n v="860"/>
    <n v="5977"/>
    <n v="8"/>
    <s v="Tech Enthusiasts"/>
    <x v="174"/>
  </r>
  <r>
    <s v="DataTech Solutions"/>
    <x v="2"/>
    <s v="Men 18-24"/>
    <s v="15 days"/>
    <x v="4"/>
    <n v="0.02"/>
    <n v="5840"/>
    <n v="5.12"/>
    <n v="12"/>
    <n v="486.66666666666669"/>
    <s v="Miami"/>
    <s v="German"/>
    <n v="578"/>
    <n v="4128"/>
    <n v="9"/>
    <s v="Tech Enthusiasts"/>
    <x v="175"/>
  </r>
  <r>
    <s v="NexGen Systems"/>
    <x v="3"/>
    <s v="Women 35-44"/>
    <s v="60 days"/>
    <x v="2"/>
    <n v="0.15"/>
    <n v="6403"/>
    <n v="7.72"/>
    <n v="128"/>
    <n v="50.0234375"/>
    <s v="Miami"/>
    <s v="Spanish"/>
    <n v="854"/>
    <n v="1978"/>
    <n v="3"/>
    <s v="Outdoor Adventurers"/>
    <x v="176"/>
  </r>
  <r>
    <s v="TechCorp"/>
    <x v="1"/>
    <s v="Women 25-34"/>
    <s v="30 days"/>
    <x v="2"/>
    <n v="0.05"/>
    <n v="19586"/>
    <n v="5.54"/>
    <n v="29"/>
    <n v="675.37931034482756"/>
    <s v="New York"/>
    <s v="French"/>
    <n v="585"/>
    <n v="1709"/>
    <n v="1"/>
    <s v="Foodies"/>
    <x v="177"/>
  </r>
  <r>
    <s v="DataTech Solutions"/>
    <x v="2"/>
    <s v="Women 35-44"/>
    <s v="45 days"/>
    <x v="2"/>
    <n v="0.08"/>
    <n v="9907"/>
    <n v="2.8"/>
    <n v="50"/>
    <n v="198.14"/>
    <s v="Miami"/>
    <s v="German"/>
    <n v="623"/>
    <n v="2690"/>
    <n v="2"/>
    <s v="Health &amp; Wellness"/>
    <x v="178"/>
  </r>
  <r>
    <s v="Alpha Innovations"/>
    <x v="1"/>
    <s v="Men 25-34"/>
    <s v="30 days"/>
    <x v="4"/>
    <n v="0.03"/>
    <n v="17606"/>
    <n v="5.0599999999999996"/>
    <n v="17"/>
    <n v="1035.6470588235295"/>
    <s v="New York"/>
    <s v="English"/>
    <n v="556"/>
    <n v="5533"/>
    <n v="7"/>
    <s v="Outdoor Adventurers"/>
    <x v="179"/>
  </r>
  <r>
    <s v="Innovate Industries"/>
    <x v="1"/>
    <s v="All Ages"/>
    <s v="60 days"/>
    <x v="1"/>
    <n v="7.0000000000000007E-2"/>
    <n v="17213"/>
    <n v="6.1"/>
    <n v="17"/>
    <n v="1012.5294117647059"/>
    <s v="Chicago"/>
    <s v="English"/>
    <n v="244"/>
    <n v="2649"/>
    <n v="3"/>
    <s v="Outdoor Adventurers"/>
    <x v="180"/>
  </r>
  <r>
    <s v="NexGen Systems"/>
    <x v="1"/>
    <s v="Men 18-24"/>
    <s v="30 days"/>
    <x v="1"/>
    <n v="0.04"/>
    <n v="7188"/>
    <n v="7.36"/>
    <n v="30"/>
    <n v="239.6"/>
    <s v="Houston"/>
    <s v="German"/>
    <n v="759"/>
    <n v="6240"/>
    <n v="10"/>
    <s v="Tech Enthusiasts"/>
    <x v="181"/>
  </r>
  <r>
    <s v="Innovate Industries"/>
    <x v="4"/>
    <s v="Women 35-44"/>
    <s v="15 days"/>
    <x v="5"/>
    <n v="0.09"/>
    <n v="19434"/>
    <n v="5.18"/>
    <n v="70"/>
    <n v="277.62857142857143"/>
    <s v="Chicago"/>
    <s v="Mandarin"/>
    <n v="778"/>
    <n v="4730"/>
    <n v="5"/>
    <s v="Health &amp; Wellness"/>
    <x v="182"/>
  </r>
  <r>
    <s v="TechCorp"/>
    <x v="4"/>
    <s v="All Ages"/>
    <s v="45 days"/>
    <x v="2"/>
    <n v="0.1"/>
    <n v="13123"/>
    <n v="6.37"/>
    <n v="28"/>
    <n v="468.67857142857144"/>
    <s v="Los Angeles"/>
    <s v="Mandarin"/>
    <n v="282"/>
    <n v="6607"/>
    <n v="7"/>
    <s v="Health &amp; Wellness"/>
    <x v="183"/>
  </r>
  <r>
    <s v="Innovate Industries"/>
    <x v="3"/>
    <s v="All Ages"/>
    <s v="60 days"/>
    <x v="5"/>
    <n v="0.1"/>
    <n v="14931"/>
    <n v="7.81"/>
    <n v="43"/>
    <n v="347.23255813953489"/>
    <s v="Los Angeles"/>
    <s v="English"/>
    <n v="431"/>
    <n v="4573"/>
    <n v="3"/>
    <s v="Foodies"/>
    <x v="184"/>
  </r>
  <r>
    <s v="DataTech Solutions"/>
    <x v="3"/>
    <s v="Men 25-34"/>
    <s v="15 days"/>
    <x v="5"/>
    <n v="0.1"/>
    <n v="11594"/>
    <n v="7.85"/>
    <n v="90"/>
    <n v="128.82222222222222"/>
    <s v="Miami"/>
    <s v="Mandarin"/>
    <n v="896"/>
    <n v="6154"/>
    <n v="10"/>
    <s v="Fashionistas"/>
    <x v="185"/>
  </r>
  <r>
    <s v="Alpha Innovations"/>
    <x v="0"/>
    <s v="All Ages"/>
    <s v="45 days"/>
    <x v="4"/>
    <n v="0.12"/>
    <n v="5702"/>
    <n v="7.53"/>
    <n v="93"/>
    <n v="61.311827956989248"/>
    <s v="New York"/>
    <s v="Mandarin"/>
    <n v="778"/>
    <n v="8473"/>
    <n v="6"/>
    <s v="Outdoor Adventurers"/>
    <x v="186"/>
  </r>
  <r>
    <s v="TechCorp"/>
    <x v="2"/>
    <s v="Men 18-24"/>
    <s v="15 days"/>
    <x v="4"/>
    <n v="0.05"/>
    <n v="17592"/>
    <n v="6.69"/>
    <n v="14"/>
    <n v="1256.5714285714287"/>
    <s v="Chicago"/>
    <s v="French"/>
    <n v="285"/>
    <n v="2756"/>
    <n v="8"/>
    <s v="Outdoor Adventurers"/>
    <x v="187"/>
  </r>
  <r>
    <s v="Innovate Industries"/>
    <x v="2"/>
    <s v="Men 25-34"/>
    <s v="30 days"/>
    <x v="1"/>
    <n v="0.04"/>
    <n v="19072"/>
    <n v="4.71"/>
    <n v="31"/>
    <n v="615.22580645161293"/>
    <s v="New York"/>
    <s v="Mandarin"/>
    <n v="768"/>
    <n v="7851"/>
    <n v="5"/>
    <s v="Health &amp; Wellness"/>
    <x v="188"/>
  </r>
  <r>
    <s v="DataTech Solutions"/>
    <x v="0"/>
    <s v="Men 18-24"/>
    <s v="15 days"/>
    <x v="3"/>
    <n v="0.11"/>
    <n v="13879"/>
    <n v="3.85"/>
    <n v="33"/>
    <n v="420.57575757575756"/>
    <s v="Houston"/>
    <s v="Spanish"/>
    <n v="300"/>
    <n v="2842"/>
    <n v="7"/>
    <s v="Fashionistas"/>
    <x v="189"/>
  </r>
  <r>
    <s v="NexGen Systems"/>
    <x v="1"/>
    <s v="Men 25-34"/>
    <s v="60 days"/>
    <x v="0"/>
    <n v="0.11"/>
    <n v="18916"/>
    <n v="2.63"/>
    <n v="78"/>
    <n v="242.51282051282053"/>
    <s v="Los Angeles"/>
    <s v="English"/>
    <n v="707"/>
    <n v="8221"/>
    <n v="6"/>
    <s v="Tech Enthusiasts"/>
    <x v="190"/>
  </r>
  <r>
    <s v="TechCorp"/>
    <x v="0"/>
    <s v="All Ages"/>
    <s v="60 days"/>
    <x v="5"/>
    <n v="0.04"/>
    <n v="8886"/>
    <n v="7.8"/>
    <n v="18"/>
    <n v="493.66666666666669"/>
    <s v="Chicago"/>
    <s v="French"/>
    <n v="440"/>
    <n v="5426"/>
    <n v="6"/>
    <s v="Health &amp; Wellness"/>
    <x v="191"/>
  </r>
  <r>
    <s v="Innovate Industries"/>
    <x v="3"/>
    <s v="Men 18-24"/>
    <s v="15 days"/>
    <x v="4"/>
    <n v="0.11"/>
    <n v="15236"/>
    <n v="7.78"/>
    <n v="28"/>
    <n v="544.14285714285711"/>
    <s v="Chicago"/>
    <s v="French"/>
    <n v="259"/>
    <n v="3048"/>
    <n v="9"/>
    <s v="Fashionistas"/>
    <x v="192"/>
  </r>
  <r>
    <s v="TechCorp"/>
    <x v="2"/>
    <s v="All Ages"/>
    <s v="30 days"/>
    <x v="4"/>
    <n v="0.04"/>
    <n v="12936"/>
    <n v="5.73"/>
    <n v="38"/>
    <n v="340.42105263157896"/>
    <s v="New York"/>
    <s v="French"/>
    <n v="944"/>
    <n v="6171"/>
    <n v="5"/>
    <s v="Outdoor Adventurers"/>
    <x v="193"/>
  </r>
  <r>
    <s v="TechCorp"/>
    <x v="3"/>
    <s v="Men 25-34"/>
    <s v="60 days"/>
    <x v="5"/>
    <n v="0.09"/>
    <n v="18473"/>
    <n v="5.41"/>
    <n v="70"/>
    <n v="263.89999999999998"/>
    <s v="New York"/>
    <s v="Mandarin"/>
    <n v="775"/>
    <n v="9785"/>
    <n v="1"/>
    <s v="Foodies"/>
    <x v="194"/>
  </r>
  <r>
    <s v="TechCorp"/>
    <x v="3"/>
    <s v="Men 25-34"/>
    <s v="15 days"/>
    <x v="3"/>
    <n v="0.1"/>
    <n v="19608"/>
    <n v="2.23"/>
    <n v="67"/>
    <n v="292.65671641791045"/>
    <s v="Chicago"/>
    <s v="French"/>
    <n v="671"/>
    <n v="9464"/>
    <n v="8"/>
    <s v="Foodies"/>
    <x v="195"/>
  </r>
  <r>
    <s v="NexGen Systems"/>
    <x v="1"/>
    <s v="All Ages"/>
    <s v="45 days"/>
    <x v="2"/>
    <n v="0.14000000000000001"/>
    <n v="14711"/>
    <n v="5.72"/>
    <n v="101"/>
    <n v="145.65346534653466"/>
    <s v="Chicago"/>
    <s v="French"/>
    <n v="723"/>
    <n v="2078"/>
    <n v="10"/>
    <s v="Health &amp; Wellness"/>
    <x v="196"/>
  </r>
  <r>
    <s v="TechCorp"/>
    <x v="4"/>
    <s v="Women 35-44"/>
    <s v="15 days"/>
    <x v="0"/>
    <n v="0.15"/>
    <n v="11263"/>
    <n v="2.67"/>
    <n v="135"/>
    <n v="83.42962962962963"/>
    <s v="Miami"/>
    <s v="Mandarin"/>
    <n v="897"/>
    <n v="3564"/>
    <n v="2"/>
    <s v="Tech Enthusiasts"/>
    <x v="197"/>
  </r>
  <r>
    <s v="NexGen Systems"/>
    <x v="0"/>
    <s v="Men 18-24"/>
    <s v="60 days"/>
    <x v="1"/>
    <n v="0.13"/>
    <n v="16847"/>
    <n v="2.66"/>
    <n v="99"/>
    <n v="170.17171717171718"/>
    <s v="New York"/>
    <s v="German"/>
    <n v="763"/>
    <n v="7670"/>
    <n v="6"/>
    <s v="Fashionistas"/>
    <x v="198"/>
  </r>
  <r>
    <s v="Innovate Industries"/>
    <x v="0"/>
    <s v="Women 25-34"/>
    <s v="30 days"/>
    <x v="5"/>
    <n v="0.15"/>
    <n v="6109"/>
    <n v="4.97"/>
    <n v="82"/>
    <n v="74.5"/>
    <s v="Miami"/>
    <s v="German"/>
    <n v="544"/>
    <n v="2792"/>
    <n v="10"/>
    <s v="Health &amp; Wellness"/>
    <x v="199"/>
  </r>
  <r>
    <s v="NexGen Systems"/>
    <x v="3"/>
    <s v="Men 25-34"/>
    <s v="45 days"/>
    <x v="5"/>
    <n v="0.12"/>
    <n v="17751"/>
    <n v="2.19"/>
    <n v="82"/>
    <n v="216.47560975609755"/>
    <s v="Los Angeles"/>
    <s v="Mandarin"/>
    <n v="682"/>
    <n v="8870"/>
    <n v="6"/>
    <s v="Outdoor Adventurers"/>
    <x v="200"/>
  </r>
  <r>
    <s v="DataTech Solutions"/>
    <x v="3"/>
    <s v="All Ages"/>
    <s v="45 days"/>
    <x v="0"/>
    <n v="0.05"/>
    <n v="12475"/>
    <n v="4.2699999999999996"/>
    <n v="43"/>
    <n v="290.11627906976742"/>
    <s v="Houston"/>
    <s v="English"/>
    <n v="863"/>
    <n v="9369"/>
    <n v="3"/>
    <s v="Fashionistas"/>
    <x v="201"/>
  </r>
  <r>
    <s v="DataTech Solutions"/>
    <x v="1"/>
    <s v="Women 25-34"/>
    <s v="30 days"/>
    <x v="1"/>
    <n v="0.13"/>
    <n v="11685"/>
    <n v="2.5499999999999998"/>
    <n v="120"/>
    <n v="97.375"/>
    <s v="Chicago"/>
    <s v="French"/>
    <n v="925"/>
    <n v="6264"/>
    <n v="7"/>
    <s v="Health &amp; Wellness"/>
    <x v="202"/>
  </r>
  <r>
    <s v="NexGen Systems"/>
    <x v="1"/>
    <s v="Men 18-24"/>
    <s v="45 days"/>
    <x v="5"/>
    <n v="0.15"/>
    <n v="5840"/>
    <n v="7.96"/>
    <n v="112"/>
    <n v="52.142857142857146"/>
    <s v="Miami"/>
    <s v="Spanish"/>
    <n v="744"/>
    <n v="4819"/>
    <n v="1"/>
    <s v="Fashionistas"/>
    <x v="203"/>
  </r>
  <r>
    <s v="Innovate Industries"/>
    <x v="3"/>
    <s v="Men 18-24"/>
    <s v="30 days"/>
    <x v="5"/>
    <n v="0.05"/>
    <n v="7488"/>
    <n v="2.4900000000000002"/>
    <n v="16"/>
    <n v="468"/>
    <s v="Miami"/>
    <s v="English"/>
    <n v="321"/>
    <n v="3767"/>
    <n v="8"/>
    <s v="Outdoor Adventurers"/>
    <x v="204"/>
  </r>
  <r>
    <s v="TechCorp"/>
    <x v="0"/>
    <s v="Women 25-34"/>
    <s v="60 days"/>
    <x v="3"/>
    <n v="0.06"/>
    <n v="10400"/>
    <n v="6.49"/>
    <n v="26"/>
    <n v="400"/>
    <s v="Miami"/>
    <s v="French"/>
    <n v="429"/>
    <n v="6983"/>
    <n v="5"/>
    <s v="Outdoor Adventurers"/>
    <x v="205"/>
  </r>
  <r>
    <s v="NexGen Systems"/>
    <x v="1"/>
    <s v="Women 35-44"/>
    <s v="60 days"/>
    <x v="0"/>
    <n v="0.13"/>
    <n v="16640"/>
    <n v="5.01"/>
    <n v="124"/>
    <n v="134.19354838709677"/>
    <s v="New York"/>
    <s v="Spanish"/>
    <n v="950"/>
    <n v="5799"/>
    <n v="1"/>
    <s v="Health &amp; Wellness"/>
    <x v="206"/>
  </r>
  <r>
    <s v="TechCorp"/>
    <x v="2"/>
    <s v="Men 25-34"/>
    <s v="15 days"/>
    <x v="4"/>
    <n v="0.11"/>
    <n v="12073"/>
    <n v="3.39"/>
    <n v="107"/>
    <n v="112.83177570093459"/>
    <s v="Chicago"/>
    <s v="German"/>
    <n v="971"/>
    <n v="9766"/>
    <n v="7"/>
    <s v="Tech Enthusiasts"/>
    <x v="207"/>
  </r>
  <r>
    <s v="NexGen Systems"/>
    <x v="1"/>
    <s v="Men 18-24"/>
    <s v="60 days"/>
    <x v="0"/>
    <n v="0.11"/>
    <n v="9343"/>
    <n v="3.26"/>
    <n v="71"/>
    <n v="131.59154929577466"/>
    <s v="Houston"/>
    <s v="French"/>
    <n v="646"/>
    <n v="4912"/>
    <n v="3"/>
    <s v="Fashionistas"/>
    <x v="208"/>
  </r>
  <r>
    <s v="Innovate Industries"/>
    <x v="2"/>
    <s v="Women 35-44"/>
    <s v="60 days"/>
    <x v="5"/>
    <n v="0.04"/>
    <n v="16527"/>
    <n v="3.84"/>
    <n v="27"/>
    <n v="612.11111111111109"/>
    <s v="Houston"/>
    <s v="Spanish"/>
    <n v="687"/>
    <n v="2440"/>
    <n v="7"/>
    <s v="Foodies"/>
    <x v="209"/>
  </r>
  <r>
    <s v="NexGen Systems"/>
    <x v="1"/>
    <s v="Women 25-34"/>
    <s v="45 days"/>
    <x v="4"/>
    <n v="0.15"/>
    <n v="14801"/>
    <n v="2.75"/>
    <n v="93"/>
    <n v="159.15053763440861"/>
    <s v="Chicago"/>
    <s v="Spanish"/>
    <n v="619"/>
    <n v="9773"/>
    <n v="6"/>
    <s v="Fashionistas"/>
    <x v="210"/>
  </r>
  <r>
    <s v="DataTech Solutions"/>
    <x v="4"/>
    <s v="Women 25-34"/>
    <s v="30 days"/>
    <x v="0"/>
    <n v="0.05"/>
    <n v="16906"/>
    <n v="4.5"/>
    <n v="11"/>
    <n v="1536.909090909091"/>
    <s v="Houston"/>
    <s v="Spanish"/>
    <n v="210"/>
    <n v="8711"/>
    <n v="10"/>
    <s v="Health &amp; Wellness"/>
    <x v="211"/>
  </r>
  <r>
    <s v="Innovate Industries"/>
    <x v="3"/>
    <s v="Women 35-44"/>
    <s v="60 days"/>
    <x v="2"/>
    <n v="7.0000000000000007E-2"/>
    <n v="12904"/>
    <n v="4.13"/>
    <n v="29"/>
    <n v="444.9655172413793"/>
    <s v="Los Angeles"/>
    <s v="French"/>
    <n v="409"/>
    <n v="3626"/>
    <n v="3"/>
    <s v="Outdoor Adventurers"/>
    <x v="212"/>
  </r>
  <r>
    <s v="Alpha Innovations"/>
    <x v="1"/>
    <s v="All Ages"/>
    <s v="15 days"/>
    <x v="2"/>
    <n v="0.01"/>
    <n v="16539"/>
    <n v="7.72"/>
    <n v="2"/>
    <n v="8269.5"/>
    <s v="Miami"/>
    <s v="Mandarin"/>
    <n v="231"/>
    <n v="5714"/>
    <n v="2"/>
    <s v="Outdoor Adventurers"/>
    <x v="213"/>
  </r>
  <r>
    <s v="Alpha Innovations"/>
    <x v="0"/>
    <s v="All Ages"/>
    <s v="15 days"/>
    <x v="3"/>
    <n v="0.04"/>
    <n v="14188"/>
    <n v="5.59"/>
    <n v="18"/>
    <n v="788.22222222222217"/>
    <s v="Houston"/>
    <s v="Mandarin"/>
    <n v="455"/>
    <n v="5450"/>
    <n v="1"/>
    <s v="Tech Enthusiasts"/>
    <x v="214"/>
  </r>
  <r>
    <s v="TechCorp"/>
    <x v="1"/>
    <s v="Men 25-34"/>
    <s v="30 days"/>
    <x v="3"/>
    <n v="0.05"/>
    <n v="9833"/>
    <n v="5.21"/>
    <n v="43"/>
    <n v="228.67441860465115"/>
    <s v="Los Angeles"/>
    <s v="French"/>
    <n v="854"/>
    <n v="4765"/>
    <n v="7"/>
    <s v="Foodies"/>
    <x v="215"/>
  </r>
  <r>
    <s v="TechCorp"/>
    <x v="0"/>
    <s v="Women 25-34"/>
    <s v="60 days"/>
    <x v="4"/>
    <n v="7.0000000000000007E-2"/>
    <n v="10477"/>
    <n v="7.16"/>
    <n v="28"/>
    <n v="374.17857142857144"/>
    <s v="Houston"/>
    <s v="Mandarin"/>
    <n v="393"/>
    <n v="6691"/>
    <n v="10"/>
    <s v="Health &amp; Wellness"/>
    <x v="216"/>
  </r>
  <r>
    <s v="NexGen Systems"/>
    <x v="1"/>
    <s v="Women 25-34"/>
    <s v="45 days"/>
    <x v="2"/>
    <n v="0.12"/>
    <n v="19954"/>
    <n v="3.18"/>
    <n v="107"/>
    <n v="186.48598130841123"/>
    <s v="Miami"/>
    <s v="German"/>
    <n v="892"/>
    <n v="2682"/>
    <n v="5"/>
    <s v="Foodies"/>
    <x v="217"/>
  </r>
  <r>
    <s v="TechCorp"/>
    <x v="3"/>
    <s v="Women 25-34"/>
    <s v="45 days"/>
    <x v="4"/>
    <n v="0.12"/>
    <n v="14024"/>
    <n v="6.52"/>
    <n v="110"/>
    <n v="127.49090909090908"/>
    <s v="Chicago"/>
    <s v="Mandarin"/>
    <n v="919"/>
    <n v="7475"/>
    <n v="3"/>
    <s v="Outdoor Adventurers"/>
    <x v="218"/>
  </r>
  <r>
    <s v="NexGen Systems"/>
    <x v="1"/>
    <s v="Women 25-34"/>
    <s v="45 days"/>
    <x v="2"/>
    <n v="0.13"/>
    <n v="6588"/>
    <n v="5.35"/>
    <n v="80"/>
    <n v="82.35"/>
    <s v="New York"/>
    <s v="German"/>
    <n v="617"/>
    <n v="9331"/>
    <n v="5"/>
    <s v="Outdoor Adventurers"/>
    <x v="219"/>
  </r>
  <r>
    <s v="NexGen Systems"/>
    <x v="3"/>
    <s v="Women 25-34"/>
    <s v="45 days"/>
    <x v="5"/>
    <n v="0.09"/>
    <n v="13734"/>
    <n v="6.34"/>
    <n v="81"/>
    <n v="169.55555555555554"/>
    <s v="New York"/>
    <s v="English"/>
    <n v="905"/>
    <n v="2346"/>
    <n v="5"/>
    <s v="Health &amp; Wellness"/>
    <x v="220"/>
  </r>
  <r>
    <s v="TechCorp"/>
    <x v="2"/>
    <s v="Men 25-34"/>
    <s v="30 days"/>
    <x v="5"/>
    <n v="0.09"/>
    <n v="16794"/>
    <n v="2.4300000000000002"/>
    <n v="79"/>
    <n v="212.58227848101265"/>
    <s v="Chicago"/>
    <s v="German"/>
    <n v="873"/>
    <n v="2646"/>
    <n v="10"/>
    <s v="Fashionistas"/>
    <x v="221"/>
  </r>
  <r>
    <s v="DataTech Solutions"/>
    <x v="1"/>
    <s v="All Ages"/>
    <s v="60 days"/>
    <x v="5"/>
    <n v="0.04"/>
    <n v="17413"/>
    <n v="7.42"/>
    <n v="4"/>
    <n v="4353.25"/>
    <s v="Chicago"/>
    <s v="German"/>
    <n v="103"/>
    <n v="7665"/>
    <n v="8"/>
    <s v="Tech Enthusiasts"/>
    <x v="222"/>
  </r>
  <r>
    <s v="NexGen Systems"/>
    <x v="1"/>
    <s v="Women 25-34"/>
    <s v="45 days"/>
    <x v="1"/>
    <n v="0.11"/>
    <n v="11611"/>
    <n v="3.48"/>
    <n v="36"/>
    <n v="322.52777777777777"/>
    <s v="Los Angeles"/>
    <s v="Spanish"/>
    <n v="329"/>
    <n v="6390"/>
    <n v="1"/>
    <s v="Tech Enthusiasts"/>
    <x v="223"/>
  </r>
  <r>
    <s v="TechCorp"/>
    <x v="0"/>
    <s v="Men 25-34"/>
    <s v="45 days"/>
    <x v="0"/>
    <n v="0.11"/>
    <n v="12967"/>
    <n v="3.8"/>
    <n v="89"/>
    <n v="145.69662921348313"/>
    <s v="Los Angeles"/>
    <s v="Spanish"/>
    <n v="812"/>
    <n v="7207"/>
    <n v="5"/>
    <s v="Fashionistas"/>
    <x v="224"/>
  </r>
  <r>
    <s v="Alpha Innovations"/>
    <x v="4"/>
    <s v="Women 35-44"/>
    <s v="45 days"/>
    <x v="4"/>
    <n v="0.12"/>
    <n v="18006"/>
    <n v="3.81"/>
    <n v="23"/>
    <n v="782.86956521739125"/>
    <s v="New York"/>
    <s v="Spanish"/>
    <n v="190"/>
    <n v="5179"/>
    <n v="1"/>
    <s v="Tech Enthusiasts"/>
    <x v="225"/>
  </r>
  <r>
    <s v="NexGen Systems"/>
    <x v="2"/>
    <s v="Men 18-24"/>
    <s v="30 days"/>
    <x v="1"/>
    <n v="0.11"/>
    <n v="12463"/>
    <n v="7.19"/>
    <n v="61"/>
    <n v="204.31147540983608"/>
    <s v="Miami"/>
    <s v="Spanish"/>
    <n v="554"/>
    <n v="4368"/>
    <n v="2"/>
    <s v="Fashionistas"/>
    <x v="226"/>
  </r>
  <r>
    <s v="Alpha Innovations"/>
    <x v="0"/>
    <s v="Men 25-34"/>
    <s v="30 days"/>
    <x v="2"/>
    <n v="0.11"/>
    <n v="9951"/>
    <n v="5.46"/>
    <n v="39"/>
    <n v="255.15384615384616"/>
    <s v="New York"/>
    <s v="Spanish"/>
    <n v="359"/>
    <n v="5375"/>
    <n v="5"/>
    <s v="Outdoor Adventurers"/>
    <x v="227"/>
  </r>
  <r>
    <s v="Innovate Industries"/>
    <x v="1"/>
    <s v="All Ages"/>
    <s v="45 days"/>
    <x v="1"/>
    <n v="0.08"/>
    <n v="15619"/>
    <n v="4.97"/>
    <n v="50"/>
    <n v="312.38"/>
    <s v="Los Angeles"/>
    <s v="Spanish"/>
    <n v="622"/>
    <n v="5492"/>
    <n v="10"/>
    <s v="Foodies"/>
    <x v="228"/>
  </r>
  <r>
    <s v="NexGen Systems"/>
    <x v="0"/>
    <s v="Men 18-24"/>
    <s v="45 days"/>
    <x v="4"/>
    <n v="0.12"/>
    <n v="5041"/>
    <n v="2.48"/>
    <n v="39"/>
    <n v="129.25641025641025"/>
    <s v="New York"/>
    <s v="German"/>
    <n v="325"/>
    <n v="9889"/>
    <n v="1"/>
    <s v="Foodies"/>
    <x v="229"/>
  </r>
  <r>
    <s v="Innovate Industries"/>
    <x v="2"/>
    <s v="Men 25-34"/>
    <s v="45 days"/>
    <x v="2"/>
    <n v="0.12"/>
    <n v="8888"/>
    <n v="7.16"/>
    <n v="81"/>
    <n v="109.72839506172839"/>
    <s v="Los Angeles"/>
    <s v="German"/>
    <n v="672"/>
    <n v="3267"/>
    <n v="1"/>
    <s v="Health &amp; Wellness"/>
    <x v="230"/>
  </r>
  <r>
    <s v="NexGen Systems"/>
    <x v="4"/>
    <s v="Men 25-34"/>
    <s v="15 days"/>
    <x v="2"/>
    <n v="0.12"/>
    <n v="9592"/>
    <n v="6.49"/>
    <n v="64"/>
    <n v="149.875"/>
    <s v="Houston"/>
    <s v="Mandarin"/>
    <n v="533"/>
    <n v="6410"/>
    <n v="4"/>
    <s v="Health &amp; Wellness"/>
    <x v="231"/>
  </r>
  <r>
    <s v="NexGen Systems"/>
    <x v="3"/>
    <s v="Men 18-24"/>
    <s v="15 days"/>
    <x v="2"/>
    <n v="0.08"/>
    <n v="11528"/>
    <n v="3.25"/>
    <n v="59"/>
    <n v="195.38983050847457"/>
    <s v="Chicago"/>
    <s v="French"/>
    <n v="734"/>
    <n v="6149"/>
    <n v="8"/>
    <s v="Tech Enthusiasts"/>
    <x v="232"/>
  </r>
  <r>
    <s v="NexGen Systems"/>
    <x v="4"/>
    <s v="All Ages"/>
    <s v="45 days"/>
    <x v="0"/>
    <n v="0.12"/>
    <n v="13117"/>
    <n v="3.65"/>
    <n v="54"/>
    <n v="242.90740740740742"/>
    <s v="New York"/>
    <s v="German"/>
    <n v="453"/>
    <n v="2223"/>
    <n v="4"/>
    <s v="Tech Enthusiasts"/>
    <x v="233"/>
  </r>
  <r>
    <s v="Innovate Industries"/>
    <x v="1"/>
    <s v="Women 35-44"/>
    <s v="45 days"/>
    <x v="2"/>
    <n v="0.05"/>
    <n v="8151"/>
    <n v="3.38"/>
    <n v="21"/>
    <n v="388.14285714285717"/>
    <s v="New York"/>
    <s v="French"/>
    <n v="426"/>
    <n v="2738"/>
    <n v="7"/>
    <s v="Outdoor Adventurers"/>
    <x v="234"/>
  </r>
  <r>
    <s v="DataTech Solutions"/>
    <x v="1"/>
    <s v="Women 25-34"/>
    <s v="45 days"/>
    <x v="1"/>
    <n v="0.11"/>
    <n v="14382"/>
    <n v="2.54"/>
    <n v="17"/>
    <n v="846"/>
    <s v="Miami"/>
    <s v="English"/>
    <n v="151"/>
    <n v="8281"/>
    <n v="1"/>
    <s v="Outdoor Adventurers"/>
    <x v="235"/>
  </r>
  <r>
    <s v="Innovate Industries"/>
    <x v="3"/>
    <s v="Women 35-44"/>
    <s v="60 days"/>
    <x v="4"/>
    <n v="0.04"/>
    <n v="11903"/>
    <n v="3.8"/>
    <n v="12"/>
    <n v="991.91666666666663"/>
    <s v="New York"/>
    <s v="Spanish"/>
    <n v="310"/>
    <n v="1592"/>
    <n v="1"/>
    <s v="Fashionistas"/>
    <x v="236"/>
  </r>
  <r>
    <s v="TechCorp"/>
    <x v="2"/>
    <s v="Men 18-24"/>
    <s v="30 days"/>
    <x v="4"/>
    <n v="0.14000000000000001"/>
    <n v="15981"/>
    <n v="5.93"/>
    <n v="51"/>
    <n v="313.35294117647061"/>
    <s v="Houston"/>
    <s v="Mandarin"/>
    <n v="366"/>
    <n v="8470"/>
    <n v="3"/>
    <s v="Health &amp; Wellness"/>
    <x v="237"/>
  </r>
  <r>
    <s v="NexGen Systems"/>
    <x v="1"/>
    <s v="All Ages"/>
    <s v="60 days"/>
    <x v="2"/>
    <n v="0.11"/>
    <n v="12604"/>
    <n v="7.79"/>
    <n v="81"/>
    <n v="155.60493827160494"/>
    <s v="New York"/>
    <s v="French"/>
    <n v="738"/>
    <n v="5191"/>
    <n v="3"/>
    <s v="Health &amp; Wellness"/>
    <x v="238"/>
  </r>
  <r>
    <s v="TechCorp"/>
    <x v="4"/>
    <s v="Men 25-34"/>
    <s v="15 days"/>
    <x v="1"/>
    <n v="0.01"/>
    <n v="6611"/>
    <n v="7.88"/>
    <n v="7"/>
    <n v="944.42857142857144"/>
    <s v="Los Angeles"/>
    <s v="English"/>
    <n v="708"/>
    <n v="1517"/>
    <n v="2"/>
    <s v="Outdoor Adventurers"/>
    <x v="239"/>
  </r>
  <r>
    <s v="Alpha Innovations"/>
    <x v="3"/>
    <s v="All Ages"/>
    <s v="45 days"/>
    <x v="5"/>
    <n v="0.12"/>
    <n v="14831"/>
    <n v="5.71"/>
    <n v="70"/>
    <n v="211.87142857142857"/>
    <s v="Miami"/>
    <s v="Mandarin"/>
    <n v="582"/>
    <n v="4369"/>
    <n v="2"/>
    <s v="Foodies"/>
    <x v="240"/>
  </r>
  <r>
    <s v="Alpha Innovations"/>
    <x v="3"/>
    <s v="All Ages"/>
    <s v="60 days"/>
    <x v="5"/>
    <n v="0.06"/>
    <n v="18219"/>
    <n v="6.71"/>
    <n v="34"/>
    <n v="535.85294117647061"/>
    <s v="Miami"/>
    <s v="French"/>
    <n v="567"/>
    <n v="8115"/>
    <n v="6"/>
    <s v="Fashionistas"/>
    <x v="241"/>
  </r>
  <r>
    <s v="DataTech Solutions"/>
    <x v="0"/>
    <s v="Women 35-44"/>
    <s v="60 days"/>
    <x v="4"/>
    <n v="0.11"/>
    <n v="18961"/>
    <n v="6.41"/>
    <n v="26"/>
    <n v="729.26923076923072"/>
    <s v="Los Angeles"/>
    <s v="German"/>
    <n v="236"/>
    <n v="5397"/>
    <n v="6"/>
    <s v="Health &amp; Wellness"/>
    <x v="242"/>
  </r>
  <r>
    <s v="DataTech Solutions"/>
    <x v="4"/>
    <s v="Men 18-24"/>
    <s v="45 days"/>
    <x v="0"/>
    <n v="0.11"/>
    <n v="15136"/>
    <n v="4.6900000000000004"/>
    <n v="33"/>
    <n v="458.66666666666669"/>
    <s v="New York"/>
    <s v="German"/>
    <n v="299"/>
    <n v="1222"/>
    <n v="7"/>
    <s v="Foodies"/>
    <x v="243"/>
  </r>
  <r>
    <s v="DataTech Solutions"/>
    <x v="3"/>
    <s v="All Ages"/>
    <s v="60 days"/>
    <x v="2"/>
    <n v="0.04"/>
    <n v="19380"/>
    <n v="5.31"/>
    <n v="35"/>
    <n v="553.71428571428567"/>
    <s v="Los Angeles"/>
    <s v="Spanish"/>
    <n v="876"/>
    <n v="3492"/>
    <n v="4"/>
    <s v="Outdoor Adventurers"/>
    <x v="244"/>
  </r>
  <r>
    <s v="TechCorp"/>
    <x v="1"/>
    <s v="All Ages"/>
    <s v="30 days"/>
    <x v="0"/>
    <n v="0.11"/>
    <n v="7612"/>
    <n v="2.68"/>
    <n v="110"/>
    <n v="69.2"/>
    <s v="Houston"/>
    <s v="French"/>
    <n v="1000"/>
    <n v="3304"/>
    <n v="1"/>
    <s v="Tech Enthusiasts"/>
    <x v="245"/>
  </r>
  <r>
    <s v="Innovate Industries"/>
    <x v="2"/>
    <s v="Men 18-24"/>
    <s v="15 days"/>
    <x v="2"/>
    <n v="0.03"/>
    <n v="10600"/>
    <n v="5.8"/>
    <n v="28"/>
    <n v="378.57142857142856"/>
    <s v="Chicago"/>
    <s v="Mandarin"/>
    <n v="941"/>
    <n v="8458"/>
    <n v="6"/>
    <s v="Health &amp; Wellness"/>
    <x v="246"/>
  </r>
  <r>
    <s v="NexGen Systems"/>
    <x v="0"/>
    <s v="Women 25-34"/>
    <s v="15 days"/>
    <x v="1"/>
    <n v="0.11"/>
    <n v="10634"/>
    <n v="2.84"/>
    <n v="20"/>
    <n v="531.70000000000005"/>
    <s v="Chicago"/>
    <s v="Mandarin"/>
    <n v="182"/>
    <n v="8834"/>
    <n v="9"/>
    <s v="Outdoor Adventurers"/>
    <x v="247"/>
  </r>
  <r>
    <s v="NexGen Systems"/>
    <x v="2"/>
    <s v="Men 18-24"/>
    <s v="45 days"/>
    <x v="3"/>
    <n v="0.14000000000000001"/>
    <n v="12890"/>
    <n v="7.03"/>
    <n v="115"/>
    <n v="112.08695652173913"/>
    <s v="Chicago"/>
    <s v="Mandarin"/>
    <n v="822"/>
    <n v="7350"/>
    <n v="7"/>
    <s v="Foodies"/>
    <x v="248"/>
  </r>
  <r>
    <s v="TechCorp"/>
    <x v="4"/>
    <s v="Men 18-24"/>
    <s v="45 days"/>
    <x v="2"/>
    <n v="0.04"/>
    <n v="17500"/>
    <n v="7.12"/>
    <n v="30"/>
    <n v="583.33333333333337"/>
    <s v="Los Angeles"/>
    <s v="Spanish"/>
    <n v="756"/>
    <n v="1000"/>
    <n v="5"/>
    <s v="Outdoor Adventurers"/>
    <x v="249"/>
  </r>
  <r>
    <s v="TechCorp"/>
    <x v="2"/>
    <s v="Men 25-34"/>
    <s v="45 days"/>
    <x v="3"/>
    <n v="0.09"/>
    <n v="10394"/>
    <n v="2.86"/>
    <n v="28"/>
    <n v="371.21428571428572"/>
    <s v="Miami"/>
    <s v="Mandarin"/>
    <n v="313"/>
    <n v="8293"/>
    <n v="2"/>
    <s v="Foodies"/>
    <x v="250"/>
  </r>
  <r>
    <s v="TechCorp"/>
    <x v="0"/>
    <s v="Men 18-24"/>
    <s v="15 days"/>
    <x v="4"/>
    <n v="0.08"/>
    <n v="19973"/>
    <n v="7.42"/>
    <n v="32"/>
    <n v="624.15625"/>
    <s v="Houston"/>
    <s v="English"/>
    <n v="405"/>
    <n v="6842"/>
    <n v="6"/>
    <s v="Outdoor Adventurers"/>
    <x v="251"/>
  </r>
  <r>
    <s v="Innovate Industries"/>
    <x v="4"/>
    <s v="Men 18-24"/>
    <s v="45 days"/>
    <x v="1"/>
    <n v="0.08"/>
    <n v="9580"/>
    <n v="5.31"/>
    <n v="72"/>
    <n v="133.05555555555554"/>
    <s v="Los Angeles"/>
    <s v="German"/>
    <n v="897"/>
    <n v="4821"/>
    <n v="4"/>
    <s v="Tech Enthusiasts"/>
    <x v="252"/>
  </r>
  <r>
    <s v="Innovate Industries"/>
    <x v="2"/>
    <s v="Women 35-44"/>
    <s v="15 days"/>
    <x v="2"/>
    <n v="7.0000000000000007E-2"/>
    <n v="14764"/>
    <n v="4.34"/>
    <n v="50"/>
    <n v="295.27999999999997"/>
    <s v="Los Angeles"/>
    <s v="English"/>
    <n v="714"/>
    <n v="9270"/>
    <n v="6"/>
    <s v="Outdoor Adventurers"/>
    <x v="253"/>
  </r>
  <r>
    <s v="Innovate Industries"/>
    <x v="0"/>
    <s v="All Ages"/>
    <s v="60 days"/>
    <x v="1"/>
    <n v="0.02"/>
    <n v="10658"/>
    <n v="2.23"/>
    <n v="5"/>
    <n v="2131.6"/>
    <s v="Miami"/>
    <s v="Mandarin"/>
    <n v="254"/>
    <n v="6433"/>
    <n v="8"/>
    <s v="Fashionistas"/>
    <x v="254"/>
  </r>
  <r>
    <s v="DataTech Solutions"/>
    <x v="0"/>
    <s v="Men 18-24"/>
    <s v="60 days"/>
    <x v="3"/>
    <n v="0.11"/>
    <n v="13237"/>
    <n v="6.15"/>
    <n v="40"/>
    <n v="330.92500000000001"/>
    <s v="New York"/>
    <s v="Mandarin"/>
    <n v="363"/>
    <n v="5359"/>
    <n v="4"/>
    <s v="Fashionistas"/>
    <x v="255"/>
  </r>
  <r>
    <s v="TechCorp"/>
    <x v="3"/>
    <s v="Men 18-24"/>
    <s v="45 days"/>
    <x v="1"/>
    <n v="0.04"/>
    <n v="5308"/>
    <n v="2.59"/>
    <n v="9"/>
    <n v="589.77777777777783"/>
    <s v="Chicago"/>
    <s v="Mandarin"/>
    <n v="231"/>
    <n v="2067"/>
    <n v="4"/>
    <s v="Foodies"/>
    <x v="256"/>
  </r>
  <r>
    <s v="Alpha Innovations"/>
    <x v="4"/>
    <s v="Women 25-34"/>
    <s v="60 days"/>
    <x v="0"/>
    <n v="0.14000000000000001"/>
    <n v="14500"/>
    <n v="4.7699999999999996"/>
    <n v="31"/>
    <n v="467.74193548387098"/>
    <s v="Chicago"/>
    <s v="Spanish"/>
    <n v="221"/>
    <n v="5650"/>
    <n v="8"/>
    <s v="Outdoor Adventurers"/>
    <x v="257"/>
  </r>
  <r>
    <s v="Innovate Industries"/>
    <x v="1"/>
    <s v="Men 18-24"/>
    <s v="60 days"/>
    <x v="1"/>
    <n v="0.08"/>
    <n v="18756"/>
    <n v="5.09"/>
    <n v="41"/>
    <n v="457.46341463414632"/>
    <s v="New York"/>
    <s v="Spanish"/>
    <n v="512"/>
    <n v="2441"/>
    <n v="6"/>
    <s v="Health &amp; Wellness"/>
    <x v="258"/>
  </r>
  <r>
    <s v="Innovate Industries"/>
    <x v="4"/>
    <s v="Men 25-34"/>
    <s v="15 days"/>
    <x v="4"/>
    <n v="0.08"/>
    <n v="12095"/>
    <n v="3.4"/>
    <n v="15"/>
    <n v="806.33333333333337"/>
    <s v="Miami"/>
    <s v="English"/>
    <n v="184"/>
    <n v="9602"/>
    <n v="6"/>
    <s v="Tech Enthusiasts"/>
    <x v="259"/>
  </r>
  <r>
    <s v="Alpha Innovations"/>
    <x v="1"/>
    <s v="Men 18-24"/>
    <s v="60 days"/>
    <x v="4"/>
    <n v="0.05"/>
    <n v="5455"/>
    <n v="2.84"/>
    <n v="20"/>
    <n v="272.75"/>
    <s v="Chicago"/>
    <s v="Spanish"/>
    <n v="397"/>
    <n v="1666"/>
    <n v="4"/>
    <s v="Outdoor Adventurers"/>
    <x v="260"/>
  </r>
  <r>
    <s v="NexGen Systems"/>
    <x v="2"/>
    <s v="All Ages"/>
    <s v="60 days"/>
    <x v="5"/>
    <n v="0.15"/>
    <n v="17841"/>
    <n v="3.33"/>
    <n v="83"/>
    <n v="214.95180722891567"/>
    <s v="Houston"/>
    <s v="French"/>
    <n v="555"/>
    <n v="6823"/>
    <n v="1"/>
    <s v="Foodies"/>
    <x v="261"/>
  </r>
  <r>
    <s v="Alpha Innovations"/>
    <x v="4"/>
    <s v="All Ages"/>
    <s v="30 days"/>
    <x v="5"/>
    <n v="0.14000000000000001"/>
    <n v="18962"/>
    <n v="4.2699999999999996"/>
    <n v="20"/>
    <n v="948.1"/>
    <s v="Houston"/>
    <s v="Spanish"/>
    <n v="143"/>
    <n v="8625"/>
    <n v="1"/>
    <s v="Foodies"/>
    <x v="262"/>
  </r>
  <r>
    <s v="Innovate Industries"/>
    <x v="0"/>
    <s v="Women 25-34"/>
    <s v="30 days"/>
    <x v="5"/>
    <n v="0.15"/>
    <n v="12316"/>
    <n v="5.78"/>
    <n v="39"/>
    <n v="315.79487179487177"/>
    <s v="Houston"/>
    <s v="Spanish"/>
    <n v="258"/>
    <n v="3784"/>
    <n v="1"/>
    <s v="Health &amp; Wellness"/>
    <x v="263"/>
  </r>
  <r>
    <s v="DataTech Solutions"/>
    <x v="4"/>
    <s v="Men 18-24"/>
    <s v="30 days"/>
    <x v="2"/>
    <n v="0.12"/>
    <n v="19232"/>
    <n v="2.14"/>
    <n v="36"/>
    <n v="534.22222222222217"/>
    <s v="New York"/>
    <s v="Spanish"/>
    <n v="297"/>
    <n v="9075"/>
    <n v="2"/>
    <s v="Health &amp; Wellness"/>
    <x v="264"/>
  </r>
  <r>
    <s v="Alpha Innovations"/>
    <x v="2"/>
    <s v="Women 25-34"/>
    <s v="45 days"/>
    <x v="1"/>
    <n v="0.13"/>
    <n v="17489"/>
    <n v="7.63"/>
    <n v="98"/>
    <n v="178.4591836734694"/>
    <s v="Miami"/>
    <s v="French"/>
    <n v="756"/>
    <n v="2706"/>
    <n v="10"/>
    <s v="Tech Enthusiasts"/>
    <x v="265"/>
  </r>
  <r>
    <s v="TechCorp"/>
    <x v="1"/>
    <s v="Women 35-44"/>
    <s v="45 days"/>
    <x v="2"/>
    <n v="0.06"/>
    <n v="13046"/>
    <n v="6.64"/>
    <n v="58"/>
    <n v="224.93103448275863"/>
    <s v="New York"/>
    <s v="English"/>
    <n v="970"/>
    <n v="9164"/>
    <n v="4"/>
    <s v="Tech Enthusiasts"/>
    <x v="266"/>
  </r>
  <r>
    <s v="TechCorp"/>
    <x v="0"/>
    <s v="Women 35-44"/>
    <s v="60 days"/>
    <x v="2"/>
    <n v="0.15"/>
    <n v="18158"/>
    <n v="6.48"/>
    <n v="139"/>
    <n v="130.63309352517985"/>
    <s v="New York"/>
    <s v="Spanish"/>
    <n v="929"/>
    <n v="5332"/>
    <n v="9"/>
    <s v="Outdoor Adventurers"/>
    <x v="267"/>
  </r>
  <r>
    <s v="NexGen Systems"/>
    <x v="1"/>
    <s v="Men 18-24"/>
    <s v="30 days"/>
    <x v="5"/>
    <n v="0.04"/>
    <n v="6947"/>
    <n v="3.22"/>
    <n v="13"/>
    <n v="534.38461538461536"/>
    <s v="Miami"/>
    <s v="German"/>
    <n v="332"/>
    <n v="1593"/>
    <n v="5"/>
    <s v="Fashionistas"/>
    <x v="268"/>
  </r>
  <r>
    <s v="Innovate Industries"/>
    <x v="3"/>
    <s v="Women 35-44"/>
    <s v="30 days"/>
    <x v="0"/>
    <n v="0.12"/>
    <n v="16367"/>
    <n v="5.0999999999999996"/>
    <n v="112"/>
    <n v="146.13392857142858"/>
    <s v="Miami"/>
    <s v="English"/>
    <n v="934"/>
    <n v="2737"/>
    <n v="1"/>
    <s v="Health &amp; Wellness"/>
    <x v="269"/>
  </r>
  <r>
    <s v="Innovate Industries"/>
    <x v="2"/>
    <s v="Men 25-34"/>
    <s v="15 days"/>
    <x v="2"/>
    <n v="0.11"/>
    <n v="9227"/>
    <n v="5.7"/>
    <n v="73"/>
    <n v="126.39726027397261"/>
    <s v="Miami"/>
    <s v="Mandarin"/>
    <n v="668"/>
    <n v="6442"/>
    <n v="9"/>
    <s v="Health &amp; Wellness"/>
    <x v="270"/>
  </r>
  <r>
    <s v="Innovate Industries"/>
    <x v="1"/>
    <s v="Men 25-34"/>
    <s v="30 days"/>
    <x v="5"/>
    <n v="0.06"/>
    <n v="9482"/>
    <n v="2.83"/>
    <n v="38"/>
    <n v="249.52631578947367"/>
    <s v="Miami"/>
    <s v="Mandarin"/>
    <n v="630"/>
    <n v="5040"/>
    <n v="5"/>
    <s v="Fashionistas"/>
    <x v="271"/>
  </r>
  <r>
    <s v="Innovate Industries"/>
    <x v="1"/>
    <s v="All Ages"/>
    <s v="15 days"/>
    <x v="2"/>
    <n v="0.06"/>
    <n v="13623"/>
    <n v="3.84"/>
    <n v="24"/>
    <n v="567.625"/>
    <s v="Chicago"/>
    <s v="English"/>
    <n v="401"/>
    <n v="4925"/>
    <n v="3"/>
    <s v="Fashionistas"/>
    <x v="272"/>
  </r>
  <r>
    <s v="DataTech Solutions"/>
    <x v="0"/>
    <s v="Women 25-34"/>
    <s v="45 days"/>
    <x v="5"/>
    <n v="0.14000000000000001"/>
    <n v="10541"/>
    <n v="6.59"/>
    <n v="93"/>
    <n v="113.34408602150538"/>
    <s v="Los Angeles"/>
    <s v="English"/>
    <n v="666"/>
    <n v="7309"/>
    <n v="6"/>
    <s v="Tech Enthusiasts"/>
    <x v="273"/>
  </r>
  <r>
    <s v="TechCorp"/>
    <x v="4"/>
    <s v="Women 35-44"/>
    <s v="30 days"/>
    <x v="0"/>
    <n v="0.08"/>
    <n v="8802"/>
    <n v="7.01"/>
    <n v="10"/>
    <n v="880.2"/>
    <s v="Los Angeles"/>
    <s v="Mandarin"/>
    <n v="129"/>
    <n v="4063"/>
    <n v="5"/>
    <s v="Fashionistas"/>
    <x v="274"/>
  </r>
  <r>
    <s v="Innovate Industries"/>
    <x v="2"/>
    <s v="Men 18-24"/>
    <s v="45 days"/>
    <x v="1"/>
    <n v="0.03"/>
    <n v="10044"/>
    <n v="4.28"/>
    <n v="28"/>
    <n v="358.71428571428572"/>
    <s v="Los Angeles"/>
    <s v="French"/>
    <n v="933"/>
    <n v="1943"/>
    <n v="1"/>
    <s v="Health &amp; Wellness"/>
    <x v="275"/>
  </r>
  <r>
    <s v="Innovate Industries"/>
    <x v="4"/>
    <s v="All Ages"/>
    <s v="60 days"/>
    <x v="5"/>
    <n v="0.05"/>
    <n v="14956"/>
    <n v="5.83"/>
    <n v="37"/>
    <n v="404.2162162162162"/>
    <s v="Los Angeles"/>
    <s v="French"/>
    <n v="738"/>
    <n v="9186"/>
    <n v="5"/>
    <s v="Foodies"/>
    <x v="276"/>
  </r>
  <r>
    <s v="TechCorp"/>
    <x v="0"/>
    <s v="Women 35-44"/>
    <s v="15 days"/>
    <x v="4"/>
    <n v="0.06"/>
    <n v="9459"/>
    <n v="3.96"/>
    <n v="23"/>
    <n v="411.26086956521738"/>
    <s v="Houston"/>
    <s v="English"/>
    <n v="381"/>
    <n v="6910"/>
    <n v="10"/>
    <s v="Foodies"/>
    <x v="277"/>
  </r>
  <r>
    <s v="TechCorp"/>
    <x v="0"/>
    <s v="Men 18-24"/>
    <s v="60 days"/>
    <x v="2"/>
    <n v="0.02"/>
    <n v="7523"/>
    <n v="5.39"/>
    <n v="15"/>
    <n v="501.53333333333336"/>
    <s v="Houston"/>
    <s v="English"/>
    <n v="743"/>
    <n v="1424"/>
    <n v="9"/>
    <s v="Outdoor Adventurers"/>
    <x v="278"/>
  </r>
  <r>
    <s v="Alpha Innovations"/>
    <x v="1"/>
    <s v="Women 35-44"/>
    <s v="60 days"/>
    <x v="1"/>
    <n v="7.0000000000000007E-2"/>
    <n v="13162"/>
    <n v="7.6"/>
    <n v="36"/>
    <n v="365.61111111111109"/>
    <s v="Chicago"/>
    <s v="Spanish"/>
    <n v="514"/>
    <n v="6596"/>
    <n v="10"/>
    <s v="Fashionistas"/>
    <x v="279"/>
  </r>
  <r>
    <s v="DataTech Solutions"/>
    <x v="3"/>
    <s v="Men 25-34"/>
    <s v="30 days"/>
    <x v="1"/>
    <n v="0.13"/>
    <n v="5578"/>
    <n v="3.11"/>
    <n v="51"/>
    <n v="109.37254901960785"/>
    <s v="Los Angeles"/>
    <s v="Mandarin"/>
    <n v="394"/>
    <n v="7639"/>
    <n v="3"/>
    <s v="Health &amp; Wellness"/>
    <x v="280"/>
  </r>
  <r>
    <s v="DataTech Solutions"/>
    <x v="3"/>
    <s v="All Ages"/>
    <s v="45 days"/>
    <x v="0"/>
    <n v="0.11"/>
    <n v="14226"/>
    <n v="6.91"/>
    <n v="31"/>
    <n v="458.90322580645159"/>
    <s v="Los Angeles"/>
    <s v="French"/>
    <n v="283"/>
    <n v="8984"/>
    <n v="7"/>
    <s v="Health &amp; Wellness"/>
    <x v="281"/>
  </r>
  <r>
    <s v="NexGen Systems"/>
    <x v="0"/>
    <s v="Men 25-34"/>
    <s v="15 days"/>
    <x v="3"/>
    <n v="0.13"/>
    <n v="13584"/>
    <n v="4.82"/>
    <n v="49"/>
    <n v="277.22448979591837"/>
    <s v="Los Angeles"/>
    <s v="Spanish"/>
    <n v="377"/>
    <n v="6871"/>
    <n v="4"/>
    <s v="Fashionistas"/>
    <x v="282"/>
  </r>
  <r>
    <s v="Innovate Industries"/>
    <x v="1"/>
    <s v="All Ages"/>
    <s v="15 days"/>
    <x v="2"/>
    <n v="0.15"/>
    <n v="11706"/>
    <n v="4.3"/>
    <n v="89"/>
    <n v="131.52808988764045"/>
    <s v="Houston"/>
    <s v="English"/>
    <n v="592"/>
    <n v="5338"/>
    <n v="10"/>
    <s v="Fashionistas"/>
    <x v="283"/>
  </r>
  <r>
    <s v="TechCorp"/>
    <x v="2"/>
    <s v="Men 18-24"/>
    <s v="45 days"/>
    <x v="0"/>
    <n v="0.08"/>
    <n v="16441"/>
    <n v="5.37"/>
    <n v="43"/>
    <n v="382.3488372093023"/>
    <s v="New York"/>
    <s v="Spanish"/>
    <n v="535"/>
    <n v="5364"/>
    <n v="1"/>
    <s v="Fashionistas"/>
    <x v="284"/>
  </r>
  <r>
    <s v="Alpha Innovations"/>
    <x v="2"/>
    <s v="Women 25-34"/>
    <s v="30 days"/>
    <x v="1"/>
    <n v="0.06"/>
    <n v="12161"/>
    <n v="3.64"/>
    <n v="7"/>
    <n v="1737.2857142857142"/>
    <s v="New York"/>
    <s v="English"/>
    <n v="122"/>
    <n v="4738"/>
    <n v="7"/>
    <s v="Tech Enthusiasts"/>
    <x v="285"/>
  </r>
  <r>
    <s v="DataTech Solutions"/>
    <x v="2"/>
    <s v="Men 25-34"/>
    <s v="60 days"/>
    <x v="0"/>
    <n v="0.15"/>
    <n v="12421"/>
    <n v="4.6900000000000004"/>
    <n v="50"/>
    <n v="248.42"/>
    <s v="New York"/>
    <s v="Mandarin"/>
    <n v="331"/>
    <n v="4586"/>
    <n v="1"/>
    <s v="Outdoor Adventurers"/>
    <x v="286"/>
  </r>
  <r>
    <s v="NexGen Systems"/>
    <x v="2"/>
    <s v="Women 25-34"/>
    <s v="60 days"/>
    <x v="3"/>
    <n v="0.08"/>
    <n v="11465"/>
    <n v="5.08"/>
    <n v="44"/>
    <n v="260.56818181818181"/>
    <s v="New York"/>
    <s v="Mandarin"/>
    <n v="551"/>
    <n v="7912"/>
    <n v="6"/>
    <s v="Health &amp; Wellness"/>
    <x v="287"/>
  </r>
  <r>
    <s v="DataTech Solutions"/>
    <x v="0"/>
    <s v="Women 35-44"/>
    <s v="30 days"/>
    <x v="5"/>
    <n v="0.11"/>
    <n v="14249"/>
    <n v="2.87"/>
    <n v="28"/>
    <n v="508.89285714285717"/>
    <s v="Miami"/>
    <s v="French"/>
    <n v="251"/>
    <n v="8392"/>
    <n v="3"/>
    <s v="Health &amp; Wellness"/>
    <x v="288"/>
  </r>
  <r>
    <s v="Alpha Innovations"/>
    <x v="2"/>
    <s v="Women 25-34"/>
    <s v="60 days"/>
    <x v="4"/>
    <n v="0.06"/>
    <n v="7323"/>
    <n v="7.17"/>
    <n v="35"/>
    <n v="209.22857142857143"/>
    <s v="Chicago"/>
    <s v="French"/>
    <n v="583"/>
    <n v="9581"/>
    <n v="1"/>
    <s v="Foodies"/>
    <x v="289"/>
  </r>
  <r>
    <s v="NexGen Systems"/>
    <x v="1"/>
    <s v="All Ages"/>
    <s v="15 days"/>
    <x v="3"/>
    <n v="0.08"/>
    <n v="14254"/>
    <n v="7.81"/>
    <n v="59"/>
    <n v="241.59322033898306"/>
    <s v="Miami"/>
    <s v="Spanish"/>
    <n v="733"/>
    <n v="3906"/>
    <n v="4"/>
    <s v="Tech Enthusiasts"/>
    <x v="290"/>
  </r>
  <r>
    <s v="DataTech Solutions"/>
    <x v="1"/>
    <s v="All Ages"/>
    <s v="60 days"/>
    <x v="2"/>
    <n v="0.14000000000000001"/>
    <n v="14683"/>
    <n v="7.36"/>
    <n v="132"/>
    <n v="111.23484848484848"/>
    <s v="Los Angeles"/>
    <s v="French"/>
    <n v="942"/>
    <n v="4268"/>
    <n v="9"/>
    <s v="Outdoor Adventurers"/>
    <x v="291"/>
  </r>
  <r>
    <s v="Innovate Industries"/>
    <x v="4"/>
    <s v="Men 25-34"/>
    <s v="30 days"/>
    <x v="5"/>
    <n v="0.11"/>
    <n v="19595"/>
    <n v="2.2799999999999998"/>
    <n v="93"/>
    <n v="210.69892473118279"/>
    <s v="New York"/>
    <s v="Spanish"/>
    <n v="841"/>
    <n v="4658"/>
    <n v="2"/>
    <s v="Health &amp; Wellness"/>
    <x v="292"/>
  </r>
  <r>
    <s v="NexGen Systems"/>
    <x v="3"/>
    <s v="Women 35-44"/>
    <s v="30 days"/>
    <x v="2"/>
    <n v="0.02"/>
    <n v="5781"/>
    <n v="5.15"/>
    <n v="8"/>
    <n v="722.625"/>
    <s v="Miami"/>
    <s v="French"/>
    <n v="392"/>
    <n v="3707"/>
    <n v="10"/>
    <s v="Outdoor Adventurers"/>
    <x v="293"/>
  </r>
  <r>
    <s v="Alpha Innovations"/>
    <x v="1"/>
    <s v="Men 25-34"/>
    <s v="45 days"/>
    <x v="2"/>
    <n v="0.06"/>
    <n v="16221"/>
    <n v="6.69"/>
    <n v="34"/>
    <n v="477.08823529411762"/>
    <s v="Chicago"/>
    <s v="English"/>
    <n v="562"/>
    <n v="2781"/>
    <n v="6"/>
    <s v="Tech Enthusiasts"/>
    <x v="294"/>
  </r>
  <r>
    <s v="Innovate Industries"/>
    <x v="0"/>
    <s v="All Ages"/>
    <s v="45 days"/>
    <x v="4"/>
    <n v="0.01"/>
    <n v="14861"/>
    <n v="7.6"/>
    <n v="6"/>
    <n v="2476.8333333333335"/>
    <s v="Houston"/>
    <s v="Spanish"/>
    <n v="618"/>
    <n v="6959"/>
    <n v="2"/>
    <s v="Tech Enthusiasts"/>
    <x v="295"/>
  </r>
  <r>
    <s v="Alpha Innovations"/>
    <x v="2"/>
    <s v="Men 18-24"/>
    <s v="30 days"/>
    <x v="4"/>
    <n v="0.05"/>
    <n v="15460"/>
    <n v="6.13"/>
    <n v="36"/>
    <n v="429.44444444444446"/>
    <s v="New York"/>
    <s v="English"/>
    <n v="723"/>
    <n v="4837"/>
    <n v="5"/>
    <s v="Fashionistas"/>
    <x v="296"/>
  </r>
  <r>
    <s v="Innovate Industries"/>
    <x v="4"/>
    <s v="Men 18-24"/>
    <s v="30 days"/>
    <x v="1"/>
    <n v="0.04"/>
    <n v="16473"/>
    <n v="7.99"/>
    <n v="32"/>
    <n v="514.78125"/>
    <s v="New York"/>
    <s v="Mandarin"/>
    <n v="802"/>
    <n v="1308"/>
    <n v="6"/>
    <s v="Fashionistas"/>
    <x v="297"/>
  </r>
  <r>
    <s v="Alpha Innovations"/>
    <x v="4"/>
    <s v="Men 25-34"/>
    <s v="15 days"/>
    <x v="0"/>
    <n v="0.1"/>
    <n v="9895"/>
    <n v="4.54"/>
    <n v="88"/>
    <n v="112.44318181818181"/>
    <s v="Houston"/>
    <s v="German"/>
    <n v="878"/>
    <n v="2424"/>
    <n v="3"/>
    <s v="Fashionistas"/>
    <x v="298"/>
  </r>
  <r>
    <s v="DataTech Solutions"/>
    <x v="3"/>
    <s v="Women 35-44"/>
    <s v="60 days"/>
    <x v="2"/>
    <n v="7.0000000000000007E-2"/>
    <n v="8856"/>
    <n v="2.96"/>
    <n v="37"/>
    <n v="239.35135135135135"/>
    <s v="Los Angeles"/>
    <s v="Spanish"/>
    <n v="532"/>
    <n v="6297"/>
    <n v="4"/>
    <s v="Tech Enthusiasts"/>
    <x v="299"/>
  </r>
  <r>
    <s v="NexGen Systems"/>
    <x v="0"/>
    <s v="Men 18-24"/>
    <s v="60 days"/>
    <x v="1"/>
    <n v="0.02"/>
    <n v="5147"/>
    <n v="6.03"/>
    <n v="9"/>
    <n v="571.88888888888891"/>
    <s v="Houston"/>
    <s v="English"/>
    <n v="444"/>
    <n v="3875"/>
    <n v="8"/>
    <s v="Health &amp; Wellness"/>
    <x v="300"/>
  </r>
  <r>
    <s v="NexGen Systems"/>
    <x v="3"/>
    <s v="Women 35-44"/>
    <s v="60 days"/>
    <x v="1"/>
    <n v="0.12"/>
    <n v="16285"/>
    <n v="4.0599999999999996"/>
    <n v="58"/>
    <n v="280.77586206896552"/>
    <s v="Miami"/>
    <s v="French"/>
    <n v="487"/>
    <n v="3972"/>
    <n v="10"/>
    <s v="Health &amp; Wellness"/>
    <x v="301"/>
  </r>
  <r>
    <s v="NexGen Systems"/>
    <x v="3"/>
    <s v="Men 18-24"/>
    <s v="45 days"/>
    <x v="1"/>
    <n v="0.08"/>
    <n v="6011"/>
    <n v="5.13"/>
    <n v="66"/>
    <n v="91.075757575757578"/>
    <s v="Miami"/>
    <s v="English"/>
    <n v="827"/>
    <n v="2446"/>
    <n v="7"/>
    <s v="Health &amp; Wellness"/>
    <x v="302"/>
  </r>
  <r>
    <s v="Alpha Innovations"/>
    <x v="4"/>
    <s v="All Ages"/>
    <s v="45 days"/>
    <x v="0"/>
    <n v="0.06"/>
    <n v="18071"/>
    <n v="7.14"/>
    <n v="19"/>
    <n v="951.10526315789468"/>
    <s v="New York"/>
    <s v="English"/>
    <n v="309"/>
    <n v="1249"/>
    <n v="2"/>
    <s v="Health &amp; Wellness"/>
    <x v="303"/>
  </r>
  <r>
    <s v="TechCorp"/>
    <x v="1"/>
    <s v="Women 35-44"/>
    <s v="60 days"/>
    <x v="5"/>
    <n v="0.04"/>
    <n v="12426"/>
    <n v="5.58"/>
    <n v="26"/>
    <n v="477.92307692307691"/>
    <s v="Los Angeles"/>
    <s v="German"/>
    <n v="643"/>
    <n v="7454"/>
    <n v="4"/>
    <s v="Tech Enthusiasts"/>
    <x v="304"/>
  </r>
  <r>
    <s v="Alpha Innovations"/>
    <x v="1"/>
    <s v="Men 25-34"/>
    <s v="60 days"/>
    <x v="3"/>
    <n v="0.03"/>
    <n v="10430"/>
    <n v="3.28"/>
    <n v="22"/>
    <n v="474.09090909090907"/>
    <s v="Miami"/>
    <s v="German"/>
    <n v="747"/>
    <n v="7485"/>
    <n v="1"/>
    <s v="Outdoor Adventurers"/>
    <x v="305"/>
  </r>
  <r>
    <s v="Innovate Industries"/>
    <x v="4"/>
    <s v="Men 25-34"/>
    <s v="30 days"/>
    <x v="5"/>
    <n v="0.06"/>
    <n v="15216"/>
    <n v="3.26"/>
    <n v="35"/>
    <n v="434.74285714285713"/>
    <s v="New York"/>
    <s v="French"/>
    <n v="590"/>
    <n v="3225"/>
    <n v="4"/>
    <s v="Outdoor Adventurers"/>
    <x v="306"/>
  </r>
  <r>
    <s v="NexGen Systems"/>
    <x v="0"/>
    <s v="All Ages"/>
    <s v="30 days"/>
    <x v="5"/>
    <n v="0.03"/>
    <n v="15939"/>
    <n v="2.4300000000000002"/>
    <n v="21"/>
    <n v="759"/>
    <s v="Miami"/>
    <s v="Spanish"/>
    <n v="700"/>
    <n v="5268"/>
    <n v="10"/>
    <s v="Foodies"/>
    <x v="307"/>
  </r>
  <r>
    <s v="TechCorp"/>
    <x v="0"/>
    <s v="All Ages"/>
    <s v="60 days"/>
    <x v="0"/>
    <n v="0.06"/>
    <n v="11753"/>
    <n v="3.46"/>
    <n v="30"/>
    <n v="391.76666666666665"/>
    <s v="Chicago"/>
    <s v="Mandarin"/>
    <n v="501"/>
    <n v="9670"/>
    <n v="8"/>
    <s v="Outdoor Adventurers"/>
    <x v="308"/>
  </r>
  <r>
    <s v="DataTech Solutions"/>
    <x v="3"/>
    <s v="Men 25-34"/>
    <s v="60 days"/>
    <x v="1"/>
    <n v="0.14000000000000001"/>
    <n v="19652"/>
    <n v="5.82"/>
    <n v="73"/>
    <n v="269.20547945205482"/>
    <s v="Los Angeles"/>
    <s v="French"/>
    <n v="518"/>
    <n v="1790"/>
    <n v="2"/>
    <s v="Foodies"/>
    <x v="309"/>
  </r>
  <r>
    <s v="Innovate Industries"/>
    <x v="3"/>
    <s v="Women 35-44"/>
    <s v="30 days"/>
    <x v="3"/>
    <n v="0.08"/>
    <n v="12901"/>
    <n v="6.8"/>
    <n v="44"/>
    <n v="293.20454545454544"/>
    <s v="New York"/>
    <s v="German"/>
    <n v="553"/>
    <n v="2549"/>
    <n v="6"/>
    <s v="Health &amp; Wellness"/>
    <x v="310"/>
  </r>
  <r>
    <s v="Innovate Industries"/>
    <x v="0"/>
    <s v="Women 35-44"/>
    <s v="45 days"/>
    <x v="1"/>
    <n v="7.0000000000000007E-2"/>
    <n v="10236"/>
    <n v="7.43"/>
    <n v="53"/>
    <n v="193.1320754716981"/>
    <s v="Miami"/>
    <s v="German"/>
    <n v="763"/>
    <n v="9464"/>
    <n v="1"/>
    <s v="Foodies"/>
    <x v="311"/>
  </r>
  <r>
    <s v="Alpha Innovations"/>
    <x v="0"/>
    <s v="Women 35-44"/>
    <s v="15 days"/>
    <x v="3"/>
    <n v="0.15"/>
    <n v="8298"/>
    <n v="5.65"/>
    <n v="37"/>
    <n v="224.27027027027026"/>
    <s v="New York"/>
    <s v="French"/>
    <n v="249"/>
    <n v="7654"/>
    <n v="8"/>
    <s v="Outdoor Adventurers"/>
    <x v="312"/>
  </r>
  <r>
    <s v="Alpha Innovations"/>
    <x v="1"/>
    <s v="All Ages"/>
    <s v="45 days"/>
    <x v="4"/>
    <n v="7.0000000000000007E-2"/>
    <n v="10791"/>
    <n v="4.66"/>
    <n v="47"/>
    <n v="229.59574468085106"/>
    <s v="Miami"/>
    <s v="Spanish"/>
    <n v="666"/>
    <n v="7543"/>
    <n v="3"/>
    <s v="Tech Enthusiasts"/>
    <x v="313"/>
  </r>
  <r>
    <s v="Innovate Industries"/>
    <x v="0"/>
    <s v="Women 35-44"/>
    <s v="60 days"/>
    <x v="4"/>
    <n v="0.04"/>
    <n v="17716"/>
    <n v="7.56"/>
    <n v="36"/>
    <n v="492.11111111111109"/>
    <s v="Miami"/>
    <s v="Mandarin"/>
    <n v="889"/>
    <n v="6856"/>
    <n v="7"/>
    <s v="Fashionistas"/>
    <x v="314"/>
  </r>
  <r>
    <s v="DataTech Solutions"/>
    <x v="2"/>
    <s v="All Ages"/>
    <s v="30 days"/>
    <x v="1"/>
    <n v="0.13"/>
    <n v="19179"/>
    <n v="3.38"/>
    <n v="34"/>
    <n v="564.08823529411768"/>
    <s v="New York"/>
    <s v="Mandarin"/>
    <n v="264"/>
    <n v="5401"/>
    <n v="10"/>
    <s v="Foodies"/>
    <x v="315"/>
  </r>
  <r>
    <s v="TechCorp"/>
    <x v="4"/>
    <s v="Men 18-24"/>
    <s v="45 days"/>
    <x v="4"/>
    <n v="7.0000000000000007E-2"/>
    <n v="19271"/>
    <n v="7.25"/>
    <n v="34"/>
    <n v="566.79411764705878"/>
    <s v="Houston"/>
    <s v="Spanish"/>
    <n v="483"/>
    <n v="9281"/>
    <n v="1"/>
    <s v="Fashionistas"/>
    <x v="316"/>
  </r>
  <r>
    <s v="Innovate Industries"/>
    <x v="2"/>
    <s v="Women 25-34"/>
    <s v="45 days"/>
    <x v="5"/>
    <n v="0.01"/>
    <n v="14234"/>
    <n v="2.86"/>
    <n v="10"/>
    <n v="1423.4"/>
    <s v="Houston"/>
    <s v="Mandarin"/>
    <n v="981"/>
    <n v="5413"/>
    <n v="5"/>
    <s v="Tech Enthusiasts"/>
    <x v="317"/>
  </r>
  <r>
    <s v="DataTech Solutions"/>
    <x v="0"/>
    <s v="Men 25-34"/>
    <s v="60 days"/>
    <x v="2"/>
    <n v="0.09"/>
    <n v="14247"/>
    <n v="3.5"/>
    <n v="62"/>
    <n v="229.79032258064515"/>
    <s v="Los Angeles"/>
    <s v="German"/>
    <n v="687"/>
    <n v="2934"/>
    <n v="7"/>
    <s v="Health &amp; Wellness"/>
    <x v="318"/>
  </r>
  <r>
    <s v="Innovate Industries"/>
    <x v="4"/>
    <s v="All Ages"/>
    <s v="45 days"/>
    <x v="5"/>
    <n v="0.05"/>
    <n v="6697"/>
    <n v="2.66"/>
    <n v="35"/>
    <n v="191.34285714285716"/>
    <s v="Los Angeles"/>
    <s v="French"/>
    <n v="691"/>
    <n v="5588"/>
    <n v="6"/>
    <s v="Health &amp; Wellness"/>
    <x v="319"/>
  </r>
  <r>
    <s v="Innovate Industries"/>
    <x v="1"/>
    <s v="Men 25-34"/>
    <s v="60 days"/>
    <x v="3"/>
    <n v="0.04"/>
    <n v="15431"/>
    <n v="2.7"/>
    <n v="31"/>
    <n v="497.77419354838707"/>
    <s v="Chicago"/>
    <s v="English"/>
    <n v="783"/>
    <n v="9325"/>
    <n v="4"/>
    <s v="Tech Enthusiasts"/>
    <x v="320"/>
  </r>
  <r>
    <s v="NexGen Systems"/>
    <x v="4"/>
    <s v="Women 35-44"/>
    <s v="45 days"/>
    <x v="5"/>
    <n v="0.03"/>
    <n v="17925"/>
    <n v="5.29"/>
    <n v="24"/>
    <n v="746.875"/>
    <s v="Chicago"/>
    <s v="French"/>
    <n v="808"/>
    <n v="7171"/>
    <n v="3"/>
    <s v="Health &amp; Wellness"/>
    <x v="321"/>
  </r>
  <r>
    <s v="NexGen Systems"/>
    <x v="0"/>
    <s v="Women 35-44"/>
    <s v="30 days"/>
    <x v="4"/>
    <n v="0.13"/>
    <n v="8356"/>
    <n v="4.41"/>
    <n v="36"/>
    <n v="232.11111111111111"/>
    <s v="Houston"/>
    <s v="English"/>
    <n v="276"/>
    <n v="9247"/>
    <n v="8"/>
    <s v="Fashionistas"/>
    <x v="322"/>
  </r>
  <r>
    <s v="DataTech Solutions"/>
    <x v="0"/>
    <s v="Women 35-44"/>
    <s v="15 days"/>
    <x v="4"/>
    <n v="0.14000000000000001"/>
    <n v="8846"/>
    <n v="5.57"/>
    <n v="77"/>
    <n v="114.88311688311688"/>
    <s v="Miami"/>
    <s v="German"/>
    <n v="547"/>
    <n v="3952"/>
    <n v="3"/>
    <s v="Tech Enthusiasts"/>
    <x v="323"/>
  </r>
  <r>
    <s v="TechCorp"/>
    <x v="3"/>
    <s v="Men 18-24"/>
    <s v="15 days"/>
    <x v="5"/>
    <n v="0.12"/>
    <n v="18260"/>
    <n v="6.33"/>
    <n v="80"/>
    <n v="228.25"/>
    <s v="Los Angeles"/>
    <s v="German"/>
    <n v="664"/>
    <n v="4912"/>
    <n v="1"/>
    <s v="Foodies"/>
    <x v="324"/>
  </r>
  <r>
    <s v="TechCorp"/>
    <x v="1"/>
    <s v="Women 25-34"/>
    <s v="15 days"/>
    <x v="3"/>
    <n v="0.08"/>
    <n v="14682"/>
    <n v="5.5"/>
    <n v="74"/>
    <n v="198.40540540540542"/>
    <s v="Miami"/>
    <s v="French"/>
    <n v="930"/>
    <n v="7407"/>
    <n v="8"/>
    <s v="Foodies"/>
    <x v="325"/>
  </r>
  <r>
    <s v="Alpha Innovations"/>
    <x v="4"/>
    <s v="All Ages"/>
    <s v="45 days"/>
    <x v="2"/>
    <n v="0.05"/>
    <n v="5099"/>
    <n v="6.22"/>
    <n v="45"/>
    <n v="113.31111111111112"/>
    <s v="Miami"/>
    <s v="French"/>
    <n v="909"/>
    <n v="5973"/>
    <n v="9"/>
    <s v="Foodies"/>
    <x v="326"/>
  </r>
  <r>
    <s v="Innovate Industries"/>
    <x v="0"/>
    <s v="Men 18-24"/>
    <s v="60 days"/>
    <x v="2"/>
    <n v="0.05"/>
    <n v="19885"/>
    <n v="5.78"/>
    <n v="27"/>
    <n v="736.48148148148152"/>
    <s v="Los Angeles"/>
    <s v="Mandarin"/>
    <n v="532"/>
    <n v="4885"/>
    <n v="8"/>
    <s v="Tech Enthusiasts"/>
    <x v="327"/>
  </r>
  <r>
    <s v="Alpha Innovations"/>
    <x v="3"/>
    <s v="Men 25-34"/>
    <s v="60 days"/>
    <x v="2"/>
    <n v="0.05"/>
    <n v="17276"/>
    <n v="5.49"/>
    <n v="13"/>
    <n v="1328.9230769230769"/>
    <s v="Los Angeles"/>
    <s v="Mandarin"/>
    <n v="257"/>
    <n v="2342"/>
    <n v="7"/>
    <s v="Foodies"/>
    <x v="328"/>
  </r>
  <r>
    <s v="DataTech Solutions"/>
    <x v="2"/>
    <s v="Women 35-44"/>
    <s v="30 days"/>
    <x v="5"/>
    <n v="0.05"/>
    <n v="13868"/>
    <n v="4.13"/>
    <n v="47"/>
    <n v="295.06382978723406"/>
    <s v="Houston"/>
    <s v="English"/>
    <n v="941"/>
    <n v="5491"/>
    <n v="4"/>
    <s v="Foodies"/>
    <x v="329"/>
  </r>
  <r>
    <s v="Alpha Innovations"/>
    <x v="3"/>
    <s v="Women 35-44"/>
    <s v="15 days"/>
    <x v="1"/>
    <n v="0.05"/>
    <n v="15501"/>
    <n v="7.01"/>
    <n v="14"/>
    <n v="1107.2142857142858"/>
    <s v="Houston"/>
    <s v="English"/>
    <n v="285"/>
    <n v="9223"/>
    <n v="2"/>
    <s v="Fashionistas"/>
    <x v="330"/>
  </r>
  <r>
    <s v="TechCorp"/>
    <x v="4"/>
    <s v="All Ages"/>
    <s v="60 days"/>
    <x v="3"/>
    <n v="0.08"/>
    <n v="8582"/>
    <n v="6.55"/>
    <n v="49"/>
    <n v="175.14285714285714"/>
    <s v="Miami"/>
    <s v="French"/>
    <n v="613"/>
    <n v="4114"/>
    <n v="9"/>
    <s v="Health &amp; Wellness"/>
    <x v="331"/>
  </r>
  <r>
    <s v="Innovate Industries"/>
    <x v="0"/>
    <s v="Men 25-34"/>
    <s v="60 days"/>
    <x v="5"/>
    <n v="0.09"/>
    <n v="10667"/>
    <n v="2.04"/>
    <n v="68"/>
    <n v="156.86764705882354"/>
    <s v="Houston"/>
    <s v="German"/>
    <n v="755"/>
    <n v="1852"/>
    <n v="3"/>
    <s v="Outdoor Adventurers"/>
    <x v="332"/>
  </r>
  <r>
    <s v="Alpha Innovations"/>
    <x v="2"/>
    <s v="Women 35-44"/>
    <s v="60 days"/>
    <x v="2"/>
    <n v="0.12"/>
    <n v="6685"/>
    <n v="4.42"/>
    <n v="90"/>
    <n v="74.277777777777771"/>
    <s v="Los Angeles"/>
    <s v="German"/>
    <n v="749"/>
    <n v="6320"/>
    <n v="9"/>
    <s v="Foodies"/>
    <x v="333"/>
  </r>
  <r>
    <s v="Alpha Innovations"/>
    <x v="4"/>
    <s v="Women 25-34"/>
    <s v="60 days"/>
    <x v="4"/>
    <n v="0.11"/>
    <n v="6476"/>
    <n v="4.71"/>
    <n v="30"/>
    <n v="215.86666666666667"/>
    <s v="New York"/>
    <s v="German"/>
    <n v="269"/>
    <n v="8558"/>
    <n v="10"/>
    <s v="Fashionistas"/>
    <x v="334"/>
  </r>
  <r>
    <s v="Innovate Industries"/>
    <x v="4"/>
    <s v="Men 18-24"/>
    <s v="15 days"/>
    <x v="5"/>
    <n v="0.09"/>
    <n v="10890"/>
    <n v="2.8"/>
    <n v="52"/>
    <n v="209.42307692307693"/>
    <s v="Houston"/>
    <s v="Spanish"/>
    <n v="580"/>
    <n v="9837"/>
    <n v="1"/>
    <s v="Foodies"/>
    <x v="335"/>
  </r>
  <r>
    <s v="DataTech Solutions"/>
    <x v="4"/>
    <s v="Women 35-44"/>
    <s v="45 days"/>
    <x v="0"/>
    <n v="0.05"/>
    <n v="7734"/>
    <n v="6.32"/>
    <n v="32"/>
    <n v="241.6875"/>
    <s v="New York"/>
    <s v="English"/>
    <n v="648"/>
    <n v="8821"/>
    <n v="4"/>
    <s v="Outdoor Adventurers"/>
    <x v="336"/>
  </r>
  <r>
    <s v="NexGen Systems"/>
    <x v="3"/>
    <s v="All Ages"/>
    <s v="30 days"/>
    <x v="4"/>
    <n v="0.1"/>
    <n v="9270"/>
    <n v="7.58"/>
    <n v="23"/>
    <n v="403.04347826086956"/>
    <s v="Houston"/>
    <s v="German"/>
    <n v="226"/>
    <n v="1330"/>
    <n v="3"/>
    <s v="Health &amp; Wellness"/>
    <x v="337"/>
  </r>
  <r>
    <s v="DataTech Solutions"/>
    <x v="1"/>
    <s v="Men 25-34"/>
    <s v="45 days"/>
    <x v="3"/>
    <n v="0.15"/>
    <n v="17386"/>
    <n v="2.5"/>
    <n v="24"/>
    <n v="724.41666666666663"/>
    <s v="Miami"/>
    <s v="German"/>
    <n v="160"/>
    <n v="9680"/>
    <n v="3"/>
    <s v="Outdoor Adventurers"/>
    <x v="338"/>
  </r>
  <r>
    <s v="TechCorp"/>
    <x v="0"/>
    <s v="Women 35-44"/>
    <s v="30 days"/>
    <x v="1"/>
    <n v="0.09"/>
    <n v="12779"/>
    <n v="4.83"/>
    <n v="51"/>
    <n v="250.56862745098039"/>
    <s v="Houston"/>
    <s v="English"/>
    <n v="570"/>
    <n v="9685"/>
    <n v="7"/>
    <s v="Health &amp; Wellness"/>
    <x v="339"/>
  </r>
  <r>
    <s v="TechCorp"/>
    <x v="4"/>
    <s v="All Ages"/>
    <s v="45 days"/>
    <x v="4"/>
    <n v="0.11"/>
    <n v="11983"/>
    <n v="5.77"/>
    <n v="80"/>
    <n v="149.78749999999999"/>
    <s v="Miami"/>
    <s v="German"/>
    <n v="729"/>
    <n v="4082"/>
    <n v="7"/>
    <s v="Health &amp; Wellness"/>
    <x v="340"/>
  </r>
  <r>
    <s v="DataTech Solutions"/>
    <x v="4"/>
    <s v="Men 18-24"/>
    <s v="30 days"/>
    <x v="4"/>
    <n v="0.06"/>
    <n v="9194"/>
    <n v="7.52"/>
    <n v="21"/>
    <n v="437.8095238095238"/>
    <s v="Los Angeles"/>
    <s v="Spanish"/>
    <n v="346"/>
    <n v="2000"/>
    <n v="5"/>
    <s v="Fashionistas"/>
    <x v="341"/>
  </r>
  <r>
    <s v="Innovate Industries"/>
    <x v="1"/>
    <s v="Women 35-44"/>
    <s v="45 days"/>
    <x v="3"/>
    <n v="0.12"/>
    <n v="17845"/>
    <n v="7.19"/>
    <n v="116"/>
    <n v="153.83620689655172"/>
    <s v="Chicago"/>
    <s v="Spanish"/>
    <n v="963"/>
    <n v="5404"/>
    <n v="8"/>
    <s v="Tech Enthusiasts"/>
    <x v="342"/>
  </r>
  <r>
    <s v="Innovate Industries"/>
    <x v="2"/>
    <s v="Women 35-44"/>
    <s v="15 days"/>
    <x v="3"/>
    <n v="0.14000000000000001"/>
    <n v="10250"/>
    <n v="5.08"/>
    <n v="74"/>
    <n v="138.51351351351352"/>
    <s v="Chicago"/>
    <s v="German"/>
    <n v="529"/>
    <n v="2270"/>
    <n v="7"/>
    <s v="Foodies"/>
    <x v="343"/>
  </r>
  <r>
    <s v="DataTech Solutions"/>
    <x v="0"/>
    <s v="Women 35-44"/>
    <s v="45 days"/>
    <x v="5"/>
    <n v="0.05"/>
    <n v="5505"/>
    <n v="4.0199999999999996"/>
    <n v="16"/>
    <n v="344.0625"/>
    <s v="Chicago"/>
    <s v="French"/>
    <n v="311"/>
    <n v="2978"/>
    <n v="6"/>
    <s v="Fashionistas"/>
    <x v="344"/>
  </r>
  <r>
    <s v="Alpha Innovations"/>
    <x v="3"/>
    <s v="Men 18-24"/>
    <s v="15 days"/>
    <x v="4"/>
    <n v="0.04"/>
    <n v="18117"/>
    <n v="7.95"/>
    <n v="11"/>
    <n v="1647"/>
    <s v="Los Angeles"/>
    <s v="English"/>
    <n v="269"/>
    <n v="4641"/>
    <n v="5"/>
    <s v="Fashionistas"/>
    <x v="345"/>
  </r>
  <r>
    <s v="Innovate Industries"/>
    <x v="1"/>
    <s v="Men 18-24"/>
    <s v="15 days"/>
    <x v="0"/>
    <n v="0.1"/>
    <n v="9772"/>
    <n v="7.27"/>
    <n v="45"/>
    <n v="217.15555555555557"/>
    <s v="Houston"/>
    <s v="German"/>
    <n v="453"/>
    <n v="7235"/>
    <n v="8"/>
    <s v="Health &amp; Wellness"/>
    <x v="346"/>
  </r>
  <r>
    <s v="Alpha Innovations"/>
    <x v="1"/>
    <s v="Men 18-24"/>
    <s v="15 days"/>
    <x v="0"/>
    <n v="7.0000000000000007E-2"/>
    <n v="8103"/>
    <n v="6.45"/>
    <n v="34"/>
    <n v="238.3235294117647"/>
    <s v="Los Angeles"/>
    <s v="Spanish"/>
    <n v="483"/>
    <n v="4279"/>
    <n v="9"/>
    <s v="Foodies"/>
    <x v="347"/>
  </r>
  <r>
    <s v="DataTech Solutions"/>
    <x v="3"/>
    <s v="Men 25-34"/>
    <s v="60 days"/>
    <x v="3"/>
    <n v="0.1"/>
    <n v="16209"/>
    <n v="6.41"/>
    <n v="96"/>
    <n v="168.84375"/>
    <s v="Houston"/>
    <s v="Mandarin"/>
    <n v="955"/>
    <n v="2099"/>
    <n v="8"/>
    <s v="Fashionistas"/>
    <x v="348"/>
  </r>
  <r>
    <s v="NexGen Systems"/>
    <x v="2"/>
    <s v="All Ages"/>
    <s v="45 days"/>
    <x v="3"/>
    <n v="7.0000000000000007E-2"/>
    <n v="6048"/>
    <n v="2.79"/>
    <n v="46"/>
    <n v="131.47826086956522"/>
    <s v="Los Angeles"/>
    <s v="Mandarin"/>
    <n v="652"/>
    <n v="2886"/>
    <n v="7"/>
    <s v="Outdoor Adventurers"/>
    <x v="349"/>
  </r>
  <r>
    <s v="NexGen Systems"/>
    <x v="4"/>
    <s v="Men 18-24"/>
    <s v="15 days"/>
    <x v="5"/>
    <n v="0.1"/>
    <n v="11119"/>
    <n v="5.57"/>
    <n v="79"/>
    <n v="140.74683544303798"/>
    <s v="Houston"/>
    <s v="French"/>
    <n v="791"/>
    <n v="4693"/>
    <n v="4"/>
    <s v="Outdoor Adventurers"/>
    <x v="350"/>
  </r>
  <r>
    <s v="NexGen Systems"/>
    <x v="0"/>
    <s v="Men 25-34"/>
    <s v="15 days"/>
    <x v="0"/>
    <n v="0.02"/>
    <n v="7658"/>
    <n v="7.41"/>
    <n v="6"/>
    <n v="1276.3333333333333"/>
    <s v="Miami"/>
    <s v="Mandarin"/>
    <n v="312"/>
    <n v="4722"/>
    <n v="2"/>
    <s v="Outdoor Adventurers"/>
    <x v="351"/>
  </r>
  <r>
    <s v="Innovate Industries"/>
    <x v="4"/>
    <s v="Women 25-34"/>
    <s v="45 days"/>
    <x v="0"/>
    <n v="0.14000000000000001"/>
    <n v="15094"/>
    <n v="6.37"/>
    <n v="63"/>
    <n v="239.5873015873016"/>
    <s v="Miami"/>
    <s v="Spanish"/>
    <n v="447"/>
    <n v="3290"/>
    <n v="6"/>
    <s v="Health &amp; Wellness"/>
    <x v="352"/>
  </r>
  <r>
    <s v="Innovate Industries"/>
    <x v="4"/>
    <s v="Women 35-44"/>
    <s v="30 days"/>
    <x v="4"/>
    <n v="0.1"/>
    <n v="14844"/>
    <n v="6.31"/>
    <n v="56"/>
    <n v="265.07142857142856"/>
    <s v="Houston"/>
    <s v="Mandarin"/>
    <n v="561"/>
    <n v="6112"/>
    <n v="4"/>
    <s v="Health &amp; Wellness"/>
    <x v="353"/>
  </r>
  <r>
    <s v="TechCorp"/>
    <x v="1"/>
    <s v="Women 35-44"/>
    <s v="30 days"/>
    <x v="0"/>
    <n v="0.09"/>
    <n v="6035"/>
    <n v="7.3"/>
    <n v="66"/>
    <n v="91.439393939393938"/>
    <s v="Houston"/>
    <s v="Mandarin"/>
    <n v="731"/>
    <n v="7534"/>
    <n v="2"/>
    <s v="Fashionistas"/>
    <x v="354"/>
  </r>
  <r>
    <s v="NexGen Systems"/>
    <x v="4"/>
    <s v="Men 25-34"/>
    <s v="30 days"/>
    <x v="1"/>
    <n v="0.05"/>
    <n v="12927"/>
    <n v="7.19"/>
    <n v="36"/>
    <n v="359.08333333333331"/>
    <s v="Los Angeles"/>
    <s v="German"/>
    <n v="717"/>
    <n v="9926"/>
    <n v="5"/>
    <s v="Fashionistas"/>
    <x v="355"/>
  </r>
  <r>
    <s v="Innovate Industries"/>
    <x v="1"/>
    <s v="Women 35-44"/>
    <s v="15 days"/>
    <x v="1"/>
    <n v="0.06"/>
    <n v="14991"/>
    <n v="2.21"/>
    <n v="57"/>
    <n v="263"/>
    <s v="Los Angeles"/>
    <s v="French"/>
    <n v="957"/>
    <n v="8110"/>
    <n v="3"/>
    <s v="Outdoor Adventurers"/>
    <x v="356"/>
  </r>
  <r>
    <s v="NexGen Systems"/>
    <x v="2"/>
    <s v="Men 18-24"/>
    <s v="15 days"/>
    <x v="5"/>
    <n v="0.05"/>
    <n v="7529"/>
    <n v="5.15"/>
    <n v="42"/>
    <n v="179.26190476190476"/>
    <s v="New York"/>
    <s v="French"/>
    <n v="846"/>
    <n v="9779"/>
    <n v="8"/>
    <s v="Outdoor Adventurers"/>
    <x v="357"/>
  </r>
  <r>
    <s v="DataTech Solutions"/>
    <x v="1"/>
    <s v="Men 25-34"/>
    <s v="15 days"/>
    <x v="3"/>
    <n v="0.11"/>
    <n v="13298"/>
    <n v="6.12"/>
    <n v="40"/>
    <n v="332.45"/>
    <s v="Chicago"/>
    <s v="Mandarin"/>
    <n v="367"/>
    <n v="5787"/>
    <n v="9"/>
    <s v="Fashionistas"/>
    <x v="358"/>
  </r>
  <r>
    <s v="TechCorp"/>
    <x v="0"/>
    <s v="Women 35-44"/>
    <s v="60 days"/>
    <x v="0"/>
    <n v="0.11"/>
    <n v="13093"/>
    <n v="5.73"/>
    <n v="71"/>
    <n v="184.40845070422534"/>
    <s v="Houston"/>
    <s v="French"/>
    <n v="647"/>
    <n v="2020"/>
    <n v="10"/>
    <s v="Tech Enthusiasts"/>
    <x v="359"/>
  </r>
  <r>
    <s v="TechCorp"/>
    <x v="4"/>
    <s v="Women 25-34"/>
    <s v="30 days"/>
    <x v="0"/>
    <n v="0.1"/>
    <n v="16849"/>
    <n v="3.43"/>
    <n v="93"/>
    <n v="181.1720430107527"/>
    <s v="Chicago"/>
    <s v="Spanish"/>
    <n v="930"/>
    <n v="6515"/>
    <n v="3"/>
    <s v="Foodies"/>
    <x v="360"/>
  </r>
  <r>
    <s v="NexGen Systems"/>
    <x v="0"/>
    <s v="Women 35-44"/>
    <s v="45 days"/>
    <x v="4"/>
    <n v="0.13"/>
    <n v="19904"/>
    <n v="2.0099999999999998"/>
    <n v="129"/>
    <n v="154.29457364341084"/>
    <s v="Chicago"/>
    <s v="Spanish"/>
    <n v="993"/>
    <n v="4542"/>
    <n v="8"/>
    <s v="Tech Enthusiasts"/>
    <x v="361"/>
  </r>
  <r>
    <s v="NexGen Systems"/>
    <x v="0"/>
    <s v="Men 18-24"/>
    <s v="45 days"/>
    <x v="1"/>
    <n v="0.02"/>
    <n v="17321"/>
    <n v="4.55"/>
    <n v="3"/>
    <n v="5773.666666666667"/>
    <s v="Miami"/>
    <s v="German"/>
    <n v="149"/>
    <n v="6982"/>
    <n v="8"/>
    <s v="Outdoor Adventurers"/>
    <x v="362"/>
  </r>
  <r>
    <s v="NexGen Systems"/>
    <x v="2"/>
    <s v="All Ages"/>
    <s v="30 days"/>
    <x v="5"/>
    <n v="0.02"/>
    <n v="10548"/>
    <n v="7.58"/>
    <n v="10"/>
    <n v="1054.8"/>
    <s v="Houston"/>
    <s v="Mandarin"/>
    <n v="480"/>
    <n v="4349"/>
    <n v="3"/>
    <s v="Tech Enthusiasts"/>
    <x v="363"/>
  </r>
  <r>
    <s v="DataTech Solutions"/>
    <x v="3"/>
    <s v="Women 25-34"/>
    <s v="15 days"/>
    <x v="3"/>
    <n v="0.04"/>
    <n v="17662"/>
    <n v="7.68"/>
    <n v="7"/>
    <n v="2523.1428571428573"/>
    <s v="New York"/>
    <s v="Mandarin"/>
    <n v="180"/>
    <n v="4025"/>
    <n v="2"/>
    <s v="Health &amp; Wellness"/>
    <x v="364"/>
  </r>
  <r>
    <s v="TechCorp"/>
    <x v="4"/>
    <s v="Men 18-24"/>
    <s v="15 days"/>
    <x v="4"/>
    <n v="0.1"/>
    <n v="18527"/>
    <n v="7.76"/>
    <n v="82"/>
    <n v="225.9390243902439"/>
    <s v="New York"/>
    <s v="French"/>
    <n v="815"/>
    <n v="5938"/>
    <n v="8"/>
    <s v="Health &amp; Wellness"/>
    <x v="0"/>
  </r>
  <r>
    <s v="Alpha Innovations"/>
    <x v="4"/>
    <s v="Women 25-34"/>
    <s v="45 days"/>
    <x v="1"/>
    <n v="0.02"/>
    <n v="13485"/>
    <n v="6.56"/>
    <n v="8"/>
    <n v="1685.625"/>
    <s v="Miami"/>
    <s v="French"/>
    <n v="395"/>
    <n v="8497"/>
    <n v="4"/>
    <s v="Outdoor Adventurers"/>
    <x v="1"/>
  </r>
  <r>
    <s v="DataTech Solutions"/>
    <x v="2"/>
    <s v="Women 35-44"/>
    <s v="60 days"/>
    <x v="0"/>
    <n v="0.06"/>
    <n v="9282"/>
    <n v="2.2400000000000002"/>
    <n v="25"/>
    <n v="371.28"/>
    <s v="Miami"/>
    <s v="French"/>
    <n v="423"/>
    <n v="9130"/>
    <n v="1"/>
    <s v="Health &amp; Wellness"/>
    <x v="2"/>
  </r>
  <r>
    <s v="NexGen Systems"/>
    <x v="2"/>
    <s v="Men 25-34"/>
    <s v="15 days"/>
    <x v="3"/>
    <n v="7.0000000000000007E-2"/>
    <n v="14860"/>
    <n v="4.7"/>
    <n v="33"/>
    <n v="450.30303030303031"/>
    <s v="Miami"/>
    <s v="French"/>
    <n v="469"/>
    <n v="5607"/>
    <n v="8"/>
    <s v="Outdoor Adventurers"/>
    <x v="3"/>
  </r>
  <r>
    <s v="TechCorp"/>
    <x v="4"/>
    <s v="Men 25-34"/>
    <s v="30 days"/>
    <x v="2"/>
    <n v="0.15"/>
    <n v="10387"/>
    <n v="7.11"/>
    <n v="62"/>
    <n v="167.53225806451613"/>
    <s v="Houston"/>
    <s v="Spanish"/>
    <n v="410"/>
    <n v="7663"/>
    <n v="6"/>
    <s v="Outdoor Adventurers"/>
    <x v="4"/>
  </r>
  <r>
    <s v="TechCorp"/>
    <x v="1"/>
    <s v="Men 18-24"/>
    <s v="15 days"/>
    <x v="1"/>
    <n v="0.08"/>
    <n v="5006"/>
    <n v="4.47"/>
    <n v="66"/>
    <n v="75.848484848484844"/>
    <s v="Los Angeles"/>
    <s v="Spanish"/>
    <n v="820"/>
    <n v="3136"/>
    <n v="6"/>
    <s v="Foodies"/>
    <x v="5"/>
  </r>
  <r>
    <s v="NexGen Systems"/>
    <x v="0"/>
    <s v="Women 25-34"/>
    <s v="30 days"/>
    <x v="1"/>
    <n v="0.06"/>
    <n v="14080"/>
    <n v="3.98"/>
    <n v="8"/>
    <n v="1760"/>
    <s v="New York"/>
    <s v="German"/>
    <n v="134"/>
    <n v="1298"/>
    <n v="7"/>
    <s v="Tech Enthusiasts"/>
    <x v="6"/>
  </r>
  <r>
    <s v="DataTech Solutions"/>
    <x v="1"/>
    <s v="Women 35-44"/>
    <s v="30 days"/>
    <x v="1"/>
    <n v="0.05"/>
    <n v="10310"/>
    <n v="7.51"/>
    <n v="12"/>
    <n v="859.16666666666663"/>
    <s v="Miami"/>
    <s v="French"/>
    <n v="244"/>
    <n v="4126"/>
    <n v="8"/>
    <s v="Fashionistas"/>
    <x v="7"/>
  </r>
  <r>
    <s v="Innovate Industries"/>
    <x v="1"/>
    <s v="Women 25-34"/>
    <s v="45 days"/>
    <x v="3"/>
    <n v="0.02"/>
    <n v="13977"/>
    <n v="4.63"/>
    <n v="19"/>
    <n v="735.63157894736844"/>
    <s v="Los Angeles"/>
    <s v="English"/>
    <n v="926"/>
    <n v="9502"/>
    <n v="8"/>
    <s v="Tech Enthusiasts"/>
    <x v="8"/>
  </r>
  <r>
    <s v="Innovate Industries"/>
    <x v="3"/>
    <s v="All Ages"/>
    <s v="15 days"/>
    <x v="3"/>
    <n v="0.04"/>
    <n v="11576"/>
    <n v="5.08"/>
    <n v="38"/>
    <n v="304.63157894736844"/>
    <s v="Houston"/>
    <s v="German"/>
    <n v="939"/>
    <n v="8641"/>
    <n v="3"/>
    <s v="Fashionistas"/>
    <x v="9"/>
  </r>
  <r>
    <s v="Alpha Innovations"/>
    <x v="0"/>
    <s v="Men 25-34"/>
    <s v="45 days"/>
    <x v="5"/>
    <n v="0.04"/>
    <n v="15475"/>
    <n v="2.2799999999999998"/>
    <n v="17"/>
    <n v="910.29411764705878"/>
    <s v="Los Angeles"/>
    <s v="Mandarin"/>
    <n v="417"/>
    <n v="7944"/>
    <n v="8"/>
    <s v="Outdoor Adventurers"/>
    <x v="10"/>
  </r>
  <r>
    <s v="TechCorp"/>
    <x v="3"/>
    <s v="Women 35-44"/>
    <s v="45 days"/>
    <x v="4"/>
    <n v="0.03"/>
    <n v="12236"/>
    <n v="2.89"/>
    <n v="25"/>
    <n v="489.44"/>
    <s v="Los Angeles"/>
    <s v="Mandarin"/>
    <n v="842"/>
    <n v="1803"/>
    <n v="4"/>
    <s v="Foodies"/>
    <x v="11"/>
  </r>
  <r>
    <s v="NexGen Systems"/>
    <x v="4"/>
    <s v="Men 25-34"/>
    <s v="30 days"/>
    <x v="1"/>
    <n v="0.14000000000000001"/>
    <n v="17160"/>
    <n v="3.38"/>
    <n v="57"/>
    <n v="301.05263157894734"/>
    <s v="Chicago"/>
    <s v="English"/>
    <n v="408"/>
    <n v="4284"/>
    <n v="5"/>
    <s v="Outdoor Adventurers"/>
    <x v="12"/>
  </r>
  <r>
    <s v="TechCorp"/>
    <x v="4"/>
    <s v="Men 25-34"/>
    <s v="15 days"/>
    <x v="0"/>
    <n v="7.0000000000000007E-2"/>
    <n v="15939"/>
    <n v="5.41"/>
    <n v="40"/>
    <n v="398.47500000000002"/>
    <s v="New York"/>
    <s v="English"/>
    <n v="575"/>
    <n v="8676"/>
    <n v="9"/>
    <s v="Health &amp; Wellness"/>
    <x v="13"/>
  </r>
  <r>
    <s v="NexGen Systems"/>
    <x v="4"/>
    <s v="Men 18-24"/>
    <s v="60 days"/>
    <x v="3"/>
    <n v="0.05"/>
    <n v="18489"/>
    <n v="3.9"/>
    <n v="40"/>
    <n v="462.22500000000002"/>
    <s v="Chicago"/>
    <s v="Mandarin"/>
    <n v="809"/>
    <n v="3875"/>
    <n v="1"/>
    <s v="Health &amp; Wellness"/>
    <x v="14"/>
  </r>
  <r>
    <s v="Alpha Innovations"/>
    <x v="0"/>
    <s v="Men 25-34"/>
    <s v="30 days"/>
    <x v="2"/>
    <n v="0.03"/>
    <n v="6795"/>
    <n v="5.81"/>
    <n v="23"/>
    <n v="295.43478260869563"/>
    <s v="Los Angeles"/>
    <s v="German"/>
    <n v="769"/>
    <n v="2493"/>
    <n v="9"/>
    <s v="Tech Enthusiasts"/>
    <x v="15"/>
  </r>
  <r>
    <s v="TechCorp"/>
    <x v="2"/>
    <s v="All Ages"/>
    <s v="15 days"/>
    <x v="0"/>
    <n v="0.1"/>
    <n v="12518"/>
    <n v="4.51"/>
    <n v="12"/>
    <n v="1043.1666666666667"/>
    <s v="Miami"/>
    <s v="English"/>
    <n v="124"/>
    <n v="1642"/>
    <n v="9"/>
    <s v="Foodies"/>
    <x v="16"/>
  </r>
  <r>
    <s v="Alpha Innovations"/>
    <x v="1"/>
    <s v="Men 18-24"/>
    <s v="15 days"/>
    <x v="5"/>
    <n v="0.11"/>
    <n v="9207"/>
    <n v="7.47"/>
    <n v="54"/>
    <n v="170.5"/>
    <s v="Chicago"/>
    <s v="English"/>
    <n v="495"/>
    <n v="3868"/>
    <n v="4"/>
    <s v="Fashionistas"/>
    <x v="17"/>
  </r>
  <r>
    <s v="NexGen Systems"/>
    <x v="2"/>
    <s v="Men 18-24"/>
    <s v="45 days"/>
    <x v="1"/>
    <n v="0.04"/>
    <n v="11530"/>
    <n v="2.5"/>
    <n v="20"/>
    <n v="576.5"/>
    <s v="Houston"/>
    <s v="French"/>
    <n v="503"/>
    <n v="4030"/>
    <n v="2"/>
    <s v="Health &amp; Wellness"/>
    <x v="18"/>
  </r>
  <r>
    <s v="TechCorp"/>
    <x v="1"/>
    <s v="Women 35-44"/>
    <s v="30 days"/>
    <x v="2"/>
    <n v="0.14000000000000001"/>
    <n v="16309"/>
    <n v="3.37"/>
    <n v="30"/>
    <n v="543.63333333333333"/>
    <s v="New York"/>
    <s v="Mandarin"/>
    <n v="211"/>
    <n v="4471"/>
    <n v="10"/>
    <s v="Fashionistas"/>
    <x v="19"/>
  </r>
  <r>
    <s v="TechCorp"/>
    <x v="3"/>
    <s v="Women 25-34"/>
    <s v="30 days"/>
    <x v="0"/>
    <n v="0.06"/>
    <n v="7235"/>
    <n v="6.57"/>
    <n v="15"/>
    <n v="482.33333333333331"/>
    <s v="Houston"/>
    <s v="English"/>
    <n v="254"/>
    <n v="5024"/>
    <n v="4"/>
    <s v="Health &amp; Wellness"/>
    <x v="20"/>
  </r>
  <r>
    <s v="TechCorp"/>
    <x v="0"/>
    <s v="Women 35-44"/>
    <s v="45 days"/>
    <x v="3"/>
    <n v="0.11"/>
    <n v="5485"/>
    <n v="7.99"/>
    <n v="19"/>
    <n v="288.68421052631578"/>
    <s v="Chicago"/>
    <s v="Mandarin"/>
    <n v="176"/>
    <n v="4114"/>
    <n v="7"/>
    <s v="Fashionistas"/>
    <x v="21"/>
  </r>
  <r>
    <s v="DataTech Solutions"/>
    <x v="3"/>
    <s v="Women 25-34"/>
    <s v="60 days"/>
    <x v="5"/>
    <n v="0.06"/>
    <n v="14489"/>
    <n v="5.84"/>
    <n v="34"/>
    <n v="426.14705882352939"/>
    <s v="New York"/>
    <s v="English"/>
    <n v="560"/>
    <n v="9144"/>
    <n v="4"/>
    <s v="Fashionistas"/>
    <x v="22"/>
  </r>
  <r>
    <s v="TechCorp"/>
    <x v="0"/>
    <s v="Men 18-24"/>
    <s v="45 days"/>
    <x v="1"/>
    <n v="0.11"/>
    <n v="7372"/>
    <n v="2.94"/>
    <n v="47"/>
    <n v="156.85106382978722"/>
    <s v="Los Angeles"/>
    <s v="French"/>
    <n v="429"/>
    <n v="3677"/>
    <n v="2"/>
    <s v="Tech Enthusiasts"/>
    <x v="23"/>
  </r>
  <r>
    <s v="NexGen Systems"/>
    <x v="2"/>
    <s v="Women 35-44"/>
    <s v="60 days"/>
    <x v="0"/>
    <n v="0.06"/>
    <n v="10946"/>
    <n v="2.62"/>
    <n v="52"/>
    <n v="210.5"/>
    <s v="Chicago"/>
    <s v="French"/>
    <n v="862"/>
    <n v="4133"/>
    <n v="10"/>
    <s v="Fashionistas"/>
    <x v="24"/>
  </r>
  <r>
    <s v="TechCorp"/>
    <x v="4"/>
    <s v="Women 25-34"/>
    <s v="60 days"/>
    <x v="2"/>
    <n v="0.03"/>
    <n v="9353"/>
    <n v="4.68"/>
    <n v="4"/>
    <n v="2338.25"/>
    <s v="Houston"/>
    <s v="German"/>
    <n v="125"/>
    <n v="4564"/>
    <n v="7"/>
    <s v="Tech Enthusiasts"/>
    <x v="25"/>
  </r>
  <r>
    <s v="Innovate Industries"/>
    <x v="0"/>
    <s v="Women 25-34"/>
    <s v="15 days"/>
    <x v="3"/>
    <n v="7.0000000000000007E-2"/>
    <n v="5494"/>
    <n v="3.29"/>
    <n v="63"/>
    <n v="87.206349206349202"/>
    <s v="Miami"/>
    <s v="Mandarin"/>
    <n v="900"/>
    <n v="6833"/>
    <n v="1"/>
    <s v="Tech Enthusiasts"/>
    <x v="26"/>
  </r>
  <r>
    <s v="NexGen Systems"/>
    <x v="4"/>
    <s v="Men 18-24"/>
    <s v="45 days"/>
    <x v="0"/>
    <n v="0.15"/>
    <n v="10698"/>
    <n v="5.3"/>
    <n v="56"/>
    <n v="191.03571428571428"/>
    <s v="Chicago"/>
    <s v="French"/>
    <n v="374"/>
    <n v="5808"/>
    <n v="7"/>
    <s v="Foodies"/>
    <x v="27"/>
  </r>
  <r>
    <s v="DataTech Solutions"/>
    <x v="4"/>
    <s v="Women 35-44"/>
    <s v="45 days"/>
    <x v="5"/>
    <n v="0.14000000000000001"/>
    <n v="5482"/>
    <n v="7.78"/>
    <n v="59"/>
    <n v="92.915254237288138"/>
    <s v="Los Angeles"/>
    <s v="Mandarin"/>
    <n v="418"/>
    <n v="8584"/>
    <n v="7"/>
    <s v="Tech Enthusiasts"/>
    <x v="28"/>
  </r>
  <r>
    <s v="NexGen Systems"/>
    <x v="1"/>
    <s v="Women 35-44"/>
    <s v="15 days"/>
    <x v="2"/>
    <n v="0.01"/>
    <n v="16711"/>
    <n v="6.69"/>
    <n v="2"/>
    <n v="8355.5"/>
    <s v="Chicago"/>
    <s v="English"/>
    <n v="183"/>
    <n v="7405"/>
    <n v="2"/>
    <s v="Fashionistas"/>
    <x v="29"/>
  </r>
  <r>
    <s v="Innovate Industries"/>
    <x v="3"/>
    <s v="Men 25-34"/>
    <s v="45 days"/>
    <x v="2"/>
    <n v="0.15"/>
    <n v="6052"/>
    <n v="2.83"/>
    <n v="80"/>
    <n v="75.650000000000006"/>
    <s v="New York"/>
    <s v="French"/>
    <n v="536"/>
    <n v="8200"/>
    <n v="1"/>
    <s v="Outdoor Adventurers"/>
    <x v="30"/>
  </r>
  <r>
    <s v="Alpha Innovations"/>
    <x v="1"/>
    <s v="Men 25-34"/>
    <s v="30 days"/>
    <x v="1"/>
    <n v="0.02"/>
    <n v="6068"/>
    <n v="7.29"/>
    <n v="3"/>
    <n v="2022.6666666666667"/>
    <s v="Chicago"/>
    <s v="Spanish"/>
    <n v="146"/>
    <n v="9271"/>
    <n v="5"/>
    <s v="Outdoor Adventurers"/>
    <x v="31"/>
  </r>
  <r>
    <s v="TechCorp"/>
    <x v="3"/>
    <s v="Women 25-34"/>
    <s v="45 days"/>
    <x v="4"/>
    <n v="0.12"/>
    <n v="10764"/>
    <n v="7.14"/>
    <n v="112"/>
    <n v="96.107142857142861"/>
    <s v="Chicago"/>
    <s v="Spanish"/>
    <n v="932"/>
    <n v="3918"/>
    <n v="8"/>
    <s v="Outdoor Adventurers"/>
    <x v="32"/>
  </r>
  <r>
    <s v="Innovate Industries"/>
    <x v="4"/>
    <s v="Women 35-44"/>
    <s v="30 days"/>
    <x v="5"/>
    <n v="0.03"/>
    <n v="9513"/>
    <n v="5.73"/>
    <n v="26"/>
    <n v="365.88461538461536"/>
    <s v="Los Angeles"/>
    <s v="Mandarin"/>
    <n v="850"/>
    <n v="7166"/>
    <n v="2"/>
    <s v="Tech Enthusiasts"/>
    <x v="33"/>
  </r>
  <r>
    <s v="Innovate Industries"/>
    <x v="3"/>
    <s v="All Ages"/>
    <s v="30 days"/>
    <x v="3"/>
    <n v="0.08"/>
    <n v="13277"/>
    <n v="5.14"/>
    <n v="70"/>
    <n v="189.67142857142858"/>
    <s v="New York"/>
    <s v="English"/>
    <n v="870"/>
    <n v="9951"/>
    <n v="6"/>
    <s v="Outdoor Adventurers"/>
    <x v="34"/>
  </r>
  <r>
    <s v="NexGen Systems"/>
    <x v="1"/>
    <s v="Women 35-44"/>
    <s v="15 days"/>
    <x v="2"/>
    <n v="0.02"/>
    <n v="15860"/>
    <n v="3.97"/>
    <n v="8"/>
    <n v="1982.5"/>
    <s v="Houston"/>
    <s v="English"/>
    <n v="392"/>
    <n v="3291"/>
    <n v="3"/>
    <s v="Tech Enthusiasts"/>
    <x v="35"/>
  </r>
  <r>
    <s v="TechCorp"/>
    <x v="0"/>
    <s v="Men 25-34"/>
    <s v="60 days"/>
    <x v="1"/>
    <n v="0.06"/>
    <n v="14698"/>
    <n v="5.48"/>
    <n v="46"/>
    <n v="319.52173913043481"/>
    <s v="Miami"/>
    <s v="English"/>
    <n v="768"/>
    <n v="7322"/>
    <n v="7"/>
    <s v="Health &amp; Wellness"/>
    <x v="36"/>
  </r>
  <r>
    <s v="Innovate Industries"/>
    <x v="0"/>
    <s v="Women 35-44"/>
    <s v="15 days"/>
    <x v="1"/>
    <n v="0.12"/>
    <n v="9273"/>
    <n v="7.27"/>
    <n v="22"/>
    <n v="421.5"/>
    <s v="Chicago"/>
    <s v="French"/>
    <n v="187"/>
    <n v="6929"/>
    <n v="3"/>
    <s v="Fashionistas"/>
    <x v="37"/>
  </r>
  <r>
    <s v="Innovate Industries"/>
    <x v="2"/>
    <s v="All Ages"/>
    <s v="60 days"/>
    <x v="2"/>
    <n v="0.06"/>
    <n v="19151"/>
    <n v="6.61"/>
    <n v="40"/>
    <n v="478.77499999999998"/>
    <s v="New York"/>
    <s v="French"/>
    <n v="664"/>
    <n v="2453"/>
    <n v="8"/>
    <s v="Foodies"/>
    <x v="38"/>
  </r>
  <r>
    <s v="Alpha Innovations"/>
    <x v="2"/>
    <s v="Men 18-24"/>
    <s v="60 days"/>
    <x v="2"/>
    <n v="0.05"/>
    <n v="15941"/>
    <n v="6.98"/>
    <n v="24"/>
    <n v="664.20833333333337"/>
    <s v="Los Angeles"/>
    <s v="English"/>
    <n v="477"/>
    <n v="9223"/>
    <n v="10"/>
    <s v="Tech Enthusiasts"/>
    <x v="39"/>
  </r>
  <r>
    <s v="DataTech Solutions"/>
    <x v="3"/>
    <s v="Men 18-24"/>
    <s v="60 days"/>
    <x v="1"/>
    <n v="0.1"/>
    <n v="17064"/>
    <n v="3.85"/>
    <n v="33"/>
    <n v="517.09090909090912"/>
    <s v="Los Angeles"/>
    <s v="French"/>
    <n v="328"/>
    <n v="3100"/>
    <n v="5"/>
    <s v="Outdoor Adventurers"/>
    <x v="40"/>
  </r>
  <r>
    <s v="DataTech Solutions"/>
    <x v="4"/>
    <s v="Men 25-34"/>
    <s v="60 days"/>
    <x v="1"/>
    <n v="0.05"/>
    <n v="10900"/>
    <n v="6.22"/>
    <n v="41"/>
    <n v="265.85365853658539"/>
    <s v="Houston"/>
    <s v="English"/>
    <n v="820"/>
    <n v="2253"/>
    <n v="4"/>
    <s v="Outdoor Adventurers"/>
    <x v="41"/>
  </r>
  <r>
    <s v="Innovate Industries"/>
    <x v="1"/>
    <s v="Women 35-44"/>
    <s v="60 days"/>
    <x v="5"/>
    <n v="0.02"/>
    <n v="13103"/>
    <n v="7.89"/>
    <n v="7"/>
    <n v="1871.8571428571429"/>
    <s v="Los Angeles"/>
    <s v="German"/>
    <n v="337"/>
    <n v="9562"/>
    <n v="3"/>
    <s v="Foodies"/>
    <x v="42"/>
  </r>
  <r>
    <s v="TechCorp"/>
    <x v="3"/>
    <s v="Men 18-24"/>
    <s v="15 days"/>
    <x v="2"/>
    <n v="0.09"/>
    <n v="15599"/>
    <n v="7.32"/>
    <n v="77"/>
    <n v="202.58441558441558"/>
    <s v="Houston"/>
    <s v="Mandarin"/>
    <n v="854"/>
    <n v="4519"/>
    <n v="3"/>
    <s v="Health &amp; Wellness"/>
    <x v="43"/>
  </r>
  <r>
    <s v="DataTech Solutions"/>
    <x v="0"/>
    <s v="Men 18-24"/>
    <s v="45 days"/>
    <x v="0"/>
    <n v="0.02"/>
    <n v="12317"/>
    <n v="4.79"/>
    <n v="5"/>
    <n v="2463.4"/>
    <s v="Houston"/>
    <s v="Mandarin"/>
    <n v="262"/>
    <n v="9837"/>
    <n v="4"/>
    <s v="Outdoor Adventurers"/>
    <x v="44"/>
  </r>
  <r>
    <s v="NexGen Systems"/>
    <x v="0"/>
    <s v="Men 18-24"/>
    <s v="15 days"/>
    <x v="5"/>
    <n v="0.04"/>
    <n v="6715"/>
    <n v="5.23"/>
    <n v="19"/>
    <n v="353.42105263157896"/>
    <s v="Miami"/>
    <s v="German"/>
    <n v="485"/>
    <n v="1104"/>
    <n v="5"/>
    <s v="Fashionistas"/>
    <x v="45"/>
  </r>
  <r>
    <s v="NexGen Systems"/>
    <x v="4"/>
    <s v="Women 25-34"/>
    <s v="45 days"/>
    <x v="4"/>
    <n v="0.11"/>
    <n v="9732"/>
    <n v="7.29"/>
    <n v="49"/>
    <n v="198.61224489795919"/>
    <s v="New York"/>
    <s v="French"/>
    <n v="443"/>
    <n v="1790"/>
    <n v="7"/>
    <s v="Outdoor Adventurers"/>
    <x v="46"/>
  </r>
  <r>
    <s v="TechCorp"/>
    <x v="4"/>
    <s v="Men 18-24"/>
    <s v="30 days"/>
    <x v="0"/>
    <n v="0.1"/>
    <n v="12588"/>
    <n v="7.96"/>
    <n v="44"/>
    <n v="286.09090909090907"/>
    <s v="Houston"/>
    <s v="German"/>
    <n v="443"/>
    <n v="6481"/>
    <n v="9"/>
    <s v="Health &amp; Wellness"/>
    <x v="47"/>
  </r>
  <r>
    <s v="Alpha Innovations"/>
    <x v="0"/>
    <s v="Men 18-24"/>
    <s v="15 days"/>
    <x v="5"/>
    <n v="0.14000000000000001"/>
    <n v="19636"/>
    <n v="2.33"/>
    <n v="122"/>
    <n v="160.95081967213116"/>
    <s v="Chicago"/>
    <s v="Mandarin"/>
    <n v="868"/>
    <n v="5469"/>
    <n v="3"/>
    <s v="Tech Enthusiasts"/>
    <x v="48"/>
  </r>
  <r>
    <s v="Innovate Industries"/>
    <x v="1"/>
    <s v="Men 18-24"/>
    <s v="30 days"/>
    <x v="2"/>
    <n v="0.08"/>
    <n v="8871"/>
    <n v="2.91"/>
    <n v="63"/>
    <n v="140.8095238095238"/>
    <s v="Chicago"/>
    <s v="Spanish"/>
    <n v="791"/>
    <n v="3287"/>
    <n v="3"/>
    <s v="Fashionistas"/>
    <x v="49"/>
  </r>
  <r>
    <s v="NexGen Systems"/>
    <x v="1"/>
    <s v="Men 25-34"/>
    <s v="15 days"/>
    <x v="2"/>
    <n v="0.08"/>
    <n v="15612"/>
    <n v="5.18"/>
    <n v="22"/>
    <n v="709.63636363636363"/>
    <s v="Chicago"/>
    <s v="Spanish"/>
    <n v="269"/>
    <n v="8996"/>
    <n v="6"/>
    <s v="Tech Enthusiasts"/>
    <x v="50"/>
  </r>
  <r>
    <s v="TechCorp"/>
    <x v="0"/>
    <s v="Women 35-44"/>
    <s v="60 days"/>
    <x v="2"/>
    <n v="0.05"/>
    <n v="7589"/>
    <n v="5.38"/>
    <n v="9"/>
    <n v="843.22222222222217"/>
    <s v="Houston"/>
    <s v="French"/>
    <n v="179"/>
    <n v="4371"/>
    <n v="7"/>
    <s v="Health &amp; Wellness"/>
    <x v="51"/>
  </r>
  <r>
    <s v="Innovate Industries"/>
    <x v="3"/>
    <s v="Women 25-34"/>
    <s v="45 days"/>
    <x v="1"/>
    <n v="0.12"/>
    <n v="7355"/>
    <n v="2.4"/>
    <n v="25"/>
    <n v="294.2"/>
    <s v="Miami"/>
    <s v="Mandarin"/>
    <n v="207"/>
    <n v="3036"/>
    <n v="4"/>
    <s v="Foodies"/>
    <x v="52"/>
  </r>
  <r>
    <s v="TechCorp"/>
    <x v="3"/>
    <s v="Men 25-34"/>
    <s v="30 days"/>
    <x v="1"/>
    <n v="0.05"/>
    <n v="17591"/>
    <n v="3.38"/>
    <n v="46"/>
    <n v="382.41304347826087"/>
    <s v="Houston"/>
    <s v="French"/>
    <n v="919"/>
    <n v="5652"/>
    <n v="7"/>
    <s v="Health &amp; Wellness"/>
    <x v="53"/>
  </r>
  <r>
    <s v="DataTech Solutions"/>
    <x v="4"/>
    <s v="Women 25-34"/>
    <s v="30 days"/>
    <x v="5"/>
    <n v="0.03"/>
    <n v="8911"/>
    <n v="2.69"/>
    <n v="22"/>
    <n v="405.04545454545456"/>
    <s v="Chicago"/>
    <s v="German"/>
    <n v="723"/>
    <n v="5971"/>
    <n v="10"/>
    <s v="Tech Enthusiasts"/>
    <x v="54"/>
  </r>
  <r>
    <s v="Alpha Innovations"/>
    <x v="2"/>
    <s v="Women 25-34"/>
    <s v="45 days"/>
    <x v="2"/>
    <n v="0.02"/>
    <n v="7021"/>
    <n v="3.54"/>
    <n v="5"/>
    <n v="1404.2"/>
    <s v="Houston"/>
    <s v="Spanish"/>
    <n v="273"/>
    <n v="6688"/>
    <n v="8"/>
    <s v="Health &amp; Wellness"/>
    <x v="55"/>
  </r>
  <r>
    <s v="TechCorp"/>
    <x v="0"/>
    <s v="Women 35-44"/>
    <s v="45 days"/>
    <x v="0"/>
    <n v="0.02"/>
    <n v="9202"/>
    <n v="4.63"/>
    <n v="18"/>
    <n v="511.22222222222223"/>
    <s v="Miami"/>
    <s v="English"/>
    <n v="916"/>
    <n v="4838"/>
    <n v="3"/>
    <s v="Fashionistas"/>
    <x v="56"/>
  </r>
  <r>
    <s v="Alpha Innovations"/>
    <x v="0"/>
    <s v="Men 18-24"/>
    <s v="15 days"/>
    <x v="3"/>
    <n v="0.15"/>
    <n v="6782"/>
    <n v="5.05"/>
    <n v="101"/>
    <n v="67.148514851485146"/>
    <s v="Miami"/>
    <s v="German"/>
    <n v="676"/>
    <n v="5642"/>
    <n v="1"/>
    <s v="Outdoor Adventurers"/>
    <x v="57"/>
  </r>
  <r>
    <s v="NexGen Systems"/>
    <x v="4"/>
    <s v="Women 25-34"/>
    <s v="60 days"/>
    <x v="2"/>
    <n v="0.12"/>
    <n v="10676"/>
    <n v="4.83"/>
    <n v="67"/>
    <n v="159.34328358208955"/>
    <s v="Los Angeles"/>
    <s v="German"/>
    <n v="557"/>
    <n v="1018"/>
    <n v="1"/>
    <s v="Fashionistas"/>
    <x v="58"/>
  </r>
  <r>
    <s v="DataTech Solutions"/>
    <x v="2"/>
    <s v="Women 25-34"/>
    <s v="30 days"/>
    <x v="0"/>
    <n v="0.1"/>
    <n v="13849"/>
    <n v="2.99"/>
    <n v="58"/>
    <n v="238.77586206896552"/>
    <s v="Los Angeles"/>
    <s v="German"/>
    <n v="580"/>
    <n v="7322"/>
    <n v="8"/>
    <s v="Tech Enthusiasts"/>
    <x v="59"/>
  </r>
  <r>
    <s v="NexGen Systems"/>
    <x v="4"/>
    <s v="Women 35-44"/>
    <s v="15 days"/>
    <x v="0"/>
    <n v="0.13"/>
    <n v="6850"/>
    <n v="5.8"/>
    <n v="47"/>
    <n v="145.74468085106383"/>
    <s v="Los Angeles"/>
    <s v="Mandarin"/>
    <n v="358"/>
    <n v="1211"/>
    <n v="10"/>
    <s v="Health &amp; Wellness"/>
    <x v="60"/>
  </r>
  <r>
    <s v="Alpha Innovations"/>
    <x v="2"/>
    <s v="Women 25-34"/>
    <s v="30 days"/>
    <x v="5"/>
    <n v="0.05"/>
    <n v="9936"/>
    <n v="5.4"/>
    <n v="35"/>
    <n v="283.8857142857143"/>
    <s v="Miami"/>
    <s v="Mandarin"/>
    <n v="694"/>
    <n v="8102"/>
    <n v="7"/>
    <s v="Outdoor Adventurers"/>
    <x v="61"/>
  </r>
  <r>
    <s v="Alpha Innovations"/>
    <x v="0"/>
    <s v="Women 25-34"/>
    <s v="45 days"/>
    <x v="1"/>
    <n v="0.14000000000000001"/>
    <n v="17188"/>
    <n v="3.26"/>
    <n v="38"/>
    <n v="452.31578947368422"/>
    <s v="Houston"/>
    <s v="English"/>
    <n v="268"/>
    <n v="7909"/>
    <n v="1"/>
    <s v="Health &amp; Wellness"/>
    <x v="62"/>
  </r>
  <r>
    <s v="Innovate Industries"/>
    <x v="3"/>
    <s v="Men 25-34"/>
    <s v="45 days"/>
    <x v="3"/>
    <n v="0.1"/>
    <n v="18747"/>
    <n v="2.4300000000000002"/>
    <n v="16"/>
    <n v="1171.6875"/>
    <s v="Los Angeles"/>
    <s v="French"/>
    <n v="157"/>
    <n v="7021"/>
    <n v="1"/>
    <s v="Fashionistas"/>
    <x v="63"/>
  </r>
  <r>
    <s v="TechCorp"/>
    <x v="4"/>
    <s v="Men 25-34"/>
    <s v="30 days"/>
    <x v="1"/>
    <n v="7.0000000000000007E-2"/>
    <n v="12081"/>
    <n v="2.86"/>
    <n v="11"/>
    <n v="1098.2727272727273"/>
    <s v="Chicago"/>
    <s v="Mandarin"/>
    <n v="163"/>
    <n v="6702"/>
    <n v="6"/>
    <s v="Tech Enthusiasts"/>
    <x v="64"/>
  </r>
  <r>
    <s v="Alpha Innovations"/>
    <x v="4"/>
    <s v="Men 18-24"/>
    <s v="60 days"/>
    <x v="3"/>
    <n v="0.05"/>
    <n v="19547"/>
    <n v="6.31"/>
    <n v="42"/>
    <n v="465.40476190476193"/>
    <s v="Chicago"/>
    <s v="French"/>
    <n v="849"/>
    <n v="6073"/>
    <n v="1"/>
    <s v="Tech Enthusiasts"/>
    <x v="65"/>
  </r>
  <r>
    <s v="DataTech Solutions"/>
    <x v="4"/>
    <s v="All Ages"/>
    <s v="60 days"/>
    <x v="2"/>
    <n v="0.09"/>
    <n v="6333"/>
    <n v="4.54"/>
    <n v="62"/>
    <n v="102.14516129032258"/>
    <s v="Chicago"/>
    <s v="English"/>
    <n v="684"/>
    <n v="8201"/>
    <n v="4"/>
    <s v="Tech Enthusiasts"/>
    <x v="66"/>
  </r>
  <r>
    <s v="TechCorp"/>
    <x v="0"/>
    <s v="All Ages"/>
    <s v="15 days"/>
    <x v="0"/>
    <n v="0.1"/>
    <n v="11289"/>
    <n v="3.27"/>
    <n v="75"/>
    <n v="150.52000000000001"/>
    <s v="Los Angeles"/>
    <s v="German"/>
    <n v="752"/>
    <n v="4968"/>
    <n v="9"/>
    <s v="Tech Enthusiasts"/>
    <x v="67"/>
  </r>
  <r>
    <s v="Alpha Innovations"/>
    <x v="4"/>
    <s v="Women 25-34"/>
    <s v="30 days"/>
    <x v="2"/>
    <n v="0.09"/>
    <n v="7598"/>
    <n v="7.68"/>
    <n v="31"/>
    <n v="245.09677419354838"/>
    <s v="Houston"/>
    <s v="German"/>
    <n v="340"/>
    <n v="1445"/>
    <n v="9"/>
    <s v="Foodies"/>
    <x v="68"/>
  </r>
  <r>
    <s v="Innovate Industries"/>
    <x v="4"/>
    <s v="Men 25-34"/>
    <s v="45 days"/>
    <x v="0"/>
    <n v="7.0000000000000007E-2"/>
    <n v="5991"/>
    <n v="6.94"/>
    <n v="18"/>
    <n v="332.83333333333331"/>
    <s v="Miami"/>
    <s v="Spanish"/>
    <n v="257"/>
    <n v="7570"/>
    <n v="1"/>
    <s v="Tech Enthusiasts"/>
    <x v="69"/>
  </r>
  <r>
    <s v="NexGen Systems"/>
    <x v="2"/>
    <s v="Men 18-24"/>
    <s v="45 days"/>
    <x v="4"/>
    <n v="0.12"/>
    <n v="14379"/>
    <n v="2.2799999999999998"/>
    <n v="89"/>
    <n v="161.56179775280899"/>
    <s v="Miami"/>
    <s v="Spanish"/>
    <n v="741"/>
    <n v="3640"/>
    <n v="5"/>
    <s v="Outdoor Adventurers"/>
    <x v="70"/>
  </r>
  <r>
    <s v="DataTech Solutions"/>
    <x v="3"/>
    <s v="Women 35-44"/>
    <s v="45 days"/>
    <x v="1"/>
    <n v="0.11"/>
    <n v="13966"/>
    <n v="2.34"/>
    <n v="70"/>
    <n v="199.51428571428571"/>
    <s v="Los Angeles"/>
    <s v="English"/>
    <n v="636"/>
    <n v="1813"/>
    <n v="2"/>
    <s v="Health &amp; Wellness"/>
    <x v="71"/>
  </r>
  <r>
    <s v="Innovate Industries"/>
    <x v="4"/>
    <s v="All Ages"/>
    <s v="60 days"/>
    <x v="3"/>
    <n v="0.02"/>
    <n v="14092"/>
    <n v="5.96"/>
    <n v="9"/>
    <n v="1565.7777777777778"/>
    <s v="Houston"/>
    <s v="Spanish"/>
    <n v="431"/>
    <n v="5493"/>
    <n v="6"/>
    <s v="Fashionistas"/>
    <x v="72"/>
  </r>
  <r>
    <s v="DataTech Solutions"/>
    <x v="1"/>
    <s v="Women 35-44"/>
    <s v="30 days"/>
    <x v="2"/>
    <n v="0.11"/>
    <n v="18551"/>
    <n v="5.09"/>
    <n v="50"/>
    <n v="371.02"/>
    <s v="Los Angeles"/>
    <s v="Mandarin"/>
    <n v="450"/>
    <n v="7099"/>
    <n v="4"/>
    <s v="Outdoor Adventurers"/>
    <x v="73"/>
  </r>
  <r>
    <s v="NexGen Systems"/>
    <x v="3"/>
    <s v="Women 35-44"/>
    <s v="30 days"/>
    <x v="3"/>
    <n v="0.14000000000000001"/>
    <n v="8544"/>
    <n v="2.94"/>
    <n v="107"/>
    <n v="79.850467289719631"/>
    <s v="New York"/>
    <s v="Spanish"/>
    <n v="763"/>
    <n v="7182"/>
    <n v="10"/>
    <s v="Tech Enthusiasts"/>
    <x v="74"/>
  </r>
  <r>
    <s v="Alpha Innovations"/>
    <x v="1"/>
    <s v="Men 25-34"/>
    <s v="45 days"/>
    <x v="0"/>
    <n v="0.01"/>
    <n v="8646"/>
    <n v="5.77"/>
    <n v="4"/>
    <n v="2161.5"/>
    <s v="Chicago"/>
    <s v="Mandarin"/>
    <n v="372"/>
    <n v="2783"/>
    <n v="7"/>
    <s v="Foodies"/>
    <x v="75"/>
  </r>
  <r>
    <s v="NexGen Systems"/>
    <x v="2"/>
    <s v="Women 35-44"/>
    <s v="60 days"/>
    <x v="3"/>
    <n v="0.12"/>
    <n v="12437"/>
    <n v="7.47"/>
    <n v="19"/>
    <n v="654.57894736842104"/>
    <s v="Los Angeles"/>
    <s v="German"/>
    <n v="157"/>
    <n v="9335"/>
    <n v="2"/>
    <s v="Tech Enthusiasts"/>
    <x v="76"/>
  </r>
  <r>
    <s v="NexGen Systems"/>
    <x v="0"/>
    <s v="Men 25-34"/>
    <s v="60 days"/>
    <x v="1"/>
    <n v="0.06"/>
    <n v="10381"/>
    <n v="4.05"/>
    <n v="52"/>
    <n v="199.63461538461539"/>
    <s v="Miami"/>
    <s v="Mandarin"/>
    <n v="863"/>
    <n v="5683"/>
    <n v="7"/>
    <s v="Fashionistas"/>
    <x v="77"/>
  </r>
  <r>
    <s v="NexGen Systems"/>
    <x v="3"/>
    <s v="Men 25-34"/>
    <s v="30 days"/>
    <x v="5"/>
    <n v="0.1"/>
    <n v="9272"/>
    <n v="7.27"/>
    <n v="19"/>
    <n v="488"/>
    <s v="Miami"/>
    <s v="German"/>
    <n v="185"/>
    <n v="9350"/>
    <n v="2"/>
    <s v="Fashionistas"/>
    <x v="78"/>
  </r>
  <r>
    <s v="Innovate Industries"/>
    <x v="1"/>
    <s v="Men 25-34"/>
    <s v="30 days"/>
    <x v="5"/>
    <n v="0.03"/>
    <n v="10509"/>
    <n v="6.45"/>
    <n v="21"/>
    <n v="500.42857142857144"/>
    <s v="Miami"/>
    <s v="German"/>
    <n v="706"/>
    <n v="2891"/>
    <n v="9"/>
    <s v="Health &amp; Wellness"/>
    <x v="79"/>
  </r>
  <r>
    <s v="TechCorp"/>
    <x v="2"/>
    <s v="Men 25-34"/>
    <s v="60 days"/>
    <x v="3"/>
    <n v="0.04"/>
    <n v="11451"/>
    <n v="5.04"/>
    <n v="30"/>
    <n v="381.7"/>
    <s v="Chicago"/>
    <s v="French"/>
    <n v="762"/>
    <n v="2103"/>
    <n v="4"/>
    <s v="Fashionistas"/>
    <x v="80"/>
  </r>
  <r>
    <s v="Innovate Industries"/>
    <x v="1"/>
    <s v="Women 25-34"/>
    <s v="60 days"/>
    <x v="0"/>
    <n v="0.03"/>
    <n v="8995"/>
    <n v="7.53"/>
    <n v="23"/>
    <n v="391.08695652173913"/>
    <s v="Los Angeles"/>
    <s v="Spanish"/>
    <n v="773"/>
    <n v="8871"/>
    <n v="5"/>
    <s v="Foodies"/>
    <x v="81"/>
  </r>
  <r>
    <s v="NexGen Systems"/>
    <x v="2"/>
    <s v="Women 35-44"/>
    <s v="30 days"/>
    <x v="2"/>
    <n v="0.11"/>
    <n v="9277"/>
    <n v="4.4000000000000004"/>
    <n v="65"/>
    <n v="142.72307692307692"/>
    <s v="Houston"/>
    <s v="German"/>
    <n v="595"/>
    <n v="3337"/>
    <n v="3"/>
    <s v="Tech Enthusiasts"/>
    <x v="82"/>
  </r>
  <r>
    <s v="Innovate Industries"/>
    <x v="1"/>
    <s v="Men 25-34"/>
    <s v="45 days"/>
    <x v="5"/>
    <n v="0.03"/>
    <n v="9645"/>
    <n v="7.64"/>
    <n v="13"/>
    <n v="741.92307692307691"/>
    <s v="New York"/>
    <s v="French"/>
    <n v="429"/>
    <n v="7811"/>
    <n v="8"/>
    <s v="Outdoor Adventurers"/>
    <x v="83"/>
  </r>
  <r>
    <s v="TechCorp"/>
    <x v="1"/>
    <s v="All Ages"/>
    <s v="15 days"/>
    <x v="4"/>
    <n v="0.06"/>
    <n v="14312"/>
    <n v="6.96"/>
    <n v="18"/>
    <n v="795.11111111111109"/>
    <s v="Houston"/>
    <s v="Mandarin"/>
    <n v="297"/>
    <n v="8413"/>
    <n v="5"/>
    <s v="Health &amp; Wellness"/>
    <x v="84"/>
  </r>
  <r>
    <s v="Alpha Innovations"/>
    <x v="1"/>
    <s v="Women 35-44"/>
    <s v="30 days"/>
    <x v="2"/>
    <n v="0.13"/>
    <n v="13461"/>
    <n v="6.98"/>
    <n v="76"/>
    <n v="177.11842105263159"/>
    <s v="New York"/>
    <s v="Mandarin"/>
    <n v="588"/>
    <n v="9535"/>
    <n v="7"/>
    <s v="Outdoor Adventurers"/>
    <x v="85"/>
  </r>
  <r>
    <s v="Innovate Industries"/>
    <x v="0"/>
    <s v="Women 35-44"/>
    <s v="30 days"/>
    <x v="0"/>
    <n v="0.06"/>
    <n v="17442"/>
    <n v="3.5"/>
    <n v="10"/>
    <n v="1744.2"/>
    <s v="New York"/>
    <s v="German"/>
    <n v="159"/>
    <n v="4441"/>
    <n v="4"/>
    <s v="Fashionistas"/>
    <x v="86"/>
  </r>
  <r>
    <s v="Innovate Industries"/>
    <x v="3"/>
    <s v="Women 35-44"/>
    <s v="60 days"/>
    <x v="5"/>
    <n v="0.05"/>
    <n v="17499"/>
    <n v="5.51"/>
    <n v="27"/>
    <n v="648.11111111111109"/>
    <s v="Los Angeles"/>
    <s v="Spanish"/>
    <n v="540"/>
    <n v="6649"/>
    <n v="1"/>
    <s v="Outdoor Adventurers"/>
    <x v="87"/>
  </r>
  <r>
    <s v="Innovate Industries"/>
    <x v="2"/>
    <s v="Women 35-44"/>
    <s v="15 days"/>
    <x v="1"/>
    <n v="0.12"/>
    <n v="7991"/>
    <n v="4.5"/>
    <n v="44"/>
    <n v="181.61363636363637"/>
    <s v="Los Angeles"/>
    <s v="Mandarin"/>
    <n v="370"/>
    <n v="9765"/>
    <n v="6"/>
    <s v="Health &amp; Wellness"/>
    <x v="88"/>
  </r>
  <r>
    <s v="NexGen Systems"/>
    <x v="2"/>
    <s v="Women 35-44"/>
    <s v="60 days"/>
    <x v="1"/>
    <n v="0.13"/>
    <n v="9643"/>
    <n v="2.08"/>
    <n v="122"/>
    <n v="79.040983606557376"/>
    <s v="Miami"/>
    <s v="French"/>
    <n v="936"/>
    <n v="3150"/>
    <n v="2"/>
    <s v="Tech Enthusiasts"/>
    <x v="89"/>
  </r>
  <r>
    <s v="NexGen Systems"/>
    <x v="3"/>
    <s v="Women 35-44"/>
    <s v="45 days"/>
    <x v="5"/>
    <n v="0.05"/>
    <n v="15611"/>
    <n v="4.12"/>
    <n v="49"/>
    <n v="318.59183673469386"/>
    <s v="Los Angeles"/>
    <s v="English"/>
    <n v="977"/>
    <n v="4497"/>
    <n v="10"/>
    <s v="Foodies"/>
    <x v="90"/>
  </r>
  <r>
    <s v="DataTech Solutions"/>
    <x v="2"/>
    <s v="All Ages"/>
    <s v="60 days"/>
    <x v="5"/>
    <n v="0.13"/>
    <n v="18134"/>
    <n v="2.84"/>
    <n v="74"/>
    <n v="245.05405405405406"/>
    <s v="Miami"/>
    <s v="German"/>
    <n v="566"/>
    <n v="9921"/>
    <n v="10"/>
    <s v="Foodies"/>
    <x v="91"/>
  </r>
  <r>
    <s v="Alpha Innovations"/>
    <x v="0"/>
    <s v="Women 25-34"/>
    <s v="45 days"/>
    <x v="4"/>
    <n v="0.02"/>
    <n v="18458"/>
    <n v="7.78"/>
    <n v="5"/>
    <n v="3691.6"/>
    <s v="Houston"/>
    <s v="French"/>
    <n v="235"/>
    <n v="9771"/>
    <n v="1"/>
    <s v="Outdoor Adventurers"/>
    <x v="92"/>
  </r>
  <r>
    <s v="Innovate Industries"/>
    <x v="3"/>
    <s v="Women 35-44"/>
    <s v="60 days"/>
    <x v="1"/>
    <n v="0.09"/>
    <n v="9135"/>
    <n v="5.65"/>
    <n v="15"/>
    <n v="609"/>
    <s v="Houston"/>
    <s v="German"/>
    <n v="165"/>
    <n v="5074"/>
    <n v="3"/>
    <s v="Outdoor Adventurers"/>
    <x v="93"/>
  </r>
  <r>
    <s v="Innovate Industries"/>
    <x v="0"/>
    <s v="Men 18-24"/>
    <s v="30 days"/>
    <x v="3"/>
    <n v="0.04"/>
    <n v="15474"/>
    <n v="3.62"/>
    <n v="29"/>
    <n v="533.58620689655174"/>
    <s v="Los Angeles"/>
    <s v="Spanish"/>
    <n v="715"/>
    <n v="1239"/>
    <n v="3"/>
    <s v="Tech Enthusiasts"/>
    <x v="94"/>
  </r>
  <r>
    <s v="TechCorp"/>
    <x v="4"/>
    <s v="Men 18-24"/>
    <s v="45 days"/>
    <x v="2"/>
    <n v="0.08"/>
    <n v="10528"/>
    <n v="5.27"/>
    <n v="45"/>
    <n v="233.95555555555555"/>
    <s v="Los Angeles"/>
    <s v="French"/>
    <n v="559"/>
    <n v="3449"/>
    <n v="5"/>
    <s v="Fashionistas"/>
    <x v="95"/>
  </r>
  <r>
    <s v="Alpha Innovations"/>
    <x v="0"/>
    <s v="Men 25-34"/>
    <s v="30 days"/>
    <x v="2"/>
    <n v="0.01"/>
    <n v="18850"/>
    <n v="3.42"/>
    <n v="7"/>
    <n v="2692.8571428571427"/>
    <s v="New York"/>
    <s v="French"/>
    <n v="692"/>
    <n v="8915"/>
    <n v="3"/>
    <s v="Fashionistas"/>
    <x v="96"/>
  </r>
  <r>
    <s v="DataTech Solutions"/>
    <x v="0"/>
    <s v="Women 25-34"/>
    <s v="60 days"/>
    <x v="1"/>
    <n v="0.06"/>
    <n v="6983"/>
    <n v="5.66"/>
    <n v="36"/>
    <n v="193.97222222222223"/>
    <s v="Houston"/>
    <s v="Spanish"/>
    <n v="596"/>
    <n v="2281"/>
    <n v="8"/>
    <s v="Foodies"/>
    <x v="97"/>
  </r>
  <r>
    <s v="DataTech Solutions"/>
    <x v="3"/>
    <s v="Women 25-34"/>
    <s v="45 days"/>
    <x v="4"/>
    <n v="0.13"/>
    <n v="15971"/>
    <n v="4.1900000000000004"/>
    <n v="64"/>
    <n v="249.546875"/>
    <s v="Chicago"/>
    <s v="Spanish"/>
    <n v="494"/>
    <n v="5439"/>
    <n v="7"/>
    <s v="Tech Enthusiasts"/>
    <x v="98"/>
  </r>
  <r>
    <s v="Alpha Innovations"/>
    <x v="0"/>
    <s v="Men 25-34"/>
    <s v="15 days"/>
    <x v="3"/>
    <n v="0.05"/>
    <n v="9290"/>
    <n v="7.2"/>
    <n v="50"/>
    <n v="185.8"/>
    <s v="Miami"/>
    <s v="German"/>
    <n v="992"/>
    <n v="8847"/>
    <n v="6"/>
    <s v="Health &amp; Wellness"/>
    <x v="99"/>
  </r>
  <r>
    <s v="Alpha Innovations"/>
    <x v="3"/>
    <s v="Women 35-44"/>
    <s v="30 days"/>
    <x v="3"/>
    <n v="0.04"/>
    <n v="19632"/>
    <n v="6.15"/>
    <n v="29"/>
    <n v="676.9655172413793"/>
    <s v="Miami"/>
    <s v="French"/>
    <n v="721"/>
    <n v="8225"/>
    <n v="8"/>
    <s v="Health &amp; Wellness"/>
    <x v="100"/>
  </r>
  <r>
    <s v="Alpha Innovations"/>
    <x v="2"/>
    <s v="Men 18-24"/>
    <s v="45 days"/>
    <x v="1"/>
    <n v="0.1"/>
    <n v="7432"/>
    <n v="7.38"/>
    <n v="73"/>
    <n v="101.8082191780822"/>
    <s v="Miami"/>
    <s v="Spanish"/>
    <n v="731"/>
    <n v="2499"/>
    <n v="10"/>
    <s v="Outdoor Adventurers"/>
    <x v="101"/>
  </r>
  <r>
    <s v="Innovate Industries"/>
    <x v="4"/>
    <s v="Women 25-34"/>
    <s v="60 days"/>
    <x v="0"/>
    <n v="0.09"/>
    <n v="5758"/>
    <n v="5.97"/>
    <n v="42"/>
    <n v="137.0952380952381"/>
    <s v="Houston"/>
    <s v="Mandarin"/>
    <n v="467"/>
    <n v="5205"/>
    <n v="2"/>
    <s v="Foodies"/>
    <x v="102"/>
  </r>
  <r>
    <s v="DataTech Solutions"/>
    <x v="2"/>
    <s v="Women 25-34"/>
    <s v="60 days"/>
    <x v="4"/>
    <n v="0.12"/>
    <n v="13458"/>
    <n v="7.7"/>
    <n v="69"/>
    <n v="195.04347826086956"/>
    <s v="Miami"/>
    <s v="English"/>
    <n v="572"/>
    <n v="8542"/>
    <n v="8"/>
    <s v="Tech Enthusiasts"/>
    <x v="103"/>
  </r>
  <r>
    <s v="Innovate Industries"/>
    <x v="4"/>
    <s v="Women 25-34"/>
    <s v="15 days"/>
    <x v="5"/>
    <n v="0.1"/>
    <n v="13006"/>
    <n v="6.22"/>
    <n v="46"/>
    <n v="282.73913043478262"/>
    <s v="Miami"/>
    <s v="French"/>
    <n v="456"/>
    <n v="7129"/>
    <n v="9"/>
    <s v="Health &amp; Wellness"/>
    <x v="104"/>
  </r>
  <r>
    <s v="Alpha Innovations"/>
    <x v="4"/>
    <s v="Women 25-34"/>
    <s v="60 days"/>
    <x v="4"/>
    <n v="0.15"/>
    <n v="12930"/>
    <n v="4.09"/>
    <n v="39"/>
    <n v="331.53846153846155"/>
    <s v="Houston"/>
    <s v="Mandarin"/>
    <n v="259"/>
    <n v="3531"/>
    <n v="1"/>
    <s v="Outdoor Adventurers"/>
    <x v="105"/>
  </r>
  <r>
    <s v="Innovate Industries"/>
    <x v="2"/>
    <s v="Men 18-24"/>
    <s v="45 days"/>
    <x v="3"/>
    <n v="0.12"/>
    <n v="18200"/>
    <n v="7.38"/>
    <n v="114"/>
    <n v="159.64912280701753"/>
    <s v="Miami"/>
    <s v="German"/>
    <n v="951"/>
    <n v="2432"/>
    <n v="7"/>
    <s v="Tech Enthusiasts"/>
    <x v="106"/>
  </r>
  <r>
    <s v="TechCorp"/>
    <x v="3"/>
    <s v="Men 25-34"/>
    <s v="15 days"/>
    <x v="1"/>
    <n v="7.0000000000000007E-2"/>
    <n v="9929"/>
    <n v="7.87"/>
    <n v="65"/>
    <n v="152.75384615384615"/>
    <s v="New York"/>
    <s v="English"/>
    <n v="928"/>
    <n v="3257"/>
    <n v="5"/>
    <s v="Outdoor Adventurers"/>
    <x v="107"/>
  </r>
  <r>
    <s v="TechCorp"/>
    <x v="1"/>
    <s v="Men 25-34"/>
    <s v="30 days"/>
    <x v="5"/>
    <n v="0.13"/>
    <n v="18792"/>
    <n v="7.96"/>
    <n v="37"/>
    <n v="507.89189189189187"/>
    <s v="Miami"/>
    <s v="Spanish"/>
    <n v="285"/>
    <n v="1214"/>
    <n v="7"/>
    <s v="Foodies"/>
    <x v="108"/>
  </r>
  <r>
    <s v="TechCorp"/>
    <x v="2"/>
    <s v="Men 25-34"/>
    <s v="30 days"/>
    <x v="1"/>
    <n v="0.1"/>
    <n v="19698"/>
    <n v="5.21"/>
    <n v="67"/>
    <n v="294"/>
    <s v="Chicago"/>
    <s v="English"/>
    <n v="668"/>
    <n v="4367"/>
    <n v="5"/>
    <s v="Outdoor Adventurers"/>
    <x v="109"/>
  </r>
  <r>
    <s v="Alpha Innovations"/>
    <x v="4"/>
    <s v="Women 25-34"/>
    <s v="60 days"/>
    <x v="1"/>
    <n v="0.02"/>
    <n v="12194"/>
    <n v="2.4700000000000002"/>
    <n v="3"/>
    <n v="4064.6666666666665"/>
    <s v="Houston"/>
    <s v="Mandarin"/>
    <n v="135"/>
    <n v="7812"/>
    <n v="5"/>
    <s v="Outdoor Adventurers"/>
    <x v="110"/>
  </r>
  <r>
    <s v="DataTech Solutions"/>
    <x v="2"/>
    <s v="Women 35-44"/>
    <s v="15 days"/>
    <x v="1"/>
    <n v="0.11"/>
    <n v="9406"/>
    <n v="7.65"/>
    <n v="36"/>
    <n v="261.27777777777777"/>
    <s v="Miami"/>
    <s v="Mandarin"/>
    <n v="325"/>
    <n v="3365"/>
    <n v="4"/>
    <s v="Fashionistas"/>
    <x v="111"/>
  </r>
  <r>
    <s v="Innovate Industries"/>
    <x v="1"/>
    <s v="All Ages"/>
    <s v="45 days"/>
    <x v="1"/>
    <n v="0.06"/>
    <n v="17090"/>
    <n v="6.77"/>
    <n v="13"/>
    <n v="1314.6153846153845"/>
    <s v="Houston"/>
    <s v="German"/>
    <n v="210"/>
    <n v="4641"/>
    <n v="10"/>
    <s v="Foodies"/>
    <x v="112"/>
  </r>
  <r>
    <s v="NexGen Systems"/>
    <x v="0"/>
    <s v="All Ages"/>
    <s v="30 days"/>
    <x v="2"/>
    <n v="0.03"/>
    <n v="6398"/>
    <n v="7.01"/>
    <n v="11"/>
    <n v="581.63636363636363"/>
    <s v="Houston"/>
    <s v="Mandarin"/>
    <n v="361"/>
    <n v="2588"/>
    <n v="10"/>
    <s v="Fashionistas"/>
    <x v="113"/>
  </r>
  <r>
    <s v="Alpha Innovations"/>
    <x v="2"/>
    <s v="Men 25-34"/>
    <s v="30 days"/>
    <x v="0"/>
    <n v="0.09"/>
    <n v="18254"/>
    <n v="5.27"/>
    <n v="60"/>
    <n v="304.23333333333335"/>
    <s v="Houston"/>
    <s v="Mandarin"/>
    <n v="672"/>
    <n v="2707"/>
    <n v="2"/>
    <s v="Foodies"/>
    <x v="114"/>
  </r>
  <r>
    <s v="Innovate Industries"/>
    <x v="1"/>
    <s v="Men 25-34"/>
    <s v="15 days"/>
    <x v="2"/>
    <n v="0.05"/>
    <n v="11260"/>
    <n v="6.06"/>
    <n v="50"/>
    <n v="225.2"/>
    <s v="Miami"/>
    <s v="Mandarin"/>
    <n v="995"/>
    <n v="7286"/>
    <n v="8"/>
    <s v="Outdoor Adventurers"/>
    <x v="115"/>
  </r>
  <r>
    <s v="TechCorp"/>
    <x v="1"/>
    <s v="Men 18-24"/>
    <s v="30 days"/>
    <x v="4"/>
    <n v="0.05"/>
    <n v="11160"/>
    <n v="5.54"/>
    <n v="31"/>
    <n v="360"/>
    <s v="Los Angeles"/>
    <s v="English"/>
    <n v="617"/>
    <n v="7744"/>
    <n v="1"/>
    <s v="Foodies"/>
    <x v="116"/>
  </r>
  <r>
    <s v="Innovate Industries"/>
    <x v="4"/>
    <s v="Women 25-34"/>
    <s v="30 days"/>
    <x v="3"/>
    <n v="0.1"/>
    <n v="11191"/>
    <n v="5.53"/>
    <n v="70"/>
    <n v="159.87142857142857"/>
    <s v="Chicago"/>
    <s v="French"/>
    <n v="696"/>
    <n v="6310"/>
    <n v="6"/>
    <s v="Tech Enthusiasts"/>
    <x v="117"/>
  </r>
  <r>
    <s v="Innovate Industries"/>
    <x v="0"/>
    <s v="Women 35-44"/>
    <s v="60 days"/>
    <x v="0"/>
    <n v="0.11"/>
    <n v="9886"/>
    <n v="4.4400000000000004"/>
    <n v="105"/>
    <n v="94.152380952380952"/>
    <s v="Chicago"/>
    <s v="English"/>
    <n v="958"/>
    <n v="5544"/>
    <n v="9"/>
    <s v="Foodies"/>
    <x v="118"/>
  </r>
  <r>
    <s v="Alpha Innovations"/>
    <x v="2"/>
    <s v="Men 18-24"/>
    <s v="30 days"/>
    <x v="5"/>
    <n v="0.1"/>
    <n v="8563"/>
    <n v="2.36"/>
    <n v="40"/>
    <n v="214.07499999999999"/>
    <s v="Miami"/>
    <s v="Spanish"/>
    <n v="395"/>
    <n v="1073"/>
    <n v="4"/>
    <s v="Foodies"/>
    <x v="119"/>
  </r>
  <r>
    <s v="Innovate Industries"/>
    <x v="2"/>
    <s v="Women 35-44"/>
    <s v="45 days"/>
    <x v="3"/>
    <n v="0.04"/>
    <n v="9937"/>
    <n v="6.68"/>
    <n v="18"/>
    <n v="552.05555555555554"/>
    <s v="Los Angeles"/>
    <s v="Spanish"/>
    <n v="461"/>
    <n v="6852"/>
    <n v="1"/>
    <s v="Fashionistas"/>
    <x v="120"/>
  </r>
  <r>
    <s v="Alpha Innovations"/>
    <x v="0"/>
    <s v="Women 35-44"/>
    <s v="60 days"/>
    <x v="1"/>
    <n v="0.09"/>
    <n v="10752"/>
    <n v="4.46"/>
    <n v="27"/>
    <n v="398.22222222222223"/>
    <s v="Chicago"/>
    <s v="French"/>
    <n v="305"/>
    <n v="5344"/>
    <n v="1"/>
    <s v="Fashionistas"/>
    <x v="121"/>
  </r>
  <r>
    <s v="NexGen Systems"/>
    <x v="0"/>
    <s v="All Ages"/>
    <s v="30 days"/>
    <x v="3"/>
    <n v="0.12"/>
    <n v="5192"/>
    <n v="2.3199999999999998"/>
    <n v="14"/>
    <n v="370.85714285714283"/>
    <s v="Houston"/>
    <s v="Spanish"/>
    <n v="114"/>
    <n v="6501"/>
    <n v="2"/>
    <s v="Tech Enthusiasts"/>
    <x v="122"/>
  </r>
  <r>
    <s v="DataTech Solutions"/>
    <x v="4"/>
    <s v="Men 25-34"/>
    <s v="60 days"/>
    <x v="3"/>
    <n v="0.04"/>
    <n v="16769"/>
    <n v="5.0199999999999996"/>
    <n v="33"/>
    <n v="508.15151515151513"/>
    <s v="Los Angeles"/>
    <s v="Spanish"/>
    <n v="833"/>
    <n v="7231"/>
    <n v="5"/>
    <s v="Fashionistas"/>
    <x v="123"/>
  </r>
  <r>
    <s v="TechCorp"/>
    <x v="4"/>
    <s v="Men 18-24"/>
    <s v="45 days"/>
    <x v="5"/>
    <n v="0.15"/>
    <n v="17959"/>
    <n v="6.54"/>
    <n v="27"/>
    <n v="665.14814814814815"/>
    <s v="Houston"/>
    <s v="Mandarin"/>
    <n v="180"/>
    <n v="7704"/>
    <n v="10"/>
    <s v="Foodies"/>
    <x v="124"/>
  </r>
  <r>
    <s v="TechCorp"/>
    <x v="2"/>
    <s v="Men 18-24"/>
    <s v="45 days"/>
    <x v="1"/>
    <n v="0.13"/>
    <n v="13015"/>
    <n v="5.54"/>
    <n v="122"/>
    <n v="106.68032786885246"/>
    <s v="Miami"/>
    <s v="English"/>
    <n v="940"/>
    <n v="7795"/>
    <n v="1"/>
    <s v="Health &amp; Wellness"/>
    <x v="125"/>
  </r>
  <r>
    <s v="Innovate Industries"/>
    <x v="2"/>
    <s v="Men 25-34"/>
    <s v="60 days"/>
    <x v="1"/>
    <n v="0.14000000000000001"/>
    <n v="5596"/>
    <n v="5.6"/>
    <n v="124"/>
    <n v="45.12903225806452"/>
    <s v="Miami"/>
    <s v="French"/>
    <n v="886"/>
    <n v="9619"/>
    <n v="3"/>
    <s v="Foodies"/>
    <x v="126"/>
  </r>
  <r>
    <s v="Alpha Innovations"/>
    <x v="3"/>
    <s v="All Ages"/>
    <s v="60 days"/>
    <x v="4"/>
    <n v="0.14000000000000001"/>
    <n v="17637"/>
    <n v="7.39"/>
    <n v="49"/>
    <n v="359.9387755102041"/>
    <s v="Chicago"/>
    <s v="English"/>
    <n v="348"/>
    <n v="3031"/>
    <n v="8"/>
    <s v="Foodies"/>
    <x v="127"/>
  </r>
  <r>
    <s v="NexGen Systems"/>
    <x v="3"/>
    <s v="All Ages"/>
    <s v="15 days"/>
    <x v="0"/>
    <n v="0.14000000000000001"/>
    <n v="6445"/>
    <n v="2.13"/>
    <n v="44"/>
    <n v="146.47727272727272"/>
    <s v="Los Angeles"/>
    <s v="Mandarin"/>
    <n v="311"/>
    <n v="7855"/>
    <n v="5"/>
    <s v="Fashionistas"/>
    <x v="128"/>
  </r>
  <r>
    <s v="TechCorp"/>
    <x v="3"/>
    <s v="Men 18-24"/>
    <s v="15 days"/>
    <x v="4"/>
    <n v="0.02"/>
    <n v="19323"/>
    <n v="4.42"/>
    <n v="17"/>
    <n v="1136.6470588235295"/>
    <s v="Miami"/>
    <s v="French"/>
    <n v="839"/>
    <n v="6033"/>
    <n v="5"/>
    <s v="Fashionistas"/>
    <x v="129"/>
  </r>
  <r>
    <s v="Alpha Innovations"/>
    <x v="4"/>
    <s v="All Ages"/>
    <s v="30 days"/>
    <x v="5"/>
    <n v="7.0000000000000007E-2"/>
    <n v="9661"/>
    <n v="7"/>
    <n v="64"/>
    <n v="150.953125"/>
    <s v="New York"/>
    <s v="Spanish"/>
    <n v="916"/>
    <n v="1931"/>
    <n v="3"/>
    <s v="Outdoor Adventurers"/>
    <x v="130"/>
  </r>
  <r>
    <s v="DataTech Solutions"/>
    <x v="1"/>
    <s v="All Ages"/>
    <s v="45 days"/>
    <x v="2"/>
    <n v="7.0000000000000007E-2"/>
    <n v="19015"/>
    <n v="3.88"/>
    <n v="9"/>
    <n v="2112.7777777777778"/>
    <s v="Los Angeles"/>
    <s v="Mandarin"/>
    <n v="132"/>
    <n v="6775"/>
    <n v="6"/>
    <s v="Foodies"/>
    <x v="131"/>
  </r>
  <r>
    <s v="TechCorp"/>
    <x v="3"/>
    <s v="Women 25-34"/>
    <s v="45 days"/>
    <x v="3"/>
    <n v="0.09"/>
    <n v="14210"/>
    <n v="4.21"/>
    <n v="43"/>
    <n v="330.46511627906978"/>
    <s v="Houston"/>
    <s v="English"/>
    <n v="481"/>
    <n v="4710"/>
    <n v="7"/>
    <s v="Outdoor Adventurers"/>
    <x v="132"/>
  </r>
  <r>
    <s v="Innovate Industries"/>
    <x v="4"/>
    <s v="All Ages"/>
    <s v="30 days"/>
    <x v="4"/>
    <n v="0.04"/>
    <n v="5501"/>
    <n v="4.6900000000000004"/>
    <n v="24"/>
    <n v="229.20833333333334"/>
    <s v="Los Angeles"/>
    <s v="Mandarin"/>
    <n v="594"/>
    <n v="1468"/>
    <n v="9"/>
    <s v="Outdoor Adventurers"/>
    <x v="133"/>
  </r>
  <r>
    <s v="Innovate Industries"/>
    <x v="0"/>
    <s v="Men 25-34"/>
    <s v="15 days"/>
    <x v="2"/>
    <n v="0.09"/>
    <n v="19666"/>
    <n v="7.97"/>
    <n v="71"/>
    <n v="276.98591549295776"/>
    <s v="Miami"/>
    <s v="Spanish"/>
    <n v="785"/>
    <n v="2102"/>
    <n v="5"/>
    <s v="Foodies"/>
    <x v="134"/>
  </r>
  <r>
    <s v="Innovate Industries"/>
    <x v="1"/>
    <s v="Men 18-24"/>
    <s v="30 days"/>
    <x v="2"/>
    <n v="0.11"/>
    <n v="15130"/>
    <n v="2.38"/>
    <n v="34"/>
    <n v="445"/>
    <s v="Los Angeles"/>
    <s v="English"/>
    <n v="307"/>
    <n v="4925"/>
    <n v="8"/>
    <s v="Fashionistas"/>
    <x v="135"/>
  </r>
  <r>
    <s v="DataTech Solutions"/>
    <x v="2"/>
    <s v="Women 35-44"/>
    <s v="60 days"/>
    <x v="4"/>
    <n v="0.04"/>
    <n v="17084"/>
    <n v="5.61"/>
    <n v="37"/>
    <n v="461.72972972972974"/>
    <s v="Miami"/>
    <s v="Spanish"/>
    <n v="927"/>
    <n v="1027"/>
    <n v="1"/>
    <s v="Outdoor Adventurers"/>
    <x v="136"/>
  </r>
  <r>
    <s v="TechCorp"/>
    <x v="0"/>
    <s v="Men 18-24"/>
    <s v="15 days"/>
    <x v="1"/>
    <n v="7.0000000000000007E-2"/>
    <n v="11588"/>
    <n v="7.21"/>
    <n v="57"/>
    <n v="203.2982456140351"/>
    <s v="New York"/>
    <s v="Spanish"/>
    <n v="810"/>
    <n v="7767"/>
    <n v="6"/>
    <s v="Outdoor Adventurers"/>
    <x v="137"/>
  </r>
  <r>
    <s v="TechCorp"/>
    <x v="3"/>
    <s v="All Ages"/>
    <s v="15 days"/>
    <x v="2"/>
    <n v="0.05"/>
    <n v="6735"/>
    <n v="2.23"/>
    <n v="26"/>
    <n v="259.03846153846155"/>
    <s v="Miami"/>
    <s v="Mandarin"/>
    <n v="512"/>
    <n v="2244"/>
    <n v="1"/>
    <s v="Fashionistas"/>
    <x v="138"/>
  </r>
  <r>
    <s v="TechCorp"/>
    <x v="4"/>
    <s v="Men 18-24"/>
    <s v="30 days"/>
    <x v="4"/>
    <n v="0.06"/>
    <n v="12395"/>
    <n v="5.17"/>
    <n v="14"/>
    <n v="885.35714285714289"/>
    <s v="Chicago"/>
    <s v="Spanish"/>
    <n v="234"/>
    <n v="4202"/>
    <n v="1"/>
    <s v="Tech Enthusiasts"/>
    <x v="139"/>
  </r>
  <r>
    <s v="TechCorp"/>
    <x v="2"/>
    <s v="All Ages"/>
    <s v="60 days"/>
    <x v="4"/>
    <n v="0.04"/>
    <n v="17873"/>
    <n v="4.95"/>
    <n v="30"/>
    <n v="595.76666666666665"/>
    <s v="Los Angeles"/>
    <s v="Mandarin"/>
    <n v="754"/>
    <n v="3624"/>
    <n v="4"/>
    <s v="Tech Enthusiasts"/>
    <x v="140"/>
  </r>
  <r>
    <s v="TechCorp"/>
    <x v="4"/>
    <s v="Women 35-44"/>
    <s v="60 days"/>
    <x v="2"/>
    <n v="0.02"/>
    <n v="8326"/>
    <n v="5.08"/>
    <n v="13"/>
    <n v="640.46153846153845"/>
    <s v="Chicago"/>
    <s v="Spanish"/>
    <n v="664"/>
    <n v="5342"/>
    <n v="5"/>
    <s v="Fashionistas"/>
    <x v="141"/>
  </r>
  <r>
    <s v="TechCorp"/>
    <x v="4"/>
    <s v="Women 35-44"/>
    <s v="45 days"/>
    <x v="3"/>
    <n v="0.02"/>
    <n v="12250"/>
    <n v="7.23"/>
    <n v="17"/>
    <n v="720.58823529411768"/>
    <s v="Chicago"/>
    <s v="English"/>
    <n v="825"/>
    <n v="7094"/>
    <n v="2"/>
    <s v="Tech Enthusiasts"/>
    <x v="142"/>
  </r>
  <r>
    <s v="TechCorp"/>
    <x v="2"/>
    <s v="Men 25-34"/>
    <s v="15 days"/>
    <x v="5"/>
    <n v="0.1"/>
    <n v="18137"/>
    <n v="7.56"/>
    <n v="26"/>
    <n v="697.57692307692309"/>
    <s v="New York"/>
    <s v="French"/>
    <n v="263"/>
    <n v="5417"/>
    <n v="9"/>
    <s v="Fashionistas"/>
    <x v="143"/>
  </r>
  <r>
    <s v="TechCorp"/>
    <x v="1"/>
    <s v="Women 35-44"/>
    <s v="30 days"/>
    <x v="3"/>
    <n v="0.12"/>
    <n v="8762"/>
    <n v="6.61"/>
    <n v="100"/>
    <n v="87.62"/>
    <s v="Chicago"/>
    <s v="German"/>
    <n v="837"/>
    <n v="9719"/>
    <n v="3"/>
    <s v="Foodies"/>
    <x v="144"/>
  </r>
  <r>
    <s v="NexGen Systems"/>
    <x v="1"/>
    <s v="Men 18-24"/>
    <s v="30 days"/>
    <x v="1"/>
    <n v="0.02"/>
    <n v="10154"/>
    <n v="7.91"/>
    <n v="2"/>
    <n v="5077"/>
    <s v="Houston"/>
    <s v="Spanish"/>
    <n v="106"/>
    <n v="1386"/>
    <n v="7"/>
    <s v="Health &amp; Wellness"/>
    <x v="145"/>
  </r>
  <r>
    <s v="Alpha Innovations"/>
    <x v="3"/>
    <s v="All Ages"/>
    <s v="30 days"/>
    <x v="0"/>
    <n v="0.02"/>
    <n v="15941"/>
    <n v="3.86"/>
    <n v="8"/>
    <n v="1992.625"/>
    <s v="Miami"/>
    <s v="English"/>
    <n v="390"/>
    <n v="3698"/>
    <n v="10"/>
    <s v="Outdoor Adventurers"/>
    <x v="146"/>
  </r>
  <r>
    <s v="TechCorp"/>
    <x v="2"/>
    <s v="Men 18-24"/>
    <s v="60 days"/>
    <x v="5"/>
    <n v="0.03"/>
    <n v="5111"/>
    <n v="7.26"/>
    <n v="28"/>
    <n v="182.53571428571428"/>
    <s v="Los Angeles"/>
    <s v="Spanish"/>
    <n v="947"/>
    <n v="2774"/>
    <n v="8"/>
    <s v="Fashionistas"/>
    <x v="147"/>
  </r>
  <r>
    <s v="Innovate Industries"/>
    <x v="4"/>
    <s v="Women 35-44"/>
    <s v="30 days"/>
    <x v="1"/>
    <n v="7.0000000000000007E-2"/>
    <n v="14137"/>
    <n v="4.0599999999999996"/>
    <n v="49"/>
    <n v="288.51020408163265"/>
    <s v="Chicago"/>
    <s v="Spanish"/>
    <n v="707"/>
    <n v="9563"/>
    <n v="7"/>
    <s v="Outdoor Adventurers"/>
    <x v="148"/>
  </r>
  <r>
    <s v="DataTech Solutions"/>
    <x v="4"/>
    <s v="Women 35-44"/>
    <s v="45 days"/>
    <x v="0"/>
    <n v="0.11"/>
    <n v="15634"/>
    <n v="7.95"/>
    <n v="80"/>
    <n v="195.42500000000001"/>
    <s v="Houston"/>
    <s v="French"/>
    <n v="728"/>
    <n v="7449"/>
    <n v="2"/>
    <s v="Health &amp; Wellness"/>
    <x v="149"/>
  </r>
  <r>
    <s v="TechCorp"/>
    <x v="2"/>
    <s v="Men 25-34"/>
    <s v="60 days"/>
    <x v="4"/>
    <n v="0.12"/>
    <n v="7595"/>
    <n v="3.53"/>
    <n v="103"/>
    <n v="73.737864077669897"/>
    <s v="Houston"/>
    <s v="English"/>
    <n v="857"/>
    <n v="3474"/>
    <n v="4"/>
    <s v="Tech Enthusiasts"/>
    <x v="150"/>
  </r>
  <r>
    <s v="DataTech Solutions"/>
    <x v="4"/>
    <s v="Women 35-44"/>
    <s v="15 days"/>
    <x v="1"/>
    <n v="7.0000000000000007E-2"/>
    <n v="9998"/>
    <n v="4.5"/>
    <n v="56"/>
    <n v="178.53571428571428"/>
    <s v="Miami"/>
    <s v="French"/>
    <n v="807"/>
    <n v="8839"/>
    <n v="3"/>
    <s v="Fashionistas"/>
    <x v="151"/>
  </r>
  <r>
    <s v="Innovate Industries"/>
    <x v="0"/>
    <s v="All Ages"/>
    <s v="30 days"/>
    <x v="1"/>
    <n v="0.02"/>
    <n v="11372"/>
    <n v="6.61"/>
    <n v="2"/>
    <n v="5686"/>
    <s v="Los Angeles"/>
    <s v="Spanish"/>
    <n v="107"/>
    <n v="5432"/>
    <n v="9"/>
    <s v="Foodies"/>
    <x v="152"/>
  </r>
  <r>
    <s v="NexGen Systems"/>
    <x v="0"/>
    <s v="Women 35-44"/>
    <s v="30 days"/>
    <x v="5"/>
    <n v="0.03"/>
    <n v="5072"/>
    <n v="5.71"/>
    <n v="11"/>
    <n v="461.09090909090907"/>
    <s v="Los Angeles"/>
    <s v="Mandarin"/>
    <n v="359"/>
    <n v="9864"/>
    <n v="4"/>
    <s v="Foodies"/>
    <x v="153"/>
  </r>
  <r>
    <s v="DataTech Solutions"/>
    <x v="4"/>
    <s v="Women 25-34"/>
    <s v="30 days"/>
    <x v="3"/>
    <n v="0.09"/>
    <n v="12757"/>
    <n v="3.61"/>
    <n v="13"/>
    <n v="981.30769230769226"/>
    <s v="New York"/>
    <s v="Spanish"/>
    <n v="145"/>
    <n v="4500"/>
    <n v="7"/>
    <s v="Tech Enthusiasts"/>
    <x v="154"/>
  </r>
  <r>
    <s v="NexGen Systems"/>
    <x v="4"/>
    <s v="Women 25-34"/>
    <s v="30 days"/>
    <x v="2"/>
    <n v="0.11"/>
    <n v="19812"/>
    <n v="4.99"/>
    <n v="84"/>
    <n v="235.85714285714286"/>
    <s v="Chicago"/>
    <s v="Spanish"/>
    <n v="762"/>
    <n v="8773"/>
    <n v="8"/>
    <s v="Tech Enthusiasts"/>
    <x v="155"/>
  </r>
  <r>
    <s v="Alpha Innovations"/>
    <x v="3"/>
    <s v="All Ages"/>
    <s v="15 days"/>
    <x v="3"/>
    <n v="0.1"/>
    <n v="13079"/>
    <n v="4.07"/>
    <n v="32"/>
    <n v="408.71875"/>
    <s v="Chicago"/>
    <s v="Spanish"/>
    <n v="319"/>
    <n v="4170"/>
    <n v="1"/>
    <s v="Tech Enthusiasts"/>
    <x v="156"/>
  </r>
  <r>
    <s v="NexGen Systems"/>
    <x v="3"/>
    <s v="All Ages"/>
    <s v="45 days"/>
    <x v="5"/>
    <n v="0.14000000000000001"/>
    <n v="10012"/>
    <n v="3.64"/>
    <n v="84"/>
    <n v="119.19047619047619"/>
    <s v="Los Angeles"/>
    <s v="German"/>
    <n v="600"/>
    <n v="7646"/>
    <n v="2"/>
    <s v="Tech Enthusiasts"/>
    <x v="157"/>
  </r>
  <r>
    <s v="DataTech Solutions"/>
    <x v="2"/>
    <s v="Men 18-24"/>
    <s v="30 days"/>
    <x v="3"/>
    <n v="0.13"/>
    <n v="17619"/>
    <n v="6.91"/>
    <n v="122"/>
    <n v="144.41803278688525"/>
    <s v="New York"/>
    <s v="German"/>
    <n v="936"/>
    <n v="3743"/>
    <n v="1"/>
    <s v="Fashionistas"/>
    <x v="158"/>
  </r>
  <r>
    <s v="DataTech Solutions"/>
    <x v="2"/>
    <s v="Women 35-44"/>
    <s v="15 days"/>
    <x v="4"/>
    <n v="0.08"/>
    <n v="9576"/>
    <n v="4.28"/>
    <n v="27"/>
    <n v="354.66666666666669"/>
    <s v="Chicago"/>
    <s v="Mandarin"/>
    <n v="342"/>
    <n v="4809"/>
    <n v="10"/>
    <s v="Health &amp; Wellness"/>
    <x v="159"/>
  </r>
  <r>
    <s v="Innovate Industries"/>
    <x v="3"/>
    <s v="Women 35-44"/>
    <s v="15 days"/>
    <x v="0"/>
    <n v="0.02"/>
    <n v="11378"/>
    <n v="6.13"/>
    <n v="18"/>
    <n v="632.11111111111109"/>
    <s v="Miami"/>
    <s v="English"/>
    <n v="915"/>
    <n v="3573"/>
    <n v="4"/>
    <s v="Outdoor Adventurers"/>
    <x v="160"/>
  </r>
  <r>
    <s v="Innovate Industries"/>
    <x v="0"/>
    <s v="Women 35-44"/>
    <s v="45 days"/>
    <x v="3"/>
    <n v="0.14000000000000001"/>
    <n v="5783"/>
    <n v="5.49"/>
    <n v="58"/>
    <n v="99.706896551724142"/>
    <s v="Houston"/>
    <s v="Spanish"/>
    <n v="416"/>
    <n v="3320"/>
    <n v="5"/>
    <s v="Fashionistas"/>
    <x v="161"/>
  </r>
  <r>
    <s v="Innovate Industries"/>
    <x v="2"/>
    <s v="All Ages"/>
    <s v="30 days"/>
    <x v="4"/>
    <n v="0.08"/>
    <n v="5692"/>
    <n v="5.44"/>
    <n v="40"/>
    <n v="142.30000000000001"/>
    <s v="Houston"/>
    <s v="German"/>
    <n v="506"/>
    <n v="2571"/>
    <n v="9"/>
    <s v="Outdoor Adventurers"/>
    <x v="162"/>
  </r>
  <r>
    <s v="TechCorp"/>
    <x v="2"/>
    <s v="Women 25-34"/>
    <s v="15 days"/>
    <x v="5"/>
    <n v="0.09"/>
    <n v="15201"/>
    <n v="4.18"/>
    <n v="37"/>
    <n v="410.83783783783781"/>
    <s v="Los Angeles"/>
    <s v="Spanish"/>
    <n v="410"/>
    <n v="5683"/>
    <n v="4"/>
    <s v="Tech Enthusiasts"/>
    <x v="163"/>
  </r>
  <r>
    <s v="Innovate Industries"/>
    <x v="3"/>
    <s v="Women 35-44"/>
    <s v="15 days"/>
    <x v="0"/>
    <n v="0.04"/>
    <n v="15276"/>
    <n v="4.82"/>
    <n v="9"/>
    <n v="1697.3333333333333"/>
    <s v="Chicago"/>
    <s v="French"/>
    <n v="228"/>
    <n v="6572"/>
    <n v="6"/>
    <s v="Outdoor Adventurers"/>
    <x v="164"/>
  </r>
  <r>
    <s v="Innovate Industries"/>
    <x v="3"/>
    <s v="Women 25-34"/>
    <s v="15 days"/>
    <x v="0"/>
    <n v="7.0000000000000007E-2"/>
    <n v="9955"/>
    <n v="6.98"/>
    <n v="35"/>
    <n v="284.42857142857144"/>
    <s v="New York"/>
    <s v="Mandarin"/>
    <n v="499"/>
    <n v="8707"/>
    <n v="7"/>
    <s v="Foodies"/>
    <x v="165"/>
  </r>
  <r>
    <s v="Innovate Industries"/>
    <x v="1"/>
    <s v="Men 25-34"/>
    <s v="60 days"/>
    <x v="4"/>
    <n v="0.12"/>
    <n v="11417"/>
    <n v="4.21"/>
    <n v="49"/>
    <n v="233"/>
    <s v="Houston"/>
    <s v="French"/>
    <n v="409"/>
    <n v="8683"/>
    <n v="10"/>
    <s v="Foodies"/>
    <x v="166"/>
  </r>
  <r>
    <s v="Alpha Innovations"/>
    <x v="4"/>
    <s v="All Ages"/>
    <s v="15 days"/>
    <x v="5"/>
    <n v="0.12"/>
    <n v="9579"/>
    <n v="2.16"/>
    <n v="91"/>
    <n v="105.26373626373626"/>
    <s v="Chicago"/>
    <s v="German"/>
    <n v="761"/>
    <n v="8879"/>
    <n v="8"/>
    <s v="Outdoor Adventurers"/>
    <x v="167"/>
  </r>
  <r>
    <s v="TechCorp"/>
    <x v="1"/>
    <s v="All Ages"/>
    <s v="60 days"/>
    <x v="0"/>
    <n v="0.1"/>
    <n v="6488"/>
    <n v="7.83"/>
    <n v="41"/>
    <n v="158.2439024390244"/>
    <s v="Chicago"/>
    <s v="Mandarin"/>
    <n v="409"/>
    <n v="3801"/>
    <n v="6"/>
    <s v="Health &amp; Wellness"/>
    <x v="168"/>
  </r>
  <r>
    <s v="NexGen Systems"/>
    <x v="3"/>
    <s v="Men 18-24"/>
    <s v="30 days"/>
    <x v="0"/>
    <n v="0.15"/>
    <n v="9431"/>
    <n v="7.37"/>
    <n v="108"/>
    <n v="87.324074074074076"/>
    <s v="Houston"/>
    <s v="French"/>
    <n v="723"/>
    <n v="1275"/>
    <n v="10"/>
    <s v="Foodies"/>
    <x v="169"/>
  </r>
  <r>
    <s v="Alpha Innovations"/>
    <x v="0"/>
    <s v="Women 35-44"/>
    <s v="15 days"/>
    <x v="5"/>
    <n v="0.06"/>
    <n v="18870"/>
    <n v="7.72"/>
    <n v="44"/>
    <n v="428.86363636363637"/>
    <s v="Los Angeles"/>
    <s v="English"/>
    <n v="726"/>
    <n v="1942"/>
    <n v="8"/>
    <s v="Foodies"/>
    <x v="170"/>
  </r>
  <r>
    <s v="DataTech Solutions"/>
    <x v="3"/>
    <s v="Men 25-34"/>
    <s v="60 days"/>
    <x v="1"/>
    <n v="7.0000000000000007E-2"/>
    <n v="12584"/>
    <n v="7.55"/>
    <n v="38"/>
    <n v="331.15789473684208"/>
    <s v="Houston"/>
    <s v="German"/>
    <n v="545"/>
    <n v="1649"/>
    <n v="5"/>
    <s v="Outdoor Adventurers"/>
    <x v="171"/>
  </r>
  <r>
    <s v="Innovate Industries"/>
    <x v="1"/>
    <s v="All Ages"/>
    <s v="45 days"/>
    <x v="2"/>
    <n v="0.04"/>
    <n v="10435"/>
    <n v="7.25"/>
    <n v="6"/>
    <n v="1739.1666666666667"/>
    <s v="Houston"/>
    <s v="Mandarin"/>
    <n v="140"/>
    <n v="6670"/>
    <n v="2"/>
    <s v="Outdoor Adventurers"/>
    <x v="172"/>
  </r>
  <r>
    <s v="DataTech Solutions"/>
    <x v="4"/>
    <s v="Women 35-44"/>
    <s v="45 days"/>
    <x v="2"/>
    <n v="0.12"/>
    <n v="10262"/>
    <n v="7.65"/>
    <n v="40"/>
    <n v="256.55"/>
    <s v="New York"/>
    <s v="English"/>
    <n v="337"/>
    <n v="8155"/>
    <n v="8"/>
    <s v="Foodies"/>
    <x v="173"/>
  </r>
  <r>
    <s v="NexGen Systems"/>
    <x v="3"/>
    <s v="All Ages"/>
    <s v="30 days"/>
    <x v="3"/>
    <n v="0.06"/>
    <n v="9122"/>
    <n v="4.6100000000000003"/>
    <n v="50"/>
    <n v="182.44"/>
    <s v="New York"/>
    <s v="German"/>
    <n v="830"/>
    <n v="3743"/>
    <n v="6"/>
    <s v="Outdoor Adventurers"/>
    <x v="174"/>
  </r>
  <r>
    <s v="NexGen Systems"/>
    <x v="1"/>
    <s v="Men 25-34"/>
    <s v="45 days"/>
    <x v="4"/>
    <n v="0.09"/>
    <n v="19778"/>
    <n v="4.67"/>
    <n v="48"/>
    <n v="412.04166666666669"/>
    <s v="New York"/>
    <s v="Mandarin"/>
    <n v="534"/>
    <n v="7863"/>
    <n v="1"/>
    <s v="Tech Enthusiasts"/>
    <x v="175"/>
  </r>
  <r>
    <s v="Innovate Industries"/>
    <x v="2"/>
    <s v="Men 18-24"/>
    <s v="30 days"/>
    <x v="5"/>
    <n v="0.04"/>
    <n v="11500"/>
    <n v="6.32"/>
    <n v="4"/>
    <n v="2875"/>
    <s v="Houston"/>
    <s v="Mandarin"/>
    <n v="108"/>
    <n v="8441"/>
    <n v="8"/>
    <s v="Tech Enthusiasts"/>
    <x v="176"/>
  </r>
  <r>
    <s v="DataTech Solutions"/>
    <x v="3"/>
    <s v="All Ages"/>
    <s v="30 days"/>
    <x v="1"/>
    <n v="0.13"/>
    <n v="17916"/>
    <n v="6.04"/>
    <n v="104"/>
    <n v="172.26923076923077"/>
    <s v="New York"/>
    <s v="German"/>
    <n v="797"/>
    <n v="9976"/>
    <n v="2"/>
    <s v="Fashionistas"/>
    <x v="177"/>
  </r>
  <r>
    <s v="NexGen Systems"/>
    <x v="0"/>
    <s v="Women 35-44"/>
    <s v="30 days"/>
    <x v="4"/>
    <n v="0.09"/>
    <n v="10360"/>
    <n v="4.6399999999999997"/>
    <n v="87"/>
    <n v="119.08045977011494"/>
    <s v="Chicago"/>
    <s v="Spanish"/>
    <n v="969"/>
    <n v="2892"/>
    <n v="7"/>
    <s v="Fashionistas"/>
    <x v="178"/>
  </r>
  <r>
    <s v="Innovate Industries"/>
    <x v="0"/>
    <s v="Women 25-34"/>
    <s v="15 days"/>
    <x v="1"/>
    <n v="0.1"/>
    <n v="10102"/>
    <n v="2.48"/>
    <n v="17"/>
    <n v="594.23529411764707"/>
    <s v="Houston"/>
    <s v="English"/>
    <n v="168"/>
    <n v="4008"/>
    <n v="1"/>
    <s v="Health &amp; Wellness"/>
    <x v="179"/>
  </r>
  <r>
    <s v="NexGen Systems"/>
    <x v="0"/>
    <s v="Men 25-34"/>
    <s v="60 days"/>
    <x v="3"/>
    <n v="0.06"/>
    <n v="16455"/>
    <n v="7.48"/>
    <n v="12"/>
    <n v="1371.25"/>
    <s v="Houston"/>
    <s v="Mandarin"/>
    <n v="200"/>
    <n v="2518"/>
    <n v="3"/>
    <s v="Foodies"/>
    <x v="180"/>
  </r>
  <r>
    <s v="Alpha Innovations"/>
    <x v="3"/>
    <s v="Women 35-44"/>
    <s v="60 days"/>
    <x v="0"/>
    <n v="0.08"/>
    <n v="17265"/>
    <n v="5.1100000000000003"/>
    <n v="42"/>
    <n v="411.07142857142856"/>
    <s v="Miami"/>
    <s v="Spanish"/>
    <n v="522"/>
    <n v="2388"/>
    <n v="1"/>
    <s v="Health &amp; Wellness"/>
    <x v="181"/>
  </r>
  <r>
    <s v="Alpha Innovations"/>
    <x v="0"/>
    <s v="Men 25-34"/>
    <s v="15 days"/>
    <x v="5"/>
    <n v="0.03"/>
    <n v="17293"/>
    <n v="4.7699999999999996"/>
    <n v="11"/>
    <n v="1572.090909090909"/>
    <s v="Los Angeles"/>
    <s v="German"/>
    <n v="373"/>
    <n v="7151"/>
    <n v="10"/>
    <s v="Tech Enthusiasts"/>
    <x v="182"/>
  </r>
  <r>
    <s v="Innovate Industries"/>
    <x v="3"/>
    <s v="Men 18-24"/>
    <s v="60 days"/>
    <x v="5"/>
    <n v="0.11"/>
    <n v="19824"/>
    <n v="6.57"/>
    <n v="73"/>
    <n v="271.56164383561645"/>
    <s v="Miami"/>
    <s v="Spanish"/>
    <n v="664"/>
    <n v="3343"/>
    <n v="5"/>
    <s v="Tech Enthusiasts"/>
    <x v="183"/>
  </r>
  <r>
    <s v="Innovate Industries"/>
    <x v="1"/>
    <s v="Women 25-34"/>
    <s v="15 days"/>
    <x v="0"/>
    <n v="0.11"/>
    <n v="5627"/>
    <n v="5.88"/>
    <n v="65"/>
    <n v="86.569230769230771"/>
    <s v="New York"/>
    <s v="Spanish"/>
    <n v="591"/>
    <n v="2805"/>
    <n v="1"/>
    <s v="Foodies"/>
    <x v="184"/>
  </r>
  <r>
    <s v="NexGen Systems"/>
    <x v="1"/>
    <s v="Women 35-44"/>
    <s v="30 days"/>
    <x v="1"/>
    <n v="0.01"/>
    <n v="14290"/>
    <n v="5.8"/>
    <n v="4"/>
    <n v="3572.5"/>
    <s v="Houston"/>
    <s v="Mandarin"/>
    <n v="433"/>
    <n v="9524"/>
    <n v="6"/>
    <s v="Tech Enthusiasts"/>
    <x v="185"/>
  </r>
  <r>
    <s v="DataTech Solutions"/>
    <x v="3"/>
    <s v="Men 25-34"/>
    <s v="60 days"/>
    <x v="2"/>
    <n v="0.03"/>
    <n v="12900"/>
    <n v="7.21"/>
    <n v="17"/>
    <n v="758.82352941176475"/>
    <s v="Houston"/>
    <s v="French"/>
    <n v="567"/>
    <n v="3054"/>
    <n v="1"/>
    <s v="Fashionistas"/>
    <x v="186"/>
  </r>
  <r>
    <s v="TechCorp"/>
    <x v="2"/>
    <s v="Women 25-34"/>
    <s v="30 days"/>
    <x v="1"/>
    <n v="0.1"/>
    <n v="18651"/>
    <n v="5.34"/>
    <n v="96"/>
    <n v="194.28125"/>
    <s v="Los Angeles"/>
    <s v="French"/>
    <n v="960"/>
    <n v="5699"/>
    <n v="10"/>
    <s v="Tech Enthusiasts"/>
    <x v="187"/>
  </r>
  <r>
    <s v="NexGen Systems"/>
    <x v="3"/>
    <s v="Women 25-34"/>
    <s v="60 days"/>
    <x v="5"/>
    <n v="0.03"/>
    <n v="9427"/>
    <n v="3.89"/>
    <n v="12"/>
    <n v="785.58333333333337"/>
    <s v="New York"/>
    <s v="Mandarin"/>
    <n v="393"/>
    <n v="4582"/>
    <n v="1"/>
    <s v="Foodies"/>
    <x v="188"/>
  </r>
  <r>
    <s v="NexGen Systems"/>
    <x v="2"/>
    <s v="Women 35-44"/>
    <s v="15 days"/>
    <x v="2"/>
    <n v="0.12"/>
    <n v="16476"/>
    <n v="2.4500000000000002"/>
    <n v="75"/>
    <n v="219.68"/>
    <s v="Los Angeles"/>
    <s v="Spanish"/>
    <n v="629"/>
    <n v="5619"/>
    <n v="5"/>
    <s v="Outdoor Adventurers"/>
    <x v="189"/>
  </r>
  <r>
    <s v="TechCorp"/>
    <x v="0"/>
    <s v="All Ages"/>
    <s v="15 days"/>
    <x v="2"/>
    <n v="0.1"/>
    <n v="8318"/>
    <n v="2.75"/>
    <n v="19"/>
    <n v="437.78947368421052"/>
    <s v="New York"/>
    <s v="Spanish"/>
    <n v="188"/>
    <n v="9719"/>
    <n v="10"/>
    <s v="Fashionistas"/>
    <x v="190"/>
  </r>
  <r>
    <s v="Alpha Innovations"/>
    <x v="4"/>
    <s v="Men 18-24"/>
    <s v="15 days"/>
    <x v="5"/>
    <n v="0.12"/>
    <n v="9884"/>
    <n v="3.63"/>
    <n v="80"/>
    <n v="123.55"/>
    <s v="Miami"/>
    <s v="Mandarin"/>
    <n v="666"/>
    <n v="5225"/>
    <n v="3"/>
    <s v="Foodies"/>
    <x v="191"/>
  </r>
  <r>
    <s v="DataTech Solutions"/>
    <x v="4"/>
    <s v="All Ages"/>
    <s v="60 days"/>
    <x v="3"/>
    <n v="0.11"/>
    <n v="8581"/>
    <n v="3.16"/>
    <n v="86"/>
    <n v="99.779069767441854"/>
    <s v="Chicago"/>
    <s v="German"/>
    <n v="778"/>
    <n v="3144"/>
    <n v="8"/>
    <s v="Health &amp; Wellness"/>
    <x v="192"/>
  </r>
  <r>
    <s v="TechCorp"/>
    <x v="3"/>
    <s v="All Ages"/>
    <s v="30 days"/>
    <x v="2"/>
    <n v="0.06"/>
    <n v="17673"/>
    <n v="6.49"/>
    <n v="6"/>
    <n v="2945.5"/>
    <s v="New York"/>
    <s v="Spanish"/>
    <n v="101"/>
    <n v="4017"/>
    <n v="5"/>
    <s v="Outdoor Adventurers"/>
    <x v="193"/>
  </r>
  <r>
    <s v="DataTech Solutions"/>
    <x v="2"/>
    <s v="All Ages"/>
    <s v="30 days"/>
    <x v="5"/>
    <n v="0.02"/>
    <n v="8484"/>
    <n v="5.23"/>
    <n v="17"/>
    <n v="499.05882352941177"/>
    <s v="Miami"/>
    <s v="English"/>
    <n v="834"/>
    <n v="3736"/>
    <n v="5"/>
    <s v="Outdoor Adventurers"/>
    <x v="194"/>
  </r>
  <r>
    <s v="NexGen Systems"/>
    <x v="4"/>
    <s v="Men 25-34"/>
    <s v="15 days"/>
    <x v="0"/>
    <n v="0.13"/>
    <n v="10397"/>
    <n v="4.57"/>
    <n v="99"/>
    <n v="105.02020202020202"/>
    <s v="Los Angeles"/>
    <s v="German"/>
    <n v="761"/>
    <n v="5660"/>
    <n v="8"/>
    <s v="Outdoor Adventurers"/>
    <x v="195"/>
  </r>
  <r>
    <s v="DataTech Solutions"/>
    <x v="1"/>
    <s v="Women 35-44"/>
    <s v="30 days"/>
    <x v="0"/>
    <n v="0.06"/>
    <n v="14629"/>
    <n v="4.66"/>
    <n v="55"/>
    <n v="265.9818181818182"/>
    <s v="Los Angeles"/>
    <s v="German"/>
    <n v="913"/>
    <n v="7405"/>
    <n v="7"/>
    <s v="Health &amp; Wellness"/>
    <x v="196"/>
  </r>
  <r>
    <s v="DataTech Solutions"/>
    <x v="4"/>
    <s v="Men 18-24"/>
    <s v="30 days"/>
    <x v="5"/>
    <n v="7.0000000000000007E-2"/>
    <n v="18769"/>
    <n v="4.8899999999999997"/>
    <n v="55"/>
    <n v="341.25454545454545"/>
    <s v="Chicago"/>
    <s v="French"/>
    <n v="791"/>
    <n v="2882"/>
    <n v="5"/>
    <s v="Outdoor Adventurers"/>
    <x v="197"/>
  </r>
  <r>
    <s v="NexGen Systems"/>
    <x v="1"/>
    <s v="Men 18-24"/>
    <s v="15 days"/>
    <x v="0"/>
    <n v="0.03"/>
    <n v="5162"/>
    <n v="6.56"/>
    <n v="19"/>
    <n v="271.68421052631578"/>
    <s v="Houston"/>
    <s v="French"/>
    <n v="649"/>
    <n v="2517"/>
    <n v="6"/>
    <s v="Health &amp; Wellness"/>
    <x v="198"/>
  </r>
  <r>
    <s v="Innovate Industries"/>
    <x v="1"/>
    <s v="Men 18-24"/>
    <s v="15 days"/>
    <x v="1"/>
    <n v="0.12"/>
    <n v="18000"/>
    <n v="5.44"/>
    <n v="29"/>
    <n v="620.68965517241384"/>
    <s v="Chicago"/>
    <s v="French"/>
    <n v="241"/>
    <n v="4717"/>
    <n v="8"/>
    <s v="Tech Enthusiasts"/>
    <x v="199"/>
  </r>
  <r>
    <s v="Innovate Industries"/>
    <x v="4"/>
    <s v="Women 35-44"/>
    <s v="15 days"/>
    <x v="0"/>
    <n v="0.09"/>
    <n v="11930"/>
    <n v="7.48"/>
    <n v="77"/>
    <n v="154.93506493506493"/>
    <s v="New York"/>
    <s v="German"/>
    <n v="857"/>
    <n v="6242"/>
    <n v="10"/>
    <s v="Outdoor Adventurers"/>
    <x v="200"/>
  </r>
  <r>
    <s v="DataTech Solutions"/>
    <x v="4"/>
    <s v="All Ages"/>
    <s v="45 days"/>
    <x v="1"/>
    <n v="0.03"/>
    <n v="6511"/>
    <n v="6.54"/>
    <n v="12"/>
    <n v="542.58333333333337"/>
    <s v="Los Angeles"/>
    <s v="Mandarin"/>
    <n v="398"/>
    <n v="4014"/>
    <n v="6"/>
    <s v="Outdoor Adventurers"/>
    <x v="201"/>
  </r>
  <r>
    <s v="Alpha Innovations"/>
    <x v="3"/>
    <s v="Women 25-34"/>
    <s v="45 days"/>
    <x v="3"/>
    <n v="0.01"/>
    <n v="12425"/>
    <n v="4.5599999999999996"/>
    <n v="1"/>
    <n v="12425"/>
    <s v="New York"/>
    <s v="Spanish"/>
    <n v="102"/>
    <n v="3183"/>
    <n v="8"/>
    <s v="Foodies"/>
    <x v="202"/>
  </r>
  <r>
    <s v="Innovate Industries"/>
    <x v="4"/>
    <s v="Men 25-34"/>
    <s v="30 days"/>
    <x v="1"/>
    <n v="0.13"/>
    <n v="15257"/>
    <n v="7.05"/>
    <n v="27"/>
    <n v="565.07407407407402"/>
    <s v="Los Angeles"/>
    <s v="Spanish"/>
    <n v="208"/>
    <n v="4255"/>
    <n v="4"/>
    <s v="Foodies"/>
    <x v="203"/>
  </r>
  <r>
    <s v="Alpha Innovations"/>
    <x v="1"/>
    <s v="Men 25-34"/>
    <s v="30 days"/>
    <x v="0"/>
    <n v="0.1"/>
    <n v="7593"/>
    <n v="5.37"/>
    <n v="93"/>
    <n v="81.645161290322577"/>
    <s v="Chicago"/>
    <s v="Mandarin"/>
    <n v="931"/>
    <n v="5759"/>
    <n v="5"/>
    <s v="Foodies"/>
    <x v="204"/>
  </r>
  <r>
    <s v="Innovate Industries"/>
    <x v="2"/>
    <s v="Women 25-34"/>
    <s v="45 days"/>
    <x v="5"/>
    <n v="0.03"/>
    <n v="12608"/>
    <n v="2.2599999999999998"/>
    <n v="20"/>
    <n v="630.4"/>
    <s v="Miami"/>
    <s v="Mandarin"/>
    <n v="665"/>
    <n v="2646"/>
    <n v="5"/>
    <s v="Fashionistas"/>
    <x v="205"/>
  </r>
  <r>
    <s v="DataTech Solutions"/>
    <x v="2"/>
    <s v="Men 18-24"/>
    <s v="15 days"/>
    <x v="1"/>
    <n v="0.08"/>
    <n v="6634"/>
    <n v="3.35"/>
    <n v="19"/>
    <n v="349.15789473684208"/>
    <s v="Houston"/>
    <s v="Mandarin"/>
    <n v="235"/>
    <n v="6997"/>
    <n v="10"/>
    <s v="Health &amp; Wellness"/>
    <x v="206"/>
  </r>
  <r>
    <s v="Innovate Industries"/>
    <x v="0"/>
    <s v="Women 35-44"/>
    <s v="60 days"/>
    <x v="3"/>
    <n v="0.02"/>
    <n v="8178"/>
    <n v="5.42"/>
    <n v="11"/>
    <n v="743.4545454545455"/>
    <s v="New York"/>
    <s v="Mandarin"/>
    <n v="544"/>
    <n v="5323"/>
    <n v="9"/>
    <s v="Fashionistas"/>
    <x v="207"/>
  </r>
  <r>
    <s v="DataTech Solutions"/>
    <x v="4"/>
    <s v="Women 35-44"/>
    <s v="15 days"/>
    <x v="2"/>
    <n v="0.04"/>
    <n v="19677"/>
    <n v="2.95"/>
    <n v="9"/>
    <n v="2186.3333333333335"/>
    <s v="New York"/>
    <s v="Mandarin"/>
    <n v="225"/>
    <n v="5679"/>
    <n v="4"/>
    <s v="Outdoor Adventurers"/>
    <x v="208"/>
  </r>
  <r>
    <s v="TechCorp"/>
    <x v="0"/>
    <s v="Women 25-34"/>
    <s v="60 days"/>
    <x v="1"/>
    <n v="0.13"/>
    <n v="6184"/>
    <n v="4.3600000000000003"/>
    <n v="97"/>
    <n v="63.75257731958763"/>
    <s v="New York"/>
    <s v="French"/>
    <n v="746"/>
    <n v="6281"/>
    <n v="3"/>
    <s v="Tech Enthusiasts"/>
    <x v="209"/>
  </r>
  <r>
    <s v="NexGen Systems"/>
    <x v="3"/>
    <s v="Men 25-34"/>
    <s v="45 days"/>
    <x v="5"/>
    <n v="0.08"/>
    <n v="10039"/>
    <n v="7.96"/>
    <n v="27"/>
    <n v="371.81481481481484"/>
    <s v="Los Angeles"/>
    <s v="French"/>
    <n v="337"/>
    <n v="7572"/>
    <n v="5"/>
    <s v="Outdoor Adventurers"/>
    <x v="210"/>
  </r>
  <r>
    <s v="DataTech Solutions"/>
    <x v="2"/>
    <s v="Men 25-34"/>
    <s v="45 days"/>
    <x v="2"/>
    <n v="0.09"/>
    <n v="8663"/>
    <n v="6.25"/>
    <n v="13"/>
    <n v="666.38461538461536"/>
    <s v="Chicago"/>
    <s v="Spanish"/>
    <n v="139"/>
    <n v="9712"/>
    <n v="7"/>
    <s v="Foodies"/>
    <x v="211"/>
  </r>
  <r>
    <s v="DataTech Solutions"/>
    <x v="1"/>
    <s v="Women 35-44"/>
    <s v="30 days"/>
    <x v="2"/>
    <n v="7.0000000000000007E-2"/>
    <n v="8197"/>
    <n v="2.2599999999999998"/>
    <n v="33"/>
    <n v="248.39393939393941"/>
    <s v="Houston"/>
    <s v="English"/>
    <n v="473"/>
    <n v="4825"/>
    <n v="1"/>
    <s v="Fashionistas"/>
    <x v="212"/>
  </r>
  <r>
    <s v="TechCorp"/>
    <x v="2"/>
    <s v="Women 35-44"/>
    <s v="60 days"/>
    <x v="5"/>
    <n v="0.06"/>
    <n v="18231"/>
    <n v="2.6"/>
    <n v="27"/>
    <n v="675.22222222222217"/>
    <s v="New York"/>
    <s v="English"/>
    <n v="449"/>
    <n v="4061"/>
    <n v="2"/>
    <s v="Tech Enthusiasts"/>
    <x v="213"/>
  </r>
  <r>
    <s v="Innovate Industries"/>
    <x v="1"/>
    <s v="Men 18-24"/>
    <s v="15 days"/>
    <x v="3"/>
    <n v="0.14000000000000001"/>
    <n v="7450"/>
    <n v="2.95"/>
    <n v="105"/>
    <n v="70.952380952380949"/>
    <s v="New York"/>
    <s v="Mandarin"/>
    <n v="748"/>
    <n v="6084"/>
    <n v="10"/>
    <s v="Foodies"/>
    <x v="214"/>
  </r>
  <r>
    <s v="TechCorp"/>
    <x v="3"/>
    <s v="Women 35-44"/>
    <s v="45 days"/>
    <x v="3"/>
    <n v="7.0000000000000007E-2"/>
    <n v="15095"/>
    <n v="6.76"/>
    <n v="30"/>
    <n v="503.16666666666669"/>
    <s v="Chicago"/>
    <s v="French"/>
    <n v="425"/>
    <n v="5051"/>
    <n v="1"/>
    <s v="Tech Enthusiasts"/>
    <x v="215"/>
  </r>
  <r>
    <s v="NexGen Systems"/>
    <x v="4"/>
    <s v="Men 18-24"/>
    <s v="15 days"/>
    <x v="3"/>
    <n v="0.02"/>
    <n v="18109"/>
    <n v="2.36"/>
    <n v="18"/>
    <n v="1006.0555555555555"/>
    <s v="Houston"/>
    <s v="English"/>
    <n v="881"/>
    <n v="6087"/>
    <n v="10"/>
    <s v="Health &amp; Wellness"/>
    <x v="216"/>
  </r>
  <r>
    <s v="Innovate Industries"/>
    <x v="0"/>
    <s v="Women 25-34"/>
    <s v="30 days"/>
    <x v="4"/>
    <n v="0.14000000000000001"/>
    <n v="8213"/>
    <n v="7.24"/>
    <n v="64"/>
    <n v="128.328125"/>
    <s v="New York"/>
    <s v="Mandarin"/>
    <n v="457"/>
    <n v="6784"/>
    <n v="4"/>
    <s v="Tech Enthusiasts"/>
    <x v="217"/>
  </r>
  <r>
    <s v="Alpha Innovations"/>
    <x v="0"/>
    <s v="Men 18-24"/>
    <s v="60 days"/>
    <x v="1"/>
    <n v="0.04"/>
    <n v="10691"/>
    <n v="7.12"/>
    <n v="19"/>
    <n v="562.68421052631584"/>
    <s v="New York"/>
    <s v="French"/>
    <n v="483"/>
    <n v="7117"/>
    <n v="9"/>
    <s v="Health &amp; Wellness"/>
    <x v="218"/>
  </r>
  <r>
    <s v="TechCorp"/>
    <x v="4"/>
    <s v="Women 25-34"/>
    <s v="60 days"/>
    <x v="4"/>
    <n v="0.05"/>
    <n v="6026"/>
    <n v="5.21"/>
    <n v="25"/>
    <n v="241.04"/>
    <s v="Chicago"/>
    <s v="Spanish"/>
    <n v="495"/>
    <n v="3000"/>
    <n v="9"/>
    <s v="Tech Enthusiasts"/>
    <x v="219"/>
  </r>
  <r>
    <s v="TechCorp"/>
    <x v="1"/>
    <s v="Women 35-44"/>
    <s v="15 days"/>
    <x v="3"/>
    <n v="0.11"/>
    <n v="11746"/>
    <n v="7.39"/>
    <n v="22"/>
    <n v="533.90909090909088"/>
    <s v="Houston"/>
    <s v="Spanish"/>
    <n v="200"/>
    <n v="6729"/>
    <n v="8"/>
    <s v="Fashionistas"/>
    <x v="220"/>
  </r>
  <r>
    <s v="Innovate Industries"/>
    <x v="3"/>
    <s v="Women 35-44"/>
    <s v="15 days"/>
    <x v="5"/>
    <n v="7.0000000000000007E-2"/>
    <n v="19764"/>
    <n v="2.88"/>
    <n v="28"/>
    <n v="705.85714285714289"/>
    <s v="Miami"/>
    <s v="Mandarin"/>
    <n v="399"/>
    <n v="4829"/>
    <n v="3"/>
    <s v="Tech Enthusiasts"/>
    <x v="221"/>
  </r>
  <r>
    <s v="Innovate Industries"/>
    <x v="3"/>
    <s v="Men 25-34"/>
    <s v="60 days"/>
    <x v="5"/>
    <n v="0.03"/>
    <n v="16537"/>
    <n v="3.76"/>
    <n v="11"/>
    <n v="1503.3636363636363"/>
    <s v="Los Angeles"/>
    <s v="French"/>
    <n v="382"/>
    <n v="3692"/>
    <n v="2"/>
    <s v="Fashionistas"/>
    <x v="222"/>
  </r>
  <r>
    <s v="NexGen Systems"/>
    <x v="2"/>
    <s v="Men 25-34"/>
    <s v="60 days"/>
    <x v="2"/>
    <n v="0.14000000000000001"/>
    <n v="16552"/>
    <n v="6"/>
    <n v="56"/>
    <n v="295.57142857142856"/>
    <s v="Houston"/>
    <s v="English"/>
    <n v="399"/>
    <n v="6352"/>
    <n v="2"/>
    <s v="Tech Enthusiasts"/>
    <x v="223"/>
  </r>
  <r>
    <s v="Alpha Innovations"/>
    <x v="1"/>
    <s v="Women 35-44"/>
    <s v="45 days"/>
    <x v="4"/>
    <n v="0.04"/>
    <n v="15255"/>
    <n v="2.5099999999999998"/>
    <n v="25"/>
    <n v="610.20000000000005"/>
    <s v="Chicago"/>
    <s v="Spanish"/>
    <n v="637"/>
    <n v="1916"/>
    <n v="7"/>
    <s v="Fashionistas"/>
    <x v="224"/>
  </r>
  <r>
    <s v="Innovate Industries"/>
    <x v="2"/>
    <s v="Women 25-34"/>
    <s v="15 days"/>
    <x v="4"/>
    <n v="7.0000000000000007E-2"/>
    <n v="19264"/>
    <n v="4.55"/>
    <n v="57"/>
    <n v="337.96491228070175"/>
    <s v="New York"/>
    <s v="Spanish"/>
    <n v="813"/>
    <n v="2434"/>
    <n v="6"/>
    <s v="Foodies"/>
    <x v="225"/>
  </r>
  <r>
    <s v="TechCorp"/>
    <x v="3"/>
    <s v="All Ages"/>
    <s v="15 days"/>
    <x v="1"/>
    <n v="0.15"/>
    <n v="6935"/>
    <n v="3.81"/>
    <n v="31"/>
    <n v="223.70967741935485"/>
    <s v="New York"/>
    <s v="Spanish"/>
    <n v="206"/>
    <n v="5707"/>
    <n v="1"/>
    <s v="Fashionistas"/>
    <x v="226"/>
  </r>
  <r>
    <s v="DataTech Solutions"/>
    <x v="4"/>
    <s v="All Ages"/>
    <s v="15 days"/>
    <x v="0"/>
    <n v="0.08"/>
    <n v="14963"/>
    <n v="2.09"/>
    <n v="11"/>
    <n v="1360.2727272727273"/>
    <s v="New York"/>
    <s v="German"/>
    <n v="135"/>
    <n v="7505"/>
    <n v="4"/>
    <s v="Tech Enthusiasts"/>
    <x v="227"/>
  </r>
  <r>
    <s v="Innovate Industries"/>
    <x v="3"/>
    <s v="All Ages"/>
    <s v="30 days"/>
    <x v="0"/>
    <n v="0.13"/>
    <n v="18789"/>
    <n v="5.55"/>
    <n v="105"/>
    <n v="178.94285714285715"/>
    <s v="Los Angeles"/>
    <s v="English"/>
    <n v="805"/>
    <n v="8081"/>
    <n v="3"/>
    <s v="Health &amp; Wellness"/>
    <x v="228"/>
  </r>
  <r>
    <s v="Innovate Industries"/>
    <x v="1"/>
    <s v="Men 25-34"/>
    <s v="30 days"/>
    <x v="5"/>
    <n v="0.08"/>
    <n v="16781"/>
    <n v="2.2000000000000002"/>
    <n v="45"/>
    <n v="372.9111111111111"/>
    <s v="Los Angeles"/>
    <s v="French"/>
    <n v="563"/>
    <n v="5553"/>
    <n v="4"/>
    <s v="Fashionistas"/>
    <x v="229"/>
  </r>
  <r>
    <s v="TechCorp"/>
    <x v="2"/>
    <s v="Women 35-44"/>
    <s v="30 days"/>
    <x v="5"/>
    <n v="0.09"/>
    <n v="12704"/>
    <n v="3.76"/>
    <n v="10"/>
    <n v="1270.4000000000001"/>
    <s v="Los Angeles"/>
    <s v="German"/>
    <n v="116"/>
    <n v="6691"/>
    <n v="9"/>
    <s v="Outdoor Adventurers"/>
    <x v="230"/>
  </r>
  <r>
    <s v="NexGen Systems"/>
    <x v="2"/>
    <s v="Women 35-44"/>
    <s v="15 days"/>
    <x v="2"/>
    <n v="0.05"/>
    <n v="18813"/>
    <n v="7.04"/>
    <n v="31"/>
    <n v="606.87096774193549"/>
    <s v="New York"/>
    <s v="French"/>
    <n v="614"/>
    <n v="2060"/>
    <n v="6"/>
    <s v="Fashionistas"/>
    <x v="231"/>
  </r>
  <r>
    <s v="DataTech Solutions"/>
    <x v="2"/>
    <s v="All Ages"/>
    <s v="30 days"/>
    <x v="5"/>
    <n v="0.02"/>
    <n v="9860"/>
    <n v="5.75"/>
    <n v="11"/>
    <n v="896.36363636363637"/>
    <s v="Miami"/>
    <s v="Spanish"/>
    <n v="544"/>
    <n v="4319"/>
    <n v="5"/>
    <s v="Tech Enthusiasts"/>
    <x v="232"/>
  </r>
  <r>
    <s v="Innovate Industries"/>
    <x v="1"/>
    <s v="Men 25-34"/>
    <s v="45 days"/>
    <x v="2"/>
    <n v="0.14000000000000001"/>
    <n v="15283"/>
    <n v="2.0699999999999998"/>
    <n v="28"/>
    <n v="545.82142857142856"/>
    <s v="Houston"/>
    <s v="German"/>
    <n v="198"/>
    <n v="6145"/>
    <n v="3"/>
    <s v="Health &amp; Wellness"/>
    <x v="233"/>
  </r>
  <r>
    <s v="Alpha Innovations"/>
    <x v="3"/>
    <s v="All Ages"/>
    <s v="45 days"/>
    <x v="0"/>
    <n v="0.05"/>
    <n v="9803"/>
    <n v="4"/>
    <n v="24"/>
    <n v="408.45833333333331"/>
    <s v="Chicago"/>
    <s v="French"/>
    <n v="488"/>
    <n v="4669"/>
    <n v="8"/>
    <s v="Outdoor Adventurers"/>
    <x v="234"/>
  </r>
  <r>
    <s v="DataTech Solutions"/>
    <x v="4"/>
    <s v="All Ages"/>
    <s v="45 days"/>
    <x v="0"/>
    <n v="0.11"/>
    <n v="5211"/>
    <n v="5.29"/>
    <n v="96"/>
    <n v="54.28125"/>
    <s v="Chicago"/>
    <s v="German"/>
    <n v="870"/>
    <n v="5910"/>
    <n v="10"/>
    <s v="Foodies"/>
    <x v="235"/>
  </r>
  <r>
    <s v="NexGen Systems"/>
    <x v="3"/>
    <s v="Women 35-44"/>
    <s v="60 days"/>
    <x v="1"/>
    <n v="0.05"/>
    <n v="11582"/>
    <n v="3.71"/>
    <n v="39"/>
    <n v="296.97435897435895"/>
    <s v="Los Angeles"/>
    <s v="French"/>
    <n v="774"/>
    <n v="9294"/>
    <n v="6"/>
    <s v="Foodies"/>
    <x v="236"/>
  </r>
  <r>
    <s v="TechCorp"/>
    <x v="0"/>
    <s v="Men 25-34"/>
    <s v="60 days"/>
    <x v="1"/>
    <n v="0.12"/>
    <n v="8154"/>
    <n v="5.23"/>
    <n v="44"/>
    <n v="185.31818181818181"/>
    <s v="New York"/>
    <s v="German"/>
    <n v="370"/>
    <n v="5071"/>
    <n v="9"/>
    <s v="Outdoor Adventurers"/>
    <x v="237"/>
  </r>
  <r>
    <s v="Innovate Industries"/>
    <x v="2"/>
    <s v="Women 25-34"/>
    <s v="30 days"/>
    <x v="5"/>
    <n v="0.13"/>
    <n v="16754"/>
    <n v="6.23"/>
    <n v="87"/>
    <n v="192.57471264367817"/>
    <s v="Chicago"/>
    <s v="Mandarin"/>
    <n v="671"/>
    <n v="4846"/>
    <n v="10"/>
    <s v="Health &amp; Wellness"/>
    <x v="238"/>
  </r>
  <r>
    <s v="TechCorp"/>
    <x v="4"/>
    <s v="Men 18-24"/>
    <s v="15 days"/>
    <x v="0"/>
    <n v="0.13"/>
    <n v="13200"/>
    <n v="5.99"/>
    <n v="77"/>
    <n v="171.42857142857142"/>
    <s v="Chicago"/>
    <s v="French"/>
    <n v="596"/>
    <n v="3505"/>
    <n v="9"/>
    <s v="Foodies"/>
    <x v="239"/>
  </r>
  <r>
    <s v="Innovate Industries"/>
    <x v="2"/>
    <s v="Men 25-34"/>
    <s v="30 days"/>
    <x v="2"/>
    <n v="0.09"/>
    <n v="19319"/>
    <n v="4.74"/>
    <n v="67"/>
    <n v="288.34328358208955"/>
    <s v="Los Angeles"/>
    <s v="English"/>
    <n v="746"/>
    <n v="3050"/>
    <n v="1"/>
    <s v="Tech Enthusiasts"/>
    <x v="240"/>
  </r>
  <r>
    <s v="DataTech Solutions"/>
    <x v="4"/>
    <s v="Women 35-44"/>
    <s v="15 days"/>
    <x v="5"/>
    <n v="0.14000000000000001"/>
    <n v="18461"/>
    <n v="7.52"/>
    <n v="53"/>
    <n v="348.32075471698113"/>
    <s v="Chicago"/>
    <s v="German"/>
    <n v="381"/>
    <n v="8686"/>
    <n v="5"/>
    <s v="Health &amp; Wellness"/>
    <x v="241"/>
  </r>
  <r>
    <s v="Innovate Industries"/>
    <x v="2"/>
    <s v="Men 18-24"/>
    <s v="60 days"/>
    <x v="0"/>
    <n v="0.04"/>
    <n v="14186"/>
    <n v="3.74"/>
    <n v="18"/>
    <n v="788.11111111111109"/>
    <s v="Houston"/>
    <s v="Mandarin"/>
    <n v="460"/>
    <n v="5624"/>
    <n v="9"/>
    <s v="Outdoor Adventurers"/>
    <x v="242"/>
  </r>
  <r>
    <s v="TechCorp"/>
    <x v="3"/>
    <s v="All Ages"/>
    <s v="15 days"/>
    <x v="2"/>
    <n v="0.13"/>
    <n v="9690"/>
    <n v="2.75"/>
    <n v="120"/>
    <n v="80.75"/>
    <s v="Houston"/>
    <s v="Mandarin"/>
    <n v="921"/>
    <n v="8218"/>
    <n v="10"/>
    <s v="Health &amp; Wellness"/>
    <x v="243"/>
  </r>
  <r>
    <s v="NexGen Systems"/>
    <x v="4"/>
    <s v="Men 18-24"/>
    <s v="60 days"/>
    <x v="5"/>
    <n v="0.11"/>
    <n v="16856"/>
    <n v="3"/>
    <n v="38"/>
    <n v="443.57894736842104"/>
    <s v="Houston"/>
    <s v="French"/>
    <n v="344"/>
    <n v="9455"/>
    <n v="3"/>
    <s v="Foodies"/>
    <x v="244"/>
  </r>
  <r>
    <s v="DataTech Solutions"/>
    <x v="2"/>
    <s v="Men 25-34"/>
    <s v="15 days"/>
    <x v="5"/>
    <n v="0.13"/>
    <n v="11938"/>
    <n v="3.94"/>
    <n v="37"/>
    <n v="322.64864864864865"/>
    <s v="Chicago"/>
    <s v="English"/>
    <n v="285"/>
    <n v="8537"/>
    <n v="7"/>
    <s v="Health &amp; Wellness"/>
    <x v="245"/>
  </r>
  <r>
    <s v="Alpha Innovations"/>
    <x v="1"/>
    <s v="Men 18-24"/>
    <s v="60 days"/>
    <x v="4"/>
    <n v="0.09"/>
    <n v="19309"/>
    <n v="6.52"/>
    <n v="36"/>
    <n v="536.36111111111109"/>
    <s v="New York"/>
    <s v="Mandarin"/>
    <n v="400"/>
    <n v="3410"/>
    <n v="10"/>
    <s v="Foodies"/>
    <x v="246"/>
  </r>
  <r>
    <s v="DataTech Solutions"/>
    <x v="3"/>
    <s v="Women 35-44"/>
    <s v="15 days"/>
    <x v="5"/>
    <n v="0.05"/>
    <n v="6188"/>
    <n v="6.97"/>
    <n v="20"/>
    <n v="309.39999999999998"/>
    <s v="New York"/>
    <s v="Mandarin"/>
    <n v="408"/>
    <n v="6051"/>
    <n v="1"/>
    <s v="Fashionistas"/>
    <x v="247"/>
  </r>
  <r>
    <s v="Innovate Industries"/>
    <x v="1"/>
    <s v="Men 18-24"/>
    <s v="60 days"/>
    <x v="2"/>
    <n v="0.02"/>
    <n v="10677"/>
    <n v="4"/>
    <n v="16"/>
    <n v="667.3125"/>
    <s v="New York"/>
    <s v="German"/>
    <n v="779"/>
    <n v="1319"/>
    <n v="8"/>
    <s v="Foodies"/>
    <x v="248"/>
  </r>
  <r>
    <s v="NexGen Systems"/>
    <x v="1"/>
    <s v="Women 25-34"/>
    <s v="60 days"/>
    <x v="3"/>
    <n v="0.04"/>
    <n v="18792"/>
    <n v="6.86"/>
    <n v="8"/>
    <n v="2349"/>
    <s v="Miami"/>
    <s v="French"/>
    <n v="197"/>
    <n v="3210"/>
    <n v="3"/>
    <s v="Foodies"/>
    <x v="249"/>
  </r>
  <r>
    <s v="DataTech Solutions"/>
    <x v="4"/>
    <s v="Women 25-34"/>
    <s v="60 days"/>
    <x v="5"/>
    <n v="0.04"/>
    <n v="17139"/>
    <n v="6.26"/>
    <n v="39"/>
    <n v="439.46153846153845"/>
    <s v="Los Angeles"/>
    <s v="German"/>
    <n v="970"/>
    <n v="6756"/>
    <n v="5"/>
    <s v="Tech Enthusiasts"/>
    <x v="250"/>
  </r>
  <r>
    <s v="DataTech Solutions"/>
    <x v="4"/>
    <s v="Women 25-34"/>
    <s v="30 days"/>
    <x v="2"/>
    <n v="0.03"/>
    <n v="19911"/>
    <n v="6.23"/>
    <n v="9"/>
    <n v="2212.3333333333335"/>
    <s v="Los Angeles"/>
    <s v="English"/>
    <n v="307"/>
    <n v="6418"/>
    <n v="5"/>
    <s v="Outdoor Adventurers"/>
    <x v="251"/>
  </r>
  <r>
    <s v="Alpha Innovations"/>
    <x v="0"/>
    <s v="Men 18-24"/>
    <s v="15 days"/>
    <x v="2"/>
    <n v="0.15"/>
    <n v="12811"/>
    <n v="6.91"/>
    <n v="73"/>
    <n v="175.49315068493149"/>
    <s v="Los Angeles"/>
    <s v="English"/>
    <n v="489"/>
    <n v="6013"/>
    <n v="9"/>
    <s v="Health &amp; Wellness"/>
    <x v="252"/>
  </r>
  <r>
    <s v="DataTech Solutions"/>
    <x v="0"/>
    <s v="All Ages"/>
    <s v="60 days"/>
    <x v="4"/>
    <n v="0.09"/>
    <n v="13707"/>
    <n v="4.4800000000000004"/>
    <n v="73"/>
    <n v="187.76712328767124"/>
    <s v="Houston"/>
    <s v="Spanish"/>
    <n v="811"/>
    <n v="7434"/>
    <n v="10"/>
    <s v="Tech Enthusiasts"/>
    <x v="253"/>
  </r>
  <r>
    <s v="DataTech Solutions"/>
    <x v="1"/>
    <s v="Men 18-24"/>
    <s v="15 days"/>
    <x v="5"/>
    <n v="0.1"/>
    <n v="19839"/>
    <n v="4.3499999999999996"/>
    <n v="45"/>
    <n v="440.86666666666667"/>
    <s v="Chicago"/>
    <s v="English"/>
    <n v="450"/>
    <n v="7663"/>
    <n v="7"/>
    <s v="Health &amp; Wellness"/>
    <x v="254"/>
  </r>
  <r>
    <s v="DataTech Solutions"/>
    <x v="3"/>
    <s v="Women 35-44"/>
    <s v="15 days"/>
    <x v="0"/>
    <n v="0.06"/>
    <n v="7224"/>
    <n v="7.77"/>
    <n v="39"/>
    <n v="185.23076923076923"/>
    <s v="Los Angeles"/>
    <s v="English"/>
    <n v="658"/>
    <n v="3290"/>
    <n v="6"/>
    <s v="Outdoor Adventurers"/>
    <x v="255"/>
  </r>
  <r>
    <s v="NexGen Systems"/>
    <x v="0"/>
    <s v="Women 35-44"/>
    <s v="60 days"/>
    <x v="5"/>
    <n v="0.02"/>
    <n v="16746"/>
    <n v="7"/>
    <n v="2"/>
    <n v="8373"/>
    <s v="Chicago"/>
    <s v="English"/>
    <n v="119"/>
    <n v="4657"/>
    <n v="5"/>
    <s v="Foodies"/>
    <x v="256"/>
  </r>
  <r>
    <s v="Alpha Innovations"/>
    <x v="4"/>
    <s v="Men 18-24"/>
    <s v="30 days"/>
    <x v="3"/>
    <n v="0.08"/>
    <n v="16060"/>
    <n v="5.07"/>
    <n v="63"/>
    <n v="254.92063492063491"/>
    <s v="Los Angeles"/>
    <s v="English"/>
    <n v="790"/>
    <n v="8666"/>
    <n v="1"/>
    <s v="Fashionistas"/>
    <x v="257"/>
  </r>
  <r>
    <s v="NexGen Systems"/>
    <x v="0"/>
    <s v="Men 18-24"/>
    <s v="45 days"/>
    <x v="1"/>
    <n v="0.12"/>
    <n v="15397"/>
    <n v="2.06"/>
    <n v="56"/>
    <n v="274.94642857142856"/>
    <s v="Miami"/>
    <s v="French"/>
    <n v="468"/>
    <n v="5703"/>
    <n v="5"/>
    <s v="Foodies"/>
    <x v="258"/>
  </r>
  <r>
    <s v="DataTech Solutions"/>
    <x v="4"/>
    <s v="Women 35-44"/>
    <s v="45 days"/>
    <x v="0"/>
    <n v="0.1"/>
    <n v="13593"/>
    <n v="6.89"/>
    <n v="67"/>
    <n v="202.88059701492537"/>
    <s v="New York"/>
    <s v="Spanish"/>
    <n v="674"/>
    <n v="6457"/>
    <n v="8"/>
    <s v="Foodies"/>
    <x v="259"/>
  </r>
  <r>
    <s v="DataTech Solutions"/>
    <x v="2"/>
    <s v="Men 25-34"/>
    <s v="30 days"/>
    <x v="1"/>
    <n v="0.05"/>
    <n v="19078"/>
    <n v="5.2"/>
    <n v="32"/>
    <n v="596.1875"/>
    <s v="Miami"/>
    <s v="French"/>
    <n v="639"/>
    <n v="1026"/>
    <n v="9"/>
    <s v="Outdoor Adventurers"/>
    <x v="260"/>
  </r>
  <r>
    <s v="Alpha Innovations"/>
    <x v="4"/>
    <s v="Men 25-34"/>
    <s v="30 days"/>
    <x v="1"/>
    <n v="0.02"/>
    <n v="15734"/>
    <n v="4.49"/>
    <n v="13"/>
    <n v="1210.3076923076924"/>
    <s v="Miami"/>
    <s v="Mandarin"/>
    <n v="669"/>
    <n v="7604"/>
    <n v="1"/>
    <s v="Foodies"/>
    <x v="261"/>
  </r>
  <r>
    <s v="NexGen Systems"/>
    <x v="2"/>
    <s v="Men 25-34"/>
    <s v="45 days"/>
    <x v="0"/>
    <n v="0.03"/>
    <n v="18054"/>
    <n v="7.61"/>
    <n v="5"/>
    <n v="3610.8"/>
    <s v="Los Angeles"/>
    <s v="French"/>
    <n v="155"/>
    <n v="8552"/>
    <n v="1"/>
    <s v="Tech Enthusiasts"/>
    <x v="262"/>
  </r>
  <r>
    <s v="NexGen Systems"/>
    <x v="0"/>
    <s v="Men 25-34"/>
    <s v="60 days"/>
    <x v="5"/>
    <n v="0.05"/>
    <n v="15878"/>
    <n v="2.8"/>
    <n v="46"/>
    <n v="345.17391304347825"/>
    <s v="Los Angeles"/>
    <s v="Mandarin"/>
    <n v="920"/>
    <n v="5440"/>
    <n v="5"/>
    <s v="Foodies"/>
    <x v="263"/>
  </r>
  <r>
    <s v="Innovate Industries"/>
    <x v="2"/>
    <s v="Women 35-44"/>
    <s v="45 days"/>
    <x v="2"/>
    <n v="0.04"/>
    <n v="5830"/>
    <n v="7.46"/>
    <n v="30"/>
    <n v="194.33333333333334"/>
    <s v="Miami"/>
    <s v="Spanish"/>
    <n v="749"/>
    <n v="6171"/>
    <n v="9"/>
    <s v="Outdoor Adventurers"/>
    <x v="264"/>
  </r>
  <r>
    <s v="DataTech Solutions"/>
    <x v="1"/>
    <s v="Women 35-44"/>
    <s v="30 days"/>
    <x v="5"/>
    <n v="0.13"/>
    <n v="5311"/>
    <n v="5.87"/>
    <n v="46"/>
    <n v="115.45652173913044"/>
    <s v="Los Angeles"/>
    <s v="French"/>
    <n v="351"/>
    <n v="2343"/>
    <n v="8"/>
    <s v="Tech Enthusiasts"/>
    <x v="265"/>
  </r>
  <r>
    <s v="Alpha Innovations"/>
    <x v="4"/>
    <s v="Men 25-34"/>
    <s v="60 days"/>
    <x v="3"/>
    <n v="0.11"/>
    <n v="14298"/>
    <n v="4.8899999999999997"/>
    <n v="32"/>
    <n v="446.8125"/>
    <s v="Los Angeles"/>
    <s v="Spanish"/>
    <n v="288"/>
    <n v="3464"/>
    <n v="7"/>
    <s v="Foodies"/>
    <x v="266"/>
  </r>
  <r>
    <s v="NexGen Systems"/>
    <x v="0"/>
    <s v="Men 18-24"/>
    <s v="45 days"/>
    <x v="1"/>
    <n v="0.04"/>
    <n v="15701"/>
    <n v="4.45"/>
    <n v="40"/>
    <n v="392.52499999999998"/>
    <s v="Los Angeles"/>
    <s v="Spanish"/>
    <n v="999"/>
    <n v="8554"/>
    <n v="10"/>
    <s v="Outdoor Adventurers"/>
    <x v="267"/>
  </r>
  <r>
    <s v="NexGen Systems"/>
    <x v="3"/>
    <s v="Women 25-34"/>
    <s v="60 days"/>
    <x v="0"/>
    <n v="0.1"/>
    <n v="11119"/>
    <n v="3.63"/>
    <n v="59"/>
    <n v="188.45762711864407"/>
    <s v="New York"/>
    <s v="German"/>
    <n v="586"/>
    <n v="7835"/>
    <n v="10"/>
    <s v="Outdoor Adventurers"/>
    <x v="268"/>
  </r>
  <r>
    <s v="Innovate Industries"/>
    <x v="1"/>
    <s v="Women 25-34"/>
    <s v="30 days"/>
    <x v="1"/>
    <n v="0.1"/>
    <n v="6303"/>
    <n v="2.95"/>
    <n v="84"/>
    <n v="75.035714285714292"/>
    <s v="Chicago"/>
    <s v="Spanish"/>
    <n v="838"/>
    <n v="4527"/>
    <n v="1"/>
    <s v="Outdoor Adventurers"/>
    <x v="269"/>
  </r>
  <r>
    <s v="NexGen Systems"/>
    <x v="2"/>
    <s v="Women 35-44"/>
    <s v="45 days"/>
    <x v="3"/>
    <n v="0.05"/>
    <n v="5333"/>
    <n v="5.94"/>
    <n v="9"/>
    <n v="592.55555555555554"/>
    <s v="New York"/>
    <s v="German"/>
    <n v="188"/>
    <n v="9412"/>
    <n v="7"/>
    <s v="Fashionistas"/>
    <x v="270"/>
  </r>
  <r>
    <s v="Innovate Industries"/>
    <x v="1"/>
    <s v="Women 35-44"/>
    <s v="45 days"/>
    <x v="0"/>
    <n v="0.08"/>
    <n v="9706"/>
    <n v="7.43"/>
    <n v="45"/>
    <n v="215.6888888888889"/>
    <s v="Chicago"/>
    <s v="Mandarin"/>
    <n v="568"/>
    <n v="2341"/>
    <n v="5"/>
    <s v="Foodies"/>
    <x v="271"/>
  </r>
  <r>
    <s v="NexGen Systems"/>
    <x v="3"/>
    <s v="Men 25-34"/>
    <s v="15 days"/>
    <x v="4"/>
    <n v="0.06"/>
    <n v="12487"/>
    <n v="4.8099999999999996"/>
    <n v="29"/>
    <n v="430.58620689655174"/>
    <s v="New York"/>
    <s v="English"/>
    <n v="490"/>
    <n v="7763"/>
    <n v="9"/>
    <s v="Health &amp; Wellness"/>
    <x v="272"/>
  </r>
  <r>
    <s v="Alpha Innovations"/>
    <x v="1"/>
    <s v="Women 25-34"/>
    <s v="15 days"/>
    <x v="0"/>
    <n v="0.13"/>
    <n v="12188"/>
    <n v="5.96"/>
    <n v="59"/>
    <n v="206.57627118644066"/>
    <s v="Miami"/>
    <s v="English"/>
    <n v="451"/>
    <n v="9816"/>
    <n v="3"/>
    <s v="Fashionistas"/>
    <x v="273"/>
  </r>
  <r>
    <s v="Innovate Industries"/>
    <x v="4"/>
    <s v="Men 18-24"/>
    <s v="15 days"/>
    <x v="3"/>
    <n v="0.09"/>
    <n v="13506"/>
    <n v="6.24"/>
    <n v="87"/>
    <n v="155.24137931034483"/>
    <s v="Chicago"/>
    <s v="Spanish"/>
    <n v="968"/>
    <n v="7684"/>
    <n v="7"/>
    <s v="Foodies"/>
    <x v="274"/>
  </r>
  <r>
    <s v="Innovate Industries"/>
    <x v="4"/>
    <s v="All Ages"/>
    <s v="45 days"/>
    <x v="4"/>
    <n v="0.03"/>
    <n v="15594"/>
    <n v="6.26"/>
    <n v="13"/>
    <n v="1199.5384615384614"/>
    <s v="Houston"/>
    <s v="Mandarin"/>
    <n v="436"/>
    <n v="5773"/>
    <n v="7"/>
    <s v="Fashionistas"/>
    <x v="275"/>
  </r>
  <r>
    <s v="NexGen Systems"/>
    <x v="1"/>
    <s v="All Ages"/>
    <s v="60 days"/>
    <x v="0"/>
    <n v="0.14000000000000001"/>
    <n v="14773"/>
    <n v="6.52"/>
    <n v="74"/>
    <n v="199.63513513513513"/>
    <s v="New York"/>
    <s v="Spanish"/>
    <n v="530"/>
    <n v="3050"/>
    <n v="4"/>
    <s v="Health &amp; Wellness"/>
    <x v="276"/>
  </r>
  <r>
    <s v="Alpha Innovations"/>
    <x v="2"/>
    <s v="Men 25-34"/>
    <s v="15 days"/>
    <x v="1"/>
    <n v="0.03"/>
    <n v="14472"/>
    <n v="5.93"/>
    <n v="28"/>
    <n v="516.85714285714289"/>
    <s v="Houston"/>
    <s v="English"/>
    <n v="935"/>
    <n v="6863"/>
    <n v="2"/>
    <s v="Health &amp; Wellness"/>
    <x v="277"/>
  </r>
  <r>
    <s v="NexGen Systems"/>
    <x v="2"/>
    <s v="All Ages"/>
    <s v="45 days"/>
    <x v="4"/>
    <n v="0.06"/>
    <n v="18423"/>
    <n v="4.84"/>
    <n v="53"/>
    <n v="347.60377358490564"/>
    <s v="Miami"/>
    <s v="Spanish"/>
    <n v="877"/>
    <n v="1710"/>
    <n v="2"/>
    <s v="Tech Enthusiasts"/>
    <x v="278"/>
  </r>
  <r>
    <s v="Innovate Industries"/>
    <x v="1"/>
    <s v="Women 25-34"/>
    <s v="45 days"/>
    <x v="0"/>
    <n v="0.04"/>
    <n v="8905"/>
    <n v="4.5599999999999996"/>
    <n v="28"/>
    <n v="318.03571428571428"/>
    <s v="Houston"/>
    <s v="French"/>
    <n v="689"/>
    <n v="6446"/>
    <n v="9"/>
    <s v="Health &amp; Wellness"/>
    <x v="279"/>
  </r>
  <r>
    <s v="Innovate Industries"/>
    <x v="4"/>
    <s v="All Ages"/>
    <s v="15 days"/>
    <x v="0"/>
    <n v="0.15"/>
    <n v="18488"/>
    <n v="5.67"/>
    <n v="101"/>
    <n v="183.04950495049505"/>
    <s v="Miami"/>
    <s v="English"/>
    <n v="674"/>
    <n v="4576"/>
    <n v="7"/>
    <s v="Tech Enthusiasts"/>
    <x v="280"/>
  </r>
  <r>
    <s v="DataTech Solutions"/>
    <x v="4"/>
    <s v="Men 25-34"/>
    <s v="15 days"/>
    <x v="5"/>
    <n v="0.06"/>
    <n v="19018"/>
    <n v="7.77"/>
    <n v="29"/>
    <n v="655.79310344827582"/>
    <s v="New York"/>
    <s v="English"/>
    <n v="484"/>
    <n v="7159"/>
    <n v="6"/>
    <s v="Foodies"/>
    <x v="281"/>
  </r>
  <r>
    <s v="DataTech Solutions"/>
    <x v="0"/>
    <s v="Men 25-34"/>
    <s v="30 days"/>
    <x v="1"/>
    <n v="0.05"/>
    <n v="15882"/>
    <n v="2.86"/>
    <n v="18"/>
    <n v="882.33333333333337"/>
    <s v="Los Angeles"/>
    <s v="Spanish"/>
    <n v="363"/>
    <n v="2808"/>
    <n v="1"/>
    <s v="Tech Enthusiasts"/>
    <x v="282"/>
  </r>
  <r>
    <s v="TechCorp"/>
    <x v="3"/>
    <s v="Men 18-24"/>
    <s v="15 days"/>
    <x v="0"/>
    <n v="0.02"/>
    <n v="11357"/>
    <n v="5.44"/>
    <n v="12"/>
    <n v="946.41666666666663"/>
    <s v="Chicago"/>
    <s v="English"/>
    <n v="589"/>
    <n v="9161"/>
    <n v="1"/>
    <s v="Tech Enthusiasts"/>
    <x v="283"/>
  </r>
  <r>
    <s v="NexGen Systems"/>
    <x v="0"/>
    <s v="Men 18-24"/>
    <s v="45 days"/>
    <x v="1"/>
    <n v="0.14000000000000001"/>
    <n v="16373"/>
    <n v="6.85"/>
    <n v="56"/>
    <n v="292.375"/>
    <s v="Miami"/>
    <s v="Mandarin"/>
    <n v="400"/>
    <n v="5617"/>
    <n v="8"/>
    <s v="Foodies"/>
    <x v="284"/>
  </r>
  <r>
    <s v="NexGen Systems"/>
    <x v="4"/>
    <s v="Men 18-24"/>
    <s v="60 days"/>
    <x v="0"/>
    <n v="0.09"/>
    <n v="19879"/>
    <n v="6.54"/>
    <n v="47"/>
    <n v="422.95744680851061"/>
    <s v="Houston"/>
    <s v="French"/>
    <n v="523"/>
    <n v="8389"/>
    <n v="3"/>
    <s v="Tech Enthusiasts"/>
    <x v="285"/>
  </r>
  <r>
    <s v="DataTech Solutions"/>
    <x v="2"/>
    <s v="Men 25-34"/>
    <s v="60 days"/>
    <x v="3"/>
    <n v="0.03"/>
    <n v="15610"/>
    <n v="4.25"/>
    <n v="19"/>
    <n v="821.57894736842104"/>
    <s v="Chicago"/>
    <s v="German"/>
    <n v="642"/>
    <n v="3920"/>
    <n v="5"/>
    <s v="Tech Enthusiasts"/>
    <x v="286"/>
  </r>
  <r>
    <s v="TechCorp"/>
    <x v="3"/>
    <s v="Women 35-44"/>
    <s v="30 days"/>
    <x v="0"/>
    <n v="0.14000000000000001"/>
    <n v="12992"/>
    <n v="3.25"/>
    <n v="82"/>
    <n v="158.4390243902439"/>
    <s v="Houston"/>
    <s v="French"/>
    <n v="586"/>
    <n v="1481"/>
    <n v="7"/>
    <s v="Fashionistas"/>
    <x v="287"/>
  </r>
  <r>
    <s v="Innovate Industries"/>
    <x v="1"/>
    <s v="All Ages"/>
    <s v="30 days"/>
    <x v="3"/>
    <n v="0.09"/>
    <n v="17575"/>
    <n v="4.1399999999999997"/>
    <n v="27"/>
    <n v="650.92592592592598"/>
    <s v="New York"/>
    <s v="Mandarin"/>
    <n v="305"/>
    <n v="2454"/>
    <n v="2"/>
    <s v="Outdoor Adventurers"/>
    <x v="288"/>
  </r>
  <r>
    <s v="TechCorp"/>
    <x v="0"/>
    <s v="Men 25-34"/>
    <s v="45 days"/>
    <x v="2"/>
    <n v="0.05"/>
    <n v="5641"/>
    <n v="2.93"/>
    <n v="22"/>
    <n v="256.40909090909093"/>
    <s v="Houston"/>
    <s v="German"/>
    <n v="433"/>
    <n v="1238"/>
    <n v="5"/>
    <s v="Health &amp; Wellness"/>
    <x v="289"/>
  </r>
  <r>
    <s v="TechCorp"/>
    <x v="1"/>
    <s v="Men 18-24"/>
    <s v="45 days"/>
    <x v="4"/>
    <n v="0.02"/>
    <n v="16961"/>
    <n v="4.46"/>
    <n v="11"/>
    <n v="1541.909090909091"/>
    <s v="Houston"/>
    <s v="German"/>
    <n v="568"/>
    <n v="2360"/>
    <n v="2"/>
    <s v="Outdoor Adventurers"/>
    <x v="290"/>
  </r>
  <r>
    <s v="Alpha Innovations"/>
    <x v="4"/>
    <s v="All Ages"/>
    <s v="45 days"/>
    <x v="4"/>
    <n v="0.03"/>
    <n v="17991"/>
    <n v="3.77"/>
    <n v="11"/>
    <n v="1635.5454545454545"/>
    <s v="Los Angeles"/>
    <s v="French"/>
    <n v="358"/>
    <n v="4987"/>
    <n v="2"/>
    <s v="Foodies"/>
    <x v="291"/>
  </r>
  <r>
    <s v="TechCorp"/>
    <x v="0"/>
    <s v="All Ages"/>
    <s v="45 days"/>
    <x v="4"/>
    <n v="0.15"/>
    <n v="6118"/>
    <n v="2.93"/>
    <n v="98"/>
    <n v="62.428571428571431"/>
    <s v="Miami"/>
    <s v="French"/>
    <n v="650"/>
    <n v="2301"/>
    <n v="7"/>
    <s v="Fashionistas"/>
    <x v="292"/>
  </r>
  <r>
    <s v="Alpha Innovations"/>
    <x v="2"/>
    <s v="All Ages"/>
    <s v="60 days"/>
    <x v="1"/>
    <n v="7.0000000000000007E-2"/>
    <n v="16422"/>
    <n v="3.99"/>
    <n v="30"/>
    <n v="547.4"/>
    <s v="New York"/>
    <s v="English"/>
    <n v="435"/>
    <n v="4346"/>
    <n v="3"/>
    <s v="Health &amp; Wellness"/>
    <x v="293"/>
  </r>
  <r>
    <s v="TechCorp"/>
    <x v="2"/>
    <s v="All Ages"/>
    <s v="45 days"/>
    <x v="2"/>
    <n v="0.02"/>
    <n v="9218"/>
    <n v="3.32"/>
    <n v="15"/>
    <n v="614.5333333333333"/>
    <s v="Houston"/>
    <s v="Spanish"/>
    <n v="740"/>
    <n v="8161"/>
    <n v="10"/>
    <s v="Fashionistas"/>
    <x v="294"/>
  </r>
  <r>
    <s v="Alpha Innovations"/>
    <x v="1"/>
    <s v="Women 25-34"/>
    <s v="30 days"/>
    <x v="5"/>
    <n v="0.11"/>
    <n v="8283"/>
    <n v="3.57"/>
    <n v="104"/>
    <n v="79.644230769230774"/>
    <s v="Los Angeles"/>
    <s v="Spanish"/>
    <n v="944"/>
    <n v="1767"/>
    <n v="7"/>
    <s v="Outdoor Adventurers"/>
    <x v="295"/>
  </r>
  <r>
    <s v="Innovate Industries"/>
    <x v="2"/>
    <s v="Women 25-34"/>
    <s v="15 days"/>
    <x v="3"/>
    <n v="0.14000000000000001"/>
    <n v="6666"/>
    <n v="4.74"/>
    <n v="138"/>
    <n v="48.304347826086953"/>
    <s v="Chicago"/>
    <s v="Spanish"/>
    <n v="983"/>
    <n v="8240"/>
    <n v="3"/>
    <s v="Outdoor Adventurers"/>
    <x v="296"/>
  </r>
  <r>
    <s v="DataTech Solutions"/>
    <x v="4"/>
    <s v="Women 35-44"/>
    <s v="60 days"/>
    <x v="0"/>
    <n v="0.05"/>
    <n v="18097"/>
    <n v="3.07"/>
    <n v="28"/>
    <n v="646.32142857142856"/>
    <s v="Miami"/>
    <s v="Spanish"/>
    <n v="556"/>
    <n v="3986"/>
    <n v="10"/>
    <s v="Fashionistas"/>
    <x v="297"/>
  </r>
  <r>
    <s v="Alpha Innovations"/>
    <x v="0"/>
    <s v="Women 35-44"/>
    <s v="30 days"/>
    <x v="1"/>
    <n v="0.03"/>
    <n v="13709"/>
    <n v="2.58"/>
    <n v="6"/>
    <n v="2284.8333333333335"/>
    <s v="Los Angeles"/>
    <s v="German"/>
    <n v="190"/>
    <n v="3586"/>
    <n v="2"/>
    <s v="Tech Enthusiasts"/>
    <x v="298"/>
  </r>
  <r>
    <s v="TechCorp"/>
    <x v="3"/>
    <s v="Men 25-34"/>
    <s v="30 days"/>
    <x v="0"/>
    <n v="0.14000000000000001"/>
    <n v="19216"/>
    <n v="3.73"/>
    <n v="35"/>
    <n v="549.02857142857147"/>
    <s v="New York"/>
    <s v="Mandarin"/>
    <n v="252"/>
    <n v="2930"/>
    <n v="4"/>
    <s v="Outdoor Adventurers"/>
    <x v="299"/>
  </r>
  <r>
    <s v="Alpha Innovations"/>
    <x v="2"/>
    <s v="Men 25-34"/>
    <s v="15 days"/>
    <x v="3"/>
    <n v="0.04"/>
    <n v="19851"/>
    <n v="5.36"/>
    <n v="12"/>
    <n v="1654.25"/>
    <s v="Miami"/>
    <s v="German"/>
    <n v="311"/>
    <n v="7805"/>
    <n v="7"/>
    <s v="Foodies"/>
    <x v="300"/>
  </r>
  <r>
    <s v="TechCorp"/>
    <x v="4"/>
    <s v="Women 35-44"/>
    <s v="30 days"/>
    <x v="4"/>
    <n v="0.1"/>
    <n v="13651"/>
    <n v="3.24"/>
    <n v="91"/>
    <n v="150.01098901098902"/>
    <s v="Miami"/>
    <s v="German"/>
    <n v="909"/>
    <n v="2665"/>
    <n v="8"/>
    <s v="Fashionistas"/>
    <x v="301"/>
  </r>
  <r>
    <s v="Innovate Industries"/>
    <x v="3"/>
    <s v="Men 25-34"/>
    <s v="45 days"/>
    <x v="0"/>
    <n v="0.13"/>
    <n v="14907"/>
    <n v="7.74"/>
    <n v="114"/>
    <n v="130.76315789473685"/>
    <s v="Miami"/>
    <s v="English"/>
    <n v="875"/>
    <n v="4472"/>
    <n v="4"/>
    <s v="Tech Enthusiasts"/>
    <x v="302"/>
  </r>
  <r>
    <s v="Innovate Industries"/>
    <x v="2"/>
    <s v="All Ages"/>
    <s v="60 days"/>
    <x v="3"/>
    <n v="0.05"/>
    <n v="19487"/>
    <n v="6.79"/>
    <n v="20"/>
    <n v="974.35"/>
    <s v="Houston"/>
    <s v="Mandarin"/>
    <n v="399"/>
    <n v="8441"/>
    <n v="5"/>
    <s v="Health &amp; Wellness"/>
    <x v="303"/>
  </r>
  <r>
    <s v="Innovate Industries"/>
    <x v="4"/>
    <s v="Women 25-34"/>
    <s v="30 days"/>
    <x v="1"/>
    <n v="0.14000000000000001"/>
    <n v="12561"/>
    <n v="3.16"/>
    <n v="138"/>
    <n v="91.021739130434781"/>
    <s v="Houston"/>
    <s v="Mandarin"/>
    <n v="984"/>
    <n v="3556"/>
    <n v="1"/>
    <s v="Health &amp; Wellness"/>
    <x v="304"/>
  </r>
  <r>
    <s v="DataTech Solutions"/>
    <x v="2"/>
    <s v="Men 18-24"/>
    <s v="30 days"/>
    <x v="1"/>
    <n v="0.1"/>
    <n v="16135"/>
    <n v="4.8099999999999996"/>
    <n v="27"/>
    <n v="597.59259259259261"/>
    <s v="Chicago"/>
    <s v="Spanish"/>
    <n v="271"/>
    <n v="3384"/>
    <n v="1"/>
    <s v="Fashionistas"/>
    <x v="305"/>
  </r>
  <r>
    <s v="Alpha Innovations"/>
    <x v="2"/>
    <s v="Women 35-44"/>
    <s v="30 days"/>
    <x v="5"/>
    <n v="0.1"/>
    <n v="19306"/>
    <n v="6.67"/>
    <n v="100"/>
    <n v="193.06"/>
    <s v="Houston"/>
    <s v="German"/>
    <n v="999"/>
    <n v="8996"/>
    <n v="1"/>
    <s v="Fashionistas"/>
    <x v="306"/>
  </r>
  <r>
    <s v="DataTech Solutions"/>
    <x v="3"/>
    <s v="Men 18-24"/>
    <s v="45 days"/>
    <x v="3"/>
    <n v="0.14000000000000001"/>
    <n v="10820"/>
    <n v="3.97"/>
    <n v="15"/>
    <n v="721.33333333333337"/>
    <s v="Houston"/>
    <s v="Spanish"/>
    <n v="106"/>
    <n v="5823"/>
    <n v="5"/>
    <s v="Foodies"/>
    <x v="307"/>
  </r>
  <r>
    <s v="NexGen Systems"/>
    <x v="2"/>
    <s v="Women 25-34"/>
    <s v="30 days"/>
    <x v="2"/>
    <n v="0.1"/>
    <n v="9942"/>
    <n v="7.07"/>
    <n v="82"/>
    <n v="121.2439024390244"/>
    <s v="Los Angeles"/>
    <s v="French"/>
    <n v="820"/>
    <n v="6246"/>
    <n v="9"/>
    <s v="Health &amp; Wellness"/>
    <x v="308"/>
  </r>
  <r>
    <s v="TechCorp"/>
    <x v="3"/>
    <s v="All Ages"/>
    <s v="15 days"/>
    <x v="4"/>
    <n v="0.12"/>
    <n v="5813"/>
    <n v="6.67"/>
    <n v="98"/>
    <n v="59.316326530612244"/>
    <s v="Houston"/>
    <s v="Mandarin"/>
    <n v="816"/>
    <n v="5615"/>
    <n v="6"/>
    <s v="Tech Enthusiasts"/>
    <x v="309"/>
  </r>
  <r>
    <s v="DataTech Solutions"/>
    <x v="0"/>
    <s v="All Ages"/>
    <s v="45 days"/>
    <x v="5"/>
    <n v="0.12"/>
    <n v="17038"/>
    <n v="5.9"/>
    <n v="86"/>
    <n v="198.11627906976744"/>
    <s v="Miami"/>
    <s v="Spanish"/>
    <n v="719"/>
    <n v="5184"/>
    <n v="8"/>
    <s v="Health &amp; Wellness"/>
    <x v="310"/>
  </r>
  <r>
    <s v="Innovate Industries"/>
    <x v="1"/>
    <s v="Women 25-34"/>
    <s v="30 days"/>
    <x v="2"/>
    <n v="0.11"/>
    <n v="8616"/>
    <n v="2.09"/>
    <n v="60"/>
    <n v="143.6"/>
    <s v="Miami"/>
    <s v="French"/>
    <n v="547"/>
    <n v="8621"/>
    <n v="5"/>
    <s v="Health &amp; Wellness"/>
    <x v="311"/>
  </r>
  <r>
    <s v="DataTech Solutions"/>
    <x v="0"/>
    <s v="Women 25-34"/>
    <s v="45 days"/>
    <x v="0"/>
    <n v="0.13"/>
    <n v="16074"/>
    <n v="5.83"/>
    <n v="93"/>
    <n v="172.83870967741936"/>
    <s v="Miami"/>
    <s v="English"/>
    <n v="712"/>
    <n v="5173"/>
    <n v="4"/>
    <s v="Health &amp; Wellness"/>
    <x v="312"/>
  </r>
  <r>
    <s v="Alpha Innovations"/>
    <x v="0"/>
    <s v="Women 25-34"/>
    <s v="60 days"/>
    <x v="4"/>
    <n v="7.0000000000000007E-2"/>
    <n v="5091"/>
    <n v="7.95"/>
    <n v="70"/>
    <n v="72.728571428571428"/>
    <s v="Chicago"/>
    <s v="English"/>
    <n v="996"/>
    <n v="3761"/>
    <n v="9"/>
    <s v="Health &amp; Wellness"/>
    <x v="313"/>
  </r>
  <r>
    <s v="Innovate Industries"/>
    <x v="1"/>
    <s v="Women 25-34"/>
    <s v="60 days"/>
    <x v="4"/>
    <n v="0.04"/>
    <n v="6250"/>
    <n v="6.02"/>
    <n v="28"/>
    <n v="223.21428571428572"/>
    <s v="Los Angeles"/>
    <s v="Spanish"/>
    <n v="708"/>
    <n v="9381"/>
    <n v="9"/>
    <s v="Fashionistas"/>
    <x v="314"/>
  </r>
  <r>
    <s v="TechCorp"/>
    <x v="1"/>
    <s v="Women 35-44"/>
    <s v="30 days"/>
    <x v="5"/>
    <n v="0.02"/>
    <n v="19937"/>
    <n v="6.9"/>
    <n v="17"/>
    <n v="1172.7647058823529"/>
    <s v="Chicago"/>
    <s v="French"/>
    <n v="826"/>
    <n v="5481"/>
    <n v="1"/>
    <s v="Foodies"/>
    <x v="315"/>
  </r>
  <r>
    <s v="NexGen Systems"/>
    <x v="4"/>
    <s v="Women 35-44"/>
    <s v="30 days"/>
    <x v="4"/>
    <n v="0.08"/>
    <n v="12861"/>
    <n v="6.23"/>
    <n v="15"/>
    <n v="857.4"/>
    <s v="New York"/>
    <s v="English"/>
    <n v="182"/>
    <n v="1018"/>
    <n v="3"/>
    <s v="Health &amp; Wellness"/>
    <x v="316"/>
  </r>
  <r>
    <s v="DataTech Solutions"/>
    <x v="1"/>
    <s v="Men 25-34"/>
    <s v="30 days"/>
    <x v="5"/>
    <n v="0.11"/>
    <n v="17418"/>
    <n v="4.08"/>
    <n v="48"/>
    <n v="362.875"/>
    <s v="Los Angeles"/>
    <s v="English"/>
    <n v="440"/>
    <n v="1654"/>
    <n v="6"/>
    <s v="Foodies"/>
    <x v="317"/>
  </r>
  <r>
    <s v="Alpha Innovations"/>
    <x v="1"/>
    <s v="Women 25-34"/>
    <s v="60 days"/>
    <x v="2"/>
    <n v="0.15"/>
    <n v="9055"/>
    <n v="5.29"/>
    <n v="130"/>
    <n v="69.65384615384616"/>
    <s v="Los Angeles"/>
    <s v="Spanish"/>
    <n v="868"/>
    <n v="1120"/>
    <n v="5"/>
    <s v="Foodies"/>
    <x v="318"/>
  </r>
  <r>
    <s v="DataTech Solutions"/>
    <x v="4"/>
    <s v="Men 25-34"/>
    <s v="15 days"/>
    <x v="5"/>
    <n v="0.1"/>
    <n v="15166"/>
    <n v="6.77"/>
    <n v="86"/>
    <n v="176.34883720930233"/>
    <s v="Miami"/>
    <s v="Mandarin"/>
    <n v="855"/>
    <n v="1920"/>
    <n v="3"/>
    <s v="Health &amp; Wellness"/>
    <x v="319"/>
  </r>
  <r>
    <s v="TechCorp"/>
    <x v="3"/>
    <s v="Women 35-44"/>
    <s v="30 days"/>
    <x v="5"/>
    <n v="0.12"/>
    <n v="17786"/>
    <n v="4.4000000000000004"/>
    <n v="43"/>
    <n v="413.62790697674421"/>
    <s v="Miami"/>
    <s v="German"/>
    <n v="357"/>
    <n v="6184"/>
    <n v="2"/>
    <s v="Outdoor Adventurers"/>
    <x v="320"/>
  </r>
  <r>
    <s v="NexGen Systems"/>
    <x v="0"/>
    <s v="Women 25-34"/>
    <s v="60 days"/>
    <x v="0"/>
    <n v="0.06"/>
    <n v="17718"/>
    <n v="4.63"/>
    <n v="52"/>
    <n v="340.73076923076923"/>
    <s v="Houston"/>
    <s v="English"/>
    <n v="869"/>
    <n v="1365"/>
    <n v="2"/>
    <s v="Tech Enthusiasts"/>
    <x v="321"/>
  </r>
  <r>
    <s v="NexGen Systems"/>
    <x v="3"/>
    <s v="Men 25-34"/>
    <s v="15 days"/>
    <x v="1"/>
    <n v="0.13"/>
    <n v="15024"/>
    <n v="4.04"/>
    <n v="35"/>
    <n v="429.25714285714287"/>
    <s v="New York"/>
    <s v="Spanish"/>
    <n v="266"/>
    <n v="7842"/>
    <n v="5"/>
    <s v="Tech Enthusiasts"/>
    <x v="322"/>
  </r>
  <r>
    <s v="NexGen Systems"/>
    <x v="2"/>
    <s v="Men 18-24"/>
    <s v="60 days"/>
    <x v="3"/>
    <n v="0.01"/>
    <n v="5751"/>
    <n v="6.4"/>
    <n v="5"/>
    <n v="1150.2"/>
    <s v="Los Angeles"/>
    <s v="English"/>
    <n v="497"/>
    <n v="9945"/>
    <n v="9"/>
    <s v="Outdoor Adventurers"/>
    <x v="323"/>
  </r>
  <r>
    <s v="Innovate Industries"/>
    <x v="3"/>
    <s v="All Ages"/>
    <s v="15 days"/>
    <x v="4"/>
    <n v="0.04"/>
    <n v="8988"/>
    <n v="4.58"/>
    <n v="39"/>
    <n v="230.46153846153845"/>
    <s v="Houston"/>
    <s v="English"/>
    <n v="985"/>
    <n v="8755"/>
    <n v="2"/>
    <s v="Fashionistas"/>
    <x v="324"/>
  </r>
  <r>
    <s v="DataTech Solutions"/>
    <x v="0"/>
    <s v="Women 25-34"/>
    <s v="60 days"/>
    <x v="5"/>
    <n v="0.08"/>
    <n v="18258"/>
    <n v="5.38"/>
    <n v="37"/>
    <n v="493.45945945945948"/>
    <s v="Chicago"/>
    <s v="Spanish"/>
    <n v="466"/>
    <n v="5173"/>
    <n v="4"/>
    <s v="Health &amp; Wellness"/>
    <x v="325"/>
  </r>
  <r>
    <s v="Alpha Innovations"/>
    <x v="4"/>
    <s v="Women 25-34"/>
    <s v="30 days"/>
    <x v="2"/>
    <n v="7.0000000000000007E-2"/>
    <n v="15584"/>
    <n v="2.57"/>
    <n v="32"/>
    <n v="487"/>
    <s v="Chicago"/>
    <s v="French"/>
    <n v="456"/>
    <n v="6205"/>
    <n v="10"/>
    <s v="Tech Enthusiasts"/>
    <x v="326"/>
  </r>
  <r>
    <s v="NexGen Systems"/>
    <x v="3"/>
    <s v="Women 35-44"/>
    <s v="30 days"/>
    <x v="2"/>
    <n v="0.11"/>
    <n v="8265"/>
    <n v="3.41"/>
    <n v="83"/>
    <n v="99.578313253012041"/>
    <s v="Los Angeles"/>
    <s v="Spanish"/>
    <n v="752"/>
    <n v="8553"/>
    <n v="7"/>
    <s v="Tech Enthusiasts"/>
    <x v="327"/>
  </r>
  <r>
    <s v="DataTech Solutions"/>
    <x v="1"/>
    <s v="Women 35-44"/>
    <s v="30 days"/>
    <x v="5"/>
    <n v="0.13"/>
    <n v="16295"/>
    <n v="4.78"/>
    <n v="70"/>
    <n v="232.78571428571428"/>
    <s v="Houston"/>
    <s v="Spanish"/>
    <n v="541"/>
    <n v="7010"/>
    <n v="3"/>
    <s v="Health &amp; Wellness"/>
    <x v="328"/>
  </r>
  <r>
    <s v="Innovate Industries"/>
    <x v="0"/>
    <s v="Men 25-34"/>
    <s v="30 days"/>
    <x v="4"/>
    <n v="0.04"/>
    <n v="6916"/>
    <n v="4.3499999999999996"/>
    <n v="28"/>
    <n v="247"/>
    <s v="Houston"/>
    <s v="German"/>
    <n v="697"/>
    <n v="2726"/>
    <n v="5"/>
    <s v="Outdoor Adventurers"/>
    <x v="329"/>
  </r>
  <r>
    <s v="Alpha Innovations"/>
    <x v="4"/>
    <s v="Men 25-34"/>
    <s v="15 days"/>
    <x v="5"/>
    <n v="0.09"/>
    <n v="7106"/>
    <n v="5.22"/>
    <n v="74"/>
    <n v="96.027027027027032"/>
    <s v="Miami"/>
    <s v="English"/>
    <n v="822"/>
    <n v="8820"/>
    <n v="9"/>
    <s v="Foodies"/>
    <x v="330"/>
  </r>
  <r>
    <s v="Innovate Industries"/>
    <x v="2"/>
    <s v="Men 25-34"/>
    <s v="15 days"/>
    <x v="1"/>
    <n v="0.06"/>
    <n v="15851"/>
    <n v="3.77"/>
    <n v="60"/>
    <n v="264.18333333333334"/>
    <s v="Los Angeles"/>
    <s v="Mandarin"/>
    <n v="996"/>
    <n v="8275"/>
    <n v="4"/>
    <s v="Foodies"/>
    <x v="331"/>
  </r>
  <r>
    <s v="Alpha Innovations"/>
    <x v="4"/>
    <s v="Women 35-44"/>
    <s v="30 days"/>
    <x v="1"/>
    <n v="0.1"/>
    <n v="5991"/>
    <n v="6.7"/>
    <n v="35"/>
    <n v="171.17142857142858"/>
    <s v="Los Angeles"/>
    <s v="Spanish"/>
    <n v="354"/>
    <n v="6358"/>
    <n v="7"/>
    <s v="Health &amp; Wellness"/>
    <x v="332"/>
  </r>
  <r>
    <s v="Alpha Innovations"/>
    <x v="4"/>
    <s v="Men 18-24"/>
    <s v="30 days"/>
    <x v="5"/>
    <n v="0.08"/>
    <n v="12922"/>
    <n v="7.52"/>
    <n v="72"/>
    <n v="179.47222222222223"/>
    <s v="Miami"/>
    <s v="Spanish"/>
    <n v="902"/>
    <n v="6242"/>
    <n v="5"/>
    <s v="Fashionistas"/>
    <x v="333"/>
  </r>
  <r>
    <s v="TechCorp"/>
    <x v="2"/>
    <s v="Men 25-34"/>
    <s v="60 days"/>
    <x v="3"/>
    <n v="0.14000000000000001"/>
    <n v="15594"/>
    <n v="2.15"/>
    <n v="62"/>
    <n v="251.51612903225808"/>
    <s v="New York"/>
    <s v="Spanish"/>
    <n v="446"/>
    <n v="7057"/>
    <n v="4"/>
    <s v="Foodies"/>
    <x v="334"/>
  </r>
  <r>
    <s v="Alpha Innovations"/>
    <x v="0"/>
    <s v="All Ages"/>
    <s v="30 days"/>
    <x v="1"/>
    <n v="0.1"/>
    <n v="5600"/>
    <n v="7.87"/>
    <n v="95"/>
    <n v="58.94736842105263"/>
    <s v="Houston"/>
    <s v="Mandarin"/>
    <n v="952"/>
    <n v="6921"/>
    <n v="5"/>
    <s v="Health &amp; Wellness"/>
    <x v="335"/>
  </r>
  <r>
    <s v="Innovate Industries"/>
    <x v="2"/>
    <s v="All Ages"/>
    <s v="30 days"/>
    <x v="4"/>
    <n v="0.09"/>
    <n v="5119"/>
    <n v="4.1100000000000003"/>
    <n v="77"/>
    <n v="66.480519480519476"/>
    <s v="Chicago"/>
    <s v="German"/>
    <n v="857"/>
    <n v="5472"/>
    <n v="2"/>
    <s v="Outdoor Adventurers"/>
    <x v="336"/>
  </r>
  <r>
    <s v="Innovate Industries"/>
    <x v="2"/>
    <s v="Women 35-44"/>
    <s v="30 days"/>
    <x v="3"/>
    <n v="0.02"/>
    <n v="7212"/>
    <n v="2.09"/>
    <n v="2"/>
    <n v="3606"/>
    <s v="Chicago"/>
    <s v="French"/>
    <n v="115"/>
    <n v="2414"/>
    <n v="4"/>
    <s v="Health &amp; Wellness"/>
    <x v="337"/>
  </r>
  <r>
    <s v="TechCorp"/>
    <x v="1"/>
    <s v="Women 25-34"/>
    <s v="45 days"/>
    <x v="5"/>
    <n v="7.0000000000000007E-2"/>
    <n v="18076"/>
    <n v="5.75"/>
    <n v="37"/>
    <n v="488.54054054054052"/>
    <s v="New York"/>
    <s v="French"/>
    <n v="534"/>
    <n v="5432"/>
    <n v="1"/>
    <s v="Foodies"/>
    <x v="338"/>
  </r>
  <r>
    <s v="DataTech Solutions"/>
    <x v="2"/>
    <s v="Men 18-24"/>
    <s v="30 days"/>
    <x v="3"/>
    <n v="0.13"/>
    <n v="9028"/>
    <n v="6.16"/>
    <n v="41"/>
    <n v="220.19512195121951"/>
    <s v="New York"/>
    <s v="Spanish"/>
    <n v="316"/>
    <n v="5755"/>
    <n v="6"/>
    <s v="Fashionistas"/>
    <x v="339"/>
  </r>
  <r>
    <s v="DataTech Solutions"/>
    <x v="0"/>
    <s v="Men 25-34"/>
    <s v="60 days"/>
    <x v="4"/>
    <n v="0.02"/>
    <n v="15805"/>
    <n v="2.29"/>
    <n v="10"/>
    <n v="1580.5"/>
    <s v="Miami"/>
    <s v="French"/>
    <n v="491"/>
    <n v="9129"/>
    <n v="7"/>
    <s v="Fashionistas"/>
    <x v="340"/>
  </r>
  <r>
    <s v="TechCorp"/>
    <x v="0"/>
    <s v="Men 25-34"/>
    <s v="60 days"/>
    <x v="1"/>
    <n v="0.1"/>
    <n v="19781"/>
    <n v="3.68"/>
    <n v="66"/>
    <n v="299.71212121212119"/>
    <s v="Houston"/>
    <s v="Spanish"/>
    <n v="662"/>
    <n v="2838"/>
    <n v="5"/>
    <s v="Fashionistas"/>
    <x v="341"/>
  </r>
  <r>
    <s v="Alpha Innovations"/>
    <x v="2"/>
    <s v="Men 18-24"/>
    <s v="60 days"/>
    <x v="5"/>
    <n v="0.15"/>
    <n v="13341"/>
    <n v="7.51"/>
    <n v="127"/>
    <n v="105.04724409448819"/>
    <s v="Chicago"/>
    <s v="English"/>
    <n v="844"/>
    <n v="7058"/>
    <n v="2"/>
    <s v="Tech Enthusiasts"/>
    <x v="342"/>
  </r>
  <r>
    <s v="DataTech Solutions"/>
    <x v="2"/>
    <s v="Women 25-34"/>
    <s v="30 days"/>
    <x v="3"/>
    <n v="0.06"/>
    <n v="6152"/>
    <n v="2.23"/>
    <n v="16"/>
    <n v="384.5"/>
    <s v="New York"/>
    <s v="French"/>
    <n v="264"/>
    <n v="2518"/>
    <n v="7"/>
    <s v="Foodies"/>
    <x v="343"/>
  </r>
  <r>
    <s v="Alpha Innovations"/>
    <x v="4"/>
    <s v="Women 35-44"/>
    <s v="60 days"/>
    <x v="0"/>
    <n v="0.06"/>
    <n v="10913"/>
    <n v="5.38"/>
    <n v="44"/>
    <n v="248.02272727272728"/>
    <s v="New York"/>
    <s v="Mandarin"/>
    <n v="731"/>
    <n v="7506"/>
    <n v="10"/>
    <s v="Outdoor Adventurers"/>
    <x v="344"/>
  </r>
  <r>
    <s v="Alpha Innovations"/>
    <x v="3"/>
    <s v="Men 18-24"/>
    <s v="15 days"/>
    <x v="1"/>
    <n v="0.01"/>
    <n v="16624"/>
    <n v="5.47"/>
    <n v="3"/>
    <n v="5541.333333333333"/>
    <s v="New York"/>
    <s v="English"/>
    <n v="304"/>
    <n v="7253"/>
    <n v="5"/>
    <s v="Health &amp; Wellness"/>
    <x v="345"/>
  </r>
  <r>
    <s v="NexGen Systems"/>
    <x v="3"/>
    <s v="Women 25-34"/>
    <s v="45 days"/>
    <x v="1"/>
    <n v="0.08"/>
    <n v="13801"/>
    <n v="2.58"/>
    <n v="53"/>
    <n v="260.39622641509436"/>
    <s v="Chicago"/>
    <s v="French"/>
    <n v="661"/>
    <n v="1774"/>
    <n v="9"/>
    <s v="Tech Enthusiasts"/>
    <x v="346"/>
  </r>
  <r>
    <s v="Innovate Industries"/>
    <x v="1"/>
    <s v="Men 18-24"/>
    <s v="15 days"/>
    <x v="1"/>
    <n v="0.04"/>
    <n v="8939"/>
    <n v="5.78"/>
    <n v="29"/>
    <n v="308.24137931034483"/>
    <s v="Chicago"/>
    <s v="English"/>
    <n v="725"/>
    <n v="5871"/>
    <n v="1"/>
    <s v="Health &amp; Wellness"/>
    <x v="347"/>
  </r>
  <r>
    <s v="Alpha Innovations"/>
    <x v="2"/>
    <s v="Women 35-44"/>
    <s v="30 days"/>
    <x v="4"/>
    <n v="0.11"/>
    <n v="7015"/>
    <n v="5.23"/>
    <n v="42"/>
    <n v="167.02380952380952"/>
    <s v="Houston"/>
    <s v="Mandarin"/>
    <n v="382"/>
    <n v="1754"/>
    <n v="6"/>
    <s v="Tech Enthusiasts"/>
    <x v="348"/>
  </r>
  <r>
    <s v="DataTech Solutions"/>
    <x v="2"/>
    <s v="Women 35-44"/>
    <s v="30 days"/>
    <x v="3"/>
    <n v="0.05"/>
    <n v="14263"/>
    <n v="6.73"/>
    <n v="32"/>
    <n v="445.71875"/>
    <s v="Los Angeles"/>
    <s v="French"/>
    <n v="637"/>
    <n v="1403"/>
    <n v="5"/>
    <s v="Foodies"/>
    <x v="349"/>
  </r>
  <r>
    <s v="NexGen Systems"/>
    <x v="0"/>
    <s v="All Ages"/>
    <s v="15 days"/>
    <x v="1"/>
    <n v="0.04"/>
    <n v="8654"/>
    <n v="5.47"/>
    <n v="19"/>
    <n v="455.4736842105263"/>
    <s v="New York"/>
    <s v="Mandarin"/>
    <n v="463"/>
    <n v="3253"/>
    <n v="2"/>
    <s v="Foodies"/>
    <x v="350"/>
  </r>
  <r>
    <s v="TechCorp"/>
    <x v="1"/>
    <s v="All Ages"/>
    <s v="45 days"/>
    <x v="3"/>
    <n v="0.13"/>
    <n v="17347"/>
    <n v="6.16"/>
    <n v="88"/>
    <n v="197.125"/>
    <s v="Houston"/>
    <s v="Spanish"/>
    <n v="674"/>
    <n v="6417"/>
    <n v="10"/>
    <s v="Fashionistas"/>
    <x v="351"/>
  </r>
  <r>
    <s v="NexGen Systems"/>
    <x v="0"/>
    <s v="All Ages"/>
    <s v="60 days"/>
    <x v="1"/>
    <n v="0.05"/>
    <n v="11481"/>
    <n v="4.32"/>
    <n v="7"/>
    <n v="1640.1428571428571"/>
    <s v="Los Angeles"/>
    <s v="Spanish"/>
    <n v="146"/>
    <n v="5136"/>
    <n v="7"/>
    <s v="Fashionistas"/>
    <x v="352"/>
  </r>
  <r>
    <s v="Innovate Industries"/>
    <x v="2"/>
    <s v="Women 35-44"/>
    <s v="45 days"/>
    <x v="3"/>
    <n v="0.12"/>
    <n v="18199"/>
    <n v="3.87"/>
    <n v="73"/>
    <n v="249.30136986301369"/>
    <s v="Los Angeles"/>
    <s v="German"/>
    <n v="612"/>
    <n v="7742"/>
    <n v="10"/>
    <s v="Outdoor Adventurers"/>
    <x v="353"/>
  </r>
  <r>
    <s v="TechCorp"/>
    <x v="2"/>
    <s v="Women 35-44"/>
    <s v="15 days"/>
    <x v="3"/>
    <n v="0.15"/>
    <n v="12086"/>
    <n v="4.58"/>
    <n v="84"/>
    <n v="143.88095238095238"/>
    <s v="Los Angeles"/>
    <s v="Mandarin"/>
    <n v="560"/>
    <n v="8597"/>
    <n v="6"/>
    <s v="Fashionistas"/>
    <x v="354"/>
  </r>
  <r>
    <s v="Innovate Industries"/>
    <x v="4"/>
    <s v="Women 35-44"/>
    <s v="15 days"/>
    <x v="3"/>
    <n v="7.0000000000000007E-2"/>
    <n v="10328"/>
    <n v="5.61"/>
    <n v="49"/>
    <n v="210.77551020408163"/>
    <s v="New York"/>
    <s v="Spanish"/>
    <n v="702"/>
    <n v="7624"/>
    <n v="4"/>
    <s v="Health &amp; Wellness"/>
    <x v="355"/>
  </r>
  <r>
    <s v="TechCorp"/>
    <x v="2"/>
    <s v="Women 25-34"/>
    <s v="30 days"/>
    <x v="3"/>
    <n v="0.1"/>
    <n v="15463"/>
    <n v="2.94"/>
    <n v="84"/>
    <n v="184.08333333333334"/>
    <s v="Los Angeles"/>
    <s v="Spanish"/>
    <n v="837"/>
    <n v="4717"/>
    <n v="4"/>
    <s v="Fashionistas"/>
    <x v="356"/>
  </r>
  <r>
    <s v="Alpha Innovations"/>
    <x v="0"/>
    <s v="Women 35-44"/>
    <s v="45 days"/>
    <x v="2"/>
    <n v="0.12"/>
    <n v="13911"/>
    <n v="2.11"/>
    <n v="81"/>
    <n v="171.74074074074073"/>
    <s v="New York"/>
    <s v="Spanish"/>
    <n v="675"/>
    <n v="6917"/>
    <n v="10"/>
    <s v="Health &amp; Wellness"/>
    <x v="357"/>
  </r>
  <r>
    <s v="TechCorp"/>
    <x v="0"/>
    <s v="All Ages"/>
    <s v="15 days"/>
    <x v="4"/>
    <n v="0.08"/>
    <n v="16063"/>
    <n v="6.59"/>
    <n v="21"/>
    <n v="764.90476190476193"/>
    <s v="Los Angeles"/>
    <s v="Spanish"/>
    <n v="263"/>
    <n v="6561"/>
    <n v="1"/>
    <s v="Health &amp; Wellness"/>
    <x v="358"/>
  </r>
  <r>
    <s v="Alpha Innovations"/>
    <x v="0"/>
    <s v="Women 25-34"/>
    <s v="15 days"/>
    <x v="4"/>
    <n v="0.06"/>
    <n v="16302"/>
    <n v="7.77"/>
    <n v="23"/>
    <n v="708.78260869565213"/>
    <s v="Los Angeles"/>
    <s v="English"/>
    <n v="385"/>
    <n v="9401"/>
    <n v="7"/>
    <s v="Outdoor Adventurers"/>
    <x v="359"/>
  </r>
  <r>
    <s v="NexGen Systems"/>
    <x v="2"/>
    <s v="Women 35-44"/>
    <s v="60 days"/>
    <x v="2"/>
    <n v="0.14000000000000001"/>
    <n v="10109"/>
    <n v="7.16"/>
    <n v="94"/>
    <n v="107.54255319148936"/>
    <s v="Houston"/>
    <s v="Spanish"/>
    <n v="671"/>
    <n v="7953"/>
    <n v="10"/>
    <s v="Health &amp; Wellness"/>
    <x v="360"/>
  </r>
  <r>
    <s v="Innovate Industries"/>
    <x v="2"/>
    <s v="Men 25-34"/>
    <s v="15 days"/>
    <x v="1"/>
    <n v="0.1"/>
    <n v="10456"/>
    <n v="3.09"/>
    <n v="96"/>
    <n v="108.91666666666667"/>
    <s v="Houston"/>
    <s v="German"/>
    <n v="962"/>
    <n v="2328"/>
    <n v="1"/>
    <s v="Health &amp; Wellness"/>
    <x v="361"/>
  </r>
  <r>
    <s v="Alpha Innovations"/>
    <x v="3"/>
    <s v="All Ages"/>
    <s v="60 days"/>
    <x v="2"/>
    <n v="0.02"/>
    <n v="14530"/>
    <n v="3.5"/>
    <n v="17"/>
    <n v="854.70588235294122"/>
    <s v="Chicago"/>
    <s v="French"/>
    <n v="828"/>
    <n v="2685"/>
    <n v="7"/>
    <s v="Health &amp; Wellness"/>
    <x v="362"/>
  </r>
  <r>
    <s v="Alpha Innovations"/>
    <x v="1"/>
    <s v="Men 18-24"/>
    <s v="30 days"/>
    <x v="2"/>
    <n v="0.14000000000000001"/>
    <n v="16136"/>
    <n v="7.93"/>
    <n v="18"/>
    <n v="896.44444444444446"/>
    <s v="Miami"/>
    <s v="Mandarin"/>
    <n v="126"/>
    <n v="1514"/>
    <n v="7"/>
    <s v="Tech Enthusiasts"/>
    <x v="363"/>
  </r>
  <r>
    <s v="DataTech Solutions"/>
    <x v="4"/>
    <s v="Women 25-34"/>
    <s v="30 days"/>
    <x v="5"/>
    <n v="0.12"/>
    <n v="12154"/>
    <n v="3.99"/>
    <n v="39"/>
    <n v="311.64102564102564"/>
    <s v="New York"/>
    <s v="Spanish"/>
    <n v="329"/>
    <n v="7443"/>
    <n v="6"/>
    <s v="Health &amp; Wellness"/>
    <x v="364"/>
  </r>
  <r>
    <s v="NexGen Systems"/>
    <x v="2"/>
    <s v="Men 18-24"/>
    <s v="60 days"/>
    <x v="3"/>
    <n v="0.08"/>
    <n v="12479"/>
    <n v="5.57"/>
    <n v="9"/>
    <n v="1386.5555555555557"/>
    <s v="New York"/>
    <s v="Mandarin"/>
    <n v="111"/>
    <n v="3210"/>
    <n v="8"/>
    <s v="Foodies"/>
    <x v="0"/>
  </r>
  <r>
    <s v="Innovate Industries"/>
    <x v="0"/>
    <s v="Men 25-34"/>
    <s v="60 days"/>
    <x v="1"/>
    <n v="0.01"/>
    <n v="15284"/>
    <n v="3.1"/>
    <n v="1"/>
    <n v="15284"/>
    <s v="Chicago"/>
    <s v="English"/>
    <n v="134"/>
    <n v="2509"/>
    <n v="10"/>
    <s v="Fashionistas"/>
    <x v="1"/>
  </r>
  <r>
    <s v="NexGen Systems"/>
    <x v="2"/>
    <s v="Men 18-24"/>
    <s v="30 days"/>
    <x v="4"/>
    <n v="0.13"/>
    <n v="15804"/>
    <n v="2.4900000000000002"/>
    <n v="107"/>
    <n v="147.70093457943926"/>
    <s v="Miami"/>
    <s v="Spanish"/>
    <n v="822"/>
    <n v="6570"/>
    <n v="6"/>
    <s v="Fashionistas"/>
    <x v="2"/>
  </r>
  <r>
    <s v="Alpha Innovations"/>
    <x v="0"/>
    <s v="Men 18-24"/>
    <s v="30 days"/>
    <x v="4"/>
    <n v="0.12"/>
    <n v="14984"/>
    <n v="4.2300000000000004"/>
    <n v="31"/>
    <n v="483.35483870967744"/>
    <s v="New York"/>
    <s v="French"/>
    <n v="259"/>
    <n v="2263"/>
    <n v="9"/>
    <s v="Tech Enthusiasts"/>
    <x v="3"/>
  </r>
  <r>
    <s v="Alpha Innovations"/>
    <x v="3"/>
    <s v="Women 35-44"/>
    <s v="45 days"/>
    <x v="3"/>
    <n v="0.04"/>
    <n v="17075"/>
    <n v="6.63"/>
    <n v="8"/>
    <n v="2134.375"/>
    <s v="Chicago"/>
    <s v="Spanish"/>
    <n v="188"/>
    <n v="8202"/>
    <n v="3"/>
    <s v="Health &amp; Wellness"/>
    <x v="4"/>
  </r>
  <r>
    <s v="NexGen Systems"/>
    <x v="0"/>
    <s v="Men 25-34"/>
    <s v="30 days"/>
    <x v="2"/>
    <n v="0.12"/>
    <n v="13273"/>
    <n v="7.12"/>
    <n v="120"/>
    <n v="110.60833333333333"/>
    <s v="New York"/>
    <s v="German"/>
    <n v="1000"/>
    <n v="7404"/>
    <n v="4"/>
    <s v="Tech Enthusiasts"/>
    <x v="5"/>
  </r>
  <r>
    <s v="DataTech Solutions"/>
    <x v="1"/>
    <s v="Women 35-44"/>
    <s v="15 days"/>
    <x v="1"/>
    <n v="0.09"/>
    <n v="18054"/>
    <n v="4.79"/>
    <n v="14"/>
    <n v="1289.5714285714287"/>
    <s v="Miami"/>
    <s v="French"/>
    <n v="155"/>
    <n v="5629"/>
    <n v="4"/>
    <s v="Fashionistas"/>
    <x v="6"/>
  </r>
  <r>
    <s v="DataTech Solutions"/>
    <x v="2"/>
    <s v="Men 25-34"/>
    <s v="15 days"/>
    <x v="5"/>
    <n v="0.04"/>
    <n v="5407"/>
    <n v="5.48"/>
    <n v="10"/>
    <n v="540.70000000000005"/>
    <s v="Miami"/>
    <s v="French"/>
    <n v="258"/>
    <n v="8329"/>
    <n v="2"/>
    <s v="Foodies"/>
    <x v="7"/>
  </r>
  <r>
    <s v="Alpha Innovations"/>
    <x v="4"/>
    <s v="Men 18-24"/>
    <s v="60 days"/>
    <x v="1"/>
    <n v="0.03"/>
    <n v="9977"/>
    <n v="7.94"/>
    <n v="23"/>
    <n v="433.78260869565219"/>
    <s v="New York"/>
    <s v="Mandarin"/>
    <n v="762"/>
    <n v="9525"/>
    <n v="7"/>
    <s v="Health &amp; Wellness"/>
    <x v="8"/>
  </r>
  <r>
    <s v="NexGen Systems"/>
    <x v="2"/>
    <s v="Women 25-34"/>
    <s v="30 days"/>
    <x v="5"/>
    <n v="0.06"/>
    <n v="13780"/>
    <n v="5.81"/>
    <n v="12"/>
    <n v="1148.3333333333333"/>
    <s v="Los Angeles"/>
    <s v="German"/>
    <n v="193"/>
    <n v="2695"/>
    <n v="9"/>
    <s v="Tech Enthusiasts"/>
    <x v="9"/>
  </r>
  <r>
    <s v="Innovate Industries"/>
    <x v="1"/>
    <s v="All Ages"/>
    <s v="30 days"/>
    <x v="5"/>
    <n v="0.13"/>
    <n v="14677"/>
    <n v="5.18"/>
    <n v="74"/>
    <n v="198.33783783783784"/>
    <s v="Miami"/>
    <s v="Mandarin"/>
    <n v="567"/>
    <n v="4474"/>
    <n v="1"/>
    <s v="Fashionistas"/>
    <x v="10"/>
  </r>
  <r>
    <s v="DataTech Solutions"/>
    <x v="1"/>
    <s v="Men 18-24"/>
    <s v="60 days"/>
    <x v="3"/>
    <n v="0.09"/>
    <n v="6255"/>
    <n v="7.58"/>
    <n v="65"/>
    <n v="96.230769230769226"/>
    <s v="Miami"/>
    <s v="German"/>
    <n v="724"/>
    <n v="4337"/>
    <n v="5"/>
    <s v="Fashionistas"/>
    <x v="11"/>
  </r>
  <r>
    <s v="TechCorp"/>
    <x v="4"/>
    <s v="Men 18-24"/>
    <s v="30 days"/>
    <x v="4"/>
    <n v="0.04"/>
    <n v="8133"/>
    <n v="3.14"/>
    <n v="39"/>
    <n v="208.53846153846155"/>
    <s v="Houston"/>
    <s v="English"/>
    <n v="977"/>
    <n v="1895"/>
    <n v="1"/>
    <s v="Health &amp; Wellness"/>
    <x v="12"/>
  </r>
  <r>
    <s v="Alpha Innovations"/>
    <x v="3"/>
    <s v="Women 25-34"/>
    <s v="30 days"/>
    <x v="3"/>
    <n v="0.04"/>
    <n v="6773"/>
    <n v="2.12"/>
    <n v="4"/>
    <n v="1693.25"/>
    <s v="Houston"/>
    <s v="Spanish"/>
    <n v="110"/>
    <n v="6469"/>
    <n v="7"/>
    <s v="Tech Enthusiasts"/>
    <x v="13"/>
  </r>
  <r>
    <s v="DataTech Solutions"/>
    <x v="0"/>
    <s v="Women 25-34"/>
    <s v="30 days"/>
    <x v="1"/>
    <n v="0.04"/>
    <n v="7122"/>
    <n v="2.02"/>
    <n v="31"/>
    <n v="229.74193548387098"/>
    <s v="Miami"/>
    <s v="English"/>
    <n v="772"/>
    <n v="5967"/>
    <n v="6"/>
    <s v="Foodies"/>
    <x v="14"/>
  </r>
  <r>
    <s v="Innovate Industries"/>
    <x v="0"/>
    <s v="Women 35-44"/>
    <s v="45 days"/>
    <x v="5"/>
    <n v="7.0000000000000007E-2"/>
    <n v="19598"/>
    <n v="6.84"/>
    <n v="17"/>
    <n v="1152.8235294117646"/>
    <s v="New York"/>
    <s v="Mandarin"/>
    <n v="246"/>
    <n v="5758"/>
    <n v="2"/>
    <s v="Fashionistas"/>
    <x v="15"/>
  </r>
  <r>
    <s v="DataTech Solutions"/>
    <x v="4"/>
    <s v="Women 25-34"/>
    <s v="45 days"/>
    <x v="3"/>
    <n v="0.11"/>
    <n v="15798"/>
    <n v="4.75"/>
    <n v="68"/>
    <n v="232.3235294117647"/>
    <s v="Los Angeles"/>
    <s v="Spanish"/>
    <n v="616"/>
    <n v="7598"/>
    <n v="5"/>
    <s v="Outdoor Adventurers"/>
    <x v="16"/>
  </r>
  <r>
    <s v="NexGen Systems"/>
    <x v="1"/>
    <s v="Men 25-34"/>
    <s v="45 days"/>
    <x v="3"/>
    <n v="0.02"/>
    <n v="13170"/>
    <n v="3.01"/>
    <n v="6"/>
    <n v="2195"/>
    <s v="Los Angeles"/>
    <s v="Mandarin"/>
    <n v="308"/>
    <n v="7725"/>
    <n v="2"/>
    <s v="Tech Enthusiasts"/>
    <x v="17"/>
  </r>
  <r>
    <s v="Innovate Industries"/>
    <x v="4"/>
    <s v="Women 25-34"/>
    <s v="30 days"/>
    <x v="5"/>
    <n v="0.1"/>
    <n v="6867"/>
    <n v="5.24"/>
    <n v="46"/>
    <n v="149.28260869565219"/>
    <s v="New York"/>
    <s v="Spanish"/>
    <n v="462"/>
    <n v="9594"/>
    <n v="7"/>
    <s v="Tech Enthusiasts"/>
    <x v="18"/>
  </r>
  <r>
    <s v="NexGen Systems"/>
    <x v="0"/>
    <s v="Men 18-24"/>
    <s v="45 days"/>
    <x v="5"/>
    <n v="0.09"/>
    <n v="14247"/>
    <n v="3.9"/>
    <n v="71"/>
    <n v="200.66197183098592"/>
    <s v="New York"/>
    <s v="German"/>
    <n v="786"/>
    <n v="4885"/>
    <n v="10"/>
    <s v="Outdoor Adventurers"/>
    <x v="19"/>
  </r>
  <r>
    <s v="DataTech Solutions"/>
    <x v="4"/>
    <s v="Men 25-34"/>
    <s v="15 days"/>
    <x v="2"/>
    <n v="7.0000000000000007E-2"/>
    <n v="19143"/>
    <n v="6.18"/>
    <n v="9"/>
    <n v="2127"/>
    <s v="Houston"/>
    <s v="English"/>
    <n v="133"/>
    <n v="6695"/>
    <n v="5"/>
    <s v="Fashionistas"/>
    <x v="20"/>
  </r>
  <r>
    <s v="TechCorp"/>
    <x v="2"/>
    <s v="All Ages"/>
    <s v="30 days"/>
    <x v="1"/>
    <n v="0.15"/>
    <n v="11999"/>
    <n v="6.14"/>
    <n v="121"/>
    <n v="99.165289256198349"/>
    <s v="Miami"/>
    <s v="Spanish"/>
    <n v="808"/>
    <n v="4611"/>
    <n v="4"/>
    <s v="Tech Enthusiasts"/>
    <x v="21"/>
  </r>
  <r>
    <s v="Alpha Innovations"/>
    <x v="0"/>
    <s v="All Ages"/>
    <s v="45 days"/>
    <x v="1"/>
    <n v="7.0000000000000007E-2"/>
    <n v="6781"/>
    <n v="3.27"/>
    <n v="21"/>
    <n v="322.90476190476193"/>
    <s v="Houston"/>
    <s v="Mandarin"/>
    <n v="293"/>
    <n v="5727"/>
    <n v="6"/>
    <s v="Outdoor Adventurers"/>
    <x v="22"/>
  </r>
  <r>
    <s v="Alpha Innovations"/>
    <x v="4"/>
    <s v="Women 25-34"/>
    <s v="60 days"/>
    <x v="3"/>
    <n v="7.0000000000000007E-2"/>
    <n v="10403"/>
    <n v="6.16"/>
    <n v="26"/>
    <n v="400.11538461538464"/>
    <s v="Los Angeles"/>
    <s v="Spanish"/>
    <n v="371"/>
    <n v="4879"/>
    <n v="7"/>
    <s v="Fashionistas"/>
    <x v="23"/>
  </r>
  <r>
    <s v="Alpha Innovations"/>
    <x v="1"/>
    <s v="Men 18-24"/>
    <s v="60 days"/>
    <x v="1"/>
    <n v="7.0000000000000007E-2"/>
    <n v="14506"/>
    <n v="6.37"/>
    <n v="54"/>
    <n v="268.62962962962962"/>
    <s v="Chicago"/>
    <s v="Mandarin"/>
    <n v="774"/>
    <n v="7736"/>
    <n v="3"/>
    <s v="Health &amp; Wellness"/>
    <x v="24"/>
  </r>
  <r>
    <s v="NexGen Systems"/>
    <x v="3"/>
    <s v="Men 18-24"/>
    <s v="15 days"/>
    <x v="5"/>
    <n v="0.01"/>
    <n v="14071"/>
    <n v="6.97"/>
    <n v="8"/>
    <n v="1758.875"/>
    <s v="Chicago"/>
    <s v="English"/>
    <n v="750"/>
    <n v="1612"/>
    <n v="1"/>
    <s v="Fashionistas"/>
    <x v="25"/>
  </r>
  <r>
    <s v="Innovate Industries"/>
    <x v="0"/>
    <s v="Men 18-24"/>
    <s v="60 days"/>
    <x v="1"/>
    <n v="0.02"/>
    <n v="19016"/>
    <n v="5.37"/>
    <n v="14"/>
    <n v="1358.2857142857142"/>
    <s v="New York"/>
    <s v="Mandarin"/>
    <n v="688"/>
    <n v="2476"/>
    <n v="8"/>
    <s v="Outdoor Adventurers"/>
    <x v="26"/>
  </r>
  <r>
    <s v="NexGen Systems"/>
    <x v="2"/>
    <s v="Women 35-44"/>
    <s v="60 days"/>
    <x v="1"/>
    <n v="0.13"/>
    <n v="19690"/>
    <n v="3.36"/>
    <n v="93"/>
    <n v="211.72043010752688"/>
    <s v="Miami"/>
    <s v="German"/>
    <n v="715"/>
    <n v="1219"/>
    <n v="4"/>
    <s v="Fashionistas"/>
    <x v="27"/>
  </r>
  <r>
    <s v="NexGen Systems"/>
    <x v="1"/>
    <s v="Women 25-34"/>
    <s v="15 days"/>
    <x v="3"/>
    <n v="0.08"/>
    <n v="10402"/>
    <n v="2.54"/>
    <n v="40"/>
    <n v="260.05"/>
    <s v="Houston"/>
    <s v="English"/>
    <n v="502"/>
    <n v="8711"/>
    <n v="9"/>
    <s v="Tech Enthusiasts"/>
    <x v="28"/>
  </r>
  <r>
    <s v="DataTech Solutions"/>
    <x v="4"/>
    <s v="Men 18-24"/>
    <s v="15 days"/>
    <x v="1"/>
    <n v="0.04"/>
    <n v="15063"/>
    <n v="6.02"/>
    <n v="7"/>
    <n v="2151.8571428571427"/>
    <s v="Houston"/>
    <s v="German"/>
    <n v="167"/>
    <n v="3492"/>
    <n v="10"/>
    <s v="Outdoor Adventurers"/>
    <x v="29"/>
  </r>
  <r>
    <s v="Innovate Industries"/>
    <x v="1"/>
    <s v="Women 35-44"/>
    <s v="60 days"/>
    <x v="4"/>
    <n v="0.09"/>
    <n v="5726"/>
    <n v="6.61"/>
    <n v="89"/>
    <n v="64.337078651685388"/>
    <s v="Chicago"/>
    <s v="Spanish"/>
    <n v="994"/>
    <n v="9968"/>
    <n v="7"/>
    <s v="Foodies"/>
    <x v="30"/>
  </r>
  <r>
    <s v="DataTech Solutions"/>
    <x v="4"/>
    <s v="Women 25-34"/>
    <s v="30 days"/>
    <x v="1"/>
    <n v="0.01"/>
    <n v="17171"/>
    <n v="4.66"/>
    <n v="5"/>
    <n v="3434.2"/>
    <s v="New York"/>
    <s v="Mandarin"/>
    <n v="528"/>
    <n v="9873"/>
    <n v="3"/>
    <s v="Health &amp; Wellness"/>
    <x v="31"/>
  </r>
  <r>
    <s v="NexGen Systems"/>
    <x v="4"/>
    <s v="Men 25-34"/>
    <s v="45 days"/>
    <x v="3"/>
    <n v="0.05"/>
    <n v="16567"/>
    <n v="4.66"/>
    <n v="11"/>
    <n v="1506.090909090909"/>
    <s v="New York"/>
    <s v="Spanish"/>
    <n v="224"/>
    <n v="9023"/>
    <n v="1"/>
    <s v="Outdoor Adventurers"/>
    <x v="32"/>
  </r>
  <r>
    <s v="NexGen Systems"/>
    <x v="4"/>
    <s v="All Ages"/>
    <s v="30 days"/>
    <x v="3"/>
    <n v="0.02"/>
    <n v="10262"/>
    <n v="5.03"/>
    <n v="5"/>
    <n v="2052.4"/>
    <s v="Chicago"/>
    <s v="Spanish"/>
    <n v="259"/>
    <n v="4082"/>
    <n v="4"/>
    <s v="Health &amp; Wellness"/>
    <x v="33"/>
  </r>
  <r>
    <s v="DataTech Solutions"/>
    <x v="2"/>
    <s v="Women 25-34"/>
    <s v="30 days"/>
    <x v="2"/>
    <n v="0.05"/>
    <n v="15986"/>
    <n v="2.5299999999999998"/>
    <n v="27"/>
    <n v="592.07407407407402"/>
    <s v="Miami"/>
    <s v="Spanish"/>
    <n v="530"/>
    <n v="8170"/>
    <n v="10"/>
    <s v="Tech Enthusiasts"/>
    <x v="34"/>
  </r>
  <r>
    <s v="DataTech Solutions"/>
    <x v="4"/>
    <s v="All Ages"/>
    <s v="60 days"/>
    <x v="2"/>
    <n v="0.11"/>
    <n v="15183"/>
    <n v="4.8899999999999997"/>
    <n v="101"/>
    <n v="150.32673267326732"/>
    <s v="New York"/>
    <s v="Mandarin"/>
    <n v="920"/>
    <n v="4823"/>
    <n v="9"/>
    <s v="Tech Enthusiasts"/>
    <x v="35"/>
  </r>
  <r>
    <s v="TechCorp"/>
    <x v="4"/>
    <s v="Men 18-24"/>
    <s v="15 days"/>
    <x v="0"/>
    <n v="0.1"/>
    <n v="9376"/>
    <n v="3.91"/>
    <n v="85"/>
    <n v="110.30588235294118"/>
    <s v="Miami"/>
    <s v="German"/>
    <n v="847"/>
    <n v="9081"/>
    <n v="6"/>
    <s v="Foodies"/>
    <x v="36"/>
  </r>
  <r>
    <s v="NexGen Systems"/>
    <x v="1"/>
    <s v="Women 35-44"/>
    <s v="30 days"/>
    <x v="2"/>
    <n v="0.03"/>
    <n v="18232"/>
    <n v="6.5"/>
    <n v="11"/>
    <n v="1657.4545454545455"/>
    <s v="Chicago"/>
    <s v="French"/>
    <n v="373"/>
    <n v="8439"/>
    <n v="10"/>
    <s v="Fashionistas"/>
    <x v="37"/>
  </r>
  <r>
    <s v="Innovate Industries"/>
    <x v="4"/>
    <s v="Women 35-44"/>
    <s v="30 days"/>
    <x v="2"/>
    <n v="0.11"/>
    <n v="18456"/>
    <n v="6.62"/>
    <n v="34"/>
    <n v="542.82352941176475"/>
    <s v="New York"/>
    <s v="French"/>
    <n v="311"/>
    <n v="4844"/>
    <n v="10"/>
    <s v="Fashionistas"/>
    <x v="38"/>
  </r>
  <r>
    <s v="Innovate Industries"/>
    <x v="0"/>
    <s v="Women 25-34"/>
    <s v="30 days"/>
    <x v="1"/>
    <n v="0.04"/>
    <n v="9698"/>
    <n v="5.71"/>
    <n v="26"/>
    <n v="373"/>
    <s v="Miami"/>
    <s v="Spanish"/>
    <n v="650"/>
    <n v="8673"/>
    <n v="7"/>
    <s v="Outdoor Adventurers"/>
    <x v="39"/>
  </r>
  <r>
    <s v="TechCorp"/>
    <x v="2"/>
    <s v="Women 35-44"/>
    <s v="15 days"/>
    <x v="1"/>
    <n v="0.04"/>
    <n v="13976"/>
    <n v="4.34"/>
    <n v="40"/>
    <n v="349.4"/>
    <s v="Chicago"/>
    <s v="Spanish"/>
    <n v="996"/>
    <n v="1545"/>
    <n v="1"/>
    <s v="Fashionistas"/>
    <x v="40"/>
  </r>
  <r>
    <s v="DataTech Solutions"/>
    <x v="0"/>
    <s v="Men 25-34"/>
    <s v="30 days"/>
    <x v="1"/>
    <n v="0.13"/>
    <n v="9188"/>
    <n v="6.78"/>
    <n v="114"/>
    <n v="80.596491228070178"/>
    <s v="Houston"/>
    <s v="German"/>
    <n v="880"/>
    <n v="4426"/>
    <n v="1"/>
    <s v="Foodies"/>
    <x v="41"/>
  </r>
  <r>
    <s v="NexGen Systems"/>
    <x v="3"/>
    <s v="Women 35-44"/>
    <s v="60 days"/>
    <x v="4"/>
    <n v="0.04"/>
    <n v="5785"/>
    <n v="3.66"/>
    <n v="28"/>
    <n v="206.60714285714286"/>
    <s v="New York"/>
    <s v="Spanish"/>
    <n v="699"/>
    <n v="5448"/>
    <n v="6"/>
    <s v="Fashionistas"/>
    <x v="42"/>
  </r>
  <r>
    <s v="Innovate Industries"/>
    <x v="0"/>
    <s v="Men 18-24"/>
    <s v="30 days"/>
    <x v="2"/>
    <n v="0.11"/>
    <n v="18912"/>
    <n v="7.14"/>
    <n v="89"/>
    <n v="212.49438202247191"/>
    <s v="Los Angeles"/>
    <s v="Mandarin"/>
    <n v="808"/>
    <n v="2690"/>
    <n v="9"/>
    <s v="Health &amp; Wellness"/>
    <x v="43"/>
  </r>
  <r>
    <s v="TechCorp"/>
    <x v="1"/>
    <s v="Men 25-34"/>
    <s v="60 days"/>
    <x v="0"/>
    <n v="0.12"/>
    <n v="8005"/>
    <n v="3.67"/>
    <n v="44"/>
    <n v="181.93181818181819"/>
    <s v="Chicago"/>
    <s v="French"/>
    <n v="366"/>
    <n v="8388"/>
    <n v="3"/>
    <s v="Foodies"/>
    <x v="44"/>
  </r>
  <r>
    <s v="DataTech Solutions"/>
    <x v="2"/>
    <s v="All Ages"/>
    <s v="30 days"/>
    <x v="3"/>
    <n v="0.12"/>
    <n v="14403"/>
    <n v="2.67"/>
    <n v="32"/>
    <n v="450.09375"/>
    <s v="Miami"/>
    <s v="German"/>
    <n v="270"/>
    <n v="6230"/>
    <n v="1"/>
    <s v="Tech Enthusiasts"/>
    <x v="45"/>
  </r>
  <r>
    <s v="Alpha Innovations"/>
    <x v="0"/>
    <s v="All Ages"/>
    <s v="60 days"/>
    <x v="2"/>
    <n v="0.06"/>
    <n v="14288"/>
    <n v="3.37"/>
    <n v="9"/>
    <n v="1587.5555555555557"/>
    <s v="New York"/>
    <s v="German"/>
    <n v="147"/>
    <n v="4409"/>
    <n v="3"/>
    <s v="Health &amp; Wellness"/>
    <x v="46"/>
  </r>
  <r>
    <s v="NexGen Systems"/>
    <x v="3"/>
    <s v="Women 35-44"/>
    <s v="60 days"/>
    <x v="2"/>
    <n v="0.05"/>
    <n v="17872"/>
    <n v="4.45"/>
    <n v="9"/>
    <n v="1985.7777777777778"/>
    <s v="Los Angeles"/>
    <s v="Spanish"/>
    <n v="176"/>
    <n v="4689"/>
    <n v="9"/>
    <s v="Outdoor Adventurers"/>
    <x v="47"/>
  </r>
  <r>
    <s v="Innovate Industries"/>
    <x v="0"/>
    <s v="Men 18-24"/>
    <s v="30 days"/>
    <x v="4"/>
    <n v="0.13"/>
    <n v="7275"/>
    <n v="2.72"/>
    <n v="27"/>
    <n v="269.44444444444446"/>
    <s v="Houston"/>
    <s v="English"/>
    <n v="211"/>
    <n v="8935"/>
    <n v="6"/>
    <s v="Outdoor Adventurers"/>
    <x v="48"/>
  </r>
  <r>
    <s v="DataTech Solutions"/>
    <x v="1"/>
    <s v="Men 18-24"/>
    <s v="30 days"/>
    <x v="5"/>
    <n v="0.15"/>
    <n v="8135"/>
    <n v="4.26"/>
    <n v="30"/>
    <n v="271.16666666666669"/>
    <s v="Houston"/>
    <s v="German"/>
    <n v="197"/>
    <n v="1156"/>
    <n v="10"/>
    <s v="Tech Enthusiasts"/>
    <x v="49"/>
  </r>
  <r>
    <s v="NexGen Systems"/>
    <x v="0"/>
    <s v="Women 25-34"/>
    <s v="60 days"/>
    <x v="0"/>
    <n v="7.0000000000000007E-2"/>
    <n v="5199"/>
    <n v="4.97"/>
    <n v="45"/>
    <n v="115.53333333333333"/>
    <s v="Miami"/>
    <s v="German"/>
    <n v="642"/>
    <n v="2507"/>
    <n v="5"/>
    <s v="Tech Enthusiasts"/>
    <x v="50"/>
  </r>
  <r>
    <s v="TechCorp"/>
    <x v="3"/>
    <s v="Men 18-24"/>
    <s v="15 days"/>
    <x v="2"/>
    <n v="0.08"/>
    <n v="5470"/>
    <n v="7.07"/>
    <n v="78"/>
    <n v="70.128205128205124"/>
    <s v="Miami"/>
    <s v="French"/>
    <n v="969"/>
    <n v="7544"/>
    <n v="8"/>
    <s v="Foodies"/>
    <x v="51"/>
  </r>
  <r>
    <s v="NexGen Systems"/>
    <x v="1"/>
    <s v="Men 25-34"/>
    <s v="45 days"/>
    <x v="4"/>
    <n v="0.02"/>
    <n v="10790"/>
    <n v="6.99"/>
    <n v="14"/>
    <n v="770.71428571428567"/>
    <s v="New York"/>
    <s v="Mandarin"/>
    <n v="706"/>
    <n v="2982"/>
    <n v="2"/>
    <s v="Tech Enthusiasts"/>
    <x v="52"/>
  </r>
  <r>
    <s v="Innovate Industries"/>
    <x v="4"/>
    <s v="All Ages"/>
    <s v="60 days"/>
    <x v="1"/>
    <n v="0.06"/>
    <n v="10660"/>
    <n v="5.41"/>
    <n v="47"/>
    <n v="226.80851063829786"/>
    <s v="Los Angeles"/>
    <s v="Spanish"/>
    <n v="778"/>
    <n v="8797"/>
    <n v="4"/>
    <s v="Fashionistas"/>
    <x v="53"/>
  </r>
  <r>
    <s v="Innovate Industries"/>
    <x v="4"/>
    <s v="All Ages"/>
    <s v="60 days"/>
    <x v="3"/>
    <n v="0.13"/>
    <n v="18131"/>
    <n v="6.57"/>
    <n v="58"/>
    <n v="312.60344827586209"/>
    <s v="Miami"/>
    <s v="German"/>
    <n v="447"/>
    <n v="5793"/>
    <n v="3"/>
    <s v="Outdoor Adventurers"/>
    <x v="54"/>
  </r>
  <r>
    <s v="NexGen Systems"/>
    <x v="1"/>
    <s v="Men 18-24"/>
    <s v="60 days"/>
    <x v="5"/>
    <n v="0.11"/>
    <n v="9063"/>
    <n v="5.33"/>
    <n v="66"/>
    <n v="137.31818181818181"/>
    <s v="New York"/>
    <s v="Spanish"/>
    <n v="596"/>
    <n v="8945"/>
    <n v="2"/>
    <s v="Tech Enthusiasts"/>
    <x v="55"/>
  </r>
  <r>
    <s v="Innovate Industries"/>
    <x v="2"/>
    <s v="Men 18-24"/>
    <s v="60 days"/>
    <x v="5"/>
    <n v="0.04"/>
    <n v="6743"/>
    <n v="3.88"/>
    <n v="24"/>
    <n v="280.95833333333331"/>
    <s v="Los Angeles"/>
    <s v="German"/>
    <n v="598"/>
    <n v="9529"/>
    <n v="4"/>
    <s v="Health &amp; Wellness"/>
    <x v="56"/>
  </r>
  <r>
    <s v="Alpha Innovations"/>
    <x v="3"/>
    <s v="All Ages"/>
    <s v="30 days"/>
    <x v="0"/>
    <n v="0.09"/>
    <n v="14294"/>
    <n v="7.19"/>
    <n v="15"/>
    <n v="952.93333333333328"/>
    <s v="Chicago"/>
    <s v="Spanish"/>
    <n v="170"/>
    <n v="1248"/>
    <n v="2"/>
    <s v="Outdoor Adventurers"/>
    <x v="57"/>
  </r>
  <r>
    <s v="NexGen Systems"/>
    <x v="2"/>
    <s v="All Ages"/>
    <s v="45 days"/>
    <x v="5"/>
    <n v="0.02"/>
    <n v="12025"/>
    <n v="4.2300000000000004"/>
    <n v="2"/>
    <n v="6012.5"/>
    <s v="New York"/>
    <s v="English"/>
    <n v="110"/>
    <n v="1464"/>
    <n v="2"/>
    <s v="Outdoor Adventurers"/>
    <x v="58"/>
  </r>
  <r>
    <s v="Alpha Innovations"/>
    <x v="4"/>
    <s v="Women 25-34"/>
    <s v="30 days"/>
    <x v="5"/>
    <n v="0.1"/>
    <n v="7346"/>
    <n v="4.6399999999999997"/>
    <n v="87"/>
    <n v="84.436781609195407"/>
    <s v="New York"/>
    <s v="Mandarin"/>
    <n v="869"/>
    <n v="6506"/>
    <n v="3"/>
    <s v="Foodies"/>
    <x v="59"/>
  </r>
  <r>
    <s v="TechCorp"/>
    <x v="2"/>
    <s v="Women 35-44"/>
    <s v="45 days"/>
    <x v="1"/>
    <n v="0.08"/>
    <n v="19647"/>
    <n v="3.86"/>
    <n v="46"/>
    <n v="427.10869565217394"/>
    <s v="Chicago"/>
    <s v="German"/>
    <n v="573"/>
    <n v="5757"/>
    <n v="8"/>
    <s v="Health &amp; Wellness"/>
    <x v="60"/>
  </r>
  <r>
    <s v="NexGen Systems"/>
    <x v="1"/>
    <s v="Women 35-44"/>
    <s v="15 days"/>
    <x v="5"/>
    <n v="0.08"/>
    <n v="17019"/>
    <n v="2.48"/>
    <n v="56"/>
    <n v="303.91071428571428"/>
    <s v="Houston"/>
    <s v="English"/>
    <n v="701"/>
    <n v="6685"/>
    <n v="4"/>
    <s v="Outdoor Adventurers"/>
    <x v="61"/>
  </r>
  <r>
    <s v="Innovate Industries"/>
    <x v="4"/>
    <s v="Women 35-44"/>
    <s v="30 days"/>
    <x v="2"/>
    <n v="0.1"/>
    <n v="17736"/>
    <n v="5.9"/>
    <n v="24"/>
    <n v="739"/>
    <s v="Chicago"/>
    <s v="French"/>
    <n v="239"/>
    <n v="2931"/>
    <n v="9"/>
    <s v="Tech Enthusiasts"/>
    <x v="62"/>
  </r>
  <r>
    <s v="Alpha Innovations"/>
    <x v="2"/>
    <s v="Women 35-44"/>
    <s v="15 days"/>
    <x v="4"/>
    <n v="0.03"/>
    <n v="9165"/>
    <n v="2.5099999999999998"/>
    <n v="26"/>
    <n v="352.5"/>
    <s v="Los Angeles"/>
    <s v="English"/>
    <n v="869"/>
    <n v="4877"/>
    <n v="7"/>
    <s v="Tech Enthusiasts"/>
    <x v="63"/>
  </r>
  <r>
    <s v="Innovate Industries"/>
    <x v="4"/>
    <s v="Women 25-34"/>
    <s v="60 days"/>
    <x v="1"/>
    <n v="0.13"/>
    <n v="17890"/>
    <n v="4.8499999999999996"/>
    <n v="115"/>
    <n v="155.56521739130434"/>
    <s v="New York"/>
    <s v="Spanish"/>
    <n v="886"/>
    <n v="2856"/>
    <n v="4"/>
    <s v="Health &amp; Wellness"/>
    <x v="64"/>
  </r>
  <r>
    <s v="Innovate Industries"/>
    <x v="0"/>
    <s v="Women 25-34"/>
    <s v="30 days"/>
    <x v="4"/>
    <n v="7.0000000000000007E-2"/>
    <n v="13186"/>
    <n v="5.71"/>
    <n v="52"/>
    <n v="253.57692307692307"/>
    <s v="New York"/>
    <s v="German"/>
    <n v="748"/>
    <n v="8395"/>
    <n v="3"/>
    <s v="Foodies"/>
    <x v="65"/>
  </r>
  <r>
    <s v="Innovate Industries"/>
    <x v="3"/>
    <s v="Men 18-24"/>
    <s v="30 days"/>
    <x v="1"/>
    <n v="0.11"/>
    <n v="19844"/>
    <n v="5.0199999999999996"/>
    <n v="103"/>
    <n v="192.66019417475729"/>
    <s v="New York"/>
    <s v="English"/>
    <n v="939"/>
    <n v="8284"/>
    <n v="8"/>
    <s v="Tech Enthusiasts"/>
    <x v="66"/>
  </r>
  <r>
    <s v="NexGen Systems"/>
    <x v="3"/>
    <s v="All Ages"/>
    <s v="30 days"/>
    <x v="4"/>
    <n v="0.12"/>
    <n v="15446"/>
    <n v="2.56"/>
    <n v="66"/>
    <n v="234.03030303030303"/>
    <s v="Miami"/>
    <s v="French"/>
    <n v="546"/>
    <n v="5625"/>
    <n v="5"/>
    <s v="Fashionistas"/>
    <x v="67"/>
  </r>
  <r>
    <s v="TechCorp"/>
    <x v="2"/>
    <s v="All Ages"/>
    <s v="15 days"/>
    <x v="2"/>
    <n v="0.1"/>
    <n v="8257"/>
    <n v="7.81"/>
    <n v="97"/>
    <n v="85.123711340206185"/>
    <s v="Miami"/>
    <s v="French"/>
    <n v="972"/>
    <n v="5247"/>
    <n v="8"/>
    <s v="Fashionistas"/>
    <x v="68"/>
  </r>
  <r>
    <s v="Innovate Industries"/>
    <x v="4"/>
    <s v="Women 35-44"/>
    <s v="60 days"/>
    <x v="0"/>
    <n v="0.08"/>
    <n v="8175"/>
    <n v="2.73"/>
    <n v="46"/>
    <n v="177.71739130434781"/>
    <s v="New York"/>
    <s v="English"/>
    <n v="580"/>
    <n v="3203"/>
    <n v="4"/>
    <s v="Fashionistas"/>
    <x v="69"/>
  </r>
  <r>
    <s v="Alpha Innovations"/>
    <x v="1"/>
    <s v="Men 18-24"/>
    <s v="60 days"/>
    <x v="3"/>
    <n v="0.04"/>
    <n v="14895"/>
    <n v="5.89"/>
    <n v="17"/>
    <n v="876.17647058823525"/>
    <s v="Chicago"/>
    <s v="Mandarin"/>
    <n v="434"/>
    <n v="7639"/>
    <n v="5"/>
    <s v="Tech Enthusiasts"/>
    <x v="70"/>
  </r>
  <r>
    <s v="TechCorp"/>
    <x v="1"/>
    <s v="Women 25-34"/>
    <s v="60 days"/>
    <x v="3"/>
    <n v="0.06"/>
    <n v="16370"/>
    <n v="3.97"/>
    <n v="23"/>
    <n v="711.73913043478262"/>
    <s v="Miami"/>
    <s v="English"/>
    <n v="378"/>
    <n v="9230"/>
    <n v="5"/>
    <s v="Outdoor Adventurers"/>
    <x v="71"/>
  </r>
  <r>
    <s v="Alpha Innovations"/>
    <x v="0"/>
    <s v="Women 35-44"/>
    <s v="60 days"/>
    <x v="5"/>
    <n v="0.14000000000000001"/>
    <n v="6516"/>
    <n v="5.9"/>
    <n v="39"/>
    <n v="167.07692307692307"/>
    <s v="Miami"/>
    <s v="French"/>
    <n v="275"/>
    <n v="8703"/>
    <n v="2"/>
    <s v="Outdoor Adventurers"/>
    <x v="72"/>
  </r>
  <r>
    <s v="TechCorp"/>
    <x v="0"/>
    <s v="Women 35-44"/>
    <s v="45 days"/>
    <x v="1"/>
    <n v="0.08"/>
    <n v="10714"/>
    <n v="5.94"/>
    <n v="35"/>
    <n v="306.1142857142857"/>
    <s v="New York"/>
    <s v="German"/>
    <n v="435"/>
    <n v="4529"/>
    <n v="2"/>
    <s v="Tech Enthusiasts"/>
    <x v="73"/>
  </r>
  <r>
    <s v="Alpha Innovations"/>
    <x v="3"/>
    <s v="Men 18-24"/>
    <s v="15 days"/>
    <x v="5"/>
    <n v="0.14000000000000001"/>
    <n v="17422"/>
    <n v="5.18"/>
    <n v="75"/>
    <n v="232.29333333333332"/>
    <s v="Miami"/>
    <s v="Mandarin"/>
    <n v="538"/>
    <n v="2472"/>
    <n v="10"/>
    <s v="Foodies"/>
    <x v="74"/>
  </r>
  <r>
    <s v="TechCorp"/>
    <x v="1"/>
    <s v="Women 35-44"/>
    <s v="30 days"/>
    <x v="2"/>
    <n v="7.0000000000000007E-2"/>
    <n v="16592"/>
    <n v="5.45"/>
    <n v="49"/>
    <n v="338.61224489795916"/>
    <s v="New York"/>
    <s v="Spanish"/>
    <n v="698"/>
    <n v="2804"/>
    <n v="7"/>
    <s v="Fashionistas"/>
    <x v="75"/>
  </r>
  <r>
    <s v="NexGen Systems"/>
    <x v="4"/>
    <s v="Men 25-34"/>
    <s v="45 days"/>
    <x v="0"/>
    <n v="0.11"/>
    <n v="13201"/>
    <n v="4.8600000000000003"/>
    <n v="68"/>
    <n v="194.13235294117646"/>
    <s v="Miami"/>
    <s v="German"/>
    <n v="622"/>
    <n v="3026"/>
    <n v="8"/>
    <s v="Outdoor Adventurers"/>
    <x v="76"/>
  </r>
  <r>
    <s v="Innovate Industries"/>
    <x v="4"/>
    <s v="All Ages"/>
    <s v="30 days"/>
    <x v="1"/>
    <n v="0.05"/>
    <n v="7668"/>
    <n v="6.71"/>
    <n v="47"/>
    <n v="163.14893617021278"/>
    <s v="Houston"/>
    <s v="German"/>
    <n v="949"/>
    <n v="2415"/>
    <n v="4"/>
    <s v="Fashionistas"/>
    <x v="77"/>
  </r>
  <r>
    <s v="TechCorp"/>
    <x v="1"/>
    <s v="Women 25-34"/>
    <s v="30 days"/>
    <x v="2"/>
    <n v="0.12"/>
    <n v="9875"/>
    <n v="7.74"/>
    <n v="97"/>
    <n v="101.80412371134021"/>
    <s v="Houston"/>
    <s v="Mandarin"/>
    <n v="807"/>
    <n v="8503"/>
    <n v="1"/>
    <s v="Outdoor Adventurers"/>
    <x v="78"/>
  </r>
  <r>
    <s v="Innovate Industries"/>
    <x v="0"/>
    <s v="All Ages"/>
    <s v="15 days"/>
    <x v="3"/>
    <n v="0.03"/>
    <n v="11342"/>
    <n v="7.88"/>
    <n v="27"/>
    <n v="420.07407407407408"/>
    <s v="Miami"/>
    <s v="English"/>
    <n v="888"/>
    <n v="5107"/>
    <n v="8"/>
    <s v="Outdoor Adventurers"/>
    <x v="79"/>
  </r>
  <r>
    <s v="DataTech Solutions"/>
    <x v="0"/>
    <s v="Men 18-24"/>
    <s v="45 days"/>
    <x v="0"/>
    <n v="0.15"/>
    <n v="8319"/>
    <n v="7.49"/>
    <n v="17"/>
    <n v="489.35294117647061"/>
    <s v="Houston"/>
    <s v="Mandarin"/>
    <n v="110"/>
    <n v="1951"/>
    <n v="9"/>
    <s v="Health &amp; Wellness"/>
    <x v="80"/>
  </r>
  <r>
    <s v="TechCorp"/>
    <x v="0"/>
    <s v="All Ages"/>
    <s v="45 days"/>
    <x v="0"/>
    <n v="0.12"/>
    <n v="7384"/>
    <n v="5.68"/>
    <n v="63"/>
    <n v="117.2063492063492"/>
    <s v="Chicago"/>
    <s v="German"/>
    <n v="523"/>
    <n v="1266"/>
    <n v="5"/>
    <s v="Health &amp; Wellness"/>
    <x v="81"/>
  </r>
  <r>
    <s v="DataTech Solutions"/>
    <x v="2"/>
    <s v="Men 25-34"/>
    <s v="30 days"/>
    <x v="4"/>
    <n v="0.13"/>
    <n v="18529"/>
    <n v="6.44"/>
    <n v="62"/>
    <n v="298.85483870967744"/>
    <s v="New York"/>
    <s v="English"/>
    <n v="477"/>
    <n v="1083"/>
    <n v="4"/>
    <s v="Fashionistas"/>
    <x v="82"/>
  </r>
  <r>
    <s v="Innovate Industries"/>
    <x v="0"/>
    <s v="Men 18-24"/>
    <s v="30 days"/>
    <x v="4"/>
    <n v="0.05"/>
    <n v="19171"/>
    <n v="7.37"/>
    <n v="30"/>
    <n v="639.0333333333333"/>
    <s v="Houston"/>
    <s v="Mandarin"/>
    <n v="597"/>
    <n v="1319"/>
    <n v="10"/>
    <s v="Foodies"/>
    <x v="83"/>
  </r>
  <r>
    <s v="DataTech Solutions"/>
    <x v="3"/>
    <s v="Men 25-34"/>
    <s v="60 days"/>
    <x v="2"/>
    <n v="0.1"/>
    <n v="13545"/>
    <n v="4.4400000000000004"/>
    <n v="45"/>
    <n v="301"/>
    <s v="Houston"/>
    <s v="English"/>
    <n v="454"/>
    <n v="2794"/>
    <n v="5"/>
    <s v="Fashionistas"/>
    <x v="84"/>
  </r>
  <r>
    <s v="Innovate Industries"/>
    <x v="4"/>
    <s v="Women 25-34"/>
    <s v="15 days"/>
    <x v="1"/>
    <n v="0.01"/>
    <n v="17071"/>
    <n v="3.97"/>
    <n v="3"/>
    <n v="5690.333333333333"/>
    <s v="Miami"/>
    <s v="Mandarin"/>
    <n v="318"/>
    <n v="5255"/>
    <n v="9"/>
    <s v="Fashionistas"/>
    <x v="85"/>
  </r>
  <r>
    <s v="Innovate Industries"/>
    <x v="3"/>
    <s v="Women 35-44"/>
    <s v="60 days"/>
    <x v="0"/>
    <n v="0.02"/>
    <n v="6555"/>
    <n v="3.27"/>
    <n v="13"/>
    <n v="504.23076923076923"/>
    <s v="Miami"/>
    <s v="French"/>
    <n v="664"/>
    <n v="1064"/>
    <n v="3"/>
    <s v="Tech Enthusiasts"/>
    <x v="86"/>
  </r>
  <r>
    <s v="DataTech Solutions"/>
    <x v="2"/>
    <s v="Men 18-24"/>
    <s v="30 days"/>
    <x v="2"/>
    <n v="0.11"/>
    <n v="8078"/>
    <n v="7.16"/>
    <n v="109"/>
    <n v="74.11009174311927"/>
    <s v="Los Angeles"/>
    <s v="Spanish"/>
    <n v="990"/>
    <n v="9660"/>
    <n v="2"/>
    <s v="Fashionistas"/>
    <x v="87"/>
  </r>
  <r>
    <s v="Alpha Innovations"/>
    <x v="1"/>
    <s v="Women 25-34"/>
    <s v="45 days"/>
    <x v="1"/>
    <n v="0.05"/>
    <n v="16839"/>
    <n v="4.8899999999999997"/>
    <n v="36"/>
    <n v="467.75"/>
    <s v="Houston"/>
    <s v="Spanish"/>
    <n v="713"/>
    <n v="1044"/>
    <n v="10"/>
    <s v="Tech Enthusiasts"/>
    <x v="88"/>
  </r>
  <r>
    <s v="NexGen Systems"/>
    <x v="1"/>
    <s v="All Ages"/>
    <s v="60 days"/>
    <x v="4"/>
    <n v="0.11"/>
    <n v="19512"/>
    <n v="5.17"/>
    <n v="42"/>
    <n v="464.57142857142856"/>
    <s v="Houston"/>
    <s v="Mandarin"/>
    <n v="386"/>
    <n v="8986"/>
    <n v="4"/>
    <s v="Outdoor Adventurers"/>
    <x v="89"/>
  </r>
  <r>
    <s v="DataTech Solutions"/>
    <x v="3"/>
    <s v="Women 35-44"/>
    <s v="60 days"/>
    <x v="5"/>
    <n v="0.1"/>
    <n v="18122"/>
    <n v="4.3"/>
    <n v="25"/>
    <n v="724.88"/>
    <s v="Houston"/>
    <s v="Mandarin"/>
    <n v="253"/>
    <n v="9161"/>
    <n v="1"/>
    <s v="Health &amp; Wellness"/>
    <x v="90"/>
  </r>
  <r>
    <s v="NexGen Systems"/>
    <x v="0"/>
    <s v="Women 35-44"/>
    <s v="15 days"/>
    <x v="3"/>
    <n v="0.1"/>
    <n v="17790"/>
    <n v="3.83"/>
    <n v="100"/>
    <n v="177.9"/>
    <s v="Chicago"/>
    <s v="Spanish"/>
    <n v="1000"/>
    <n v="5932"/>
    <n v="7"/>
    <s v="Tech Enthusiasts"/>
    <x v="91"/>
  </r>
  <r>
    <s v="TechCorp"/>
    <x v="4"/>
    <s v="Men 18-24"/>
    <s v="45 days"/>
    <x v="2"/>
    <n v="0.03"/>
    <n v="12449"/>
    <n v="7.05"/>
    <n v="8"/>
    <n v="1556.125"/>
    <s v="Chicago"/>
    <s v="English"/>
    <n v="275"/>
    <n v="1542"/>
    <n v="3"/>
    <s v="Health &amp; Wellness"/>
    <x v="92"/>
  </r>
  <r>
    <s v="DataTech Solutions"/>
    <x v="4"/>
    <s v="Women 35-44"/>
    <s v="30 days"/>
    <x v="5"/>
    <n v="0.02"/>
    <n v="13793"/>
    <n v="3.56"/>
    <n v="13"/>
    <n v="1061"/>
    <s v="Los Angeles"/>
    <s v="English"/>
    <n v="646"/>
    <n v="5062"/>
    <n v="10"/>
    <s v="Fashionistas"/>
    <x v="93"/>
  </r>
  <r>
    <s v="Innovate Industries"/>
    <x v="1"/>
    <s v="Women 35-44"/>
    <s v="30 days"/>
    <x v="5"/>
    <n v="0.12"/>
    <n v="14690"/>
    <n v="3.72"/>
    <n v="119"/>
    <n v="123.4453781512605"/>
    <s v="Los Angeles"/>
    <s v="Spanish"/>
    <n v="995"/>
    <n v="2425"/>
    <n v="1"/>
    <s v="Fashionistas"/>
    <x v="94"/>
  </r>
  <r>
    <s v="Innovate Industries"/>
    <x v="4"/>
    <s v="Men 18-24"/>
    <s v="45 days"/>
    <x v="5"/>
    <n v="0.02"/>
    <n v="10365"/>
    <n v="7.59"/>
    <n v="18"/>
    <n v="575.83333333333337"/>
    <s v="Houston"/>
    <s v="German"/>
    <n v="907"/>
    <n v="5326"/>
    <n v="1"/>
    <s v="Health &amp; Wellness"/>
    <x v="95"/>
  </r>
  <r>
    <s v="DataTech Solutions"/>
    <x v="1"/>
    <s v="Men 18-24"/>
    <s v="30 days"/>
    <x v="4"/>
    <n v="0.1"/>
    <n v="13600"/>
    <n v="6.58"/>
    <n v="89"/>
    <n v="152.80898876404495"/>
    <s v="New York"/>
    <s v="Mandarin"/>
    <n v="891"/>
    <n v="5901"/>
    <n v="3"/>
    <s v="Health &amp; Wellness"/>
    <x v="96"/>
  </r>
  <r>
    <s v="Alpha Innovations"/>
    <x v="1"/>
    <s v="Men 25-34"/>
    <s v="60 days"/>
    <x v="5"/>
    <n v="0.1"/>
    <n v="6652"/>
    <n v="3.35"/>
    <n v="96"/>
    <n v="69.291666666666671"/>
    <s v="Miami"/>
    <s v="Mandarin"/>
    <n v="955"/>
    <n v="8367"/>
    <n v="7"/>
    <s v="Health &amp; Wellness"/>
    <x v="97"/>
  </r>
  <r>
    <s v="Alpha Innovations"/>
    <x v="3"/>
    <s v="Women 25-34"/>
    <s v="60 days"/>
    <x v="0"/>
    <n v="0.1"/>
    <n v="14853"/>
    <n v="6.1"/>
    <n v="45"/>
    <n v="330.06666666666666"/>
    <s v="Los Angeles"/>
    <s v="English"/>
    <n v="445"/>
    <n v="2152"/>
    <n v="5"/>
    <s v="Tech Enthusiasts"/>
    <x v="98"/>
  </r>
  <r>
    <s v="DataTech Solutions"/>
    <x v="4"/>
    <s v="Men 25-34"/>
    <s v="45 days"/>
    <x v="5"/>
    <n v="0.05"/>
    <n v="8123"/>
    <n v="5.19"/>
    <n v="25"/>
    <n v="324.92"/>
    <s v="Los Angeles"/>
    <s v="Spanish"/>
    <n v="509"/>
    <n v="2862"/>
    <n v="8"/>
    <s v="Health &amp; Wellness"/>
    <x v="99"/>
  </r>
  <r>
    <s v="Innovate Industries"/>
    <x v="3"/>
    <s v="All Ages"/>
    <s v="15 days"/>
    <x v="3"/>
    <n v="0.09"/>
    <n v="13778"/>
    <n v="6.95"/>
    <n v="75"/>
    <n v="183.70666666666668"/>
    <s v="Los Angeles"/>
    <s v="French"/>
    <n v="830"/>
    <n v="4948"/>
    <n v="10"/>
    <s v="Tech Enthusiasts"/>
    <x v="100"/>
  </r>
  <r>
    <s v="Alpha Innovations"/>
    <x v="2"/>
    <s v="Men 25-34"/>
    <s v="30 days"/>
    <x v="1"/>
    <n v="0.14000000000000001"/>
    <n v="16489"/>
    <n v="2.3199999999999998"/>
    <n v="40"/>
    <n v="412.22500000000002"/>
    <s v="New York"/>
    <s v="Mandarin"/>
    <n v="284"/>
    <n v="4935"/>
    <n v="6"/>
    <s v="Health &amp; Wellness"/>
    <x v="101"/>
  </r>
  <r>
    <s v="Alpha Innovations"/>
    <x v="2"/>
    <s v="Men 18-24"/>
    <s v="30 days"/>
    <x v="1"/>
    <n v="0.1"/>
    <n v="5127"/>
    <n v="6.36"/>
    <n v="52"/>
    <n v="98.59615384615384"/>
    <s v="Houston"/>
    <s v="French"/>
    <n v="519"/>
    <n v="5752"/>
    <n v="2"/>
    <s v="Tech Enthusiasts"/>
    <x v="102"/>
  </r>
  <r>
    <s v="TechCorp"/>
    <x v="2"/>
    <s v="Men 25-34"/>
    <s v="30 days"/>
    <x v="5"/>
    <n v="0.15"/>
    <n v="6415"/>
    <n v="4.32"/>
    <n v="63"/>
    <n v="101.82539682539682"/>
    <s v="Miami"/>
    <s v="Mandarin"/>
    <n v="422"/>
    <n v="5986"/>
    <n v="2"/>
    <s v="Outdoor Adventurers"/>
    <x v="103"/>
  </r>
  <r>
    <s v="Innovate Industries"/>
    <x v="3"/>
    <s v="Women 25-34"/>
    <s v="60 days"/>
    <x v="3"/>
    <n v="0.1"/>
    <n v="11724"/>
    <n v="7.9"/>
    <n v="22"/>
    <n v="532.90909090909088"/>
    <s v="Miami"/>
    <s v="English"/>
    <n v="222"/>
    <n v="4607"/>
    <n v="10"/>
    <s v="Fashionistas"/>
    <x v="104"/>
  </r>
  <r>
    <s v="Alpha Innovations"/>
    <x v="2"/>
    <s v="All Ages"/>
    <s v="30 days"/>
    <x v="4"/>
    <n v="0.09"/>
    <n v="19571"/>
    <n v="3.28"/>
    <n v="81"/>
    <n v="241.61728395061729"/>
    <s v="Los Angeles"/>
    <s v="English"/>
    <n v="898"/>
    <n v="3164"/>
    <n v="7"/>
    <s v="Fashionistas"/>
    <x v="105"/>
  </r>
  <r>
    <s v="NexGen Systems"/>
    <x v="4"/>
    <s v="Men 18-24"/>
    <s v="30 days"/>
    <x v="0"/>
    <n v="0.09"/>
    <n v="15837"/>
    <n v="3.53"/>
    <n v="12"/>
    <n v="1319.75"/>
    <s v="Miami"/>
    <s v="French"/>
    <n v="138"/>
    <n v="6072"/>
    <n v="3"/>
    <s v="Tech Enthusiasts"/>
    <x v="106"/>
  </r>
  <r>
    <s v="NexGen Systems"/>
    <x v="3"/>
    <s v="Men 25-34"/>
    <s v="15 days"/>
    <x v="0"/>
    <n v="0.08"/>
    <n v="16633"/>
    <n v="5.1100000000000003"/>
    <n v="56"/>
    <n v="297.01785714285717"/>
    <s v="Chicago"/>
    <s v="Mandarin"/>
    <n v="706"/>
    <n v="2055"/>
    <n v="1"/>
    <s v="Foodies"/>
    <x v="107"/>
  </r>
  <r>
    <s v="TechCorp"/>
    <x v="3"/>
    <s v="Men 25-34"/>
    <s v="30 days"/>
    <x v="4"/>
    <n v="0.05"/>
    <n v="14582"/>
    <n v="5.88"/>
    <n v="29"/>
    <n v="502.82758620689657"/>
    <s v="New York"/>
    <s v="French"/>
    <n v="576"/>
    <n v="8364"/>
    <n v="4"/>
    <s v="Outdoor Adventurers"/>
    <x v="108"/>
  </r>
  <r>
    <s v="NexGen Systems"/>
    <x v="2"/>
    <s v="Men 18-24"/>
    <s v="30 days"/>
    <x v="4"/>
    <n v="0.15"/>
    <n v="9150"/>
    <n v="5.21"/>
    <n v="44"/>
    <n v="207.95454545454547"/>
    <s v="Los Angeles"/>
    <s v="German"/>
    <n v="294"/>
    <n v="6708"/>
    <n v="2"/>
    <s v="Fashionistas"/>
    <x v="109"/>
  </r>
  <r>
    <s v="TechCorp"/>
    <x v="4"/>
    <s v="Women 35-44"/>
    <s v="15 days"/>
    <x v="5"/>
    <n v="0.04"/>
    <n v="13572"/>
    <n v="2.67"/>
    <n v="14"/>
    <n v="969.42857142857144"/>
    <s v="Miami"/>
    <s v="English"/>
    <n v="343"/>
    <n v="1261"/>
    <n v="7"/>
    <s v="Fashionistas"/>
    <x v="110"/>
  </r>
  <r>
    <s v="NexGen Systems"/>
    <x v="0"/>
    <s v="Women 35-44"/>
    <s v="60 days"/>
    <x v="5"/>
    <n v="0.09"/>
    <n v="19732"/>
    <n v="7.87"/>
    <n v="32"/>
    <n v="616.625"/>
    <s v="New York"/>
    <s v="German"/>
    <n v="350"/>
    <n v="3717"/>
    <n v="5"/>
    <s v="Tech Enthusiasts"/>
    <x v="111"/>
  </r>
  <r>
    <s v="TechCorp"/>
    <x v="2"/>
    <s v="All Ages"/>
    <s v="60 days"/>
    <x v="3"/>
    <n v="0.02"/>
    <n v="8126"/>
    <n v="2.79"/>
    <n v="2"/>
    <n v="4063"/>
    <s v="Houston"/>
    <s v="French"/>
    <n v="100"/>
    <n v="9341"/>
    <n v="3"/>
    <s v="Health &amp; Wellness"/>
    <x v="112"/>
  </r>
  <r>
    <s v="Alpha Innovations"/>
    <x v="2"/>
    <s v="Women 25-34"/>
    <s v="60 days"/>
    <x v="2"/>
    <n v="0.1"/>
    <n v="17216"/>
    <n v="5.88"/>
    <n v="63"/>
    <n v="273.26984126984127"/>
    <s v="New York"/>
    <s v="German"/>
    <n v="633"/>
    <n v="5119"/>
    <n v="6"/>
    <s v="Outdoor Adventurers"/>
    <x v="113"/>
  </r>
  <r>
    <s v="NexGen Systems"/>
    <x v="1"/>
    <s v="Men 18-24"/>
    <s v="30 days"/>
    <x v="0"/>
    <n v="0.05"/>
    <n v="5564"/>
    <n v="7.25"/>
    <n v="33"/>
    <n v="168.60606060606059"/>
    <s v="Houston"/>
    <s v="Spanish"/>
    <n v="662"/>
    <n v="7544"/>
    <n v="5"/>
    <s v="Fashionistas"/>
    <x v="114"/>
  </r>
  <r>
    <s v="NexGen Systems"/>
    <x v="1"/>
    <s v="Men 25-34"/>
    <s v="30 days"/>
    <x v="0"/>
    <n v="0.12"/>
    <n v="13100"/>
    <n v="5.35"/>
    <n v="31"/>
    <n v="422.58064516129031"/>
    <s v="Chicago"/>
    <s v="Spanish"/>
    <n v="262"/>
    <n v="7322"/>
    <n v="6"/>
    <s v="Fashionistas"/>
    <x v="115"/>
  </r>
  <r>
    <s v="Innovate Industries"/>
    <x v="3"/>
    <s v="Men 18-24"/>
    <s v="45 days"/>
    <x v="5"/>
    <n v="0.14000000000000001"/>
    <n v="12068"/>
    <n v="2.82"/>
    <n v="75"/>
    <n v="160.90666666666667"/>
    <s v="Houston"/>
    <s v="German"/>
    <n v="533"/>
    <n v="5078"/>
    <n v="5"/>
    <s v="Outdoor Adventurers"/>
    <x v="116"/>
  </r>
  <r>
    <s v="TechCorp"/>
    <x v="1"/>
    <s v="Men 18-24"/>
    <s v="30 days"/>
    <x v="4"/>
    <n v="0.09"/>
    <n v="12142"/>
    <n v="3.51"/>
    <n v="63"/>
    <n v="192.73015873015873"/>
    <s v="Houston"/>
    <s v="Mandarin"/>
    <n v="698"/>
    <n v="3263"/>
    <n v="6"/>
    <s v="Health &amp; Wellness"/>
    <x v="117"/>
  </r>
  <r>
    <s v="Alpha Innovations"/>
    <x v="3"/>
    <s v="Men 25-34"/>
    <s v="15 days"/>
    <x v="3"/>
    <n v="0.06"/>
    <n v="6222"/>
    <n v="2.76"/>
    <n v="45"/>
    <n v="138.26666666666668"/>
    <s v="New York"/>
    <s v="Mandarin"/>
    <n v="750"/>
    <n v="7076"/>
    <n v="6"/>
    <s v="Foodies"/>
    <x v="118"/>
  </r>
  <r>
    <s v="DataTech Solutions"/>
    <x v="1"/>
    <s v="Women 25-34"/>
    <s v="15 days"/>
    <x v="5"/>
    <n v="7.0000000000000007E-2"/>
    <n v="18362"/>
    <n v="2.2799999999999998"/>
    <n v="64"/>
    <n v="286.90625"/>
    <s v="Chicago"/>
    <s v="German"/>
    <n v="909"/>
    <n v="9062"/>
    <n v="4"/>
    <s v="Health &amp; Wellness"/>
    <x v="119"/>
  </r>
  <r>
    <s v="Innovate Industries"/>
    <x v="0"/>
    <s v="Women 25-34"/>
    <s v="30 days"/>
    <x v="5"/>
    <n v="0.04"/>
    <n v="10264"/>
    <n v="3.58"/>
    <n v="22"/>
    <n v="466.54545454545456"/>
    <s v="Miami"/>
    <s v="Mandarin"/>
    <n v="550"/>
    <n v="4759"/>
    <n v="4"/>
    <s v="Tech Enthusiasts"/>
    <x v="120"/>
  </r>
  <r>
    <s v="DataTech Solutions"/>
    <x v="0"/>
    <s v="Women 25-34"/>
    <s v="60 days"/>
    <x v="2"/>
    <n v="0.15"/>
    <n v="13470"/>
    <n v="5.86"/>
    <n v="21"/>
    <n v="641.42857142857144"/>
    <s v="Houston"/>
    <s v="French"/>
    <n v="141"/>
    <n v="2487"/>
    <n v="4"/>
    <s v="Tech Enthusiasts"/>
    <x v="121"/>
  </r>
  <r>
    <s v="Innovate Industries"/>
    <x v="0"/>
    <s v="Women 25-34"/>
    <s v="60 days"/>
    <x v="4"/>
    <n v="0.05"/>
    <n v="19834"/>
    <n v="4.5599999999999996"/>
    <n v="41"/>
    <n v="483.7560975609756"/>
    <s v="New York"/>
    <s v="English"/>
    <n v="815"/>
    <n v="3412"/>
    <n v="9"/>
    <s v="Outdoor Adventurers"/>
    <x v="122"/>
  </r>
  <r>
    <s v="DataTech Solutions"/>
    <x v="2"/>
    <s v="Men 25-34"/>
    <s v="45 days"/>
    <x v="4"/>
    <n v="0.15"/>
    <n v="8185"/>
    <n v="4.57"/>
    <n v="69"/>
    <n v="118.62318840579709"/>
    <s v="New York"/>
    <s v="English"/>
    <n v="461"/>
    <n v="4216"/>
    <n v="3"/>
    <s v="Foodies"/>
    <x v="123"/>
  </r>
  <r>
    <s v="Innovate Industries"/>
    <x v="2"/>
    <s v="Men 18-24"/>
    <s v="45 days"/>
    <x v="1"/>
    <n v="0.13"/>
    <n v="11728"/>
    <n v="7.5"/>
    <n v="101"/>
    <n v="116.11881188118812"/>
    <s v="Miami"/>
    <s v="Spanish"/>
    <n v="774"/>
    <n v="2423"/>
    <n v="6"/>
    <s v="Health &amp; Wellness"/>
    <x v="124"/>
  </r>
  <r>
    <s v="NexGen Systems"/>
    <x v="1"/>
    <s v="Women 35-44"/>
    <s v="45 days"/>
    <x v="5"/>
    <n v="0.15"/>
    <n v="17745"/>
    <n v="7.72"/>
    <n v="50"/>
    <n v="354.9"/>
    <s v="Los Angeles"/>
    <s v="German"/>
    <n v="330"/>
    <n v="4118"/>
    <n v="5"/>
    <s v="Fashionistas"/>
    <x v="125"/>
  </r>
  <r>
    <s v="DataTech Solutions"/>
    <x v="1"/>
    <s v="All Ages"/>
    <s v="45 days"/>
    <x v="5"/>
    <n v="0.12"/>
    <n v="14807"/>
    <n v="3.58"/>
    <n v="91"/>
    <n v="162.71428571428572"/>
    <s v="New York"/>
    <s v="Mandarin"/>
    <n v="756"/>
    <n v="1655"/>
    <n v="9"/>
    <s v="Foodies"/>
    <x v="126"/>
  </r>
  <r>
    <s v="TechCorp"/>
    <x v="0"/>
    <s v="Women 25-34"/>
    <s v="60 days"/>
    <x v="3"/>
    <n v="0.08"/>
    <n v="5556"/>
    <n v="5.66"/>
    <n v="42"/>
    <n v="132.28571428571428"/>
    <s v="Chicago"/>
    <s v="German"/>
    <n v="531"/>
    <n v="3410"/>
    <n v="1"/>
    <s v="Foodies"/>
    <x v="127"/>
  </r>
  <r>
    <s v="TechCorp"/>
    <x v="3"/>
    <s v="Men 25-34"/>
    <s v="60 days"/>
    <x v="2"/>
    <n v="0.03"/>
    <n v="12009"/>
    <n v="6.95"/>
    <n v="8"/>
    <n v="1501.125"/>
    <s v="New York"/>
    <s v="English"/>
    <n v="265"/>
    <n v="9940"/>
    <n v="3"/>
    <s v="Foodies"/>
    <x v="128"/>
  </r>
  <r>
    <s v="TechCorp"/>
    <x v="2"/>
    <s v="Men 18-24"/>
    <s v="60 days"/>
    <x v="3"/>
    <n v="0.01"/>
    <n v="11925"/>
    <n v="6.92"/>
    <n v="9"/>
    <n v="1325"/>
    <s v="New York"/>
    <s v="Spanish"/>
    <n v="854"/>
    <n v="2980"/>
    <n v="8"/>
    <s v="Outdoor Adventurers"/>
    <x v="129"/>
  </r>
  <r>
    <s v="Alpha Innovations"/>
    <x v="1"/>
    <s v="Men 18-24"/>
    <s v="30 days"/>
    <x v="4"/>
    <n v="0.04"/>
    <n v="18835"/>
    <n v="7.05"/>
    <n v="20"/>
    <n v="941.75"/>
    <s v="Chicago"/>
    <s v="English"/>
    <n v="488"/>
    <n v="1101"/>
    <n v="7"/>
    <s v="Foodies"/>
    <x v="130"/>
  </r>
  <r>
    <s v="TechCorp"/>
    <x v="1"/>
    <s v="Women 35-44"/>
    <s v="60 days"/>
    <x v="3"/>
    <n v="0.09"/>
    <n v="14141"/>
    <n v="7.42"/>
    <n v="78"/>
    <n v="181.2948717948718"/>
    <s v="Chicago"/>
    <s v="Spanish"/>
    <n v="863"/>
    <n v="5569"/>
    <n v="3"/>
    <s v="Tech Enthusiasts"/>
    <x v="131"/>
  </r>
  <r>
    <s v="NexGen Systems"/>
    <x v="3"/>
    <s v="Men 25-34"/>
    <s v="45 days"/>
    <x v="2"/>
    <n v="0.03"/>
    <n v="18496"/>
    <n v="2.52"/>
    <n v="7"/>
    <n v="2642.2857142857142"/>
    <s v="Los Angeles"/>
    <s v="Spanish"/>
    <n v="219"/>
    <n v="3342"/>
    <n v="1"/>
    <s v="Fashionistas"/>
    <x v="132"/>
  </r>
  <r>
    <s v="DataTech Solutions"/>
    <x v="2"/>
    <s v="All Ages"/>
    <s v="45 days"/>
    <x v="1"/>
    <n v="0.09"/>
    <n v="12051"/>
    <n v="5.72"/>
    <n v="22"/>
    <n v="547.77272727272725"/>
    <s v="Miami"/>
    <s v="English"/>
    <n v="247"/>
    <n v="3788"/>
    <n v="1"/>
    <s v="Tech Enthusiasts"/>
    <x v="133"/>
  </r>
  <r>
    <s v="Innovate Industries"/>
    <x v="4"/>
    <s v="Women 25-34"/>
    <s v="15 days"/>
    <x v="3"/>
    <n v="0.02"/>
    <n v="12952"/>
    <n v="4.7699999999999996"/>
    <n v="10"/>
    <n v="1295.2"/>
    <s v="Houston"/>
    <s v="French"/>
    <n v="503"/>
    <n v="6123"/>
    <n v="10"/>
    <s v="Health &amp; Wellness"/>
    <x v="134"/>
  </r>
  <r>
    <s v="Alpha Innovations"/>
    <x v="0"/>
    <s v="Men 18-24"/>
    <s v="45 days"/>
    <x v="2"/>
    <n v="0.01"/>
    <n v="17515"/>
    <n v="2.87"/>
    <n v="1"/>
    <n v="17515"/>
    <s v="Miami"/>
    <s v="Mandarin"/>
    <n v="137"/>
    <n v="9382"/>
    <n v="7"/>
    <s v="Outdoor Adventurers"/>
    <x v="135"/>
  </r>
  <r>
    <s v="Innovate Industries"/>
    <x v="3"/>
    <s v="Men 25-34"/>
    <s v="30 days"/>
    <x v="5"/>
    <n v="0.1"/>
    <n v="9056"/>
    <n v="4.53"/>
    <n v="20"/>
    <n v="452.8"/>
    <s v="New York"/>
    <s v="Mandarin"/>
    <n v="198"/>
    <n v="1859"/>
    <n v="9"/>
    <s v="Tech Enthusiasts"/>
    <x v="136"/>
  </r>
  <r>
    <s v="Innovate Industries"/>
    <x v="1"/>
    <s v="Men 18-24"/>
    <s v="45 days"/>
    <x v="4"/>
    <n v="0.14000000000000001"/>
    <n v="15346"/>
    <n v="6.63"/>
    <n v="20"/>
    <n v="767.3"/>
    <s v="Chicago"/>
    <s v="Spanish"/>
    <n v="144"/>
    <n v="5868"/>
    <n v="5"/>
    <s v="Tech Enthusiasts"/>
    <x v="137"/>
  </r>
  <r>
    <s v="DataTech Solutions"/>
    <x v="1"/>
    <s v="Women 35-44"/>
    <s v="60 days"/>
    <x v="2"/>
    <n v="0.01"/>
    <n v="5705"/>
    <n v="3.07"/>
    <n v="4"/>
    <n v="1426.25"/>
    <s v="Miami"/>
    <s v="Spanish"/>
    <n v="394"/>
    <n v="1777"/>
    <n v="9"/>
    <s v="Fashionistas"/>
    <x v="138"/>
  </r>
  <r>
    <s v="NexGen Systems"/>
    <x v="3"/>
    <s v="All Ages"/>
    <s v="15 days"/>
    <x v="3"/>
    <n v="0.11"/>
    <n v="17273"/>
    <n v="6.36"/>
    <n v="65"/>
    <n v="265.73846153846154"/>
    <s v="New York"/>
    <s v="Mandarin"/>
    <n v="591"/>
    <n v="5782"/>
    <n v="6"/>
    <s v="Fashionistas"/>
    <x v="139"/>
  </r>
  <r>
    <s v="TechCorp"/>
    <x v="4"/>
    <s v="Men 18-24"/>
    <s v="15 days"/>
    <x v="1"/>
    <n v="0.11"/>
    <n v="8913"/>
    <n v="6.05"/>
    <n v="64"/>
    <n v="139.265625"/>
    <s v="New York"/>
    <s v="English"/>
    <n v="584"/>
    <n v="1416"/>
    <n v="7"/>
    <s v="Foodies"/>
    <x v="140"/>
  </r>
  <r>
    <s v="DataTech Solutions"/>
    <x v="1"/>
    <s v="All Ages"/>
    <s v="60 days"/>
    <x v="4"/>
    <n v="0.02"/>
    <n v="15554"/>
    <n v="6.71"/>
    <n v="5"/>
    <n v="3110.8"/>
    <s v="Los Angeles"/>
    <s v="Spanish"/>
    <n v="232"/>
    <n v="7129"/>
    <n v="10"/>
    <s v="Foodies"/>
    <x v="141"/>
  </r>
  <r>
    <s v="NexGen Systems"/>
    <x v="3"/>
    <s v="Men 25-34"/>
    <s v="30 days"/>
    <x v="3"/>
    <n v="0.06"/>
    <n v="9573"/>
    <n v="7.65"/>
    <n v="13"/>
    <n v="736.38461538461536"/>
    <s v="Los Angeles"/>
    <s v="German"/>
    <n v="210"/>
    <n v="4510"/>
    <n v="2"/>
    <s v="Health &amp; Wellness"/>
    <x v="142"/>
  </r>
  <r>
    <s v="Innovate Industries"/>
    <x v="3"/>
    <s v="All Ages"/>
    <s v="60 days"/>
    <x v="1"/>
    <n v="7.0000000000000007E-2"/>
    <n v="10257"/>
    <n v="6.16"/>
    <n v="55"/>
    <n v="186.4909090909091"/>
    <s v="Houston"/>
    <s v="English"/>
    <n v="786"/>
    <n v="2647"/>
    <n v="7"/>
    <s v="Fashionistas"/>
    <x v="143"/>
  </r>
  <r>
    <s v="TechCorp"/>
    <x v="4"/>
    <s v="Men 25-34"/>
    <s v="45 days"/>
    <x v="3"/>
    <n v="0.08"/>
    <n v="6177"/>
    <n v="5.71"/>
    <n v="54"/>
    <n v="114.38888888888889"/>
    <s v="Chicago"/>
    <s v="Mandarin"/>
    <n v="679"/>
    <n v="7291"/>
    <n v="5"/>
    <s v="Tech Enthusiasts"/>
    <x v="144"/>
  </r>
  <r>
    <s v="Innovate Industries"/>
    <x v="2"/>
    <s v="Women 25-34"/>
    <s v="15 days"/>
    <x v="1"/>
    <n v="0.05"/>
    <n v="7625"/>
    <n v="4"/>
    <n v="6"/>
    <n v="1270.8333333333333"/>
    <s v="Chicago"/>
    <s v="English"/>
    <n v="120"/>
    <n v="7429"/>
    <n v="8"/>
    <s v="Tech Enthusiasts"/>
    <x v="145"/>
  </r>
  <r>
    <s v="Innovate Industries"/>
    <x v="0"/>
    <s v="Women 25-34"/>
    <s v="30 days"/>
    <x v="0"/>
    <n v="0.13"/>
    <n v="12360"/>
    <n v="4.22"/>
    <n v="108"/>
    <n v="114.44444444444444"/>
    <s v="Los Angeles"/>
    <s v="Mandarin"/>
    <n v="833"/>
    <n v="9366"/>
    <n v="2"/>
    <s v="Fashionistas"/>
    <x v="146"/>
  </r>
  <r>
    <s v="TechCorp"/>
    <x v="3"/>
    <s v="Men 25-34"/>
    <s v="45 days"/>
    <x v="5"/>
    <n v="0.14000000000000001"/>
    <n v="11636"/>
    <n v="6.59"/>
    <n v="45"/>
    <n v="258.57777777777778"/>
    <s v="Chicago"/>
    <s v="Mandarin"/>
    <n v="319"/>
    <n v="8320"/>
    <n v="3"/>
    <s v="Fashionistas"/>
    <x v="147"/>
  </r>
  <r>
    <s v="TechCorp"/>
    <x v="1"/>
    <s v="Women 35-44"/>
    <s v="45 days"/>
    <x v="3"/>
    <n v="0.12"/>
    <n v="14417"/>
    <n v="7.28"/>
    <n v="119"/>
    <n v="121.15126050420169"/>
    <s v="New York"/>
    <s v="Spanish"/>
    <n v="992"/>
    <n v="2661"/>
    <n v="6"/>
    <s v="Tech Enthusiasts"/>
    <x v="148"/>
  </r>
  <r>
    <s v="TechCorp"/>
    <x v="3"/>
    <s v="Men 18-24"/>
    <s v="30 days"/>
    <x v="3"/>
    <n v="0.14000000000000001"/>
    <n v="11249"/>
    <n v="7.47"/>
    <n v="50"/>
    <n v="224.98"/>
    <s v="Los Angeles"/>
    <s v="Mandarin"/>
    <n v="357"/>
    <n v="6718"/>
    <n v="9"/>
    <s v="Tech Enthusiasts"/>
    <x v="149"/>
  </r>
  <r>
    <s v="Innovate Industries"/>
    <x v="4"/>
    <s v="Men 18-24"/>
    <s v="45 days"/>
    <x v="4"/>
    <n v="7.0000000000000007E-2"/>
    <n v="9975"/>
    <n v="7.31"/>
    <n v="49"/>
    <n v="203.57142857142858"/>
    <s v="Los Angeles"/>
    <s v="English"/>
    <n v="694"/>
    <n v="6691"/>
    <n v="10"/>
    <s v="Health &amp; Wellness"/>
    <x v="150"/>
  </r>
  <r>
    <s v="NexGen Systems"/>
    <x v="0"/>
    <s v="Women 25-34"/>
    <s v="60 days"/>
    <x v="3"/>
    <n v="0.04"/>
    <n v="19131"/>
    <n v="5.0199999999999996"/>
    <n v="12"/>
    <n v="1594.25"/>
    <s v="Chicago"/>
    <s v="Spanish"/>
    <n v="309"/>
    <n v="4863"/>
    <n v="1"/>
    <s v="Foodies"/>
    <x v="151"/>
  </r>
  <r>
    <s v="DataTech Solutions"/>
    <x v="1"/>
    <s v="Men 18-24"/>
    <s v="15 days"/>
    <x v="3"/>
    <n v="0.03"/>
    <n v="8674"/>
    <n v="5.47"/>
    <n v="9"/>
    <n v="963.77777777777783"/>
    <s v="Miami"/>
    <s v="Spanish"/>
    <n v="303"/>
    <n v="2248"/>
    <n v="2"/>
    <s v="Fashionistas"/>
    <x v="152"/>
  </r>
  <r>
    <s v="DataTech Solutions"/>
    <x v="3"/>
    <s v="Women 35-44"/>
    <s v="15 days"/>
    <x v="4"/>
    <n v="0.13"/>
    <n v="6480"/>
    <n v="4.5999999999999996"/>
    <n v="49"/>
    <n v="132.24489795918367"/>
    <s v="Houston"/>
    <s v="Spanish"/>
    <n v="378"/>
    <n v="8755"/>
    <n v="2"/>
    <s v="Foodies"/>
    <x v="153"/>
  </r>
  <r>
    <s v="DataTech Solutions"/>
    <x v="3"/>
    <s v="Women 25-34"/>
    <s v="60 days"/>
    <x v="3"/>
    <n v="0.14000000000000001"/>
    <n v="7694"/>
    <n v="5.78"/>
    <n v="30"/>
    <n v="256.46666666666664"/>
    <s v="New York"/>
    <s v="English"/>
    <n v="217"/>
    <n v="2541"/>
    <n v="7"/>
    <s v="Health &amp; Wellness"/>
    <x v="154"/>
  </r>
  <r>
    <s v="DataTech Solutions"/>
    <x v="0"/>
    <s v="Women 25-34"/>
    <s v="15 days"/>
    <x v="5"/>
    <n v="7.0000000000000007E-2"/>
    <n v="14700"/>
    <n v="3.79"/>
    <n v="25"/>
    <n v="588"/>
    <s v="Los Angeles"/>
    <s v="German"/>
    <n v="358"/>
    <n v="4353"/>
    <n v="7"/>
    <s v="Foodies"/>
    <x v="155"/>
  </r>
  <r>
    <s v="NexGen Systems"/>
    <x v="1"/>
    <s v="Men 18-24"/>
    <s v="45 days"/>
    <x v="3"/>
    <n v="0.02"/>
    <n v="17991"/>
    <n v="6.95"/>
    <n v="3"/>
    <n v="5997"/>
    <s v="New York"/>
    <s v="Mandarin"/>
    <n v="128"/>
    <n v="7169"/>
    <n v="6"/>
    <s v="Health &amp; Wellness"/>
    <x v="156"/>
  </r>
  <r>
    <s v="Innovate Industries"/>
    <x v="3"/>
    <s v="Men 25-34"/>
    <s v="45 days"/>
    <x v="3"/>
    <n v="0.03"/>
    <n v="14680"/>
    <n v="4.3"/>
    <n v="23"/>
    <n v="638.26086956521738"/>
    <s v="Miami"/>
    <s v="Spanish"/>
    <n v="759"/>
    <n v="4899"/>
    <n v="1"/>
    <s v="Foodies"/>
    <x v="157"/>
  </r>
  <r>
    <s v="NexGen Systems"/>
    <x v="0"/>
    <s v="Women 25-34"/>
    <s v="60 days"/>
    <x v="1"/>
    <n v="0.05"/>
    <n v="9922"/>
    <n v="2.42"/>
    <n v="41"/>
    <n v="242"/>
    <s v="New York"/>
    <s v="English"/>
    <n v="811"/>
    <n v="6475"/>
    <n v="2"/>
    <s v="Foodies"/>
    <x v="158"/>
  </r>
  <r>
    <s v="NexGen Systems"/>
    <x v="2"/>
    <s v="Women 25-34"/>
    <s v="60 days"/>
    <x v="4"/>
    <n v="0.08"/>
    <n v="15690"/>
    <n v="2.7"/>
    <n v="76"/>
    <n v="206.44736842105263"/>
    <s v="Houston"/>
    <s v="German"/>
    <n v="951"/>
    <n v="3293"/>
    <n v="1"/>
    <s v="Foodies"/>
    <x v="159"/>
  </r>
  <r>
    <s v="DataTech Solutions"/>
    <x v="1"/>
    <s v="Women 25-34"/>
    <s v="15 days"/>
    <x v="4"/>
    <n v="7.0000000000000007E-2"/>
    <n v="11107"/>
    <n v="2.87"/>
    <n v="52"/>
    <n v="213.59615384615384"/>
    <s v="Miami"/>
    <s v="English"/>
    <n v="745"/>
    <n v="4749"/>
    <n v="8"/>
    <s v="Tech Enthusiasts"/>
    <x v="160"/>
  </r>
  <r>
    <s v="DataTech Solutions"/>
    <x v="0"/>
    <s v="Men 18-24"/>
    <s v="45 days"/>
    <x v="1"/>
    <n v="0.04"/>
    <n v="19398"/>
    <n v="4.18"/>
    <n v="7"/>
    <n v="2771.1428571428573"/>
    <s v="Los Angeles"/>
    <s v="Spanish"/>
    <n v="180"/>
    <n v="6423"/>
    <n v="9"/>
    <s v="Health &amp; Wellness"/>
    <x v="161"/>
  </r>
  <r>
    <s v="Innovate Industries"/>
    <x v="2"/>
    <s v="Men 18-24"/>
    <s v="60 days"/>
    <x v="1"/>
    <n v="0.06"/>
    <n v="12301"/>
    <n v="3.99"/>
    <n v="28"/>
    <n v="439.32142857142856"/>
    <s v="Miami"/>
    <s v="Mandarin"/>
    <n v="460"/>
    <n v="3953"/>
    <n v="9"/>
    <s v="Foodies"/>
    <x v="162"/>
  </r>
  <r>
    <s v="Alpha Innovations"/>
    <x v="3"/>
    <s v="All Ages"/>
    <s v="30 days"/>
    <x v="1"/>
    <n v="0.14000000000000001"/>
    <n v="19314"/>
    <n v="4.32"/>
    <n v="67"/>
    <n v="288.26865671641792"/>
    <s v="Miami"/>
    <s v="English"/>
    <n v="477"/>
    <n v="8715"/>
    <n v="2"/>
    <s v="Foodies"/>
    <x v="163"/>
  </r>
  <r>
    <s v="TechCorp"/>
    <x v="4"/>
    <s v="All Ages"/>
    <s v="30 days"/>
    <x v="4"/>
    <n v="0.14000000000000001"/>
    <n v="5225"/>
    <n v="7.67"/>
    <n v="113"/>
    <n v="46.238938053097343"/>
    <s v="Houston"/>
    <s v="Mandarin"/>
    <n v="806"/>
    <n v="8343"/>
    <n v="3"/>
    <s v="Outdoor Adventurers"/>
    <x v="164"/>
  </r>
  <r>
    <s v="DataTech Solutions"/>
    <x v="2"/>
    <s v="Women 35-44"/>
    <s v="60 days"/>
    <x v="5"/>
    <n v="0.06"/>
    <n v="10609"/>
    <n v="6.15"/>
    <n v="36"/>
    <n v="294.69444444444446"/>
    <s v="Miami"/>
    <s v="English"/>
    <n v="596"/>
    <n v="7174"/>
    <n v="1"/>
    <s v="Foodies"/>
    <x v="165"/>
  </r>
  <r>
    <s v="Innovate Industries"/>
    <x v="1"/>
    <s v="Women 25-34"/>
    <s v="30 days"/>
    <x v="4"/>
    <n v="0.08"/>
    <n v="19632"/>
    <n v="2.59"/>
    <n v="75"/>
    <n v="261.76"/>
    <s v="New York"/>
    <s v="English"/>
    <n v="943"/>
    <n v="8046"/>
    <n v="10"/>
    <s v="Outdoor Adventurers"/>
    <x v="166"/>
  </r>
  <r>
    <s v="DataTech Solutions"/>
    <x v="1"/>
    <s v="Men 25-34"/>
    <s v="15 days"/>
    <x v="4"/>
    <n v="0.14000000000000001"/>
    <n v="18392"/>
    <n v="5.32"/>
    <n v="74"/>
    <n v="248.54054054054055"/>
    <s v="Los Angeles"/>
    <s v="Spanish"/>
    <n v="531"/>
    <n v="4575"/>
    <n v="4"/>
    <s v="Tech Enthusiasts"/>
    <x v="167"/>
  </r>
  <r>
    <s v="Innovate Industries"/>
    <x v="2"/>
    <s v="Women 35-44"/>
    <s v="45 days"/>
    <x v="2"/>
    <n v="0.11"/>
    <n v="12012"/>
    <n v="4.97"/>
    <n v="56"/>
    <n v="214.5"/>
    <s v="Chicago"/>
    <s v="Spanish"/>
    <n v="509"/>
    <n v="1852"/>
    <n v="6"/>
    <s v="Tech Enthusiasts"/>
    <x v="168"/>
  </r>
  <r>
    <s v="Alpha Innovations"/>
    <x v="3"/>
    <s v="All Ages"/>
    <s v="45 days"/>
    <x v="4"/>
    <n v="0.12"/>
    <n v="13960"/>
    <n v="6.56"/>
    <n v="37"/>
    <n v="377.29729729729729"/>
    <s v="New York"/>
    <s v="French"/>
    <n v="311"/>
    <n v="5035"/>
    <n v="5"/>
    <s v="Outdoor Adventurers"/>
    <x v="169"/>
  </r>
  <r>
    <s v="Alpha Innovations"/>
    <x v="1"/>
    <s v="Men 18-24"/>
    <s v="60 days"/>
    <x v="4"/>
    <n v="0.04"/>
    <n v="6436"/>
    <n v="7.76"/>
    <n v="34"/>
    <n v="189.29411764705881"/>
    <s v="Houston"/>
    <s v="Mandarin"/>
    <n v="843"/>
    <n v="2343"/>
    <n v="1"/>
    <s v="Fashionistas"/>
    <x v="170"/>
  </r>
  <r>
    <s v="TechCorp"/>
    <x v="2"/>
    <s v="All Ages"/>
    <s v="60 days"/>
    <x v="2"/>
    <n v="0.1"/>
    <n v="19546"/>
    <n v="6.31"/>
    <n v="57"/>
    <n v="342.91228070175441"/>
    <s v="Chicago"/>
    <s v="French"/>
    <n v="570"/>
    <n v="7277"/>
    <n v="1"/>
    <s v="Tech Enthusiasts"/>
    <x v="171"/>
  </r>
  <r>
    <s v="DataTech Solutions"/>
    <x v="4"/>
    <s v="Women 35-44"/>
    <s v="15 days"/>
    <x v="5"/>
    <n v="0.04"/>
    <n v="13574"/>
    <n v="7.7"/>
    <n v="18"/>
    <n v="754.11111111111109"/>
    <s v="Chicago"/>
    <s v="German"/>
    <n v="461"/>
    <n v="5807"/>
    <n v="6"/>
    <s v="Tech Enthusiasts"/>
    <x v="172"/>
  </r>
  <r>
    <s v="DataTech Solutions"/>
    <x v="0"/>
    <s v="Men 18-24"/>
    <s v="60 days"/>
    <x v="5"/>
    <n v="0.12"/>
    <n v="6708"/>
    <n v="4.9800000000000004"/>
    <n v="72"/>
    <n v="93.166666666666671"/>
    <s v="Houston"/>
    <s v="Mandarin"/>
    <n v="598"/>
    <n v="8196"/>
    <n v="8"/>
    <s v="Health &amp; Wellness"/>
    <x v="173"/>
  </r>
  <r>
    <s v="NexGen Systems"/>
    <x v="1"/>
    <s v="Men 18-24"/>
    <s v="15 days"/>
    <x v="3"/>
    <n v="0.06"/>
    <n v="15719"/>
    <n v="2.1800000000000002"/>
    <n v="22"/>
    <n v="714.5"/>
    <s v="Chicago"/>
    <s v="Mandarin"/>
    <n v="369"/>
    <n v="6365"/>
    <n v="4"/>
    <s v="Outdoor Adventurers"/>
    <x v="174"/>
  </r>
  <r>
    <s v="Alpha Innovations"/>
    <x v="1"/>
    <s v="Women 25-34"/>
    <s v="15 days"/>
    <x v="1"/>
    <n v="0.13"/>
    <n v="8298"/>
    <n v="3.02"/>
    <n v="87"/>
    <n v="95.379310344827587"/>
    <s v="Los Angeles"/>
    <s v="Mandarin"/>
    <n v="672"/>
    <n v="2849"/>
    <n v="6"/>
    <s v="Outdoor Adventurers"/>
    <x v="175"/>
  </r>
  <r>
    <s v="TechCorp"/>
    <x v="1"/>
    <s v="Women 35-44"/>
    <s v="45 days"/>
    <x v="0"/>
    <n v="0.06"/>
    <n v="16507"/>
    <n v="4.21"/>
    <n v="30"/>
    <n v="550.23333333333335"/>
    <s v="New York"/>
    <s v="French"/>
    <n v="503"/>
    <n v="3653"/>
    <n v="9"/>
    <s v="Fashionistas"/>
    <x v="176"/>
  </r>
  <r>
    <s v="Innovate Industries"/>
    <x v="3"/>
    <s v="Women 35-44"/>
    <s v="30 days"/>
    <x v="2"/>
    <n v="0.05"/>
    <n v="14509"/>
    <n v="7.43"/>
    <n v="9"/>
    <n v="1612.1111111111111"/>
    <s v="Chicago"/>
    <s v="Spanish"/>
    <n v="182"/>
    <n v="4632"/>
    <n v="6"/>
    <s v="Tech Enthusiasts"/>
    <x v="177"/>
  </r>
  <r>
    <s v="DataTech Solutions"/>
    <x v="0"/>
    <s v="Men 18-24"/>
    <s v="45 days"/>
    <x v="4"/>
    <n v="0.08"/>
    <n v="7243"/>
    <n v="4.03"/>
    <n v="22"/>
    <n v="329.22727272727275"/>
    <s v="Chicago"/>
    <s v="Mandarin"/>
    <n v="271"/>
    <n v="6272"/>
    <n v="5"/>
    <s v="Foodies"/>
    <x v="178"/>
  </r>
  <r>
    <s v="NexGen Systems"/>
    <x v="4"/>
    <s v="Women 25-34"/>
    <s v="15 days"/>
    <x v="5"/>
    <n v="0.04"/>
    <n v="15582"/>
    <n v="7.14"/>
    <n v="11"/>
    <n v="1416.5454545454545"/>
    <s v="Chicago"/>
    <s v="Spanish"/>
    <n v="281"/>
    <n v="5172"/>
    <n v="7"/>
    <s v="Health &amp; Wellness"/>
    <x v="179"/>
  </r>
  <r>
    <s v="TechCorp"/>
    <x v="4"/>
    <s v="Men 18-24"/>
    <s v="15 days"/>
    <x v="3"/>
    <n v="0.11"/>
    <n v="14398"/>
    <n v="5.85"/>
    <n v="95"/>
    <n v="151.55789473684212"/>
    <s v="Houston"/>
    <s v="English"/>
    <n v="866"/>
    <n v="9541"/>
    <n v="9"/>
    <s v="Outdoor Adventurers"/>
    <x v="180"/>
  </r>
  <r>
    <s v="DataTech Solutions"/>
    <x v="3"/>
    <s v="Women 35-44"/>
    <s v="60 days"/>
    <x v="3"/>
    <n v="0.11"/>
    <n v="18877"/>
    <n v="4.83"/>
    <n v="80"/>
    <n v="235.96250000000001"/>
    <s v="New York"/>
    <s v="German"/>
    <n v="724"/>
    <n v="4641"/>
    <n v="9"/>
    <s v="Fashionistas"/>
    <x v="181"/>
  </r>
  <r>
    <s v="Innovate Industries"/>
    <x v="1"/>
    <s v="Men 18-24"/>
    <s v="30 days"/>
    <x v="1"/>
    <n v="0.03"/>
    <n v="18371"/>
    <n v="6.3"/>
    <n v="23"/>
    <n v="798.73913043478262"/>
    <s v="New York"/>
    <s v="English"/>
    <n v="756"/>
    <n v="7010"/>
    <n v="9"/>
    <s v="Health &amp; Wellness"/>
    <x v="182"/>
  </r>
  <r>
    <s v="Innovate Industries"/>
    <x v="2"/>
    <s v="Men 25-34"/>
    <s v="15 days"/>
    <x v="3"/>
    <n v="7.0000000000000007E-2"/>
    <n v="7887"/>
    <n v="6.26"/>
    <n v="49"/>
    <n v="160.9591836734694"/>
    <s v="New York"/>
    <s v="Mandarin"/>
    <n v="706"/>
    <n v="1945"/>
    <n v="4"/>
    <s v="Fashionistas"/>
    <x v="183"/>
  </r>
  <r>
    <s v="DataTech Solutions"/>
    <x v="3"/>
    <s v="Men 18-24"/>
    <s v="15 days"/>
    <x v="2"/>
    <n v="0.09"/>
    <n v="6753"/>
    <n v="4.6900000000000004"/>
    <n v="22"/>
    <n v="306.95454545454544"/>
    <s v="Chicago"/>
    <s v="Mandarin"/>
    <n v="244"/>
    <n v="5777"/>
    <n v="10"/>
    <s v="Health &amp; Wellness"/>
    <x v="184"/>
  </r>
  <r>
    <s v="Innovate Industries"/>
    <x v="1"/>
    <s v="Women 25-34"/>
    <s v="15 days"/>
    <x v="4"/>
    <n v="7.0000000000000007E-2"/>
    <n v="6810"/>
    <n v="5.45"/>
    <n v="62"/>
    <n v="109.83870967741936"/>
    <s v="Chicago"/>
    <s v="French"/>
    <n v="882"/>
    <n v="7948"/>
    <n v="9"/>
    <s v="Outdoor Adventurers"/>
    <x v="185"/>
  </r>
  <r>
    <s v="TechCorp"/>
    <x v="1"/>
    <s v="Men 25-34"/>
    <s v="60 days"/>
    <x v="2"/>
    <n v="0.01"/>
    <n v="12443"/>
    <n v="2.81"/>
    <n v="6"/>
    <n v="2073.8333333333335"/>
    <s v="Miami"/>
    <s v="Spanish"/>
    <n v="601"/>
    <n v="9674"/>
    <n v="4"/>
    <s v="Tech Enthusiasts"/>
    <x v="186"/>
  </r>
  <r>
    <s v="Alpha Innovations"/>
    <x v="0"/>
    <s v="All Ages"/>
    <s v="60 days"/>
    <x v="4"/>
    <n v="7.0000000000000007E-2"/>
    <n v="16098"/>
    <n v="7.24"/>
    <n v="43"/>
    <n v="374.37209302325579"/>
    <s v="Houston"/>
    <s v="German"/>
    <n v="616"/>
    <n v="1034"/>
    <n v="1"/>
    <s v="Outdoor Adventurers"/>
    <x v="187"/>
  </r>
  <r>
    <s v="NexGen Systems"/>
    <x v="3"/>
    <s v="Men 25-34"/>
    <s v="15 days"/>
    <x v="5"/>
    <n v="0.01"/>
    <n v="8272"/>
    <n v="3.66"/>
    <n v="10"/>
    <n v="827.2"/>
    <s v="Chicago"/>
    <s v="French"/>
    <n v="976"/>
    <n v="8780"/>
    <n v="3"/>
    <s v="Health &amp; Wellness"/>
    <x v="188"/>
  </r>
  <r>
    <s v="Innovate Industries"/>
    <x v="4"/>
    <s v="Women 25-34"/>
    <s v="15 days"/>
    <x v="3"/>
    <n v="0.14000000000000001"/>
    <n v="5623"/>
    <n v="3.72"/>
    <n v="76"/>
    <n v="73.986842105263165"/>
    <s v="New York"/>
    <s v="French"/>
    <n v="541"/>
    <n v="3475"/>
    <n v="6"/>
    <s v="Fashionistas"/>
    <x v="189"/>
  </r>
  <r>
    <s v="Innovate Industries"/>
    <x v="4"/>
    <s v="All Ages"/>
    <s v="60 days"/>
    <x v="3"/>
    <n v="0.1"/>
    <n v="13216"/>
    <n v="3.89"/>
    <n v="37"/>
    <n v="357.18918918918916"/>
    <s v="Miami"/>
    <s v="Mandarin"/>
    <n v="365"/>
    <n v="9899"/>
    <n v="1"/>
    <s v="Foodies"/>
    <x v="190"/>
  </r>
  <r>
    <s v="Alpha Innovations"/>
    <x v="4"/>
    <s v="Women 35-44"/>
    <s v="15 days"/>
    <x v="4"/>
    <n v="0.02"/>
    <n v="9728"/>
    <n v="2.67"/>
    <n v="8"/>
    <n v="1216"/>
    <s v="Chicago"/>
    <s v="French"/>
    <n v="394"/>
    <n v="6758"/>
    <n v="5"/>
    <s v="Foodies"/>
    <x v="191"/>
  </r>
  <r>
    <s v="Alpha Innovations"/>
    <x v="3"/>
    <s v="Men 25-34"/>
    <s v="30 days"/>
    <x v="2"/>
    <n v="0.13"/>
    <n v="7307"/>
    <n v="5.89"/>
    <n v="18"/>
    <n v="405.94444444444446"/>
    <s v="Chicago"/>
    <s v="French"/>
    <n v="136"/>
    <n v="6733"/>
    <n v="5"/>
    <s v="Health &amp; Wellness"/>
    <x v="192"/>
  </r>
  <r>
    <s v="TechCorp"/>
    <x v="0"/>
    <s v="Men 18-24"/>
    <s v="30 days"/>
    <x v="0"/>
    <n v="0.04"/>
    <n v="8749"/>
    <n v="2.33"/>
    <n v="7"/>
    <n v="1249.8571428571429"/>
    <s v="Houston"/>
    <s v="Spanish"/>
    <n v="174"/>
    <n v="1885"/>
    <n v="10"/>
    <s v="Health &amp; Wellness"/>
    <x v="193"/>
  </r>
  <r>
    <s v="TechCorp"/>
    <x v="4"/>
    <s v="All Ages"/>
    <s v="60 days"/>
    <x v="2"/>
    <n v="0.15"/>
    <n v="11053"/>
    <n v="7.9"/>
    <n v="149"/>
    <n v="74.181208053691279"/>
    <s v="Miami"/>
    <s v="Mandarin"/>
    <n v="994"/>
    <n v="5916"/>
    <n v="6"/>
    <s v="Fashionistas"/>
    <x v="194"/>
  </r>
  <r>
    <s v="NexGen Systems"/>
    <x v="3"/>
    <s v="Men 25-34"/>
    <s v="30 days"/>
    <x v="0"/>
    <n v="0.08"/>
    <n v="17072"/>
    <n v="6.75"/>
    <n v="22"/>
    <n v="776"/>
    <s v="Chicago"/>
    <s v="French"/>
    <n v="271"/>
    <n v="7755"/>
    <n v="4"/>
    <s v="Health &amp; Wellness"/>
    <x v="195"/>
  </r>
  <r>
    <s v="TechCorp"/>
    <x v="2"/>
    <s v="Women 35-44"/>
    <s v="60 days"/>
    <x v="4"/>
    <n v="0.13"/>
    <n v="14400"/>
    <n v="5.51"/>
    <n v="86"/>
    <n v="167.44186046511629"/>
    <s v="Houston"/>
    <s v="French"/>
    <n v="661"/>
    <n v="2916"/>
    <n v="3"/>
    <s v="Health &amp; Wellness"/>
    <x v="196"/>
  </r>
  <r>
    <s v="NexGen Systems"/>
    <x v="4"/>
    <s v="Men 18-24"/>
    <s v="60 days"/>
    <x v="1"/>
    <n v="0.15"/>
    <n v="15225"/>
    <n v="6.32"/>
    <n v="81"/>
    <n v="187.96296296296296"/>
    <s v="Chicago"/>
    <s v="English"/>
    <n v="543"/>
    <n v="1191"/>
    <n v="8"/>
    <s v="Health &amp; Wellness"/>
    <x v="197"/>
  </r>
  <r>
    <s v="DataTech Solutions"/>
    <x v="1"/>
    <s v="Men 25-34"/>
    <s v="45 days"/>
    <x v="2"/>
    <n v="0.1"/>
    <n v="8959"/>
    <n v="7.82"/>
    <n v="97"/>
    <n v="92.360824742268036"/>
    <s v="Chicago"/>
    <s v="English"/>
    <n v="965"/>
    <n v="5500"/>
    <n v="5"/>
    <s v="Tech Enthusiasts"/>
    <x v="198"/>
  </r>
  <r>
    <s v="DataTech Solutions"/>
    <x v="1"/>
    <s v="All Ages"/>
    <s v="15 days"/>
    <x v="1"/>
    <n v="0.01"/>
    <n v="9557"/>
    <n v="5.79"/>
    <n v="8"/>
    <n v="1194.625"/>
    <s v="New York"/>
    <s v="English"/>
    <n v="755"/>
    <n v="6685"/>
    <n v="5"/>
    <s v="Tech Enthusiasts"/>
    <x v="199"/>
  </r>
  <r>
    <s v="TechCorp"/>
    <x v="0"/>
    <s v="Women 35-44"/>
    <s v="60 days"/>
    <x v="4"/>
    <n v="0.14000000000000001"/>
    <n v="8172"/>
    <n v="4.37"/>
    <n v="135"/>
    <n v="60.533333333333331"/>
    <s v="Miami"/>
    <s v="English"/>
    <n v="961"/>
    <n v="1997"/>
    <n v="5"/>
    <s v="Fashionistas"/>
    <x v="200"/>
  </r>
  <r>
    <s v="Innovate Industries"/>
    <x v="3"/>
    <s v="Women 35-44"/>
    <s v="30 days"/>
    <x v="1"/>
    <n v="0.12"/>
    <n v="6163"/>
    <n v="4.92"/>
    <n v="15"/>
    <n v="410.86666666666667"/>
    <s v="Houston"/>
    <s v="Spanish"/>
    <n v="128"/>
    <n v="6954"/>
    <n v="3"/>
    <s v="Health &amp; Wellness"/>
    <x v="201"/>
  </r>
  <r>
    <s v="TechCorp"/>
    <x v="4"/>
    <s v="All Ages"/>
    <s v="60 days"/>
    <x v="0"/>
    <n v="0.02"/>
    <n v="6006"/>
    <n v="7.48"/>
    <n v="5"/>
    <n v="1201.2"/>
    <s v="New York"/>
    <s v="German"/>
    <n v="245"/>
    <n v="6169"/>
    <n v="2"/>
    <s v="Outdoor Adventurers"/>
    <x v="202"/>
  </r>
  <r>
    <s v="Alpha Innovations"/>
    <x v="4"/>
    <s v="All Ages"/>
    <s v="30 days"/>
    <x v="4"/>
    <n v="0.05"/>
    <n v="5160"/>
    <n v="3.61"/>
    <n v="9"/>
    <n v="573.33333333333337"/>
    <s v="Chicago"/>
    <s v="English"/>
    <n v="174"/>
    <n v="2197"/>
    <n v="10"/>
    <s v="Outdoor Adventurers"/>
    <x v="203"/>
  </r>
  <r>
    <s v="NexGen Systems"/>
    <x v="4"/>
    <s v="Men 18-24"/>
    <s v="60 days"/>
    <x v="2"/>
    <n v="0.04"/>
    <n v="18440"/>
    <n v="4"/>
    <n v="29"/>
    <n v="635.86206896551721"/>
    <s v="Houston"/>
    <s v="French"/>
    <n v="720"/>
    <n v="5590"/>
    <n v="7"/>
    <s v="Foodies"/>
    <x v="204"/>
  </r>
  <r>
    <s v="Innovate Industries"/>
    <x v="2"/>
    <s v="Women 35-44"/>
    <s v="15 days"/>
    <x v="2"/>
    <n v="0.08"/>
    <n v="17956"/>
    <n v="3.62"/>
    <n v="51"/>
    <n v="352.07843137254901"/>
    <s v="Los Angeles"/>
    <s v="French"/>
    <n v="640"/>
    <n v="2893"/>
    <n v="5"/>
    <s v="Foodies"/>
    <x v="205"/>
  </r>
  <r>
    <s v="DataTech Solutions"/>
    <x v="0"/>
    <s v="Men 25-34"/>
    <s v="30 days"/>
    <x v="5"/>
    <n v="0.04"/>
    <n v="13404"/>
    <n v="2.34"/>
    <n v="29"/>
    <n v="462.20689655172413"/>
    <s v="Los Angeles"/>
    <s v="German"/>
    <n v="723"/>
    <n v="8842"/>
    <n v="8"/>
    <s v="Health &amp; Wellness"/>
    <x v="206"/>
  </r>
  <r>
    <s v="NexGen Systems"/>
    <x v="3"/>
    <s v="Women 35-44"/>
    <s v="60 days"/>
    <x v="4"/>
    <n v="0.11"/>
    <n v="7467"/>
    <n v="7.32"/>
    <n v="35"/>
    <n v="213.34285714285716"/>
    <s v="Los Angeles"/>
    <s v="English"/>
    <n v="315"/>
    <n v="3114"/>
    <n v="5"/>
    <s v="Tech Enthusiasts"/>
    <x v="207"/>
  </r>
  <r>
    <s v="TechCorp"/>
    <x v="3"/>
    <s v="Men 18-24"/>
    <s v="45 days"/>
    <x v="2"/>
    <n v="0.03"/>
    <n v="9257"/>
    <n v="5.27"/>
    <n v="17"/>
    <n v="544.52941176470586"/>
    <s v="Miami"/>
    <s v="Mandarin"/>
    <n v="569"/>
    <n v="7388"/>
    <n v="8"/>
    <s v="Foodies"/>
    <x v="208"/>
  </r>
  <r>
    <s v="DataTech Solutions"/>
    <x v="0"/>
    <s v="Women 25-34"/>
    <s v="45 days"/>
    <x v="5"/>
    <n v="0.04"/>
    <n v="10316"/>
    <n v="3.97"/>
    <n v="23"/>
    <n v="448.52173913043481"/>
    <s v="Miami"/>
    <s v="French"/>
    <n v="585"/>
    <n v="5304"/>
    <n v="7"/>
    <s v="Outdoor Adventurers"/>
    <x v="209"/>
  </r>
  <r>
    <s v="DataTech Solutions"/>
    <x v="2"/>
    <s v="Men 25-34"/>
    <s v="60 days"/>
    <x v="3"/>
    <n v="0.06"/>
    <n v="13636"/>
    <n v="3.22"/>
    <n v="11"/>
    <n v="1239.6363636363637"/>
    <s v="Chicago"/>
    <s v="German"/>
    <n v="183"/>
    <n v="3197"/>
    <n v="8"/>
    <s v="Health &amp; Wellness"/>
    <x v="210"/>
  </r>
  <r>
    <s v="Innovate Industries"/>
    <x v="4"/>
    <s v="All Ages"/>
    <s v="45 days"/>
    <x v="2"/>
    <n v="0.03"/>
    <n v="7714"/>
    <n v="6.79"/>
    <n v="4"/>
    <n v="1928.5"/>
    <s v="Los Angeles"/>
    <s v="French"/>
    <n v="142"/>
    <n v="6774"/>
    <n v="1"/>
    <s v="Foodies"/>
    <x v="211"/>
  </r>
  <r>
    <s v="Alpha Innovations"/>
    <x v="2"/>
    <s v="Women 35-44"/>
    <s v="45 days"/>
    <x v="0"/>
    <n v="0.04"/>
    <n v="18203"/>
    <n v="3.93"/>
    <n v="28"/>
    <n v="650.10714285714289"/>
    <s v="Los Angeles"/>
    <s v="Mandarin"/>
    <n v="699"/>
    <n v="1558"/>
    <n v="10"/>
    <s v="Foodies"/>
    <x v="212"/>
  </r>
  <r>
    <s v="TechCorp"/>
    <x v="0"/>
    <s v="Men 25-34"/>
    <s v="45 days"/>
    <x v="5"/>
    <n v="0.01"/>
    <n v="19475"/>
    <n v="4.38"/>
    <n v="9"/>
    <n v="2163.8888888888887"/>
    <s v="Miami"/>
    <s v="Spanish"/>
    <n v="883"/>
    <n v="8152"/>
    <n v="5"/>
    <s v="Tech Enthusiasts"/>
    <x v="213"/>
  </r>
  <r>
    <s v="TechCorp"/>
    <x v="4"/>
    <s v="Men 25-34"/>
    <s v="15 days"/>
    <x v="1"/>
    <n v="0.02"/>
    <n v="8969"/>
    <n v="5.28"/>
    <n v="14"/>
    <n v="640.64285714285711"/>
    <s v="Los Angeles"/>
    <s v="Spanish"/>
    <n v="720"/>
    <n v="7046"/>
    <n v="2"/>
    <s v="Tech Enthusiasts"/>
    <x v="214"/>
  </r>
  <r>
    <s v="DataTech Solutions"/>
    <x v="1"/>
    <s v="Men 25-34"/>
    <s v="30 days"/>
    <x v="5"/>
    <n v="0.13"/>
    <n v="9084"/>
    <n v="5.04"/>
    <n v="28"/>
    <n v="324.42857142857144"/>
    <s v="Miami"/>
    <s v="German"/>
    <n v="218"/>
    <n v="8835"/>
    <n v="6"/>
    <s v="Foodies"/>
    <x v="215"/>
  </r>
  <r>
    <s v="NexGen Systems"/>
    <x v="3"/>
    <s v="Men 25-34"/>
    <s v="45 days"/>
    <x v="3"/>
    <n v="0.02"/>
    <n v="5319"/>
    <n v="3.31"/>
    <n v="11"/>
    <n v="483.54545454545456"/>
    <s v="Los Angeles"/>
    <s v="German"/>
    <n v="553"/>
    <n v="1435"/>
    <n v="3"/>
    <s v="Fashionistas"/>
    <x v="216"/>
  </r>
  <r>
    <s v="Alpha Innovations"/>
    <x v="4"/>
    <s v="Women 35-44"/>
    <s v="30 days"/>
    <x v="3"/>
    <n v="0.03"/>
    <n v="13577"/>
    <n v="4.09"/>
    <n v="8"/>
    <n v="1697.125"/>
    <s v="Chicago"/>
    <s v="English"/>
    <n v="250"/>
    <n v="3978"/>
    <n v="1"/>
    <s v="Health &amp; Wellness"/>
    <x v="217"/>
  </r>
  <r>
    <s v="DataTech Solutions"/>
    <x v="4"/>
    <s v="Women 25-34"/>
    <s v="15 days"/>
    <x v="3"/>
    <n v="0.04"/>
    <n v="5156"/>
    <n v="4.0999999999999996"/>
    <n v="20"/>
    <n v="257.8"/>
    <s v="Houston"/>
    <s v="Mandarin"/>
    <n v="504"/>
    <n v="7390"/>
    <n v="6"/>
    <s v="Outdoor Adventurers"/>
    <x v="218"/>
  </r>
  <r>
    <s v="NexGen Systems"/>
    <x v="4"/>
    <s v="Women 35-44"/>
    <s v="60 days"/>
    <x v="4"/>
    <n v="0.11"/>
    <n v="10040"/>
    <n v="2.54"/>
    <n v="78"/>
    <n v="128.71794871794873"/>
    <s v="Los Angeles"/>
    <s v="German"/>
    <n v="713"/>
    <n v="9935"/>
    <n v="1"/>
    <s v="Health &amp; Wellness"/>
    <x v="219"/>
  </r>
  <r>
    <s v="NexGen Systems"/>
    <x v="4"/>
    <s v="All Ages"/>
    <s v="45 days"/>
    <x v="5"/>
    <n v="0.05"/>
    <n v="12652"/>
    <n v="6.6"/>
    <n v="39"/>
    <n v="324.41025641025641"/>
    <s v="Houston"/>
    <s v="French"/>
    <n v="783"/>
    <n v="1338"/>
    <n v="1"/>
    <s v="Fashionistas"/>
    <x v="220"/>
  </r>
  <r>
    <s v="DataTech Solutions"/>
    <x v="2"/>
    <s v="Men 25-34"/>
    <s v="60 days"/>
    <x v="4"/>
    <n v="0.11"/>
    <n v="6169"/>
    <n v="6.03"/>
    <n v="86"/>
    <n v="71.732558139534888"/>
    <s v="New York"/>
    <s v="Spanish"/>
    <n v="780"/>
    <n v="2043"/>
    <n v="5"/>
    <s v="Tech Enthusiasts"/>
    <x v="221"/>
  </r>
  <r>
    <s v="NexGen Systems"/>
    <x v="0"/>
    <s v="All Ages"/>
    <s v="45 days"/>
    <x v="1"/>
    <n v="0.14000000000000001"/>
    <n v="13128"/>
    <n v="3.82"/>
    <n v="16"/>
    <n v="820.5"/>
    <s v="Houston"/>
    <s v="English"/>
    <n v="111"/>
    <n v="5558"/>
    <n v="7"/>
    <s v="Tech Enthusiasts"/>
    <x v="222"/>
  </r>
  <r>
    <s v="DataTech Solutions"/>
    <x v="3"/>
    <s v="Women 35-44"/>
    <s v="45 days"/>
    <x v="0"/>
    <n v="0.08"/>
    <n v="6131"/>
    <n v="7.34"/>
    <n v="11"/>
    <n v="557.36363636363637"/>
    <s v="New York"/>
    <s v="French"/>
    <n v="139"/>
    <n v="5239"/>
    <n v="10"/>
    <s v="Outdoor Adventurers"/>
    <x v="223"/>
  </r>
  <r>
    <s v="TechCorp"/>
    <x v="0"/>
    <s v="Men 25-34"/>
    <s v="45 days"/>
    <x v="1"/>
    <n v="0.13"/>
    <n v="12471"/>
    <n v="2.46"/>
    <n v="65"/>
    <n v="191.86153846153846"/>
    <s v="Miami"/>
    <s v="German"/>
    <n v="498"/>
    <n v="5428"/>
    <n v="3"/>
    <s v="Health &amp; Wellness"/>
    <x v="224"/>
  </r>
  <r>
    <s v="TechCorp"/>
    <x v="0"/>
    <s v="Men 18-24"/>
    <s v="60 days"/>
    <x v="1"/>
    <n v="7.0000000000000007E-2"/>
    <n v="9654"/>
    <n v="7.54"/>
    <n v="53"/>
    <n v="182.15094339622641"/>
    <s v="Los Angeles"/>
    <s v="English"/>
    <n v="755"/>
    <n v="1284"/>
    <n v="2"/>
    <s v="Fashionistas"/>
    <x v="225"/>
  </r>
  <r>
    <s v="DataTech Solutions"/>
    <x v="4"/>
    <s v="Men 25-34"/>
    <s v="45 days"/>
    <x v="2"/>
    <n v="0.13"/>
    <n v="12046"/>
    <n v="7.55"/>
    <n v="16"/>
    <n v="752.875"/>
    <s v="New York"/>
    <s v="Spanish"/>
    <n v="124"/>
    <n v="1334"/>
    <n v="10"/>
    <s v="Foodies"/>
    <x v="226"/>
  </r>
  <r>
    <s v="DataTech Solutions"/>
    <x v="2"/>
    <s v="Men 18-24"/>
    <s v="45 days"/>
    <x v="4"/>
    <n v="0.04"/>
    <n v="14372"/>
    <n v="5.01"/>
    <n v="4"/>
    <n v="3593"/>
    <s v="Houston"/>
    <s v="Mandarin"/>
    <n v="100"/>
    <n v="7364"/>
    <n v="10"/>
    <s v="Foodies"/>
    <x v="227"/>
  </r>
  <r>
    <s v="DataTech Solutions"/>
    <x v="1"/>
    <s v="Men 25-34"/>
    <s v="30 days"/>
    <x v="5"/>
    <n v="0.11"/>
    <n v="11447"/>
    <n v="5.99"/>
    <n v="92"/>
    <n v="124.42391304347827"/>
    <s v="Chicago"/>
    <s v="Mandarin"/>
    <n v="840"/>
    <n v="9392"/>
    <n v="4"/>
    <s v="Outdoor Adventurers"/>
    <x v="228"/>
  </r>
  <r>
    <s v="TechCorp"/>
    <x v="4"/>
    <s v="Men 25-34"/>
    <s v="45 days"/>
    <x v="3"/>
    <n v="0.06"/>
    <n v="13682"/>
    <n v="2.81"/>
    <n v="51"/>
    <n v="268.27450980392155"/>
    <s v="Miami"/>
    <s v="Mandarin"/>
    <n v="851"/>
    <n v="1092"/>
    <n v="9"/>
    <s v="Fashionistas"/>
    <x v="229"/>
  </r>
  <r>
    <s v="TechCorp"/>
    <x v="1"/>
    <s v="Women 35-44"/>
    <s v="60 days"/>
    <x v="0"/>
    <n v="0.15"/>
    <n v="6280"/>
    <n v="5.95"/>
    <n v="130"/>
    <n v="48.307692307692307"/>
    <s v="New York"/>
    <s v="Spanish"/>
    <n v="867"/>
    <n v="1525"/>
    <n v="6"/>
    <s v="Health &amp; Wellness"/>
    <x v="230"/>
  </r>
  <r>
    <s v="NexGen Systems"/>
    <x v="4"/>
    <s v="Men 25-34"/>
    <s v="15 days"/>
    <x v="1"/>
    <n v="0.08"/>
    <n v="14086"/>
    <n v="7.24"/>
    <n v="49"/>
    <n v="287.46938775510205"/>
    <s v="Los Angeles"/>
    <s v="Mandarin"/>
    <n v="611"/>
    <n v="9682"/>
    <n v="6"/>
    <s v="Tech Enthusiasts"/>
    <x v="231"/>
  </r>
  <r>
    <s v="Alpha Innovations"/>
    <x v="4"/>
    <s v="Women 35-44"/>
    <s v="30 days"/>
    <x v="3"/>
    <n v="0.11"/>
    <n v="8424"/>
    <n v="6.82"/>
    <n v="100"/>
    <n v="84.24"/>
    <s v="Chicago"/>
    <s v="French"/>
    <n v="905"/>
    <n v="1830"/>
    <n v="1"/>
    <s v="Outdoor Adventurers"/>
    <x v="232"/>
  </r>
  <r>
    <s v="TechCorp"/>
    <x v="0"/>
    <s v="Men 18-24"/>
    <s v="60 days"/>
    <x v="0"/>
    <n v="0.1"/>
    <n v="13931"/>
    <n v="6.6"/>
    <n v="11"/>
    <n v="1266.4545454545455"/>
    <s v="Houston"/>
    <s v="Mandarin"/>
    <n v="110"/>
    <n v="5185"/>
    <n v="7"/>
    <s v="Outdoor Adventurers"/>
    <x v="233"/>
  </r>
  <r>
    <s v="Alpha Innovations"/>
    <x v="0"/>
    <s v="Men 25-34"/>
    <s v="45 days"/>
    <x v="0"/>
    <n v="0.14000000000000001"/>
    <n v="16392"/>
    <n v="7.14"/>
    <n v="26"/>
    <n v="630.46153846153845"/>
    <s v="New York"/>
    <s v="German"/>
    <n v="189"/>
    <n v="1541"/>
    <n v="8"/>
    <s v="Outdoor Adventurers"/>
    <x v="234"/>
  </r>
  <r>
    <s v="Innovate Industries"/>
    <x v="0"/>
    <s v="All Ages"/>
    <s v="45 days"/>
    <x v="3"/>
    <n v="0.03"/>
    <n v="13783"/>
    <n v="7.54"/>
    <n v="17"/>
    <n v="810.76470588235293"/>
    <s v="New York"/>
    <s v="French"/>
    <n v="583"/>
    <n v="2354"/>
    <n v="2"/>
    <s v="Tech Enthusiasts"/>
    <x v="235"/>
  </r>
  <r>
    <s v="Alpha Innovations"/>
    <x v="2"/>
    <s v="Women 35-44"/>
    <s v="30 days"/>
    <x v="3"/>
    <n v="0.04"/>
    <n v="16261"/>
    <n v="5.31"/>
    <n v="13"/>
    <n v="1250.8461538461538"/>
    <s v="Miami"/>
    <s v="Mandarin"/>
    <n v="328"/>
    <n v="5881"/>
    <n v="8"/>
    <s v="Health &amp; Wellness"/>
    <x v="236"/>
  </r>
  <r>
    <s v="Innovate Industries"/>
    <x v="0"/>
    <s v="Men 25-34"/>
    <s v="15 days"/>
    <x v="5"/>
    <n v="0.03"/>
    <n v="7667"/>
    <n v="7.42"/>
    <n v="25"/>
    <n v="306.68"/>
    <s v="Miami"/>
    <s v="Mandarin"/>
    <n v="819"/>
    <n v="7098"/>
    <n v="2"/>
    <s v="Foodies"/>
    <x v="237"/>
  </r>
  <r>
    <s v="NexGen Systems"/>
    <x v="0"/>
    <s v="All Ages"/>
    <s v="15 days"/>
    <x v="1"/>
    <n v="0.15"/>
    <n v="19419"/>
    <n v="4.2300000000000004"/>
    <n v="126"/>
    <n v="154.11904761904762"/>
    <s v="Los Angeles"/>
    <s v="German"/>
    <n v="840"/>
    <n v="3053"/>
    <n v="3"/>
    <s v="Tech Enthusiasts"/>
    <x v="238"/>
  </r>
  <r>
    <s v="Alpha Innovations"/>
    <x v="0"/>
    <s v="Women 35-44"/>
    <s v="60 days"/>
    <x v="0"/>
    <n v="0.14000000000000001"/>
    <n v="18513"/>
    <n v="4.62"/>
    <n v="110"/>
    <n v="168.3"/>
    <s v="Chicago"/>
    <s v="Spanish"/>
    <n v="788"/>
    <n v="4863"/>
    <n v="4"/>
    <s v="Fashionistas"/>
    <x v="239"/>
  </r>
  <r>
    <s v="TechCorp"/>
    <x v="4"/>
    <s v="All Ages"/>
    <s v="30 days"/>
    <x v="0"/>
    <n v="0.11"/>
    <n v="5875"/>
    <n v="3.8"/>
    <n v="16"/>
    <n v="367.1875"/>
    <s v="Houston"/>
    <s v="German"/>
    <n v="149"/>
    <n v="1298"/>
    <n v="10"/>
    <s v="Fashionistas"/>
    <x v="240"/>
  </r>
  <r>
    <s v="DataTech Solutions"/>
    <x v="0"/>
    <s v="Men 25-34"/>
    <s v="30 days"/>
    <x v="4"/>
    <n v="0.1"/>
    <n v="19139"/>
    <n v="2.64"/>
    <n v="47"/>
    <n v="407.21276595744683"/>
    <s v="Houston"/>
    <s v="Spanish"/>
    <n v="471"/>
    <n v="6853"/>
    <n v="7"/>
    <s v="Foodies"/>
    <x v="241"/>
  </r>
  <r>
    <s v="Alpha Innovations"/>
    <x v="0"/>
    <s v="Men 25-34"/>
    <s v="60 days"/>
    <x v="4"/>
    <n v="0.08"/>
    <n v="6294"/>
    <n v="5.21"/>
    <n v="62"/>
    <n v="101.51612903225806"/>
    <s v="Chicago"/>
    <s v="Spanish"/>
    <n v="772"/>
    <n v="5933"/>
    <n v="7"/>
    <s v="Tech Enthusiasts"/>
    <x v="242"/>
  </r>
  <r>
    <s v="DataTech Solutions"/>
    <x v="1"/>
    <s v="Men 25-34"/>
    <s v="15 days"/>
    <x v="1"/>
    <n v="0.12"/>
    <n v="5428"/>
    <n v="4.6399999999999997"/>
    <n v="67"/>
    <n v="81.014925373134332"/>
    <s v="Los Angeles"/>
    <s v="English"/>
    <n v="555"/>
    <n v="1846"/>
    <n v="10"/>
    <s v="Foodies"/>
    <x v="243"/>
  </r>
  <r>
    <s v="NexGen Systems"/>
    <x v="1"/>
    <s v="Men 18-24"/>
    <s v="30 days"/>
    <x v="5"/>
    <n v="0.09"/>
    <n v="12822"/>
    <n v="6.78"/>
    <n v="61"/>
    <n v="210.19672131147541"/>
    <s v="Chicago"/>
    <s v="Mandarin"/>
    <n v="680"/>
    <n v="8082"/>
    <n v="9"/>
    <s v="Foodies"/>
    <x v="244"/>
  </r>
  <r>
    <s v="Alpha Innovations"/>
    <x v="3"/>
    <s v="Women 35-44"/>
    <s v="30 days"/>
    <x v="3"/>
    <n v="0.14000000000000001"/>
    <n v="17984"/>
    <n v="2.5099999999999998"/>
    <n v="54"/>
    <n v="333.03703703703701"/>
    <s v="Chicago"/>
    <s v="German"/>
    <n v="384"/>
    <n v="7400"/>
    <n v="6"/>
    <s v="Tech Enthusiasts"/>
    <x v="245"/>
  </r>
  <r>
    <s v="NexGen Systems"/>
    <x v="4"/>
    <s v="Women 35-44"/>
    <s v="15 days"/>
    <x v="1"/>
    <n v="0.08"/>
    <n v="5039"/>
    <n v="3.05"/>
    <n v="27"/>
    <n v="186.62962962962962"/>
    <s v="Houston"/>
    <s v="Spanish"/>
    <n v="341"/>
    <n v="1704"/>
    <n v="2"/>
    <s v="Foodies"/>
    <x v="246"/>
  </r>
  <r>
    <s v="Alpha Innovations"/>
    <x v="0"/>
    <s v="Men 25-34"/>
    <s v="15 days"/>
    <x v="1"/>
    <n v="0.05"/>
    <n v="7201"/>
    <n v="6.46"/>
    <n v="30"/>
    <n v="240.03333333333333"/>
    <s v="New York"/>
    <s v="German"/>
    <n v="593"/>
    <n v="8374"/>
    <n v="10"/>
    <s v="Fashionistas"/>
    <x v="247"/>
  </r>
  <r>
    <s v="NexGen Systems"/>
    <x v="4"/>
    <s v="Men 18-24"/>
    <s v="15 days"/>
    <x v="2"/>
    <n v="0.09"/>
    <n v="7383"/>
    <n v="5.92"/>
    <n v="76"/>
    <n v="97.14473684210526"/>
    <s v="Miami"/>
    <s v="Mandarin"/>
    <n v="839"/>
    <n v="3601"/>
    <n v="6"/>
    <s v="Fashionistas"/>
    <x v="248"/>
  </r>
  <r>
    <s v="NexGen Systems"/>
    <x v="3"/>
    <s v="Women 35-44"/>
    <s v="15 days"/>
    <x v="2"/>
    <n v="0.06"/>
    <n v="19615"/>
    <n v="4.47"/>
    <n v="49"/>
    <n v="400.30612244897958"/>
    <s v="Los Angeles"/>
    <s v="German"/>
    <n v="815"/>
    <n v="1569"/>
    <n v="1"/>
    <s v="Fashionistas"/>
    <x v="249"/>
  </r>
  <r>
    <s v="DataTech Solutions"/>
    <x v="3"/>
    <s v="Women 35-44"/>
    <s v="45 days"/>
    <x v="4"/>
    <n v="7.0000000000000007E-2"/>
    <n v="10956"/>
    <n v="6.84"/>
    <n v="52"/>
    <n v="210.69230769230768"/>
    <s v="Chicago"/>
    <s v="French"/>
    <n v="745"/>
    <n v="1233"/>
    <n v="5"/>
    <s v="Foodies"/>
    <x v="250"/>
  </r>
  <r>
    <s v="NexGen Systems"/>
    <x v="3"/>
    <s v="All Ages"/>
    <s v="45 days"/>
    <x v="4"/>
    <n v="0.02"/>
    <n v="14633"/>
    <n v="2.2999999999999998"/>
    <n v="12"/>
    <n v="1219.4166666666667"/>
    <s v="Houston"/>
    <s v="Spanish"/>
    <n v="597"/>
    <n v="4928"/>
    <n v="7"/>
    <s v="Foodies"/>
    <x v="251"/>
  </r>
  <r>
    <s v="NexGen Systems"/>
    <x v="0"/>
    <s v="Women 35-44"/>
    <s v="60 days"/>
    <x v="4"/>
    <n v="0.15"/>
    <n v="14581"/>
    <n v="2.4900000000000002"/>
    <n v="48"/>
    <n v="303.77083333333331"/>
    <s v="Houston"/>
    <s v="Spanish"/>
    <n v="322"/>
    <n v="3915"/>
    <n v="9"/>
    <s v="Tech Enthusiasts"/>
    <x v="252"/>
  </r>
  <r>
    <s v="NexGen Systems"/>
    <x v="2"/>
    <s v="Women 25-34"/>
    <s v="15 days"/>
    <x v="0"/>
    <n v="0.04"/>
    <n v="15973"/>
    <n v="3.73"/>
    <n v="15"/>
    <n v="1064.8666666666666"/>
    <s v="New York"/>
    <s v="Mandarin"/>
    <n v="372"/>
    <n v="1663"/>
    <n v="10"/>
    <s v="Outdoor Adventurers"/>
    <x v="253"/>
  </r>
  <r>
    <s v="TechCorp"/>
    <x v="3"/>
    <s v="All Ages"/>
    <s v="15 days"/>
    <x v="3"/>
    <n v="0.13"/>
    <n v="14099"/>
    <n v="5.51"/>
    <n v="85"/>
    <n v="165.87058823529412"/>
    <s v="Houston"/>
    <s v="German"/>
    <n v="656"/>
    <n v="1807"/>
    <n v="4"/>
    <s v="Health &amp; Wellness"/>
    <x v="254"/>
  </r>
  <r>
    <s v="Innovate Industries"/>
    <x v="4"/>
    <s v="All Ages"/>
    <s v="45 days"/>
    <x v="2"/>
    <n v="0.06"/>
    <n v="9245"/>
    <n v="6.71"/>
    <n v="31"/>
    <n v="298.22580645161293"/>
    <s v="Houston"/>
    <s v="English"/>
    <n v="510"/>
    <n v="3622"/>
    <n v="7"/>
    <s v="Foodies"/>
    <x v="255"/>
  </r>
  <r>
    <s v="DataTech Solutions"/>
    <x v="1"/>
    <s v="Men 25-34"/>
    <s v="30 days"/>
    <x v="3"/>
    <n v="0.1"/>
    <n v="5589"/>
    <n v="7.1"/>
    <n v="67"/>
    <n v="83.417910447761187"/>
    <s v="Miami"/>
    <s v="Spanish"/>
    <n v="673"/>
    <n v="2845"/>
    <n v="7"/>
    <s v="Foodies"/>
    <x v="256"/>
  </r>
  <r>
    <s v="Innovate Industries"/>
    <x v="0"/>
    <s v="Men 25-34"/>
    <s v="45 days"/>
    <x v="2"/>
    <n v="0.01"/>
    <n v="7254"/>
    <n v="6.45"/>
    <n v="7"/>
    <n v="1036.2857142857142"/>
    <s v="Houston"/>
    <s v="French"/>
    <n v="679"/>
    <n v="5355"/>
    <n v="2"/>
    <s v="Outdoor Adventurers"/>
    <x v="257"/>
  </r>
  <r>
    <s v="TechCorp"/>
    <x v="3"/>
    <s v="Women 25-34"/>
    <s v="60 days"/>
    <x v="4"/>
    <n v="0.12"/>
    <n v="10385"/>
    <n v="2.76"/>
    <n v="31"/>
    <n v="335"/>
    <s v="Chicago"/>
    <s v="English"/>
    <n v="261"/>
    <n v="7396"/>
    <n v="5"/>
    <s v="Foodies"/>
    <x v="258"/>
  </r>
  <r>
    <s v="TechCorp"/>
    <x v="2"/>
    <s v="Men 18-24"/>
    <s v="30 days"/>
    <x v="0"/>
    <n v="0.06"/>
    <n v="17863"/>
    <n v="2.66"/>
    <n v="56"/>
    <n v="318.98214285714283"/>
    <s v="Chicago"/>
    <s v="Spanish"/>
    <n v="928"/>
    <n v="8767"/>
    <n v="7"/>
    <s v="Outdoor Adventurers"/>
    <x v="259"/>
  </r>
  <r>
    <s v="DataTech Solutions"/>
    <x v="4"/>
    <s v="Women 35-44"/>
    <s v="30 days"/>
    <x v="1"/>
    <n v="0.08"/>
    <n v="5818"/>
    <n v="4.07"/>
    <n v="17"/>
    <n v="342.23529411764707"/>
    <s v="Houston"/>
    <s v="Mandarin"/>
    <n v="218"/>
    <n v="5540"/>
    <n v="6"/>
    <s v="Tech Enthusiasts"/>
    <x v="260"/>
  </r>
  <r>
    <s v="DataTech Solutions"/>
    <x v="4"/>
    <s v="Men 18-24"/>
    <s v="15 days"/>
    <x v="4"/>
    <n v="0.03"/>
    <n v="14079"/>
    <n v="4.62"/>
    <n v="18"/>
    <n v="782.16666666666663"/>
    <s v="Houston"/>
    <s v="Spanish"/>
    <n v="614"/>
    <n v="7574"/>
    <n v="9"/>
    <s v="Health &amp; Wellness"/>
    <x v="261"/>
  </r>
  <r>
    <s v="Innovate Industries"/>
    <x v="4"/>
    <s v="Women 35-44"/>
    <s v="30 days"/>
    <x v="3"/>
    <n v="0.13"/>
    <n v="13876"/>
    <n v="2.82"/>
    <n v="23"/>
    <n v="603.304347826087"/>
    <s v="Houston"/>
    <s v="Mandarin"/>
    <n v="178"/>
    <n v="8660"/>
    <n v="3"/>
    <s v="Fashionistas"/>
    <x v="262"/>
  </r>
  <r>
    <s v="TechCorp"/>
    <x v="2"/>
    <s v="Women 25-34"/>
    <s v="15 days"/>
    <x v="5"/>
    <n v="0.08"/>
    <n v="8372"/>
    <n v="5.83"/>
    <n v="66"/>
    <n v="126.84848484848484"/>
    <s v="New York"/>
    <s v="German"/>
    <n v="829"/>
    <n v="3254"/>
    <n v="3"/>
    <s v="Fashionistas"/>
    <x v="263"/>
  </r>
  <r>
    <s v="Alpha Innovations"/>
    <x v="1"/>
    <s v="Women 25-34"/>
    <s v="60 days"/>
    <x v="5"/>
    <n v="0.06"/>
    <n v="11217"/>
    <n v="2.76"/>
    <n v="60"/>
    <n v="186.95"/>
    <s v="New York"/>
    <s v="German"/>
    <n v="997"/>
    <n v="9543"/>
    <n v="5"/>
    <s v="Outdoor Adventurers"/>
    <x v="264"/>
  </r>
  <r>
    <s v="DataTech Solutions"/>
    <x v="3"/>
    <s v="Women 35-44"/>
    <s v="45 days"/>
    <x v="0"/>
    <n v="0.04"/>
    <n v="6907"/>
    <n v="4.32"/>
    <n v="5"/>
    <n v="1381.4"/>
    <s v="Houston"/>
    <s v="German"/>
    <n v="119"/>
    <n v="8560"/>
    <n v="1"/>
    <s v="Tech Enthusiasts"/>
    <x v="265"/>
  </r>
  <r>
    <s v="NexGen Systems"/>
    <x v="4"/>
    <s v="All Ages"/>
    <s v="45 days"/>
    <x v="2"/>
    <n v="0.02"/>
    <n v="16708"/>
    <n v="4.87"/>
    <n v="15"/>
    <n v="1113.8666666666666"/>
    <s v="Chicago"/>
    <s v="German"/>
    <n v="763"/>
    <n v="5547"/>
    <n v="8"/>
    <s v="Foodies"/>
    <x v="266"/>
  </r>
  <r>
    <s v="NexGen Systems"/>
    <x v="3"/>
    <s v="Men 18-24"/>
    <s v="30 days"/>
    <x v="2"/>
    <n v="0.04"/>
    <n v="15315"/>
    <n v="2.1800000000000002"/>
    <n v="11"/>
    <n v="1392.2727272727273"/>
    <s v="Houston"/>
    <s v="English"/>
    <n v="286"/>
    <n v="1130"/>
    <n v="8"/>
    <s v="Health &amp; Wellness"/>
    <x v="267"/>
  </r>
  <r>
    <s v="DataTech Solutions"/>
    <x v="0"/>
    <s v="Men 18-24"/>
    <s v="15 days"/>
    <x v="1"/>
    <n v="0.11"/>
    <n v="9738"/>
    <n v="4.9400000000000004"/>
    <n v="71"/>
    <n v="137.1549295774648"/>
    <s v="Los Angeles"/>
    <s v="Mandarin"/>
    <n v="643"/>
    <n v="7277"/>
    <n v="4"/>
    <s v="Fashionistas"/>
    <x v="268"/>
  </r>
  <r>
    <s v="NexGen Systems"/>
    <x v="3"/>
    <s v="Women 35-44"/>
    <s v="15 days"/>
    <x v="5"/>
    <n v="0.15"/>
    <n v="19296"/>
    <n v="6.52"/>
    <n v="23"/>
    <n v="838.95652173913038"/>
    <s v="Los Angeles"/>
    <s v="German"/>
    <n v="153"/>
    <n v="9770"/>
    <n v="6"/>
    <s v="Outdoor Adventurers"/>
    <x v="269"/>
  </r>
  <r>
    <s v="TechCorp"/>
    <x v="3"/>
    <s v="Men 25-34"/>
    <s v="15 days"/>
    <x v="4"/>
    <n v="0.09"/>
    <n v="9620"/>
    <n v="5.96"/>
    <n v="52"/>
    <n v="185"/>
    <s v="Los Angeles"/>
    <s v="German"/>
    <n v="579"/>
    <n v="8589"/>
    <n v="10"/>
    <s v="Outdoor Adventurers"/>
    <x v="270"/>
  </r>
  <r>
    <s v="TechCorp"/>
    <x v="0"/>
    <s v="Women 35-44"/>
    <s v="45 days"/>
    <x v="3"/>
    <n v="0.08"/>
    <n v="19927"/>
    <n v="7.12"/>
    <n v="40"/>
    <n v="498.17500000000001"/>
    <s v="Miami"/>
    <s v="Mandarin"/>
    <n v="505"/>
    <n v="7462"/>
    <n v="8"/>
    <s v="Foodies"/>
    <x v="271"/>
  </r>
  <r>
    <s v="NexGen Systems"/>
    <x v="1"/>
    <s v="All Ages"/>
    <s v="30 days"/>
    <x v="2"/>
    <n v="0.11"/>
    <n v="10397"/>
    <n v="4.26"/>
    <n v="83"/>
    <n v="125.26506024096386"/>
    <s v="Houston"/>
    <s v="German"/>
    <n v="751"/>
    <n v="3465"/>
    <n v="7"/>
    <s v="Tech Enthusiasts"/>
    <x v="272"/>
  </r>
  <r>
    <s v="NexGen Systems"/>
    <x v="3"/>
    <s v="Men 25-34"/>
    <s v="60 days"/>
    <x v="2"/>
    <n v="0.08"/>
    <n v="6860"/>
    <n v="5.14"/>
    <n v="43"/>
    <n v="159.53488372093022"/>
    <s v="New York"/>
    <s v="French"/>
    <n v="535"/>
    <n v="5785"/>
    <n v="10"/>
    <s v="Tech Enthusiasts"/>
    <x v="273"/>
  </r>
  <r>
    <s v="TechCorp"/>
    <x v="1"/>
    <s v="All Ages"/>
    <s v="30 days"/>
    <x v="4"/>
    <n v="0.11"/>
    <n v="12911"/>
    <n v="2.88"/>
    <n v="86"/>
    <n v="150.12790697674419"/>
    <s v="Miami"/>
    <s v="German"/>
    <n v="785"/>
    <n v="6680"/>
    <n v="3"/>
    <s v="Foodies"/>
    <x v="274"/>
  </r>
  <r>
    <s v="NexGen Systems"/>
    <x v="2"/>
    <s v="Men 25-34"/>
    <s v="15 days"/>
    <x v="1"/>
    <n v="0.03"/>
    <n v="5522"/>
    <n v="4.96"/>
    <n v="28"/>
    <n v="197.21428571428572"/>
    <s v="Miami"/>
    <s v="French"/>
    <n v="948"/>
    <n v="1188"/>
    <n v="2"/>
    <s v="Health &amp; Wellness"/>
    <x v="275"/>
  </r>
  <r>
    <s v="Innovate Industries"/>
    <x v="2"/>
    <s v="Women 25-34"/>
    <s v="45 days"/>
    <x v="3"/>
    <n v="0.05"/>
    <n v="19170"/>
    <n v="7.07"/>
    <n v="31"/>
    <n v="618.38709677419354"/>
    <s v="New York"/>
    <s v="English"/>
    <n v="611"/>
    <n v="1014"/>
    <n v="2"/>
    <s v="Foodies"/>
    <x v="276"/>
  </r>
  <r>
    <s v="Alpha Innovations"/>
    <x v="4"/>
    <s v="Men 18-24"/>
    <s v="15 days"/>
    <x v="4"/>
    <n v="0.12"/>
    <n v="11904"/>
    <n v="3.99"/>
    <n v="44"/>
    <n v="270.54545454545456"/>
    <s v="Chicago"/>
    <s v="French"/>
    <n v="370"/>
    <n v="3574"/>
    <n v="6"/>
    <s v="Tech Enthusiasts"/>
    <x v="277"/>
  </r>
  <r>
    <s v="DataTech Solutions"/>
    <x v="4"/>
    <s v="All Ages"/>
    <s v="45 days"/>
    <x v="4"/>
    <n v="0.1"/>
    <n v="18216"/>
    <n v="5.84"/>
    <n v="23"/>
    <n v="792"/>
    <s v="Miami"/>
    <s v="English"/>
    <n v="227"/>
    <n v="7082"/>
    <n v="9"/>
    <s v="Foodies"/>
    <x v="278"/>
  </r>
  <r>
    <s v="Innovate Industries"/>
    <x v="2"/>
    <s v="Men 25-34"/>
    <s v="60 days"/>
    <x v="3"/>
    <n v="0.1"/>
    <n v="12918"/>
    <n v="7.93"/>
    <n v="65"/>
    <n v="198.73846153846154"/>
    <s v="Miami"/>
    <s v="French"/>
    <n v="653"/>
    <n v="4719"/>
    <n v="8"/>
    <s v="Outdoor Adventurers"/>
    <x v="279"/>
  </r>
  <r>
    <s v="Alpha Innovations"/>
    <x v="2"/>
    <s v="Women 25-34"/>
    <s v="60 days"/>
    <x v="2"/>
    <n v="0.05"/>
    <n v="18803"/>
    <n v="5.13"/>
    <n v="49"/>
    <n v="383.73469387755102"/>
    <s v="Los Angeles"/>
    <s v="Spanish"/>
    <n v="974"/>
    <n v="6691"/>
    <n v="9"/>
    <s v="Fashionistas"/>
    <x v="280"/>
  </r>
  <r>
    <s v="Alpha Innovations"/>
    <x v="2"/>
    <s v="All Ages"/>
    <s v="15 days"/>
    <x v="4"/>
    <n v="7.0000000000000007E-2"/>
    <n v="11555"/>
    <n v="6.4"/>
    <n v="46"/>
    <n v="251.19565217391303"/>
    <s v="Houston"/>
    <s v="English"/>
    <n v="651"/>
    <n v="4644"/>
    <n v="8"/>
    <s v="Health &amp; Wellness"/>
    <x v="281"/>
  </r>
  <r>
    <s v="TechCorp"/>
    <x v="0"/>
    <s v="Men 18-24"/>
    <s v="45 days"/>
    <x v="0"/>
    <n v="0.13"/>
    <n v="9568"/>
    <n v="5.89"/>
    <n v="89"/>
    <n v="107.50561797752809"/>
    <s v="Los Angeles"/>
    <s v="German"/>
    <n v="687"/>
    <n v="2451"/>
    <n v="2"/>
    <s v="Foodies"/>
    <x v="282"/>
  </r>
  <r>
    <s v="Alpha Innovations"/>
    <x v="2"/>
    <s v="Men 18-24"/>
    <s v="60 days"/>
    <x v="2"/>
    <n v="0.11"/>
    <n v="5667"/>
    <n v="6.86"/>
    <n v="94"/>
    <n v="60.287234042553195"/>
    <s v="Los Angeles"/>
    <s v="Mandarin"/>
    <n v="852"/>
    <n v="2667"/>
    <n v="7"/>
    <s v="Tech Enthusiasts"/>
    <x v="283"/>
  </r>
  <r>
    <s v="Alpha Innovations"/>
    <x v="2"/>
    <s v="Men 25-34"/>
    <s v="30 days"/>
    <x v="0"/>
    <n v="7.0000000000000007E-2"/>
    <n v="6459"/>
    <n v="6.63"/>
    <n v="48"/>
    <n v="134.5625"/>
    <s v="Chicago"/>
    <s v="English"/>
    <n v="686"/>
    <n v="4450"/>
    <n v="8"/>
    <s v="Health &amp; Wellness"/>
    <x v="284"/>
  </r>
  <r>
    <s v="NexGen Systems"/>
    <x v="4"/>
    <s v="Men 25-34"/>
    <s v="45 days"/>
    <x v="1"/>
    <n v="0.14000000000000001"/>
    <n v="13236"/>
    <n v="5.53"/>
    <n v="82"/>
    <n v="161.41463414634146"/>
    <s v="Miami"/>
    <s v="German"/>
    <n v="586"/>
    <n v="4517"/>
    <n v="7"/>
    <s v="Fashionistas"/>
    <x v="285"/>
  </r>
  <r>
    <s v="Innovate Industries"/>
    <x v="0"/>
    <s v="Men 18-24"/>
    <s v="30 days"/>
    <x v="1"/>
    <n v="0.03"/>
    <n v="5284"/>
    <n v="5.03"/>
    <n v="29"/>
    <n v="182.20689655172413"/>
    <s v="Chicago"/>
    <s v="Mandarin"/>
    <n v="952"/>
    <n v="2557"/>
    <n v="4"/>
    <s v="Health &amp; Wellness"/>
    <x v="286"/>
  </r>
  <r>
    <s v="TechCorp"/>
    <x v="0"/>
    <s v="All Ages"/>
    <s v="30 days"/>
    <x v="5"/>
    <n v="0.06"/>
    <n v="18946"/>
    <n v="4.1900000000000004"/>
    <n v="53"/>
    <n v="357.47169811320754"/>
    <s v="Los Angeles"/>
    <s v="Spanish"/>
    <n v="879"/>
    <n v="7338"/>
    <n v="9"/>
    <s v="Tech Enthusiasts"/>
    <x v="287"/>
  </r>
  <r>
    <s v="Alpha Innovations"/>
    <x v="4"/>
    <s v="Women 25-34"/>
    <s v="30 days"/>
    <x v="1"/>
    <n v="0.03"/>
    <n v="12166"/>
    <n v="7.37"/>
    <n v="9"/>
    <n v="1351.7777777777778"/>
    <s v="Miami"/>
    <s v="Mandarin"/>
    <n v="300"/>
    <n v="3630"/>
    <n v="3"/>
    <s v="Outdoor Adventurers"/>
    <x v="288"/>
  </r>
  <r>
    <s v="NexGen Systems"/>
    <x v="1"/>
    <s v="All Ages"/>
    <s v="45 days"/>
    <x v="1"/>
    <n v="0.1"/>
    <n v="9712"/>
    <n v="7.81"/>
    <n v="56"/>
    <n v="173.42857142857142"/>
    <s v="Chicago"/>
    <s v="German"/>
    <n v="561"/>
    <n v="4344"/>
    <n v="2"/>
    <s v="Foodies"/>
    <x v="289"/>
  </r>
  <r>
    <s v="Alpha Innovations"/>
    <x v="3"/>
    <s v="Men 25-34"/>
    <s v="30 days"/>
    <x v="2"/>
    <n v="7.0000000000000007E-2"/>
    <n v="15297"/>
    <n v="3.39"/>
    <n v="13"/>
    <n v="1176.6923076923076"/>
    <s v="New York"/>
    <s v="Spanish"/>
    <n v="183"/>
    <n v="9524"/>
    <n v="2"/>
    <s v="Health &amp; Wellness"/>
    <x v="290"/>
  </r>
  <r>
    <s v="Innovate Industries"/>
    <x v="2"/>
    <s v="Men 18-24"/>
    <s v="30 days"/>
    <x v="0"/>
    <n v="0.01"/>
    <n v="14634"/>
    <n v="7.6"/>
    <n v="9"/>
    <n v="1626"/>
    <s v="New York"/>
    <s v="German"/>
    <n v="940"/>
    <n v="1243"/>
    <n v="2"/>
    <s v="Tech Enthusiasts"/>
    <x v="291"/>
  </r>
  <r>
    <s v="Alpha Innovations"/>
    <x v="0"/>
    <s v="Men 18-24"/>
    <s v="60 days"/>
    <x v="4"/>
    <n v="0.09"/>
    <n v="8872"/>
    <n v="2.4300000000000002"/>
    <n v="64"/>
    <n v="138.625"/>
    <s v="Houston"/>
    <s v="French"/>
    <n v="712"/>
    <n v="7928"/>
    <n v="2"/>
    <s v="Health &amp; Wellness"/>
    <x v="292"/>
  </r>
  <r>
    <s v="Innovate Industries"/>
    <x v="3"/>
    <s v="Women 25-34"/>
    <s v="30 days"/>
    <x v="4"/>
    <n v="0.1"/>
    <n v="17961"/>
    <n v="7.3"/>
    <n v="88"/>
    <n v="204.10227272727272"/>
    <s v="Chicago"/>
    <s v="Spanish"/>
    <n v="875"/>
    <n v="4868"/>
    <n v="8"/>
    <s v="Tech Enthusiasts"/>
    <x v="293"/>
  </r>
  <r>
    <s v="TechCorp"/>
    <x v="3"/>
    <s v="Men 18-24"/>
    <s v="30 days"/>
    <x v="1"/>
    <n v="0.05"/>
    <n v="17712"/>
    <n v="5.38"/>
    <n v="46"/>
    <n v="385.04347826086956"/>
    <s v="Los Angeles"/>
    <s v="Mandarin"/>
    <n v="924"/>
    <n v="3447"/>
    <n v="8"/>
    <s v="Health &amp; Wellness"/>
    <x v="294"/>
  </r>
  <r>
    <s v="TechCorp"/>
    <x v="0"/>
    <s v="Men 25-34"/>
    <s v="45 days"/>
    <x v="1"/>
    <n v="0.05"/>
    <n v="7211"/>
    <n v="5.0599999999999996"/>
    <n v="8"/>
    <n v="901.375"/>
    <s v="Chicago"/>
    <s v="Mandarin"/>
    <n v="161"/>
    <n v="1661"/>
    <n v="7"/>
    <s v="Health &amp; Wellness"/>
    <x v="295"/>
  </r>
  <r>
    <s v="Alpha Innovations"/>
    <x v="0"/>
    <s v="All Ages"/>
    <s v="30 days"/>
    <x v="4"/>
    <n v="0.13"/>
    <n v="16166"/>
    <n v="4"/>
    <n v="86"/>
    <n v="187.97674418604652"/>
    <s v="Los Angeles"/>
    <s v="English"/>
    <n v="664"/>
    <n v="3530"/>
    <n v="9"/>
    <s v="Foodies"/>
    <x v="296"/>
  </r>
  <r>
    <s v="NexGen Systems"/>
    <x v="3"/>
    <s v="All Ages"/>
    <s v="45 days"/>
    <x v="5"/>
    <n v="0.12"/>
    <n v="10873"/>
    <n v="7.18"/>
    <n v="99"/>
    <n v="109.82828282828282"/>
    <s v="Los Angeles"/>
    <s v="German"/>
    <n v="826"/>
    <n v="2108"/>
    <n v="9"/>
    <s v="Tech Enthusiasts"/>
    <x v="297"/>
  </r>
  <r>
    <s v="TechCorp"/>
    <x v="2"/>
    <s v="Men 18-24"/>
    <s v="60 days"/>
    <x v="0"/>
    <n v="0.09"/>
    <n v="12825"/>
    <n v="7.6"/>
    <n v="48"/>
    <n v="267.1875"/>
    <s v="Los Angeles"/>
    <s v="German"/>
    <n v="531"/>
    <n v="7957"/>
    <n v="6"/>
    <s v="Tech Enthusiasts"/>
    <x v="298"/>
  </r>
  <r>
    <s v="Alpha Innovations"/>
    <x v="3"/>
    <s v="Women 25-34"/>
    <s v="45 days"/>
    <x v="4"/>
    <n v="0.06"/>
    <n v="16406"/>
    <n v="7.64"/>
    <n v="27"/>
    <n v="607.62962962962968"/>
    <s v="New York"/>
    <s v="German"/>
    <n v="454"/>
    <n v="5999"/>
    <n v="10"/>
    <s v="Outdoor Adventurers"/>
    <x v="299"/>
  </r>
  <r>
    <s v="DataTech Solutions"/>
    <x v="2"/>
    <s v="Men 18-24"/>
    <s v="45 days"/>
    <x v="1"/>
    <n v="0.05"/>
    <n v="17330"/>
    <n v="5.51"/>
    <n v="22"/>
    <n v="787.72727272727275"/>
    <s v="Houston"/>
    <s v="French"/>
    <n v="435"/>
    <n v="3117"/>
    <n v="8"/>
    <s v="Tech Enthusiasts"/>
    <x v="300"/>
  </r>
  <r>
    <s v="DataTech Solutions"/>
    <x v="4"/>
    <s v="Women 25-34"/>
    <s v="45 days"/>
    <x v="2"/>
    <n v="0.08"/>
    <n v="6572"/>
    <n v="6.25"/>
    <n v="79"/>
    <n v="83.189873417721515"/>
    <s v="Chicago"/>
    <s v="English"/>
    <n v="984"/>
    <n v="9489"/>
    <n v="2"/>
    <s v="Foodies"/>
    <x v="301"/>
  </r>
  <r>
    <s v="Alpha Innovations"/>
    <x v="1"/>
    <s v="Women 25-34"/>
    <s v="30 days"/>
    <x v="4"/>
    <n v="0.05"/>
    <n v="19250"/>
    <n v="5.26"/>
    <n v="34"/>
    <n v="566.17647058823525"/>
    <s v="Chicago"/>
    <s v="German"/>
    <n v="689"/>
    <n v="3943"/>
    <n v="9"/>
    <s v="Foodies"/>
    <x v="302"/>
  </r>
  <r>
    <s v="TechCorp"/>
    <x v="3"/>
    <s v="Women 35-44"/>
    <s v="15 days"/>
    <x v="3"/>
    <n v="0.02"/>
    <n v="6872"/>
    <n v="5.92"/>
    <n v="5"/>
    <n v="1374.4"/>
    <s v="Los Angeles"/>
    <s v="English"/>
    <n v="237"/>
    <n v="6796"/>
    <n v="8"/>
    <s v="Health &amp; Wellness"/>
    <x v="303"/>
  </r>
  <r>
    <s v="TechCorp"/>
    <x v="1"/>
    <s v="Men 18-24"/>
    <s v="60 days"/>
    <x v="0"/>
    <n v="0.06"/>
    <n v="12642"/>
    <n v="6.4"/>
    <n v="7"/>
    <n v="1806"/>
    <s v="Los Angeles"/>
    <s v="German"/>
    <n v="123"/>
    <n v="6874"/>
    <n v="9"/>
    <s v="Outdoor Adventurers"/>
    <x v="304"/>
  </r>
  <r>
    <s v="Alpha Innovations"/>
    <x v="3"/>
    <s v="Men 25-34"/>
    <s v="45 days"/>
    <x v="4"/>
    <n v="0.09"/>
    <n v="18543"/>
    <n v="5.98"/>
    <n v="80"/>
    <n v="231.78749999999999"/>
    <s v="Chicago"/>
    <s v="Mandarin"/>
    <n v="892"/>
    <n v="4594"/>
    <n v="2"/>
    <s v="Fashionistas"/>
    <x v="305"/>
  </r>
  <r>
    <s v="Alpha Innovations"/>
    <x v="0"/>
    <s v="Men 18-24"/>
    <s v="45 days"/>
    <x v="1"/>
    <n v="0.14000000000000001"/>
    <n v="19586"/>
    <n v="7.22"/>
    <n v="26"/>
    <n v="753.30769230769226"/>
    <s v="New York"/>
    <s v="Mandarin"/>
    <n v="185"/>
    <n v="2494"/>
    <n v="1"/>
    <s v="Health &amp; Wellness"/>
    <x v="306"/>
  </r>
  <r>
    <s v="DataTech Solutions"/>
    <x v="2"/>
    <s v="Men 18-24"/>
    <s v="30 days"/>
    <x v="4"/>
    <n v="0.03"/>
    <n v="15818"/>
    <n v="6.56"/>
    <n v="9"/>
    <n v="1757.5555555555557"/>
    <s v="Los Angeles"/>
    <s v="Mandarin"/>
    <n v="298"/>
    <n v="5285"/>
    <n v="9"/>
    <s v="Tech Enthusiasts"/>
    <x v="307"/>
  </r>
  <r>
    <s v="Alpha Innovations"/>
    <x v="1"/>
    <s v="Men 25-34"/>
    <s v="60 days"/>
    <x v="2"/>
    <n v="0.1"/>
    <n v="13998"/>
    <n v="2.65"/>
    <n v="16"/>
    <n v="874.875"/>
    <s v="New York"/>
    <s v="Spanish"/>
    <n v="163"/>
    <n v="7555"/>
    <n v="7"/>
    <s v="Foodies"/>
    <x v="308"/>
  </r>
  <r>
    <s v="TechCorp"/>
    <x v="1"/>
    <s v="Women 35-44"/>
    <s v="60 days"/>
    <x v="4"/>
    <n v="0.04"/>
    <n v="15483"/>
    <n v="5.08"/>
    <n v="19"/>
    <n v="814.89473684210532"/>
    <s v="Miami"/>
    <s v="German"/>
    <n v="482"/>
    <n v="6460"/>
    <n v="4"/>
    <s v="Outdoor Adventurers"/>
    <x v="309"/>
  </r>
  <r>
    <s v="Innovate Industries"/>
    <x v="2"/>
    <s v="Men 18-24"/>
    <s v="60 days"/>
    <x v="3"/>
    <n v="0.1"/>
    <n v="13107"/>
    <n v="7.32"/>
    <n v="79"/>
    <n v="165.91139240506328"/>
    <s v="Miami"/>
    <s v="Mandarin"/>
    <n v="787"/>
    <n v="8888"/>
    <n v="9"/>
    <s v="Health &amp; Wellness"/>
    <x v="310"/>
  </r>
  <r>
    <s v="TechCorp"/>
    <x v="2"/>
    <s v="Women 35-44"/>
    <s v="30 days"/>
    <x v="5"/>
    <n v="0.1"/>
    <n v="7411"/>
    <n v="3.44"/>
    <n v="30"/>
    <n v="247.03333333333333"/>
    <s v="New York"/>
    <s v="Mandarin"/>
    <n v="304"/>
    <n v="9081"/>
    <n v="4"/>
    <s v="Tech Enthusiasts"/>
    <x v="311"/>
  </r>
  <r>
    <s v="TechCorp"/>
    <x v="3"/>
    <s v="Women 35-44"/>
    <s v="15 days"/>
    <x v="1"/>
    <n v="0.06"/>
    <n v="12384"/>
    <n v="4.63"/>
    <n v="8"/>
    <n v="1548"/>
    <s v="Miami"/>
    <s v="Spanish"/>
    <n v="135"/>
    <n v="3631"/>
    <n v="4"/>
    <s v="Outdoor Adventurers"/>
    <x v="312"/>
  </r>
  <r>
    <s v="NexGen Systems"/>
    <x v="2"/>
    <s v="All Ages"/>
    <s v="15 days"/>
    <x v="4"/>
    <n v="0.06"/>
    <n v="16012"/>
    <n v="5.7"/>
    <n v="19"/>
    <n v="842.73684210526312"/>
    <s v="Houston"/>
    <s v="French"/>
    <n v="319"/>
    <n v="1057"/>
    <n v="2"/>
    <s v="Foodies"/>
    <x v="313"/>
  </r>
  <r>
    <s v="DataTech Solutions"/>
    <x v="4"/>
    <s v="Women 35-44"/>
    <s v="60 days"/>
    <x v="3"/>
    <n v="0.04"/>
    <n v="12559"/>
    <n v="6.84"/>
    <n v="35"/>
    <n v="358.82857142857142"/>
    <s v="Los Angeles"/>
    <s v="Mandarin"/>
    <n v="877"/>
    <n v="8529"/>
    <n v="9"/>
    <s v="Health &amp; Wellness"/>
    <x v="314"/>
  </r>
  <r>
    <s v="TechCorp"/>
    <x v="2"/>
    <s v="Men 25-34"/>
    <s v="60 days"/>
    <x v="0"/>
    <n v="0.08"/>
    <n v="15037"/>
    <n v="7.22"/>
    <n v="42"/>
    <n v="358.02380952380952"/>
    <s v="Chicago"/>
    <s v="Spanish"/>
    <n v="528"/>
    <n v="6433"/>
    <n v="4"/>
    <s v="Tech Enthusiasts"/>
    <x v="315"/>
  </r>
  <r>
    <s v="NexGen Systems"/>
    <x v="2"/>
    <s v="Men 18-24"/>
    <s v="45 days"/>
    <x v="2"/>
    <n v="7.0000000000000007E-2"/>
    <n v="19215"/>
    <n v="3.35"/>
    <n v="18"/>
    <n v="1067.5"/>
    <s v="New York"/>
    <s v="German"/>
    <n v="262"/>
    <n v="5525"/>
    <n v="10"/>
    <s v="Foodies"/>
    <x v="316"/>
  </r>
  <r>
    <s v="DataTech Solutions"/>
    <x v="3"/>
    <s v="Men 18-24"/>
    <s v="15 days"/>
    <x v="3"/>
    <n v="7.0000000000000007E-2"/>
    <n v="19140"/>
    <n v="2.89"/>
    <n v="48"/>
    <n v="398.75"/>
    <s v="Houston"/>
    <s v="French"/>
    <n v="690"/>
    <n v="4040"/>
    <n v="4"/>
    <s v="Fashionistas"/>
    <x v="317"/>
  </r>
  <r>
    <s v="DataTech Solutions"/>
    <x v="0"/>
    <s v="Men 25-34"/>
    <s v="15 days"/>
    <x v="0"/>
    <n v="7.0000000000000007E-2"/>
    <n v="18569"/>
    <n v="6.68"/>
    <n v="49"/>
    <n v="378.9591836734694"/>
    <s v="New York"/>
    <s v="English"/>
    <n v="700"/>
    <n v="1827"/>
    <n v="1"/>
    <s v="Fashionistas"/>
    <x v="318"/>
  </r>
  <r>
    <s v="Alpha Innovations"/>
    <x v="0"/>
    <s v="Women 25-34"/>
    <s v="15 days"/>
    <x v="4"/>
    <n v="0.11"/>
    <n v="12858"/>
    <n v="7.96"/>
    <n v="83"/>
    <n v="154.9156626506024"/>
    <s v="Houston"/>
    <s v="Mandarin"/>
    <n v="757"/>
    <n v="1534"/>
    <n v="7"/>
    <s v="Tech Enthusiasts"/>
    <x v="319"/>
  </r>
  <r>
    <s v="NexGen Systems"/>
    <x v="3"/>
    <s v="Women 25-34"/>
    <s v="45 days"/>
    <x v="5"/>
    <n v="0.1"/>
    <n v="5789"/>
    <n v="5.26"/>
    <n v="72"/>
    <n v="80.402777777777771"/>
    <s v="Chicago"/>
    <s v="French"/>
    <n v="723"/>
    <n v="1413"/>
    <n v="1"/>
    <s v="Foodies"/>
    <x v="320"/>
  </r>
  <r>
    <s v="Innovate Industries"/>
    <x v="0"/>
    <s v="Men 25-34"/>
    <s v="45 days"/>
    <x v="1"/>
    <n v="0.04"/>
    <n v="5268"/>
    <n v="7.06"/>
    <n v="32"/>
    <n v="164.625"/>
    <s v="New York"/>
    <s v="Mandarin"/>
    <n v="810"/>
    <n v="4169"/>
    <n v="6"/>
    <s v="Outdoor Adventurers"/>
    <x v="321"/>
  </r>
  <r>
    <s v="NexGen Systems"/>
    <x v="1"/>
    <s v="Women 25-34"/>
    <s v="30 days"/>
    <x v="5"/>
    <n v="0.12"/>
    <n v="6817"/>
    <n v="6.33"/>
    <n v="85"/>
    <n v="80.2"/>
    <s v="Houston"/>
    <s v="Mandarin"/>
    <n v="707"/>
    <n v="6568"/>
    <n v="2"/>
    <s v="Fashionistas"/>
    <x v="322"/>
  </r>
  <r>
    <s v="NexGen Systems"/>
    <x v="3"/>
    <s v="Men 25-34"/>
    <s v="60 days"/>
    <x v="0"/>
    <n v="0.04"/>
    <n v="14062"/>
    <n v="7.34"/>
    <n v="18"/>
    <n v="781.22222222222217"/>
    <s v="Houston"/>
    <s v="French"/>
    <n v="454"/>
    <n v="7695"/>
    <n v="8"/>
    <s v="Fashionistas"/>
    <x v="323"/>
  </r>
  <r>
    <s v="TechCorp"/>
    <x v="2"/>
    <s v="Men 25-34"/>
    <s v="60 days"/>
    <x v="5"/>
    <n v="0.12"/>
    <n v="15221"/>
    <n v="2.0499999999999998"/>
    <n v="110"/>
    <n v="138.37272727272727"/>
    <s v="Chicago"/>
    <s v="German"/>
    <n v="917"/>
    <n v="4527"/>
    <n v="3"/>
    <s v="Fashionistas"/>
    <x v="324"/>
  </r>
  <r>
    <s v="NexGen Systems"/>
    <x v="1"/>
    <s v="Women 35-44"/>
    <s v="30 days"/>
    <x v="3"/>
    <n v="0.14000000000000001"/>
    <n v="12232"/>
    <n v="6.41"/>
    <n v="88"/>
    <n v="139"/>
    <s v="New York"/>
    <s v="English"/>
    <n v="626"/>
    <n v="9851"/>
    <n v="7"/>
    <s v="Foodies"/>
    <x v="325"/>
  </r>
  <r>
    <s v="Innovate Industries"/>
    <x v="2"/>
    <s v="All Ages"/>
    <s v="45 days"/>
    <x v="1"/>
    <n v="0.12"/>
    <n v="5958"/>
    <n v="2.59"/>
    <n v="99"/>
    <n v="60.18181818181818"/>
    <s v="Los Angeles"/>
    <s v="English"/>
    <n v="828"/>
    <n v="3551"/>
    <n v="9"/>
    <s v="Health &amp; Wellness"/>
    <x v="326"/>
  </r>
  <r>
    <s v="TechCorp"/>
    <x v="2"/>
    <s v="Men 25-34"/>
    <s v="60 days"/>
    <x v="3"/>
    <n v="0.03"/>
    <n v="5398"/>
    <n v="3.1"/>
    <n v="5"/>
    <n v="1079.5999999999999"/>
    <s v="Chicago"/>
    <s v="French"/>
    <n v="153"/>
    <n v="9517"/>
    <n v="3"/>
    <s v="Health &amp; Wellness"/>
    <x v="327"/>
  </r>
  <r>
    <s v="NexGen Systems"/>
    <x v="0"/>
    <s v="Women 35-44"/>
    <s v="15 days"/>
    <x v="3"/>
    <n v="0.12"/>
    <n v="9548"/>
    <n v="6.02"/>
    <n v="108"/>
    <n v="88.407407407407405"/>
    <s v="Houston"/>
    <s v="English"/>
    <n v="899"/>
    <n v="3715"/>
    <n v="9"/>
    <s v="Foodies"/>
    <x v="328"/>
  </r>
  <r>
    <s v="Innovate Industries"/>
    <x v="1"/>
    <s v="Women 35-44"/>
    <s v="45 days"/>
    <x v="4"/>
    <n v="0.14000000000000001"/>
    <n v="14064"/>
    <n v="7.9"/>
    <n v="82"/>
    <n v="171.51219512195121"/>
    <s v="Houston"/>
    <s v="French"/>
    <n v="584"/>
    <n v="9157"/>
    <n v="5"/>
    <s v="Foodies"/>
    <x v="329"/>
  </r>
  <r>
    <s v="TechCorp"/>
    <x v="0"/>
    <s v="All Ages"/>
    <s v="60 days"/>
    <x v="4"/>
    <n v="0.04"/>
    <n v="15933"/>
    <n v="7.12"/>
    <n v="11"/>
    <n v="1448.4545454545455"/>
    <s v="Miami"/>
    <s v="English"/>
    <n v="282"/>
    <n v="1479"/>
    <n v="5"/>
    <s v="Health &amp; Wellness"/>
    <x v="330"/>
  </r>
  <r>
    <s v="DataTech Solutions"/>
    <x v="0"/>
    <s v="Men 25-34"/>
    <s v="60 days"/>
    <x v="4"/>
    <n v="0.06"/>
    <n v="10076"/>
    <n v="2.9"/>
    <n v="38"/>
    <n v="265.15789473684208"/>
    <s v="New York"/>
    <s v="German"/>
    <n v="630"/>
    <n v="9179"/>
    <n v="4"/>
    <s v="Fashionistas"/>
    <x v="331"/>
  </r>
  <r>
    <s v="DataTech Solutions"/>
    <x v="0"/>
    <s v="Men 18-24"/>
    <s v="60 days"/>
    <x v="2"/>
    <n v="0.13"/>
    <n v="17684"/>
    <n v="6.11"/>
    <n v="121"/>
    <n v="146.14876033057851"/>
    <s v="Los Angeles"/>
    <s v="French"/>
    <n v="928"/>
    <n v="2958"/>
    <n v="1"/>
    <s v="Fashionistas"/>
    <x v="332"/>
  </r>
  <r>
    <s v="DataTech Solutions"/>
    <x v="1"/>
    <s v="Women 25-34"/>
    <s v="45 days"/>
    <x v="5"/>
    <n v="0.04"/>
    <n v="13320"/>
    <n v="3.84"/>
    <n v="6"/>
    <n v="2220"/>
    <s v="Houston"/>
    <s v="French"/>
    <n v="151"/>
    <n v="2207"/>
    <n v="1"/>
    <s v="Fashionistas"/>
    <x v="333"/>
  </r>
  <r>
    <s v="TechCorp"/>
    <x v="0"/>
    <s v="Men 25-34"/>
    <s v="45 days"/>
    <x v="4"/>
    <n v="0.09"/>
    <n v="8611"/>
    <n v="6.31"/>
    <n v="41"/>
    <n v="210.02439024390245"/>
    <s v="Chicago"/>
    <s v="Mandarin"/>
    <n v="450"/>
    <n v="1936"/>
    <n v="2"/>
    <s v="Outdoor Adventurers"/>
    <x v="334"/>
  </r>
  <r>
    <s v="TechCorp"/>
    <x v="1"/>
    <s v="All Ages"/>
    <s v="60 days"/>
    <x v="1"/>
    <n v="0.05"/>
    <n v="15886"/>
    <n v="4.4000000000000004"/>
    <n v="37"/>
    <n v="429.35135135135135"/>
    <s v="Houston"/>
    <s v="Mandarin"/>
    <n v="748"/>
    <n v="7670"/>
    <n v="6"/>
    <s v="Fashionistas"/>
    <x v="335"/>
  </r>
  <r>
    <s v="TechCorp"/>
    <x v="0"/>
    <s v="Women 35-44"/>
    <s v="45 days"/>
    <x v="3"/>
    <n v="0.1"/>
    <n v="5755"/>
    <n v="6.47"/>
    <n v="75"/>
    <n v="76.733333333333334"/>
    <s v="New York"/>
    <s v="Spanish"/>
    <n v="749"/>
    <n v="9719"/>
    <n v="1"/>
    <s v="Fashionistas"/>
    <x v="336"/>
  </r>
  <r>
    <s v="DataTech Solutions"/>
    <x v="4"/>
    <s v="Women 25-34"/>
    <s v="45 days"/>
    <x v="3"/>
    <n v="0.06"/>
    <n v="15732"/>
    <n v="7.78"/>
    <n v="44"/>
    <n v="357.54545454545456"/>
    <s v="Miami"/>
    <s v="French"/>
    <n v="730"/>
    <n v="1487"/>
    <n v="3"/>
    <s v="Health &amp; Wellness"/>
    <x v="337"/>
  </r>
  <r>
    <s v="NexGen Systems"/>
    <x v="2"/>
    <s v="Men 25-34"/>
    <s v="45 days"/>
    <x v="5"/>
    <n v="7.0000000000000007E-2"/>
    <n v="12207"/>
    <n v="6.33"/>
    <n v="31"/>
    <n v="393.77419354838707"/>
    <s v="New York"/>
    <s v="Spanish"/>
    <n v="441"/>
    <n v="5181"/>
    <n v="10"/>
    <s v="Health &amp; Wellness"/>
    <x v="338"/>
  </r>
  <r>
    <s v="Alpha Innovations"/>
    <x v="1"/>
    <s v="Women 35-44"/>
    <s v="15 days"/>
    <x v="3"/>
    <n v="0.03"/>
    <n v="11746"/>
    <n v="7.12"/>
    <n v="22"/>
    <n v="533.90909090909088"/>
    <s v="New York"/>
    <s v="German"/>
    <n v="743"/>
    <n v="8149"/>
    <n v="1"/>
    <s v="Fashionistas"/>
    <x v="339"/>
  </r>
  <r>
    <s v="NexGen Systems"/>
    <x v="2"/>
    <s v="Women 25-34"/>
    <s v="60 days"/>
    <x v="3"/>
    <n v="0.02"/>
    <n v="18051"/>
    <n v="2.67"/>
    <n v="18"/>
    <n v="1002.8333333333334"/>
    <s v="Chicago"/>
    <s v="English"/>
    <n v="923"/>
    <n v="2527"/>
    <n v="8"/>
    <s v="Foodies"/>
    <x v="340"/>
  </r>
  <r>
    <s v="Innovate Industries"/>
    <x v="2"/>
    <s v="Women 25-34"/>
    <s v="30 days"/>
    <x v="1"/>
    <n v="0.06"/>
    <n v="11711"/>
    <n v="2.73"/>
    <n v="46"/>
    <n v="254.58695652173913"/>
    <s v="Miami"/>
    <s v="English"/>
    <n v="770"/>
    <n v="8512"/>
    <n v="2"/>
    <s v="Foodies"/>
    <x v="341"/>
  </r>
  <r>
    <s v="Innovate Industries"/>
    <x v="2"/>
    <s v="Men 25-34"/>
    <s v="30 days"/>
    <x v="3"/>
    <n v="0.05"/>
    <n v="10113"/>
    <n v="3.53"/>
    <n v="28"/>
    <n v="361.17857142857144"/>
    <s v="New York"/>
    <s v="English"/>
    <n v="561"/>
    <n v="9183"/>
    <n v="2"/>
    <s v="Outdoor Adventurers"/>
    <x v="342"/>
  </r>
  <r>
    <s v="Alpha Innovations"/>
    <x v="3"/>
    <s v="All Ages"/>
    <s v="15 days"/>
    <x v="3"/>
    <n v="0.09"/>
    <n v="15370"/>
    <n v="6.41"/>
    <n v="17"/>
    <n v="904.11764705882354"/>
    <s v="New York"/>
    <s v="Mandarin"/>
    <n v="194"/>
    <n v="9244"/>
    <n v="6"/>
    <s v="Foodies"/>
    <x v="343"/>
  </r>
  <r>
    <s v="DataTech Solutions"/>
    <x v="2"/>
    <s v="All Ages"/>
    <s v="60 days"/>
    <x v="5"/>
    <n v="0.1"/>
    <n v="18592"/>
    <n v="6.37"/>
    <n v="50"/>
    <n v="371.84"/>
    <s v="New York"/>
    <s v="Spanish"/>
    <n v="497"/>
    <n v="4851"/>
    <n v="3"/>
    <s v="Tech Enthusiasts"/>
    <x v="344"/>
  </r>
  <r>
    <s v="NexGen Systems"/>
    <x v="1"/>
    <s v="Women 25-34"/>
    <s v="45 days"/>
    <x v="0"/>
    <n v="0.04"/>
    <n v="18587"/>
    <n v="3.23"/>
    <n v="21"/>
    <n v="885.09523809523807"/>
    <s v="Miami"/>
    <s v="Mandarin"/>
    <n v="535"/>
    <n v="7051"/>
    <n v="9"/>
    <s v="Tech Enthusiasts"/>
    <x v="345"/>
  </r>
  <r>
    <s v="Alpha Innovations"/>
    <x v="3"/>
    <s v="Women 35-44"/>
    <s v="30 days"/>
    <x v="2"/>
    <n v="0.11"/>
    <n v="8337"/>
    <n v="6.37"/>
    <n v="32"/>
    <n v="260.53125"/>
    <s v="Los Angeles"/>
    <s v="English"/>
    <n v="294"/>
    <n v="4158"/>
    <n v="5"/>
    <s v="Outdoor Adventurers"/>
    <x v="346"/>
  </r>
  <r>
    <s v="TechCorp"/>
    <x v="0"/>
    <s v="All Ages"/>
    <s v="30 days"/>
    <x v="3"/>
    <n v="0.03"/>
    <n v="8538"/>
    <n v="2.34"/>
    <n v="30"/>
    <n v="284.60000000000002"/>
    <s v="Chicago"/>
    <s v="French"/>
    <n v="995"/>
    <n v="6249"/>
    <n v="8"/>
    <s v="Health &amp; Wellness"/>
    <x v="347"/>
  </r>
  <r>
    <s v="DataTech Solutions"/>
    <x v="4"/>
    <s v="Men 25-34"/>
    <s v="45 days"/>
    <x v="4"/>
    <n v="7.0000000000000007E-2"/>
    <n v="16461"/>
    <n v="5.86"/>
    <n v="35"/>
    <n v="470.31428571428569"/>
    <s v="Los Angeles"/>
    <s v="English"/>
    <n v="493"/>
    <n v="7571"/>
    <n v="7"/>
    <s v="Outdoor Adventurers"/>
    <x v="348"/>
  </r>
  <r>
    <s v="NexGen Systems"/>
    <x v="4"/>
    <s v="Men 18-24"/>
    <s v="60 days"/>
    <x v="4"/>
    <n v="0.12"/>
    <n v="18504"/>
    <n v="7.98"/>
    <n v="21"/>
    <n v="881.14285714285711"/>
    <s v="Miami"/>
    <s v="Mandarin"/>
    <n v="178"/>
    <n v="2945"/>
    <n v="10"/>
    <s v="Foodies"/>
    <x v="349"/>
  </r>
  <r>
    <s v="TechCorp"/>
    <x v="4"/>
    <s v="Women 25-34"/>
    <s v="60 days"/>
    <x v="1"/>
    <n v="0.11"/>
    <n v="8070"/>
    <n v="2.59"/>
    <n v="96"/>
    <n v="84.0625"/>
    <s v="New York"/>
    <s v="French"/>
    <n v="874"/>
    <n v="2464"/>
    <n v="6"/>
    <s v="Foodies"/>
    <x v="350"/>
  </r>
  <r>
    <s v="DataTech Solutions"/>
    <x v="4"/>
    <s v="Men 25-34"/>
    <s v="15 days"/>
    <x v="1"/>
    <n v="7.0000000000000007E-2"/>
    <n v="17632"/>
    <n v="4.4400000000000004"/>
    <n v="23"/>
    <n v="766.60869565217388"/>
    <s v="Miami"/>
    <s v="English"/>
    <n v="331"/>
    <n v="8725"/>
    <n v="1"/>
    <s v="Tech Enthusiasts"/>
    <x v="351"/>
  </r>
  <r>
    <s v="Alpha Innovations"/>
    <x v="3"/>
    <s v="Women 25-34"/>
    <s v="60 days"/>
    <x v="1"/>
    <n v="0.08"/>
    <n v="8475"/>
    <n v="2.5099999999999998"/>
    <n v="57"/>
    <n v="148.68421052631578"/>
    <s v="Los Angeles"/>
    <s v="Spanish"/>
    <n v="715"/>
    <n v="3907"/>
    <n v="3"/>
    <s v="Tech Enthusiasts"/>
    <x v="352"/>
  </r>
  <r>
    <s v="Alpha Innovations"/>
    <x v="3"/>
    <s v="Men 25-34"/>
    <s v="45 days"/>
    <x v="0"/>
    <n v="0.03"/>
    <n v="7723"/>
    <n v="7.34"/>
    <n v="25"/>
    <n v="308.92"/>
    <s v="New York"/>
    <s v="Mandarin"/>
    <n v="849"/>
    <n v="4399"/>
    <n v="6"/>
    <s v="Fashionistas"/>
    <x v="353"/>
  </r>
  <r>
    <s v="NexGen Systems"/>
    <x v="3"/>
    <s v="Women 25-34"/>
    <s v="30 days"/>
    <x v="2"/>
    <n v="0.08"/>
    <n v="12332"/>
    <n v="7.03"/>
    <n v="35"/>
    <n v="352.34285714285716"/>
    <s v="Houston"/>
    <s v="Mandarin"/>
    <n v="433"/>
    <n v="3727"/>
    <n v="8"/>
    <s v="Foodies"/>
    <x v="354"/>
  </r>
  <r>
    <s v="NexGen Systems"/>
    <x v="4"/>
    <s v="Women 35-44"/>
    <s v="60 days"/>
    <x v="3"/>
    <n v="0.09"/>
    <n v="17032"/>
    <n v="3.51"/>
    <n v="84"/>
    <n v="202.76190476190476"/>
    <s v="Chicago"/>
    <s v="Mandarin"/>
    <n v="937"/>
    <n v="1223"/>
    <n v="1"/>
    <s v="Health &amp; Wellness"/>
    <x v="355"/>
  </r>
  <r>
    <s v="Alpha Innovations"/>
    <x v="3"/>
    <s v="Women 35-44"/>
    <s v="60 days"/>
    <x v="2"/>
    <n v="0.1"/>
    <n v="14247"/>
    <n v="5.83"/>
    <n v="81"/>
    <n v="175.88888888888889"/>
    <s v="Chicago"/>
    <s v="Spanish"/>
    <n v="806"/>
    <n v="2322"/>
    <n v="4"/>
    <s v="Foodies"/>
    <x v="356"/>
  </r>
  <r>
    <s v="TechCorp"/>
    <x v="1"/>
    <s v="Men 18-24"/>
    <s v="45 days"/>
    <x v="0"/>
    <n v="0.12"/>
    <n v="7611"/>
    <n v="5.61"/>
    <n v="54"/>
    <n v="140.94444444444446"/>
    <s v="Chicago"/>
    <s v="German"/>
    <n v="448"/>
    <n v="8154"/>
    <n v="5"/>
    <s v="Health &amp; Wellness"/>
    <x v="357"/>
  </r>
  <r>
    <s v="DataTech Solutions"/>
    <x v="1"/>
    <s v="All Ages"/>
    <s v="60 days"/>
    <x v="1"/>
    <n v="0.11"/>
    <n v="5274"/>
    <n v="4.8899999999999997"/>
    <n v="64"/>
    <n v="82.40625"/>
    <s v="Houston"/>
    <s v="German"/>
    <n v="578"/>
    <n v="5464"/>
    <n v="4"/>
    <s v="Foodies"/>
    <x v="358"/>
  </r>
  <r>
    <s v="TechCorp"/>
    <x v="0"/>
    <s v="Men 18-24"/>
    <s v="60 days"/>
    <x v="2"/>
    <n v="0.02"/>
    <n v="6884"/>
    <n v="2.5099999999999998"/>
    <n v="10"/>
    <n v="688.4"/>
    <s v="Houston"/>
    <s v="English"/>
    <n v="489"/>
    <n v="8299"/>
    <n v="4"/>
    <s v="Health &amp; Wellness"/>
    <x v="359"/>
  </r>
  <r>
    <s v="Innovate Industries"/>
    <x v="2"/>
    <s v="Women 25-34"/>
    <s v="30 days"/>
    <x v="2"/>
    <n v="0.14000000000000001"/>
    <n v="13877"/>
    <n v="5.22"/>
    <n v="21"/>
    <n v="660.80952380952385"/>
    <s v="Houston"/>
    <s v="Mandarin"/>
    <n v="153"/>
    <n v="8151"/>
    <n v="6"/>
    <s v="Foodies"/>
    <x v="360"/>
  </r>
  <r>
    <s v="NexGen Systems"/>
    <x v="1"/>
    <s v="Women 35-44"/>
    <s v="15 days"/>
    <x v="1"/>
    <n v="0.14000000000000001"/>
    <n v="9261"/>
    <n v="5.59"/>
    <n v="100"/>
    <n v="92.61"/>
    <s v="Miami"/>
    <s v="English"/>
    <n v="717"/>
    <n v="1473"/>
    <n v="10"/>
    <s v="Tech Enthusiasts"/>
    <x v="361"/>
  </r>
  <r>
    <s v="TechCorp"/>
    <x v="4"/>
    <s v="Men 25-34"/>
    <s v="30 days"/>
    <x v="1"/>
    <n v="0.13"/>
    <n v="11621"/>
    <n v="7.73"/>
    <n v="109"/>
    <n v="106.61467889908256"/>
    <s v="Houston"/>
    <s v="German"/>
    <n v="841"/>
    <n v="6327"/>
    <n v="4"/>
    <s v="Health &amp; Wellness"/>
    <x v="362"/>
  </r>
  <r>
    <s v="DataTech Solutions"/>
    <x v="0"/>
    <s v="All Ages"/>
    <s v="30 days"/>
    <x v="3"/>
    <n v="0.11"/>
    <n v="5969"/>
    <n v="5.85"/>
    <n v="27"/>
    <n v="221.07407407407408"/>
    <s v="New York"/>
    <s v="French"/>
    <n v="242"/>
    <n v="2653"/>
    <n v="9"/>
    <s v="Foodies"/>
    <x v="363"/>
  </r>
  <r>
    <s v="Innovate Industries"/>
    <x v="0"/>
    <s v="Men 25-34"/>
    <s v="60 days"/>
    <x v="3"/>
    <n v="0.04"/>
    <n v="14823"/>
    <n v="4.9400000000000004"/>
    <n v="16"/>
    <n v="926.4375"/>
    <s v="Los Angeles"/>
    <s v="English"/>
    <n v="390"/>
    <n v="4841"/>
    <n v="2"/>
    <s v="Foodies"/>
    <x v="364"/>
  </r>
  <r>
    <s v="DataTech Solutions"/>
    <x v="2"/>
    <s v="Men 25-34"/>
    <s v="15 days"/>
    <x v="4"/>
    <n v="0.14000000000000001"/>
    <n v="5905"/>
    <n v="5.3"/>
    <n v="120"/>
    <n v="49.208333333333336"/>
    <s v="Miami"/>
    <s v="Spanish"/>
    <n v="858"/>
    <n v="6286"/>
    <n v="9"/>
    <s v="Fashionistas"/>
    <x v="0"/>
  </r>
  <r>
    <s v="NexGen Systems"/>
    <x v="3"/>
    <s v="All Ages"/>
    <s v="60 days"/>
    <x v="0"/>
    <n v="0.03"/>
    <n v="6671"/>
    <n v="7.49"/>
    <n v="6"/>
    <n v="1111.8333333333333"/>
    <s v="Chicago"/>
    <s v="French"/>
    <n v="205"/>
    <n v="5456"/>
    <n v="1"/>
    <s v="Fashionistas"/>
    <x v="1"/>
  </r>
  <r>
    <s v="Innovate Industries"/>
    <x v="4"/>
    <s v="Men 25-34"/>
    <s v="60 days"/>
    <x v="0"/>
    <n v="0.12"/>
    <n v="8323"/>
    <n v="4.21"/>
    <n v="63"/>
    <n v="132.11111111111111"/>
    <s v="New York"/>
    <s v="Spanish"/>
    <n v="529"/>
    <n v="8603"/>
    <n v="8"/>
    <s v="Fashionistas"/>
    <x v="2"/>
  </r>
  <r>
    <s v="NexGen Systems"/>
    <x v="3"/>
    <s v="All Ages"/>
    <s v="15 days"/>
    <x v="5"/>
    <n v="0.08"/>
    <n v="19656"/>
    <n v="4.3600000000000003"/>
    <n v="40"/>
    <n v="491.4"/>
    <s v="Houston"/>
    <s v="Spanish"/>
    <n v="505"/>
    <n v="6759"/>
    <n v="8"/>
    <s v="Outdoor Adventurers"/>
    <x v="3"/>
  </r>
  <r>
    <s v="NexGen Systems"/>
    <x v="2"/>
    <s v="Men 25-34"/>
    <s v="15 days"/>
    <x v="2"/>
    <n v="0.13"/>
    <n v="9755"/>
    <n v="3.64"/>
    <n v="63"/>
    <n v="154.84126984126985"/>
    <s v="Chicago"/>
    <s v="Spanish"/>
    <n v="483"/>
    <n v="2005"/>
    <n v="6"/>
    <s v="Foodies"/>
    <x v="4"/>
  </r>
  <r>
    <s v="NexGen Systems"/>
    <x v="1"/>
    <s v="Women 35-44"/>
    <s v="60 days"/>
    <x v="0"/>
    <n v="0.1"/>
    <n v="7016"/>
    <n v="6.38"/>
    <n v="33"/>
    <n v="212.60606060606059"/>
    <s v="Houston"/>
    <s v="German"/>
    <n v="332"/>
    <n v="9967"/>
    <n v="9"/>
    <s v="Fashionistas"/>
    <x v="5"/>
  </r>
  <r>
    <s v="TechCorp"/>
    <x v="2"/>
    <s v="All Ages"/>
    <s v="30 days"/>
    <x v="1"/>
    <n v="0.08"/>
    <n v="6098"/>
    <n v="5.45"/>
    <n v="74"/>
    <n v="82.405405405405403"/>
    <s v="Los Angeles"/>
    <s v="Spanish"/>
    <n v="925"/>
    <n v="5747"/>
    <n v="8"/>
    <s v="Foodies"/>
    <x v="6"/>
  </r>
  <r>
    <s v="DataTech Solutions"/>
    <x v="3"/>
    <s v="Men 18-24"/>
    <s v="15 days"/>
    <x v="4"/>
    <n v="0.04"/>
    <n v="7328"/>
    <n v="5.83"/>
    <n v="8"/>
    <n v="916"/>
    <s v="Miami"/>
    <s v="Mandarin"/>
    <n v="191"/>
    <n v="7371"/>
    <n v="3"/>
    <s v="Foodies"/>
    <x v="7"/>
  </r>
  <r>
    <s v="TechCorp"/>
    <x v="1"/>
    <s v="Women 35-44"/>
    <s v="45 days"/>
    <x v="1"/>
    <n v="7.0000000000000007E-2"/>
    <n v="7477"/>
    <n v="6.9"/>
    <n v="59"/>
    <n v="126.72881355932203"/>
    <s v="Chicago"/>
    <s v="German"/>
    <n v="840"/>
    <n v="2772"/>
    <n v="6"/>
    <s v="Fashionistas"/>
    <x v="8"/>
  </r>
  <r>
    <s v="TechCorp"/>
    <x v="1"/>
    <s v="Women 35-44"/>
    <s v="30 days"/>
    <x v="4"/>
    <n v="0.1"/>
    <n v="17624"/>
    <n v="2.93"/>
    <n v="96"/>
    <n v="183.58333333333334"/>
    <s v="New York"/>
    <s v="Mandarin"/>
    <n v="962"/>
    <n v="6010"/>
    <n v="7"/>
    <s v="Tech Enthusiasts"/>
    <x v="9"/>
  </r>
  <r>
    <s v="DataTech Solutions"/>
    <x v="2"/>
    <s v="All Ages"/>
    <s v="30 days"/>
    <x v="0"/>
    <n v="0.09"/>
    <n v="19479"/>
    <n v="6.86"/>
    <n v="17"/>
    <n v="1145.8235294117646"/>
    <s v="Chicago"/>
    <s v="Spanish"/>
    <n v="193"/>
    <n v="9863"/>
    <n v="10"/>
    <s v="Fashionistas"/>
    <x v="10"/>
  </r>
  <r>
    <s v="Innovate Industries"/>
    <x v="3"/>
    <s v="Men 25-34"/>
    <s v="45 days"/>
    <x v="4"/>
    <n v="0.13"/>
    <n v="7259"/>
    <n v="3.21"/>
    <n v="56"/>
    <n v="129.625"/>
    <s v="Chicago"/>
    <s v="French"/>
    <n v="430"/>
    <n v="7516"/>
    <n v="4"/>
    <s v="Outdoor Adventurers"/>
    <x v="11"/>
  </r>
  <r>
    <s v="DataTech Solutions"/>
    <x v="2"/>
    <s v="All Ages"/>
    <s v="30 days"/>
    <x v="5"/>
    <n v="0.11"/>
    <n v="16424"/>
    <n v="2.5099999999999998"/>
    <n v="45"/>
    <n v="364.97777777777776"/>
    <s v="Los Angeles"/>
    <s v="Mandarin"/>
    <n v="407"/>
    <n v="6616"/>
    <n v="5"/>
    <s v="Health &amp; Wellness"/>
    <x v="12"/>
  </r>
  <r>
    <s v="Alpha Innovations"/>
    <x v="2"/>
    <s v="Women 25-34"/>
    <s v="30 days"/>
    <x v="5"/>
    <n v="0.06"/>
    <n v="16861"/>
    <n v="2.56"/>
    <n v="28"/>
    <n v="602.17857142857144"/>
    <s v="New York"/>
    <s v="French"/>
    <n v="471"/>
    <n v="4758"/>
    <n v="2"/>
    <s v="Outdoor Adventurers"/>
    <x v="13"/>
  </r>
  <r>
    <s v="NexGen Systems"/>
    <x v="2"/>
    <s v="Men 25-34"/>
    <s v="30 days"/>
    <x v="4"/>
    <n v="0.15"/>
    <n v="9178"/>
    <n v="6"/>
    <n v="102"/>
    <n v="89.980392156862749"/>
    <s v="New York"/>
    <s v="French"/>
    <n v="678"/>
    <n v="2999"/>
    <n v="4"/>
    <s v="Outdoor Adventurers"/>
    <x v="14"/>
  </r>
  <r>
    <s v="NexGen Systems"/>
    <x v="4"/>
    <s v="Women 25-34"/>
    <s v="15 days"/>
    <x v="3"/>
    <n v="0.13"/>
    <n v="10519"/>
    <n v="3.3"/>
    <n v="114"/>
    <n v="92.271929824561397"/>
    <s v="Houston"/>
    <s v="French"/>
    <n v="877"/>
    <n v="9053"/>
    <n v="10"/>
    <s v="Fashionistas"/>
    <x v="15"/>
  </r>
  <r>
    <s v="TechCorp"/>
    <x v="3"/>
    <s v="Men 18-24"/>
    <s v="15 days"/>
    <x v="3"/>
    <n v="0.03"/>
    <n v="18937"/>
    <n v="5.7"/>
    <n v="4"/>
    <n v="4734.25"/>
    <s v="Chicago"/>
    <s v="English"/>
    <n v="117"/>
    <n v="4801"/>
    <n v="8"/>
    <s v="Health &amp; Wellness"/>
    <x v="16"/>
  </r>
  <r>
    <s v="NexGen Systems"/>
    <x v="3"/>
    <s v="Women 35-44"/>
    <s v="45 days"/>
    <x v="0"/>
    <n v="0.1"/>
    <n v="8730"/>
    <n v="4.22"/>
    <n v="66"/>
    <n v="132.27272727272728"/>
    <s v="Houston"/>
    <s v="French"/>
    <n v="661"/>
    <n v="1485"/>
    <n v="7"/>
    <s v="Health &amp; Wellness"/>
    <x v="17"/>
  </r>
  <r>
    <s v="Alpha Innovations"/>
    <x v="1"/>
    <s v="Men 25-34"/>
    <s v="45 days"/>
    <x v="0"/>
    <n v="0.11"/>
    <n v="15988"/>
    <n v="5.52"/>
    <n v="57"/>
    <n v="280.49122807017545"/>
    <s v="Chicago"/>
    <s v="French"/>
    <n v="516"/>
    <n v="5914"/>
    <n v="8"/>
    <s v="Outdoor Adventurers"/>
    <x v="18"/>
  </r>
  <r>
    <s v="TechCorp"/>
    <x v="3"/>
    <s v="Women 35-44"/>
    <s v="30 days"/>
    <x v="1"/>
    <n v="0.12"/>
    <n v="6598"/>
    <n v="3.76"/>
    <n v="23"/>
    <n v="286.86956521739131"/>
    <s v="Chicago"/>
    <s v="German"/>
    <n v="195"/>
    <n v="2047"/>
    <n v="10"/>
    <s v="Health &amp; Wellness"/>
    <x v="19"/>
  </r>
  <r>
    <s v="Alpha Innovations"/>
    <x v="4"/>
    <s v="Women 25-34"/>
    <s v="45 days"/>
    <x v="4"/>
    <n v="0.05"/>
    <n v="9029"/>
    <n v="6.47"/>
    <n v="44"/>
    <n v="205.20454545454547"/>
    <s v="Los Angeles"/>
    <s v="French"/>
    <n v="885"/>
    <n v="5769"/>
    <n v="7"/>
    <s v="Tech Enthusiasts"/>
    <x v="20"/>
  </r>
  <r>
    <s v="Alpha Innovations"/>
    <x v="4"/>
    <s v="All Ages"/>
    <s v="45 days"/>
    <x v="4"/>
    <n v="0.09"/>
    <n v="10673"/>
    <n v="2.08"/>
    <n v="32"/>
    <n v="333.53125"/>
    <s v="Los Angeles"/>
    <s v="Spanish"/>
    <n v="357"/>
    <n v="9849"/>
    <n v="8"/>
    <s v="Health &amp; Wellness"/>
    <x v="21"/>
  </r>
  <r>
    <s v="Innovate Industries"/>
    <x v="0"/>
    <s v="Men 18-24"/>
    <s v="60 days"/>
    <x v="4"/>
    <n v="0.04"/>
    <n v="5982"/>
    <n v="4.55"/>
    <n v="33"/>
    <n v="181.27272727272728"/>
    <s v="Houston"/>
    <s v="French"/>
    <n v="815"/>
    <n v="9017"/>
    <n v="2"/>
    <s v="Health &amp; Wellness"/>
    <x v="22"/>
  </r>
  <r>
    <s v="DataTech Solutions"/>
    <x v="3"/>
    <s v="Men 18-24"/>
    <s v="30 days"/>
    <x v="5"/>
    <n v="0.02"/>
    <n v="8153"/>
    <n v="2.2200000000000002"/>
    <n v="17"/>
    <n v="479.58823529411762"/>
    <s v="Los Angeles"/>
    <s v="French"/>
    <n v="862"/>
    <n v="3095"/>
    <n v="5"/>
    <s v="Foodies"/>
    <x v="23"/>
  </r>
  <r>
    <s v="DataTech Solutions"/>
    <x v="2"/>
    <s v="Women 25-34"/>
    <s v="15 days"/>
    <x v="2"/>
    <n v="0.04"/>
    <n v="14898"/>
    <n v="3.06"/>
    <n v="13"/>
    <n v="1146"/>
    <s v="Houston"/>
    <s v="English"/>
    <n v="337"/>
    <n v="8019"/>
    <n v="5"/>
    <s v="Tech Enthusiasts"/>
    <x v="24"/>
  </r>
  <r>
    <s v="NexGen Systems"/>
    <x v="4"/>
    <s v="Men 25-34"/>
    <s v="30 days"/>
    <x v="0"/>
    <n v="0.14000000000000001"/>
    <n v="12508"/>
    <n v="6.31"/>
    <n v="113"/>
    <n v="110.69026548672566"/>
    <s v="Miami"/>
    <s v="German"/>
    <n v="807"/>
    <n v="5999"/>
    <n v="9"/>
    <s v="Outdoor Adventurers"/>
    <x v="25"/>
  </r>
  <r>
    <s v="TechCorp"/>
    <x v="1"/>
    <s v="Men 18-24"/>
    <s v="30 days"/>
    <x v="1"/>
    <n v="0.08"/>
    <n v="11455"/>
    <n v="4.24"/>
    <n v="12"/>
    <n v="954.58333333333337"/>
    <s v="Los Angeles"/>
    <s v="English"/>
    <n v="146"/>
    <n v="6555"/>
    <n v="3"/>
    <s v="Foodies"/>
    <x v="26"/>
  </r>
  <r>
    <s v="DataTech Solutions"/>
    <x v="0"/>
    <s v="Men 25-34"/>
    <s v="60 days"/>
    <x v="1"/>
    <n v="0.1"/>
    <n v="6635"/>
    <n v="6.32"/>
    <n v="67"/>
    <n v="99.02985074626865"/>
    <s v="Chicago"/>
    <s v="French"/>
    <n v="666"/>
    <n v="3019"/>
    <n v="2"/>
    <s v="Tech Enthusiasts"/>
    <x v="27"/>
  </r>
  <r>
    <s v="TechCorp"/>
    <x v="2"/>
    <s v="Men 25-34"/>
    <s v="45 days"/>
    <x v="2"/>
    <n v="0.12"/>
    <n v="18576"/>
    <n v="4.62"/>
    <n v="27"/>
    <n v="688"/>
    <s v="Chicago"/>
    <s v="French"/>
    <n v="225"/>
    <n v="9248"/>
    <n v="6"/>
    <s v="Health &amp; Wellness"/>
    <x v="28"/>
  </r>
  <r>
    <s v="DataTech Solutions"/>
    <x v="4"/>
    <s v="Men 25-34"/>
    <s v="45 days"/>
    <x v="5"/>
    <n v="0.1"/>
    <n v="16668"/>
    <n v="6.16"/>
    <n v="30"/>
    <n v="555.6"/>
    <s v="Chicago"/>
    <s v="Spanish"/>
    <n v="299"/>
    <n v="7939"/>
    <n v="3"/>
    <s v="Health &amp; Wellness"/>
    <x v="29"/>
  </r>
  <r>
    <s v="DataTech Solutions"/>
    <x v="4"/>
    <s v="Men 18-24"/>
    <s v="60 days"/>
    <x v="0"/>
    <n v="0.08"/>
    <n v="11630"/>
    <n v="6.29"/>
    <n v="76"/>
    <n v="153.02631578947367"/>
    <s v="Chicago"/>
    <s v="Mandarin"/>
    <n v="947"/>
    <n v="6577"/>
    <n v="10"/>
    <s v="Outdoor Adventurers"/>
    <x v="30"/>
  </r>
  <r>
    <s v="Innovate Industries"/>
    <x v="4"/>
    <s v="Women 35-44"/>
    <s v="45 days"/>
    <x v="1"/>
    <n v="7.0000000000000007E-2"/>
    <n v="15686"/>
    <n v="2.79"/>
    <n v="56"/>
    <n v="280.10714285714283"/>
    <s v="Miami"/>
    <s v="English"/>
    <n v="804"/>
    <n v="9298"/>
    <n v="7"/>
    <s v="Fashionistas"/>
    <x v="31"/>
  </r>
  <r>
    <s v="Innovate Industries"/>
    <x v="0"/>
    <s v="Men 25-34"/>
    <s v="45 days"/>
    <x v="1"/>
    <n v="7.0000000000000007E-2"/>
    <n v="15782"/>
    <n v="2.36"/>
    <n v="18"/>
    <n v="876.77777777777783"/>
    <s v="Houston"/>
    <s v="Spanish"/>
    <n v="258"/>
    <n v="4316"/>
    <n v="3"/>
    <s v="Outdoor Adventurers"/>
    <x v="32"/>
  </r>
  <r>
    <s v="Innovate Industries"/>
    <x v="0"/>
    <s v="Women 35-44"/>
    <s v="45 days"/>
    <x v="2"/>
    <n v="0.13"/>
    <n v="14242"/>
    <n v="2.1"/>
    <n v="23"/>
    <n v="619.21739130434787"/>
    <s v="Miami"/>
    <s v="French"/>
    <n v="177"/>
    <n v="6454"/>
    <n v="9"/>
    <s v="Health &amp; Wellness"/>
    <x v="33"/>
  </r>
  <r>
    <s v="Innovate Industries"/>
    <x v="4"/>
    <s v="Women 25-34"/>
    <s v="60 days"/>
    <x v="4"/>
    <n v="0.13"/>
    <n v="13988"/>
    <n v="3.38"/>
    <n v="47"/>
    <n v="297.61702127659572"/>
    <s v="Houston"/>
    <s v="German"/>
    <n v="358"/>
    <n v="1919"/>
    <n v="7"/>
    <s v="Health &amp; Wellness"/>
    <x v="34"/>
  </r>
  <r>
    <s v="Alpha Innovations"/>
    <x v="0"/>
    <s v="All Ages"/>
    <s v="15 days"/>
    <x v="3"/>
    <n v="0.04"/>
    <n v="10529"/>
    <n v="2.79"/>
    <n v="12"/>
    <n v="877.41666666666663"/>
    <s v="Miami"/>
    <s v="Mandarin"/>
    <n v="306"/>
    <n v="5059"/>
    <n v="3"/>
    <s v="Foodies"/>
    <x v="35"/>
  </r>
  <r>
    <s v="NexGen Systems"/>
    <x v="0"/>
    <s v="Men 25-34"/>
    <s v="30 days"/>
    <x v="5"/>
    <n v="0.02"/>
    <n v="8748"/>
    <n v="6.46"/>
    <n v="7"/>
    <n v="1249.7142857142858"/>
    <s v="Miami"/>
    <s v="Mandarin"/>
    <n v="336"/>
    <n v="5931"/>
    <n v="5"/>
    <s v="Tech Enthusiasts"/>
    <x v="36"/>
  </r>
  <r>
    <s v="Innovate Industries"/>
    <x v="4"/>
    <s v="Men 25-34"/>
    <s v="15 days"/>
    <x v="1"/>
    <n v="0.12"/>
    <n v="6519"/>
    <n v="6.9"/>
    <n v="47"/>
    <n v="138.70212765957447"/>
    <s v="Chicago"/>
    <s v="English"/>
    <n v="390"/>
    <n v="1028"/>
    <n v="7"/>
    <s v="Foodies"/>
    <x v="37"/>
  </r>
  <r>
    <s v="TechCorp"/>
    <x v="3"/>
    <s v="Women 35-44"/>
    <s v="30 days"/>
    <x v="3"/>
    <n v="0.06"/>
    <n v="6676"/>
    <n v="6.53"/>
    <n v="22"/>
    <n v="303.45454545454544"/>
    <s v="Chicago"/>
    <s v="German"/>
    <n v="366"/>
    <n v="1908"/>
    <n v="3"/>
    <s v="Outdoor Adventurers"/>
    <x v="38"/>
  </r>
  <r>
    <s v="Innovate Industries"/>
    <x v="4"/>
    <s v="Women 25-34"/>
    <s v="30 days"/>
    <x v="2"/>
    <n v="0.1"/>
    <n v="9773"/>
    <n v="6.09"/>
    <n v="12"/>
    <n v="814.41666666666663"/>
    <s v="Miami"/>
    <s v="German"/>
    <n v="115"/>
    <n v="7009"/>
    <n v="5"/>
    <s v="Foodies"/>
    <x v="39"/>
  </r>
  <r>
    <s v="Innovate Industries"/>
    <x v="0"/>
    <s v="Men 18-24"/>
    <s v="45 days"/>
    <x v="2"/>
    <n v="0.01"/>
    <n v="15509"/>
    <n v="2.5299999999999998"/>
    <n v="2"/>
    <n v="7754.5"/>
    <s v="Chicago"/>
    <s v="Mandarin"/>
    <n v="244"/>
    <n v="3592"/>
    <n v="10"/>
    <s v="Fashionistas"/>
    <x v="40"/>
  </r>
  <r>
    <s v="Innovate Industries"/>
    <x v="2"/>
    <s v="All Ages"/>
    <s v="60 days"/>
    <x v="1"/>
    <n v="0.02"/>
    <n v="5201"/>
    <n v="6.71"/>
    <n v="17"/>
    <n v="305.94117647058823"/>
    <s v="Houston"/>
    <s v="Spanish"/>
    <n v="858"/>
    <n v="4375"/>
    <n v="1"/>
    <s v="Outdoor Adventurers"/>
    <x v="41"/>
  </r>
  <r>
    <s v="NexGen Systems"/>
    <x v="3"/>
    <s v="All Ages"/>
    <s v="15 days"/>
    <x v="0"/>
    <n v="0.1"/>
    <n v="19489"/>
    <n v="5.44"/>
    <n v="44"/>
    <n v="442.93181818181819"/>
    <s v="New York"/>
    <s v="German"/>
    <n v="438"/>
    <n v="8609"/>
    <n v="5"/>
    <s v="Foodies"/>
    <x v="42"/>
  </r>
  <r>
    <s v="Innovate Industries"/>
    <x v="1"/>
    <s v="Men 18-24"/>
    <s v="45 days"/>
    <x v="1"/>
    <n v="0.1"/>
    <n v="17724"/>
    <n v="6.22"/>
    <n v="62"/>
    <n v="285.87096774193549"/>
    <s v="Miami"/>
    <s v="German"/>
    <n v="617"/>
    <n v="4561"/>
    <n v="9"/>
    <s v="Foodies"/>
    <x v="43"/>
  </r>
  <r>
    <s v="DataTech Solutions"/>
    <x v="2"/>
    <s v="Women 25-34"/>
    <s v="45 days"/>
    <x v="4"/>
    <n v="0.01"/>
    <n v="17898"/>
    <n v="5.98"/>
    <n v="2"/>
    <n v="8949"/>
    <s v="Chicago"/>
    <s v="French"/>
    <n v="160"/>
    <n v="1918"/>
    <n v="10"/>
    <s v="Tech Enthusiasts"/>
    <x v="44"/>
  </r>
  <r>
    <s v="Alpha Innovations"/>
    <x v="4"/>
    <s v="Men 18-24"/>
    <s v="45 days"/>
    <x v="3"/>
    <n v="0.14000000000000001"/>
    <n v="15748"/>
    <n v="7.5"/>
    <n v="133"/>
    <n v="118.40601503759399"/>
    <s v="Houston"/>
    <s v="German"/>
    <n v="949"/>
    <n v="4203"/>
    <n v="6"/>
    <s v="Health &amp; Wellness"/>
    <x v="45"/>
  </r>
  <r>
    <s v="NexGen Systems"/>
    <x v="3"/>
    <s v="Women 25-34"/>
    <s v="30 days"/>
    <x v="5"/>
    <n v="0.02"/>
    <n v="6333"/>
    <n v="2.4700000000000002"/>
    <n v="3"/>
    <n v="2111"/>
    <s v="Chicago"/>
    <s v="English"/>
    <n v="147"/>
    <n v="5362"/>
    <n v="4"/>
    <s v="Health &amp; Wellness"/>
    <x v="46"/>
  </r>
  <r>
    <s v="NexGen Systems"/>
    <x v="0"/>
    <s v="Women 25-34"/>
    <s v="45 days"/>
    <x v="1"/>
    <n v="0.1"/>
    <n v="16717"/>
    <n v="3.91"/>
    <n v="37"/>
    <n v="451.81081081081084"/>
    <s v="Chicago"/>
    <s v="French"/>
    <n v="369"/>
    <n v="2517"/>
    <n v="3"/>
    <s v="Tech Enthusiasts"/>
    <x v="47"/>
  </r>
  <r>
    <s v="Innovate Industries"/>
    <x v="4"/>
    <s v="Women 25-34"/>
    <s v="30 days"/>
    <x v="4"/>
    <n v="0.02"/>
    <n v="9183"/>
    <n v="3.24"/>
    <n v="8"/>
    <n v="1147.875"/>
    <s v="Houston"/>
    <s v="French"/>
    <n v="379"/>
    <n v="4327"/>
    <n v="8"/>
    <s v="Health &amp; Wellness"/>
    <x v="48"/>
  </r>
  <r>
    <s v="Alpha Innovations"/>
    <x v="1"/>
    <s v="Men 25-34"/>
    <s v="45 days"/>
    <x v="5"/>
    <n v="0.1"/>
    <n v="17841"/>
    <n v="5.64"/>
    <n v="68"/>
    <n v="262.36764705882354"/>
    <s v="Miami"/>
    <s v="French"/>
    <n v="677"/>
    <n v="4362"/>
    <n v="7"/>
    <s v="Fashionistas"/>
    <x v="49"/>
  </r>
  <r>
    <s v="TechCorp"/>
    <x v="0"/>
    <s v="Men 25-34"/>
    <s v="60 days"/>
    <x v="1"/>
    <n v="0.08"/>
    <n v="11157"/>
    <n v="5.6"/>
    <n v="56"/>
    <n v="199.23214285714286"/>
    <s v="Miami"/>
    <s v="Mandarin"/>
    <n v="697"/>
    <n v="6910"/>
    <n v="8"/>
    <s v="Health &amp; Wellness"/>
    <x v="50"/>
  </r>
  <r>
    <s v="NexGen Systems"/>
    <x v="3"/>
    <s v="Men 25-34"/>
    <s v="60 days"/>
    <x v="0"/>
    <n v="0.01"/>
    <n v="11837"/>
    <n v="2.54"/>
    <n v="4"/>
    <n v="2959.25"/>
    <s v="Miami"/>
    <s v="Mandarin"/>
    <n v="423"/>
    <n v="8525"/>
    <n v="10"/>
    <s v="Fashionistas"/>
    <x v="51"/>
  </r>
  <r>
    <s v="Innovate Industries"/>
    <x v="1"/>
    <s v="All Ages"/>
    <s v="60 days"/>
    <x v="5"/>
    <n v="0.05"/>
    <n v="6987"/>
    <n v="6.51"/>
    <n v="38"/>
    <n v="183.86842105263159"/>
    <s v="Houston"/>
    <s v="French"/>
    <n v="767"/>
    <n v="9372"/>
    <n v="3"/>
    <s v="Fashionistas"/>
    <x v="52"/>
  </r>
  <r>
    <s v="NexGen Systems"/>
    <x v="1"/>
    <s v="Men 18-24"/>
    <s v="30 days"/>
    <x v="0"/>
    <n v="0.05"/>
    <n v="13103"/>
    <n v="2.35"/>
    <n v="42"/>
    <n v="311.97619047619048"/>
    <s v="Chicago"/>
    <s v="French"/>
    <n v="841"/>
    <n v="3419"/>
    <n v="1"/>
    <s v="Tech Enthusiasts"/>
    <x v="53"/>
  </r>
  <r>
    <s v="NexGen Systems"/>
    <x v="4"/>
    <s v="Women 25-34"/>
    <s v="60 days"/>
    <x v="5"/>
    <n v="0.15"/>
    <n v="12802"/>
    <n v="2.87"/>
    <n v="77"/>
    <n v="166.25974025974025"/>
    <s v="Chicago"/>
    <s v="Mandarin"/>
    <n v="515"/>
    <n v="4466"/>
    <n v="10"/>
    <s v="Health &amp; Wellness"/>
    <x v="54"/>
  </r>
  <r>
    <s v="Innovate Industries"/>
    <x v="1"/>
    <s v="Women 35-44"/>
    <s v="30 days"/>
    <x v="1"/>
    <n v="0.13"/>
    <n v="11182"/>
    <n v="3.73"/>
    <n v="78"/>
    <n v="143.35897435897436"/>
    <s v="Los Angeles"/>
    <s v="Spanish"/>
    <n v="603"/>
    <n v="3711"/>
    <n v="5"/>
    <s v="Tech Enthusiasts"/>
    <x v="55"/>
  </r>
  <r>
    <s v="DataTech Solutions"/>
    <x v="2"/>
    <s v="Women 25-34"/>
    <s v="45 days"/>
    <x v="3"/>
    <n v="0.13"/>
    <n v="15129"/>
    <n v="2.1800000000000002"/>
    <n v="120"/>
    <n v="126.075"/>
    <s v="Miami"/>
    <s v="French"/>
    <n v="920"/>
    <n v="3250"/>
    <n v="3"/>
    <s v="Tech Enthusiasts"/>
    <x v="56"/>
  </r>
  <r>
    <s v="DataTech Solutions"/>
    <x v="1"/>
    <s v="Women 25-34"/>
    <s v="30 days"/>
    <x v="2"/>
    <n v="0.03"/>
    <n v="8039"/>
    <n v="3.69"/>
    <n v="9"/>
    <n v="893.22222222222217"/>
    <s v="Houston"/>
    <s v="Spanish"/>
    <n v="309"/>
    <n v="4516"/>
    <n v="9"/>
    <s v="Fashionistas"/>
    <x v="57"/>
  </r>
  <r>
    <s v="Innovate Industries"/>
    <x v="4"/>
    <s v="Men 25-34"/>
    <s v="60 days"/>
    <x v="0"/>
    <n v="0.06"/>
    <n v="13833"/>
    <n v="7.74"/>
    <n v="24"/>
    <n v="576.375"/>
    <s v="New York"/>
    <s v="Mandarin"/>
    <n v="394"/>
    <n v="7872"/>
    <n v="8"/>
    <s v="Fashionistas"/>
    <x v="58"/>
  </r>
  <r>
    <s v="NexGen Systems"/>
    <x v="3"/>
    <s v="Men 25-34"/>
    <s v="15 days"/>
    <x v="2"/>
    <n v="0.11"/>
    <n v="7942"/>
    <n v="4.3899999999999997"/>
    <n v="59"/>
    <n v="134.61016949152543"/>
    <s v="New York"/>
    <s v="English"/>
    <n v="537"/>
    <n v="3240"/>
    <n v="10"/>
    <s v="Fashionistas"/>
    <x v="59"/>
  </r>
  <r>
    <s v="Alpha Innovations"/>
    <x v="1"/>
    <s v="All Ages"/>
    <s v="30 days"/>
    <x v="1"/>
    <n v="0.04"/>
    <n v="9669"/>
    <n v="7.78"/>
    <n v="6"/>
    <n v="1611.5"/>
    <s v="New York"/>
    <s v="Spanish"/>
    <n v="139"/>
    <n v="1362"/>
    <n v="5"/>
    <s v="Fashionistas"/>
    <x v="60"/>
  </r>
  <r>
    <s v="NexGen Systems"/>
    <x v="0"/>
    <s v="Women 25-34"/>
    <s v="45 days"/>
    <x v="0"/>
    <n v="0.13"/>
    <n v="18401"/>
    <n v="3.3"/>
    <n v="101"/>
    <n v="182.1881188118812"/>
    <s v="New York"/>
    <s v="Mandarin"/>
    <n v="778"/>
    <n v="2002"/>
    <n v="5"/>
    <s v="Fashionistas"/>
    <x v="61"/>
  </r>
  <r>
    <s v="TechCorp"/>
    <x v="0"/>
    <s v="Men 18-24"/>
    <s v="15 days"/>
    <x v="5"/>
    <n v="0.06"/>
    <n v="10141"/>
    <n v="2.2200000000000002"/>
    <n v="38"/>
    <n v="266.86842105263156"/>
    <s v="Houston"/>
    <s v="English"/>
    <n v="641"/>
    <n v="8357"/>
    <n v="7"/>
    <s v="Fashionistas"/>
    <x v="62"/>
  </r>
  <r>
    <s v="DataTech Solutions"/>
    <x v="1"/>
    <s v="Women 35-44"/>
    <s v="45 days"/>
    <x v="3"/>
    <n v="0.08"/>
    <n v="9549"/>
    <n v="6.3"/>
    <n v="30"/>
    <n v="318.3"/>
    <s v="Houston"/>
    <s v="English"/>
    <n v="374"/>
    <n v="1198"/>
    <n v="5"/>
    <s v="Health &amp; Wellness"/>
    <x v="63"/>
  </r>
  <r>
    <s v="DataTech Solutions"/>
    <x v="3"/>
    <s v="Women 25-34"/>
    <s v="45 days"/>
    <x v="0"/>
    <n v="0.13"/>
    <n v="10706"/>
    <n v="6.27"/>
    <n v="28"/>
    <n v="382.35714285714283"/>
    <s v="Los Angeles"/>
    <s v="German"/>
    <n v="213"/>
    <n v="3556"/>
    <n v="6"/>
    <s v="Health &amp; Wellness"/>
    <x v="64"/>
  </r>
  <r>
    <s v="Innovate Industries"/>
    <x v="1"/>
    <s v="Women 25-34"/>
    <s v="60 days"/>
    <x v="4"/>
    <n v="0.15"/>
    <n v="13616"/>
    <n v="2.84"/>
    <n v="86"/>
    <n v="158.32558139534885"/>
    <s v="Miami"/>
    <s v="English"/>
    <n v="570"/>
    <n v="6570"/>
    <n v="3"/>
    <s v="Outdoor Adventurers"/>
    <x v="65"/>
  </r>
  <r>
    <s v="Innovate Industries"/>
    <x v="2"/>
    <s v="Women 25-34"/>
    <s v="30 days"/>
    <x v="5"/>
    <n v="7.0000000000000007E-2"/>
    <n v="15327"/>
    <n v="7.61"/>
    <n v="58"/>
    <n v="264.25862068965517"/>
    <s v="Chicago"/>
    <s v="Mandarin"/>
    <n v="828"/>
    <n v="4537"/>
    <n v="6"/>
    <s v="Tech Enthusiasts"/>
    <x v="66"/>
  </r>
  <r>
    <s v="TechCorp"/>
    <x v="0"/>
    <s v="Women 25-34"/>
    <s v="15 days"/>
    <x v="3"/>
    <n v="0.03"/>
    <n v="12096"/>
    <n v="7.87"/>
    <n v="29"/>
    <n v="417.10344827586209"/>
    <s v="New York"/>
    <s v="German"/>
    <n v="961"/>
    <n v="6310"/>
    <n v="10"/>
    <s v="Fashionistas"/>
    <x v="67"/>
  </r>
  <r>
    <s v="Alpha Innovations"/>
    <x v="0"/>
    <s v="All Ages"/>
    <s v="60 days"/>
    <x v="0"/>
    <n v="0.06"/>
    <n v="12568"/>
    <n v="4.0199999999999996"/>
    <n v="23"/>
    <n v="546.43478260869563"/>
    <s v="Los Angeles"/>
    <s v="French"/>
    <n v="381"/>
    <n v="7105"/>
    <n v="4"/>
    <s v="Foodies"/>
    <x v="68"/>
  </r>
  <r>
    <s v="DataTech Solutions"/>
    <x v="4"/>
    <s v="All Ages"/>
    <s v="15 days"/>
    <x v="1"/>
    <n v="0.03"/>
    <n v="14848"/>
    <n v="6.17"/>
    <n v="12"/>
    <n v="1237.3333333333333"/>
    <s v="Houston"/>
    <s v="Mandarin"/>
    <n v="406"/>
    <n v="6053"/>
    <n v="1"/>
    <s v="Fashionistas"/>
    <x v="69"/>
  </r>
  <r>
    <s v="Innovate Industries"/>
    <x v="3"/>
    <s v="Men 25-34"/>
    <s v="15 days"/>
    <x v="0"/>
    <n v="0.11"/>
    <n v="6459"/>
    <n v="6.61"/>
    <n v="38"/>
    <n v="169.97368421052633"/>
    <s v="Houston"/>
    <s v="Mandarin"/>
    <n v="347"/>
    <n v="6104"/>
    <n v="1"/>
    <s v="Tech Enthusiasts"/>
    <x v="70"/>
  </r>
  <r>
    <s v="TechCorp"/>
    <x v="3"/>
    <s v="All Ages"/>
    <s v="15 days"/>
    <x v="4"/>
    <n v="0.09"/>
    <n v="9086"/>
    <n v="5.86"/>
    <n v="15"/>
    <n v="605.73333333333335"/>
    <s v="Chicago"/>
    <s v="French"/>
    <n v="172"/>
    <n v="1877"/>
    <n v="1"/>
    <s v="Fashionistas"/>
    <x v="71"/>
  </r>
  <r>
    <s v="DataTech Solutions"/>
    <x v="0"/>
    <s v="Men 25-34"/>
    <s v="45 days"/>
    <x v="4"/>
    <n v="0.09"/>
    <n v="16271"/>
    <n v="7.75"/>
    <n v="47"/>
    <n v="346.19148936170211"/>
    <s v="Houston"/>
    <s v="French"/>
    <n v="525"/>
    <n v="7428"/>
    <n v="10"/>
    <s v="Fashionistas"/>
    <x v="72"/>
  </r>
  <r>
    <s v="Alpha Innovations"/>
    <x v="0"/>
    <s v="Women 35-44"/>
    <s v="15 days"/>
    <x v="3"/>
    <n v="0.11"/>
    <n v="10974"/>
    <n v="7.89"/>
    <n v="64"/>
    <n v="171.46875"/>
    <s v="Miami"/>
    <s v="English"/>
    <n v="580"/>
    <n v="9246"/>
    <n v="1"/>
    <s v="Tech Enthusiasts"/>
    <x v="73"/>
  </r>
  <r>
    <s v="Innovate Industries"/>
    <x v="1"/>
    <s v="Men 18-24"/>
    <s v="15 days"/>
    <x v="4"/>
    <n v="0.14000000000000001"/>
    <n v="5430"/>
    <n v="2.84"/>
    <n v="25"/>
    <n v="217.2"/>
    <s v="Los Angeles"/>
    <s v="German"/>
    <n v="179"/>
    <n v="2516"/>
    <n v="3"/>
    <s v="Outdoor Adventurers"/>
    <x v="74"/>
  </r>
  <r>
    <s v="Alpha Innovations"/>
    <x v="2"/>
    <s v="Women 25-34"/>
    <s v="15 days"/>
    <x v="4"/>
    <n v="0.1"/>
    <n v="18132"/>
    <n v="5.5"/>
    <n v="49"/>
    <n v="370.0408163265306"/>
    <s v="Miami"/>
    <s v="German"/>
    <n v="488"/>
    <n v="7302"/>
    <n v="1"/>
    <s v="Health &amp; Wellness"/>
    <x v="75"/>
  </r>
  <r>
    <s v="NexGen Systems"/>
    <x v="4"/>
    <s v="Women 25-34"/>
    <s v="15 days"/>
    <x v="3"/>
    <n v="0.02"/>
    <n v="12889"/>
    <n v="2.86"/>
    <n v="15"/>
    <n v="859.26666666666665"/>
    <s v="New York"/>
    <s v="German"/>
    <n v="768"/>
    <n v="1334"/>
    <n v="9"/>
    <s v="Fashionistas"/>
    <x v="76"/>
  </r>
  <r>
    <s v="NexGen Systems"/>
    <x v="1"/>
    <s v="Men 18-24"/>
    <s v="60 days"/>
    <x v="2"/>
    <n v="0.02"/>
    <n v="5951"/>
    <n v="2.16"/>
    <n v="12"/>
    <n v="495.91666666666669"/>
    <s v="Miami"/>
    <s v="French"/>
    <n v="593"/>
    <n v="4012"/>
    <n v="10"/>
    <s v="Health &amp; Wellness"/>
    <x v="77"/>
  </r>
  <r>
    <s v="DataTech Solutions"/>
    <x v="2"/>
    <s v="All Ages"/>
    <s v="60 days"/>
    <x v="4"/>
    <n v="0.11"/>
    <n v="13644"/>
    <n v="5.61"/>
    <n v="61"/>
    <n v="223.67213114754099"/>
    <s v="Chicago"/>
    <s v="English"/>
    <n v="558"/>
    <n v="9654"/>
    <n v="9"/>
    <s v="Outdoor Adventurers"/>
    <x v="78"/>
  </r>
  <r>
    <s v="TechCorp"/>
    <x v="2"/>
    <s v="Women 25-34"/>
    <s v="45 days"/>
    <x v="3"/>
    <n v="0.06"/>
    <n v="5532"/>
    <n v="5.63"/>
    <n v="38"/>
    <n v="145.57894736842104"/>
    <s v="Los Angeles"/>
    <s v="English"/>
    <n v="634"/>
    <n v="6429"/>
    <n v="4"/>
    <s v="Foodies"/>
    <x v="79"/>
  </r>
  <r>
    <s v="DataTech Solutions"/>
    <x v="2"/>
    <s v="Women 35-44"/>
    <s v="60 days"/>
    <x v="4"/>
    <n v="0.05"/>
    <n v="19479"/>
    <n v="5.28"/>
    <n v="38"/>
    <n v="512.60526315789468"/>
    <s v="Miami"/>
    <s v="Mandarin"/>
    <n v="759"/>
    <n v="5562"/>
    <n v="3"/>
    <s v="Health &amp; Wellness"/>
    <x v="80"/>
  </r>
  <r>
    <s v="NexGen Systems"/>
    <x v="4"/>
    <s v="All Ages"/>
    <s v="15 days"/>
    <x v="4"/>
    <n v="0.14000000000000001"/>
    <n v="14457"/>
    <n v="3.58"/>
    <n v="125"/>
    <n v="115.65600000000001"/>
    <s v="Los Angeles"/>
    <s v="German"/>
    <n v="890"/>
    <n v="3822"/>
    <n v="2"/>
    <s v="Health &amp; Wellness"/>
    <x v="81"/>
  </r>
  <r>
    <s v="DataTech Solutions"/>
    <x v="2"/>
    <s v="Women 25-34"/>
    <s v="45 days"/>
    <x v="3"/>
    <n v="0.09"/>
    <n v="9639"/>
    <n v="2.36"/>
    <n v="15"/>
    <n v="642.6"/>
    <s v="Miami"/>
    <s v="French"/>
    <n v="165"/>
    <n v="7468"/>
    <n v="8"/>
    <s v="Health &amp; Wellness"/>
    <x v="82"/>
  </r>
  <r>
    <s v="Alpha Innovations"/>
    <x v="2"/>
    <s v="All Ages"/>
    <s v="30 days"/>
    <x v="4"/>
    <n v="0.1"/>
    <n v="12023"/>
    <n v="6.95"/>
    <n v="44"/>
    <n v="273.25"/>
    <s v="Houston"/>
    <s v="French"/>
    <n v="439"/>
    <n v="2528"/>
    <n v="7"/>
    <s v="Tech Enthusiasts"/>
    <x v="83"/>
  </r>
  <r>
    <s v="NexGen Systems"/>
    <x v="4"/>
    <s v="Women 25-34"/>
    <s v="60 days"/>
    <x v="0"/>
    <n v="0.06"/>
    <n v="10076"/>
    <n v="6.5"/>
    <n v="43"/>
    <n v="234.32558139534885"/>
    <s v="Houston"/>
    <s v="French"/>
    <n v="722"/>
    <n v="8613"/>
    <n v="3"/>
    <s v="Foodies"/>
    <x v="84"/>
  </r>
  <r>
    <s v="Alpha Innovations"/>
    <x v="4"/>
    <s v="Women 25-34"/>
    <s v="45 days"/>
    <x v="3"/>
    <n v="0.04"/>
    <n v="5500"/>
    <n v="5.37"/>
    <n v="27"/>
    <n v="203.7037037037037"/>
    <s v="Miami"/>
    <s v="Spanish"/>
    <n v="676"/>
    <n v="1026"/>
    <n v="3"/>
    <s v="Tech Enthusiasts"/>
    <x v="85"/>
  </r>
  <r>
    <s v="NexGen Systems"/>
    <x v="1"/>
    <s v="Men 25-34"/>
    <s v="30 days"/>
    <x v="3"/>
    <n v="7.0000000000000007E-2"/>
    <n v="14118"/>
    <n v="7.86"/>
    <n v="40"/>
    <n v="352.95"/>
    <s v="Houston"/>
    <s v="Mandarin"/>
    <n v="574"/>
    <n v="1682"/>
    <n v="5"/>
    <s v="Tech Enthusiasts"/>
    <x v="86"/>
  </r>
  <r>
    <s v="NexGen Systems"/>
    <x v="4"/>
    <s v="Women 25-34"/>
    <s v="15 days"/>
    <x v="3"/>
    <n v="0.11"/>
    <n v="14014"/>
    <n v="7.89"/>
    <n v="37"/>
    <n v="378.75675675675677"/>
    <s v="Miami"/>
    <s v="English"/>
    <n v="339"/>
    <n v="9379"/>
    <n v="9"/>
    <s v="Fashionistas"/>
    <x v="87"/>
  </r>
  <r>
    <s v="NexGen Systems"/>
    <x v="0"/>
    <s v="Women 25-34"/>
    <s v="30 days"/>
    <x v="3"/>
    <n v="0.11"/>
    <n v="9975"/>
    <n v="4.97"/>
    <n v="14"/>
    <n v="712.5"/>
    <s v="Houston"/>
    <s v="English"/>
    <n v="130"/>
    <n v="5019"/>
    <n v="8"/>
    <s v="Fashionistas"/>
    <x v="88"/>
  </r>
  <r>
    <s v="DataTech Solutions"/>
    <x v="0"/>
    <s v="Women 25-34"/>
    <s v="15 days"/>
    <x v="4"/>
    <n v="0.11"/>
    <n v="10556"/>
    <n v="6.99"/>
    <n v="77"/>
    <n v="137.09090909090909"/>
    <s v="Chicago"/>
    <s v="Mandarin"/>
    <n v="703"/>
    <n v="8718"/>
    <n v="7"/>
    <s v="Foodies"/>
    <x v="89"/>
  </r>
  <r>
    <s v="Alpha Innovations"/>
    <x v="1"/>
    <s v="Men 18-24"/>
    <s v="45 days"/>
    <x v="3"/>
    <n v="0.04"/>
    <n v="17386"/>
    <n v="4.6100000000000003"/>
    <n v="22"/>
    <n v="790.27272727272725"/>
    <s v="New York"/>
    <s v="Mandarin"/>
    <n v="559"/>
    <n v="7052"/>
    <n v="6"/>
    <s v="Foodies"/>
    <x v="90"/>
  </r>
  <r>
    <s v="Alpha Innovations"/>
    <x v="3"/>
    <s v="Women 35-44"/>
    <s v="45 days"/>
    <x v="4"/>
    <n v="0.03"/>
    <n v="16649"/>
    <n v="4.8499999999999996"/>
    <n v="16"/>
    <n v="1040.5625"/>
    <s v="Chicago"/>
    <s v="Mandarin"/>
    <n v="532"/>
    <n v="9083"/>
    <n v="2"/>
    <s v="Outdoor Adventurers"/>
    <x v="91"/>
  </r>
  <r>
    <s v="Innovate Industries"/>
    <x v="3"/>
    <s v="Women 35-44"/>
    <s v="60 days"/>
    <x v="0"/>
    <n v="0.11"/>
    <n v="6138"/>
    <n v="3.24"/>
    <n v="54"/>
    <n v="113.66666666666667"/>
    <s v="Miami"/>
    <s v="English"/>
    <n v="494"/>
    <n v="1544"/>
    <n v="9"/>
    <s v="Tech Enthusiasts"/>
    <x v="92"/>
  </r>
  <r>
    <s v="TechCorp"/>
    <x v="2"/>
    <s v="Men 18-24"/>
    <s v="30 days"/>
    <x v="5"/>
    <n v="0.06"/>
    <n v="9807"/>
    <n v="6.39"/>
    <n v="55"/>
    <n v="178.30909090909091"/>
    <s v="Chicago"/>
    <s v="Spanish"/>
    <n v="909"/>
    <n v="8144"/>
    <n v="8"/>
    <s v="Foodies"/>
    <x v="93"/>
  </r>
  <r>
    <s v="Alpha Innovations"/>
    <x v="2"/>
    <s v="Men 18-24"/>
    <s v="45 days"/>
    <x v="1"/>
    <n v="0.12"/>
    <n v="19855"/>
    <n v="7.02"/>
    <n v="48"/>
    <n v="413.64583333333331"/>
    <s v="Houston"/>
    <s v="Spanish"/>
    <n v="400"/>
    <n v="4771"/>
    <n v="7"/>
    <s v="Fashionistas"/>
    <x v="94"/>
  </r>
  <r>
    <s v="Alpha Innovations"/>
    <x v="2"/>
    <s v="Women 25-34"/>
    <s v="15 days"/>
    <x v="1"/>
    <n v="0.11"/>
    <n v="5306"/>
    <n v="3.88"/>
    <n v="23"/>
    <n v="230.69565217391303"/>
    <s v="Los Angeles"/>
    <s v="French"/>
    <n v="213"/>
    <n v="3152"/>
    <n v="6"/>
    <s v="Tech Enthusiasts"/>
    <x v="95"/>
  </r>
  <r>
    <s v="Innovate Industries"/>
    <x v="0"/>
    <s v="Men 25-34"/>
    <s v="45 days"/>
    <x v="0"/>
    <n v="0.11"/>
    <n v="12412"/>
    <n v="7.13"/>
    <n v="20"/>
    <n v="620.6"/>
    <s v="Miami"/>
    <s v="Spanish"/>
    <n v="186"/>
    <n v="8962"/>
    <n v="5"/>
    <s v="Foodies"/>
    <x v="96"/>
  </r>
  <r>
    <s v="Alpha Innovations"/>
    <x v="4"/>
    <s v="Men 25-34"/>
    <s v="30 days"/>
    <x v="5"/>
    <n v="0.01"/>
    <n v="7355"/>
    <n v="5.31"/>
    <n v="2"/>
    <n v="3677.5"/>
    <s v="New York"/>
    <s v="Mandarin"/>
    <n v="170"/>
    <n v="7765"/>
    <n v="1"/>
    <s v="Health &amp; Wellness"/>
    <x v="97"/>
  </r>
  <r>
    <s v="DataTech Solutions"/>
    <x v="4"/>
    <s v="Men 18-24"/>
    <s v="60 days"/>
    <x v="5"/>
    <n v="0.11"/>
    <n v="13956"/>
    <n v="2.57"/>
    <n v="98"/>
    <n v="142.40816326530611"/>
    <s v="Houston"/>
    <s v="Mandarin"/>
    <n v="890"/>
    <n v="9719"/>
    <n v="3"/>
    <s v="Health &amp; Wellness"/>
    <x v="98"/>
  </r>
  <r>
    <s v="DataTech Solutions"/>
    <x v="2"/>
    <s v="Women 35-44"/>
    <s v="45 days"/>
    <x v="0"/>
    <n v="7.0000000000000007E-2"/>
    <n v="17642"/>
    <n v="7.68"/>
    <n v="17"/>
    <n v="1037.7647058823529"/>
    <s v="New York"/>
    <s v="Spanish"/>
    <n v="242"/>
    <n v="5488"/>
    <n v="7"/>
    <s v="Health &amp; Wellness"/>
    <x v="99"/>
  </r>
  <r>
    <s v="Alpha Innovations"/>
    <x v="3"/>
    <s v="Women 25-34"/>
    <s v="15 days"/>
    <x v="3"/>
    <n v="0.12"/>
    <n v="14656"/>
    <n v="7.94"/>
    <n v="61"/>
    <n v="240.26229508196721"/>
    <s v="Los Angeles"/>
    <s v="Mandarin"/>
    <n v="509"/>
    <n v="9887"/>
    <n v="9"/>
    <s v="Health &amp; Wellness"/>
    <x v="100"/>
  </r>
  <r>
    <s v="NexGen Systems"/>
    <x v="0"/>
    <s v="Women 25-34"/>
    <s v="15 days"/>
    <x v="5"/>
    <n v="0.02"/>
    <n v="7611"/>
    <n v="3.79"/>
    <n v="9"/>
    <n v="845.66666666666663"/>
    <s v="Houston"/>
    <s v="French"/>
    <n v="467"/>
    <n v="2658"/>
    <n v="4"/>
    <s v="Foodies"/>
    <x v="101"/>
  </r>
  <r>
    <s v="NexGen Systems"/>
    <x v="0"/>
    <s v="Women 25-34"/>
    <s v="15 days"/>
    <x v="5"/>
    <n v="0.13"/>
    <n v="19225"/>
    <n v="6.69"/>
    <n v="109"/>
    <n v="176.37614678899084"/>
    <s v="Los Angeles"/>
    <s v="French"/>
    <n v="840"/>
    <n v="6223"/>
    <n v="6"/>
    <s v="Foodies"/>
    <x v="102"/>
  </r>
  <r>
    <s v="Alpha Innovations"/>
    <x v="2"/>
    <s v="Women 25-34"/>
    <s v="60 days"/>
    <x v="4"/>
    <n v="0.06"/>
    <n v="5737"/>
    <n v="7.94"/>
    <n v="9"/>
    <n v="637.44444444444446"/>
    <s v="Houston"/>
    <s v="German"/>
    <n v="147"/>
    <n v="3374"/>
    <n v="7"/>
    <s v="Outdoor Adventurers"/>
    <x v="103"/>
  </r>
  <r>
    <s v="TechCorp"/>
    <x v="2"/>
    <s v="Women 25-34"/>
    <s v="60 days"/>
    <x v="1"/>
    <n v="0.08"/>
    <n v="14210"/>
    <n v="4.83"/>
    <n v="34"/>
    <n v="417.94117647058823"/>
    <s v="New York"/>
    <s v="English"/>
    <n v="421"/>
    <n v="1540"/>
    <n v="9"/>
    <s v="Tech Enthusiasts"/>
    <x v="104"/>
  </r>
  <r>
    <s v="NexGen Systems"/>
    <x v="1"/>
    <s v="All Ages"/>
    <s v="45 days"/>
    <x v="4"/>
    <n v="0.15"/>
    <n v="8023"/>
    <n v="2.63"/>
    <n v="128"/>
    <n v="62.6796875"/>
    <s v="New York"/>
    <s v="Mandarin"/>
    <n v="855"/>
    <n v="6637"/>
    <n v="1"/>
    <s v="Tech Enthusiasts"/>
    <x v="105"/>
  </r>
  <r>
    <s v="TechCorp"/>
    <x v="3"/>
    <s v="Men 25-34"/>
    <s v="45 days"/>
    <x v="5"/>
    <n v="0.02"/>
    <n v="17816"/>
    <n v="4.4400000000000004"/>
    <n v="16"/>
    <n v="1113.5"/>
    <s v="Miami"/>
    <s v="French"/>
    <n v="793"/>
    <n v="2984"/>
    <n v="10"/>
    <s v="Health &amp; Wellness"/>
    <x v="106"/>
  </r>
  <r>
    <s v="Innovate Industries"/>
    <x v="0"/>
    <s v="All Ages"/>
    <s v="30 days"/>
    <x v="5"/>
    <n v="7.0000000000000007E-2"/>
    <n v="19931"/>
    <n v="5.13"/>
    <n v="60"/>
    <n v="332.18333333333334"/>
    <s v="Houston"/>
    <s v="Spanish"/>
    <n v="860"/>
    <n v="7231"/>
    <n v="8"/>
    <s v="Foodies"/>
    <x v="107"/>
  </r>
  <r>
    <s v="TechCorp"/>
    <x v="4"/>
    <s v="Men 18-24"/>
    <s v="60 days"/>
    <x v="1"/>
    <n v="0.14000000000000001"/>
    <n v="8352"/>
    <n v="4.92"/>
    <n v="125"/>
    <n v="66.816000000000003"/>
    <s v="Chicago"/>
    <s v="English"/>
    <n v="890"/>
    <n v="1419"/>
    <n v="7"/>
    <s v="Foodies"/>
    <x v="108"/>
  </r>
  <r>
    <s v="NexGen Systems"/>
    <x v="1"/>
    <s v="Women 35-44"/>
    <s v="30 days"/>
    <x v="0"/>
    <n v="0.04"/>
    <n v="14095"/>
    <n v="4.47"/>
    <n v="13"/>
    <n v="1084.2307692307693"/>
    <s v="Houston"/>
    <s v="Spanish"/>
    <n v="317"/>
    <n v="1438"/>
    <n v="2"/>
    <s v="Health &amp; Wellness"/>
    <x v="109"/>
  </r>
  <r>
    <s v="Alpha Innovations"/>
    <x v="1"/>
    <s v="Women 25-34"/>
    <s v="60 days"/>
    <x v="2"/>
    <n v="0.09"/>
    <n v="13932"/>
    <n v="4.5599999999999996"/>
    <n v="18"/>
    <n v="774"/>
    <s v="Chicago"/>
    <s v="Spanish"/>
    <n v="203"/>
    <n v="3539"/>
    <n v="3"/>
    <s v="Tech Enthusiasts"/>
    <x v="110"/>
  </r>
  <r>
    <s v="TechCorp"/>
    <x v="1"/>
    <s v="Women 35-44"/>
    <s v="45 days"/>
    <x v="5"/>
    <n v="0.14000000000000001"/>
    <n v="17691"/>
    <n v="2.2999999999999998"/>
    <n v="128"/>
    <n v="138.2109375"/>
    <s v="New York"/>
    <s v="Mandarin"/>
    <n v="911"/>
    <n v="1031"/>
    <n v="10"/>
    <s v="Health &amp; Wellness"/>
    <x v="111"/>
  </r>
  <r>
    <s v="TechCorp"/>
    <x v="4"/>
    <s v="All Ages"/>
    <s v="45 days"/>
    <x v="1"/>
    <n v="0.1"/>
    <n v="12747"/>
    <n v="2.56"/>
    <n v="26"/>
    <n v="490.26923076923077"/>
    <s v="Los Angeles"/>
    <s v="English"/>
    <n v="260"/>
    <n v="5944"/>
    <n v="2"/>
    <s v="Tech Enthusiasts"/>
    <x v="112"/>
  </r>
  <r>
    <s v="NexGen Systems"/>
    <x v="1"/>
    <s v="All Ages"/>
    <s v="45 days"/>
    <x v="1"/>
    <n v="0.11"/>
    <n v="7265"/>
    <n v="6.55"/>
    <n v="47"/>
    <n v="154.57446808510639"/>
    <s v="Los Angeles"/>
    <s v="Spanish"/>
    <n v="431"/>
    <n v="4011"/>
    <n v="2"/>
    <s v="Fashionistas"/>
    <x v="113"/>
  </r>
  <r>
    <s v="DataTech Solutions"/>
    <x v="0"/>
    <s v="Women 35-44"/>
    <s v="15 days"/>
    <x v="0"/>
    <n v="0.12"/>
    <n v="12282"/>
    <n v="6.07"/>
    <n v="53"/>
    <n v="231.73584905660377"/>
    <s v="Houston"/>
    <s v="Spanish"/>
    <n v="443"/>
    <n v="3270"/>
    <n v="1"/>
    <s v="Outdoor Adventurers"/>
    <x v="114"/>
  </r>
  <r>
    <s v="TechCorp"/>
    <x v="2"/>
    <s v="Women 25-34"/>
    <s v="30 days"/>
    <x v="3"/>
    <n v="0.03"/>
    <n v="6248"/>
    <n v="4.0599999999999996"/>
    <n v="29"/>
    <n v="215.44827586206895"/>
    <s v="Miami"/>
    <s v="German"/>
    <n v="969"/>
    <n v="4084"/>
    <n v="8"/>
    <s v="Outdoor Adventurers"/>
    <x v="115"/>
  </r>
  <r>
    <s v="NexGen Systems"/>
    <x v="3"/>
    <s v="Men 18-24"/>
    <s v="30 days"/>
    <x v="1"/>
    <n v="0.05"/>
    <n v="13383"/>
    <n v="4.58"/>
    <n v="42"/>
    <n v="318.64285714285717"/>
    <s v="Chicago"/>
    <s v="Spanish"/>
    <n v="841"/>
    <n v="7887"/>
    <n v="7"/>
    <s v="Outdoor Adventurers"/>
    <x v="116"/>
  </r>
  <r>
    <s v="DataTech Solutions"/>
    <x v="3"/>
    <s v="Women 25-34"/>
    <s v="30 days"/>
    <x v="0"/>
    <n v="0.04"/>
    <n v="16439"/>
    <n v="5.56"/>
    <n v="14"/>
    <n v="1174.2142857142858"/>
    <s v="New York"/>
    <s v="English"/>
    <n v="348"/>
    <n v="5974"/>
    <n v="9"/>
    <s v="Tech Enthusiasts"/>
    <x v="117"/>
  </r>
  <r>
    <s v="TechCorp"/>
    <x v="0"/>
    <s v="Men 25-34"/>
    <s v="45 days"/>
    <x v="5"/>
    <n v="0.11"/>
    <n v="7415"/>
    <n v="6.37"/>
    <n v="30"/>
    <n v="247.16666666666666"/>
    <s v="Chicago"/>
    <s v="French"/>
    <n v="275"/>
    <n v="5904"/>
    <n v="6"/>
    <s v="Tech Enthusiasts"/>
    <x v="118"/>
  </r>
  <r>
    <s v="Innovate Industries"/>
    <x v="1"/>
    <s v="Women 35-44"/>
    <s v="60 days"/>
    <x v="4"/>
    <n v="0.03"/>
    <n v="13255"/>
    <n v="4.26"/>
    <n v="13"/>
    <n v="1019.6153846153846"/>
    <s v="Los Angeles"/>
    <s v="English"/>
    <n v="442"/>
    <n v="9358"/>
    <n v="4"/>
    <s v="Outdoor Adventurers"/>
    <x v="119"/>
  </r>
  <r>
    <s v="Innovate Industries"/>
    <x v="0"/>
    <s v="Men 18-24"/>
    <s v="30 days"/>
    <x v="0"/>
    <n v="0.02"/>
    <n v="19121"/>
    <n v="2.2799999999999998"/>
    <n v="19"/>
    <n v="1006.3684210526316"/>
    <s v="Chicago"/>
    <s v="Mandarin"/>
    <n v="936"/>
    <n v="3392"/>
    <n v="9"/>
    <s v="Outdoor Adventurers"/>
    <x v="120"/>
  </r>
  <r>
    <s v="NexGen Systems"/>
    <x v="2"/>
    <s v="All Ages"/>
    <s v="15 days"/>
    <x v="3"/>
    <n v="0.11"/>
    <n v="11716"/>
    <n v="7.1"/>
    <n v="34"/>
    <n v="344.58823529411762"/>
    <s v="Houston"/>
    <s v="Spanish"/>
    <n v="311"/>
    <n v="3170"/>
    <n v="1"/>
    <s v="Outdoor Adventurers"/>
    <x v="121"/>
  </r>
  <r>
    <s v="Alpha Innovations"/>
    <x v="4"/>
    <s v="Men 18-24"/>
    <s v="45 days"/>
    <x v="0"/>
    <n v="0.04"/>
    <n v="9934"/>
    <n v="2.4300000000000002"/>
    <n v="31"/>
    <n v="320.45161290322579"/>
    <s v="Chicago"/>
    <s v="Spanish"/>
    <n v="781"/>
    <n v="6086"/>
    <n v="7"/>
    <s v="Foodies"/>
    <x v="122"/>
  </r>
  <r>
    <s v="NexGen Systems"/>
    <x v="1"/>
    <s v="Women 35-44"/>
    <s v="30 days"/>
    <x v="5"/>
    <n v="0.13"/>
    <n v="18897"/>
    <n v="6.85"/>
    <n v="33"/>
    <n v="572.63636363636363"/>
    <s v="Miami"/>
    <s v="Mandarin"/>
    <n v="257"/>
    <n v="6356"/>
    <n v="5"/>
    <s v="Fashionistas"/>
    <x v="123"/>
  </r>
  <r>
    <s v="NexGen Systems"/>
    <x v="2"/>
    <s v="Women 25-34"/>
    <s v="60 days"/>
    <x v="3"/>
    <n v="0.11"/>
    <n v="12368"/>
    <n v="6"/>
    <n v="89"/>
    <n v="138.96629213483146"/>
    <s v="Chicago"/>
    <s v="German"/>
    <n v="811"/>
    <n v="4574"/>
    <n v="9"/>
    <s v="Tech Enthusiasts"/>
    <x v="124"/>
  </r>
  <r>
    <s v="NexGen Systems"/>
    <x v="4"/>
    <s v="All Ages"/>
    <s v="45 days"/>
    <x v="5"/>
    <n v="7.0000000000000007E-2"/>
    <n v="12436"/>
    <n v="5.61"/>
    <n v="40"/>
    <n v="310.89999999999998"/>
    <s v="Miami"/>
    <s v="German"/>
    <n v="578"/>
    <n v="4382"/>
    <n v="7"/>
    <s v="Foodies"/>
    <x v="125"/>
  </r>
  <r>
    <s v="Alpha Innovations"/>
    <x v="0"/>
    <s v="Men 18-24"/>
    <s v="30 days"/>
    <x v="5"/>
    <n v="0.08"/>
    <n v="15990"/>
    <n v="3.95"/>
    <n v="63"/>
    <n v="253.8095238095238"/>
    <s v="Chicago"/>
    <s v="Spanish"/>
    <n v="787"/>
    <n v="8345"/>
    <n v="7"/>
    <s v="Foodies"/>
    <x v="126"/>
  </r>
  <r>
    <s v="TechCorp"/>
    <x v="2"/>
    <s v="Men 18-24"/>
    <s v="30 days"/>
    <x v="0"/>
    <n v="0.01"/>
    <n v="14692"/>
    <n v="5.43"/>
    <n v="5"/>
    <n v="2938.4"/>
    <s v="Los Angeles"/>
    <s v="German"/>
    <n v="457"/>
    <n v="9441"/>
    <n v="5"/>
    <s v="Tech Enthusiasts"/>
    <x v="127"/>
  </r>
  <r>
    <s v="Alpha Innovations"/>
    <x v="0"/>
    <s v="Women 35-44"/>
    <s v="60 days"/>
    <x v="1"/>
    <n v="0.06"/>
    <n v="7414"/>
    <n v="2.36"/>
    <n v="53"/>
    <n v="139.88679245283018"/>
    <s v="Chicago"/>
    <s v="English"/>
    <n v="880"/>
    <n v="3769"/>
    <n v="1"/>
    <s v="Tech Enthusiasts"/>
    <x v="128"/>
  </r>
  <r>
    <s v="NexGen Systems"/>
    <x v="1"/>
    <s v="Women 25-34"/>
    <s v="45 days"/>
    <x v="1"/>
    <n v="0.08"/>
    <n v="14256"/>
    <n v="2.44"/>
    <n v="38"/>
    <n v="375.15789473684208"/>
    <s v="Miami"/>
    <s v="Spanish"/>
    <n v="469"/>
    <n v="4349"/>
    <n v="2"/>
    <s v="Outdoor Adventurers"/>
    <x v="129"/>
  </r>
  <r>
    <s v="TechCorp"/>
    <x v="4"/>
    <s v="Men 18-24"/>
    <s v="60 days"/>
    <x v="0"/>
    <n v="0.1"/>
    <n v="5257"/>
    <n v="2.81"/>
    <n v="60"/>
    <n v="87.61666666666666"/>
    <s v="Houston"/>
    <s v="German"/>
    <n v="595"/>
    <n v="3617"/>
    <n v="1"/>
    <s v="Tech Enthusiasts"/>
    <x v="130"/>
  </r>
  <r>
    <s v="TechCorp"/>
    <x v="4"/>
    <s v="All Ages"/>
    <s v="15 days"/>
    <x v="1"/>
    <n v="0.03"/>
    <n v="12368"/>
    <n v="3.43"/>
    <n v="11"/>
    <n v="1124.3636363636363"/>
    <s v="Los Angeles"/>
    <s v="French"/>
    <n v="366"/>
    <n v="3541"/>
    <n v="10"/>
    <s v="Tech Enthusiasts"/>
    <x v="131"/>
  </r>
  <r>
    <s v="TechCorp"/>
    <x v="0"/>
    <s v="All Ages"/>
    <s v="60 days"/>
    <x v="3"/>
    <n v="0.14000000000000001"/>
    <n v="8016"/>
    <n v="2.06"/>
    <n v="42"/>
    <n v="190.85714285714286"/>
    <s v="Houston"/>
    <s v="German"/>
    <n v="299"/>
    <n v="6329"/>
    <n v="5"/>
    <s v="Foodies"/>
    <x v="132"/>
  </r>
  <r>
    <s v="DataTech Solutions"/>
    <x v="4"/>
    <s v="Women 35-44"/>
    <s v="15 days"/>
    <x v="0"/>
    <n v="0.06"/>
    <n v="13487"/>
    <n v="3.36"/>
    <n v="27"/>
    <n v="499.51851851851853"/>
    <s v="Houston"/>
    <s v="Mandarin"/>
    <n v="450"/>
    <n v="6927"/>
    <n v="5"/>
    <s v="Foodies"/>
    <x v="133"/>
  </r>
  <r>
    <s v="TechCorp"/>
    <x v="2"/>
    <s v="Men 25-34"/>
    <s v="60 days"/>
    <x v="3"/>
    <n v="0.06"/>
    <n v="19553"/>
    <n v="2.33"/>
    <n v="36"/>
    <n v="543.13888888888891"/>
    <s v="Miami"/>
    <s v="Spanish"/>
    <n v="601"/>
    <n v="9441"/>
    <n v="9"/>
    <s v="Health &amp; Wellness"/>
    <x v="134"/>
  </r>
  <r>
    <s v="Innovate Industries"/>
    <x v="2"/>
    <s v="All Ages"/>
    <s v="45 days"/>
    <x v="3"/>
    <n v="0.06"/>
    <n v="5645"/>
    <n v="5.46"/>
    <n v="52"/>
    <n v="108.55769230769231"/>
    <s v="Chicago"/>
    <s v="Mandarin"/>
    <n v="874"/>
    <n v="8486"/>
    <n v="6"/>
    <s v="Tech Enthusiasts"/>
    <x v="135"/>
  </r>
  <r>
    <s v="Innovate Industries"/>
    <x v="0"/>
    <s v="Women 25-34"/>
    <s v="30 days"/>
    <x v="1"/>
    <n v="0.01"/>
    <n v="14482"/>
    <n v="7.38"/>
    <n v="6"/>
    <n v="2413.6666666666665"/>
    <s v="Los Angeles"/>
    <s v="English"/>
    <n v="617"/>
    <n v="6932"/>
    <n v="7"/>
    <s v="Outdoor Adventurers"/>
    <x v="136"/>
  </r>
  <r>
    <s v="Innovate Industries"/>
    <x v="3"/>
    <s v="Women 25-34"/>
    <s v="60 days"/>
    <x v="5"/>
    <n v="0.02"/>
    <n v="14218"/>
    <n v="2.36"/>
    <n v="19"/>
    <n v="748.31578947368416"/>
    <s v="Miami"/>
    <s v="Mandarin"/>
    <n v="971"/>
    <n v="1847"/>
    <n v="10"/>
    <s v="Fashionistas"/>
    <x v="137"/>
  </r>
  <r>
    <s v="TechCorp"/>
    <x v="1"/>
    <s v="Men 25-34"/>
    <s v="30 days"/>
    <x v="1"/>
    <n v="7.0000000000000007E-2"/>
    <n v="15225"/>
    <n v="6.9"/>
    <n v="43"/>
    <n v="354.06976744186045"/>
    <s v="Miami"/>
    <s v="Spanish"/>
    <n v="619"/>
    <n v="3880"/>
    <n v="7"/>
    <s v="Foodies"/>
    <x v="138"/>
  </r>
  <r>
    <s v="Alpha Innovations"/>
    <x v="1"/>
    <s v="Men 18-24"/>
    <s v="15 days"/>
    <x v="4"/>
    <n v="0.1"/>
    <n v="19852"/>
    <n v="7.23"/>
    <n v="94"/>
    <n v="211.19148936170214"/>
    <s v="Los Angeles"/>
    <s v="German"/>
    <n v="940"/>
    <n v="3879"/>
    <n v="8"/>
    <s v="Fashionistas"/>
    <x v="139"/>
  </r>
  <r>
    <s v="TechCorp"/>
    <x v="1"/>
    <s v="All Ages"/>
    <s v="30 days"/>
    <x v="4"/>
    <n v="0.11"/>
    <n v="13609"/>
    <n v="4.1500000000000004"/>
    <n v="55"/>
    <n v="247.43636363636364"/>
    <s v="Chicago"/>
    <s v="French"/>
    <n v="497"/>
    <n v="3216"/>
    <n v="4"/>
    <s v="Foodies"/>
    <x v="140"/>
  </r>
  <r>
    <s v="Alpha Innovations"/>
    <x v="3"/>
    <s v="All Ages"/>
    <s v="15 days"/>
    <x v="2"/>
    <n v="0.08"/>
    <n v="5267"/>
    <n v="7.85"/>
    <n v="48"/>
    <n v="109.72916666666667"/>
    <s v="Houston"/>
    <s v="Mandarin"/>
    <n v="602"/>
    <n v="3451"/>
    <n v="8"/>
    <s v="Fashionistas"/>
    <x v="141"/>
  </r>
  <r>
    <s v="DataTech Solutions"/>
    <x v="3"/>
    <s v="Women 25-34"/>
    <s v="15 days"/>
    <x v="3"/>
    <n v="0.04"/>
    <n v="5682"/>
    <n v="4.67"/>
    <n v="10"/>
    <n v="568.20000000000005"/>
    <s v="Los Angeles"/>
    <s v="German"/>
    <n v="252"/>
    <n v="5305"/>
    <n v="5"/>
    <s v="Foodies"/>
    <x v="142"/>
  </r>
  <r>
    <s v="DataTech Solutions"/>
    <x v="1"/>
    <s v="All Ages"/>
    <s v="60 days"/>
    <x v="5"/>
    <n v="0.11"/>
    <n v="12889"/>
    <n v="3.66"/>
    <n v="22"/>
    <n v="585.86363636363637"/>
    <s v="Houston"/>
    <s v="Spanish"/>
    <n v="200"/>
    <n v="4747"/>
    <n v="3"/>
    <s v="Foodies"/>
    <x v="143"/>
  </r>
  <r>
    <s v="Alpha Innovations"/>
    <x v="0"/>
    <s v="All Ages"/>
    <s v="30 days"/>
    <x v="4"/>
    <n v="0.05"/>
    <n v="11718"/>
    <n v="7.75"/>
    <n v="39"/>
    <n v="300.46153846153845"/>
    <s v="Los Angeles"/>
    <s v="German"/>
    <n v="779"/>
    <n v="4811"/>
    <n v="10"/>
    <s v="Health &amp; Wellness"/>
    <x v="144"/>
  </r>
  <r>
    <s v="DataTech Solutions"/>
    <x v="4"/>
    <s v="Women 35-44"/>
    <s v="45 days"/>
    <x v="3"/>
    <n v="0.14000000000000001"/>
    <n v="16767"/>
    <n v="7.91"/>
    <n v="85"/>
    <n v="197.25882352941176"/>
    <s v="Chicago"/>
    <s v="French"/>
    <n v="607"/>
    <n v="8790"/>
    <n v="4"/>
    <s v="Health &amp; Wellness"/>
    <x v="145"/>
  </r>
  <r>
    <s v="NexGen Systems"/>
    <x v="2"/>
    <s v="Men 25-34"/>
    <s v="60 days"/>
    <x v="5"/>
    <n v="0.13"/>
    <n v="11677"/>
    <n v="6.98"/>
    <n v="48"/>
    <n v="243.27083333333334"/>
    <s v="Los Angeles"/>
    <s v="English"/>
    <n v="369"/>
    <n v="4823"/>
    <n v="1"/>
    <s v="Foodies"/>
    <x v="146"/>
  </r>
  <r>
    <s v="Alpha Innovations"/>
    <x v="0"/>
    <s v="Men 18-24"/>
    <s v="15 days"/>
    <x v="4"/>
    <n v="0.04"/>
    <n v="7571"/>
    <n v="6.47"/>
    <n v="11"/>
    <n v="688.27272727272725"/>
    <s v="Los Angeles"/>
    <s v="Spanish"/>
    <n v="286"/>
    <n v="4602"/>
    <n v="3"/>
    <s v="Health &amp; Wellness"/>
    <x v="147"/>
  </r>
  <r>
    <s v="Innovate Industries"/>
    <x v="4"/>
    <s v="Men 25-34"/>
    <s v="45 days"/>
    <x v="2"/>
    <n v="7.0000000000000007E-2"/>
    <n v="6274"/>
    <n v="3.61"/>
    <n v="43"/>
    <n v="145.90697674418604"/>
    <s v="Miami"/>
    <s v="Spanish"/>
    <n v="620"/>
    <n v="9386"/>
    <n v="5"/>
    <s v="Tech Enthusiasts"/>
    <x v="148"/>
  </r>
  <r>
    <s v="Innovate Industries"/>
    <x v="4"/>
    <s v="All Ages"/>
    <s v="15 days"/>
    <x v="0"/>
    <n v="0.14000000000000001"/>
    <n v="11616"/>
    <n v="5.43"/>
    <n v="126"/>
    <n v="92.19047619047619"/>
    <s v="New York"/>
    <s v="Mandarin"/>
    <n v="902"/>
    <n v="2358"/>
    <n v="3"/>
    <s v="Health &amp; Wellness"/>
    <x v="149"/>
  </r>
  <r>
    <s v="Innovate Industries"/>
    <x v="0"/>
    <s v="Women 35-44"/>
    <s v="15 days"/>
    <x v="2"/>
    <n v="0.11"/>
    <n v="17966"/>
    <n v="2.86"/>
    <n v="82"/>
    <n v="219.09756097560975"/>
    <s v="Los Angeles"/>
    <s v="French"/>
    <n v="748"/>
    <n v="8683"/>
    <n v="3"/>
    <s v="Fashionistas"/>
    <x v="150"/>
  </r>
  <r>
    <s v="Innovate Industries"/>
    <x v="2"/>
    <s v="Women 25-34"/>
    <s v="60 days"/>
    <x v="0"/>
    <n v="0.14000000000000001"/>
    <n v="12665"/>
    <n v="4.55"/>
    <n v="15"/>
    <n v="844.33333333333337"/>
    <s v="Miami"/>
    <s v="German"/>
    <n v="106"/>
    <n v="1526"/>
    <n v="9"/>
    <s v="Outdoor Adventurers"/>
    <x v="151"/>
  </r>
  <r>
    <s v="TechCorp"/>
    <x v="1"/>
    <s v="Men 25-34"/>
    <s v="30 days"/>
    <x v="5"/>
    <n v="0.08"/>
    <n v="16014"/>
    <n v="7.49"/>
    <n v="71"/>
    <n v="225.54929577464787"/>
    <s v="Miami"/>
    <s v="Spanish"/>
    <n v="893"/>
    <n v="5518"/>
    <n v="4"/>
    <s v="Outdoor Adventurers"/>
    <x v="152"/>
  </r>
  <r>
    <s v="Alpha Innovations"/>
    <x v="2"/>
    <s v="Women 25-34"/>
    <s v="60 days"/>
    <x v="5"/>
    <n v="0.14000000000000001"/>
    <n v="8115"/>
    <n v="4.68"/>
    <n v="137"/>
    <n v="59.23357664233577"/>
    <s v="Miami"/>
    <s v="German"/>
    <n v="975"/>
    <n v="3197"/>
    <n v="8"/>
    <s v="Outdoor Adventurers"/>
    <x v="153"/>
  </r>
  <r>
    <s v="Innovate Industries"/>
    <x v="0"/>
    <s v="All Ages"/>
    <s v="15 days"/>
    <x v="2"/>
    <n v="0.02"/>
    <n v="19499"/>
    <n v="6.22"/>
    <n v="3"/>
    <n v="6499.666666666667"/>
    <s v="Chicago"/>
    <s v="Spanish"/>
    <n v="170"/>
    <n v="6978"/>
    <n v="7"/>
    <s v="Tech Enthusiasts"/>
    <x v="154"/>
  </r>
  <r>
    <s v="Innovate Industries"/>
    <x v="0"/>
    <s v="Women 25-34"/>
    <s v="45 days"/>
    <x v="5"/>
    <n v="0.05"/>
    <n v="13832"/>
    <n v="4.1399999999999997"/>
    <n v="16"/>
    <n v="864.5"/>
    <s v="Los Angeles"/>
    <s v="German"/>
    <n v="329"/>
    <n v="9629"/>
    <n v="7"/>
    <s v="Health &amp; Wellness"/>
    <x v="155"/>
  </r>
  <r>
    <s v="DataTech Solutions"/>
    <x v="0"/>
    <s v="Women 35-44"/>
    <s v="45 days"/>
    <x v="4"/>
    <n v="0.05"/>
    <n v="8597"/>
    <n v="7.31"/>
    <n v="31"/>
    <n v="277.32258064516128"/>
    <s v="Miami"/>
    <s v="English"/>
    <n v="622"/>
    <n v="4588"/>
    <n v="5"/>
    <s v="Foodies"/>
    <x v="156"/>
  </r>
  <r>
    <s v="NexGen Systems"/>
    <x v="3"/>
    <s v="Men 25-34"/>
    <s v="60 days"/>
    <x v="3"/>
    <n v="7.0000000000000007E-2"/>
    <n v="10308"/>
    <n v="2.11"/>
    <n v="44"/>
    <n v="234.27272727272728"/>
    <s v="Miami"/>
    <s v="German"/>
    <n v="629"/>
    <n v="1003"/>
    <n v="5"/>
    <s v="Foodies"/>
    <x v="157"/>
  </r>
  <r>
    <s v="NexGen Systems"/>
    <x v="1"/>
    <s v="Men 18-24"/>
    <s v="60 days"/>
    <x v="4"/>
    <n v="0.05"/>
    <n v="8045"/>
    <n v="6.54"/>
    <n v="37"/>
    <n v="217.43243243243242"/>
    <s v="Chicago"/>
    <s v="French"/>
    <n v="744"/>
    <n v="3982"/>
    <n v="3"/>
    <s v="Foodies"/>
    <x v="158"/>
  </r>
  <r>
    <s v="DataTech Solutions"/>
    <x v="2"/>
    <s v="Women 35-44"/>
    <s v="30 days"/>
    <x v="1"/>
    <n v="0.14000000000000001"/>
    <n v="10589"/>
    <n v="3.05"/>
    <n v="43"/>
    <n v="246.25581395348837"/>
    <s v="Houston"/>
    <s v="French"/>
    <n v="308"/>
    <n v="7335"/>
    <n v="6"/>
    <s v="Fashionistas"/>
    <x v="159"/>
  </r>
  <r>
    <s v="Innovate Industries"/>
    <x v="3"/>
    <s v="Men 18-24"/>
    <s v="45 days"/>
    <x v="3"/>
    <n v="0.09"/>
    <n v="19220"/>
    <n v="3.86"/>
    <n v="35"/>
    <n v="549.14285714285711"/>
    <s v="New York"/>
    <s v="German"/>
    <n v="384"/>
    <n v="3231"/>
    <n v="2"/>
    <s v="Fashionistas"/>
    <x v="160"/>
  </r>
  <r>
    <s v="TechCorp"/>
    <x v="3"/>
    <s v="Men 18-24"/>
    <s v="60 days"/>
    <x v="3"/>
    <n v="0.13"/>
    <n v="18558"/>
    <n v="2.2599999999999998"/>
    <n v="43"/>
    <n v="431.58139534883719"/>
    <s v="Houston"/>
    <s v="Mandarin"/>
    <n v="329"/>
    <n v="1421"/>
    <n v="10"/>
    <s v="Health &amp; Wellness"/>
    <x v="161"/>
  </r>
  <r>
    <s v="Innovate Industries"/>
    <x v="1"/>
    <s v="All Ages"/>
    <s v="15 days"/>
    <x v="3"/>
    <n v="0.12"/>
    <n v="13815"/>
    <n v="7.73"/>
    <n v="107"/>
    <n v="129.11214953271028"/>
    <s v="New York"/>
    <s v="German"/>
    <n v="891"/>
    <n v="8008"/>
    <n v="8"/>
    <s v="Health &amp; Wellness"/>
    <x v="162"/>
  </r>
  <r>
    <s v="TechCorp"/>
    <x v="1"/>
    <s v="Women 25-34"/>
    <s v="60 days"/>
    <x v="3"/>
    <n v="0.01"/>
    <n v="16703"/>
    <n v="7.82"/>
    <n v="2"/>
    <n v="8351.5"/>
    <s v="Houston"/>
    <s v="Mandarin"/>
    <n v="233"/>
    <n v="6593"/>
    <n v="7"/>
    <s v="Health &amp; Wellness"/>
    <x v="163"/>
  </r>
  <r>
    <s v="Alpha Innovations"/>
    <x v="3"/>
    <s v="Women 25-34"/>
    <s v="15 days"/>
    <x v="1"/>
    <n v="0.02"/>
    <n v="18552"/>
    <n v="3.76"/>
    <n v="7"/>
    <n v="2650.2857142857142"/>
    <s v="New York"/>
    <s v="German"/>
    <n v="362"/>
    <n v="4387"/>
    <n v="4"/>
    <s v="Fashionistas"/>
    <x v="164"/>
  </r>
  <r>
    <s v="Innovate Industries"/>
    <x v="3"/>
    <s v="Men 18-24"/>
    <s v="30 days"/>
    <x v="5"/>
    <n v="0.1"/>
    <n v="8510"/>
    <n v="6.31"/>
    <n v="21"/>
    <n v="405.23809523809524"/>
    <s v="Chicago"/>
    <s v="French"/>
    <n v="208"/>
    <n v="6060"/>
    <n v="1"/>
    <s v="Outdoor Adventurers"/>
    <x v="165"/>
  </r>
  <r>
    <s v="Innovate Industries"/>
    <x v="3"/>
    <s v="Women 35-44"/>
    <s v="60 days"/>
    <x v="2"/>
    <n v="7.0000000000000007E-2"/>
    <n v="8278"/>
    <n v="2.33"/>
    <n v="40"/>
    <n v="206.95"/>
    <s v="Houston"/>
    <s v="Spanish"/>
    <n v="577"/>
    <n v="1648"/>
    <n v="9"/>
    <s v="Outdoor Adventurers"/>
    <x v="166"/>
  </r>
  <r>
    <s v="TechCorp"/>
    <x v="3"/>
    <s v="All Ages"/>
    <s v="45 days"/>
    <x v="0"/>
    <n v="0.11"/>
    <n v="9189"/>
    <n v="2.06"/>
    <n v="12"/>
    <n v="765.75"/>
    <s v="Houston"/>
    <s v="German"/>
    <n v="106"/>
    <n v="2427"/>
    <n v="2"/>
    <s v="Outdoor Adventurers"/>
    <x v="167"/>
  </r>
  <r>
    <s v="Innovate Industries"/>
    <x v="0"/>
    <s v="Men 25-34"/>
    <s v="60 days"/>
    <x v="1"/>
    <n v="0.08"/>
    <n v="12851"/>
    <n v="3.02"/>
    <n v="30"/>
    <n v="428.36666666666667"/>
    <s v="Miami"/>
    <s v="English"/>
    <n v="375"/>
    <n v="6182"/>
    <n v="2"/>
    <s v="Outdoor Adventurers"/>
    <x v="168"/>
  </r>
  <r>
    <s v="NexGen Systems"/>
    <x v="4"/>
    <s v="Women 25-34"/>
    <s v="30 days"/>
    <x v="4"/>
    <n v="7.0000000000000007E-2"/>
    <n v="19828"/>
    <n v="5.31"/>
    <n v="18"/>
    <n v="1101.5555555555557"/>
    <s v="New York"/>
    <s v="Spanish"/>
    <n v="263"/>
    <n v="8563"/>
    <n v="6"/>
    <s v="Fashionistas"/>
    <x v="169"/>
  </r>
  <r>
    <s v="Alpha Innovations"/>
    <x v="0"/>
    <s v="Women 25-34"/>
    <s v="60 days"/>
    <x v="0"/>
    <n v="0.08"/>
    <n v="18133"/>
    <n v="3.1"/>
    <n v="28"/>
    <n v="647.60714285714289"/>
    <s v="Los Angeles"/>
    <s v="French"/>
    <n v="352"/>
    <n v="8933"/>
    <n v="1"/>
    <s v="Fashionistas"/>
    <x v="170"/>
  </r>
  <r>
    <s v="TechCorp"/>
    <x v="4"/>
    <s v="All Ages"/>
    <s v="45 days"/>
    <x v="5"/>
    <n v="0.09"/>
    <n v="6965"/>
    <n v="3.58"/>
    <n v="46"/>
    <n v="151.41304347826087"/>
    <s v="Los Angeles"/>
    <s v="German"/>
    <n v="510"/>
    <n v="8539"/>
    <n v="3"/>
    <s v="Tech Enthusiasts"/>
    <x v="171"/>
  </r>
  <r>
    <s v="TechCorp"/>
    <x v="2"/>
    <s v="All Ages"/>
    <s v="15 days"/>
    <x v="0"/>
    <n v="0.04"/>
    <n v="18878"/>
    <n v="7.07"/>
    <n v="28"/>
    <n v="674.21428571428567"/>
    <s v="Houston"/>
    <s v="Mandarin"/>
    <n v="691"/>
    <n v="6670"/>
    <n v="2"/>
    <s v="Outdoor Adventurers"/>
    <x v="172"/>
  </r>
  <r>
    <s v="DataTech Solutions"/>
    <x v="2"/>
    <s v="Women 35-44"/>
    <s v="30 days"/>
    <x v="1"/>
    <n v="0.11"/>
    <n v="7129"/>
    <n v="3.6"/>
    <n v="21"/>
    <n v="339.47619047619048"/>
    <s v="Chicago"/>
    <s v="Spanish"/>
    <n v="190"/>
    <n v="9616"/>
    <n v="3"/>
    <s v="Foodies"/>
    <x v="173"/>
  </r>
  <r>
    <s v="TechCorp"/>
    <x v="0"/>
    <s v="Women 35-44"/>
    <s v="60 days"/>
    <x v="3"/>
    <n v="0.06"/>
    <n v="19843"/>
    <n v="6.52"/>
    <n v="24"/>
    <n v="826.79166666666663"/>
    <s v="New York"/>
    <s v="German"/>
    <n v="396"/>
    <n v="5746"/>
    <n v="5"/>
    <s v="Fashionistas"/>
    <x v="174"/>
  </r>
  <r>
    <s v="Innovate Industries"/>
    <x v="2"/>
    <s v="Women 25-34"/>
    <s v="30 days"/>
    <x v="4"/>
    <n v="0.13"/>
    <n v="5878"/>
    <n v="2.59"/>
    <n v="82"/>
    <n v="71.682926829268297"/>
    <s v="New York"/>
    <s v="French"/>
    <n v="630"/>
    <n v="4275"/>
    <n v="7"/>
    <s v="Health &amp; Wellness"/>
    <x v="175"/>
  </r>
  <r>
    <s v="NexGen Systems"/>
    <x v="3"/>
    <s v="All Ages"/>
    <s v="60 days"/>
    <x v="0"/>
    <n v="0.1"/>
    <n v="7646"/>
    <n v="4.18"/>
    <n v="83"/>
    <n v="92.120481927710841"/>
    <s v="New York"/>
    <s v="French"/>
    <n v="827"/>
    <n v="4178"/>
    <n v="9"/>
    <s v="Tech Enthusiasts"/>
    <x v="176"/>
  </r>
  <r>
    <s v="NexGen Systems"/>
    <x v="4"/>
    <s v="Men 25-34"/>
    <s v="45 days"/>
    <x v="1"/>
    <n v="0.08"/>
    <n v="6539"/>
    <n v="7.37"/>
    <n v="52"/>
    <n v="125.75"/>
    <s v="New York"/>
    <s v="German"/>
    <n v="646"/>
    <n v="7333"/>
    <n v="2"/>
    <s v="Health &amp; Wellness"/>
    <x v="177"/>
  </r>
  <r>
    <s v="TechCorp"/>
    <x v="1"/>
    <s v="Men 18-24"/>
    <s v="15 days"/>
    <x v="3"/>
    <n v="0.09"/>
    <n v="15331"/>
    <n v="4.75"/>
    <n v="41"/>
    <n v="373.92682926829269"/>
    <s v="New York"/>
    <s v="Spanish"/>
    <n v="459"/>
    <n v="4147"/>
    <n v="8"/>
    <s v="Outdoor Adventurers"/>
    <x v="178"/>
  </r>
  <r>
    <s v="NexGen Systems"/>
    <x v="4"/>
    <s v="Women 25-34"/>
    <s v="30 days"/>
    <x v="0"/>
    <n v="0.03"/>
    <n v="16598"/>
    <n v="3.12"/>
    <n v="29"/>
    <n v="572.34482758620686"/>
    <s v="Los Angeles"/>
    <s v="German"/>
    <n v="967"/>
    <n v="6138"/>
    <n v="8"/>
    <s v="Health &amp; Wellness"/>
    <x v="179"/>
  </r>
  <r>
    <s v="NexGen Systems"/>
    <x v="4"/>
    <s v="Men 18-24"/>
    <s v="60 days"/>
    <x v="3"/>
    <n v="0.03"/>
    <n v="16529"/>
    <n v="5.9"/>
    <n v="11"/>
    <n v="1502.6363636363637"/>
    <s v="Chicago"/>
    <s v="Spanish"/>
    <n v="372"/>
    <n v="3450"/>
    <n v="9"/>
    <s v="Fashionistas"/>
    <x v="180"/>
  </r>
  <r>
    <s v="DataTech Solutions"/>
    <x v="2"/>
    <s v="Men 25-34"/>
    <s v="30 days"/>
    <x v="0"/>
    <n v="7.0000000000000007E-2"/>
    <n v="19654"/>
    <n v="7.85"/>
    <n v="22"/>
    <n v="893.36363636363637"/>
    <s v="Miami"/>
    <s v="Spanish"/>
    <n v="315"/>
    <n v="7413"/>
    <n v="8"/>
    <s v="Health &amp; Wellness"/>
    <x v="181"/>
  </r>
  <r>
    <s v="TechCorp"/>
    <x v="4"/>
    <s v="All Ages"/>
    <s v="60 days"/>
    <x v="4"/>
    <n v="0.11"/>
    <n v="19601"/>
    <n v="7.22"/>
    <n v="101"/>
    <n v="194.06930693069307"/>
    <s v="New York"/>
    <s v="English"/>
    <n v="921"/>
    <n v="1287"/>
    <n v="1"/>
    <s v="Health &amp; Wellness"/>
    <x v="182"/>
  </r>
  <r>
    <s v="DataTech Solutions"/>
    <x v="1"/>
    <s v="All Ages"/>
    <s v="45 days"/>
    <x v="1"/>
    <n v="0.11"/>
    <n v="15904"/>
    <n v="3.59"/>
    <n v="88"/>
    <n v="180.72727272727272"/>
    <s v="Miami"/>
    <s v="Spanish"/>
    <n v="804"/>
    <n v="8439"/>
    <n v="3"/>
    <s v="Tech Enthusiasts"/>
    <x v="183"/>
  </r>
  <r>
    <s v="TechCorp"/>
    <x v="3"/>
    <s v="Women 25-34"/>
    <s v="30 days"/>
    <x v="2"/>
    <n v="0.12"/>
    <n v="6870"/>
    <n v="3.37"/>
    <n v="77"/>
    <n v="89.220779220779221"/>
    <s v="Houston"/>
    <s v="French"/>
    <n v="641"/>
    <n v="6090"/>
    <n v="9"/>
    <s v="Fashionistas"/>
    <x v="184"/>
  </r>
  <r>
    <s v="NexGen Systems"/>
    <x v="4"/>
    <s v="Men 18-24"/>
    <s v="15 days"/>
    <x v="2"/>
    <n v="0.09"/>
    <n v="13841"/>
    <n v="2.29"/>
    <n v="52"/>
    <n v="266.17307692307691"/>
    <s v="Houston"/>
    <s v="German"/>
    <n v="579"/>
    <n v="4036"/>
    <n v="6"/>
    <s v="Health &amp; Wellness"/>
    <x v="185"/>
  </r>
  <r>
    <s v="Innovate Industries"/>
    <x v="1"/>
    <s v="All Ages"/>
    <s v="15 days"/>
    <x v="5"/>
    <n v="0.06"/>
    <n v="5347"/>
    <n v="3.29"/>
    <n v="10"/>
    <n v="534.70000000000005"/>
    <s v="Chicago"/>
    <s v="Mandarin"/>
    <n v="161"/>
    <n v="3472"/>
    <n v="10"/>
    <s v="Tech Enthusiasts"/>
    <x v="186"/>
  </r>
  <r>
    <s v="DataTech Solutions"/>
    <x v="4"/>
    <s v="Women 35-44"/>
    <s v="15 days"/>
    <x v="1"/>
    <n v="0.06"/>
    <n v="14782"/>
    <n v="7"/>
    <n v="39"/>
    <n v="379.02564102564105"/>
    <s v="Houston"/>
    <s v="French"/>
    <n v="646"/>
    <n v="6350"/>
    <n v="1"/>
    <s v="Tech Enthusiasts"/>
    <x v="187"/>
  </r>
  <r>
    <s v="Alpha Innovations"/>
    <x v="1"/>
    <s v="Women 35-44"/>
    <s v="30 days"/>
    <x v="3"/>
    <n v="0.05"/>
    <n v="15191"/>
    <n v="4.8499999999999996"/>
    <n v="35"/>
    <n v="434.02857142857141"/>
    <s v="Chicago"/>
    <s v="English"/>
    <n v="709"/>
    <n v="6213"/>
    <n v="8"/>
    <s v="Fashionistas"/>
    <x v="188"/>
  </r>
  <r>
    <s v="Alpha Innovations"/>
    <x v="2"/>
    <s v="Women 35-44"/>
    <s v="30 days"/>
    <x v="1"/>
    <n v="0.08"/>
    <n v="10099"/>
    <n v="6.36"/>
    <n v="51"/>
    <n v="198.01960784313727"/>
    <s v="Los Angeles"/>
    <s v="Spanish"/>
    <n v="637"/>
    <n v="8841"/>
    <n v="1"/>
    <s v="Health &amp; Wellness"/>
    <x v="189"/>
  </r>
  <r>
    <s v="NexGen Systems"/>
    <x v="4"/>
    <s v="Men 18-24"/>
    <s v="45 days"/>
    <x v="4"/>
    <n v="0.09"/>
    <n v="9385"/>
    <n v="7.37"/>
    <n v="17"/>
    <n v="552.05882352941171"/>
    <s v="Los Angeles"/>
    <s v="Spanish"/>
    <n v="187"/>
    <n v="7846"/>
    <n v="7"/>
    <s v="Outdoor Adventurers"/>
    <x v="190"/>
  </r>
  <r>
    <s v="DataTech Solutions"/>
    <x v="2"/>
    <s v="Men 18-24"/>
    <s v="30 days"/>
    <x v="0"/>
    <n v="0.08"/>
    <n v="7783"/>
    <n v="4.62"/>
    <n v="42"/>
    <n v="185.3095238095238"/>
    <s v="Miami"/>
    <s v="Spanish"/>
    <n v="522"/>
    <n v="1722"/>
    <n v="10"/>
    <s v="Outdoor Adventurers"/>
    <x v="191"/>
  </r>
  <r>
    <s v="NexGen Systems"/>
    <x v="0"/>
    <s v="All Ages"/>
    <s v="60 days"/>
    <x v="1"/>
    <n v="0.03"/>
    <n v="6442"/>
    <n v="6.79"/>
    <n v="19"/>
    <n v="339.05263157894734"/>
    <s v="New York"/>
    <s v="French"/>
    <n v="645"/>
    <n v="8605"/>
    <n v="7"/>
    <s v="Outdoor Adventurers"/>
    <x v="192"/>
  </r>
  <r>
    <s v="Innovate Industries"/>
    <x v="0"/>
    <s v="Women 35-44"/>
    <s v="60 days"/>
    <x v="5"/>
    <n v="0.03"/>
    <n v="8768"/>
    <n v="2.0299999999999998"/>
    <n v="13"/>
    <n v="674.46153846153845"/>
    <s v="Miami"/>
    <s v="English"/>
    <n v="432"/>
    <n v="4584"/>
    <n v="10"/>
    <s v="Fashionistas"/>
    <x v="193"/>
  </r>
  <r>
    <s v="Alpha Innovations"/>
    <x v="1"/>
    <s v="Men 18-24"/>
    <s v="60 days"/>
    <x v="0"/>
    <n v="0.11"/>
    <n v="14876"/>
    <n v="5.68"/>
    <n v="93"/>
    <n v="159.95698924731184"/>
    <s v="Houston"/>
    <s v="Mandarin"/>
    <n v="844"/>
    <n v="3977"/>
    <n v="9"/>
    <s v="Outdoor Adventurers"/>
    <x v="194"/>
  </r>
  <r>
    <s v="Alpha Innovations"/>
    <x v="4"/>
    <s v="Women 35-44"/>
    <s v="60 days"/>
    <x v="1"/>
    <n v="0.06"/>
    <n v="16370"/>
    <n v="5.95"/>
    <n v="10"/>
    <n v="1637"/>
    <s v="Chicago"/>
    <s v="French"/>
    <n v="162"/>
    <n v="7026"/>
    <n v="5"/>
    <s v="Tech Enthusiasts"/>
    <x v="195"/>
  </r>
  <r>
    <s v="Innovate Industries"/>
    <x v="2"/>
    <s v="Men 25-34"/>
    <s v="30 days"/>
    <x v="5"/>
    <n v="0.1"/>
    <n v="17202"/>
    <n v="6.88"/>
    <n v="70"/>
    <n v="245.74285714285713"/>
    <s v="Chicago"/>
    <s v="French"/>
    <n v="702"/>
    <n v="8105"/>
    <n v="10"/>
    <s v="Fashionistas"/>
    <x v="196"/>
  </r>
  <r>
    <s v="DataTech Solutions"/>
    <x v="1"/>
    <s v="Women 25-34"/>
    <s v="15 days"/>
    <x v="2"/>
    <n v="0.12"/>
    <n v="18715"/>
    <n v="7.39"/>
    <n v="52"/>
    <n v="359.90384615384613"/>
    <s v="New York"/>
    <s v="Spanish"/>
    <n v="434"/>
    <n v="7760"/>
    <n v="9"/>
    <s v="Fashionistas"/>
    <x v="197"/>
  </r>
  <r>
    <s v="Alpha Innovations"/>
    <x v="1"/>
    <s v="Women 25-34"/>
    <s v="45 days"/>
    <x v="0"/>
    <n v="0.01"/>
    <n v="16827"/>
    <n v="7.61"/>
    <n v="4"/>
    <n v="4206.75"/>
    <s v="Los Angeles"/>
    <s v="French"/>
    <n v="365"/>
    <n v="9809"/>
    <n v="8"/>
    <s v="Health &amp; Wellness"/>
    <x v="198"/>
  </r>
  <r>
    <s v="NexGen Systems"/>
    <x v="3"/>
    <s v="All Ages"/>
    <s v="30 days"/>
    <x v="5"/>
    <n v="7.0000000000000007E-2"/>
    <n v="14803"/>
    <n v="4.24"/>
    <n v="49"/>
    <n v="302.10204081632651"/>
    <s v="Houston"/>
    <s v="German"/>
    <n v="695"/>
    <n v="5025"/>
    <n v="3"/>
    <s v="Tech Enthusiasts"/>
    <x v="199"/>
  </r>
  <r>
    <s v="Innovate Industries"/>
    <x v="3"/>
    <s v="All Ages"/>
    <s v="60 days"/>
    <x v="4"/>
    <n v="0.03"/>
    <n v="13896"/>
    <n v="3.08"/>
    <n v="13"/>
    <n v="1068.9230769230769"/>
    <s v="Chicago"/>
    <s v="Mandarin"/>
    <n v="438"/>
    <n v="9102"/>
    <n v="1"/>
    <s v="Foodies"/>
    <x v="200"/>
  </r>
  <r>
    <s v="Alpha Innovations"/>
    <x v="3"/>
    <s v="All Ages"/>
    <s v="15 days"/>
    <x v="4"/>
    <n v="0.13"/>
    <n v="18020"/>
    <n v="5.79"/>
    <n v="14"/>
    <n v="1287.1428571428571"/>
    <s v="Miami"/>
    <s v="French"/>
    <n v="104"/>
    <n v="9304"/>
    <n v="4"/>
    <s v="Fashionistas"/>
    <x v="201"/>
  </r>
  <r>
    <s v="TechCorp"/>
    <x v="2"/>
    <s v="All Ages"/>
    <s v="15 days"/>
    <x v="3"/>
    <n v="0.1"/>
    <n v="16437"/>
    <n v="4.3"/>
    <n v="35"/>
    <n v="469.62857142857143"/>
    <s v="Miami"/>
    <s v="German"/>
    <n v="349"/>
    <n v="4757"/>
    <n v="8"/>
    <s v="Outdoor Adventurers"/>
    <x v="202"/>
  </r>
  <r>
    <s v="NexGen Systems"/>
    <x v="2"/>
    <s v="Men 25-34"/>
    <s v="15 days"/>
    <x v="5"/>
    <n v="0.09"/>
    <n v="15905"/>
    <n v="6.72"/>
    <n v="34"/>
    <n v="467.79411764705884"/>
    <s v="Miami"/>
    <s v="English"/>
    <n v="378"/>
    <n v="4548"/>
    <n v="9"/>
    <s v="Outdoor Adventurers"/>
    <x v="203"/>
  </r>
  <r>
    <s v="DataTech Solutions"/>
    <x v="0"/>
    <s v="Men 25-34"/>
    <s v="30 days"/>
    <x v="0"/>
    <n v="0.03"/>
    <n v="15564"/>
    <n v="5.5"/>
    <n v="26"/>
    <n v="598.61538461538464"/>
    <s v="Chicago"/>
    <s v="Spanish"/>
    <n v="856"/>
    <n v="5957"/>
    <n v="3"/>
    <s v="Fashionistas"/>
    <x v="204"/>
  </r>
  <r>
    <s v="TechCorp"/>
    <x v="4"/>
    <s v="Women 25-34"/>
    <s v="15 days"/>
    <x v="1"/>
    <n v="0.13"/>
    <n v="5699"/>
    <n v="5.41"/>
    <n v="52"/>
    <n v="109.59615384615384"/>
    <s v="Chicago"/>
    <s v="English"/>
    <n v="399"/>
    <n v="9133"/>
    <n v="9"/>
    <s v="Tech Enthusiasts"/>
    <x v="205"/>
  </r>
  <r>
    <s v="DataTech Solutions"/>
    <x v="4"/>
    <s v="Women 25-34"/>
    <s v="15 days"/>
    <x v="3"/>
    <n v="0.03"/>
    <n v="13690"/>
    <n v="3.09"/>
    <n v="19"/>
    <n v="720.52631578947364"/>
    <s v="Chicago"/>
    <s v="German"/>
    <n v="631"/>
    <n v="1942"/>
    <n v="3"/>
    <s v="Foodies"/>
    <x v="206"/>
  </r>
  <r>
    <s v="Innovate Industries"/>
    <x v="3"/>
    <s v="All Ages"/>
    <s v="30 days"/>
    <x v="3"/>
    <n v="0.1"/>
    <n v="15597"/>
    <n v="6.81"/>
    <n v="82"/>
    <n v="190.20731707317074"/>
    <s v="Los Angeles"/>
    <s v="Spanish"/>
    <n v="818"/>
    <n v="1144"/>
    <n v="5"/>
    <s v="Fashionistas"/>
    <x v="207"/>
  </r>
  <r>
    <s v="NexGen Systems"/>
    <x v="3"/>
    <s v="Women 35-44"/>
    <s v="60 days"/>
    <x v="1"/>
    <n v="0.15"/>
    <n v="14476"/>
    <n v="5.12"/>
    <n v="128"/>
    <n v="113.09375"/>
    <s v="Chicago"/>
    <s v="German"/>
    <n v="854"/>
    <n v="6365"/>
    <n v="2"/>
    <s v="Health &amp; Wellness"/>
    <x v="208"/>
  </r>
  <r>
    <s v="Alpha Innovations"/>
    <x v="3"/>
    <s v="Women 35-44"/>
    <s v="45 days"/>
    <x v="1"/>
    <n v="0.04"/>
    <n v="6681"/>
    <n v="5.0199999999999996"/>
    <n v="20"/>
    <n v="334.05"/>
    <s v="Houston"/>
    <s v="German"/>
    <n v="509"/>
    <n v="1124"/>
    <n v="1"/>
    <s v="Tech Enthusiasts"/>
    <x v="209"/>
  </r>
  <r>
    <s v="NexGen Systems"/>
    <x v="3"/>
    <s v="Men 18-24"/>
    <s v="45 days"/>
    <x v="1"/>
    <n v="0.14000000000000001"/>
    <n v="14245"/>
    <n v="2.36"/>
    <n v="139"/>
    <n v="102.4820143884892"/>
    <s v="Los Angeles"/>
    <s v="German"/>
    <n v="991"/>
    <n v="3818"/>
    <n v="10"/>
    <s v="Foodies"/>
    <x v="210"/>
  </r>
  <r>
    <s v="Alpha Innovations"/>
    <x v="1"/>
    <s v="Women 25-34"/>
    <s v="45 days"/>
    <x v="4"/>
    <n v="0.02"/>
    <n v="11518"/>
    <n v="3.2"/>
    <n v="6"/>
    <n v="1919.6666666666667"/>
    <s v="Miami"/>
    <s v="Mandarin"/>
    <n v="289"/>
    <n v="5398"/>
    <n v="5"/>
    <s v="Outdoor Adventurers"/>
    <x v="211"/>
  </r>
  <r>
    <s v="TechCorp"/>
    <x v="0"/>
    <s v="Women 25-34"/>
    <s v="15 days"/>
    <x v="3"/>
    <n v="0.02"/>
    <n v="16538"/>
    <n v="3.86"/>
    <n v="3"/>
    <n v="5512.666666666667"/>
    <s v="Miami"/>
    <s v="English"/>
    <n v="170"/>
    <n v="2793"/>
    <n v="3"/>
    <s v="Fashionistas"/>
    <x v="212"/>
  </r>
  <r>
    <s v="Innovate Industries"/>
    <x v="1"/>
    <s v="Men 18-24"/>
    <s v="60 days"/>
    <x v="5"/>
    <n v="0.08"/>
    <n v="5950"/>
    <n v="3.55"/>
    <n v="8"/>
    <n v="743.75"/>
    <s v="Miami"/>
    <s v="Mandarin"/>
    <n v="100"/>
    <n v="4028"/>
    <n v="1"/>
    <s v="Tech Enthusiasts"/>
    <x v="213"/>
  </r>
  <r>
    <s v="DataTech Solutions"/>
    <x v="2"/>
    <s v="Women 25-34"/>
    <s v="60 days"/>
    <x v="5"/>
    <n v="0.11"/>
    <n v="7152"/>
    <n v="4.88"/>
    <n v="81"/>
    <n v="88.296296296296291"/>
    <s v="Houston"/>
    <s v="English"/>
    <n v="738"/>
    <n v="3057"/>
    <n v="4"/>
    <s v="Outdoor Adventurers"/>
    <x v="214"/>
  </r>
  <r>
    <s v="TechCorp"/>
    <x v="2"/>
    <s v="Women 25-34"/>
    <s v="45 days"/>
    <x v="3"/>
    <n v="0.03"/>
    <n v="6813"/>
    <n v="4.9800000000000004"/>
    <n v="12"/>
    <n v="567.75"/>
    <s v="Chicago"/>
    <s v="Mandarin"/>
    <n v="384"/>
    <n v="8458"/>
    <n v="1"/>
    <s v="Fashionistas"/>
    <x v="215"/>
  </r>
  <r>
    <s v="Alpha Innovations"/>
    <x v="2"/>
    <s v="Men 25-34"/>
    <s v="15 days"/>
    <x v="3"/>
    <n v="7.0000000000000007E-2"/>
    <n v="7158"/>
    <n v="2.0699999999999998"/>
    <n v="10"/>
    <n v="715.8"/>
    <s v="Los Angeles"/>
    <s v="German"/>
    <n v="140"/>
    <n v="1073"/>
    <n v="4"/>
    <s v="Outdoor Adventurers"/>
    <x v="216"/>
  </r>
  <r>
    <s v="TechCorp"/>
    <x v="4"/>
    <s v="All Ages"/>
    <s v="60 days"/>
    <x v="5"/>
    <n v="0.09"/>
    <n v="17267"/>
    <n v="2.89"/>
    <n v="34"/>
    <n v="507.85294117647061"/>
    <s v="Chicago"/>
    <s v="Mandarin"/>
    <n v="375"/>
    <n v="1186"/>
    <n v="4"/>
    <s v="Foodies"/>
    <x v="217"/>
  </r>
  <r>
    <s v="NexGen Systems"/>
    <x v="0"/>
    <s v="Women 25-34"/>
    <s v="60 days"/>
    <x v="3"/>
    <n v="0.11"/>
    <n v="6153"/>
    <n v="2.61"/>
    <n v="18"/>
    <n v="341.83333333333331"/>
    <s v="Houston"/>
    <s v="Mandarin"/>
    <n v="165"/>
    <n v="3244"/>
    <n v="4"/>
    <s v="Tech Enthusiasts"/>
    <x v="218"/>
  </r>
  <r>
    <s v="NexGen Systems"/>
    <x v="1"/>
    <s v="All Ages"/>
    <s v="15 days"/>
    <x v="0"/>
    <n v="7.0000000000000007E-2"/>
    <n v="12338"/>
    <n v="3.13"/>
    <n v="18"/>
    <n v="685.44444444444446"/>
    <s v="New York"/>
    <s v="French"/>
    <n v="261"/>
    <n v="3985"/>
    <n v="5"/>
    <s v="Health &amp; Wellness"/>
    <x v="219"/>
  </r>
  <r>
    <s v="Alpha Innovations"/>
    <x v="3"/>
    <s v="All Ages"/>
    <s v="15 days"/>
    <x v="1"/>
    <n v="0.09"/>
    <n v="14474"/>
    <n v="6.95"/>
    <n v="23"/>
    <n v="629.304347826087"/>
    <s v="Miami"/>
    <s v="Spanish"/>
    <n v="250"/>
    <n v="6771"/>
    <n v="8"/>
    <s v="Outdoor Adventurers"/>
    <x v="220"/>
  </r>
  <r>
    <s v="Innovate Industries"/>
    <x v="0"/>
    <s v="Men 18-24"/>
    <s v="45 days"/>
    <x v="4"/>
    <n v="0.06"/>
    <n v="15576"/>
    <n v="6.03"/>
    <n v="37"/>
    <n v="420.97297297297297"/>
    <s v="New York"/>
    <s v="Spanish"/>
    <n v="616"/>
    <n v="2021"/>
    <n v="1"/>
    <s v="Tech Enthusiasts"/>
    <x v="221"/>
  </r>
  <r>
    <s v="Innovate Industries"/>
    <x v="4"/>
    <s v="Men 18-24"/>
    <s v="30 days"/>
    <x v="1"/>
    <n v="0.04"/>
    <n v="14793"/>
    <n v="3.48"/>
    <n v="40"/>
    <n v="369.82499999999999"/>
    <s v="Houston"/>
    <s v="Mandarin"/>
    <n v="994"/>
    <n v="9797"/>
    <n v="8"/>
    <s v="Health &amp; Wellness"/>
    <x v="222"/>
  </r>
  <r>
    <s v="Innovate Industries"/>
    <x v="3"/>
    <s v="All Ages"/>
    <s v="30 days"/>
    <x v="5"/>
    <n v="0.11"/>
    <n v="15370"/>
    <n v="2.31"/>
    <n v="44"/>
    <n v="349.31818181818181"/>
    <s v="Miami"/>
    <s v="French"/>
    <n v="402"/>
    <n v="5513"/>
    <n v="10"/>
    <s v="Outdoor Adventurers"/>
    <x v="223"/>
  </r>
  <r>
    <s v="Innovate Industries"/>
    <x v="3"/>
    <s v="Women 25-34"/>
    <s v="30 days"/>
    <x v="5"/>
    <n v="0.02"/>
    <n v="6615"/>
    <n v="4.59"/>
    <n v="14"/>
    <n v="472.5"/>
    <s v="Houston"/>
    <s v="German"/>
    <n v="704"/>
    <n v="6152"/>
    <n v="1"/>
    <s v="Tech Enthusiasts"/>
    <x v="224"/>
  </r>
  <r>
    <s v="TechCorp"/>
    <x v="3"/>
    <s v="Women 35-44"/>
    <s v="30 days"/>
    <x v="1"/>
    <n v="0.08"/>
    <n v="6088"/>
    <n v="6.27"/>
    <n v="58"/>
    <n v="104.96551724137932"/>
    <s v="Chicago"/>
    <s v="English"/>
    <n v="725"/>
    <n v="4264"/>
    <n v="10"/>
    <s v="Foodies"/>
    <x v="225"/>
  </r>
  <r>
    <s v="TechCorp"/>
    <x v="0"/>
    <s v="Women 35-44"/>
    <s v="30 days"/>
    <x v="5"/>
    <n v="0.06"/>
    <n v="15660"/>
    <n v="6.43"/>
    <n v="7"/>
    <n v="2237.1428571428573"/>
    <s v="Los Angeles"/>
    <s v="German"/>
    <n v="118"/>
    <n v="3192"/>
    <n v="8"/>
    <s v="Tech Enthusiasts"/>
    <x v="226"/>
  </r>
  <r>
    <s v="TechCorp"/>
    <x v="1"/>
    <s v="Women 35-44"/>
    <s v="45 days"/>
    <x v="2"/>
    <n v="0.14000000000000001"/>
    <n v="18516"/>
    <n v="6.8"/>
    <n v="129"/>
    <n v="143.53488372093022"/>
    <s v="Houston"/>
    <s v="Mandarin"/>
    <n v="923"/>
    <n v="7447"/>
    <n v="8"/>
    <s v="Tech Enthusiasts"/>
    <x v="227"/>
  </r>
  <r>
    <s v="DataTech Solutions"/>
    <x v="2"/>
    <s v="Women 25-34"/>
    <s v="60 days"/>
    <x v="1"/>
    <n v="0.06"/>
    <n v="14734"/>
    <n v="2.3199999999999998"/>
    <n v="14"/>
    <n v="1052.4285714285713"/>
    <s v="Chicago"/>
    <s v="German"/>
    <n v="228"/>
    <n v="2850"/>
    <n v="8"/>
    <s v="Fashionistas"/>
    <x v="228"/>
  </r>
  <r>
    <s v="NexGen Systems"/>
    <x v="4"/>
    <s v="Women 35-44"/>
    <s v="60 days"/>
    <x v="5"/>
    <n v="0.09"/>
    <n v="17654"/>
    <n v="2.79"/>
    <n v="78"/>
    <n v="226.33333333333334"/>
    <s v="Houston"/>
    <s v="German"/>
    <n v="862"/>
    <n v="4858"/>
    <n v="8"/>
    <s v="Tech Enthusiasts"/>
    <x v="229"/>
  </r>
  <r>
    <s v="Alpha Innovations"/>
    <x v="3"/>
    <s v="Women 35-44"/>
    <s v="45 days"/>
    <x v="3"/>
    <n v="0.14000000000000001"/>
    <n v="8043"/>
    <n v="2.99"/>
    <n v="45"/>
    <n v="178.73333333333332"/>
    <s v="New York"/>
    <s v="German"/>
    <n v="321"/>
    <n v="8204"/>
    <n v="7"/>
    <s v="Health &amp; Wellness"/>
    <x v="230"/>
  </r>
  <r>
    <s v="TechCorp"/>
    <x v="0"/>
    <s v="Women 35-44"/>
    <s v="60 days"/>
    <x v="4"/>
    <n v="0.02"/>
    <n v="13930"/>
    <n v="2.0499999999999998"/>
    <n v="11"/>
    <n v="1266.3636363636363"/>
    <s v="Chicago"/>
    <s v="Mandarin"/>
    <n v="556"/>
    <n v="9090"/>
    <n v="3"/>
    <s v="Tech Enthusiasts"/>
    <x v="231"/>
  </r>
  <r>
    <s v="Innovate Industries"/>
    <x v="3"/>
    <s v="Men 18-24"/>
    <s v="45 days"/>
    <x v="2"/>
    <n v="0.12"/>
    <n v="5068"/>
    <n v="4.5999999999999996"/>
    <n v="98"/>
    <n v="51.714285714285715"/>
    <s v="Los Angeles"/>
    <s v="Mandarin"/>
    <n v="815"/>
    <n v="5805"/>
    <n v="4"/>
    <s v="Foodies"/>
    <x v="232"/>
  </r>
  <r>
    <s v="Alpha Innovations"/>
    <x v="4"/>
    <s v="Women 35-44"/>
    <s v="15 days"/>
    <x v="1"/>
    <n v="0.09"/>
    <n v="17879"/>
    <n v="3.76"/>
    <n v="78"/>
    <n v="229.21794871794873"/>
    <s v="Los Angeles"/>
    <s v="Mandarin"/>
    <n v="867"/>
    <n v="5254"/>
    <n v="7"/>
    <s v="Foodies"/>
    <x v="233"/>
  </r>
  <r>
    <s v="Innovate Industries"/>
    <x v="1"/>
    <s v="All Ages"/>
    <s v="45 days"/>
    <x v="5"/>
    <n v="0.09"/>
    <n v="13902"/>
    <n v="2.98"/>
    <n v="21"/>
    <n v="662"/>
    <s v="Los Angeles"/>
    <s v="French"/>
    <n v="235"/>
    <n v="6585"/>
    <n v="5"/>
    <s v="Foodies"/>
    <x v="234"/>
  </r>
  <r>
    <s v="Alpha Innovations"/>
    <x v="3"/>
    <s v="Men 18-24"/>
    <s v="60 days"/>
    <x v="4"/>
    <n v="0.12"/>
    <n v="8006"/>
    <n v="7.26"/>
    <n v="63"/>
    <n v="127.07936507936508"/>
    <s v="Los Angeles"/>
    <s v="English"/>
    <n v="527"/>
    <n v="3562"/>
    <n v="10"/>
    <s v="Fashionistas"/>
    <x v="235"/>
  </r>
  <r>
    <s v="Alpha Innovations"/>
    <x v="3"/>
    <s v="All Ages"/>
    <s v="60 days"/>
    <x v="3"/>
    <n v="7.0000000000000007E-2"/>
    <n v="12897"/>
    <n v="3.25"/>
    <n v="37"/>
    <n v="348.56756756756755"/>
    <s v="Los Angeles"/>
    <s v="English"/>
    <n v="534"/>
    <n v="9100"/>
    <n v="9"/>
    <s v="Fashionistas"/>
    <x v="236"/>
  </r>
  <r>
    <s v="NexGen Systems"/>
    <x v="1"/>
    <s v="Women 35-44"/>
    <s v="15 days"/>
    <x v="3"/>
    <n v="0.02"/>
    <n v="18758"/>
    <n v="2.52"/>
    <n v="8"/>
    <n v="2344.75"/>
    <s v="Miami"/>
    <s v="Spanish"/>
    <n v="393"/>
    <n v="3483"/>
    <n v="8"/>
    <s v="Outdoor Adventurers"/>
    <x v="237"/>
  </r>
  <r>
    <s v="Alpha Innovations"/>
    <x v="2"/>
    <s v="Women 35-44"/>
    <s v="30 days"/>
    <x v="0"/>
    <n v="0.02"/>
    <n v="15097"/>
    <n v="2.56"/>
    <n v="20"/>
    <n v="754.85"/>
    <s v="Houston"/>
    <s v="English"/>
    <n v="985"/>
    <n v="5650"/>
    <n v="5"/>
    <s v="Fashionistas"/>
    <x v="238"/>
  </r>
  <r>
    <s v="TechCorp"/>
    <x v="0"/>
    <s v="Women 25-34"/>
    <s v="60 days"/>
    <x v="1"/>
    <n v="7.0000000000000007E-2"/>
    <n v="8718"/>
    <n v="5.16"/>
    <n v="24"/>
    <n v="363.25"/>
    <s v="Chicago"/>
    <s v="Spanish"/>
    <n v="336"/>
    <n v="4992"/>
    <n v="5"/>
    <s v="Health &amp; Wellness"/>
    <x v="239"/>
  </r>
  <r>
    <s v="TechCorp"/>
    <x v="3"/>
    <s v="All Ages"/>
    <s v="45 days"/>
    <x v="3"/>
    <n v="0.04"/>
    <n v="12538"/>
    <n v="4.8099999999999996"/>
    <n v="32"/>
    <n v="391.8125"/>
    <s v="Chicago"/>
    <s v="English"/>
    <n v="801"/>
    <n v="3340"/>
    <n v="2"/>
    <s v="Foodies"/>
    <x v="240"/>
  </r>
  <r>
    <s v="Alpha Innovations"/>
    <x v="0"/>
    <s v="Women 25-34"/>
    <s v="60 days"/>
    <x v="0"/>
    <n v="0.08"/>
    <n v="9615"/>
    <n v="7.34"/>
    <n v="52"/>
    <n v="184.90384615384616"/>
    <s v="New York"/>
    <s v="Mandarin"/>
    <n v="655"/>
    <n v="7258"/>
    <n v="10"/>
    <s v="Fashionistas"/>
    <x v="241"/>
  </r>
  <r>
    <s v="Alpha Innovations"/>
    <x v="2"/>
    <s v="Men 18-24"/>
    <s v="15 days"/>
    <x v="0"/>
    <n v="7.0000000000000007E-2"/>
    <n v="5264"/>
    <n v="3.79"/>
    <n v="39"/>
    <n v="134.97435897435898"/>
    <s v="Chicago"/>
    <s v="French"/>
    <n v="550"/>
    <n v="5948"/>
    <n v="5"/>
    <s v="Tech Enthusiasts"/>
    <x v="242"/>
  </r>
  <r>
    <s v="Alpha Innovations"/>
    <x v="2"/>
    <s v="Men 18-24"/>
    <s v="30 days"/>
    <x v="2"/>
    <n v="0.02"/>
    <n v="5641"/>
    <n v="5.71"/>
    <n v="8"/>
    <n v="705.125"/>
    <s v="Houston"/>
    <s v="Spanish"/>
    <n v="406"/>
    <n v="9145"/>
    <n v="8"/>
    <s v="Health &amp; Wellness"/>
    <x v="243"/>
  </r>
  <r>
    <s v="DataTech Solutions"/>
    <x v="3"/>
    <s v="Men 18-24"/>
    <s v="60 days"/>
    <x v="1"/>
    <n v="0.02"/>
    <n v="17356"/>
    <n v="5.75"/>
    <n v="2"/>
    <n v="8678"/>
    <s v="New York"/>
    <s v="Spanish"/>
    <n v="103"/>
    <n v="1195"/>
    <n v="8"/>
    <s v="Outdoor Adventurers"/>
    <x v="244"/>
  </r>
  <r>
    <s v="TechCorp"/>
    <x v="0"/>
    <s v="Women 25-34"/>
    <s v="45 days"/>
    <x v="4"/>
    <n v="0.02"/>
    <n v="18025"/>
    <n v="3.68"/>
    <n v="8"/>
    <n v="2253.125"/>
    <s v="Miami"/>
    <s v="German"/>
    <n v="408"/>
    <n v="9374"/>
    <n v="5"/>
    <s v="Health &amp; Wellness"/>
    <x v="245"/>
  </r>
  <r>
    <s v="NexGen Systems"/>
    <x v="1"/>
    <s v="Women 25-34"/>
    <s v="60 days"/>
    <x v="3"/>
    <n v="0.11"/>
    <n v="5885"/>
    <n v="4"/>
    <n v="26"/>
    <n v="226.34615384615384"/>
    <s v="Los Angeles"/>
    <s v="English"/>
    <n v="232"/>
    <n v="2966"/>
    <n v="2"/>
    <s v="Foodies"/>
    <x v="246"/>
  </r>
  <r>
    <s v="Innovate Industries"/>
    <x v="2"/>
    <s v="Women 25-34"/>
    <s v="45 days"/>
    <x v="2"/>
    <n v="0.05"/>
    <n v="10270"/>
    <n v="6.88"/>
    <n v="35"/>
    <n v="293.42857142857144"/>
    <s v="Los Angeles"/>
    <s v="German"/>
    <n v="701"/>
    <n v="2349"/>
    <n v="10"/>
    <s v="Outdoor Adventurers"/>
    <x v="247"/>
  </r>
  <r>
    <s v="Alpha Innovations"/>
    <x v="2"/>
    <s v="Men 25-34"/>
    <s v="45 days"/>
    <x v="4"/>
    <n v="0.1"/>
    <n v="17309"/>
    <n v="6.63"/>
    <n v="60"/>
    <n v="288.48333333333335"/>
    <s v="Chicago"/>
    <s v="French"/>
    <n v="601"/>
    <n v="3708"/>
    <n v="2"/>
    <s v="Foodies"/>
    <x v="248"/>
  </r>
  <r>
    <s v="TechCorp"/>
    <x v="3"/>
    <s v="All Ages"/>
    <s v="45 days"/>
    <x v="4"/>
    <n v="0.05"/>
    <n v="8259"/>
    <n v="4.9000000000000004"/>
    <n v="15"/>
    <n v="550.6"/>
    <s v="Los Angeles"/>
    <s v="Mandarin"/>
    <n v="290"/>
    <n v="7247"/>
    <n v="4"/>
    <s v="Outdoor Adventurers"/>
    <x v="249"/>
  </r>
  <r>
    <s v="Innovate Industries"/>
    <x v="3"/>
    <s v="Men 25-34"/>
    <s v="60 days"/>
    <x v="4"/>
    <n v="0.01"/>
    <n v="10501"/>
    <n v="3.99"/>
    <n v="9"/>
    <n v="1166.7777777777778"/>
    <s v="Chicago"/>
    <s v="Mandarin"/>
    <n v="894"/>
    <n v="7198"/>
    <n v="1"/>
    <s v="Fashionistas"/>
    <x v="250"/>
  </r>
  <r>
    <s v="DataTech Solutions"/>
    <x v="0"/>
    <s v="Women 25-34"/>
    <s v="60 days"/>
    <x v="1"/>
    <n v="0.11"/>
    <n v="7653"/>
    <n v="6.82"/>
    <n v="104"/>
    <n v="73.586538461538467"/>
    <s v="New York"/>
    <s v="Mandarin"/>
    <n v="942"/>
    <n v="7715"/>
    <n v="2"/>
    <s v="Fashionistas"/>
    <x v="251"/>
  </r>
  <r>
    <s v="DataTech Solutions"/>
    <x v="0"/>
    <s v="Men 18-24"/>
    <s v="45 days"/>
    <x v="3"/>
    <n v="0.06"/>
    <n v="7954"/>
    <n v="2.82"/>
    <n v="40"/>
    <n v="198.85"/>
    <s v="New York"/>
    <s v="French"/>
    <n v="665"/>
    <n v="7713"/>
    <n v="7"/>
    <s v="Foodies"/>
    <x v="252"/>
  </r>
  <r>
    <s v="Alpha Innovations"/>
    <x v="2"/>
    <s v="All Ages"/>
    <s v="45 days"/>
    <x v="0"/>
    <n v="0.13"/>
    <n v="18280"/>
    <n v="4.78"/>
    <n v="116"/>
    <n v="157.58620689655172"/>
    <s v="Los Angeles"/>
    <s v="Mandarin"/>
    <n v="896"/>
    <n v="6219"/>
    <n v="1"/>
    <s v="Tech Enthusiasts"/>
    <x v="253"/>
  </r>
  <r>
    <s v="DataTech Solutions"/>
    <x v="4"/>
    <s v="Men 25-34"/>
    <s v="30 days"/>
    <x v="3"/>
    <n v="0.04"/>
    <n v="8587"/>
    <n v="7.9"/>
    <n v="23"/>
    <n v="373.3478260869565"/>
    <s v="Chicago"/>
    <s v="English"/>
    <n v="580"/>
    <n v="4000"/>
    <n v="10"/>
    <s v="Foodies"/>
    <x v="254"/>
  </r>
  <r>
    <s v="NexGen Systems"/>
    <x v="4"/>
    <s v="Men 25-34"/>
    <s v="60 days"/>
    <x v="2"/>
    <n v="0.09"/>
    <n v="7967"/>
    <n v="3.61"/>
    <n v="13"/>
    <n v="612.84615384615381"/>
    <s v="Los Angeles"/>
    <s v="French"/>
    <n v="139"/>
    <n v="4715"/>
    <n v="8"/>
    <s v="Foodies"/>
    <x v="255"/>
  </r>
  <r>
    <s v="Innovate Industries"/>
    <x v="4"/>
    <s v="Men 25-34"/>
    <s v="30 days"/>
    <x v="1"/>
    <n v="0.05"/>
    <n v="10908"/>
    <n v="4.84"/>
    <n v="21"/>
    <n v="519.42857142857144"/>
    <s v="Houston"/>
    <s v="Spanish"/>
    <n v="420"/>
    <n v="5434"/>
    <n v="6"/>
    <s v="Health &amp; Wellness"/>
    <x v="256"/>
  </r>
  <r>
    <s v="Alpha Innovations"/>
    <x v="1"/>
    <s v="Men 18-24"/>
    <s v="30 days"/>
    <x v="5"/>
    <n v="0.11"/>
    <n v="8971"/>
    <n v="7.67"/>
    <n v="39"/>
    <n v="230.02564102564102"/>
    <s v="Miami"/>
    <s v="French"/>
    <n v="354"/>
    <n v="6386"/>
    <n v="1"/>
    <s v="Foodies"/>
    <x v="257"/>
  </r>
  <r>
    <s v="DataTech Solutions"/>
    <x v="1"/>
    <s v="Women 35-44"/>
    <s v="15 days"/>
    <x v="2"/>
    <n v="0.02"/>
    <n v="17113"/>
    <n v="3.65"/>
    <n v="17"/>
    <n v="1006.6470588235294"/>
    <s v="Houston"/>
    <s v="Spanish"/>
    <n v="860"/>
    <n v="4744"/>
    <n v="4"/>
    <s v="Fashionistas"/>
    <x v="258"/>
  </r>
  <r>
    <s v="NexGen Systems"/>
    <x v="4"/>
    <s v="Men 25-34"/>
    <s v="45 days"/>
    <x v="1"/>
    <n v="0.02"/>
    <n v="11718"/>
    <n v="4.09"/>
    <n v="4"/>
    <n v="2929.5"/>
    <s v="Houston"/>
    <s v="French"/>
    <n v="181"/>
    <n v="4942"/>
    <n v="9"/>
    <s v="Fashionistas"/>
    <x v="259"/>
  </r>
  <r>
    <s v="TechCorp"/>
    <x v="1"/>
    <s v="Women 35-44"/>
    <s v="60 days"/>
    <x v="4"/>
    <n v="0.11"/>
    <n v="13218"/>
    <n v="3.37"/>
    <n v="15"/>
    <n v="881.2"/>
    <s v="Miami"/>
    <s v="German"/>
    <n v="136"/>
    <n v="7795"/>
    <n v="8"/>
    <s v="Foodies"/>
    <x v="260"/>
  </r>
  <r>
    <s v="Alpha Innovations"/>
    <x v="2"/>
    <s v="Men 18-24"/>
    <s v="45 days"/>
    <x v="0"/>
    <n v="0.1"/>
    <n v="19333"/>
    <n v="2.33"/>
    <n v="78"/>
    <n v="247.85897435897436"/>
    <s v="Miami"/>
    <s v="Spanish"/>
    <n v="784"/>
    <n v="2797"/>
    <n v="7"/>
    <s v="Fashionistas"/>
    <x v="261"/>
  </r>
  <r>
    <s v="Innovate Industries"/>
    <x v="4"/>
    <s v="Women 25-34"/>
    <s v="30 days"/>
    <x v="1"/>
    <n v="0.11"/>
    <n v="10757"/>
    <n v="5.33"/>
    <n v="14"/>
    <n v="768.35714285714289"/>
    <s v="Miami"/>
    <s v="English"/>
    <n v="126"/>
    <n v="3637"/>
    <n v="7"/>
    <s v="Outdoor Adventurers"/>
    <x v="262"/>
  </r>
  <r>
    <s v="NexGen Systems"/>
    <x v="3"/>
    <s v="Men 25-34"/>
    <s v="60 days"/>
    <x v="1"/>
    <n v="0.05"/>
    <n v="16907"/>
    <n v="3.66"/>
    <n v="49"/>
    <n v="345.0408163265306"/>
    <s v="Chicago"/>
    <s v="Mandarin"/>
    <n v="983"/>
    <n v="1383"/>
    <n v="8"/>
    <s v="Foodies"/>
    <x v="263"/>
  </r>
  <r>
    <s v="NexGen Systems"/>
    <x v="3"/>
    <s v="Men 25-34"/>
    <s v="60 days"/>
    <x v="3"/>
    <n v="0.1"/>
    <n v="5644"/>
    <n v="5.25"/>
    <n v="87"/>
    <n v="64.8735632183908"/>
    <s v="Houston"/>
    <s v="Spanish"/>
    <n v="870"/>
    <n v="3568"/>
    <n v="5"/>
    <s v="Foodies"/>
    <x v="264"/>
  </r>
  <r>
    <s v="Alpha Innovations"/>
    <x v="1"/>
    <s v="Men 18-24"/>
    <s v="60 days"/>
    <x v="5"/>
    <n v="0.01"/>
    <n v="14542"/>
    <n v="7.9"/>
    <n v="6"/>
    <n v="2423.6666666666665"/>
    <s v="Chicago"/>
    <s v="English"/>
    <n v="589"/>
    <n v="4281"/>
    <n v="7"/>
    <s v="Fashionistas"/>
    <x v="265"/>
  </r>
  <r>
    <s v="DataTech Solutions"/>
    <x v="4"/>
    <s v="Men 18-24"/>
    <s v="15 days"/>
    <x v="5"/>
    <n v="0.1"/>
    <n v="8051"/>
    <n v="7.42"/>
    <n v="89"/>
    <n v="90.460674157303373"/>
    <s v="Chicago"/>
    <s v="French"/>
    <n v="886"/>
    <n v="1557"/>
    <n v="7"/>
    <s v="Tech Enthusiasts"/>
    <x v="266"/>
  </r>
  <r>
    <s v="NexGen Systems"/>
    <x v="0"/>
    <s v="Men 25-34"/>
    <s v="15 days"/>
    <x v="5"/>
    <n v="0.03"/>
    <n v="16032"/>
    <n v="3.83"/>
    <n v="26"/>
    <n v="616.61538461538464"/>
    <s v="Houston"/>
    <s v="Mandarin"/>
    <n v="865"/>
    <n v="3424"/>
    <n v="6"/>
    <s v="Fashionistas"/>
    <x v="267"/>
  </r>
  <r>
    <s v="TechCorp"/>
    <x v="4"/>
    <s v="All Ages"/>
    <s v="30 days"/>
    <x v="0"/>
    <n v="0.08"/>
    <n v="17632"/>
    <n v="4.7300000000000004"/>
    <n v="61"/>
    <n v="289.04918032786884"/>
    <s v="Miami"/>
    <s v="French"/>
    <n v="762"/>
    <n v="7172"/>
    <n v="9"/>
    <s v="Tech Enthusiasts"/>
    <x v="268"/>
  </r>
  <r>
    <s v="Innovate Industries"/>
    <x v="0"/>
    <s v="Women 25-34"/>
    <s v="15 days"/>
    <x v="1"/>
    <n v="0.02"/>
    <n v="5870"/>
    <n v="4"/>
    <n v="19"/>
    <n v="308.94736842105266"/>
    <s v="Houston"/>
    <s v="German"/>
    <n v="949"/>
    <n v="8090"/>
    <n v="3"/>
    <s v="Health &amp; Wellness"/>
    <x v="269"/>
  </r>
  <r>
    <s v="Alpha Innovations"/>
    <x v="3"/>
    <s v="All Ages"/>
    <s v="15 days"/>
    <x v="2"/>
    <n v="0.14000000000000001"/>
    <n v="17354"/>
    <n v="2.06"/>
    <n v="26"/>
    <n v="667.46153846153845"/>
    <s v="New York"/>
    <s v="Spanish"/>
    <n v="187"/>
    <n v="1696"/>
    <n v="3"/>
    <s v="Health &amp; Wellness"/>
    <x v="270"/>
  </r>
  <r>
    <s v="Alpha Innovations"/>
    <x v="4"/>
    <s v="Women 25-34"/>
    <s v="60 days"/>
    <x v="2"/>
    <n v="0.03"/>
    <n v="17456"/>
    <n v="6.97"/>
    <n v="17"/>
    <n v="1026.8235294117646"/>
    <s v="Houston"/>
    <s v="English"/>
    <n v="570"/>
    <n v="3389"/>
    <n v="5"/>
    <s v="Foodies"/>
    <x v="271"/>
  </r>
  <r>
    <s v="Alpha Innovations"/>
    <x v="2"/>
    <s v="Men 18-24"/>
    <s v="45 days"/>
    <x v="4"/>
    <n v="0.15"/>
    <n v="14991"/>
    <n v="2.4500000000000002"/>
    <n v="102"/>
    <n v="146.97058823529412"/>
    <s v="Houston"/>
    <s v="French"/>
    <n v="681"/>
    <n v="6884"/>
    <n v="4"/>
    <s v="Foodies"/>
    <x v="272"/>
  </r>
  <r>
    <s v="Alpha Innovations"/>
    <x v="2"/>
    <s v="Men 25-34"/>
    <s v="15 days"/>
    <x v="5"/>
    <n v="0.1"/>
    <n v="19124"/>
    <n v="7.11"/>
    <n v="28"/>
    <n v="683"/>
    <s v="Miami"/>
    <s v="German"/>
    <n v="282"/>
    <n v="3485"/>
    <n v="4"/>
    <s v="Fashionistas"/>
    <x v="273"/>
  </r>
  <r>
    <s v="NexGen Systems"/>
    <x v="2"/>
    <s v="Women 35-44"/>
    <s v="45 days"/>
    <x v="0"/>
    <n v="0.05"/>
    <n v="10805"/>
    <n v="3.61"/>
    <n v="45"/>
    <n v="240.11111111111111"/>
    <s v="Miami"/>
    <s v="Mandarin"/>
    <n v="905"/>
    <n v="9725"/>
    <n v="5"/>
    <s v="Foodies"/>
    <x v="274"/>
  </r>
  <r>
    <s v="NexGen Systems"/>
    <x v="4"/>
    <s v="Women 25-34"/>
    <s v="15 days"/>
    <x v="4"/>
    <n v="0.12"/>
    <n v="13914"/>
    <n v="2.2400000000000002"/>
    <n v="105"/>
    <n v="132.51428571428571"/>
    <s v="Chicago"/>
    <s v="Spanish"/>
    <n v="876"/>
    <n v="8405"/>
    <n v="9"/>
    <s v="Fashionistas"/>
    <x v="275"/>
  </r>
  <r>
    <s v="Innovate Industries"/>
    <x v="3"/>
    <s v="Men 18-24"/>
    <s v="15 days"/>
    <x v="5"/>
    <n v="7.0000000000000007E-2"/>
    <n v="12388"/>
    <n v="6.23"/>
    <n v="16"/>
    <n v="774.25"/>
    <s v="New York"/>
    <s v="English"/>
    <n v="229"/>
    <n v="5609"/>
    <n v="5"/>
    <s v="Outdoor Adventurers"/>
    <x v="276"/>
  </r>
  <r>
    <s v="Innovate Industries"/>
    <x v="2"/>
    <s v="Men 25-34"/>
    <s v="30 days"/>
    <x v="4"/>
    <n v="7.0000000000000007E-2"/>
    <n v="19361"/>
    <n v="4.22"/>
    <n v="46"/>
    <n v="420.89130434782606"/>
    <s v="Chicago"/>
    <s v="Mandarin"/>
    <n v="654"/>
    <n v="4234"/>
    <n v="6"/>
    <s v="Health &amp; Wellness"/>
    <x v="277"/>
  </r>
  <r>
    <s v="DataTech Solutions"/>
    <x v="4"/>
    <s v="Women 35-44"/>
    <s v="30 days"/>
    <x v="2"/>
    <n v="0.14000000000000001"/>
    <n v="12277"/>
    <n v="2.7"/>
    <n v="74"/>
    <n v="165.90540540540542"/>
    <s v="Chicago"/>
    <s v="German"/>
    <n v="532"/>
    <n v="4114"/>
    <n v="9"/>
    <s v="Tech Enthusiasts"/>
    <x v="278"/>
  </r>
  <r>
    <s v="Innovate Industries"/>
    <x v="1"/>
    <s v="Women 25-34"/>
    <s v="30 days"/>
    <x v="2"/>
    <n v="0.14000000000000001"/>
    <n v="17623"/>
    <n v="5.56"/>
    <n v="90"/>
    <n v="195.8111111111111"/>
    <s v="Miami"/>
    <s v="Spanish"/>
    <n v="646"/>
    <n v="4403"/>
    <n v="7"/>
    <s v="Outdoor Adventurers"/>
    <x v="279"/>
  </r>
  <r>
    <s v="TechCorp"/>
    <x v="3"/>
    <s v="All Ages"/>
    <s v="15 days"/>
    <x v="3"/>
    <n v="0.14000000000000001"/>
    <n v="12504"/>
    <n v="3.17"/>
    <n v="104"/>
    <n v="120.23076923076923"/>
    <s v="Miami"/>
    <s v="English"/>
    <n v="744"/>
    <n v="6212"/>
    <n v="2"/>
    <s v="Tech Enthusiasts"/>
    <x v="280"/>
  </r>
  <r>
    <s v="Alpha Innovations"/>
    <x v="3"/>
    <s v="All Ages"/>
    <s v="45 days"/>
    <x v="4"/>
    <n v="0.1"/>
    <n v="16775"/>
    <n v="3.47"/>
    <n v="70"/>
    <n v="239.64285714285714"/>
    <s v="Chicago"/>
    <s v="Mandarin"/>
    <n v="700"/>
    <n v="3749"/>
    <n v="1"/>
    <s v="Fashionistas"/>
    <x v="281"/>
  </r>
  <r>
    <s v="DataTech Solutions"/>
    <x v="4"/>
    <s v="Women 25-34"/>
    <s v="45 days"/>
    <x v="5"/>
    <n v="0.09"/>
    <n v="15760"/>
    <n v="6.43"/>
    <n v="19"/>
    <n v="829.47368421052636"/>
    <s v="Houston"/>
    <s v="English"/>
    <n v="211"/>
    <n v="8667"/>
    <n v="5"/>
    <s v="Tech Enthusiasts"/>
    <x v="282"/>
  </r>
  <r>
    <s v="DataTech Solutions"/>
    <x v="3"/>
    <s v="Men 25-34"/>
    <s v="60 days"/>
    <x v="2"/>
    <n v="0.04"/>
    <n v="16751"/>
    <n v="4.5199999999999996"/>
    <n v="27"/>
    <n v="620.40740740740739"/>
    <s v="New York"/>
    <s v="German"/>
    <n v="663"/>
    <n v="4743"/>
    <n v="1"/>
    <s v="Health &amp; Wellness"/>
    <x v="283"/>
  </r>
  <r>
    <s v="NexGen Systems"/>
    <x v="4"/>
    <s v="Women 35-44"/>
    <s v="60 days"/>
    <x v="5"/>
    <n v="0.1"/>
    <n v="9612"/>
    <n v="3.6"/>
    <n v="63"/>
    <n v="152.57142857142858"/>
    <s v="Los Angeles"/>
    <s v="French"/>
    <n v="630"/>
    <n v="1219"/>
    <n v="8"/>
    <s v="Health &amp; Wellness"/>
    <x v="284"/>
  </r>
  <r>
    <s v="NexGen Systems"/>
    <x v="0"/>
    <s v="Men 18-24"/>
    <s v="60 days"/>
    <x v="3"/>
    <n v="0.11"/>
    <n v="13033"/>
    <n v="3.37"/>
    <n v="40"/>
    <n v="325.82499999999999"/>
    <s v="Houston"/>
    <s v="Spanish"/>
    <n v="368"/>
    <n v="7294"/>
    <n v="9"/>
    <s v="Fashionistas"/>
    <x v="285"/>
  </r>
  <r>
    <s v="Innovate Industries"/>
    <x v="3"/>
    <s v="Women 25-34"/>
    <s v="45 days"/>
    <x v="3"/>
    <n v="0.02"/>
    <n v="7900"/>
    <n v="5.89"/>
    <n v="7"/>
    <n v="1128.5714285714287"/>
    <s v="New York"/>
    <s v="Spanish"/>
    <n v="352"/>
    <n v="7020"/>
    <n v="10"/>
    <s v="Fashionistas"/>
    <x v="286"/>
  </r>
  <r>
    <s v="TechCorp"/>
    <x v="4"/>
    <s v="Men 25-34"/>
    <s v="60 days"/>
    <x v="3"/>
    <n v="0.12"/>
    <n v="19774"/>
    <n v="6.16"/>
    <n v="64"/>
    <n v="308.96875"/>
    <s v="Houston"/>
    <s v="Mandarin"/>
    <n v="530"/>
    <n v="6125"/>
    <n v="10"/>
    <s v="Outdoor Adventurers"/>
    <x v="287"/>
  </r>
  <r>
    <s v="NexGen Systems"/>
    <x v="2"/>
    <s v="All Ages"/>
    <s v="15 days"/>
    <x v="3"/>
    <n v="0.01"/>
    <n v="9447"/>
    <n v="6.62"/>
    <n v="9"/>
    <n v="1049.6666666666667"/>
    <s v="Miami"/>
    <s v="Spanish"/>
    <n v="873"/>
    <n v="9058"/>
    <n v="8"/>
    <s v="Foodies"/>
    <x v="288"/>
  </r>
  <r>
    <s v="Alpha Innovations"/>
    <x v="4"/>
    <s v="Women 25-34"/>
    <s v="15 days"/>
    <x v="5"/>
    <n v="0.04"/>
    <n v="9323"/>
    <n v="6.87"/>
    <n v="30"/>
    <n v="310.76666666666665"/>
    <s v="Los Angeles"/>
    <s v="French"/>
    <n v="754"/>
    <n v="9739"/>
    <n v="4"/>
    <s v="Tech Enthusiasts"/>
    <x v="289"/>
  </r>
  <r>
    <s v="TechCorp"/>
    <x v="2"/>
    <s v="Women 35-44"/>
    <s v="45 days"/>
    <x v="0"/>
    <n v="0.01"/>
    <n v="9584"/>
    <n v="4.5999999999999996"/>
    <n v="7"/>
    <n v="1369.1428571428571"/>
    <s v="Chicago"/>
    <s v="German"/>
    <n v="739"/>
    <n v="9682"/>
    <n v="2"/>
    <s v="Tech Enthusiasts"/>
    <x v="290"/>
  </r>
  <r>
    <s v="Innovate Industries"/>
    <x v="2"/>
    <s v="Women 35-44"/>
    <s v="30 days"/>
    <x v="2"/>
    <n v="0.03"/>
    <n v="19573"/>
    <n v="3.1"/>
    <n v="21"/>
    <n v="932.04761904761904"/>
    <s v="New York"/>
    <s v="Mandarin"/>
    <n v="689"/>
    <n v="3648"/>
    <n v="5"/>
    <s v="Fashionistas"/>
    <x v="291"/>
  </r>
  <r>
    <s v="NexGen Systems"/>
    <x v="1"/>
    <s v="Men 25-34"/>
    <s v="45 days"/>
    <x v="5"/>
    <n v="0.04"/>
    <n v="18916"/>
    <n v="3.85"/>
    <n v="29"/>
    <n v="652.27586206896547"/>
    <s v="New York"/>
    <s v="Mandarin"/>
    <n v="726"/>
    <n v="5180"/>
    <n v="5"/>
    <s v="Tech Enthusiasts"/>
    <x v="292"/>
  </r>
  <r>
    <s v="Innovate Industries"/>
    <x v="1"/>
    <s v="Women 35-44"/>
    <s v="60 days"/>
    <x v="5"/>
    <n v="0.1"/>
    <n v="13220"/>
    <n v="6.85"/>
    <n v="68"/>
    <n v="194.41176470588235"/>
    <s v="Chicago"/>
    <s v="Mandarin"/>
    <n v="680"/>
    <n v="6580"/>
    <n v="3"/>
    <s v="Tech Enthusiasts"/>
    <x v="293"/>
  </r>
  <r>
    <s v="Innovate Industries"/>
    <x v="0"/>
    <s v="All Ages"/>
    <s v="60 days"/>
    <x v="0"/>
    <n v="0.09"/>
    <n v="15167"/>
    <n v="7.84"/>
    <n v="81"/>
    <n v="187.24691358024691"/>
    <s v="Los Angeles"/>
    <s v="German"/>
    <n v="903"/>
    <n v="5320"/>
    <n v="3"/>
    <s v="Health &amp; Wellness"/>
    <x v="294"/>
  </r>
  <r>
    <s v="Alpha Innovations"/>
    <x v="4"/>
    <s v="Women 25-34"/>
    <s v="60 days"/>
    <x v="1"/>
    <n v="0.01"/>
    <n v="18509"/>
    <n v="7.46"/>
    <n v="5"/>
    <n v="3701.8"/>
    <s v="Chicago"/>
    <s v="Mandarin"/>
    <n v="528"/>
    <n v="5076"/>
    <n v="6"/>
    <s v="Fashionistas"/>
    <x v="295"/>
  </r>
  <r>
    <s v="NexGen Systems"/>
    <x v="1"/>
    <s v="Women 25-34"/>
    <s v="45 days"/>
    <x v="5"/>
    <n v="0.08"/>
    <n v="5581"/>
    <n v="7.32"/>
    <n v="26"/>
    <n v="214.65384615384616"/>
    <s v="Miami"/>
    <s v="English"/>
    <n v="328"/>
    <n v="3734"/>
    <n v="6"/>
    <s v="Tech Enthusiasts"/>
    <x v="296"/>
  </r>
  <r>
    <s v="TechCorp"/>
    <x v="4"/>
    <s v="All Ages"/>
    <s v="30 days"/>
    <x v="2"/>
    <n v="0.03"/>
    <n v="18472"/>
    <n v="3.5"/>
    <n v="14"/>
    <n v="1319.4285714285713"/>
    <s v="Houston"/>
    <s v="French"/>
    <n v="455"/>
    <n v="9684"/>
    <n v="8"/>
    <s v="Health &amp; Wellness"/>
    <x v="297"/>
  </r>
  <r>
    <s v="Innovate Industries"/>
    <x v="4"/>
    <s v="Men 18-24"/>
    <s v="30 days"/>
    <x v="5"/>
    <n v="0.01"/>
    <n v="18531"/>
    <n v="3.12"/>
    <n v="6"/>
    <n v="3088.5"/>
    <s v="Miami"/>
    <s v="Mandarin"/>
    <n v="612"/>
    <n v="4245"/>
    <n v="2"/>
    <s v="Tech Enthusiasts"/>
    <x v="298"/>
  </r>
  <r>
    <s v="Alpha Innovations"/>
    <x v="1"/>
    <s v="Women 35-44"/>
    <s v="60 days"/>
    <x v="5"/>
    <n v="0.08"/>
    <n v="6045"/>
    <n v="2.41"/>
    <n v="37"/>
    <n v="163.37837837837839"/>
    <s v="Houston"/>
    <s v="French"/>
    <n v="463"/>
    <n v="2881"/>
    <n v="10"/>
    <s v="Outdoor Adventurers"/>
    <x v="299"/>
  </r>
  <r>
    <s v="TechCorp"/>
    <x v="3"/>
    <s v="All Ages"/>
    <s v="45 days"/>
    <x v="5"/>
    <n v="0.01"/>
    <n v="5121"/>
    <n v="3"/>
    <n v="5"/>
    <n v="1024.2"/>
    <s v="New York"/>
    <s v="French"/>
    <n v="520"/>
    <n v="7176"/>
    <n v="1"/>
    <s v="Fashionistas"/>
    <x v="300"/>
  </r>
  <r>
    <s v="Alpha Innovations"/>
    <x v="1"/>
    <s v="Men 25-34"/>
    <s v="30 days"/>
    <x v="3"/>
    <n v="0.01"/>
    <n v="18378"/>
    <n v="2.97"/>
    <n v="10"/>
    <n v="1837.8"/>
    <s v="Houston"/>
    <s v="Mandarin"/>
    <n v="962"/>
    <n v="2796"/>
    <n v="2"/>
    <s v="Foodies"/>
    <x v="301"/>
  </r>
  <r>
    <s v="DataTech Solutions"/>
    <x v="0"/>
    <s v="Men 25-34"/>
    <s v="15 days"/>
    <x v="4"/>
    <n v="0.14000000000000001"/>
    <n v="19479"/>
    <n v="2.11"/>
    <n v="64"/>
    <n v="304.359375"/>
    <s v="Chicago"/>
    <s v="Spanish"/>
    <n v="458"/>
    <n v="3994"/>
    <n v="9"/>
    <s v="Outdoor Adventurers"/>
    <x v="302"/>
  </r>
  <r>
    <s v="DataTech Solutions"/>
    <x v="3"/>
    <s v="Women 25-34"/>
    <s v="45 days"/>
    <x v="3"/>
    <n v="7.0000000000000007E-2"/>
    <n v="17661"/>
    <n v="2.69"/>
    <n v="34"/>
    <n v="519.44117647058829"/>
    <s v="Miami"/>
    <s v="Mandarin"/>
    <n v="482"/>
    <n v="1065"/>
    <n v="7"/>
    <s v="Foodies"/>
    <x v="303"/>
  </r>
  <r>
    <s v="NexGen Systems"/>
    <x v="4"/>
    <s v="All Ages"/>
    <s v="45 days"/>
    <x v="3"/>
    <n v="7.0000000000000007E-2"/>
    <n v="16328"/>
    <n v="4.63"/>
    <n v="33"/>
    <n v="494.78787878787881"/>
    <s v="Houston"/>
    <s v="Mandarin"/>
    <n v="470"/>
    <n v="7098"/>
    <n v="3"/>
    <s v="Outdoor Adventurers"/>
    <x v="304"/>
  </r>
  <r>
    <s v="TechCorp"/>
    <x v="3"/>
    <s v="Men 25-34"/>
    <s v="60 days"/>
    <x v="4"/>
    <n v="0.15"/>
    <n v="10184"/>
    <n v="3.14"/>
    <n v="49"/>
    <n v="207.83673469387756"/>
    <s v="New York"/>
    <s v="Spanish"/>
    <n v="329"/>
    <n v="2425"/>
    <n v="4"/>
    <s v="Tech Enthusiasts"/>
    <x v="305"/>
  </r>
  <r>
    <s v="DataTech Solutions"/>
    <x v="0"/>
    <s v="All Ages"/>
    <s v="15 days"/>
    <x v="3"/>
    <n v="0.11"/>
    <n v="6014"/>
    <n v="3.73"/>
    <n v="15"/>
    <n v="400.93333333333334"/>
    <s v="New York"/>
    <s v="Spanish"/>
    <n v="135"/>
    <n v="9645"/>
    <n v="2"/>
    <s v="Fashionistas"/>
    <x v="306"/>
  </r>
  <r>
    <s v="Innovate Industries"/>
    <x v="2"/>
    <s v="All Ages"/>
    <s v="30 days"/>
    <x v="1"/>
    <n v="0.04"/>
    <n v="10884"/>
    <n v="2.5099999999999998"/>
    <n v="32"/>
    <n v="340.125"/>
    <s v="Miami"/>
    <s v="German"/>
    <n v="804"/>
    <n v="6427"/>
    <n v="6"/>
    <s v="Health &amp; Wellness"/>
    <x v="307"/>
  </r>
  <r>
    <s v="TechCorp"/>
    <x v="4"/>
    <s v="Men 25-34"/>
    <s v="15 days"/>
    <x v="2"/>
    <n v="0.02"/>
    <n v="12227"/>
    <n v="7.47"/>
    <n v="4"/>
    <n v="3056.75"/>
    <s v="Miami"/>
    <s v="Spanish"/>
    <n v="199"/>
    <n v="3263"/>
    <n v="6"/>
    <s v="Outdoor Adventurers"/>
    <x v="308"/>
  </r>
  <r>
    <s v="NexGen Systems"/>
    <x v="0"/>
    <s v="Men 25-34"/>
    <s v="15 days"/>
    <x v="0"/>
    <n v="0.15"/>
    <n v="10342"/>
    <n v="3.88"/>
    <n v="72"/>
    <n v="143.63888888888889"/>
    <s v="Miami"/>
    <s v="French"/>
    <n v="477"/>
    <n v="1591"/>
    <n v="9"/>
    <s v="Fashionistas"/>
    <x v="309"/>
  </r>
  <r>
    <s v="NexGen Systems"/>
    <x v="1"/>
    <s v="Women 35-44"/>
    <s v="60 days"/>
    <x v="5"/>
    <n v="0.06"/>
    <n v="17667"/>
    <n v="3.45"/>
    <n v="33"/>
    <n v="535.36363636363637"/>
    <s v="Los Angeles"/>
    <s v="Mandarin"/>
    <n v="544"/>
    <n v="7065"/>
    <n v="1"/>
    <s v="Tech Enthusiasts"/>
    <x v="310"/>
  </r>
  <r>
    <s v="Innovate Industries"/>
    <x v="2"/>
    <s v="Women 25-34"/>
    <s v="30 days"/>
    <x v="4"/>
    <n v="0.05"/>
    <n v="15661"/>
    <n v="7.74"/>
    <n v="17"/>
    <n v="921.23529411764707"/>
    <s v="Houston"/>
    <s v="Mandarin"/>
    <n v="335"/>
    <n v="8022"/>
    <n v="2"/>
    <s v="Fashionistas"/>
    <x v="311"/>
  </r>
  <r>
    <s v="DataTech Solutions"/>
    <x v="0"/>
    <s v="Men 25-34"/>
    <s v="60 days"/>
    <x v="2"/>
    <n v="0.09"/>
    <n v="19339"/>
    <n v="7.42"/>
    <n v="73"/>
    <n v="264.91780821917808"/>
    <s v="New York"/>
    <s v="Mandarin"/>
    <n v="814"/>
    <n v="8101"/>
    <n v="6"/>
    <s v="Outdoor Adventurers"/>
    <x v="312"/>
  </r>
  <r>
    <s v="TechCorp"/>
    <x v="4"/>
    <s v="Men 25-34"/>
    <s v="60 days"/>
    <x v="1"/>
    <n v="0.06"/>
    <n v="5634"/>
    <n v="3.11"/>
    <n v="38"/>
    <n v="148.26315789473685"/>
    <s v="Houston"/>
    <s v="Mandarin"/>
    <n v="628"/>
    <n v="7720"/>
    <n v="2"/>
    <s v="Tech Enthusiasts"/>
    <x v="313"/>
  </r>
  <r>
    <s v="TechCorp"/>
    <x v="2"/>
    <s v="Women 25-34"/>
    <s v="60 days"/>
    <x v="4"/>
    <n v="0.09"/>
    <n v="16890"/>
    <n v="7.83"/>
    <n v="29"/>
    <n v="582.41379310344826"/>
    <s v="New York"/>
    <s v="German"/>
    <n v="322"/>
    <n v="4764"/>
    <n v="10"/>
    <s v="Tech Enthusiasts"/>
    <x v="314"/>
  </r>
  <r>
    <s v="DataTech Solutions"/>
    <x v="3"/>
    <s v="Men 25-34"/>
    <s v="60 days"/>
    <x v="2"/>
    <n v="0.05"/>
    <n v="8553"/>
    <n v="7.49"/>
    <n v="48"/>
    <n v="178.1875"/>
    <s v="Houston"/>
    <s v="German"/>
    <n v="967"/>
    <n v="6669"/>
    <n v="10"/>
    <s v="Foodies"/>
    <x v="315"/>
  </r>
  <r>
    <s v="DataTech Solutions"/>
    <x v="1"/>
    <s v="Men 18-24"/>
    <s v="60 days"/>
    <x v="1"/>
    <n v="0.02"/>
    <n v="14860"/>
    <n v="6.73"/>
    <n v="19"/>
    <n v="782.10526315789468"/>
    <s v="Los Angeles"/>
    <s v="French"/>
    <n v="971"/>
    <n v="8929"/>
    <n v="7"/>
    <s v="Outdoor Adventurers"/>
    <x v="316"/>
  </r>
  <r>
    <s v="NexGen Systems"/>
    <x v="3"/>
    <s v="All Ages"/>
    <s v="45 days"/>
    <x v="1"/>
    <n v="0.02"/>
    <n v="16180"/>
    <n v="5.31"/>
    <n v="20"/>
    <n v="809"/>
    <s v="Miami"/>
    <s v="German"/>
    <n v="994"/>
    <n v="7164"/>
    <n v="8"/>
    <s v="Outdoor Adventurers"/>
    <x v="317"/>
  </r>
  <r>
    <s v="NexGen Systems"/>
    <x v="2"/>
    <s v="Men 18-24"/>
    <s v="45 days"/>
    <x v="3"/>
    <n v="0.12"/>
    <n v="17188"/>
    <n v="3.78"/>
    <n v="64"/>
    <n v="268.5625"/>
    <s v="Houston"/>
    <s v="English"/>
    <n v="537"/>
    <n v="3817"/>
    <n v="8"/>
    <s v="Outdoor Adventurers"/>
    <x v="318"/>
  </r>
  <r>
    <s v="DataTech Solutions"/>
    <x v="3"/>
    <s v="Women 25-34"/>
    <s v="45 days"/>
    <x v="0"/>
    <n v="0.08"/>
    <n v="18247"/>
    <n v="3.46"/>
    <n v="21"/>
    <n v="868.90476190476193"/>
    <s v="Chicago"/>
    <s v="English"/>
    <n v="262"/>
    <n v="8164"/>
    <n v="3"/>
    <s v="Outdoor Adventurers"/>
    <x v="319"/>
  </r>
  <r>
    <s v="DataTech Solutions"/>
    <x v="1"/>
    <s v="Women 35-44"/>
    <s v="60 days"/>
    <x v="5"/>
    <n v="0.04"/>
    <n v="18011"/>
    <n v="4.2"/>
    <n v="30"/>
    <n v="600.36666666666667"/>
    <s v="Chicago"/>
    <s v="German"/>
    <n v="761"/>
    <n v="9732"/>
    <n v="1"/>
    <s v="Foodies"/>
    <x v="320"/>
  </r>
  <r>
    <s v="DataTech Solutions"/>
    <x v="4"/>
    <s v="Men 18-24"/>
    <s v="45 days"/>
    <x v="0"/>
    <n v="0.05"/>
    <n v="10415"/>
    <n v="4.91"/>
    <n v="43"/>
    <n v="242.2093023255814"/>
    <s v="New York"/>
    <s v="French"/>
    <n v="853"/>
    <n v="2171"/>
    <n v="3"/>
    <s v="Health &amp; Wellness"/>
    <x v="321"/>
  </r>
  <r>
    <s v="NexGen Systems"/>
    <x v="1"/>
    <s v="Women 35-44"/>
    <s v="15 days"/>
    <x v="4"/>
    <n v="0.08"/>
    <n v="16528"/>
    <n v="7.12"/>
    <n v="11"/>
    <n v="1502.5454545454545"/>
    <s v="New York"/>
    <s v="French"/>
    <n v="135"/>
    <n v="3444"/>
    <n v="3"/>
    <s v="Outdoor Adventurers"/>
    <x v="322"/>
  </r>
  <r>
    <s v="DataTech Solutions"/>
    <x v="3"/>
    <s v="Men 25-34"/>
    <s v="30 days"/>
    <x v="5"/>
    <n v="0.02"/>
    <n v="6260"/>
    <n v="3.12"/>
    <n v="12"/>
    <n v="521.66666666666663"/>
    <s v="Chicago"/>
    <s v="English"/>
    <n v="619"/>
    <n v="5754"/>
    <n v="1"/>
    <s v="Fashionistas"/>
    <x v="323"/>
  </r>
  <r>
    <s v="NexGen Systems"/>
    <x v="3"/>
    <s v="Men 25-34"/>
    <s v="30 days"/>
    <x v="2"/>
    <n v="0.03"/>
    <n v="18330"/>
    <n v="5.73"/>
    <n v="8"/>
    <n v="2291.25"/>
    <s v="Chicago"/>
    <s v="French"/>
    <n v="259"/>
    <n v="6795"/>
    <n v="6"/>
    <s v="Health &amp; Wellness"/>
    <x v="324"/>
  </r>
  <r>
    <s v="Alpha Innovations"/>
    <x v="0"/>
    <s v="Men 25-34"/>
    <s v="30 days"/>
    <x v="4"/>
    <n v="0.04"/>
    <n v="18410"/>
    <n v="5.36"/>
    <n v="40"/>
    <n v="460.25"/>
    <s v="Chicago"/>
    <s v="Spanish"/>
    <n v="988"/>
    <n v="1938"/>
    <n v="2"/>
    <s v="Outdoor Adventurers"/>
    <x v="325"/>
  </r>
  <r>
    <s v="Alpha Innovations"/>
    <x v="2"/>
    <s v="Men 18-24"/>
    <s v="60 days"/>
    <x v="0"/>
    <n v="0.11"/>
    <n v="9099"/>
    <n v="5.32"/>
    <n v="92"/>
    <n v="98.902173913043484"/>
    <s v="New York"/>
    <s v="Mandarin"/>
    <n v="833"/>
    <n v="5697"/>
    <n v="1"/>
    <s v="Health &amp; Wellness"/>
    <x v="326"/>
  </r>
  <r>
    <s v="NexGen Systems"/>
    <x v="4"/>
    <s v="Men 18-24"/>
    <s v="15 days"/>
    <x v="2"/>
    <n v="7.0000000000000007E-2"/>
    <n v="8521"/>
    <n v="6.24"/>
    <n v="32"/>
    <n v="266.28125"/>
    <s v="Chicago"/>
    <s v="French"/>
    <n v="461"/>
    <n v="4499"/>
    <n v="3"/>
    <s v="Fashionistas"/>
    <x v="327"/>
  </r>
  <r>
    <s v="TechCorp"/>
    <x v="3"/>
    <s v="Women 25-34"/>
    <s v="30 days"/>
    <x v="3"/>
    <n v="0.04"/>
    <n v="13416"/>
    <n v="2.61"/>
    <n v="24"/>
    <n v="559"/>
    <s v="Miami"/>
    <s v="German"/>
    <n v="589"/>
    <n v="1381"/>
    <n v="9"/>
    <s v="Foodies"/>
    <x v="328"/>
  </r>
  <r>
    <s v="Innovate Industries"/>
    <x v="0"/>
    <s v="Women 25-34"/>
    <s v="60 days"/>
    <x v="5"/>
    <n v="0.03"/>
    <n v="10047"/>
    <n v="7.8"/>
    <n v="27"/>
    <n v="372.11111111111109"/>
    <s v="Miami"/>
    <s v="Spanish"/>
    <n v="884"/>
    <n v="3778"/>
    <n v="10"/>
    <s v="Outdoor Adventurers"/>
    <x v="329"/>
  </r>
  <r>
    <s v="Innovate Industries"/>
    <x v="1"/>
    <s v="Women 35-44"/>
    <s v="45 days"/>
    <x v="4"/>
    <n v="0.1"/>
    <n v="18028"/>
    <n v="5.34"/>
    <n v="29"/>
    <n v="621.65517241379314"/>
    <s v="Chicago"/>
    <s v="Mandarin"/>
    <n v="294"/>
    <n v="7862"/>
    <n v="9"/>
    <s v="Tech Enthusiasts"/>
    <x v="330"/>
  </r>
  <r>
    <s v="DataTech Solutions"/>
    <x v="4"/>
    <s v="Women 25-34"/>
    <s v="60 days"/>
    <x v="3"/>
    <n v="7.0000000000000007E-2"/>
    <n v="7685"/>
    <n v="5.24"/>
    <n v="29"/>
    <n v="265"/>
    <s v="Miami"/>
    <s v="Mandarin"/>
    <n v="411"/>
    <n v="9411"/>
    <n v="9"/>
    <s v="Health &amp; Wellness"/>
    <x v="331"/>
  </r>
  <r>
    <s v="DataTech Solutions"/>
    <x v="2"/>
    <s v="Men 18-24"/>
    <s v="30 days"/>
    <x v="3"/>
    <n v="0.09"/>
    <n v="8793"/>
    <n v="7.31"/>
    <n v="73"/>
    <n v="120.45205479452055"/>
    <s v="Houston"/>
    <s v="Mandarin"/>
    <n v="806"/>
    <n v="9660"/>
    <n v="9"/>
    <s v="Foodies"/>
    <x v="332"/>
  </r>
  <r>
    <s v="DataTech Solutions"/>
    <x v="4"/>
    <s v="All Ages"/>
    <s v="60 days"/>
    <x v="1"/>
    <n v="0.15"/>
    <n v="5820"/>
    <n v="6.22"/>
    <n v="125"/>
    <n v="46.56"/>
    <s v="Miami"/>
    <s v="Spanish"/>
    <n v="832"/>
    <n v="5968"/>
    <n v="9"/>
    <s v="Foodies"/>
    <x v="333"/>
  </r>
  <r>
    <s v="DataTech Solutions"/>
    <x v="0"/>
    <s v="Women 35-44"/>
    <s v="60 days"/>
    <x v="1"/>
    <n v="0.12"/>
    <n v="17647"/>
    <n v="2.76"/>
    <n v="95"/>
    <n v="185.7578947368421"/>
    <s v="Los Angeles"/>
    <s v="German"/>
    <n v="789"/>
    <n v="7654"/>
    <n v="4"/>
    <s v="Outdoor Adventurers"/>
    <x v="334"/>
  </r>
  <r>
    <s v="TechCorp"/>
    <x v="1"/>
    <s v="Women 25-34"/>
    <s v="45 days"/>
    <x v="1"/>
    <n v="0.11"/>
    <n v="6402"/>
    <n v="2.02"/>
    <n v="28"/>
    <n v="228.64285714285714"/>
    <s v="Houston"/>
    <s v="French"/>
    <n v="252"/>
    <n v="3929"/>
    <n v="1"/>
    <s v="Health &amp; Wellness"/>
    <x v="335"/>
  </r>
  <r>
    <s v="Innovate Industries"/>
    <x v="4"/>
    <s v="Men 18-24"/>
    <s v="30 days"/>
    <x v="4"/>
    <n v="0.15"/>
    <n v="11475"/>
    <n v="6.24"/>
    <n v="15"/>
    <n v="765"/>
    <s v="Houston"/>
    <s v="Spanish"/>
    <n v="102"/>
    <n v="1504"/>
    <n v="10"/>
    <s v="Health &amp; Wellness"/>
    <x v="336"/>
  </r>
  <r>
    <s v="Alpha Innovations"/>
    <x v="1"/>
    <s v="Men 25-34"/>
    <s v="60 days"/>
    <x v="4"/>
    <n v="0.01"/>
    <n v="11714"/>
    <n v="5.91"/>
    <n v="7"/>
    <n v="1673.4285714285713"/>
    <s v="New York"/>
    <s v="English"/>
    <n v="687"/>
    <n v="1428"/>
    <n v="2"/>
    <s v="Outdoor Adventurers"/>
    <x v="337"/>
  </r>
  <r>
    <s v="DataTech Solutions"/>
    <x v="0"/>
    <s v="All Ages"/>
    <s v="60 days"/>
    <x v="4"/>
    <n v="0.06"/>
    <n v="16569"/>
    <n v="7.95"/>
    <n v="55"/>
    <n v="301.25454545454545"/>
    <s v="Houston"/>
    <s v="Spanish"/>
    <n v="918"/>
    <n v="6486"/>
    <n v="1"/>
    <s v="Tech Enthusiasts"/>
    <x v="338"/>
  </r>
  <r>
    <s v="Innovate Industries"/>
    <x v="0"/>
    <s v="Women 25-34"/>
    <s v="30 days"/>
    <x v="5"/>
    <n v="0.13"/>
    <n v="6341"/>
    <n v="5.01"/>
    <n v="76"/>
    <n v="83.434210526315795"/>
    <s v="New York"/>
    <s v="Mandarin"/>
    <n v="581"/>
    <n v="5707"/>
    <n v="4"/>
    <s v="Outdoor Adventurers"/>
    <x v="339"/>
  </r>
  <r>
    <s v="DataTech Solutions"/>
    <x v="1"/>
    <s v="Women 35-44"/>
    <s v="15 days"/>
    <x v="4"/>
    <n v="0.11"/>
    <n v="7263"/>
    <n v="2.94"/>
    <n v="52"/>
    <n v="139.67307692307693"/>
    <s v="Los Angeles"/>
    <s v="Spanish"/>
    <n v="472"/>
    <n v="5610"/>
    <n v="5"/>
    <s v="Outdoor Adventurers"/>
    <x v="340"/>
  </r>
  <r>
    <s v="DataTech Solutions"/>
    <x v="4"/>
    <s v="Men 25-34"/>
    <s v="30 days"/>
    <x v="5"/>
    <n v="0.08"/>
    <n v="19797"/>
    <n v="2.93"/>
    <n v="25"/>
    <n v="791.88"/>
    <s v="New York"/>
    <s v="Spanish"/>
    <n v="318"/>
    <n v="6192"/>
    <n v="5"/>
    <s v="Tech Enthusiasts"/>
    <x v="341"/>
  </r>
  <r>
    <s v="TechCorp"/>
    <x v="1"/>
    <s v="Men 18-24"/>
    <s v="45 days"/>
    <x v="1"/>
    <n v="0.09"/>
    <n v="6388"/>
    <n v="3.23"/>
    <n v="16"/>
    <n v="399.25"/>
    <s v="Miami"/>
    <s v="French"/>
    <n v="178"/>
    <n v="1192"/>
    <n v="4"/>
    <s v="Fashionistas"/>
    <x v="342"/>
  </r>
  <r>
    <s v="TechCorp"/>
    <x v="3"/>
    <s v="Men 18-24"/>
    <s v="45 days"/>
    <x v="3"/>
    <n v="7.0000000000000007E-2"/>
    <n v="7212"/>
    <n v="2.13"/>
    <n v="44"/>
    <n v="163.90909090909091"/>
    <s v="Miami"/>
    <s v="French"/>
    <n v="633"/>
    <n v="2907"/>
    <n v="7"/>
    <s v="Outdoor Adventurers"/>
    <x v="343"/>
  </r>
  <r>
    <s v="DataTech Solutions"/>
    <x v="4"/>
    <s v="Men 18-24"/>
    <s v="60 days"/>
    <x v="3"/>
    <n v="0.11"/>
    <n v="12264"/>
    <n v="6.8"/>
    <n v="69"/>
    <n v="177.7391304347826"/>
    <s v="Los Angeles"/>
    <s v="French"/>
    <n v="627"/>
    <n v="8361"/>
    <n v="8"/>
    <s v="Outdoor Adventurers"/>
    <x v="344"/>
  </r>
  <r>
    <s v="DataTech Solutions"/>
    <x v="1"/>
    <s v="Women 35-44"/>
    <s v="45 days"/>
    <x v="0"/>
    <n v="0.04"/>
    <n v="6178"/>
    <n v="3.75"/>
    <n v="33"/>
    <n v="187.21212121212122"/>
    <s v="Miami"/>
    <s v="French"/>
    <n v="824"/>
    <n v="1651"/>
    <n v="4"/>
    <s v="Outdoor Adventurers"/>
    <x v="345"/>
  </r>
  <r>
    <s v="TechCorp"/>
    <x v="4"/>
    <s v="Men 25-34"/>
    <s v="30 days"/>
    <x v="3"/>
    <n v="0.01"/>
    <n v="13000"/>
    <n v="2.35"/>
    <n v="10"/>
    <n v="1300"/>
    <s v="Chicago"/>
    <s v="English"/>
    <n v="971"/>
    <n v="1922"/>
    <n v="9"/>
    <s v="Tech Enthusiasts"/>
    <x v="346"/>
  </r>
  <r>
    <s v="Innovate Industries"/>
    <x v="0"/>
    <s v="Men 25-34"/>
    <s v="60 days"/>
    <x v="1"/>
    <n v="0.1"/>
    <n v="19544"/>
    <n v="4.4400000000000004"/>
    <n v="77"/>
    <n v="253.81818181818181"/>
    <s v="Los Angeles"/>
    <s v="English"/>
    <n v="774"/>
    <n v="8473"/>
    <n v="3"/>
    <s v="Foodies"/>
    <x v="347"/>
  </r>
  <r>
    <s v="DataTech Solutions"/>
    <x v="2"/>
    <s v="Men 25-34"/>
    <s v="45 days"/>
    <x v="1"/>
    <n v="0.12"/>
    <n v="9701"/>
    <n v="3.1"/>
    <n v="49"/>
    <n v="197.9795918367347"/>
    <s v="Houston"/>
    <s v="Mandarin"/>
    <n v="407"/>
    <n v="2308"/>
    <n v="4"/>
    <s v="Tech Enthusiasts"/>
    <x v="348"/>
  </r>
  <r>
    <s v="Innovate Industries"/>
    <x v="4"/>
    <s v="All Ages"/>
    <s v="45 days"/>
    <x v="2"/>
    <n v="0.13"/>
    <n v="12750"/>
    <n v="2.92"/>
    <n v="59"/>
    <n v="216.10169491525423"/>
    <s v="Miami"/>
    <s v="English"/>
    <n v="451"/>
    <n v="4790"/>
    <n v="7"/>
    <s v="Foodies"/>
    <x v="349"/>
  </r>
  <r>
    <s v="Alpha Innovations"/>
    <x v="2"/>
    <s v="Men 25-34"/>
    <s v="60 days"/>
    <x v="0"/>
    <n v="0.06"/>
    <n v="19886"/>
    <n v="7.73"/>
    <n v="24"/>
    <n v="828.58333333333337"/>
    <s v="Houston"/>
    <s v="French"/>
    <n v="403"/>
    <n v="9488"/>
    <n v="5"/>
    <s v="Health &amp; Wellness"/>
    <x v="350"/>
  </r>
  <r>
    <s v="Innovate Industries"/>
    <x v="3"/>
    <s v="All Ages"/>
    <s v="45 days"/>
    <x v="4"/>
    <n v="0.14000000000000001"/>
    <n v="9083"/>
    <n v="4.6100000000000003"/>
    <n v="46"/>
    <n v="197.45652173913044"/>
    <s v="Los Angeles"/>
    <s v="German"/>
    <n v="329"/>
    <n v="3217"/>
    <n v="3"/>
    <s v="Health &amp; Wellness"/>
    <x v="351"/>
  </r>
  <r>
    <s v="NexGen Systems"/>
    <x v="2"/>
    <s v="All Ages"/>
    <s v="30 days"/>
    <x v="4"/>
    <n v="0.03"/>
    <n v="6543"/>
    <n v="7.49"/>
    <n v="28"/>
    <n v="233.67857142857142"/>
    <s v="Chicago"/>
    <s v="French"/>
    <n v="945"/>
    <n v="7030"/>
    <n v="8"/>
    <s v="Outdoor Adventurers"/>
    <x v="352"/>
  </r>
  <r>
    <s v="TechCorp"/>
    <x v="4"/>
    <s v="Men 25-34"/>
    <s v="60 days"/>
    <x v="4"/>
    <n v="0.02"/>
    <n v="15263"/>
    <n v="6.21"/>
    <n v="16"/>
    <n v="953.9375"/>
    <s v="Miami"/>
    <s v="French"/>
    <n v="795"/>
    <n v="3142"/>
    <n v="10"/>
    <s v="Foodies"/>
    <x v="353"/>
  </r>
  <r>
    <s v="NexGen Systems"/>
    <x v="0"/>
    <s v="Men 25-34"/>
    <s v="15 days"/>
    <x v="3"/>
    <n v="0.11"/>
    <n v="19868"/>
    <n v="3.41"/>
    <n v="29"/>
    <n v="685.10344827586209"/>
    <s v="Houston"/>
    <s v="Mandarin"/>
    <n v="266"/>
    <n v="7064"/>
    <n v="6"/>
    <s v="Fashionistas"/>
    <x v="354"/>
  </r>
  <r>
    <s v="NexGen Systems"/>
    <x v="2"/>
    <s v="Men 18-24"/>
    <s v="60 days"/>
    <x v="2"/>
    <n v="7.0000000000000007E-2"/>
    <n v="8883"/>
    <n v="2.58"/>
    <n v="15"/>
    <n v="592.20000000000005"/>
    <s v="Houston"/>
    <s v="Mandarin"/>
    <n v="208"/>
    <n v="3456"/>
    <n v="7"/>
    <s v="Outdoor Adventurers"/>
    <x v="355"/>
  </r>
  <r>
    <s v="TechCorp"/>
    <x v="0"/>
    <s v="All Ages"/>
    <s v="30 days"/>
    <x v="0"/>
    <n v="0.15"/>
    <n v="6892"/>
    <n v="2.2799999999999998"/>
    <n v="126"/>
    <n v="54.698412698412696"/>
    <s v="Miami"/>
    <s v="English"/>
    <n v="842"/>
    <n v="4958"/>
    <n v="1"/>
    <s v="Foodies"/>
    <x v="356"/>
  </r>
  <r>
    <s v="NexGen Systems"/>
    <x v="4"/>
    <s v="Women 35-44"/>
    <s v="45 days"/>
    <x v="4"/>
    <n v="0.11"/>
    <n v="7695"/>
    <n v="6.95"/>
    <n v="91"/>
    <n v="84.560439560439562"/>
    <s v="Chicago"/>
    <s v="French"/>
    <n v="823"/>
    <n v="9129"/>
    <n v="2"/>
    <s v="Tech Enthusiasts"/>
    <x v="357"/>
  </r>
  <r>
    <s v="Innovate Industries"/>
    <x v="0"/>
    <s v="Men 18-24"/>
    <s v="15 days"/>
    <x v="0"/>
    <n v="0.03"/>
    <n v="9477"/>
    <n v="6.24"/>
    <n v="26"/>
    <n v="364.5"/>
    <s v="Los Angeles"/>
    <s v="Spanish"/>
    <n v="858"/>
    <n v="4577"/>
    <n v="8"/>
    <s v="Health &amp; Wellness"/>
    <x v="358"/>
  </r>
  <r>
    <s v="TechCorp"/>
    <x v="0"/>
    <s v="Men 25-34"/>
    <s v="60 days"/>
    <x v="2"/>
    <n v="0.02"/>
    <n v="6666"/>
    <n v="5.41"/>
    <n v="12"/>
    <n v="555.5"/>
    <s v="Miami"/>
    <s v="English"/>
    <n v="580"/>
    <n v="6135"/>
    <n v="2"/>
    <s v="Fashionistas"/>
    <x v="359"/>
  </r>
  <r>
    <s v="Innovate Industries"/>
    <x v="2"/>
    <s v="Women 35-44"/>
    <s v="30 days"/>
    <x v="1"/>
    <n v="0.02"/>
    <n v="13131"/>
    <n v="3.09"/>
    <n v="19"/>
    <n v="691.10526315789468"/>
    <s v="Chicago"/>
    <s v="French"/>
    <n v="952"/>
    <n v="2520"/>
    <n v="7"/>
    <s v="Fashionistas"/>
    <x v="360"/>
  </r>
  <r>
    <s v="DataTech Solutions"/>
    <x v="2"/>
    <s v="Women 35-44"/>
    <s v="60 days"/>
    <x v="0"/>
    <n v="0.05"/>
    <n v="15272"/>
    <n v="3.54"/>
    <n v="21"/>
    <n v="727.23809523809518"/>
    <s v="Miami"/>
    <s v="French"/>
    <n v="417"/>
    <n v="2813"/>
    <n v="8"/>
    <s v="Outdoor Adventurers"/>
    <x v="361"/>
  </r>
  <r>
    <s v="Innovate Industries"/>
    <x v="0"/>
    <s v="Women 25-34"/>
    <s v="15 days"/>
    <x v="3"/>
    <n v="0.02"/>
    <n v="16168"/>
    <n v="2.77"/>
    <n v="4"/>
    <n v="4042"/>
    <s v="Miami"/>
    <s v="Mandarin"/>
    <n v="199"/>
    <n v="1210"/>
    <n v="3"/>
    <s v="Health &amp; Wellness"/>
    <x v="362"/>
  </r>
  <r>
    <s v="DataTech Solutions"/>
    <x v="2"/>
    <s v="Women 35-44"/>
    <s v="30 days"/>
    <x v="2"/>
    <n v="0.06"/>
    <n v="13517"/>
    <n v="7.27"/>
    <n v="28"/>
    <n v="482.75"/>
    <s v="Chicago"/>
    <s v="Mandarin"/>
    <n v="471"/>
    <n v="2851"/>
    <n v="4"/>
    <s v="Tech Enthusiasts"/>
    <x v="363"/>
  </r>
  <r>
    <s v="NexGen Systems"/>
    <x v="1"/>
    <s v="Men 25-34"/>
    <s v="45 days"/>
    <x v="4"/>
    <n v="0.13"/>
    <n v="15306"/>
    <n v="3.51"/>
    <n v="124"/>
    <n v="123.43548387096774"/>
    <s v="Houston"/>
    <s v="French"/>
    <n v="950"/>
    <n v="3916"/>
    <n v="4"/>
    <s v="Tech Enthusiasts"/>
    <x v="364"/>
  </r>
  <r>
    <s v="Alpha Innovations"/>
    <x v="1"/>
    <s v="Women 25-34"/>
    <s v="45 days"/>
    <x v="4"/>
    <n v="0.09"/>
    <n v="10950"/>
    <n v="6.22"/>
    <n v="70"/>
    <n v="156.42857142857142"/>
    <s v="Chicago"/>
    <s v="English"/>
    <n v="779"/>
    <n v="3433"/>
    <n v="1"/>
    <s v="Foodies"/>
    <x v="0"/>
  </r>
  <r>
    <s v="DataTech Solutions"/>
    <x v="2"/>
    <s v="Women 25-34"/>
    <s v="60 days"/>
    <x v="0"/>
    <n v="0.05"/>
    <n v="6863"/>
    <n v="2.25"/>
    <n v="25"/>
    <n v="274.52"/>
    <s v="Los Angeles"/>
    <s v="Spanish"/>
    <n v="504"/>
    <n v="6721"/>
    <n v="3"/>
    <s v="Fashionistas"/>
    <x v="1"/>
  </r>
  <r>
    <s v="NexGen Systems"/>
    <x v="1"/>
    <s v="Women 35-44"/>
    <s v="45 days"/>
    <x v="2"/>
    <n v="0.09"/>
    <n v="6066"/>
    <n v="7.25"/>
    <n v="59"/>
    <n v="102.8135593220339"/>
    <s v="Miami"/>
    <s v="English"/>
    <n v="661"/>
    <n v="3959"/>
    <n v="7"/>
    <s v="Tech Enthusiasts"/>
    <x v="2"/>
  </r>
  <r>
    <s v="TechCorp"/>
    <x v="3"/>
    <s v="Men 25-34"/>
    <s v="30 days"/>
    <x v="5"/>
    <n v="0.12"/>
    <n v="14652"/>
    <n v="3.7"/>
    <n v="52"/>
    <n v="281.76923076923077"/>
    <s v="Houston"/>
    <s v="Spanish"/>
    <n v="436"/>
    <n v="7816"/>
    <n v="4"/>
    <s v="Tech Enthusiasts"/>
    <x v="3"/>
  </r>
  <r>
    <s v="TechCorp"/>
    <x v="1"/>
    <s v="All Ages"/>
    <s v="30 days"/>
    <x v="5"/>
    <n v="0.08"/>
    <n v="16178"/>
    <n v="3.28"/>
    <n v="26"/>
    <n v="622.23076923076928"/>
    <s v="Chicago"/>
    <s v="English"/>
    <n v="325"/>
    <n v="8102"/>
    <n v="7"/>
    <s v="Fashionistas"/>
    <x v="4"/>
  </r>
  <r>
    <s v="TechCorp"/>
    <x v="3"/>
    <s v="Men 18-24"/>
    <s v="45 days"/>
    <x v="5"/>
    <n v="0.08"/>
    <n v="9939"/>
    <n v="6.07"/>
    <n v="38"/>
    <n v="261.55263157894734"/>
    <s v="Houston"/>
    <s v="French"/>
    <n v="472"/>
    <n v="5140"/>
    <n v="1"/>
    <s v="Tech Enthusiasts"/>
    <x v="5"/>
  </r>
  <r>
    <s v="NexGen Systems"/>
    <x v="0"/>
    <s v="Women 35-44"/>
    <s v="45 days"/>
    <x v="1"/>
    <n v="0.11"/>
    <n v="5141"/>
    <n v="7.42"/>
    <n v="63"/>
    <n v="81.603174603174608"/>
    <s v="Houston"/>
    <s v="Spanish"/>
    <n v="574"/>
    <n v="4506"/>
    <n v="1"/>
    <s v="Tech Enthusiasts"/>
    <x v="6"/>
  </r>
  <r>
    <s v="Innovate Industries"/>
    <x v="0"/>
    <s v="Men 18-24"/>
    <s v="30 days"/>
    <x v="2"/>
    <n v="0.05"/>
    <n v="16018"/>
    <n v="7.11"/>
    <n v="15"/>
    <n v="1067.8666666666666"/>
    <s v="Los Angeles"/>
    <s v="French"/>
    <n v="294"/>
    <n v="9868"/>
    <n v="6"/>
    <s v="Fashionistas"/>
    <x v="7"/>
  </r>
  <r>
    <s v="DataTech Solutions"/>
    <x v="4"/>
    <s v="Men 18-24"/>
    <s v="30 days"/>
    <x v="3"/>
    <n v="0.02"/>
    <n v="12658"/>
    <n v="5.79"/>
    <n v="16"/>
    <n v="791.125"/>
    <s v="New York"/>
    <s v="Spanish"/>
    <n v="787"/>
    <n v="2830"/>
    <n v="4"/>
    <s v="Outdoor Adventurers"/>
    <x v="8"/>
  </r>
  <r>
    <s v="NexGen Systems"/>
    <x v="3"/>
    <s v="All Ages"/>
    <s v="60 days"/>
    <x v="1"/>
    <n v="7.0000000000000007E-2"/>
    <n v="17046"/>
    <n v="3.44"/>
    <n v="66"/>
    <n v="258.27272727272725"/>
    <s v="New York"/>
    <s v="English"/>
    <n v="948"/>
    <n v="4417"/>
    <n v="10"/>
    <s v="Tech Enthusiasts"/>
    <x v="9"/>
  </r>
  <r>
    <s v="TechCorp"/>
    <x v="0"/>
    <s v="Men 18-24"/>
    <s v="15 days"/>
    <x v="1"/>
    <n v="0.06"/>
    <n v="9127"/>
    <n v="4.6500000000000004"/>
    <n v="47"/>
    <n v="194.19148936170214"/>
    <s v="Chicago"/>
    <s v="Mandarin"/>
    <n v="779"/>
    <n v="4034"/>
    <n v="4"/>
    <s v="Outdoor Adventurers"/>
    <x v="10"/>
  </r>
  <r>
    <s v="Alpha Innovations"/>
    <x v="4"/>
    <s v="Men 18-24"/>
    <s v="60 days"/>
    <x v="0"/>
    <n v="0.02"/>
    <n v="8092"/>
    <n v="4.97"/>
    <n v="15"/>
    <n v="539.4666666666667"/>
    <s v="Chicago"/>
    <s v="Spanish"/>
    <n v="750"/>
    <n v="3936"/>
    <n v="3"/>
    <s v="Health &amp; Wellness"/>
    <x v="11"/>
  </r>
  <r>
    <s v="Alpha Innovations"/>
    <x v="3"/>
    <s v="Men 25-34"/>
    <s v="60 days"/>
    <x v="5"/>
    <n v="0.05"/>
    <n v="6011"/>
    <n v="7.44"/>
    <n v="19"/>
    <n v="316.36842105263156"/>
    <s v="Chicago"/>
    <s v="English"/>
    <n v="373"/>
    <n v="5661"/>
    <n v="10"/>
    <s v="Foodies"/>
    <x v="12"/>
  </r>
  <r>
    <s v="TechCorp"/>
    <x v="1"/>
    <s v="All Ages"/>
    <s v="45 days"/>
    <x v="5"/>
    <n v="0.06"/>
    <n v="12065"/>
    <n v="7.45"/>
    <n v="38"/>
    <n v="317.5"/>
    <s v="Miami"/>
    <s v="German"/>
    <n v="633"/>
    <n v="7742"/>
    <n v="7"/>
    <s v="Outdoor Adventurers"/>
    <x v="13"/>
  </r>
  <r>
    <s v="TechCorp"/>
    <x v="4"/>
    <s v="Men 18-24"/>
    <s v="15 days"/>
    <x v="1"/>
    <n v="0.15"/>
    <n v="18740"/>
    <n v="3.36"/>
    <n v="72"/>
    <n v="260.27777777777777"/>
    <s v="Chicago"/>
    <s v="English"/>
    <n v="482"/>
    <n v="9950"/>
    <n v="6"/>
    <s v="Foodies"/>
    <x v="14"/>
  </r>
  <r>
    <s v="DataTech Solutions"/>
    <x v="2"/>
    <s v="Women 35-44"/>
    <s v="15 days"/>
    <x v="4"/>
    <n v="0.13"/>
    <n v="11681"/>
    <n v="7.34"/>
    <n v="47"/>
    <n v="248.53191489361703"/>
    <s v="Chicago"/>
    <s v="German"/>
    <n v="360"/>
    <n v="7134"/>
    <n v="5"/>
    <s v="Health &amp; Wellness"/>
    <x v="15"/>
  </r>
  <r>
    <s v="TechCorp"/>
    <x v="1"/>
    <s v="Men 25-34"/>
    <s v="30 days"/>
    <x v="5"/>
    <n v="0.03"/>
    <n v="19944"/>
    <n v="6.66"/>
    <n v="12"/>
    <n v="1662"/>
    <s v="Houston"/>
    <s v="Mandarin"/>
    <n v="392"/>
    <n v="1819"/>
    <n v="5"/>
    <s v="Foodies"/>
    <x v="16"/>
  </r>
  <r>
    <s v="Innovate Industries"/>
    <x v="3"/>
    <s v="Women 25-34"/>
    <s v="45 days"/>
    <x v="1"/>
    <n v="0.13"/>
    <n v="16161"/>
    <n v="7.96"/>
    <n v="111"/>
    <n v="145.59459459459458"/>
    <s v="Houston"/>
    <s v="Spanish"/>
    <n v="851"/>
    <n v="9320"/>
    <n v="5"/>
    <s v="Tech Enthusiasts"/>
    <x v="17"/>
  </r>
  <r>
    <s v="Alpha Innovations"/>
    <x v="1"/>
    <s v="Men 18-24"/>
    <s v="30 days"/>
    <x v="5"/>
    <n v="0.01"/>
    <n v="13875"/>
    <n v="6.93"/>
    <n v="7"/>
    <n v="1982.1428571428571"/>
    <s v="Los Angeles"/>
    <s v="Spanish"/>
    <n v="714"/>
    <n v="2150"/>
    <n v="10"/>
    <s v="Foodies"/>
    <x v="18"/>
  </r>
  <r>
    <s v="TechCorp"/>
    <x v="4"/>
    <s v="Women 35-44"/>
    <s v="60 days"/>
    <x v="0"/>
    <n v="0.12"/>
    <n v="17338"/>
    <n v="5.12"/>
    <n v="118"/>
    <n v="146.93220338983051"/>
    <s v="New York"/>
    <s v="Mandarin"/>
    <n v="986"/>
    <n v="6016"/>
    <n v="2"/>
    <s v="Foodies"/>
    <x v="19"/>
  </r>
  <r>
    <s v="Alpha Innovations"/>
    <x v="1"/>
    <s v="Men 25-34"/>
    <s v="30 days"/>
    <x v="1"/>
    <n v="0.03"/>
    <n v="13765"/>
    <n v="3.9"/>
    <n v="17"/>
    <n v="809.70588235294122"/>
    <s v="Los Angeles"/>
    <s v="Spanish"/>
    <n v="576"/>
    <n v="9707"/>
    <n v="4"/>
    <s v="Health &amp; Wellness"/>
    <x v="20"/>
  </r>
  <r>
    <s v="DataTech Solutions"/>
    <x v="3"/>
    <s v="All Ages"/>
    <s v="45 days"/>
    <x v="2"/>
    <n v="0.12"/>
    <n v="15692"/>
    <n v="7.25"/>
    <n v="13"/>
    <n v="1207.0769230769231"/>
    <s v="Miami"/>
    <s v="English"/>
    <n v="110"/>
    <n v="1562"/>
    <n v="8"/>
    <s v="Fashionistas"/>
    <x v="21"/>
  </r>
  <r>
    <s v="Innovate Industries"/>
    <x v="2"/>
    <s v="Men 18-24"/>
    <s v="45 days"/>
    <x v="3"/>
    <n v="0.09"/>
    <n v="6150"/>
    <n v="6.13"/>
    <n v="31"/>
    <n v="198.38709677419354"/>
    <s v="Los Angeles"/>
    <s v="Spanish"/>
    <n v="343"/>
    <n v="7686"/>
    <n v="1"/>
    <s v="Foodies"/>
    <x v="22"/>
  </r>
  <r>
    <s v="TechCorp"/>
    <x v="4"/>
    <s v="Women 35-44"/>
    <s v="45 days"/>
    <x v="0"/>
    <n v="0.12"/>
    <n v="5157"/>
    <n v="3.51"/>
    <n v="60"/>
    <n v="85.95"/>
    <s v="Los Angeles"/>
    <s v="Spanish"/>
    <n v="500"/>
    <n v="6705"/>
    <n v="7"/>
    <s v="Health &amp; Wellness"/>
    <x v="23"/>
  </r>
  <r>
    <s v="Alpha Innovations"/>
    <x v="0"/>
    <s v="Women 25-34"/>
    <s v="30 days"/>
    <x v="2"/>
    <n v="0.08"/>
    <n v="14711"/>
    <n v="3.7"/>
    <n v="59"/>
    <n v="249.33898305084745"/>
    <s v="New York"/>
    <s v="German"/>
    <n v="732"/>
    <n v="9198"/>
    <n v="1"/>
    <s v="Outdoor Adventurers"/>
    <x v="24"/>
  </r>
  <r>
    <s v="Alpha Innovations"/>
    <x v="4"/>
    <s v="Men 18-24"/>
    <s v="30 days"/>
    <x v="2"/>
    <n v="0.12"/>
    <n v="12648"/>
    <n v="4.7"/>
    <n v="14"/>
    <n v="903.42857142857144"/>
    <s v="Los Angeles"/>
    <s v="Mandarin"/>
    <n v="113"/>
    <n v="2673"/>
    <n v="4"/>
    <s v="Health &amp; Wellness"/>
    <x v="25"/>
  </r>
  <r>
    <s v="NexGen Systems"/>
    <x v="0"/>
    <s v="Women 35-44"/>
    <s v="60 days"/>
    <x v="5"/>
    <n v="0.13"/>
    <n v="10609"/>
    <n v="3.72"/>
    <n v="25"/>
    <n v="424.36"/>
    <s v="Miami"/>
    <s v="Spanish"/>
    <n v="193"/>
    <n v="8394"/>
    <n v="7"/>
    <s v="Outdoor Adventurers"/>
    <x v="26"/>
  </r>
  <r>
    <s v="DataTech Solutions"/>
    <x v="3"/>
    <s v="All Ages"/>
    <s v="60 days"/>
    <x v="1"/>
    <n v="0.13"/>
    <n v="6151"/>
    <n v="3.48"/>
    <n v="39"/>
    <n v="157.71794871794873"/>
    <s v="Chicago"/>
    <s v="French"/>
    <n v="301"/>
    <n v="9983"/>
    <n v="8"/>
    <s v="Health &amp; Wellness"/>
    <x v="27"/>
  </r>
  <r>
    <s v="Alpha Innovations"/>
    <x v="4"/>
    <s v="Women 25-34"/>
    <s v="60 days"/>
    <x v="3"/>
    <n v="0.1"/>
    <n v="6017"/>
    <n v="4.95"/>
    <n v="90"/>
    <n v="66.855555555555554"/>
    <s v="Miami"/>
    <s v="German"/>
    <n v="904"/>
    <n v="4935"/>
    <n v="3"/>
    <s v="Outdoor Adventurers"/>
    <x v="28"/>
  </r>
  <r>
    <s v="Alpha Innovations"/>
    <x v="1"/>
    <s v="Women 35-44"/>
    <s v="60 days"/>
    <x v="1"/>
    <n v="0.05"/>
    <n v="9495"/>
    <n v="7.79"/>
    <n v="19"/>
    <n v="499.73684210526318"/>
    <s v="Los Angeles"/>
    <s v="French"/>
    <n v="371"/>
    <n v="1710"/>
    <n v="7"/>
    <s v="Health &amp; Wellness"/>
    <x v="29"/>
  </r>
  <r>
    <s v="TechCorp"/>
    <x v="0"/>
    <s v="Men 25-34"/>
    <s v="30 days"/>
    <x v="4"/>
    <n v="0.09"/>
    <n v="14387"/>
    <n v="7.08"/>
    <n v="52"/>
    <n v="276.67307692307691"/>
    <s v="Chicago"/>
    <s v="French"/>
    <n v="583"/>
    <n v="5516"/>
    <n v="4"/>
    <s v="Fashionistas"/>
    <x v="30"/>
  </r>
  <r>
    <s v="TechCorp"/>
    <x v="2"/>
    <s v="All Ages"/>
    <s v="60 days"/>
    <x v="5"/>
    <n v="0.04"/>
    <n v="14753"/>
    <n v="7.7"/>
    <n v="24"/>
    <n v="614.70833333333337"/>
    <s v="Miami"/>
    <s v="English"/>
    <n v="600"/>
    <n v="1828"/>
    <n v="7"/>
    <s v="Health &amp; Wellness"/>
    <x v="31"/>
  </r>
  <r>
    <s v="Alpha Innovations"/>
    <x v="4"/>
    <s v="All Ages"/>
    <s v="45 days"/>
    <x v="0"/>
    <n v="7.0000000000000007E-2"/>
    <n v="12451"/>
    <n v="4.3099999999999996"/>
    <n v="44"/>
    <n v="282.97727272727275"/>
    <s v="Chicago"/>
    <s v="French"/>
    <n v="625"/>
    <n v="4976"/>
    <n v="2"/>
    <s v="Outdoor Adventurers"/>
    <x v="32"/>
  </r>
  <r>
    <s v="TechCorp"/>
    <x v="2"/>
    <s v="Women 25-34"/>
    <s v="15 days"/>
    <x v="4"/>
    <n v="0.11"/>
    <n v="12924"/>
    <n v="7.04"/>
    <n v="99"/>
    <n v="130.54545454545453"/>
    <s v="Chicago"/>
    <s v="French"/>
    <n v="896"/>
    <n v="3544"/>
    <n v="8"/>
    <s v="Tech Enthusiasts"/>
    <x v="33"/>
  </r>
  <r>
    <s v="Innovate Industries"/>
    <x v="1"/>
    <s v="Women 35-44"/>
    <s v="45 days"/>
    <x v="1"/>
    <n v="0.02"/>
    <n v="11860"/>
    <n v="6.87"/>
    <n v="3"/>
    <n v="3953.3333333333335"/>
    <s v="Houston"/>
    <s v="Spanish"/>
    <n v="152"/>
    <n v="4030"/>
    <n v="3"/>
    <s v="Outdoor Adventurers"/>
    <x v="34"/>
  </r>
  <r>
    <s v="NexGen Systems"/>
    <x v="1"/>
    <s v="Women 35-44"/>
    <s v="45 days"/>
    <x v="2"/>
    <n v="0.14000000000000001"/>
    <n v="7034"/>
    <n v="3.49"/>
    <n v="70"/>
    <n v="100.48571428571428"/>
    <s v="Houston"/>
    <s v="Mandarin"/>
    <n v="498"/>
    <n v="9496"/>
    <n v="9"/>
    <s v="Tech Enthusiasts"/>
    <x v="35"/>
  </r>
  <r>
    <s v="Innovate Industries"/>
    <x v="2"/>
    <s v="Men 25-34"/>
    <s v="15 days"/>
    <x v="3"/>
    <n v="0.09"/>
    <n v="6285"/>
    <n v="5.55"/>
    <n v="80"/>
    <n v="78.5625"/>
    <s v="Miami"/>
    <s v="English"/>
    <n v="884"/>
    <n v="1549"/>
    <n v="2"/>
    <s v="Tech Enthusiasts"/>
    <x v="36"/>
  </r>
  <r>
    <s v="DataTech Solutions"/>
    <x v="3"/>
    <s v="Women 25-34"/>
    <s v="30 days"/>
    <x v="4"/>
    <n v="0.04"/>
    <n v="7253"/>
    <n v="5.52"/>
    <n v="10"/>
    <n v="725.3"/>
    <s v="Miami"/>
    <s v="French"/>
    <n v="242"/>
    <n v="9814"/>
    <n v="3"/>
    <s v="Outdoor Adventurers"/>
    <x v="37"/>
  </r>
  <r>
    <s v="Alpha Innovations"/>
    <x v="3"/>
    <s v="Men 25-34"/>
    <s v="30 days"/>
    <x v="1"/>
    <n v="0.12"/>
    <n v="11864"/>
    <n v="4.82"/>
    <n v="77"/>
    <n v="154.07792207792207"/>
    <s v="Los Angeles"/>
    <s v="German"/>
    <n v="643"/>
    <n v="4123"/>
    <n v="5"/>
    <s v="Health &amp; Wellness"/>
    <x v="38"/>
  </r>
  <r>
    <s v="TechCorp"/>
    <x v="0"/>
    <s v="All Ages"/>
    <s v="60 days"/>
    <x v="4"/>
    <n v="0.14000000000000001"/>
    <n v="10600"/>
    <n v="5.0199999999999996"/>
    <n v="79"/>
    <n v="134.17721518987341"/>
    <s v="Chicago"/>
    <s v="Mandarin"/>
    <n v="563"/>
    <n v="3616"/>
    <n v="4"/>
    <s v="Fashionistas"/>
    <x v="39"/>
  </r>
  <r>
    <s v="Innovate Industries"/>
    <x v="0"/>
    <s v="All Ages"/>
    <s v="30 days"/>
    <x v="0"/>
    <n v="0.03"/>
    <n v="6203"/>
    <n v="3.08"/>
    <n v="17"/>
    <n v="364.88235294117646"/>
    <s v="Los Angeles"/>
    <s v="Spanish"/>
    <n v="568"/>
    <n v="8646"/>
    <n v="4"/>
    <s v="Fashionistas"/>
    <x v="40"/>
  </r>
  <r>
    <s v="Innovate Industries"/>
    <x v="3"/>
    <s v="Women 25-34"/>
    <s v="60 days"/>
    <x v="3"/>
    <n v="0.09"/>
    <n v="17751"/>
    <n v="3.59"/>
    <n v="65"/>
    <n v="273.09230769230771"/>
    <s v="Miami"/>
    <s v="German"/>
    <n v="722"/>
    <n v="8471"/>
    <n v="10"/>
    <s v="Fashionistas"/>
    <x v="41"/>
  </r>
  <r>
    <s v="Innovate Industries"/>
    <x v="4"/>
    <s v="Men 18-24"/>
    <s v="60 days"/>
    <x v="0"/>
    <n v="0.11"/>
    <n v="17526"/>
    <n v="5.51"/>
    <n v="14"/>
    <n v="1251.8571428571429"/>
    <s v="Chicago"/>
    <s v="French"/>
    <n v="130"/>
    <n v="5134"/>
    <n v="2"/>
    <s v="Health &amp; Wellness"/>
    <x v="42"/>
  </r>
  <r>
    <s v="TechCorp"/>
    <x v="1"/>
    <s v="Men 25-34"/>
    <s v="15 days"/>
    <x v="4"/>
    <n v="0.03"/>
    <n v="6948"/>
    <n v="4.84"/>
    <n v="23"/>
    <n v="302.08695652173913"/>
    <s v="Chicago"/>
    <s v="German"/>
    <n v="781"/>
    <n v="4776"/>
    <n v="1"/>
    <s v="Fashionistas"/>
    <x v="43"/>
  </r>
  <r>
    <s v="TechCorp"/>
    <x v="3"/>
    <s v="Women 35-44"/>
    <s v="15 days"/>
    <x v="2"/>
    <n v="0.04"/>
    <n v="8126"/>
    <n v="4.25"/>
    <n v="14"/>
    <n v="580.42857142857144"/>
    <s v="Chicago"/>
    <s v="Mandarin"/>
    <n v="355"/>
    <n v="3547"/>
    <n v="8"/>
    <s v="Health &amp; Wellness"/>
    <x v="44"/>
  </r>
  <r>
    <s v="DataTech Solutions"/>
    <x v="0"/>
    <s v="Men 18-24"/>
    <s v="45 days"/>
    <x v="2"/>
    <n v="0.04"/>
    <n v="9652"/>
    <n v="6.19"/>
    <n v="30"/>
    <n v="321.73333333333335"/>
    <s v="Miami"/>
    <s v="French"/>
    <n v="739"/>
    <n v="8134"/>
    <n v="7"/>
    <s v="Tech Enthusiasts"/>
    <x v="45"/>
  </r>
  <r>
    <s v="Alpha Innovations"/>
    <x v="4"/>
    <s v="Men 25-34"/>
    <s v="45 days"/>
    <x v="5"/>
    <n v="0.04"/>
    <n v="11870"/>
    <n v="5.71"/>
    <n v="37"/>
    <n v="320.81081081081084"/>
    <s v="Chicago"/>
    <s v="English"/>
    <n v="932"/>
    <n v="2609"/>
    <n v="10"/>
    <s v="Outdoor Adventurers"/>
    <x v="46"/>
  </r>
  <r>
    <s v="Alpha Innovations"/>
    <x v="2"/>
    <s v="Women 25-34"/>
    <s v="60 days"/>
    <x v="0"/>
    <n v="0.05"/>
    <n v="17610"/>
    <n v="6.1"/>
    <n v="26"/>
    <n v="677.30769230769226"/>
    <s v="Miami"/>
    <s v="French"/>
    <n v="524"/>
    <n v="9938"/>
    <n v="10"/>
    <s v="Outdoor Adventurers"/>
    <x v="47"/>
  </r>
  <r>
    <s v="NexGen Systems"/>
    <x v="3"/>
    <s v="Men 18-24"/>
    <s v="45 days"/>
    <x v="5"/>
    <n v="7.0000000000000007E-2"/>
    <n v="10139"/>
    <n v="7.44"/>
    <n v="13"/>
    <n v="779.92307692307691"/>
    <s v="Los Angeles"/>
    <s v="English"/>
    <n v="189"/>
    <n v="4066"/>
    <n v="6"/>
    <s v="Foodies"/>
    <x v="48"/>
  </r>
  <r>
    <s v="Innovate Industries"/>
    <x v="0"/>
    <s v="All Ages"/>
    <s v="15 days"/>
    <x v="5"/>
    <n v="0.15"/>
    <n v="14788"/>
    <n v="7.36"/>
    <n v="94"/>
    <n v="157.31914893617022"/>
    <s v="New York"/>
    <s v="French"/>
    <n v="628"/>
    <n v="9986"/>
    <n v="4"/>
    <s v="Outdoor Adventurers"/>
    <x v="49"/>
  </r>
  <r>
    <s v="DataTech Solutions"/>
    <x v="1"/>
    <s v="Women 35-44"/>
    <s v="30 days"/>
    <x v="5"/>
    <n v="0.09"/>
    <n v="17935"/>
    <n v="4.5"/>
    <n v="15"/>
    <n v="1195.6666666666667"/>
    <s v="Houston"/>
    <s v="French"/>
    <n v="163"/>
    <n v="6258"/>
    <n v="4"/>
    <s v="Tech Enthusiasts"/>
    <x v="50"/>
  </r>
  <r>
    <s v="TechCorp"/>
    <x v="2"/>
    <s v="Men 18-24"/>
    <s v="15 days"/>
    <x v="5"/>
    <n v="0.14000000000000001"/>
    <n v="17157"/>
    <n v="5.88"/>
    <n v="125"/>
    <n v="137.256"/>
    <s v="Houston"/>
    <s v="Spanish"/>
    <n v="890"/>
    <n v="8228"/>
    <n v="8"/>
    <s v="Outdoor Adventurers"/>
    <x v="51"/>
  </r>
  <r>
    <s v="Alpha Innovations"/>
    <x v="1"/>
    <s v="Women 35-44"/>
    <s v="60 days"/>
    <x v="2"/>
    <n v="0.06"/>
    <n v="14937"/>
    <n v="3.97"/>
    <n v="60"/>
    <n v="248.95"/>
    <s v="Miami"/>
    <s v="French"/>
    <n v="993"/>
    <n v="6868"/>
    <n v="10"/>
    <s v="Health &amp; Wellness"/>
    <x v="52"/>
  </r>
  <r>
    <s v="NexGen Systems"/>
    <x v="0"/>
    <s v="Men 18-24"/>
    <s v="30 days"/>
    <x v="5"/>
    <n v="0.12"/>
    <n v="10447"/>
    <n v="2.41"/>
    <n v="109"/>
    <n v="95.844036697247702"/>
    <s v="Los Angeles"/>
    <s v="Mandarin"/>
    <n v="912"/>
    <n v="5896"/>
    <n v="8"/>
    <s v="Fashionistas"/>
    <x v="53"/>
  </r>
  <r>
    <s v="NexGen Systems"/>
    <x v="2"/>
    <s v="Men 18-24"/>
    <s v="45 days"/>
    <x v="2"/>
    <n v="0.12"/>
    <n v="18690"/>
    <n v="7.87"/>
    <n v="94"/>
    <n v="198.82978723404256"/>
    <s v="Los Angeles"/>
    <s v="French"/>
    <n v="787"/>
    <n v="8412"/>
    <n v="8"/>
    <s v="Foodies"/>
    <x v="54"/>
  </r>
  <r>
    <s v="Innovate Industries"/>
    <x v="3"/>
    <s v="Women 25-34"/>
    <s v="60 days"/>
    <x v="0"/>
    <n v="0.02"/>
    <n v="12741"/>
    <n v="7.58"/>
    <n v="4"/>
    <n v="3185.25"/>
    <s v="New York"/>
    <s v="Spanish"/>
    <n v="218"/>
    <n v="1184"/>
    <n v="9"/>
    <s v="Tech Enthusiasts"/>
    <x v="55"/>
  </r>
  <r>
    <s v="DataTech Solutions"/>
    <x v="3"/>
    <s v="Women 35-44"/>
    <s v="45 days"/>
    <x v="4"/>
    <n v="0.09"/>
    <n v="9721"/>
    <n v="5.38"/>
    <n v="81"/>
    <n v="120.01234567901234"/>
    <s v="Los Angeles"/>
    <s v="Spanish"/>
    <n v="901"/>
    <n v="3205"/>
    <n v="7"/>
    <s v="Foodies"/>
    <x v="56"/>
  </r>
  <r>
    <s v="DataTech Solutions"/>
    <x v="1"/>
    <s v="Women 35-44"/>
    <s v="45 days"/>
    <x v="1"/>
    <n v="0.14000000000000001"/>
    <n v="14329"/>
    <n v="6.85"/>
    <n v="71"/>
    <n v="201.81690140845072"/>
    <s v="Los Angeles"/>
    <s v="French"/>
    <n v="508"/>
    <n v="9606"/>
    <n v="10"/>
    <s v="Foodies"/>
    <x v="57"/>
  </r>
  <r>
    <s v="NexGen Systems"/>
    <x v="4"/>
    <s v="Men 18-24"/>
    <s v="45 days"/>
    <x v="4"/>
    <n v="0.04"/>
    <n v="18862"/>
    <n v="3.48"/>
    <n v="26"/>
    <n v="725.46153846153845"/>
    <s v="Houston"/>
    <s v="German"/>
    <n v="641"/>
    <n v="1478"/>
    <n v="9"/>
    <s v="Outdoor Adventurers"/>
    <x v="58"/>
  </r>
  <r>
    <s v="Innovate Industries"/>
    <x v="1"/>
    <s v="Men 18-24"/>
    <s v="15 days"/>
    <x v="2"/>
    <n v="0.06"/>
    <n v="11126"/>
    <n v="4.34"/>
    <n v="51"/>
    <n v="218.15686274509804"/>
    <s v="Miami"/>
    <s v="English"/>
    <n v="842"/>
    <n v="9823"/>
    <n v="4"/>
    <s v="Fashionistas"/>
    <x v="59"/>
  </r>
  <r>
    <s v="DataTech Solutions"/>
    <x v="3"/>
    <s v="Men 18-24"/>
    <s v="30 days"/>
    <x v="1"/>
    <n v="0.15"/>
    <n v="15312"/>
    <n v="3.83"/>
    <n v="20"/>
    <n v="765.6"/>
    <s v="Miami"/>
    <s v="German"/>
    <n v="136"/>
    <n v="8034"/>
    <n v="9"/>
    <s v="Foodies"/>
    <x v="60"/>
  </r>
  <r>
    <s v="Innovate Industries"/>
    <x v="0"/>
    <s v="All Ages"/>
    <s v="30 days"/>
    <x v="5"/>
    <n v="0.11"/>
    <n v="19161"/>
    <n v="5.04"/>
    <n v="104"/>
    <n v="184.24038461538461"/>
    <s v="Los Angeles"/>
    <s v="English"/>
    <n v="941"/>
    <n v="1529"/>
    <n v="8"/>
    <s v="Health &amp; Wellness"/>
    <x v="61"/>
  </r>
  <r>
    <s v="Alpha Innovations"/>
    <x v="0"/>
    <s v="Women 35-44"/>
    <s v="45 days"/>
    <x v="2"/>
    <n v="0.1"/>
    <n v="14311"/>
    <n v="4.55"/>
    <n v="94"/>
    <n v="152.24468085106383"/>
    <s v="Houston"/>
    <s v="English"/>
    <n v="944"/>
    <n v="4860"/>
    <n v="9"/>
    <s v="Health &amp; Wellness"/>
    <x v="62"/>
  </r>
  <r>
    <s v="NexGen Systems"/>
    <x v="0"/>
    <s v="Women 25-34"/>
    <s v="15 days"/>
    <x v="5"/>
    <n v="0.15"/>
    <n v="12198"/>
    <n v="7.17"/>
    <n v="38"/>
    <n v="321"/>
    <s v="Los Angeles"/>
    <s v="English"/>
    <n v="254"/>
    <n v="7506"/>
    <n v="3"/>
    <s v="Health &amp; Wellness"/>
    <x v="63"/>
  </r>
  <r>
    <s v="Alpha Innovations"/>
    <x v="0"/>
    <s v="Women 35-44"/>
    <s v="60 days"/>
    <x v="4"/>
    <n v="0.11"/>
    <n v="16387"/>
    <n v="2.3199999999999998"/>
    <n v="33"/>
    <n v="496.57575757575756"/>
    <s v="Los Angeles"/>
    <s v="Spanish"/>
    <n v="300"/>
    <n v="8729"/>
    <n v="5"/>
    <s v="Health &amp; Wellness"/>
    <x v="64"/>
  </r>
  <r>
    <s v="Innovate Industries"/>
    <x v="1"/>
    <s v="Women 35-44"/>
    <s v="15 days"/>
    <x v="3"/>
    <n v="0.12"/>
    <n v="6112"/>
    <n v="5.31"/>
    <n v="13"/>
    <n v="470.15384615384613"/>
    <s v="Los Angeles"/>
    <s v="Mandarin"/>
    <n v="109"/>
    <n v="1910"/>
    <n v="8"/>
    <s v="Health &amp; Wellness"/>
    <x v="65"/>
  </r>
  <r>
    <s v="Innovate Industries"/>
    <x v="0"/>
    <s v="All Ages"/>
    <s v="15 days"/>
    <x v="1"/>
    <n v="0.08"/>
    <n v="11046"/>
    <n v="4.45"/>
    <n v="72"/>
    <n v="153.41666666666666"/>
    <s v="Chicago"/>
    <s v="Mandarin"/>
    <n v="899"/>
    <n v="9287"/>
    <n v="2"/>
    <s v="Tech Enthusiasts"/>
    <x v="66"/>
  </r>
  <r>
    <s v="Innovate Industries"/>
    <x v="0"/>
    <s v="Women 25-34"/>
    <s v="45 days"/>
    <x v="2"/>
    <n v="0.06"/>
    <n v="8931"/>
    <n v="5.88"/>
    <n v="45"/>
    <n v="198.46666666666667"/>
    <s v="New York"/>
    <s v="English"/>
    <n v="750"/>
    <n v="5822"/>
    <n v="3"/>
    <s v="Fashionistas"/>
    <x v="67"/>
  </r>
  <r>
    <s v="NexGen Systems"/>
    <x v="2"/>
    <s v="All Ages"/>
    <s v="30 days"/>
    <x v="5"/>
    <n v="0.08"/>
    <n v="8659"/>
    <n v="6.39"/>
    <n v="65"/>
    <n v="133.21538461538461"/>
    <s v="Houston"/>
    <s v="English"/>
    <n v="814"/>
    <n v="3560"/>
    <n v="1"/>
    <s v="Fashionistas"/>
    <x v="68"/>
  </r>
  <r>
    <s v="Innovate Industries"/>
    <x v="1"/>
    <s v="Men 18-24"/>
    <s v="45 days"/>
    <x v="3"/>
    <n v="0.14000000000000001"/>
    <n v="13089"/>
    <n v="2.97"/>
    <n v="130"/>
    <n v="100.68461538461538"/>
    <s v="Miami"/>
    <s v="Mandarin"/>
    <n v="925"/>
    <n v="6002"/>
    <n v="4"/>
    <s v="Foodies"/>
    <x v="69"/>
  </r>
  <r>
    <s v="TechCorp"/>
    <x v="4"/>
    <s v="Women 25-34"/>
    <s v="15 days"/>
    <x v="4"/>
    <n v="0.1"/>
    <n v="5870"/>
    <n v="2.08"/>
    <n v="90"/>
    <n v="65.222222222222229"/>
    <s v="New York"/>
    <s v="Spanish"/>
    <n v="902"/>
    <n v="7018"/>
    <n v="6"/>
    <s v="Tech Enthusiasts"/>
    <x v="70"/>
  </r>
  <r>
    <s v="Innovate Industries"/>
    <x v="3"/>
    <s v="Women 25-34"/>
    <s v="60 days"/>
    <x v="3"/>
    <n v="0.1"/>
    <n v="9800"/>
    <n v="2.93"/>
    <n v="15"/>
    <n v="653.33333333333337"/>
    <s v="Miami"/>
    <s v="French"/>
    <n v="153"/>
    <n v="8593"/>
    <n v="10"/>
    <s v="Health &amp; Wellness"/>
    <x v="71"/>
  </r>
  <r>
    <s v="Innovate Industries"/>
    <x v="3"/>
    <s v="Women 25-34"/>
    <s v="15 days"/>
    <x v="2"/>
    <n v="0.11"/>
    <n v="15265"/>
    <n v="5.13"/>
    <n v="67"/>
    <n v="227.83582089552237"/>
    <s v="New York"/>
    <s v="Spanish"/>
    <n v="612"/>
    <n v="6108"/>
    <n v="8"/>
    <s v="Outdoor Adventurers"/>
    <x v="72"/>
  </r>
  <r>
    <s v="NexGen Systems"/>
    <x v="2"/>
    <s v="Women 35-44"/>
    <s v="45 days"/>
    <x v="1"/>
    <n v="0.01"/>
    <n v="18903"/>
    <n v="2.65"/>
    <n v="7"/>
    <n v="2700.4285714285716"/>
    <s v="New York"/>
    <s v="Mandarin"/>
    <n v="698"/>
    <n v="9008"/>
    <n v="1"/>
    <s v="Health &amp; Wellness"/>
    <x v="73"/>
  </r>
  <r>
    <s v="Innovate Industries"/>
    <x v="1"/>
    <s v="Women 35-44"/>
    <s v="60 days"/>
    <x v="1"/>
    <n v="7.0000000000000007E-2"/>
    <n v="8301"/>
    <n v="2.5499999999999998"/>
    <n v="38"/>
    <n v="218.44736842105263"/>
    <s v="Miami"/>
    <s v="Spanish"/>
    <n v="541"/>
    <n v="1674"/>
    <n v="5"/>
    <s v="Fashionistas"/>
    <x v="74"/>
  </r>
  <r>
    <s v="DataTech Solutions"/>
    <x v="2"/>
    <s v="Men 18-24"/>
    <s v="60 days"/>
    <x v="5"/>
    <n v="0.12"/>
    <n v="8755"/>
    <n v="7.31"/>
    <n v="53"/>
    <n v="165.18867924528303"/>
    <s v="New York"/>
    <s v="Spanish"/>
    <n v="444"/>
    <n v="3303"/>
    <n v="2"/>
    <s v="Fashionistas"/>
    <x v="75"/>
  </r>
  <r>
    <s v="DataTech Solutions"/>
    <x v="3"/>
    <s v="Women 35-44"/>
    <s v="45 days"/>
    <x v="3"/>
    <n v="0.1"/>
    <n v="8164"/>
    <n v="7.43"/>
    <n v="22"/>
    <n v="371.09090909090907"/>
    <s v="Miami"/>
    <s v="Mandarin"/>
    <n v="222"/>
    <n v="7022"/>
    <n v="1"/>
    <s v="Health &amp; Wellness"/>
    <x v="76"/>
  </r>
  <r>
    <s v="Innovate Industries"/>
    <x v="3"/>
    <s v="Women 25-34"/>
    <s v="15 days"/>
    <x v="1"/>
    <n v="0.05"/>
    <n v="18854"/>
    <n v="5.12"/>
    <n v="31"/>
    <n v="608.19354838709683"/>
    <s v="New York"/>
    <s v="Mandarin"/>
    <n v="625"/>
    <n v="2147"/>
    <n v="7"/>
    <s v="Outdoor Adventurers"/>
    <x v="77"/>
  </r>
  <r>
    <s v="TechCorp"/>
    <x v="4"/>
    <s v="All Ages"/>
    <s v="15 days"/>
    <x v="3"/>
    <n v="0.09"/>
    <n v="9906"/>
    <n v="5.73"/>
    <n v="28"/>
    <n v="353.78571428571428"/>
    <s v="Houston"/>
    <s v="French"/>
    <n v="309"/>
    <n v="1049"/>
    <n v="8"/>
    <s v="Fashionistas"/>
    <x v="78"/>
  </r>
  <r>
    <s v="Alpha Innovations"/>
    <x v="2"/>
    <s v="Women 25-34"/>
    <s v="15 days"/>
    <x v="4"/>
    <n v="0.06"/>
    <n v="12482"/>
    <n v="2.5"/>
    <n v="49"/>
    <n v="254.73469387755102"/>
    <s v="New York"/>
    <s v="German"/>
    <n v="818"/>
    <n v="1474"/>
    <n v="8"/>
    <s v="Health &amp; Wellness"/>
    <x v="79"/>
  </r>
  <r>
    <s v="DataTech Solutions"/>
    <x v="4"/>
    <s v="Men 25-34"/>
    <s v="15 days"/>
    <x v="2"/>
    <n v="0.08"/>
    <n v="15909"/>
    <n v="4.75"/>
    <n v="20"/>
    <n v="795.45"/>
    <s v="Chicago"/>
    <s v="English"/>
    <n v="250"/>
    <n v="8927"/>
    <n v="4"/>
    <s v="Foodies"/>
    <x v="80"/>
  </r>
  <r>
    <s v="NexGen Systems"/>
    <x v="1"/>
    <s v="Women 35-44"/>
    <s v="45 days"/>
    <x v="3"/>
    <n v="0.13"/>
    <n v="12265"/>
    <n v="7.69"/>
    <n v="62"/>
    <n v="197.82258064516128"/>
    <s v="Chicago"/>
    <s v="Mandarin"/>
    <n v="478"/>
    <n v="5931"/>
    <n v="8"/>
    <s v="Outdoor Adventurers"/>
    <x v="81"/>
  </r>
  <r>
    <s v="Innovate Industries"/>
    <x v="3"/>
    <s v="All Ages"/>
    <s v="60 days"/>
    <x v="5"/>
    <n v="0.09"/>
    <n v="18161"/>
    <n v="4.0999999999999996"/>
    <n v="16"/>
    <n v="1135.0625"/>
    <s v="Houston"/>
    <s v="German"/>
    <n v="182"/>
    <n v="5200"/>
    <n v="10"/>
    <s v="Tech Enthusiasts"/>
    <x v="82"/>
  </r>
  <r>
    <s v="Alpha Innovations"/>
    <x v="0"/>
    <s v="Men 25-34"/>
    <s v="60 days"/>
    <x v="0"/>
    <n v="0.11"/>
    <n v="12306"/>
    <n v="3.09"/>
    <n v="29"/>
    <n v="424.34482758620692"/>
    <s v="Los Angeles"/>
    <s v="French"/>
    <n v="265"/>
    <n v="1858"/>
    <n v="3"/>
    <s v="Fashionistas"/>
    <x v="83"/>
  </r>
  <r>
    <s v="Innovate Industries"/>
    <x v="2"/>
    <s v="Men 18-24"/>
    <s v="60 days"/>
    <x v="2"/>
    <n v="0.04"/>
    <n v="12190"/>
    <n v="4.33"/>
    <n v="28"/>
    <n v="435.35714285714283"/>
    <s v="Chicago"/>
    <s v="English"/>
    <n v="710"/>
    <n v="2791"/>
    <n v="10"/>
    <s v="Tech Enthusiasts"/>
    <x v="84"/>
  </r>
  <r>
    <s v="Innovate Industries"/>
    <x v="1"/>
    <s v="Women 25-34"/>
    <s v="15 days"/>
    <x v="0"/>
    <n v="0.11"/>
    <n v="6535"/>
    <n v="3.3"/>
    <n v="64"/>
    <n v="102.109375"/>
    <s v="Houston"/>
    <s v="English"/>
    <n v="582"/>
    <n v="9140"/>
    <n v="4"/>
    <s v="Foodies"/>
    <x v="85"/>
  </r>
  <r>
    <s v="DataTech Solutions"/>
    <x v="4"/>
    <s v="Women 25-34"/>
    <s v="60 days"/>
    <x v="5"/>
    <n v="0.11"/>
    <n v="11776"/>
    <n v="3.27"/>
    <n v="59"/>
    <n v="199.59322033898306"/>
    <s v="Miami"/>
    <s v="English"/>
    <n v="534"/>
    <n v="6828"/>
    <n v="5"/>
    <s v="Tech Enthusiasts"/>
    <x v="86"/>
  </r>
  <r>
    <s v="Alpha Innovations"/>
    <x v="4"/>
    <s v="Women 25-34"/>
    <s v="30 days"/>
    <x v="1"/>
    <n v="0.09"/>
    <n v="15955"/>
    <n v="3.62"/>
    <n v="62"/>
    <n v="257.33870967741933"/>
    <s v="Chicago"/>
    <s v="Spanish"/>
    <n v="691"/>
    <n v="3638"/>
    <n v="5"/>
    <s v="Tech Enthusiasts"/>
    <x v="87"/>
  </r>
  <r>
    <s v="Alpha Innovations"/>
    <x v="1"/>
    <s v="Men 18-24"/>
    <s v="60 days"/>
    <x v="1"/>
    <n v="0.02"/>
    <n v="14138"/>
    <n v="6.71"/>
    <n v="7"/>
    <n v="2019.7142857142858"/>
    <s v="New York"/>
    <s v="Mandarin"/>
    <n v="352"/>
    <n v="3661"/>
    <n v="8"/>
    <s v="Fashionistas"/>
    <x v="88"/>
  </r>
  <r>
    <s v="DataTech Solutions"/>
    <x v="3"/>
    <s v="Women 25-34"/>
    <s v="15 days"/>
    <x v="5"/>
    <n v="0.09"/>
    <n v="19602"/>
    <n v="6.63"/>
    <n v="50"/>
    <n v="392.04"/>
    <s v="Houston"/>
    <s v="Mandarin"/>
    <n v="553"/>
    <n v="3722"/>
    <n v="1"/>
    <s v="Health &amp; Wellness"/>
    <x v="89"/>
  </r>
  <r>
    <s v="NexGen Systems"/>
    <x v="3"/>
    <s v="Women 25-34"/>
    <s v="60 days"/>
    <x v="4"/>
    <n v="0.1"/>
    <n v="7732"/>
    <n v="3.19"/>
    <n v="63"/>
    <n v="122.73015873015873"/>
    <s v="Los Angeles"/>
    <s v="German"/>
    <n v="634"/>
    <n v="8167"/>
    <n v="9"/>
    <s v="Tech Enthusiasts"/>
    <x v="90"/>
  </r>
  <r>
    <s v="DataTech Solutions"/>
    <x v="2"/>
    <s v="Women 25-34"/>
    <s v="45 days"/>
    <x v="0"/>
    <n v="0.11"/>
    <n v="11882"/>
    <n v="3.45"/>
    <n v="27"/>
    <n v="440.07407407407408"/>
    <s v="Miami"/>
    <s v="Mandarin"/>
    <n v="246"/>
    <n v="4710"/>
    <n v="4"/>
    <s v="Outdoor Adventurers"/>
    <x v="91"/>
  </r>
  <r>
    <s v="DataTech Solutions"/>
    <x v="1"/>
    <s v="All Ages"/>
    <s v="60 days"/>
    <x v="5"/>
    <n v="0.14000000000000001"/>
    <n v="10786"/>
    <n v="4.4800000000000004"/>
    <n v="29"/>
    <n v="371.93103448275861"/>
    <s v="Los Angeles"/>
    <s v="Mandarin"/>
    <n v="205"/>
    <n v="3230"/>
    <n v="2"/>
    <s v="Health &amp; Wellness"/>
    <x v="92"/>
  </r>
  <r>
    <s v="DataTech Solutions"/>
    <x v="1"/>
    <s v="Women 35-44"/>
    <s v="30 days"/>
    <x v="4"/>
    <n v="0.02"/>
    <n v="5670"/>
    <n v="6.64"/>
    <n v="18"/>
    <n v="315"/>
    <s v="Los Angeles"/>
    <s v="English"/>
    <n v="888"/>
    <n v="7496"/>
    <n v="3"/>
    <s v="Fashionistas"/>
    <x v="93"/>
  </r>
  <r>
    <s v="TechCorp"/>
    <x v="4"/>
    <s v="Men 25-34"/>
    <s v="15 days"/>
    <x v="1"/>
    <n v="0.14000000000000001"/>
    <n v="13534"/>
    <n v="4.1100000000000003"/>
    <n v="94"/>
    <n v="143.97872340425531"/>
    <s v="Miami"/>
    <s v="German"/>
    <n v="672"/>
    <n v="6682"/>
    <n v="1"/>
    <s v="Fashionistas"/>
    <x v="94"/>
  </r>
  <r>
    <s v="NexGen Systems"/>
    <x v="1"/>
    <s v="Men 18-24"/>
    <s v="60 days"/>
    <x v="5"/>
    <n v="0.06"/>
    <n v="15696"/>
    <n v="2.98"/>
    <n v="14"/>
    <n v="1121.1428571428571"/>
    <s v="Los Angeles"/>
    <s v="Spanish"/>
    <n v="241"/>
    <n v="5249"/>
    <n v="2"/>
    <s v="Outdoor Adventurers"/>
    <x v="95"/>
  </r>
  <r>
    <s v="NexGen Systems"/>
    <x v="1"/>
    <s v="Women 35-44"/>
    <s v="30 days"/>
    <x v="5"/>
    <n v="0.05"/>
    <n v="7389"/>
    <n v="4.9800000000000004"/>
    <n v="20"/>
    <n v="369.45"/>
    <s v="Chicago"/>
    <s v="French"/>
    <n v="409"/>
    <n v="1309"/>
    <n v="9"/>
    <s v="Outdoor Adventurers"/>
    <x v="96"/>
  </r>
  <r>
    <s v="Alpha Innovations"/>
    <x v="3"/>
    <s v="Women 25-34"/>
    <s v="30 days"/>
    <x v="3"/>
    <n v="0.06"/>
    <n v="8698"/>
    <n v="4.92"/>
    <n v="37"/>
    <n v="235.08108108108109"/>
    <s v="Miami"/>
    <s v="German"/>
    <n v="622"/>
    <n v="6366"/>
    <n v="3"/>
    <s v="Foodies"/>
    <x v="97"/>
  </r>
  <r>
    <s v="NexGen Systems"/>
    <x v="4"/>
    <s v="Men 25-34"/>
    <s v="30 days"/>
    <x v="2"/>
    <n v="0.1"/>
    <n v="14195"/>
    <n v="2.14"/>
    <n v="95"/>
    <n v="149.42105263157896"/>
    <s v="Los Angeles"/>
    <s v="Spanish"/>
    <n v="950"/>
    <n v="9036"/>
    <n v="5"/>
    <s v="Health &amp; Wellness"/>
    <x v="98"/>
  </r>
  <r>
    <s v="NexGen Systems"/>
    <x v="2"/>
    <s v="Men 18-24"/>
    <s v="15 days"/>
    <x v="4"/>
    <n v="0.08"/>
    <n v="16891"/>
    <n v="5.28"/>
    <n v="70"/>
    <n v="241.3"/>
    <s v="Chicago"/>
    <s v="French"/>
    <n v="879"/>
    <n v="1061"/>
    <n v="10"/>
    <s v="Fashionistas"/>
    <x v="99"/>
  </r>
  <r>
    <s v="Alpha Innovations"/>
    <x v="2"/>
    <s v="Men 18-24"/>
    <s v="60 days"/>
    <x v="0"/>
    <n v="0.15"/>
    <n v="5836"/>
    <n v="6.12"/>
    <n v="57"/>
    <n v="102.3859649122807"/>
    <s v="New York"/>
    <s v="French"/>
    <n v="377"/>
    <n v="4008"/>
    <n v="2"/>
    <s v="Outdoor Adventurers"/>
    <x v="100"/>
  </r>
  <r>
    <s v="DataTech Solutions"/>
    <x v="1"/>
    <s v="Women 35-44"/>
    <s v="30 days"/>
    <x v="2"/>
    <n v="0.05"/>
    <n v="5504"/>
    <n v="2.1"/>
    <n v="27"/>
    <n v="203.85185185185185"/>
    <s v="Chicago"/>
    <s v="French"/>
    <n v="545"/>
    <n v="6348"/>
    <n v="7"/>
    <s v="Outdoor Adventurers"/>
    <x v="101"/>
  </r>
  <r>
    <s v="Alpha Innovations"/>
    <x v="2"/>
    <s v="All Ages"/>
    <s v="45 days"/>
    <x v="2"/>
    <n v="0.04"/>
    <n v="8297"/>
    <n v="6.2"/>
    <n v="33"/>
    <n v="251.42424242424244"/>
    <s v="Chicago"/>
    <s v="English"/>
    <n v="830"/>
    <n v="5252"/>
    <n v="3"/>
    <s v="Health &amp; Wellness"/>
    <x v="102"/>
  </r>
  <r>
    <s v="NexGen Systems"/>
    <x v="2"/>
    <s v="Men 18-24"/>
    <s v="60 days"/>
    <x v="0"/>
    <n v="0.01"/>
    <n v="8517"/>
    <n v="2.77"/>
    <n v="8"/>
    <n v="1064.625"/>
    <s v="New York"/>
    <s v="English"/>
    <n v="829"/>
    <n v="6115"/>
    <n v="6"/>
    <s v="Tech Enthusiasts"/>
    <x v="103"/>
  </r>
  <r>
    <s v="NexGen Systems"/>
    <x v="2"/>
    <s v="Men 25-34"/>
    <s v="45 days"/>
    <x v="5"/>
    <n v="0.08"/>
    <n v="9344"/>
    <n v="3.86"/>
    <n v="80"/>
    <n v="116.8"/>
    <s v="New York"/>
    <s v="English"/>
    <n v="995"/>
    <n v="8081"/>
    <n v="2"/>
    <s v="Fashionistas"/>
    <x v="104"/>
  </r>
  <r>
    <s v="TechCorp"/>
    <x v="3"/>
    <s v="Women 25-34"/>
    <s v="30 days"/>
    <x v="0"/>
    <n v="0.05"/>
    <n v="7096"/>
    <n v="7.92"/>
    <n v="10"/>
    <n v="709.6"/>
    <s v="Houston"/>
    <s v="Spanish"/>
    <n v="194"/>
    <n v="5035"/>
    <n v="9"/>
    <s v="Foodies"/>
    <x v="105"/>
  </r>
  <r>
    <s v="Innovate Industries"/>
    <x v="1"/>
    <s v="Men 25-34"/>
    <s v="30 days"/>
    <x v="2"/>
    <n v="0.02"/>
    <n v="8286"/>
    <n v="3.21"/>
    <n v="14"/>
    <n v="591.85714285714289"/>
    <s v="Los Angeles"/>
    <s v="English"/>
    <n v="678"/>
    <n v="7425"/>
    <n v="7"/>
    <s v="Health &amp; Wellness"/>
    <x v="106"/>
  </r>
  <r>
    <s v="NexGen Systems"/>
    <x v="4"/>
    <s v="Men 25-34"/>
    <s v="15 days"/>
    <x v="0"/>
    <n v="0.12"/>
    <n v="10598"/>
    <n v="7.86"/>
    <n v="117"/>
    <n v="90.581196581196579"/>
    <s v="Los Angeles"/>
    <s v="German"/>
    <n v="974"/>
    <n v="9232"/>
    <n v="1"/>
    <s v="Foodies"/>
    <x v="107"/>
  </r>
  <r>
    <s v="Alpha Innovations"/>
    <x v="4"/>
    <s v="Men 25-34"/>
    <s v="15 days"/>
    <x v="3"/>
    <n v="0.05"/>
    <n v="11181"/>
    <n v="4.99"/>
    <n v="16"/>
    <n v="698.8125"/>
    <s v="New York"/>
    <s v="Mandarin"/>
    <n v="326"/>
    <n v="8706"/>
    <n v="1"/>
    <s v="Foodies"/>
    <x v="108"/>
  </r>
  <r>
    <s v="Alpha Innovations"/>
    <x v="2"/>
    <s v="All Ages"/>
    <s v="45 days"/>
    <x v="0"/>
    <n v="0.04"/>
    <n v="17472"/>
    <n v="2.58"/>
    <n v="27"/>
    <n v="647.11111111111109"/>
    <s v="Chicago"/>
    <s v="Mandarin"/>
    <n v="678"/>
    <n v="2762"/>
    <n v="1"/>
    <s v="Fashionistas"/>
    <x v="109"/>
  </r>
  <r>
    <s v="DataTech Solutions"/>
    <x v="4"/>
    <s v="Men 18-24"/>
    <s v="45 days"/>
    <x v="1"/>
    <n v="0.02"/>
    <n v="14490"/>
    <n v="7.04"/>
    <n v="14"/>
    <n v="1035"/>
    <s v="Houston"/>
    <s v="French"/>
    <n v="702"/>
    <n v="1851"/>
    <n v="3"/>
    <s v="Foodies"/>
    <x v="110"/>
  </r>
  <r>
    <s v="DataTech Solutions"/>
    <x v="4"/>
    <s v="Women 35-44"/>
    <s v="30 days"/>
    <x v="4"/>
    <n v="7.0000000000000007E-2"/>
    <n v="17939"/>
    <n v="7.3"/>
    <n v="17"/>
    <n v="1055.2352941176471"/>
    <s v="Houston"/>
    <s v="French"/>
    <n v="236"/>
    <n v="1918"/>
    <n v="4"/>
    <s v="Foodies"/>
    <x v="111"/>
  </r>
  <r>
    <s v="DataTech Solutions"/>
    <x v="1"/>
    <s v="Men 18-24"/>
    <s v="60 days"/>
    <x v="1"/>
    <n v="0.05"/>
    <n v="9591"/>
    <n v="3"/>
    <n v="29"/>
    <n v="330.72413793103448"/>
    <s v="Chicago"/>
    <s v="English"/>
    <n v="577"/>
    <n v="1916"/>
    <n v="4"/>
    <s v="Foodies"/>
    <x v="112"/>
  </r>
  <r>
    <s v="Innovate Industries"/>
    <x v="4"/>
    <s v="All Ages"/>
    <s v="60 days"/>
    <x v="4"/>
    <n v="0.12"/>
    <n v="10258"/>
    <n v="3.63"/>
    <n v="120"/>
    <n v="85.483333333333334"/>
    <s v="New York"/>
    <s v="Mandarin"/>
    <n v="1000"/>
    <n v="1099"/>
    <n v="1"/>
    <s v="Fashionistas"/>
    <x v="113"/>
  </r>
  <r>
    <s v="DataTech Solutions"/>
    <x v="4"/>
    <s v="All Ages"/>
    <s v="45 days"/>
    <x v="1"/>
    <n v="0.14000000000000001"/>
    <n v="14394"/>
    <n v="7.12"/>
    <n v="91"/>
    <n v="158.17582417582418"/>
    <s v="Chicago"/>
    <s v="Mandarin"/>
    <n v="651"/>
    <n v="6266"/>
    <n v="4"/>
    <s v="Fashionistas"/>
    <x v="114"/>
  </r>
  <r>
    <s v="NexGen Systems"/>
    <x v="1"/>
    <s v="Men 18-24"/>
    <s v="45 days"/>
    <x v="2"/>
    <n v="0.06"/>
    <n v="10392"/>
    <n v="5.4"/>
    <n v="15"/>
    <n v="692.8"/>
    <s v="Houston"/>
    <s v="French"/>
    <n v="248"/>
    <n v="3956"/>
    <n v="10"/>
    <s v="Fashionistas"/>
    <x v="115"/>
  </r>
  <r>
    <s v="Alpha Innovations"/>
    <x v="4"/>
    <s v="Men 18-24"/>
    <s v="30 days"/>
    <x v="0"/>
    <n v="0.03"/>
    <n v="5072"/>
    <n v="4.1900000000000004"/>
    <n v="16"/>
    <n v="317"/>
    <s v="Miami"/>
    <s v="Mandarin"/>
    <n v="523"/>
    <n v="2209"/>
    <n v="5"/>
    <s v="Foodies"/>
    <x v="116"/>
  </r>
  <r>
    <s v="NexGen Systems"/>
    <x v="2"/>
    <s v="All Ages"/>
    <s v="60 days"/>
    <x v="2"/>
    <n v="0.04"/>
    <n v="8122"/>
    <n v="7.05"/>
    <n v="6"/>
    <n v="1353.6666666666667"/>
    <s v="Chicago"/>
    <s v="Mandarin"/>
    <n v="160"/>
    <n v="3905"/>
    <n v="3"/>
    <s v="Outdoor Adventurers"/>
    <x v="117"/>
  </r>
  <r>
    <s v="NexGen Systems"/>
    <x v="3"/>
    <s v="Women 25-34"/>
    <s v="60 days"/>
    <x v="1"/>
    <n v="0.09"/>
    <n v="16047"/>
    <n v="6.2"/>
    <n v="76"/>
    <n v="211.14473684210526"/>
    <s v="Los Angeles"/>
    <s v="English"/>
    <n v="846"/>
    <n v="2468"/>
    <n v="2"/>
    <s v="Health &amp; Wellness"/>
    <x v="118"/>
  </r>
  <r>
    <s v="DataTech Solutions"/>
    <x v="2"/>
    <s v="Men 18-24"/>
    <s v="45 days"/>
    <x v="5"/>
    <n v="0.02"/>
    <n v="9217"/>
    <n v="3.19"/>
    <n v="9"/>
    <n v="1024.1111111111111"/>
    <s v="Los Angeles"/>
    <s v="English"/>
    <n v="473"/>
    <n v="8964"/>
    <n v="7"/>
    <s v="Health &amp; Wellness"/>
    <x v="119"/>
  </r>
  <r>
    <s v="Innovate Industries"/>
    <x v="4"/>
    <s v="Men 18-24"/>
    <s v="30 days"/>
    <x v="5"/>
    <n v="0.15"/>
    <n v="17347"/>
    <n v="4.0199999999999996"/>
    <n v="72"/>
    <n v="240.93055555555554"/>
    <s v="Chicago"/>
    <s v="French"/>
    <n v="479"/>
    <n v="6094"/>
    <n v="5"/>
    <s v="Tech Enthusiasts"/>
    <x v="120"/>
  </r>
  <r>
    <s v="Alpha Innovations"/>
    <x v="3"/>
    <s v="Women 35-44"/>
    <s v="45 days"/>
    <x v="3"/>
    <n v="0.14000000000000001"/>
    <n v="15910"/>
    <n v="3.02"/>
    <n v="92"/>
    <n v="172.93478260869566"/>
    <s v="Houston"/>
    <s v="French"/>
    <n v="656"/>
    <n v="6729"/>
    <n v="6"/>
    <s v="Foodies"/>
    <x v="121"/>
  </r>
  <r>
    <s v="Alpha Innovations"/>
    <x v="4"/>
    <s v="Men 25-34"/>
    <s v="15 days"/>
    <x v="0"/>
    <n v="0.02"/>
    <n v="7842"/>
    <n v="7.43"/>
    <n v="7"/>
    <n v="1120.2857142857142"/>
    <s v="Houston"/>
    <s v="Spanish"/>
    <n v="347"/>
    <n v="3015"/>
    <n v="1"/>
    <s v="Fashionistas"/>
    <x v="122"/>
  </r>
  <r>
    <s v="Innovate Industries"/>
    <x v="3"/>
    <s v="Women 25-34"/>
    <s v="45 days"/>
    <x v="1"/>
    <n v="0.15"/>
    <n v="12620"/>
    <n v="2.54"/>
    <n v="105"/>
    <n v="120.19047619047619"/>
    <s v="Houston"/>
    <s v="Spanish"/>
    <n v="699"/>
    <n v="9871"/>
    <n v="8"/>
    <s v="Health &amp; Wellness"/>
    <x v="123"/>
  </r>
  <r>
    <s v="Innovate Industries"/>
    <x v="4"/>
    <s v="Men 25-34"/>
    <s v="15 days"/>
    <x v="4"/>
    <n v="7.0000000000000007E-2"/>
    <n v="10496"/>
    <n v="5.19"/>
    <n v="36"/>
    <n v="291.55555555555554"/>
    <s v="Miami"/>
    <s v="Spanish"/>
    <n v="508"/>
    <n v="4031"/>
    <n v="8"/>
    <s v="Outdoor Adventurers"/>
    <x v="124"/>
  </r>
  <r>
    <s v="NexGen Systems"/>
    <x v="2"/>
    <s v="Men 18-24"/>
    <s v="30 days"/>
    <x v="1"/>
    <n v="0.01"/>
    <n v="9280"/>
    <n v="4.9400000000000004"/>
    <n v="3"/>
    <n v="3093.3333333333335"/>
    <s v="Chicago"/>
    <s v="French"/>
    <n v="267"/>
    <n v="3434"/>
    <n v="8"/>
    <s v="Foodies"/>
    <x v="125"/>
  </r>
  <r>
    <s v="Innovate Industries"/>
    <x v="2"/>
    <s v="Men 18-24"/>
    <s v="60 days"/>
    <x v="0"/>
    <n v="7.0000000000000007E-2"/>
    <n v="8729"/>
    <n v="4.46"/>
    <n v="57"/>
    <n v="153.14035087719299"/>
    <s v="Los Angeles"/>
    <s v="English"/>
    <n v="808"/>
    <n v="5672"/>
    <n v="7"/>
    <s v="Foodies"/>
    <x v="126"/>
  </r>
  <r>
    <s v="NexGen Systems"/>
    <x v="4"/>
    <s v="Men 18-24"/>
    <s v="45 days"/>
    <x v="0"/>
    <n v="0.08"/>
    <n v="10250"/>
    <n v="5.91"/>
    <n v="56"/>
    <n v="183.03571428571428"/>
    <s v="Houston"/>
    <s v="German"/>
    <n v="702"/>
    <n v="4561"/>
    <n v="10"/>
    <s v="Outdoor Adventurers"/>
    <x v="127"/>
  </r>
  <r>
    <s v="NexGen Systems"/>
    <x v="3"/>
    <s v="All Ages"/>
    <s v="30 days"/>
    <x v="5"/>
    <n v="0.14000000000000001"/>
    <n v="12472"/>
    <n v="6.28"/>
    <n v="39"/>
    <n v="319.79487179487177"/>
    <s v="Chicago"/>
    <s v="Mandarin"/>
    <n v="277"/>
    <n v="5946"/>
    <n v="8"/>
    <s v="Foodies"/>
    <x v="128"/>
  </r>
  <r>
    <s v="NexGen Systems"/>
    <x v="3"/>
    <s v="Women 35-44"/>
    <s v="60 days"/>
    <x v="0"/>
    <n v="0.08"/>
    <n v="18707"/>
    <n v="2.59"/>
    <n v="15"/>
    <n v="1247.1333333333334"/>
    <s v="New York"/>
    <s v="French"/>
    <n v="191"/>
    <n v="6854"/>
    <n v="6"/>
    <s v="Foodies"/>
    <x v="129"/>
  </r>
  <r>
    <s v="TechCorp"/>
    <x v="3"/>
    <s v="Men 25-34"/>
    <s v="30 days"/>
    <x v="1"/>
    <n v="0.13"/>
    <n v="14274"/>
    <n v="6.75"/>
    <n v="28"/>
    <n v="509.78571428571428"/>
    <s v="Houston"/>
    <s v="English"/>
    <n v="213"/>
    <n v="8853"/>
    <n v="5"/>
    <s v="Foodies"/>
    <x v="130"/>
  </r>
  <r>
    <s v="TechCorp"/>
    <x v="2"/>
    <s v="All Ages"/>
    <s v="60 days"/>
    <x v="0"/>
    <n v="0.08"/>
    <n v="16591"/>
    <n v="7.06"/>
    <n v="30"/>
    <n v="553.0333333333333"/>
    <s v="Chicago"/>
    <s v="English"/>
    <n v="377"/>
    <n v="8120"/>
    <n v="1"/>
    <s v="Outdoor Adventurers"/>
    <x v="131"/>
  </r>
  <r>
    <s v="Alpha Innovations"/>
    <x v="3"/>
    <s v="All Ages"/>
    <s v="60 days"/>
    <x v="5"/>
    <n v="0.11"/>
    <n v="15424"/>
    <n v="3.27"/>
    <n v="87"/>
    <n v="177.28735632183907"/>
    <s v="New York"/>
    <s v="French"/>
    <n v="795"/>
    <n v="4545"/>
    <n v="9"/>
    <s v="Foodies"/>
    <x v="132"/>
  </r>
  <r>
    <s v="Alpha Innovations"/>
    <x v="4"/>
    <s v="Men 18-24"/>
    <s v="60 days"/>
    <x v="4"/>
    <n v="0.03"/>
    <n v="7628"/>
    <n v="7.72"/>
    <n v="6"/>
    <n v="1271.3333333333333"/>
    <s v="Miami"/>
    <s v="French"/>
    <n v="212"/>
    <n v="8152"/>
    <n v="2"/>
    <s v="Foodies"/>
    <x v="133"/>
  </r>
  <r>
    <s v="DataTech Solutions"/>
    <x v="2"/>
    <s v="Women 35-44"/>
    <s v="45 days"/>
    <x v="3"/>
    <n v="0.14000000000000001"/>
    <n v="13465"/>
    <n v="3.31"/>
    <n v="19"/>
    <n v="708.68421052631584"/>
    <s v="New York"/>
    <s v="Spanish"/>
    <n v="135"/>
    <n v="1827"/>
    <n v="10"/>
    <s v="Fashionistas"/>
    <x v="134"/>
  </r>
  <r>
    <s v="NexGen Systems"/>
    <x v="3"/>
    <s v="Men 25-34"/>
    <s v="15 days"/>
    <x v="5"/>
    <n v="0.11"/>
    <n v="15130"/>
    <n v="8"/>
    <n v="67"/>
    <n v="225.82089552238807"/>
    <s v="Los Angeles"/>
    <s v="English"/>
    <n v="606"/>
    <n v="6638"/>
    <n v="9"/>
    <s v="Tech Enthusiasts"/>
    <x v="135"/>
  </r>
  <r>
    <s v="DataTech Solutions"/>
    <x v="1"/>
    <s v="All Ages"/>
    <s v="15 days"/>
    <x v="1"/>
    <n v="0.08"/>
    <n v="12729"/>
    <n v="7.87"/>
    <n v="18"/>
    <n v="707.16666666666663"/>
    <s v="New York"/>
    <s v="Spanish"/>
    <n v="219"/>
    <n v="9926"/>
    <n v="6"/>
    <s v="Tech Enthusiasts"/>
    <x v="136"/>
  </r>
  <r>
    <s v="DataTech Solutions"/>
    <x v="4"/>
    <s v="Men 25-34"/>
    <s v="15 days"/>
    <x v="2"/>
    <n v="0.06"/>
    <n v="16133"/>
    <n v="6.7"/>
    <n v="50"/>
    <n v="322.66000000000003"/>
    <s v="Miami"/>
    <s v="English"/>
    <n v="833"/>
    <n v="4290"/>
    <n v="3"/>
    <s v="Foodies"/>
    <x v="137"/>
  </r>
  <r>
    <s v="Alpha Innovations"/>
    <x v="4"/>
    <s v="Men 18-24"/>
    <s v="15 days"/>
    <x v="3"/>
    <n v="0.12"/>
    <n v="16551"/>
    <n v="2.2599999999999998"/>
    <n v="91"/>
    <n v="181.87912087912088"/>
    <s v="New York"/>
    <s v="English"/>
    <n v="758"/>
    <n v="2598"/>
    <n v="8"/>
    <s v="Health &amp; Wellness"/>
    <x v="138"/>
  </r>
  <r>
    <s v="Alpha Innovations"/>
    <x v="0"/>
    <s v="Men 25-34"/>
    <s v="45 days"/>
    <x v="5"/>
    <n v="0.02"/>
    <n v="17035"/>
    <n v="7.68"/>
    <n v="9"/>
    <n v="1892.7777777777778"/>
    <s v="Houston"/>
    <s v="Spanish"/>
    <n v="444"/>
    <n v="2041"/>
    <n v="3"/>
    <s v="Fashionistas"/>
    <x v="139"/>
  </r>
  <r>
    <s v="Alpha Innovations"/>
    <x v="0"/>
    <s v="Women 35-44"/>
    <s v="60 days"/>
    <x v="0"/>
    <n v="0.1"/>
    <n v="15601"/>
    <n v="4.99"/>
    <n v="92"/>
    <n v="169.57608695652175"/>
    <s v="Los Angeles"/>
    <s v="Mandarin"/>
    <n v="923"/>
    <n v="8172"/>
    <n v="5"/>
    <s v="Fashionistas"/>
    <x v="140"/>
  </r>
  <r>
    <s v="NexGen Systems"/>
    <x v="3"/>
    <s v="Men 18-24"/>
    <s v="60 days"/>
    <x v="1"/>
    <n v="0.04"/>
    <n v="18227"/>
    <n v="4.4800000000000004"/>
    <n v="39"/>
    <n v="467.35897435897436"/>
    <s v="Los Angeles"/>
    <s v="Mandarin"/>
    <n v="980"/>
    <n v="9778"/>
    <n v="3"/>
    <s v="Foodies"/>
    <x v="141"/>
  </r>
  <r>
    <s v="TechCorp"/>
    <x v="1"/>
    <s v="Women 25-34"/>
    <s v="60 days"/>
    <x v="2"/>
    <n v="0.04"/>
    <n v="18864"/>
    <n v="4.05"/>
    <n v="25"/>
    <n v="754.56"/>
    <s v="Los Angeles"/>
    <s v="Spanish"/>
    <n v="637"/>
    <n v="4945"/>
    <n v="8"/>
    <s v="Fashionistas"/>
    <x v="142"/>
  </r>
  <r>
    <s v="Alpha Innovations"/>
    <x v="1"/>
    <s v="All Ages"/>
    <s v="45 days"/>
    <x v="4"/>
    <n v="0.14000000000000001"/>
    <n v="7099"/>
    <n v="4"/>
    <n v="36"/>
    <n v="197.19444444444446"/>
    <s v="Houston"/>
    <s v="French"/>
    <n v="260"/>
    <n v="4157"/>
    <n v="2"/>
    <s v="Outdoor Adventurers"/>
    <x v="143"/>
  </r>
  <r>
    <s v="Alpha Innovations"/>
    <x v="1"/>
    <s v="Women 25-34"/>
    <s v="30 days"/>
    <x v="0"/>
    <n v="0.1"/>
    <n v="11860"/>
    <n v="5.31"/>
    <n v="86"/>
    <n v="137.90697674418604"/>
    <s v="Los Angeles"/>
    <s v="Mandarin"/>
    <n v="864"/>
    <n v="8695"/>
    <n v="3"/>
    <s v="Fashionistas"/>
    <x v="144"/>
  </r>
  <r>
    <s v="NexGen Systems"/>
    <x v="4"/>
    <s v="Men 18-24"/>
    <s v="60 days"/>
    <x v="0"/>
    <n v="0.01"/>
    <n v="19250"/>
    <n v="3.45"/>
    <n v="5"/>
    <n v="3850"/>
    <s v="Houston"/>
    <s v="English"/>
    <n v="470"/>
    <n v="9343"/>
    <n v="2"/>
    <s v="Fashionistas"/>
    <x v="145"/>
  </r>
  <r>
    <s v="Innovate Industries"/>
    <x v="1"/>
    <s v="Men 18-24"/>
    <s v="60 days"/>
    <x v="5"/>
    <n v="0.02"/>
    <n v="14886"/>
    <n v="6.16"/>
    <n v="11"/>
    <n v="1353.2727272727273"/>
    <s v="Miami"/>
    <s v="German"/>
    <n v="565"/>
    <n v="8241"/>
    <n v="9"/>
    <s v="Health &amp; Wellness"/>
    <x v="146"/>
  </r>
  <r>
    <s v="DataTech Solutions"/>
    <x v="2"/>
    <s v="Women 25-34"/>
    <s v="60 days"/>
    <x v="4"/>
    <n v="0.09"/>
    <n v="6218"/>
    <n v="2.08"/>
    <n v="38"/>
    <n v="163.63157894736841"/>
    <s v="New York"/>
    <s v="Spanish"/>
    <n v="420"/>
    <n v="4423"/>
    <n v="1"/>
    <s v="Health &amp; Wellness"/>
    <x v="147"/>
  </r>
  <r>
    <s v="Alpha Innovations"/>
    <x v="1"/>
    <s v="Men 25-34"/>
    <s v="45 days"/>
    <x v="5"/>
    <n v="0.13"/>
    <n v="15364"/>
    <n v="6.47"/>
    <n v="20"/>
    <n v="768.2"/>
    <s v="Chicago"/>
    <s v="Mandarin"/>
    <n v="154"/>
    <n v="1773"/>
    <n v="2"/>
    <s v="Health &amp; Wellness"/>
    <x v="148"/>
  </r>
  <r>
    <s v="Alpha Innovations"/>
    <x v="0"/>
    <s v="All Ages"/>
    <s v="45 days"/>
    <x v="1"/>
    <n v="0.09"/>
    <n v="6394"/>
    <n v="2.0699999999999998"/>
    <n v="77"/>
    <n v="83.038961038961034"/>
    <s v="Chicago"/>
    <s v="Mandarin"/>
    <n v="855"/>
    <n v="5399"/>
    <n v="3"/>
    <s v="Foodies"/>
    <x v="149"/>
  </r>
  <r>
    <s v="Alpha Innovations"/>
    <x v="0"/>
    <s v="All Ages"/>
    <s v="15 days"/>
    <x v="1"/>
    <n v="0.05"/>
    <n v="17166"/>
    <n v="6.69"/>
    <n v="34"/>
    <n v="504.88235294117646"/>
    <s v="Houston"/>
    <s v="German"/>
    <n v="684"/>
    <n v="1118"/>
    <n v="6"/>
    <s v="Outdoor Adventurers"/>
    <x v="150"/>
  </r>
  <r>
    <s v="TechCorp"/>
    <x v="0"/>
    <s v="Women 35-44"/>
    <s v="30 days"/>
    <x v="1"/>
    <n v="7.0000000000000007E-2"/>
    <n v="12584"/>
    <n v="2.7"/>
    <n v="16"/>
    <n v="786.5"/>
    <s v="New York"/>
    <s v="Mandarin"/>
    <n v="225"/>
    <n v="2052"/>
    <n v="8"/>
    <s v="Foodies"/>
    <x v="151"/>
  </r>
  <r>
    <s v="TechCorp"/>
    <x v="2"/>
    <s v="Men 25-34"/>
    <s v="15 days"/>
    <x v="5"/>
    <n v="0.03"/>
    <n v="15567"/>
    <n v="3.67"/>
    <n v="11"/>
    <n v="1415.1818181818182"/>
    <s v="Los Angeles"/>
    <s v="French"/>
    <n v="368"/>
    <n v="4747"/>
    <n v="6"/>
    <s v="Fashionistas"/>
    <x v="152"/>
  </r>
  <r>
    <s v="TechCorp"/>
    <x v="3"/>
    <s v="Women 25-34"/>
    <s v="15 days"/>
    <x v="1"/>
    <n v="0.05"/>
    <n v="9651"/>
    <n v="4.0999999999999996"/>
    <n v="26"/>
    <n v="371.19230769230768"/>
    <s v="Houston"/>
    <s v="Mandarin"/>
    <n v="524"/>
    <n v="6545"/>
    <n v="10"/>
    <s v="Outdoor Adventurers"/>
    <x v="153"/>
  </r>
  <r>
    <s v="Alpha Innovations"/>
    <x v="3"/>
    <s v="All Ages"/>
    <s v="15 days"/>
    <x v="4"/>
    <n v="0.05"/>
    <n v="10245"/>
    <n v="4.59"/>
    <n v="16"/>
    <n v="640.3125"/>
    <s v="Chicago"/>
    <s v="French"/>
    <n v="326"/>
    <n v="7144"/>
    <n v="2"/>
    <s v="Foodies"/>
    <x v="154"/>
  </r>
  <r>
    <s v="TechCorp"/>
    <x v="2"/>
    <s v="Women 35-44"/>
    <s v="45 days"/>
    <x v="2"/>
    <n v="0.14000000000000001"/>
    <n v="19268"/>
    <n v="4.83"/>
    <n v="110"/>
    <n v="175.16363636363636"/>
    <s v="Los Angeles"/>
    <s v="French"/>
    <n v="785"/>
    <n v="9042"/>
    <n v="5"/>
    <s v="Fashionistas"/>
    <x v="155"/>
  </r>
  <r>
    <s v="NexGen Systems"/>
    <x v="1"/>
    <s v="All Ages"/>
    <s v="45 days"/>
    <x v="4"/>
    <n v="0.02"/>
    <n v="16578"/>
    <n v="3.62"/>
    <n v="3"/>
    <n v="5526"/>
    <s v="Los Angeles"/>
    <s v="German"/>
    <n v="166"/>
    <n v="8460"/>
    <n v="1"/>
    <s v="Foodies"/>
    <x v="156"/>
  </r>
  <r>
    <s v="TechCorp"/>
    <x v="4"/>
    <s v="Men 18-24"/>
    <s v="60 days"/>
    <x v="0"/>
    <n v="0.06"/>
    <n v="8291"/>
    <n v="3.86"/>
    <n v="20"/>
    <n v="414.55"/>
    <s v="Chicago"/>
    <s v="Spanish"/>
    <n v="338"/>
    <n v="9830"/>
    <n v="9"/>
    <s v="Outdoor Adventurers"/>
    <x v="157"/>
  </r>
  <r>
    <s v="TechCorp"/>
    <x v="4"/>
    <s v="Men 18-24"/>
    <s v="60 days"/>
    <x v="2"/>
    <n v="7.0000000000000007E-2"/>
    <n v="15305"/>
    <n v="5.9"/>
    <n v="64"/>
    <n v="239.140625"/>
    <s v="New York"/>
    <s v="Mandarin"/>
    <n v="921"/>
    <n v="1424"/>
    <n v="1"/>
    <s v="Fashionistas"/>
    <x v="158"/>
  </r>
  <r>
    <s v="Innovate Industries"/>
    <x v="1"/>
    <s v="Women 35-44"/>
    <s v="30 days"/>
    <x v="1"/>
    <n v="0.01"/>
    <n v="8295"/>
    <n v="7.08"/>
    <n v="1"/>
    <n v="8295"/>
    <s v="Houston"/>
    <s v="Spanish"/>
    <n v="124"/>
    <n v="6814"/>
    <n v="4"/>
    <s v="Health &amp; Wellness"/>
    <x v="159"/>
  </r>
  <r>
    <s v="Innovate Industries"/>
    <x v="1"/>
    <s v="Women 35-44"/>
    <s v="15 days"/>
    <x v="1"/>
    <n v="0.05"/>
    <n v="10556"/>
    <n v="5.24"/>
    <n v="18"/>
    <n v="586.44444444444446"/>
    <s v="Miami"/>
    <s v="Mandarin"/>
    <n v="353"/>
    <n v="7466"/>
    <n v="5"/>
    <s v="Outdoor Adventurers"/>
    <x v="160"/>
  </r>
  <r>
    <s v="TechCorp"/>
    <x v="2"/>
    <s v="Men 25-34"/>
    <s v="15 days"/>
    <x v="5"/>
    <n v="0.14000000000000001"/>
    <n v="11725"/>
    <n v="7.78"/>
    <n v="122"/>
    <n v="96.106557377049185"/>
    <s v="Houston"/>
    <s v="German"/>
    <n v="870"/>
    <n v="7084"/>
    <n v="3"/>
    <s v="Fashionistas"/>
    <x v="161"/>
  </r>
  <r>
    <s v="Alpha Innovations"/>
    <x v="0"/>
    <s v="Men 25-34"/>
    <s v="45 days"/>
    <x v="3"/>
    <n v="0.1"/>
    <n v="13335"/>
    <n v="2.17"/>
    <n v="25"/>
    <n v="533.4"/>
    <s v="Miami"/>
    <s v="Mandarin"/>
    <n v="254"/>
    <n v="5370"/>
    <n v="5"/>
    <s v="Fashionistas"/>
    <x v="162"/>
  </r>
  <r>
    <s v="Alpha Innovations"/>
    <x v="0"/>
    <s v="Men 18-24"/>
    <s v="45 days"/>
    <x v="2"/>
    <n v="0.05"/>
    <n v="5515"/>
    <n v="3.03"/>
    <n v="34"/>
    <n v="162.20588235294119"/>
    <s v="New York"/>
    <s v="Spanish"/>
    <n v="688"/>
    <n v="6210"/>
    <n v="4"/>
    <s v="Tech Enthusiasts"/>
    <x v="163"/>
  </r>
  <r>
    <s v="DataTech Solutions"/>
    <x v="1"/>
    <s v="Women 25-34"/>
    <s v="45 days"/>
    <x v="2"/>
    <n v="0.09"/>
    <n v="6151"/>
    <n v="6.14"/>
    <n v="14"/>
    <n v="439.35714285714283"/>
    <s v="Los Angeles"/>
    <s v="English"/>
    <n v="160"/>
    <n v="4750"/>
    <n v="7"/>
    <s v="Foodies"/>
    <x v="164"/>
  </r>
  <r>
    <s v="Innovate Industries"/>
    <x v="1"/>
    <s v="All Ages"/>
    <s v="60 days"/>
    <x v="5"/>
    <n v="0.06"/>
    <n v="16974"/>
    <n v="7.75"/>
    <n v="19"/>
    <n v="893.36842105263156"/>
    <s v="Houston"/>
    <s v="English"/>
    <n v="322"/>
    <n v="1741"/>
    <n v="6"/>
    <s v="Outdoor Adventurers"/>
    <x v="165"/>
  </r>
  <r>
    <s v="DataTech Solutions"/>
    <x v="0"/>
    <s v="Men 25-34"/>
    <s v="30 days"/>
    <x v="0"/>
    <n v="0.09"/>
    <n v="10837"/>
    <n v="5.57"/>
    <n v="28"/>
    <n v="387.03571428571428"/>
    <s v="Los Angeles"/>
    <s v="German"/>
    <n v="310"/>
    <n v="5465"/>
    <n v="10"/>
    <s v="Health &amp; Wellness"/>
    <x v="166"/>
  </r>
  <r>
    <s v="TechCorp"/>
    <x v="1"/>
    <s v="Men 25-34"/>
    <s v="60 days"/>
    <x v="0"/>
    <n v="0.1"/>
    <n v="17287"/>
    <n v="4.01"/>
    <n v="64"/>
    <n v="270.109375"/>
    <s v="New York"/>
    <s v="Spanish"/>
    <n v="635"/>
    <n v="4656"/>
    <n v="3"/>
    <s v="Foodies"/>
    <x v="167"/>
  </r>
  <r>
    <s v="Innovate Industries"/>
    <x v="4"/>
    <s v="Women 35-44"/>
    <s v="60 days"/>
    <x v="2"/>
    <n v="0.12"/>
    <n v="18266"/>
    <n v="5.99"/>
    <n v="105"/>
    <n v="173.96190476190475"/>
    <s v="Houston"/>
    <s v="German"/>
    <n v="872"/>
    <n v="9882"/>
    <n v="5"/>
    <s v="Fashionistas"/>
    <x v="168"/>
  </r>
  <r>
    <s v="DataTech Solutions"/>
    <x v="2"/>
    <s v="All Ages"/>
    <s v="45 days"/>
    <x v="0"/>
    <n v="0.11"/>
    <n v="5379"/>
    <n v="5.05"/>
    <n v="17"/>
    <n v="316.41176470588238"/>
    <s v="New York"/>
    <s v="French"/>
    <n v="157"/>
    <n v="7462"/>
    <n v="6"/>
    <s v="Foodies"/>
    <x v="169"/>
  </r>
  <r>
    <s v="Alpha Innovations"/>
    <x v="0"/>
    <s v="Men 25-34"/>
    <s v="45 days"/>
    <x v="2"/>
    <n v="0.08"/>
    <n v="5535"/>
    <n v="7.37"/>
    <n v="74"/>
    <n v="74.797297297297291"/>
    <s v="Chicago"/>
    <s v="Spanish"/>
    <n v="920"/>
    <n v="8408"/>
    <n v="6"/>
    <s v="Fashionistas"/>
    <x v="170"/>
  </r>
  <r>
    <s v="Alpha Innovations"/>
    <x v="3"/>
    <s v="Women 25-34"/>
    <s v="30 days"/>
    <x v="4"/>
    <n v="0.11"/>
    <n v="7927"/>
    <n v="7.22"/>
    <n v="25"/>
    <n v="317.08"/>
    <s v="Los Angeles"/>
    <s v="English"/>
    <n v="228"/>
    <n v="9844"/>
    <n v="7"/>
    <s v="Fashionistas"/>
    <x v="171"/>
  </r>
  <r>
    <s v="NexGen Systems"/>
    <x v="1"/>
    <s v="All Ages"/>
    <s v="45 days"/>
    <x v="1"/>
    <n v="0.09"/>
    <n v="10314"/>
    <n v="6.17"/>
    <n v="39"/>
    <n v="264.46153846153845"/>
    <s v="New York"/>
    <s v="German"/>
    <n v="437"/>
    <n v="8291"/>
    <n v="10"/>
    <s v="Health &amp; Wellness"/>
    <x v="172"/>
  </r>
  <r>
    <s v="TechCorp"/>
    <x v="4"/>
    <s v="Women 25-34"/>
    <s v="15 days"/>
    <x v="4"/>
    <n v="0.11"/>
    <n v="14200"/>
    <n v="6.76"/>
    <n v="75"/>
    <n v="189.33333333333334"/>
    <s v="Chicago"/>
    <s v="French"/>
    <n v="682"/>
    <n v="4975"/>
    <n v="6"/>
    <s v="Foodies"/>
    <x v="173"/>
  </r>
  <r>
    <s v="TechCorp"/>
    <x v="0"/>
    <s v="Women 35-44"/>
    <s v="60 days"/>
    <x v="1"/>
    <n v="7.0000000000000007E-2"/>
    <n v="16898"/>
    <n v="7.18"/>
    <n v="67"/>
    <n v="252.20895522388059"/>
    <s v="Miami"/>
    <s v="French"/>
    <n v="956"/>
    <n v="1569"/>
    <n v="4"/>
    <s v="Outdoor Adventurers"/>
    <x v="174"/>
  </r>
  <r>
    <s v="Alpha Innovations"/>
    <x v="2"/>
    <s v="Men 25-34"/>
    <s v="45 days"/>
    <x v="5"/>
    <n v="0.13"/>
    <n v="11448"/>
    <n v="3.5"/>
    <n v="122"/>
    <n v="93.836065573770497"/>
    <s v="Houston"/>
    <s v="Mandarin"/>
    <n v="938"/>
    <n v="1653"/>
    <n v="7"/>
    <s v="Foodies"/>
    <x v="175"/>
  </r>
  <r>
    <s v="Innovate Industries"/>
    <x v="1"/>
    <s v="Women 35-44"/>
    <s v="45 days"/>
    <x v="1"/>
    <n v="0.06"/>
    <n v="10285"/>
    <n v="3.64"/>
    <n v="58"/>
    <n v="177.32758620689654"/>
    <s v="Chicago"/>
    <s v="Mandarin"/>
    <n v="961"/>
    <n v="9394"/>
    <n v="6"/>
    <s v="Outdoor Adventurers"/>
    <x v="176"/>
  </r>
  <r>
    <s v="TechCorp"/>
    <x v="3"/>
    <s v="Women 25-34"/>
    <s v="45 days"/>
    <x v="5"/>
    <n v="0.02"/>
    <n v="5719"/>
    <n v="6.06"/>
    <n v="16"/>
    <n v="357.4375"/>
    <s v="Chicago"/>
    <s v="Spanish"/>
    <n v="784"/>
    <n v="7898"/>
    <n v="8"/>
    <s v="Outdoor Adventurers"/>
    <x v="177"/>
  </r>
  <r>
    <s v="NexGen Systems"/>
    <x v="2"/>
    <s v="Men 25-34"/>
    <s v="60 days"/>
    <x v="2"/>
    <n v="0.11"/>
    <n v="18947"/>
    <n v="5.08"/>
    <n v="93"/>
    <n v="203.73118279569891"/>
    <s v="Chicago"/>
    <s v="English"/>
    <n v="846"/>
    <n v="3188"/>
    <n v="10"/>
    <s v="Foodies"/>
    <x v="178"/>
  </r>
  <r>
    <s v="DataTech Solutions"/>
    <x v="2"/>
    <s v="All Ages"/>
    <s v="60 days"/>
    <x v="1"/>
    <n v="0.11"/>
    <n v="13352"/>
    <n v="5.87"/>
    <n v="38"/>
    <n v="351.36842105263156"/>
    <s v="New York"/>
    <s v="Spanish"/>
    <n v="345"/>
    <n v="6284"/>
    <n v="3"/>
    <s v="Tech Enthusiasts"/>
    <x v="179"/>
  </r>
  <r>
    <s v="DataTech Solutions"/>
    <x v="4"/>
    <s v="Men 18-24"/>
    <s v="15 days"/>
    <x v="3"/>
    <n v="0.11"/>
    <n v="19002"/>
    <n v="3.87"/>
    <n v="27"/>
    <n v="703.77777777777783"/>
    <s v="Houston"/>
    <s v="German"/>
    <n v="248"/>
    <n v="9638"/>
    <n v="8"/>
    <s v="Foodies"/>
    <x v="180"/>
  </r>
  <r>
    <s v="Innovate Industries"/>
    <x v="2"/>
    <s v="Women 35-44"/>
    <s v="60 days"/>
    <x v="3"/>
    <n v="0.13"/>
    <n v="19509"/>
    <n v="7.65"/>
    <n v="70"/>
    <n v="278.7"/>
    <s v="Houston"/>
    <s v="French"/>
    <n v="540"/>
    <n v="6194"/>
    <n v="7"/>
    <s v="Health &amp; Wellness"/>
    <x v="181"/>
  </r>
  <r>
    <s v="Alpha Innovations"/>
    <x v="2"/>
    <s v="All Ages"/>
    <s v="15 days"/>
    <x v="4"/>
    <n v="0.13"/>
    <n v="5055"/>
    <n v="2.17"/>
    <n v="119"/>
    <n v="42.478991596638657"/>
    <s v="New York"/>
    <s v="Mandarin"/>
    <n v="912"/>
    <n v="6850"/>
    <n v="8"/>
    <s v="Foodies"/>
    <x v="182"/>
  </r>
  <r>
    <s v="NexGen Systems"/>
    <x v="4"/>
    <s v="Men 18-24"/>
    <s v="45 days"/>
    <x v="0"/>
    <n v="0.1"/>
    <n v="6399"/>
    <n v="2.5"/>
    <n v="13"/>
    <n v="492.23076923076923"/>
    <s v="Chicago"/>
    <s v="Mandarin"/>
    <n v="129"/>
    <n v="9693"/>
    <n v="8"/>
    <s v="Health &amp; Wellness"/>
    <x v="183"/>
  </r>
  <r>
    <s v="DataTech Solutions"/>
    <x v="4"/>
    <s v="Men 25-34"/>
    <s v="45 days"/>
    <x v="4"/>
    <n v="0.14000000000000001"/>
    <n v="16996"/>
    <n v="3.68"/>
    <n v="38"/>
    <n v="447.26315789473682"/>
    <s v="Miami"/>
    <s v="Spanish"/>
    <n v="271"/>
    <n v="1876"/>
    <n v="5"/>
    <s v="Outdoor Adventurers"/>
    <x v="184"/>
  </r>
  <r>
    <s v="TechCorp"/>
    <x v="1"/>
    <s v="Men 18-24"/>
    <s v="15 days"/>
    <x v="4"/>
    <n v="7.0000000000000007E-2"/>
    <n v="6709"/>
    <n v="2.13"/>
    <n v="23"/>
    <n v="291.69565217391306"/>
    <s v="New York"/>
    <s v="French"/>
    <n v="331"/>
    <n v="4525"/>
    <n v="3"/>
    <s v="Tech Enthusiasts"/>
    <x v="185"/>
  </r>
  <r>
    <s v="Alpha Innovations"/>
    <x v="4"/>
    <s v="Men 18-24"/>
    <s v="45 days"/>
    <x v="5"/>
    <n v="0.03"/>
    <n v="10052"/>
    <n v="4.88"/>
    <n v="7"/>
    <n v="1436"/>
    <s v="Chicago"/>
    <s v="French"/>
    <n v="241"/>
    <n v="3693"/>
    <n v="10"/>
    <s v="Foodies"/>
    <x v="186"/>
  </r>
  <r>
    <s v="Alpha Innovations"/>
    <x v="3"/>
    <s v="Men 25-34"/>
    <s v="45 days"/>
    <x v="4"/>
    <n v="0.06"/>
    <n v="18613"/>
    <n v="5.03"/>
    <n v="54"/>
    <n v="344.68518518518516"/>
    <s v="Miami"/>
    <s v="French"/>
    <n v="908"/>
    <n v="5403"/>
    <n v="3"/>
    <s v="Outdoor Adventurers"/>
    <x v="187"/>
  </r>
  <r>
    <s v="Alpha Innovations"/>
    <x v="3"/>
    <s v="Men 18-24"/>
    <s v="60 days"/>
    <x v="2"/>
    <n v="0.12"/>
    <n v="18795"/>
    <n v="2.4500000000000002"/>
    <n v="75"/>
    <n v="250.6"/>
    <s v="New York"/>
    <s v="Mandarin"/>
    <n v="626"/>
    <n v="5675"/>
    <n v="1"/>
    <s v="Outdoor Adventurers"/>
    <x v="188"/>
  </r>
  <r>
    <s v="TechCorp"/>
    <x v="1"/>
    <s v="Men 25-34"/>
    <s v="15 days"/>
    <x v="4"/>
    <n v="0.13"/>
    <n v="11860"/>
    <n v="7.85"/>
    <n v="109"/>
    <n v="108.80733944954129"/>
    <s v="Chicago"/>
    <s v="German"/>
    <n v="839"/>
    <n v="6432"/>
    <n v="8"/>
    <s v="Fashionistas"/>
    <x v="189"/>
  </r>
  <r>
    <s v="TechCorp"/>
    <x v="4"/>
    <s v="Women 25-34"/>
    <s v="45 days"/>
    <x v="0"/>
    <n v="0.08"/>
    <n v="9568"/>
    <n v="2.88"/>
    <n v="16"/>
    <n v="598"/>
    <s v="Los Angeles"/>
    <s v="English"/>
    <n v="201"/>
    <n v="8911"/>
    <n v="4"/>
    <s v="Foodies"/>
    <x v="190"/>
  </r>
  <r>
    <s v="Alpha Innovations"/>
    <x v="4"/>
    <s v="Men 25-34"/>
    <s v="30 days"/>
    <x v="0"/>
    <n v="0.06"/>
    <n v="6704"/>
    <n v="3.48"/>
    <n v="39"/>
    <n v="171.89743589743588"/>
    <s v="New York"/>
    <s v="German"/>
    <n v="644"/>
    <n v="4991"/>
    <n v="3"/>
    <s v="Outdoor Adventurers"/>
    <x v="191"/>
  </r>
  <r>
    <s v="Alpha Innovations"/>
    <x v="1"/>
    <s v="Men 25-34"/>
    <s v="60 days"/>
    <x v="1"/>
    <n v="0.08"/>
    <n v="13289"/>
    <n v="7.27"/>
    <n v="28"/>
    <n v="474.60714285714283"/>
    <s v="Chicago"/>
    <s v="Spanish"/>
    <n v="356"/>
    <n v="8491"/>
    <n v="1"/>
    <s v="Health &amp; Wellness"/>
    <x v="192"/>
  </r>
  <r>
    <s v="Innovate Industries"/>
    <x v="2"/>
    <s v="Women 35-44"/>
    <s v="45 days"/>
    <x v="2"/>
    <n v="0.14000000000000001"/>
    <n v="14881"/>
    <n v="5.3"/>
    <n v="52"/>
    <n v="286.17307692307691"/>
    <s v="Miami"/>
    <s v="Mandarin"/>
    <n v="370"/>
    <n v="1673"/>
    <n v="2"/>
    <s v="Outdoor Adventurers"/>
    <x v="193"/>
  </r>
  <r>
    <s v="DataTech Solutions"/>
    <x v="1"/>
    <s v="Women 35-44"/>
    <s v="15 days"/>
    <x v="4"/>
    <n v="0.01"/>
    <n v="12104"/>
    <n v="4.0599999999999996"/>
    <n v="3"/>
    <n v="4034.6666666666665"/>
    <s v="Chicago"/>
    <s v="Spanish"/>
    <n v="326"/>
    <n v="8773"/>
    <n v="7"/>
    <s v="Foodies"/>
    <x v="194"/>
  </r>
  <r>
    <s v="Innovate Industries"/>
    <x v="0"/>
    <s v="Women 35-44"/>
    <s v="45 days"/>
    <x v="1"/>
    <n v="0.11"/>
    <n v="9429"/>
    <n v="3.03"/>
    <n v="85"/>
    <n v="110.92941176470588"/>
    <s v="Miami"/>
    <s v="German"/>
    <n v="771"/>
    <n v="4750"/>
    <n v="5"/>
    <s v="Health &amp; Wellness"/>
    <x v="195"/>
  </r>
  <r>
    <s v="Alpha Innovations"/>
    <x v="1"/>
    <s v="Men 25-34"/>
    <s v="30 days"/>
    <x v="1"/>
    <n v="7.0000000000000007E-2"/>
    <n v="9866"/>
    <n v="5.81"/>
    <n v="30"/>
    <n v="328.86666666666667"/>
    <s v="Los Angeles"/>
    <s v="German"/>
    <n v="434"/>
    <n v="8875"/>
    <n v="2"/>
    <s v="Outdoor Adventurers"/>
    <x v="196"/>
  </r>
  <r>
    <s v="NexGen Systems"/>
    <x v="2"/>
    <s v="Men 25-34"/>
    <s v="15 days"/>
    <x v="2"/>
    <n v="0.05"/>
    <n v="13988"/>
    <n v="3.23"/>
    <n v="27"/>
    <n v="518.07407407407402"/>
    <s v="Houston"/>
    <s v="German"/>
    <n v="531"/>
    <n v="5174"/>
    <n v="2"/>
    <s v="Outdoor Adventurers"/>
    <x v="197"/>
  </r>
  <r>
    <s v="Innovate Industries"/>
    <x v="4"/>
    <s v="Men 18-24"/>
    <s v="45 days"/>
    <x v="0"/>
    <n v="0.15"/>
    <n v="17150"/>
    <n v="2.29"/>
    <n v="25"/>
    <n v="686"/>
    <s v="Chicago"/>
    <s v="German"/>
    <n v="165"/>
    <n v="5108"/>
    <n v="2"/>
    <s v="Foodies"/>
    <x v="198"/>
  </r>
  <r>
    <s v="Alpha Innovations"/>
    <x v="4"/>
    <s v="Women 35-44"/>
    <s v="45 days"/>
    <x v="2"/>
    <n v="0.04"/>
    <n v="15788"/>
    <n v="6.31"/>
    <n v="39"/>
    <n v="404.82051282051282"/>
    <s v="New York"/>
    <s v="French"/>
    <n v="976"/>
    <n v="4938"/>
    <n v="7"/>
    <s v="Tech Enthusiasts"/>
    <x v="199"/>
  </r>
  <r>
    <s v="NexGen Systems"/>
    <x v="4"/>
    <s v="All Ages"/>
    <s v="60 days"/>
    <x v="3"/>
    <n v="0.08"/>
    <n v="8099"/>
    <n v="3.74"/>
    <n v="19"/>
    <n v="426.26315789473682"/>
    <s v="Chicago"/>
    <s v="Mandarin"/>
    <n v="242"/>
    <n v="8624"/>
    <n v="8"/>
    <s v="Fashionistas"/>
    <x v="200"/>
  </r>
  <r>
    <s v="TechCorp"/>
    <x v="4"/>
    <s v="All Ages"/>
    <s v="30 days"/>
    <x v="2"/>
    <n v="0.13"/>
    <n v="16813"/>
    <n v="3.09"/>
    <n v="123"/>
    <n v="136.6910569105691"/>
    <s v="Houston"/>
    <s v="Spanish"/>
    <n v="948"/>
    <n v="8134"/>
    <n v="5"/>
    <s v="Outdoor Adventurers"/>
    <x v="201"/>
  </r>
  <r>
    <s v="NexGen Systems"/>
    <x v="0"/>
    <s v="Men 25-34"/>
    <s v="45 days"/>
    <x v="3"/>
    <n v="0.08"/>
    <n v="9700"/>
    <n v="2.2200000000000002"/>
    <n v="80"/>
    <n v="121.25"/>
    <s v="Los Angeles"/>
    <s v="English"/>
    <n v="994"/>
    <n v="8803"/>
    <n v="1"/>
    <s v="Health &amp; Wellness"/>
    <x v="202"/>
  </r>
  <r>
    <s v="Alpha Innovations"/>
    <x v="4"/>
    <s v="All Ages"/>
    <s v="15 days"/>
    <x v="3"/>
    <n v="0.09"/>
    <n v="17484"/>
    <n v="4.92"/>
    <n v="42"/>
    <n v="416.28571428571428"/>
    <s v="Chicago"/>
    <s v="German"/>
    <n v="469"/>
    <n v="6286"/>
    <n v="3"/>
    <s v="Fashionistas"/>
    <x v="203"/>
  </r>
  <r>
    <s v="TechCorp"/>
    <x v="1"/>
    <s v="Women 25-34"/>
    <s v="15 days"/>
    <x v="4"/>
    <n v="0.08"/>
    <n v="10322"/>
    <n v="5.84"/>
    <n v="62"/>
    <n v="166.48387096774192"/>
    <s v="New York"/>
    <s v="French"/>
    <n v="777"/>
    <n v="5665"/>
    <n v="9"/>
    <s v="Outdoor Adventurers"/>
    <x v="204"/>
  </r>
  <r>
    <s v="TechCorp"/>
    <x v="4"/>
    <s v="Men 25-34"/>
    <s v="60 days"/>
    <x v="4"/>
    <n v="0.14000000000000001"/>
    <n v="5788"/>
    <n v="5.37"/>
    <n v="133"/>
    <n v="43.518796992481199"/>
    <s v="Houston"/>
    <s v="Mandarin"/>
    <n v="953"/>
    <n v="7914"/>
    <n v="10"/>
    <s v="Outdoor Adventurers"/>
    <x v="205"/>
  </r>
  <r>
    <s v="DataTech Solutions"/>
    <x v="4"/>
    <s v="Men 18-24"/>
    <s v="15 days"/>
    <x v="1"/>
    <n v="0.14000000000000001"/>
    <n v="12310"/>
    <n v="4.68"/>
    <n v="86"/>
    <n v="143.13953488372093"/>
    <s v="Chicago"/>
    <s v="German"/>
    <n v="615"/>
    <n v="3768"/>
    <n v="3"/>
    <s v="Tech Enthusiasts"/>
    <x v="206"/>
  </r>
  <r>
    <s v="Innovate Industries"/>
    <x v="0"/>
    <s v="Women 35-44"/>
    <s v="60 days"/>
    <x v="1"/>
    <n v="7.0000000000000007E-2"/>
    <n v="6283"/>
    <n v="5.35"/>
    <n v="67"/>
    <n v="93.776119402985074"/>
    <s v="Houston"/>
    <s v="English"/>
    <n v="959"/>
    <n v="1639"/>
    <n v="7"/>
    <s v="Outdoor Adventurers"/>
    <x v="207"/>
  </r>
  <r>
    <s v="Alpha Innovations"/>
    <x v="1"/>
    <s v="All Ages"/>
    <s v="15 days"/>
    <x v="4"/>
    <n v="0.13"/>
    <n v="5747"/>
    <n v="2.77"/>
    <n v="71"/>
    <n v="80.943661971830991"/>
    <s v="Houston"/>
    <s v="German"/>
    <n v="548"/>
    <n v="6978"/>
    <n v="9"/>
    <s v="Tech Enthusiasts"/>
    <x v="208"/>
  </r>
  <r>
    <s v="TechCorp"/>
    <x v="1"/>
    <s v="All Ages"/>
    <s v="60 days"/>
    <x v="2"/>
    <n v="0.09"/>
    <n v="11240"/>
    <n v="3.01"/>
    <n v="15"/>
    <n v="749.33333333333337"/>
    <s v="Miami"/>
    <s v="French"/>
    <n v="162"/>
    <n v="7180"/>
    <n v="7"/>
    <s v="Outdoor Adventurers"/>
    <x v="209"/>
  </r>
  <r>
    <s v="NexGen Systems"/>
    <x v="1"/>
    <s v="Women 25-34"/>
    <s v="60 days"/>
    <x v="3"/>
    <n v="0.06"/>
    <n v="8290"/>
    <n v="3.1"/>
    <n v="44"/>
    <n v="188.40909090909091"/>
    <s v="Miami"/>
    <s v="Spanish"/>
    <n v="728"/>
    <n v="3332"/>
    <n v="10"/>
    <s v="Outdoor Adventurers"/>
    <x v="210"/>
  </r>
  <r>
    <s v="TechCorp"/>
    <x v="0"/>
    <s v="Men 25-34"/>
    <s v="30 days"/>
    <x v="3"/>
    <n v="0.1"/>
    <n v="12757"/>
    <n v="2.95"/>
    <n v="61"/>
    <n v="209.13114754098362"/>
    <s v="Los Angeles"/>
    <s v="French"/>
    <n v="611"/>
    <n v="3123"/>
    <n v="7"/>
    <s v="Outdoor Adventurers"/>
    <x v="211"/>
  </r>
  <r>
    <s v="NexGen Systems"/>
    <x v="1"/>
    <s v="Women 35-44"/>
    <s v="45 days"/>
    <x v="1"/>
    <n v="0.14000000000000001"/>
    <n v="17950"/>
    <n v="2.08"/>
    <n v="63"/>
    <n v="284.92063492063494"/>
    <s v="Los Angeles"/>
    <s v="Spanish"/>
    <n v="453"/>
    <n v="8238"/>
    <n v="9"/>
    <s v="Foodies"/>
    <x v="212"/>
  </r>
  <r>
    <s v="NexGen Systems"/>
    <x v="4"/>
    <s v="Men 25-34"/>
    <s v="30 days"/>
    <x v="4"/>
    <n v="0.08"/>
    <n v="11452"/>
    <n v="7.71"/>
    <n v="32"/>
    <n v="357.875"/>
    <s v="Los Angeles"/>
    <s v="English"/>
    <n v="399"/>
    <n v="8851"/>
    <n v="9"/>
    <s v="Outdoor Adventurers"/>
    <x v="213"/>
  </r>
  <r>
    <s v="Alpha Innovations"/>
    <x v="2"/>
    <s v="All Ages"/>
    <s v="15 days"/>
    <x v="4"/>
    <n v="0.12"/>
    <n v="15831"/>
    <n v="2.84"/>
    <n v="118"/>
    <n v="134.16101694915255"/>
    <s v="New York"/>
    <s v="English"/>
    <n v="984"/>
    <n v="1277"/>
    <n v="9"/>
    <s v="Fashionistas"/>
    <x v="214"/>
  </r>
  <r>
    <s v="NexGen Systems"/>
    <x v="3"/>
    <s v="Men 18-24"/>
    <s v="15 days"/>
    <x v="4"/>
    <n v="7.0000000000000007E-2"/>
    <n v="10594"/>
    <n v="3.92"/>
    <n v="63"/>
    <n v="168.15873015873015"/>
    <s v="Chicago"/>
    <s v="French"/>
    <n v="895"/>
    <n v="7944"/>
    <n v="7"/>
    <s v="Outdoor Adventurers"/>
    <x v="215"/>
  </r>
  <r>
    <s v="NexGen Systems"/>
    <x v="3"/>
    <s v="Men 25-34"/>
    <s v="60 days"/>
    <x v="5"/>
    <n v="0.02"/>
    <n v="9789"/>
    <n v="6.18"/>
    <n v="9"/>
    <n v="1087.6666666666667"/>
    <s v="Miami"/>
    <s v="German"/>
    <n v="457"/>
    <n v="9677"/>
    <n v="8"/>
    <s v="Tech Enthusiasts"/>
    <x v="216"/>
  </r>
  <r>
    <s v="Alpha Innovations"/>
    <x v="2"/>
    <s v="Men 18-24"/>
    <s v="45 days"/>
    <x v="4"/>
    <n v="0.03"/>
    <n v="15087"/>
    <n v="7.27"/>
    <n v="16"/>
    <n v="942.9375"/>
    <s v="Los Angeles"/>
    <s v="English"/>
    <n v="522"/>
    <n v="2983"/>
    <n v="3"/>
    <s v="Fashionistas"/>
    <x v="217"/>
  </r>
  <r>
    <s v="Alpha Innovations"/>
    <x v="4"/>
    <s v="Women 25-34"/>
    <s v="30 days"/>
    <x v="2"/>
    <n v="0.11"/>
    <n v="17054"/>
    <n v="4.58"/>
    <n v="24"/>
    <n v="710.58333333333337"/>
    <s v="Houston"/>
    <s v="Mandarin"/>
    <n v="219"/>
    <n v="5093"/>
    <n v="10"/>
    <s v="Health &amp; Wellness"/>
    <x v="218"/>
  </r>
  <r>
    <s v="NexGen Systems"/>
    <x v="4"/>
    <s v="All Ages"/>
    <s v="15 days"/>
    <x v="1"/>
    <n v="0.06"/>
    <n v="17451"/>
    <n v="4.53"/>
    <n v="26"/>
    <n v="671.19230769230774"/>
    <s v="Houston"/>
    <s v="German"/>
    <n v="425"/>
    <n v="9667"/>
    <n v="10"/>
    <s v="Outdoor Adventurers"/>
    <x v="219"/>
  </r>
  <r>
    <s v="DataTech Solutions"/>
    <x v="4"/>
    <s v="Women 35-44"/>
    <s v="30 days"/>
    <x v="1"/>
    <n v="0.02"/>
    <n v="15130"/>
    <n v="6.19"/>
    <n v="3"/>
    <n v="5043.333333333333"/>
    <s v="Houston"/>
    <s v="Mandarin"/>
    <n v="155"/>
    <n v="8683"/>
    <n v="8"/>
    <s v="Tech Enthusiasts"/>
    <x v="220"/>
  </r>
  <r>
    <s v="DataTech Solutions"/>
    <x v="0"/>
    <s v="All Ages"/>
    <s v="15 days"/>
    <x v="0"/>
    <n v="7.0000000000000007E-2"/>
    <n v="8031"/>
    <n v="4.2300000000000004"/>
    <n v="17"/>
    <n v="472.41176470588238"/>
    <s v="Los Angeles"/>
    <s v="English"/>
    <n v="245"/>
    <n v="9514"/>
    <n v="6"/>
    <s v="Health &amp; Wellness"/>
    <x v="221"/>
  </r>
  <r>
    <s v="DataTech Solutions"/>
    <x v="3"/>
    <s v="Women 25-34"/>
    <s v="45 days"/>
    <x v="4"/>
    <n v="0.06"/>
    <n v="18027"/>
    <n v="4.78"/>
    <n v="38"/>
    <n v="474.39473684210526"/>
    <s v="Houston"/>
    <s v="Mandarin"/>
    <n v="626"/>
    <n v="2902"/>
    <n v="2"/>
    <s v="Foodies"/>
    <x v="222"/>
  </r>
  <r>
    <s v="NexGen Systems"/>
    <x v="3"/>
    <s v="Men 25-34"/>
    <s v="45 days"/>
    <x v="3"/>
    <n v="0.1"/>
    <n v="9022"/>
    <n v="6.07"/>
    <n v="80"/>
    <n v="112.77500000000001"/>
    <s v="New York"/>
    <s v="French"/>
    <n v="796"/>
    <n v="3236"/>
    <n v="8"/>
    <s v="Tech Enthusiasts"/>
    <x v="223"/>
  </r>
  <r>
    <s v="NexGen Systems"/>
    <x v="2"/>
    <s v="Women 35-44"/>
    <s v="60 days"/>
    <x v="3"/>
    <n v="0.06"/>
    <n v="18156"/>
    <n v="5.97"/>
    <n v="8"/>
    <n v="2269.5"/>
    <s v="Miami"/>
    <s v="English"/>
    <n v="138"/>
    <n v="4215"/>
    <n v="1"/>
    <s v="Health &amp; Wellness"/>
    <x v="224"/>
  </r>
  <r>
    <s v="NexGen Systems"/>
    <x v="4"/>
    <s v="Women 35-44"/>
    <s v="60 days"/>
    <x v="5"/>
    <n v="0.11"/>
    <n v="11191"/>
    <n v="2.27"/>
    <n v="76"/>
    <n v="147.25"/>
    <s v="Los Angeles"/>
    <s v="Mandarin"/>
    <n v="689"/>
    <n v="2763"/>
    <n v="10"/>
    <s v="Foodies"/>
    <x v="225"/>
  </r>
  <r>
    <s v="DataTech Solutions"/>
    <x v="0"/>
    <s v="Women 25-34"/>
    <s v="45 days"/>
    <x v="0"/>
    <n v="0.12"/>
    <n v="19953"/>
    <n v="2.11"/>
    <n v="69"/>
    <n v="289.17391304347825"/>
    <s v="New York"/>
    <s v="French"/>
    <n v="577"/>
    <n v="9175"/>
    <n v="5"/>
    <s v="Foodies"/>
    <x v="226"/>
  </r>
  <r>
    <s v="TechCorp"/>
    <x v="2"/>
    <s v="Women 35-44"/>
    <s v="15 days"/>
    <x v="0"/>
    <n v="0.02"/>
    <n v="10969"/>
    <n v="2.88"/>
    <n v="19"/>
    <n v="577.31578947368416"/>
    <s v="Miami"/>
    <s v="Spanish"/>
    <n v="959"/>
    <n v="5624"/>
    <n v="4"/>
    <s v="Health &amp; Wellness"/>
    <x v="227"/>
  </r>
  <r>
    <s v="Innovate Industries"/>
    <x v="4"/>
    <s v="Women 25-34"/>
    <s v="15 days"/>
    <x v="1"/>
    <n v="0.02"/>
    <n v="13183"/>
    <n v="5.35"/>
    <n v="7"/>
    <n v="1883.2857142857142"/>
    <s v="New York"/>
    <s v="German"/>
    <n v="351"/>
    <n v="3078"/>
    <n v="8"/>
    <s v="Foodies"/>
    <x v="228"/>
  </r>
  <r>
    <s v="NexGen Systems"/>
    <x v="1"/>
    <s v="Men 18-24"/>
    <s v="45 days"/>
    <x v="3"/>
    <n v="7.0000000000000007E-2"/>
    <n v="12921"/>
    <n v="4.16"/>
    <n v="28"/>
    <n v="461.46428571428572"/>
    <s v="New York"/>
    <s v="Spanish"/>
    <n v="403"/>
    <n v="5885"/>
    <n v="9"/>
    <s v="Fashionistas"/>
    <x v="229"/>
  </r>
  <r>
    <s v="NexGen Systems"/>
    <x v="2"/>
    <s v="Women 25-34"/>
    <s v="45 days"/>
    <x v="2"/>
    <n v="7.0000000000000007E-2"/>
    <n v="14306"/>
    <n v="7.64"/>
    <n v="44"/>
    <n v="325.13636363636363"/>
    <s v="Los Angeles"/>
    <s v="English"/>
    <n v="628"/>
    <n v="7850"/>
    <n v="3"/>
    <s v="Outdoor Adventurers"/>
    <x v="230"/>
  </r>
  <r>
    <s v="NexGen Systems"/>
    <x v="1"/>
    <s v="All Ages"/>
    <s v="60 days"/>
    <x v="2"/>
    <n v="7.0000000000000007E-2"/>
    <n v="18772"/>
    <n v="3.37"/>
    <n v="16"/>
    <n v="1173.25"/>
    <s v="Houston"/>
    <s v="German"/>
    <n v="223"/>
    <n v="8001"/>
    <n v="2"/>
    <s v="Fashionistas"/>
    <x v="231"/>
  </r>
  <r>
    <s v="NexGen Systems"/>
    <x v="2"/>
    <s v="Men 25-34"/>
    <s v="45 days"/>
    <x v="1"/>
    <n v="0.06"/>
    <n v="18201"/>
    <n v="5.16"/>
    <n v="24"/>
    <n v="758.375"/>
    <s v="Chicago"/>
    <s v="Mandarin"/>
    <n v="403"/>
    <n v="1557"/>
    <n v="10"/>
    <s v="Outdoor Adventurers"/>
    <x v="232"/>
  </r>
  <r>
    <s v="DataTech Solutions"/>
    <x v="1"/>
    <s v="Women 25-34"/>
    <s v="60 days"/>
    <x v="1"/>
    <n v="0.08"/>
    <n v="12304"/>
    <n v="7.36"/>
    <n v="17"/>
    <n v="723.76470588235293"/>
    <s v="Miami"/>
    <s v="German"/>
    <n v="218"/>
    <n v="9009"/>
    <n v="4"/>
    <s v="Tech Enthusiasts"/>
    <x v="233"/>
  </r>
  <r>
    <s v="NexGen Systems"/>
    <x v="1"/>
    <s v="Men 18-24"/>
    <s v="60 days"/>
    <x v="0"/>
    <n v="0.04"/>
    <n v="11784"/>
    <n v="6.69"/>
    <n v="5"/>
    <n v="2356.8000000000002"/>
    <s v="Los Angeles"/>
    <s v="English"/>
    <n v="127"/>
    <n v="7082"/>
    <n v="6"/>
    <s v="Tech Enthusiasts"/>
    <x v="234"/>
  </r>
  <r>
    <s v="DataTech Solutions"/>
    <x v="2"/>
    <s v="Women 25-34"/>
    <s v="30 days"/>
    <x v="0"/>
    <n v="0.1"/>
    <n v="15309"/>
    <n v="3.24"/>
    <n v="97"/>
    <n v="157.82474226804123"/>
    <s v="Chicago"/>
    <s v="Spanish"/>
    <n v="972"/>
    <n v="1353"/>
    <n v="6"/>
    <s v="Health &amp; Wellness"/>
    <x v="235"/>
  </r>
  <r>
    <s v="Alpha Innovations"/>
    <x v="0"/>
    <s v="Women 25-34"/>
    <s v="60 days"/>
    <x v="2"/>
    <n v="7.0000000000000007E-2"/>
    <n v="5097"/>
    <n v="4.88"/>
    <n v="17"/>
    <n v="299.8235294117647"/>
    <s v="Houston"/>
    <s v="Mandarin"/>
    <n v="248"/>
    <n v="2307"/>
    <n v="6"/>
    <s v="Tech Enthusiasts"/>
    <x v="236"/>
  </r>
  <r>
    <s v="TechCorp"/>
    <x v="2"/>
    <s v="Women 35-44"/>
    <s v="30 days"/>
    <x v="2"/>
    <n v="0.12"/>
    <n v="14159"/>
    <n v="3.04"/>
    <n v="25"/>
    <n v="566.36"/>
    <s v="Los Angeles"/>
    <s v="German"/>
    <n v="206"/>
    <n v="5039"/>
    <n v="1"/>
    <s v="Fashionistas"/>
    <x v="237"/>
  </r>
  <r>
    <s v="Alpha Innovations"/>
    <x v="0"/>
    <s v="Men 25-34"/>
    <s v="60 days"/>
    <x v="3"/>
    <n v="0.14000000000000001"/>
    <n v="17881"/>
    <n v="3.54"/>
    <n v="122"/>
    <n v="146.5655737704918"/>
    <s v="Chicago"/>
    <s v="French"/>
    <n v="871"/>
    <n v="4372"/>
    <n v="10"/>
    <s v="Fashionistas"/>
    <x v="238"/>
  </r>
  <r>
    <s v="DataTech Solutions"/>
    <x v="1"/>
    <s v="Men 25-34"/>
    <s v="15 days"/>
    <x v="0"/>
    <n v="0.12"/>
    <n v="10051"/>
    <n v="3.68"/>
    <n v="80"/>
    <n v="125.6375"/>
    <s v="Houston"/>
    <s v="English"/>
    <n v="669"/>
    <n v="4322"/>
    <n v="3"/>
    <s v="Outdoor Adventurers"/>
    <x v="239"/>
  </r>
  <r>
    <s v="TechCorp"/>
    <x v="0"/>
    <s v="All Ages"/>
    <s v="30 days"/>
    <x v="3"/>
    <n v="0.02"/>
    <n v="12481"/>
    <n v="6.79"/>
    <n v="6"/>
    <n v="2080.1666666666665"/>
    <s v="New York"/>
    <s v="German"/>
    <n v="321"/>
    <n v="2821"/>
    <n v="1"/>
    <s v="Health &amp; Wellness"/>
    <x v="240"/>
  </r>
  <r>
    <s v="Innovate Industries"/>
    <x v="1"/>
    <s v="All Ages"/>
    <s v="15 days"/>
    <x v="5"/>
    <n v="0.13"/>
    <n v="19449"/>
    <n v="2.52"/>
    <n v="32"/>
    <n v="607.78125"/>
    <s v="New York"/>
    <s v="Mandarin"/>
    <n v="243"/>
    <n v="5638"/>
    <n v="10"/>
    <s v="Outdoor Adventurers"/>
    <x v="241"/>
  </r>
  <r>
    <s v="DataTech Solutions"/>
    <x v="2"/>
    <s v="Men 18-24"/>
    <s v="30 days"/>
    <x v="4"/>
    <n v="0.1"/>
    <n v="12001"/>
    <n v="3.78"/>
    <n v="35"/>
    <n v="342.8857142857143"/>
    <s v="New York"/>
    <s v="Spanish"/>
    <n v="351"/>
    <n v="2613"/>
    <n v="3"/>
    <s v="Health &amp; Wellness"/>
    <x v="242"/>
  </r>
  <r>
    <s v="DataTech Solutions"/>
    <x v="2"/>
    <s v="Men 18-24"/>
    <s v="30 days"/>
    <x v="2"/>
    <n v="0.02"/>
    <n v="8077"/>
    <n v="3.64"/>
    <n v="6"/>
    <n v="1346.1666666666667"/>
    <s v="Miami"/>
    <s v="English"/>
    <n v="319"/>
    <n v="1568"/>
    <n v="8"/>
    <s v="Tech Enthusiasts"/>
    <x v="243"/>
  </r>
  <r>
    <s v="NexGen Systems"/>
    <x v="3"/>
    <s v="Men 25-34"/>
    <s v="15 days"/>
    <x v="3"/>
    <n v="0.01"/>
    <n v="11462"/>
    <n v="5.43"/>
    <n v="1"/>
    <n v="11462"/>
    <s v="New York"/>
    <s v="Mandarin"/>
    <n v="134"/>
    <n v="3014"/>
    <n v="10"/>
    <s v="Fashionistas"/>
    <x v="244"/>
  </r>
  <r>
    <s v="TechCorp"/>
    <x v="3"/>
    <s v="Men 25-34"/>
    <s v="45 days"/>
    <x v="1"/>
    <n v="0.05"/>
    <n v="8030"/>
    <n v="3.58"/>
    <n v="29"/>
    <n v="276.89655172413791"/>
    <s v="Miami"/>
    <s v="English"/>
    <n v="576"/>
    <n v="1846"/>
    <n v="6"/>
    <s v="Tech Enthusiasts"/>
    <x v="245"/>
  </r>
  <r>
    <s v="Innovate Industries"/>
    <x v="0"/>
    <s v="Women 35-44"/>
    <s v="45 days"/>
    <x v="2"/>
    <n v="0.02"/>
    <n v="14832"/>
    <n v="2.5499999999999998"/>
    <n v="17"/>
    <n v="872.47058823529414"/>
    <s v="New York"/>
    <s v="English"/>
    <n v="825"/>
    <n v="1999"/>
    <n v="9"/>
    <s v="Fashionistas"/>
    <x v="246"/>
  </r>
  <r>
    <s v="NexGen Systems"/>
    <x v="3"/>
    <s v="All Ages"/>
    <s v="15 days"/>
    <x v="0"/>
    <n v="0.11"/>
    <n v="13616"/>
    <n v="4.8099999999999996"/>
    <n v="87"/>
    <n v="156.50574712643677"/>
    <s v="Los Angeles"/>
    <s v="French"/>
    <n v="795"/>
    <n v="1294"/>
    <n v="3"/>
    <s v="Fashionistas"/>
    <x v="247"/>
  </r>
  <r>
    <s v="TechCorp"/>
    <x v="3"/>
    <s v="All Ages"/>
    <s v="60 days"/>
    <x v="2"/>
    <n v="0.1"/>
    <n v="11192"/>
    <n v="6.72"/>
    <n v="49"/>
    <n v="228.40816326530611"/>
    <s v="Los Angeles"/>
    <s v="French"/>
    <n v="494"/>
    <n v="9635"/>
    <n v="4"/>
    <s v="Foodies"/>
    <x v="248"/>
  </r>
  <r>
    <s v="Alpha Innovations"/>
    <x v="1"/>
    <s v="All Ages"/>
    <s v="15 days"/>
    <x v="5"/>
    <n v="7.0000000000000007E-2"/>
    <n v="10201"/>
    <n v="7.51"/>
    <n v="30"/>
    <n v="340.03333333333336"/>
    <s v="Chicago"/>
    <s v="English"/>
    <n v="430"/>
    <n v="2125"/>
    <n v="2"/>
    <s v="Health &amp; Wellness"/>
    <x v="249"/>
  </r>
  <r>
    <s v="TechCorp"/>
    <x v="2"/>
    <s v="Women 35-44"/>
    <s v="15 days"/>
    <x v="1"/>
    <n v="7.0000000000000007E-2"/>
    <n v="16892"/>
    <n v="4.2699999999999996"/>
    <n v="56"/>
    <n v="301.64285714285717"/>
    <s v="Miami"/>
    <s v="Spanish"/>
    <n v="805"/>
    <n v="7071"/>
    <n v="6"/>
    <s v="Outdoor Adventurers"/>
    <x v="250"/>
  </r>
  <r>
    <s v="NexGen Systems"/>
    <x v="4"/>
    <s v="Men 25-34"/>
    <s v="15 days"/>
    <x v="3"/>
    <n v="0.11"/>
    <n v="12533"/>
    <n v="4.42"/>
    <n v="86"/>
    <n v="145.73255813953489"/>
    <s v="Miami"/>
    <s v="French"/>
    <n v="780"/>
    <n v="3439"/>
    <n v="4"/>
    <s v="Tech Enthusiasts"/>
    <x v="251"/>
  </r>
  <r>
    <s v="DataTech Solutions"/>
    <x v="2"/>
    <s v="All Ages"/>
    <s v="30 days"/>
    <x v="2"/>
    <n v="0.03"/>
    <n v="11172"/>
    <n v="4.05"/>
    <n v="14"/>
    <n v="798"/>
    <s v="New York"/>
    <s v="Spanish"/>
    <n v="477"/>
    <n v="8325"/>
    <n v="10"/>
    <s v="Foodies"/>
    <x v="252"/>
  </r>
  <r>
    <s v="Alpha Innovations"/>
    <x v="1"/>
    <s v="Women 25-34"/>
    <s v="45 days"/>
    <x v="5"/>
    <n v="0.02"/>
    <n v="9157"/>
    <n v="2.42"/>
    <n v="17"/>
    <n v="538.64705882352939"/>
    <s v="Houston"/>
    <s v="Spanish"/>
    <n v="851"/>
    <n v="9474"/>
    <n v="9"/>
    <s v="Outdoor Adventurers"/>
    <x v="253"/>
  </r>
  <r>
    <s v="DataTech Solutions"/>
    <x v="3"/>
    <s v="Women 35-44"/>
    <s v="60 days"/>
    <x v="4"/>
    <n v="0.11"/>
    <n v="19216"/>
    <n v="5.84"/>
    <n v="45"/>
    <n v="427.02222222222224"/>
    <s v="Chicago"/>
    <s v="German"/>
    <n v="412"/>
    <n v="3151"/>
    <n v="7"/>
    <s v="Fashionistas"/>
    <x v="254"/>
  </r>
  <r>
    <s v="NexGen Systems"/>
    <x v="4"/>
    <s v="Men 18-24"/>
    <s v="15 days"/>
    <x v="5"/>
    <n v="0.13"/>
    <n v="8231"/>
    <n v="5.16"/>
    <n v="111"/>
    <n v="74.153153153153156"/>
    <s v="Miami"/>
    <s v="Mandarin"/>
    <n v="852"/>
    <n v="7367"/>
    <n v="6"/>
    <s v="Health &amp; Wellness"/>
    <x v="255"/>
  </r>
  <r>
    <s v="NexGen Systems"/>
    <x v="4"/>
    <s v="All Ages"/>
    <s v="60 days"/>
    <x v="1"/>
    <n v="0.15"/>
    <n v="12800"/>
    <n v="2.99"/>
    <n v="34"/>
    <n v="376.47058823529414"/>
    <s v="Chicago"/>
    <s v="French"/>
    <n v="228"/>
    <n v="1496"/>
    <n v="5"/>
    <s v="Tech Enthusiasts"/>
    <x v="256"/>
  </r>
  <r>
    <s v="DataTech Solutions"/>
    <x v="3"/>
    <s v="Women 25-34"/>
    <s v="15 days"/>
    <x v="2"/>
    <n v="0.01"/>
    <n v="12725"/>
    <n v="5.87"/>
    <n v="4"/>
    <n v="3181.25"/>
    <s v="Los Angeles"/>
    <s v="Mandarin"/>
    <n v="428"/>
    <n v="9754"/>
    <n v="4"/>
    <s v="Foodies"/>
    <x v="257"/>
  </r>
  <r>
    <s v="DataTech Solutions"/>
    <x v="4"/>
    <s v="Women 25-34"/>
    <s v="30 days"/>
    <x v="3"/>
    <n v="0.06"/>
    <n v="16946"/>
    <n v="4.38"/>
    <n v="42"/>
    <n v="403.47619047619048"/>
    <s v="New York"/>
    <s v="French"/>
    <n v="700"/>
    <n v="3608"/>
    <n v="3"/>
    <s v="Foodies"/>
    <x v="258"/>
  </r>
  <r>
    <s v="NexGen Systems"/>
    <x v="4"/>
    <s v="All Ages"/>
    <s v="45 days"/>
    <x v="1"/>
    <n v="0.06"/>
    <n v="5152"/>
    <n v="2.54"/>
    <n v="22"/>
    <n v="234.18181818181819"/>
    <s v="Miami"/>
    <s v="English"/>
    <n v="374"/>
    <n v="1155"/>
    <n v="5"/>
    <s v="Foodies"/>
    <x v="259"/>
  </r>
  <r>
    <s v="DataTech Solutions"/>
    <x v="2"/>
    <s v="Women 25-34"/>
    <s v="30 days"/>
    <x v="4"/>
    <n v="0.04"/>
    <n v="7089"/>
    <n v="6.56"/>
    <n v="35"/>
    <n v="202.54285714285714"/>
    <s v="Los Angeles"/>
    <s v="German"/>
    <n v="869"/>
    <n v="9779"/>
    <n v="1"/>
    <s v="Tech Enthusiasts"/>
    <x v="260"/>
  </r>
  <r>
    <s v="Innovate Industries"/>
    <x v="1"/>
    <s v="Men 25-34"/>
    <s v="45 days"/>
    <x v="2"/>
    <n v="0.12"/>
    <n v="13321"/>
    <n v="6.34"/>
    <n v="100"/>
    <n v="133.21"/>
    <s v="Chicago"/>
    <s v="French"/>
    <n v="831"/>
    <n v="2575"/>
    <n v="6"/>
    <s v="Fashionistas"/>
    <x v="261"/>
  </r>
  <r>
    <s v="DataTech Solutions"/>
    <x v="1"/>
    <s v="Men 25-34"/>
    <s v="30 days"/>
    <x v="4"/>
    <n v="0.03"/>
    <n v="14100"/>
    <n v="3.35"/>
    <n v="25"/>
    <n v="564"/>
    <s v="Los Angeles"/>
    <s v="English"/>
    <n v="819"/>
    <n v="4620"/>
    <n v="6"/>
    <s v="Health &amp; Wellness"/>
    <x v="262"/>
  </r>
  <r>
    <s v="NexGen Systems"/>
    <x v="3"/>
    <s v="Men 18-24"/>
    <s v="45 days"/>
    <x v="0"/>
    <n v="0.05"/>
    <n v="13283"/>
    <n v="6.34"/>
    <n v="46"/>
    <n v="288.76086956521738"/>
    <s v="Houston"/>
    <s v="French"/>
    <n v="915"/>
    <n v="4284"/>
    <n v="8"/>
    <s v="Foodies"/>
    <x v="263"/>
  </r>
  <r>
    <s v="Alpha Innovations"/>
    <x v="1"/>
    <s v="All Ages"/>
    <s v="15 days"/>
    <x v="4"/>
    <n v="0.04"/>
    <n v="7672"/>
    <n v="7.73"/>
    <n v="23"/>
    <n v="333.56521739130437"/>
    <s v="Los Angeles"/>
    <s v="French"/>
    <n v="584"/>
    <n v="8653"/>
    <n v="7"/>
    <s v="Foodies"/>
    <x v="264"/>
  </r>
  <r>
    <s v="DataTech Solutions"/>
    <x v="1"/>
    <s v="Men 18-24"/>
    <s v="60 days"/>
    <x v="3"/>
    <n v="0.09"/>
    <n v="9809"/>
    <n v="5.16"/>
    <n v="19"/>
    <n v="516.26315789473688"/>
    <s v="New York"/>
    <s v="French"/>
    <n v="212"/>
    <n v="9432"/>
    <n v="7"/>
    <s v="Fashionistas"/>
    <x v="265"/>
  </r>
  <r>
    <s v="Innovate Industries"/>
    <x v="0"/>
    <s v="All Ages"/>
    <s v="60 days"/>
    <x v="1"/>
    <n v="0.1"/>
    <n v="14783"/>
    <n v="4.68"/>
    <n v="19"/>
    <n v="778.0526315789474"/>
    <s v="Miami"/>
    <s v="English"/>
    <n v="186"/>
    <n v="8064"/>
    <n v="3"/>
    <s v="Tech Enthusiasts"/>
    <x v="266"/>
  </r>
  <r>
    <s v="TechCorp"/>
    <x v="1"/>
    <s v="Men 18-24"/>
    <s v="60 days"/>
    <x v="5"/>
    <n v="0.03"/>
    <n v="13036"/>
    <n v="6.87"/>
    <n v="10"/>
    <n v="1303.5999999999999"/>
    <s v="Miami"/>
    <s v="English"/>
    <n v="335"/>
    <n v="7693"/>
    <n v="3"/>
    <s v="Tech Enthusiasts"/>
    <x v="267"/>
  </r>
  <r>
    <s v="TechCorp"/>
    <x v="0"/>
    <s v="Women 35-44"/>
    <s v="30 days"/>
    <x v="1"/>
    <n v="0.01"/>
    <n v="6261"/>
    <n v="3.17"/>
    <n v="5"/>
    <n v="1252.2"/>
    <s v="Los Angeles"/>
    <s v="Mandarin"/>
    <n v="521"/>
    <n v="8622"/>
    <n v="8"/>
    <s v="Outdoor Adventurers"/>
    <x v="268"/>
  </r>
  <r>
    <s v="DataTech Solutions"/>
    <x v="4"/>
    <s v="Women 25-34"/>
    <s v="30 days"/>
    <x v="0"/>
    <n v="0.03"/>
    <n v="8538"/>
    <n v="6.74"/>
    <n v="20"/>
    <n v="426.9"/>
    <s v="New York"/>
    <s v="German"/>
    <n v="669"/>
    <n v="4791"/>
    <n v="1"/>
    <s v="Fashionistas"/>
    <x v="269"/>
  </r>
  <r>
    <s v="DataTech Solutions"/>
    <x v="2"/>
    <s v="Men 18-24"/>
    <s v="15 days"/>
    <x v="4"/>
    <n v="0.06"/>
    <n v="13273"/>
    <n v="4.13"/>
    <n v="8"/>
    <n v="1659.125"/>
    <s v="New York"/>
    <s v="French"/>
    <n v="133"/>
    <n v="9085"/>
    <n v="1"/>
    <s v="Foodies"/>
    <x v="270"/>
  </r>
  <r>
    <s v="TechCorp"/>
    <x v="4"/>
    <s v="Women 35-44"/>
    <s v="45 days"/>
    <x v="5"/>
    <n v="0.14000000000000001"/>
    <n v="19161"/>
    <n v="2.82"/>
    <n v="96"/>
    <n v="199.59375"/>
    <s v="Los Angeles"/>
    <s v="French"/>
    <n v="689"/>
    <n v="1628"/>
    <n v="2"/>
    <s v="Outdoor Adventurers"/>
    <x v="271"/>
  </r>
  <r>
    <s v="TechCorp"/>
    <x v="0"/>
    <s v="Men 18-24"/>
    <s v="60 days"/>
    <x v="5"/>
    <n v="0.05"/>
    <n v="16177"/>
    <n v="6.43"/>
    <n v="46"/>
    <n v="351.67391304347825"/>
    <s v="New York"/>
    <s v="Spanish"/>
    <n v="913"/>
    <n v="8769"/>
    <n v="3"/>
    <s v="Tech Enthusiasts"/>
    <x v="272"/>
  </r>
  <r>
    <s v="Innovate Industries"/>
    <x v="2"/>
    <s v="Women 35-44"/>
    <s v="60 days"/>
    <x v="3"/>
    <n v="0.05"/>
    <n v="12910"/>
    <n v="4.28"/>
    <n v="41"/>
    <n v="314.8780487804878"/>
    <s v="New York"/>
    <s v="German"/>
    <n v="814"/>
    <n v="5370"/>
    <n v="9"/>
    <s v="Foodies"/>
    <x v="273"/>
  </r>
  <r>
    <s v="Innovate Industries"/>
    <x v="1"/>
    <s v="All Ages"/>
    <s v="45 days"/>
    <x v="1"/>
    <n v="0.15"/>
    <n v="18397"/>
    <n v="6.37"/>
    <n v="41"/>
    <n v="448.70731707317071"/>
    <s v="Miami"/>
    <s v="French"/>
    <n v="276"/>
    <n v="8474"/>
    <n v="3"/>
    <s v="Tech Enthusiasts"/>
    <x v="274"/>
  </r>
  <r>
    <s v="Alpha Innovations"/>
    <x v="1"/>
    <s v="All Ages"/>
    <s v="30 days"/>
    <x v="1"/>
    <n v="0.09"/>
    <n v="12495"/>
    <n v="6.14"/>
    <n v="47"/>
    <n v="265.85106382978722"/>
    <s v="Chicago"/>
    <s v="German"/>
    <n v="519"/>
    <n v="7448"/>
    <n v="3"/>
    <s v="Health &amp; Wellness"/>
    <x v="275"/>
  </r>
  <r>
    <s v="DataTech Solutions"/>
    <x v="0"/>
    <s v="Men 18-24"/>
    <s v="30 days"/>
    <x v="0"/>
    <n v="0.15"/>
    <n v="6125"/>
    <n v="6.04"/>
    <n v="75"/>
    <n v="81.666666666666671"/>
    <s v="Los Angeles"/>
    <s v="English"/>
    <n v="500"/>
    <n v="8858"/>
    <n v="1"/>
    <s v="Fashionistas"/>
    <x v="276"/>
  </r>
  <r>
    <s v="Innovate Industries"/>
    <x v="1"/>
    <s v="All Ages"/>
    <s v="45 days"/>
    <x v="4"/>
    <n v="0.06"/>
    <n v="15882"/>
    <n v="5.31"/>
    <n v="52"/>
    <n v="305.42307692307691"/>
    <s v="Los Angeles"/>
    <s v="French"/>
    <n v="863"/>
    <n v="7244"/>
    <n v="2"/>
    <s v="Outdoor Adventurers"/>
    <x v="277"/>
  </r>
  <r>
    <s v="Alpha Innovations"/>
    <x v="2"/>
    <s v="Men 18-24"/>
    <s v="60 days"/>
    <x v="2"/>
    <n v="0.02"/>
    <n v="7373"/>
    <n v="4.5199999999999996"/>
    <n v="4"/>
    <n v="1843.25"/>
    <s v="Los Angeles"/>
    <s v="German"/>
    <n v="180"/>
    <n v="9378"/>
    <n v="2"/>
    <s v="Health &amp; Wellness"/>
    <x v="278"/>
  </r>
  <r>
    <s v="TechCorp"/>
    <x v="1"/>
    <s v="Women 35-44"/>
    <s v="15 days"/>
    <x v="1"/>
    <n v="0.11"/>
    <n v="15481"/>
    <n v="2.1800000000000002"/>
    <n v="46"/>
    <n v="336.54347826086956"/>
    <s v="Chicago"/>
    <s v="German"/>
    <n v="420"/>
    <n v="1904"/>
    <n v="1"/>
    <s v="Tech Enthusiasts"/>
    <x v="279"/>
  </r>
  <r>
    <s v="Innovate Industries"/>
    <x v="4"/>
    <s v="All Ages"/>
    <s v="45 days"/>
    <x v="1"/>
    <n v="0.08"/>
    <n v="6872"/>
    <n v="4.9800000000000004"/>
    <n v="28"/>
    <n v="245.42857142857142"/>
    <s v="Los Angeles"/>
    <s v="English"/>
    <n v="345"/>
    <n v="5790"/>
    <n v="9"/>
    <s v="Tech Enthusiasts"/>
    <x v="280"/>
  </r>
  <r>
    <s v="Alpha Innovations"/>
    <x v="4"/>
    <s v="Women 25-34"/>
    <s v="15 days"/>
    <x v="2"/>
    <n v="0.03"/>
    <n v="16788"/>
    <n v="3.67"/>
    <n v="13"/>
    <n v="1291.3846153846155"/>
    <s v="Los Angeles"/>
    <s v="Mandarin"/>
    <n v="436"/>
    <n v="2538"/>
    <n v="3"/>
    <s v="Fashionistas"/>
    <x v="281"/>
  </r>
  <r>
    <s v="Alpha Innovations"/>
    <x v="4"/>
    <s v="All Ages"/>
    <s v="30 days"/>
    <x v="0"/>
    <n v="0.01"/>
    <n v="6706"/>
    <n v="5.41"/>
    <n v="10"/>
    <n v="670.6"/>
    <s v="New York"/>
    <s v="Spanish"/>
    <n v="950"/>
    <n v="5193"/>
    <n v="2"/>
    <s v="Tech Enthusiasts"/>
    <x v="282"/>
  </r>
  <r>
    <s v="Innovate Industries"/>
    <x v="1"/>
    <s v="Women 35-44"/>
    <s v="45 days"/>
    <x v="4"/>
    <n v="0.12"/>
    <n v="6900"/>
    <n v="4.5"/>
    <n v="88"/>
    <n v="78.409090909090907"/>
    <s v="Chicago"/>
    <s v="Mandarin"/>
    <n v="735"/>
    <n v="1882"/>
    <n v="1"/>
    <s v="Outdoor Adventurers"/>
    <x v="283"/>
  </r>
  <r>
    <s v="TechCorp"/>
    <x v="2"/>
    <s v="Men 18-24"/>
    <s v="60 days"/>
    <x v="5"/>
    <n v="7.0000000000000007E-2"/>
    <n v="5614"/>
    <n v="7.76"/>
    <n v="15"/>
    <n v="374.26666666666665"/>
    <s v="Los Angeles"/>
    <s v="French"/>
    <n v="216"/>
    <n v="4221"/>
    <n v="5"/>
    <s v="Fashionistas"/>
    <x v="284"/>
  </r>
  <r>
    <s v="TechCorp"/>
    <x v="1"/>
    <s v="Men 18-24"/>
    <s v="60 days"/>
    <x v="4"/>
    <n v="0.13"/>
    <n v="6306"/>
    <n v="5.0999999999999996"/>
    <n v="102"/>
    <n v="61.823529411764703"/>
    <s v="Houston"/>
    <s v="English"/>
    <n v="788"/>
    <n v="3742"/>
    <n v="5"/>
    <s v="Fashionistas"/>
    <x v="285"/>
  </r>
  <r>
    <s v="TechCorp"/>
    <x v="1"/>
    <s v="Women 35-44"/>
    <s v="15 days"/>
    <x v="0"/>
    <n v="0.03"/>
    <n v="7405"/>
    <n v="4.41"/>
    <n v="27"/>
    <n v="274.25925925925924"/>
    <s v="Miami"/>
    <s v="Mandarin"/>
    <n v="905"/>
    <n v="5738"/>
    <n v="5"/>
    <s v="Outdoor Adventurers"/>
    <x v="286"/>
  </r>
  <r>
    <s v="TechCorp"/>
    <x v="2"/>
    <s v="All Ages"/>
    <s v="60 days"/>
    <x v="0"/>
    <n v="0.11"/>
    <n v="15726"/>
    <n v="3.05"/>
    <n v="36"/>
    <n v="436.83333333333331"/>
    <s v="Chicago"/>
    <s v="Mandarin"/>
    <n v="327"/>
    <n v="9697"/>
    <n v="9"/>
    <s v="Health &amp; Wellness"/>
    <x v="287"/>
  </r>
  <r>
    <s v="Alpha Innovations"/>
    <x v="1"/>
    <s v="Men 25-34"/>
    <s v="30 days"/>
    <x v="2"/>
    <n v="0.13"/>
    <n v="10746"/>
    <n v="2.13"/>
    <n v="127"/>
    <n v="84.614173228346459"/>
    <s v="Miami"/>
    <s v="English"/>
    <n v="978"/>
    <n v="9419"/>
    <n v="1"/>
    <s v="Foodies"/>
    <x v="288"/>
  </r>
  <r>
    <s v="Innovate Industries"/>
    <x v="1"/>
    <s v="Men 25-34"/>
    <s v="45 days"/>
    <x v="0"/>
    <n v="0.09"/>
    <n v="17756"/>
    <n v="5.65"/>
    <n v="70"/>
    <n v="253.65714285714284"/>
    <s v="New York"/>
    <s v="French"/>
    <n v="776"/>
    <n v="7239"/>
    <n v="9"/>
    <s v="Outdoor Adventurers"/>
    <x v="289"/>
  </r>
  <r>
    <s v="Alpha Innovations"/>
    <x v="4"/>
    <s v="Women 25-34"/>
    <s v="60 days"/>
    <x v="1"/>
    <n v="0.02"/>
    <n v="16439"/>
    <n v="3.36"/>
    <n v="3"/>
    <n v="5479.666666666667"/>
    <s v="Chicago"/>
    <s v="English"/>
    <n v="129"/>
    <n v="4496"/>
    <n v="3"/>
    <s v="Tech Enthusiasts"/>
    <x v="290"/>
  </r>
  <r>
    <s v="DataTech Solutions"/>
    <x v="3"/>
    <s v="Women 35-44"/>
    <s v="60 days"/>
    <x v="2"/>
    <n v="0.12"/>
    <n v="17965"/>
    <n v="2.5499999999999998"/>
    <n v="31"/>
    <n v="579.51612903225805"/>
    <s v="New York"/>
    <s v="Mandarin"/>
    <n v="256"/>
    <n v="8403"/>
    <n v="4"/>
    <s v="Health &amp; Wellness"/>
    <x v="291"/>
  </r>
  <r>
    <s v="Alpha Innovations"/>
    <x v="1"/>
    <s v="Men 18-24"/>
    <s v="15 days"/>
    <x v="1"/>
    <n v="0.09"/>
    <n v="12483"/>
    <n v="5.94"/>
    <n v="24"/>
    <n v="520.125"/>
    <s v="Miami"/>
    <s v="French"/>
    <n v="264"/>
    <n v="5551"/>
    <n v="8"/>
    <s v="Foodies"/>
    <x v="292"/>
  </r>
  <r>
    <s v="DataTech Solutions"/>
    <x v="0"/>
    <s v="Men 18-24"/>
    <s v="45 days"/>
    <x v="1"/>
    <n v="0.04"/>
    <n v="19009"/>
    <n v="3.02"/>
    <n v="23"/>
    <n v="826.47826086956525"/>
    <s v="Houston"/>
    <s v="Mandarin"/>
    <n v="575"/>
    <n v="6419"/>
    <n v="8"/>
    <s v="Outdoor Adventurers"/>
    <x v="293"/>
  </r>
  <r>
    <s v="NexGen Systems"/>
    <x v="0"/>
    <s v="Men 25-34"/>
    <s v="60 days"/>
    <x v="2"/>
    <n v="0.13"/>
    <n v="19725"/>
    <n v="3.43"/>
    <n v="26"/>
    <n v="758.65384615384619"/>
    <s v="New York"/>
    <s v="French"/>
    <n v="199"/>
    <n v="2683"/>
    <n v="4"/>
    <s v="Foodies"/>
    <x v="294"/>
  </r>
  <r>
    <s v="Innovate Industries"/>
    <x v="1"/>
    <s v="Women 35-44"/>
    <s v="30 days"/>
    <x v="1"/>
    <n v="7.0000000000000007E-2"/>
    <n v="13752"/>
    <n v="7.26"/>
    <n v="27"/>
    <n v="509.33333333333331"/>
    <s v="Houston"/>
    <s v="Spanish"/>
    <n v="384"/>
    <n v="9195"/>
    <n v="6"/>
    <s v="Tech Enthusiasts"/>
    <x v="295"/>
  </r>
  <r>
    <s v="DataTech Solutions"/>
    <x v="2"/>
    <s v="Women 35-44"/>
    <s v="60 days"/>
    <x v="4"/>
    <n v="0.04"/>
    <n v="14904"/>
    <n v="5.85"/>
    <n v="14"/>
    <n v="1064.5714285714287"/>
    <s v="Chicago"/>
    <s v="French"/>
    <n v="342"/>
    <n v="8070"/>
    <n v="8"/>
    <s v="Outdoor Adventurers"/>
    <x v="296"/>
  </r>
  <r>
    <s v="Innovate Industries"/>
    <x v="0"/>
    <s v="Women 25-34"/>
    <s v="15 days"/>
    <x v="2"/>
    <n v="0.12"/>
    <n v="10347"/>
    <n v="7.89"/>
    <n v="118"/>
    <n v="87.686440677966104"/>
    <s v="Los Angeles"/>
    <s v="Spanish"/>
    <n v="983"/>
    <n v="3211"/>
    <n v="5"/>
    <s v="Foodies"/>
    <x v="297"/>
  </r>
  <r>
    <s v="NexGen Systems"/>
    <x v="1"/>
    <s v="Women 25-34"/>
    <s v="30 days"/>
    <x v="5"/>
    <n v="0.11"/>
    <n v="6260"/>
    <n v="5.3"/>
    <n v="103"/>
    <n v="60.776699029126213"/>
    <s v="Houston"/>
    <s v="English"/>
    <n v="933"/>
    <n v="4275"/>
    <n v="2"/>
    <s v="Foodies"/>
    <x v="298"/>
  </r>
  <r>
    <s v="Alpha Innovations"/>
    <x v="3"/>
    <s v="Men 25-34"/>
    <s v="30 days"/>
    <x v="0"/>
    <n v="0.14000000000000001"/>
    <n v="16652"/>
    <n v="6.37"/>
    <n v="62"/>
    <n v="268.58064516129031"/>
    <s v="Los Angeles"/>
    <s v="English"/>
    <n v="446"/>
    <n v="8952"/>
    <n v="3"/>
    <s v="Outdoor Adventurers"/>
    <x v="299"/>
  </r>
  <r>
    <s v="TechCorp"/>
    <x v="1"/>
    <s v="Women 25-34"/>
    <s v="30 days"/>
    <x v="2"/>
    <n v="0.03"/>
    <n v="6922"/>
    <n v="3.55"/>
    <n v="8"/>
    <n v="865.25"/>
    <s v="New York"/>
    <s v="English"/>
    <n v="261"/>
    <n v="6720"/>
    <n v="8"/>
    <s v="Foodies"/>
    <x v="300"/>
  </r>
  <r>
    <s v="Innovate Industries"/>
    <x v="3"/>
    <s v="Men 18-24"/>
    <s v="30 days"/>
    <x v="5"/>
    <n v="0.14000000000000001"/>
    <n v="6923"/>
    <n v="5.89"/>
    <n v="50"/>
    <n v="138.46"/>
    <s v="Chicago"/>
    <s v="German"/>
    <n v="360"/>
    <n v="7688"/>
    <n v="2"/>
    <s v="Outdoor Adventurers"/>
    <x v="301"/>
  </r>
  <r>
    <s v="Innovate Industries"/>
    <x v="3"/>
    <s v="Men 25-34"/>
    <s v="45 days"/>
    <x v="5"/>
    <n v="0.13"/>
    <n v="7328"/>
    <n v="3.75"/>
    <n v="106"/>
    <n v="69.132075471698116"/>
    <s v="New York"/>
    <s v="German"/>
    <n v="817"/>
    <n v="6306"/>
    <n v="7"/>
    <s v="Health &amp; Wellness"/>
    <x v="302"/>
  </r>
  <r>
    <s v="TechCorp"/>
    <x v="2"/>
    <s v="Men 18-24"/>
    <s v="15 days"/>
    <x v="2"/>
    <n v="0.03"/>
    <n v="10314"/>
    <n v="3.8"/>
    <n v="3"/>
    <n v="3438"/>
    <s v="Houston"/>
    <s v="Spanish"/>
    <n v="105"/>
    <n v="2825"/>
    <n v="10"/>
    <s v="Foodies"/>
    <x v="303"/>
  </r>
  <r>
    <s v="DataTech Solutions"/>
    <x v="1"/>
    <s v="Women 35-44"/>
    <s v="45 days"/>
    <x v="1"/>
    <n v="0.12"/>
    <n v="9784"/>
    <n v="3.23"/>
    <n v="39"/>
    <n v="250.87179487179486"/>
    <s v="Houston"/>
    <s v="French"/>
    <n v="323"/>
    <n v="5592"/>
    <n v="10"/>
    <s v="Fashionistas"/>
    <x v="304"/>
  </r>
  <r>
    <s v="TechCorp"/>
    <x v="0"/>
    <s v="Women 25-34"/>
    <s v="30 days"/>
    <x v="1"/>
    <n v="0.08"/>
    <n v="11395"/>
    <n v="3.34"/>
    <n v="49"/>
    <n v="232.55102040816325"/>
    <s v="Los Angeles"/>
    <s v="German"/>
    <n v="611"/>
    <n v="1919"/>
    <n v="3"/>
    <s v="Fashionistas"/>
    <x v="305"/>
  </r>
  <r>
    <s v="NexGen Systems"/>
    <x v="1"/>
    <s v="Women 35-44"/>
    <s v="30 days"/>
    <x v="5"/>
    <n v="0.04"/>
    <n v="16293"/>
    <n v="7.95"/>
    <n v="38"/>
    <n v="428.76315789473682"/>
    <s v="New York"/>
    <s v="French"/>
    <n v="952"/>
    <n v="8210"/>
    <n v="10"/>
    <s v="Outdoor Adventurers"/>
    <x v="306"/>
  </r>
  <r>
    <s v="Innovate Industries"/>
    <x v="1"/>
    <s v="All Ages"/>
    <s v="60 days"/>
    <x v="3"/>
    <n v="0.03"/>
    <n v="7021"/>
    <n v="3.23"/>
    <n v="9"/>
    <n v="780.11111111111109"/>
    <s v="New York"/>
    <s v="German"/>
    <n v="309"/>
    <n v="8988"/>
    <n v="7"/>
    <s v="Tech Enthusiasts"/>
    <x v="307"/>
  </r>
  <r>
    <s v="TechCorp"/>
    <x v="2"/>
    <s v="All Ages"/>
    <s v="45 days"/>
    <x v="4"/>
    <n v="7.0000000000000007E-2"/>
    <n v="5732"/>
    <n v="6.2"/>
    <n v="65"/>
    <n v="88.184615384615384"/>
    <s v="Houston"/>
    <s v="Spanish"/>
    <n v="926"/>
    <n v="4734"/>
    <n v="7"/>
    <s v="Fashionistas"/>
    <x v="308"/>
  </r>
  <r>
    <s v="Innovate Industries"/>
    <x v="2"/>
    <s v="All Ages"/>
    <s v="30 days"/>
    <x v="3"/>
    <n v="0.04"/>
    <n v="5360"/>
    <n v="3.28"/>
    <n v="27"/>
    <n v="198.5185185185185"/>
    <s v="Los Angeles"/>
    <s v="German"/>
    <n v="681"/>
    <n v="5430"/>
    <n v="2"/>
    <s v="Tech Enthusiasts"/>
    <x v="309"/>
  </r>
  <r>
    <s v="Innovate Industries"/>
    <x v="1"/>
    <s v="Women 25-34"/>
    <s v="30 days"/>
    <x v="3"/>
    <n v="0.13"/>
    <n v="16802"/>
    <n v="2.68"/>
    <n v="50"/>
    <n v="336.04"/>
    <s v="Miami"/>
    <s v="Mandarin"/>
    <n v="385"/>
    <n v="6134"/>
    <n v="3"/>
    <s v="Health &amp; Wellness"/>
    <x v="310"/>
  </r>
  <r>
    <s v="Alpha Innovations"/>
    <x v="2"/>
    <s v="Women 25-34"/>
    <s v="30 days"/>
    <x v="2"/>
    <n v="0.01"/>
    <n v="12759"/>
    <n v="8"/>
    <n v="5"/>
    <n v="2551.8000000000002"/>
    <s v="New York"/>
    <s v="English"/>
    <n v="476"/>
    <n v="3627"/>
    <n v="6"/>
    <s v="Tech Enthusiasts"/>
    <x v="311"/>
  </r>
  <r>
    <s v="Alpha Innovations"/>
    <x v="3"/>
    <s v="All Ages"/>
    <s v="15 days"/>
    <x v="5"/>
    <n v="0.12"/>
    <n v="17518"/>
    <n v="6.05"/>
    <n v="58"/>
    <n v="302.0344827586207"/>
    <s v="Los Angeles"/>
    <s v="German"/>
    <n v="485"/>
    <n v="3002"/>
    <n v="8"/>
    <s v="Foodies"/>
    <x v="312"/>
  </r>
  <r>
    <s v="Innovate Industries"/>
    <x v="4"/>
    <s v="Men 18-24"/>
    <s v="60 days"/>
    <x v="3"/>
    <n v="0.06"/>
    <n v="8798"/>
    <n v="3.31"/>
    <n v="7"/>
    <n v="1256.8571428571429"/>
    <s v="Chicago"/>
    <s v="Mandarin"/>
    <n v="112"/>
    <n v="4388"/>
    <n v="10"/>
    <s v="Outdoor Adventurers"/>
    <x v="313"/>
  </r>
  <r>
    <s v="NexGen Systems"/>
    <x v="2"/>
    <s v="Men 18-24"/>
    <s v="15 days"/>
    <x v="1"/>
    <n v="0.14000000000000001"/>
    <n v="14672"/>
    <n v="2.1"/>
    <n v="29"/>
    <n v="505.93103448275861"/>
    <s v="New York"/>
    <s v="Mandarin"/>
    <n v="210"/>
    <n v="2847"/>
    <n v="5"/>
    <s v="Outdoor Adventurers"/>
    <x v="314"/>
  </r>
  <r>
    <s v="Innovate Industries"/>
    <x v="4"/>
    <s v="All Ages"/>
    <s v="45 days"/>
    <x v="3"/>
    <n v="0.13"/>
    <n v="16789"/>
    <n v="6.92"/>
    <n v="124"/>
    <n v="135.39516129032259"/>
    <s v="Los Angeles"/>
    <s v="English"/>
    <n v="951"/>
    <n v="2718"/>
    <n v="4"/>
    <s v="Fashionistas"/>
    <x v="315"/>
  </r>
  <r>
    <s v="TechCorp"/>
    <x v="1"/>
    <s v="Women 25-34"/>
    <s v="45 days"/>
    <x v="2"/>
    <n v="7.0000000000000007E-2"/>
    <n v="13241"/>
    <n v="3.22"/>
    <n v="9"/>
    <n v="1471.2222222222222"/>
    <s v="Los Angeles"/>
    <s v="Mandarin"/>
    <n v="129"/>
    <n v="2900"/>
    <n v="8"/>
    <s v="Tech Enthusiasts"/>
    <x v="316"/>
  </r>
  <r>
    <s v="Innovate Industries"/>
    <x v="3"/>
    <s v="Men 25-34"/>
    <s v="15 days"/>
    <x v="3"/>
    <n v="0.1"/>
    <n v="7712"/>
    <n v="5.89"/>
    <n v="74"/>
    <n v="104.21621621621621"/>
    <s v="Los Angeles"/>
    <s v="Mandarin"/>
    <n v="742"/>
    <n v="7047"/>
    <n v="10"/>
    <s v="Fashionistas"/>
    <x v="317"/>
  </r>
  <r>
    <s v="Alpha Innovations"/>
    <x v="0"/>
    <s v="Men 18-24"/>
    <s v="60 days"/>
    <x v="0"/>
    <n v="0.01"/>
    <n v="19433"/>
    <n v="6.57"/>
    <n v="5"/>
    <n v="3886.6"/>
    <s v="Los Angeles"/>
    <s v="Spanish"/>
    <n v="500"/>
    <n v="1669"/>
    <n v="7"/>
    <s v="Foodies"/>
    <x v="318"/>
  </r>
  <r>
    <s v="TechCorp"/>
    <x v="3"/>
    <s v="Women 25-34"/>
    <s v="60 days"/>
    <x v="5"/>
    <n v="0.05"/>
    <n v="14817"/>
    <n v="4"/>
    <n v="24"/>
    <n v="617.375"/>
    <s v="Houston"/>
    <s v="English"/>
    <n v="489"/>
    <n v="8761"/>
    <n v="6"/>
    <s v="Tech Enthusiasts"/>
    <x v="319"/>
  </r>
  <r>
    <s v="DataTech Solutions"/>
    <x v="2"/>
    <s v="All Ages"/>
    <s v="15 days"/>
    <x v="4"/>
    <n v="0.04"/>
    <n v="12764"/>
    <n v="6.62"/>
    <n v="32"/>
    <n v="398.875"/>
    <s v="Chicago"/>
    <s v="French"/>
    <n v="799"/>
    <n v="4210"/>
    <n v="2"/>
    <s v="Health &amp; Wellness"/>
    <x v="320"/>
  </r>
  <r>
    <s v="Innovate Industries"/>
    <x v="0"/>
    <s v="Women 25-34"/>
    <s v="15 days"/>
    <x v="0"/>
    <n v="0.1"/>
    <n v="6372"/>
    <n v="6.86"/>
    <n v="25"/>
    <n v="254.88"/>
    <s v="Chicago"/>
    <s v="English"/>
    <n v="249"/>
    <n v="4750"/>
    <n v="6"/>
    <s v="Health &amp; Wellness"/>
    <x v="321"/>
  </r>
  <r>
    <s v="Innovate Industries"/>
    <x v="4"/>
    <s v="Women 25-34"/>
    <s v="45 days"/>
    <x v="3"/>
    <n v="0.1"/>
    <n v="11189"/>
    <n v="2.8"/>
    <n v="18"/>
    <n v="621.61111111111109"/>
    <s v="Chicago"/>
    <s v="Spanish"/>
    <n v="182"/>
    <n v="7881"/>
    <n v="6"/>
    <s v="Outdoor Adventurers"/>
    <x v="322"/>
  </r>
  <r>
    <s v="Alpha Innovations"/>
    <x v="1"/>
    <s v="All Ages"/>
    <s v="15 days"/>
    <x v="5"/>
    <n v="0.08"/>
    <n v="17373"/>
    <n v="2.06"/>
    <n v="28"/>
    <n v="620.46428571428567"/>
    <s v="Houston"/>
    <s v="French"/>
    <n v="356"/>
    <n v="4655"/>
    <n v="7"/>
    <s v="Tech Enthusiasts"/>
    <x v="323"/>
  </r>
  <r>
    <s v="Innovate Industries"/>
    <x v="2"/>
    <s v="Men 18-24"/>
    <s v="15 days"/>
    <x v="5"/>
    <n v="0.02"/>
    <n v="13035"/>
    <n v="6.84"/>
    <n v="3"/>
    <n v="4345"/>
    <s v="Miami"/>
    <s v="French"/>
    <n v="159"/>
    <n v="3368"/>
    <n v="1"/>
    <s v="Health &amp; Wellness"/>
    <x v="324"/>
  </r>
  <r>
    <s v="NexGen Systems"/>
    <x v="3"/>
    <s v="Men 25-34"/>
    <s v="45 days"/>
    <x v="2"/>
    <n v="0.03"/>
    <n v="19734"/>
    <n v="4.93"/>
    <n v="20"/>
    <n v="986.7"/>
    <s v="Chicago"/>
    <s v="German"/>
    <n v="654"/>
    <n v="3765"/>
    <n v="5"/>
    <s v="Foodies"/>
    <x v="325"/>
  </r>
  <r>
    <s v="DataTech Solutions"/>
    <x v="0"/>
    <s v="Men 18-24"/>
    <s v="60 days"/>
    <x v="3"/>
    <n v="0.09"/>
    <n v="15121"/>
    <n v="7.83"/>
    <n v="53"/>
    <n v="285.30188679245282"/>
    <s v="New York"/>
    <s v="Spanish"/>
    <n v="593"/>
    <n v="3649"/>
    <n v="1"/>
    <s v="Tech Enthusiasts"/>
    <x v="326"/>
  </r>
  <r>
    <s v="DataTech Solutions"/>
    <x v="0"/>
    <s v="Women 25-34"/>
    <s v="15 days"/>
    <x v="4"/>
    <n v="0.09"/>
    <n v="9537"/>
    <n v="2.94"/>
    <n v="48"/>
    <n v="198.6875"/>
    <s v="Chicago"/>
    <s v="German"/>
    <n v="538"/>
    <n v="6063"/>
    <n v="8"/>
    <s v="Foodies"/>
    <x v="327"/>
  </r>
  <r>
    <s v="NexGen Systems"/>
    <x v="1"/>
    <s v="Men 18-24"/>
    <s v="30 days"/>
    <x v="0"/>
    <n v="0.03"/>
    <n v="11729"/>
    <n v="2.44"/>
    <n v="5"/>
    <n v="2345.8000000000002"/>
    <s v="Miami"/>
    <s v="French"/>
    <n v="152"/>
    <n v="1027"/>
    <n v="6"/>
    <s v="Tech Enthusiasts"/>
    <x v="328"/>
  </r>
  <r>
    <s v="TechCorp"/>
    <x v="2"/>
    <s v="Men 25-34"/>
    <s v="15 days"/>
    <x v="5"/>
    <n v="0.04"/>
    <n v="18454"/>
    <n v="5.0999999999999996"/>
    <n v="40"/>
    <n v="461.35"/>
    <s v="Los Angeles"/>
    <s v="Spanish"/>
    <n v="989"/>
    <n v="2711"/>
    <n v="4"/>
    <s v="Tech Enthusiasts"/>
    <x v="329"/>
  </r>
  <r>
    <s v="DataTech Solutions"/>
    <x v="1"/>
    <s v="Men 25-34"/>
    <s v="15 days"/>
    <x v="3"/>
    <n v="0.14000000000000001"/>
    <n v="15515"/>
    <n v="6.91"/>
    <n v="120"/>
    <n v="129.29166666666666"/>
    <s v="Houston"/>
    <s v="English"/>
    <n v="859"/>
    <n v="9300"/>
    <n v="7"/>
    <s v="Foodies"/>
    <x v="330"/>
  </r>
  <r>
    <s v="DataTech Solutions"/>
    <x v="4"/>
    <s v="Women 25-34"/>
    <s v="45 days"/>
    <x v="2"/>
    <n v="0.06"/>
    <n v="9512"/>
    <n v="3.14"/>
    <n v="26"/>
    <n v="365.84615384615387"/>
    <s v="Miami"/>
    <s v="English"/>
    <n v="432"/>
    <n v="1869"/>
    <n v="6"/>
    <s v="Tech Enthusiasts"/>
    <x v="331"/>
  </r>
  <r>
    <s v="Alpha Innovations"/>
    <x v="2"/>
    <s v="Women 35-44"/>
    <s v="15 days"/>
    <x v="2"/>
    <n v="0.09"/>
    <n v="11424"/>
    <n v="7.59"/>
    <n v="80"/>
    <n v="142.80000000000001"/>
    <s v="Houston"/>
    <s v="German"/>
    <n v="888"/>
    <n v="2625"/>
    <n v="2"/>
    <s v="Outdoor Adventurers"/>
    <x v="332"/>
  </r>
  <r>
    <s v="Alpha Innovations"/>
    <x v="2"/>
    <s v="All Ages"/>
    <s v="15 days"/>
    <x v="2"/>
    <n v="0.14000000000000001"/>
    <n v="19067"/>
    <n v="6.04"/>
    <n v="114"/>
    <n v="167.25438596491227"/>
    <s v="New York"/>
    <s v="English"/>
    <n v="817"/>
    <n v="6313"/>
    <n v="9"/>
    <s v="Fashionistas"/>
    <x v="333"/>
  </r>
  <r>
    <s v="NexGen Systems"/>
    <x v="2"/>
    <s v="All Ages"/>
    <s v="60 days"/>
    <x v="1"/>
    <n v="0.11"/>
    <n v="5703"/>
    <n v="6.41"/>
    <n v="89"/>
    <n v="64.078651685393254"/>
    <s v="Miami"/>
    <s v="Mandarin"/>
    <n v="805"/>
    <n v="5393"/>
    <n v="8"/>
    <s v="Outdoor Adventurers"/>
    <x v="334"/>
  </r>
  <r>
    <s v="TechCorp"/>
    <x v="2"/>
    <s v="Women 35-44"/>
    <s v="30 days"/>
    <x v="3"/>
    <n v="0.11"/>
    <n v="12522"/>
    <n v="5.8"/>
    <n v="28"/>
    <n v="447.21428571428572"/>
    <s v="Los Angeles"/>
    <s v="German"/>
    <n v="259"/>
    <n v="5384"/>
    <n v="7"/>
    <s v="Tech Enthusiasts"/>
    <x v="335"/>
  </r>
  <r>
    <s v="TechCorp"/>
    <x v="4"/>
    <s v="Women 25-34"/>
    <s v="15 days"/>
    <x v="5"/>
    <n v="0.03"/>
    <n v="19885"/>
    <n v="3.21"/>
    <n v="19"/>
    <n v="1046.578947368421"/>
    <s v="Chicago"/>
    <s v="Mandarin"/>
    <n v="646"/>
    <n v="5490"/>
    <n v="3"/>
    <s v="Foodies"/>
    <x v="336"/>
  </r>
  <r>
    <s v="TechCorp"/>
    <x v="4"/>
    <s v="All Ages"/>
    <s v="15 days"/>
    <x v="3"/>
    <n v="0.03"/>
    <n v="7712"/>
    <n v="6.28"/>
    <n v="15"/>
    <n v="514.13333333333333"/>
    <s v="Los Angeles"/>
    <s v="Spanish"/>
    <n v="513"/>
    <n v="8430"/>
    <n v="2"/>
    <s v="Fashionistas"/>
    <x v="337"/>
  </r>
  <r>
    <s v="Innovate Industries"/>
    <x v="4"/>
    <s v="Men 18-24"/>
    <s v="30 days"/>
    <x v="4"/>
    <n v="0.01"/>
    <n v="19410"/>
    <n v="5.09"/>
    <n v="5"/>
    <n v="3882"/>
    <s v="New York"/>
    <s v="German"/>
    <n v="495"/>
    <n v="3927"/>
    <n v="8"/>
    <s v="Health &amp; Wellness"/>
    <x v="338"/>
  </r>
  <r>
    <s v="NexGen Systems"/>
    <x v="3"/>
    <s v="All Ages"/>
    <s v="60 days"/>
    <x v="0"/>
    <n v="0.04"/>
    <n v="15937"/>
    <n v="4.1500000000000004"/>
    <n v="15"/>
    <n v="1062.4666666666667"/>
    <s v="Miami"/>
    <s v="English"/>
    <n v="377"/>
    <n v="5681"/>
    <n v="2"/>
    <s v="Health &amp; Wellness"/>
    <x v="339"/>
  </r>
  <r>
    <s v="NexGen Systems"/>
    <x v="0"/>
    <s v="Men 18-24"/>
    <s v="15 days"/>
    <x v="5"/>
    <n v="0.13"/>
    <n v="14574"/>
    <n v="6.13"/>
    <n v="92"/>
    <n v="158.41304347826087"/>
    <s v="Los Angeles"/>
    <s v="Mandarin"/>
    <n v="706"/>
    <n v="3532"/>
    <n v="2"/>
    <s v="Health &amp; Wellness"/>
    <x v="340"/>
  </r>
  <r>
    <s v="DataTech Solutions"/>
    <x v="4"/>
    <s v="Men 25-34"/>
    <s v="15 days"/>
    <x v="3"/>
    <n v="0.09"/>
    <n v="5325"/>
    <n v="2.8"/>
    <n v="34"/>
    <n v="156.61764705882354"/>
    <s v="Houston"/>
    <s v="Mandarin"/>
    <n v="378"/>
    <n v="5514"/>
    <n v="5"/>
    <s v="Fashionistas"/>
    <x v="341"/>
  </r>
  <r>
    <s v="TechCorp"/>
    <x v="1"/>
    <s v="All Ages"/>
    <s v="30 days"/>
    <x v="1"/>
    <n v="0.04"/>
    <n v="6319"/>
    <n v="6.64"/>
    <n v="18"/>
    <n v="351.05555555555554"/>
    <s v="Houston"/>
    <s v="French"/>
    <n v="451"/>
    <n v="3228"/>
    <n v="2"/>
    <s v="Tech Enthusiasts"/>
    <x v="342"/>
  </r>
  <r>
    <s v="Innovate Industries"/>
    <x v="2"/>
    <s v="Men 18-24"/>
    <s v="60 days"/>
    <x v="5"/>
    <n v="0.03"/>
    <n v="8202"/>
    <n v="4.95"/>
    <n v="4"/>
    <n v="2050.5"/>
    <s v="Miami"/>
    <s v="Mandarin"/>
    <n v="138"/>
    <n v="8876"/>
    <n v="9"/>
    <s v="Tech Enthusiasts"/>
    <x v="343"/>
  </r>
  <r>
    <s v="Innovate Industries"/>
    <x v="2"/>
    <s v="Women 35-44"/>
    <s v="30 days"/>
    <x v="5"/>
    <n v="0.06"/>
    <n v="12786"/>
    <n v="7.21"/>
    <n v="24"/>
    <n v="532.75"/>
    <s v="Los Angeles"/>
    <s v="English"/>
    <n v="401"/>
    <n v="1892"/>
    <n v="1"/>
    <s v="Tech Enthusiasts"/>
    <x v="344"/>
  </r>
  <r>
    <s v="Alpha Innovations"/>
    <x v="0"/>
    <s v="Women 25-34"/>
    <s v="30 days"/>
    <x v="2"/>
    <n v="0.11"/>
    <n v="6613"/>
    <n v="4.2"/>
    <n v="93"/>
    <n v="71.107526881720432"/>
    <s v="New York"/>
    <s v="French"/>
    <n v="845"/>
    <n v="4499"/>
    <n v="7"/>
    <s v="Tech Enthusiasts"/>
    <x v="345"/>
  </r>
  <r>
    <s v="DataTech Solutions"/>
    <x v="1"/>
    <s v="All Ages"/>
    <s v="60 days"/>
    <x v="5"/>
    <n v="0.11"/>
    <n v="14835"/>
    <n v="5.22"/>
    <n v="92"/>
    <n v="161.25"/>
    <s v="Miami"/>
    <s v="French"/>
    <n v="833"/>
    <n v="5630"/>
    <n v="7"/>
    <s v="Foodies"/>
    <x v="346"/>
  </r>
  <r>
    <s v="NexGen Systems"/>
    <x v="0"/>
    <s v="Women 25-34"/>
    <s v="45 days"/>
    <x v="0"/>
    <n v="0.13"/>
    <n v="13704"/>
    <n v="2.5"/>
    <n v="100"/>
    <n v="137.04"/>
    <s v="Los Angeles"/>
    <s v="English"/>
    <n v="771"/>
    <n v="6029"/>
    <n v="1"/>
    <s v="Health &amp; Wellness"/>
    <x v="347"/>
  </r>
  <r>
    <s v="Innovate Industries"/>
    <x v="2"/>
    <s v="Women 25-34"/>
    <s v="60 days"/>
    <x v="1"/>
    <n v="0.11"/>
    <n v="19414"/>
    <n v="6.66"/>
    <n v="87"/>
    <n v="223.14942528735631"/>
    <s v="Miami"/>
    <s v="Mandarin"/>
    <n v="790"/>
    <n v="8189"/>
    <n v="2"/>
    <s v="Foodies"/>
    <x v="348"/>
  </r>
  <r>
    <s v="Alpha Innovations"/>
    <x v="1"/>
    <s v="Women 35-44"/>
    <s v="45 days"/>
    <x v="5"/>
    <n v="0.09"/>
    <n v="12716"/>
    <n v="5.25"/>
    <n v="62"/>
    <n v="205.09677419354838"/>
    <s v="Chicago"/>
    <s v="English"/>
    <n v="690"/>
    <n v="8208"/>
    <n v="2"/>
    <s v="Tech Enthusiasts"/>
    <x v="349"/>
  </r>
  <r>
    <s v="TechCorp"/>
    <x v="2"/>
    <s v="Men 25-34"/>
    <s v="15 days"/>
    <x v="2"/>
    <n v="0.02"/>
    <n v="7784"/>
    <n v="3.28"/>
    <n v="3"/>
    <n v="2594.6666666666665"/>
    <s v="Miami"/>
    <s v="Mandarin"/>
    <n v="126"/>
    <n v="1841"/>
    <n v="5"/>
    <s v="Fashionistas"/>
    <x v="350"/>
  </r>
  <r>
    <s v="TechCorp"/>
    <x v="4"/>
    <s v="Women 35-44"/>
    <s v="30 days"/>
    <x v="0"/>
    <n v="0.01"/>
    <n v="8641"/>
    <n v="3.81"/>
    <n v="8"/>
    <n v="1080.125"/>
    <s v="Miami"/>
    <s v="Mandarin"/>
    <n v="842"/>
    <n v="8007"/>
    <n v="2"/>
    <s v="Tech Enthusiasts"/>
    <x v="351"/>
  </r>
  <r>
    <s v="DataTech Solutions"/>
    <x v="0"/>
    <s v="Women 25-34"/>
    <s v="15 days"/>
    <x v="1"/>
    <n v="0.02"/>
    <n v="9398"/>
    <n v="7.18"/>
    <n v="4"/>
    <n v="2349.5"/>
    <s v="Chicago"/>
    <s v="Mandarin"/>
    <n v="180"/>
    <n v="5288"/>
    <n v="9"/>
    <s v="Fashionistas"/>
    <x v="352"/>
  </r>
  <r>
    <s v="TechCorp"/>
    <x v="4"/>
    <s v="Men 25-34"/>
    <s v="30 days"/>
    <x v="3"/>
    <n v="0.13"/>
    <n v="13483"/>
    <n v="7.75"/>
    <n v="51"/>
    <n v="264.37254901960785"/>
    <s v="Chicago"/>
    <s v="German"/>
    <n v="389"/>
    <n v="3824"/>
    <n v="6"/>
    <s v="Foodies"/>
    <x v="353"/>
  </r>
  <r>
    <s v="TechCorp"/>
    <x v="2"/>
    <s v="All Ages"/>
    <s v="45 days"/>
    <x v="3"/>
    <n v="0.04"/>
    <n v="16168"/>
    <n v="4.4400000000000004"/>
    <n v="22"/>
    <n v="734.90909090909088"/>
    <s v="Miami"/>
    <s v="English"/>
    <n v="550"/>
    <n v="4129"/>
    <n v="5"/>
    <s v="Health &amp; Wellness"/>
    <x v="354"/>
  </r>
  <r>
    <s v="TechCorp"/>
    <x v="0"/>
    <s v="All Ages"/>
    <s v="60 days"/>
    <x v="0"/>
    <n v="0.03"/>
    <n v="10759"/>
    <n v="6.03"/>
    <n v="15"/>
    <n v="717.26666666666665"/>
    <s v="Houston"/>
    <s v="English"/>
    <n v="492"/>
    <n v="1012"/>
    <n v="8"/>
    <s v="Tech Enthusiasts"/>
    <x v="355"/>
  </r>
  <r>
    <s v="Alpha Innovations"/>
    <x v="1"/>
    <s v="Women 25-34"/>
    <s v="30 days"/>
    <x v="5"/>
    <n v="0.15"/>
    <n v="5588"/>
    <n v="6.88"/>
    <n v="97"/>
    <n v="57.608247422680414"/>
    <s v="Houston"/>
    <s v="French"/>
    <n v="647"/>
    <n v="8991"/>
    <n v="8"/>
    <s v="Outdoor Adventurers"/>
    <x v="356"/>
  </r>
  <r>
    <s v="NexGen Systems"/>
    <x v="4"/>
    <s v="Women 25-34"/>
    <s v="30 days"/>
    <x v="5"/>
    <n v="0.08"/>
    <n v="5210"/>
    <n v="2.15"/>
    <n v="18"/>
    <n v="289.44444444444446"/>
    <s v="Houston"/>
    <s v="Mandarin"/>
    <n v="225"/>
    <n v="1510"/>
    <n v="1"/>
    <s v="Outdoor Adventurers"/>
    <x v="357"/>
  </r>
  <r>
    <s v="Alpha Innovations"/>
    <x v="2"/>
    <s v="All Ages"/>
    <s v="15 days"/>
    <x v="3"/>
    <n v="0.15"/>
    <n v="14316"/>
    <n v="6.16"/>
    <n v="100"/>
    <n v="143.16"/>
    <s v="Houston"/>
    <s v="German"/>
    <n v="669"/>
    <n v="8408"/>
    <n v="2"/>
    <s v="Health &amp; Wellness"/>
    <x v="358"/>
  </r>
  <r>
    <s v="Alpha Innovations"/>
    <x v="4"/>
    <s v="Women 35-44"/>
    <s v="30 days"/>
    <x v="4"/>
    <n v="0.03"/>
    <n v="15945"/>
    <n v="5.73"/>
    <n v="26"/>
    <n v="613.26923076923072"/>
    <s v="Houston"/>
    <s v="Spanish"/>
    <n v="882"/>
    <n v="7588"/>
    <n v="1"/>
    <s v="Health &amp; Wellness"/>
    <x v="359"/>
  </r>
  <r>
    <s v="NexGen Systems"/>
    <x v="2"/>
    <s v="Women 25-34"/>
    <s v="45 days"/>
    <x v="4"/>
    <n v="0.04"/>
    <n v="11143"/>
    <n v="3.6"/>
    <n v="21"/>
    <n v="530.61904761904759"/>
    <s v="Chicago"/>
    <s v="English"/>
    <n v="533"/>
    <n v="3908"/>
    <n v="5"/>
    <s v="Tech Enthusiasts"/>
    <x v="360"/>
  </r>
  <r>
    <s v="DataTech Solutions"/>
    <x v="2"/>
    <s v="Women 25-34"/>
    <s v="45 days"/>
    <x v="3"/>
    <n v="0.01"/>
    <n v="15422"/>
    <n v="7.95"/>
    <n v="2"/>
    <n v="7711"/>
    <s v="Chicago"/>
    <s v="French"/>
    <n v="185"/>
    <n v="1365"/>
    <n v="9"/>
    <s v="Foodies"/>
    <x v="361"/>
  </r>
  <r>
    <s v="Alpha Innovations"/>
    <x v="1"/>
    <s v="All Ages"/>
    <s v="15 days"/>
    <x v="4"/>
    <n v="0.01"/>
    <n v="11474"/>
    <n v="3.4"/>
    <n v="7"/>
    <n v="1639.1428571428571"/>
    <s v="Los Angeles"/>
    <s v="Mandarin"/>
    <n v="744"/>
    <n v="2284"/>
    <n v="9"/>
    <s v="Foodies"/>
    <x v="362"/>
  </r>
  <r>
    <s v="Alpha Innovations"/>
    <x v="4"/>
    <s v="Men 25-34"/>
    <s v="15 days"/>
    <x v="3"/>
    <n v="0.06"/>
    <n v="10291"/>
    <n v="5.58"/>
    <n v="38"/>
    <n v="270.81578947368422"/>
    <s v="Houston"/>
    <s v="English"/>
    <n v="635"/>
    <n v="1102"/>
    <n v="2"/>
    <s v="Tech Enthusiasts"/>
    <x v="363"/>
  </r>
  <r>
    <s v="Alpha Innovations"/>
    <x v="4"/>
    <s v="Men 25-34"/>
    <s v="60 days"/>
    <x v="1"/>
    <n v="0.06"/>
    <n v="7804"/>
    <n v="4.72"/>
    <n v="42"/>
    <n v="185.8095238095238"/>
    <s v="Chicago"/>
    <s v="Mandarin"/>
    <n v="702"/>
    <n v="7617"/>
    <n v="9"/>
    <s v="Outdoor Adventurers"/>
    <x v="364"/>
  </r>
  <r>
    <s v="NexGen Systems"/>
    <x v="0"/>
    <s v="Women 35-44"/>
    <s v="15 days"/>
    <x v="1"/>
    <n v="0.12"/>
    <n v="19747"/>
    <n v="5.93"/>
    <n v="53"/>
    <n v="372.58490566037733"/>
    <s v="Los Angeles"/>
    <s v="Spanish"/>
    <n v="439"/>
    <n v="4978"/>
    <n v="4"/>
    <s v="Fashionistas"/>
    <x v="0"/>
  </r>
  <r>
    <s v="Innovate Industries"/>
    <x v="1"/>
    <s v="Women 25-34"/>
    <s v="30 days"/>
    <x v="5"/>
    <n v="0.14000000000000001"/>
    <n v="8670"/>
    <n v="2.75"/>
    <n v="24"/>
    <n v="361.25"/>
    <s v="Chicago"/>
    <s v="Mandarin"/>
    <n v="170"/>
    <n v="7293"/>
    <n v="9"/>
    <s v="Foodies"/>
    <x v="1"/>
  </r>
  <r>
    <s v="Alpha Innovations"/>
    <x v="2"/>
    <s v="Men 25-34"/>
    <s v="60 days"/>
    <x v="2"/>
    <n v="0.11"/>
    <n v="18837"/>
    <n v="2.96"/>
    <n v="18"/>
    <n v="1046.5"/>
    <s v="Chicago"/>
    <s v="Mandarin"/>
    <n v="162"/>
    <n v="6801"/>
    <n v="10"/>
    <s v="Foodies"/>
    <x v="2"/>
  </r>
  <r>
    <s v="Alpha Innovations"/>
    <x v="2"/>
    <s v="All Ages"/>
    <s v="15 days"/>
    <x v="1"/>
    <n v="7.0000000000000007E-2"/>
    <n v="12899"/>
    <n v="6.29"/>
    <n v="9"/>
    <n v="1433.2222222222222"/>
    <s v="Los Angeles"/>
    <s v="German"/>
    <n v="133"/>
    <n v="9885"/>
    <n v="8"/>
    <s v="Health &amp; Wellness"/>
    <x v="3"/>
  </r>
  <r>
    <s v="Alpha Innovations"/>
    <x v="3"/>
    <s v="Men 18-24"/>
    <s v="60 days"/>
    <x v="5"/>
    <n v="0.12"/>
    <n v="11906"/>
    <n v="3.2"/>
    <n v="100"/>
    <n v="119.06"/>
    <s v="Miami"/>
    <s v="English"/>
    <n v="836"/>
    <n v="4004"/>
    <n v="6"/>
    <s v="Outdoor Adventurers"/>
    <x v="4"/>
  </r>
  <r>
    <s v="TechCorp"/>
    <x v="3"/>
    <s v="All Ages"/>
    <s v="30 days"/>
    <x v="3"/>
    <n v="0.06"/>
    <n v="17901"/>
    <n v="5.41"/>
    <n v="39"/>
    <n v="459"/>
    <s v="Los Angeles"/>
    <s v="English"/>
    <n v="644"/>
    <n v="7657"/>
    <n v="8"/>
    <s v="Health &amp; Wellness"/>
    <x v="5"/>
  </r>
  <r>
    <s v="NexGen Systems"/>
    <x v="2"/>
    <s v="Men 25-34"/>
    <s v="60 days"/>
    <x v="0"/>
    <n v="0.06"/>
    <n v="17250"/>
    <n v="4"/>
    <n v="52"/>
    <n v="331.73076923076923"/>
    <s v="Los Angeles"/>
    <s v="French"/>
    <n v="873"/>
    <n v="6205"/>
    <n v="4"/>
    <s v="Outdoor Adventurers"/>
    <x v="6"/>
  </r>
  <r>
    <s v="DataTech Solutions"/>
    <x v="0"/>
    <s v="Women 25-34"/>
    <s v="30 days"/>
    <x v="2"/>
    <n v="0.09"/>
    <n v="15876"/>
    <n v="7.48"/>
    <n v="50"/>
    <n v="317.52"/>
    <s v="New York"/>
    <s v="English"/>
    <n v="554"/>
    <n v="7882"/>
    <n v="1"/>
    <s v="Fashionistas"/>
    <x v="7"/>
  </r>
  <r>
    <s v="Alpha Innovations"/>
    <x v="0"/>
    <s v="Men 18-24"/>
    <s v="30 days"/>
    <x v="1"/>
    <n v="0.1"/>
    <n v="18946"/>
    <n v="6.04"/>
    <n v="86"/>
    <n v="220.30232558139534"/>
    <s v="Houston"/>
    <s v="German"/>
    <n v="857"/>
    <n v="4284"/>
    <n v="2"/>
    <s v="Health &amp; Wellness"/>
    <x v="8"/>
  </r>
  <r>
    <s v="TechCorp"/>
    <x v="2"/>
    <s v="All Ages"/>
    <s v="45 days"/>
    <x v="4"/>
    <n v="0.09"/>
    <n v="19681"/>
    <n v="5.71"/>
    <n v="59"/>
    <n v="333.57627118644069"/>
    <s v="Chicago"/>
    <s v="English"/>
    <n v="656"/>
    <n v="8898"/>
    <n v="7"/>
    <s v="Outdoor Adventurers"/>
    <x v="9"/>
  </r>
  <r>
    <s v="Alpha Innovations"/>
    <x v="1"/>
    <s v="All Ages"/>
    <s v="45 days"/>
    <x v="1"/>
    <n v="0.09"/>
    <n v="17983"/>
    <n v="7.45"/>
    <n v="48"/>
    <n v="374.64583333333331"/>
    <s v="Los Angeles"/>
    <s v="English"/>
    <n v="536"/>
    <n v="7963"/>
    <n v="9"/>
    <s v="Tech Enthusiasts"/>
    <x v="10"/>
  </r>
  <r>
    <s v="NexGen Systems"/>
    <x v="1"/>
    <s v="Women 35-44"/>
    <s v="45 days"/>
    <x v="3"/>
    <n v="0.06"/>
    <n v="11841"/>
    <n v="4.29"/>
    <n v="35"/>
    <n v="338.31428571428569"/>
    <s v="Chicago"/>
    <s v="English"/>
    <n v="591"/>
    <n v="7733"/>
    <n v="3"/>
    <s v="Outdoor Adventurers"/>
    <x v="11"/>
  </r>
  <r>
    <s v="TechCorp"/>
    <x v="1"/>
    <s v="Men 25-34"/>
    <s v="30 days"/>
    <x v="0"/>
    <n v="0.1"/>
    <n v="8180"/>
    <n v="5.57"/>
    <n v="37"/>
    <n v="221.08108108108109"/>
    <s v="New York"/>
    <s v="Mandarin"/>
    <n v="365"/>
    <n v="4696"/>
    <n v="3"/>
    <s v="Fashionistas"/>
    <x v="12"/>
  </r>
  <r>
    <s v="DataTech Solutions"/>
    <x v="2"/>
    <s v="Women 35-44"/>
    <s v="30 days"/>
    <x v="1"/>
    <n v="0.01"/>
    <n v="14695"/>
    <n v="7.62"/>
    <n v="4"/>
    <n v="3673.75"/>
    <s v="Los Angeles"/>
    <s v="Spanish"/>
    <n v="423"/>
    <n v="3630"/>
    <n v="3"/>
    <s v="Tech Enthusiasts"/>
    <x v="13"/>
  </r>
  <r>
    <s v="TechCorp"/>
    <x v="3"/>
    <s v="Men 18-24"/>
    <s v="30 days"/>
    <x v="5"/>
    <n v="0.1"/>
    <n v="18526"/>
    <n v="3.33"/>
    <n v="57"/>
    <n v="325.01754385964909"/>
    <s v="Los Angeles"/>
    <s v="French"/>
    <n v="570"/>
    <n v="7929"/>
    <n v="3"/>
    <s v="Outdoor Adventurers"/>
    <x v="14"/>
  </r>
  <r>
    <s v="DataTech Solutions"/>
    <x v="0"/>
    <s v="Men 25-34"/>
    <s v="45 days"/>
    <x v="2"/>
    <n v="0.06"/>
    <n v="7603"/>
    <n v="2.87"/>
    <n v="58"/>
    <n v="131.08620689655172"/>
    <s v="Miami"/>
    <s v="Mandarin"/>
    <n v="967"/>
    <n v="8260"/>
    <n v="10"/>
    <s v="Tech Enthusiasts"/>
    <x v="15"/>
  </r>
  <r>
    <s v="Innovate Industries"/>
    <x v="1"/>
    <s v="Men 18-24"/>
    <s v="60 days"/>
    <x v="3"/>
    <n v="0.13"/>
    <n v="9950"/>
    <n v="5.04"/>
    <n v="95"/>
    <n v="104.73684210526316"/>
    <s v="Chicago"/>
    <s v="Mandarin"/>
    <n v="733"/>
    <n v="6551"/>
    <n v="7"/>
    <s v="Foodies"/>
    <x v="16"/>
  </r>
  <r>
    <s v="Innovate Industries"/>
    <x v="3"/>
    <s v="All Ages"/>
    <s v="60 days"/>
    <x v="3"/>
    <n v="0.12"/>
    <n v="9903"/>
    <n v="3.45"/>
    <n v="96"/>
    <n v="103.15625"/>
    <s v="Miami"/>
    <s v="Mandarin"/>
    <n v="798"/>
    <n v="8732"/>
    <n v="2"/>
    <s v="Fashionistas"/>
    <x v="17"/>
  </r>
  <r>
    <s v="Innovate Industries"/>
    <x v="1"/>
    <s v="All Ages"/>
    <s v="45 days"/>
    <x v="0"/>
    <n v="0.13"/>
    <n v="10605"/>
    <n v="3.65"/>
    <n v="42"/>
    <n v="252.5"/>
    <s v="New York"/>
    <s v="Mandarin"/>
    <n v="323"/>
    <n v="8767"/>
    <n v="7"/>
    <s v="Fashionistas"/>
    <x v="18"/>
  </r>
  <r>
    <s v="Alpha Innovations"/>
    <x v="4"/>
    <s v="Women 25-34"/>
    <s v="45 days"/>
    <x v="2"/>
    <n v="0.02"/>
    <n v="15667"/>
    <n v="7.91"/>
    <n v="18"/>
    <n v="870.38888888888891"/>
    <s v="Los Angeles"/>
    <s v="Spanish"/>
    <n v="877"/>
    <n v="5422"/>
    <n v="9"/>
    <s v="Tech Enthusiasts"/>
    <x v="19"/>
  </r>
  <r>
    <s v="TechCorp"/>
    <x v="4"/>
    <s v="All Ages"/>
    <s v="30 days"/>
    <x v="1"/>
    <n v="0.13"/>
    <n v="16412"/>
    <n v="5.23"/>
    <n v="37"/>
    <n v="443.56756756756755"/>
    <s v="New York"/>
    <s v="English"/>
    <n v="285"/>
    <n v="3007"/>
    <n v="4"/>
    <s v="Outdoor Adventurers"/>
    <x v="20"/>
  </r>
  <r>
    <s v="TechCorp"/>
    <x v="1"/>
    <s v="Men 25-34"/>
    <s v="60 days"/>
    <x v="3"/>
    <n v="0.14000000000000001"/>
    <n v="17362"/>
    <n v="5.55"/>
    <n v="125"/>
    <n v="138.89599999999999"/>
    <s v="Chicago"/>
    <s v="English"/>
    <n v="892"/>
    <n v="6018"/>
    <n v="3"/>
    <s v="Tech Enthusiasts"/>
    <x v="21"/>
  </r>
  <r>
    <s v="Innovate Industries"/>
    <x v="3"/>
    <s v="Women 35-44"/>
    <s v="15 days"/>
    <x v="4"/>
    <n v="0.14000000000000001"/>
    <n v="12196"/>
    <n v="3.31"/>
    <n v="14"/>
    <n v="871.14285714285711"/>
    <s v="Miami"/>
    <s v="Spanish"/>
    <n v="103"/>
    <n v="2674"/>
    <n v="1"/>
    <s v="Outdoor Adventurers"/>
    <x v="22"/>
  </r>
  <r>
    <s v="TechCorp"/>
    <x v="3"/>
    <s v="Men 25-34"/>
    <s v="30 days"/>
    <x v="3"/>
    <n v="0.13"/>
    <n v="6683"/>
    <n v="6.03"/>
    <n v="86"/>
    <n v="77.70930232558139"/>
    <s v="Chicago"/>
    <s v="Spanish"/>
    <n v="665"/>
    <n v="9158"/>
    <n v="5"/>
    <s v="Fashionistas"/>
    <x v="23"/>
  </r>
  <r>
    <s v="DataTech Solutions"/>
    <x v="0"/>
    <s v="Men 25-34"/>
    <s v="30 days"/>
    <x v="4"/>
    <n v="0.1"/>
    <n v="8106"/>
    <n v="6.21"/>
    <n v="68"/>
    <n v="119.20588235294117"/>
    <s v="New York"/>
    <s v="English"/>
    <n v="683"/>
    <n v="1519"/>
    <n v="7"/>
    <s v="Tech Enthusiasts"/>
    <x v="24"/>
  </r>
  <r>
    <s v="DataTech Solutions"/>
    <x v="2"/>
    <s v="Men 18-24"/>
    <s v="60 days"/>
    <x v="4"/>
    <n v="0.06"/>
    <n v="15988"/>
    <n v="4.43"/>
    <n v="42"/>
    <n v="380.66666666666669"/>
    <s v="Chicago"/>
    <s v="German"/>
    <n v="696"/>
    <n v="7205"/>
    <n v="3"/>
    <s v="Health &amp; Wellness"/>
    <x v="25"/>
  </r>
  <r>
    <s v="NexGen Systems"/>
    <x v="4"/>
    <s v="Women 35-44"/>
    <s v="15 days"/>
    <x v="5"/>
    <n v="0.14000000000000001"/>
    <n v="9701"/>
    <n v="5.1100000000000003"/>
    <n v="32"/>
    <n v="303.15625"/>
    <s v="Chicago"/>
    <s v="Mandarin"/>
    <n v="228"/>
    <n v="1514"/>
    <n v="1"/>
    <s v="Outdoor Adventurers"/>
    <x v="26"/>
  </r>
  <r>
    <s v="TechCorp"/>
    <x v="2"/>
    <s v="Women 35-44"/>
    <s v="30 days"/>
    <x v="0"/>
    <n v="0.13"/>
    <n v="6145"/>
    <n v="6.94"/>
    <n v="53"/>
    <n v="115.94339622641509"/>
    <s v="Chicago"/>
    <s v="English"/>
    <n v="405"/>
    <n v="2433"/>
    <n v="8"/>
    <s v="Tech Enthusiasts"/>
    <x v="27"/>
  </r>
  <r>
    <s v="DataTech Solutions"/>
    <x v="1"/>
    <s v="Women 35-44"/>
    <s v="15 days"/>
    <x v="0"/>
    <n v="0.02"/>
    <n v="5311"/>
    <n v="5.18"/>
    <n v="7"/>
    <n v="758.71428571428567"/>
    <s v="New York"/>
    <s v="French"/>
    <n v="340"/>
    <n v="1295"/>
    <n v="1"/>
    <s v="Health &amp; Wellness"/>
    <x v="28"/>
  </r>
  <r>
    <s v="Innovate Industries"/>
    <x v="3"/>
    <s v="Women 35-44"/>
    <s v="30 days"/>
    <x v="2"/>
    <n v="0.05"/>
    <n v="10286"/>
    <n v="6.38"/>
    <n v="41"/>
    <n v="250.8780487804878"/>
    <s v="Los Angeles"/>
    <s v="English"/>
    <n v="811"/>
    <n v="1312"/>
    <n v="7"/>
    <s v="Foodies"/>
    <x v="29"/>
  </r>
  <r>
    <s v="Alpha Innovations"/>
    <x v="0"/>
    <s v="Women 35-44"/>
    <s v="45 days"/>
    <x v="1"/>
    <n v="0.03"/>
    <n v="19666"/>
    <n v="2.39"/>
    <n v="29"/>
    <n v="678.13793103448279"/>
    <s v="Chicago"/>
    <s v="Mandarin"/>
    <n v="959"/>
    <n v="7904"/>
    <n v="2"/>
    <s v="Fashionistas"/>
    <x v="30"/>
  </r>
  <r>
    <s v="TechCorp"/>
    <x v="2"/>
    <s v="All Ages"/>
    <s v="60 days"/>
    <x v="0"/>
    <n v="0.12"/>
    <n v="8858"/>
    <n v="4.93"/>
    <n v="32"/>
    <n v="276.8125"/>
    <s v="New York"/>
    <s v="French"/>
    <n v="267"/>
    <n v="5662"/>
    <n v="2"/>
    <s v="Health &amp; Wellness"/>
    <x v="31"/>
  </r>
  <r>
    <s v="NexGen Systems"/>
    <x v="0"/>
    <s v="Women 35-44"/>
    <s v="45 days"/>
    <x v="3"/>
    <n v="0.14000000000000001"/>
    <n v="8636"/>
    <n v="6.41"/>
    <n v="108"/>
    <n v="79.962962962962962"/>
    <s v="Los Angeles"/>
    <s v="Spanish"/>
    <n v="769"/>
    <n v="8322"/>
    <n v="7"/>
    <s v="Health &amp; Wellness"/>
    <x v="32"/>
  </r>
  <r>
    <s v="Innovate Industries"/>
    <x v="3"/>
    <s v="Men 25-34"/>
    <s v="60 days"/>
    <x v="4"/>
    <n v="0.09"/>
    <n v="14439"/>
    <n v="4.34"/>
    <n v="87"/>
    <n v="165.9655172413793"/>
    <s v="Houston"/>
    <s v="French"/>
    <n v="965"/>
    <n v="5391"/>
    <n v="7"/>
    <s v="Foodies"/>
    <x v="33"/>
  </r>
  <r>
    <s v="Alpha Innovations"/>
    <x v="3"/>
    <s v="Women 35-44"/>
    <s v="30 days"/>
    <x v="4"/>
    <n v="0.01"/>
    <n v="6745"/>
    <n v="6.81"/>
    <n v="9"/>
    <n v="749.44444444444446"/>
    <s v="Los Angeles"/>
    <s v="German"/>
    <n v="877"/>
    <n v="6718"/>
    <n v="7"/>
    <s v="Tech Enthusiasts"/>
    <x v="34"/>
  </r>
  <r>
    <s v="NexGen Systems"/>
    <x v="0"/>
    <s v="Women 25-34"/>
    <s v="60 days"/>
    <x v="4"/>
    <n v="0.11"/>
    <n v="14014"/>
    <n v="4.1900000000000004"/>
    <n v="49"/>
    <n v="286"/>
    <s v="Chicago"/>
    <s v="French"/>
    <n v="441"/>
    <n v="8951"/>
    <n v="4"/>
    <s v="Foodies"/>
    <x v="35"/>
  </r>
  <r>
    <s v="Innovate Industries"/>
    <x v="4"/>
    <s v="Women 25-34"/>
    <s v="30 days"/>
    <x v="5"/>
    <n v="0.12"/>
    <n v="5130"/>
    <n v="2.9"/>
    <n v="19"/>
    <n v="270"/>
    <s v="Chicago"/>
    <s v="French"/>
    <n v="162"/>
    <n v="9423"/>
    <n v="8"/>
    <s v="Foodies"/>
    <x v="36"/>
  </r>
  <r>
    <s v="NexGen Systems"/>
    <x v="0"/>
    <s v="Men 18-24"/>
    <s v="45 days"/>
    <x v="5"/>
    <n v="0.08"/>
    <n v="9055"/>
    <n v="7.52"/>
    <n v="51"/>
    <n v="177.54901960784315"/>
    <s v="New York"/>
    <s v="French"/>
    <n v="636"/>
    <n v="6075"/>
    <n v="6"/>
    <s v="Foodies"/>
    <x v="37"/>
  </r>
  <r>
    <s v="NexGen Systems"/>
    <x v="0"/>
    <s v="All Ages"/>
    <s v="15 days"/>
    <x v="2"/>
    <n v="0.01"/>
    <n v="13589"/>
    <n v="2.76"/>
    <n v="1"/>
    <n v="13589"/>
    <s v="Chicago"/>
    <s v="Mandarin"/>
    <n v="114"/>
    <n v="2665"/>
    <n v="4"/>
    <s v="Health &amp; Wellness"/>
    <x v="38"/>
  </r>
  <r>
    <s v="NexGen Systems"/>
    <x v="0"/>
    <s v="Men 25-34"/>
    <s v="30 days"/>
    <x v="2"/>
    <n v="0.1"/>
    <n v="16454"/>
    <n v="7.78"/>
    <n v="85"/>
    <n v="193.57647058823528"/>
    <s v="Los Angeles"/>
    <s v="English"/>
    <n v="852"/>
    <n v="7029"/>
    <n v="4"/>
    <s v="Outdoor Adventurers"/>
    <x v="39"/>
  </r>
  <r>
    <s v="TechCorp"/>
    <x v="2"/>
    <s v="All Ages"/>
    <s v="45 days"/>
    <x v="5"/>
    <n v="7.0000000000000007E-2"/>
    <n v="12353"/>
    <n v="5.39"/>
    <n v="38"/>
    <n v="325.07894736842104"/>
    <s v="Houston"/>
    <s v="French"/>
    <n v="548"/>
    <n v="3605"/>
    <n v="6"/>
    <s v="Outdoor Adventurers"/>
    <x v="40"/>
  </r>
  <r>
    <s v="Alpha Innovations"/>
    <x v="3"/>
    <s v="Women 25-34"/>
    <s v="30 days"/>
    <x v="3"/>
    <n v="0.13"/>
    <n v="5623"/>
    <n v="2.09"/>
    <n v="104"/>
    <n v="54.067307692307693"/>
    <s v="Chicago"/>
    <s v="German"/>
    <n v="799"/>
    <n v="5053"/>
    <n v="4"/>
    <s v="Foodies"/>
    <x v="41"/>
  </r>
  <r>
    <s v="TechCorp"/>
    <x v="0"/>
    <s v="Women 25-34"/>
    <s v="60 days"/>
    <x v="3"/>
    <n v="0.14000000000000001"/>
    <n v="5898"/>
    <n v="6.07"/>
    <n v="23"/>
    <n v="256.43478260869563"/>
    <s v="New York"/>
    <s v="Spanish"/>
    <n v="164"/>
    <n v="3283"/>
    <n v="5"/>
    <s v="Tech Enthusiasts"/>
    <x v="42"/>
  </r>
  <r>
    <s v="Alpha Innovations"/>
    <x v="3"/>
    <s v="Women 25-34"/>
    <s v="45 days"/>
    <x v="0"/>
    <n v="0.13"/>
    <n v="15066"/>
    <n v="2.4500000000000002"/>
    <n v="42"/>
    <n v="358.71428571428572"/>
    <s v="Chicago"/>
    <s v="German"/>
    <n v="324"/>
    <n v="8498"/>
    <n v="1"/>
    <s v="Foodies"/>
    <x v="43"/>
  </r>
  <r>
    <s v="DataTech Solutions"/>
    <x v="3"/>
    <s v="All Ages"/>
    <s v="60 days"/>
    <x v="0"/>
    <n v="0.06"/>
    <n v="7647"/>
    <n v="2.0099999999999998"/>
    <n v="8"/>
    <n v="955.875"/>
    <s v="Houston"/>
    <s v="French"/>
    <n v="133"/>
    <n v="6877"/>
    <n v="3"/>
    <s v="Health &amp; Wellness"/>
    <x v="44"/>
  </r>
  <r>
    <s v="Alpha Innovations"/>
    <x v="4"/>
    <s v="Men 25-34"/>
    <s v="15 days"/>
    <x v="2"/>
    <n v="0.14000000000000001"/>
    <n v="14218"/>
    <n v="5.03"/>
    <n v="135"/>
    <n v="105.31851851851852"/>
    <s v="Miami"/>
    <s v="German"/>
    <n v="961"/>
    <n v="1402"/>
    <n v="8"/>
    <s v="Fashionistas"/>
    <x v="45"/>
  </r>
  <r>
    <s v="NexGen Systems"/>
    <x v="0"/>
    <s v="Men 18-24"/>
    <s v="15 days"/>
    <x v="1"/>
    <n v="0.1"/>
    <n v="16258"/>
    <n v="2.48"/>
    <n v="67"/>
    <n v="242.65671641791045"/>
    <s v="Chicago"/>
    <s v="Spanish"/>
    <n v="674"/>
    <n v="6943"/>
    <n v="4"/>
    <s v="Foodies"/>
    <x v="46"/>
  </r>
  <r>
    <s v="NexGen Systems"/>
    <x v="3"/>
    <s v="Men 18-24"/>
    <s v="15 days"/>
    <x v="5"/>
    <n v="0.06"/>
    <n v="17604"/>
    <n v="3.69"/>
    <n v="37"/>
    <n v="475.7837837837838"/>
    <s v="Houston"/>
    <s v="Mandarin"/>
    <n v="612"/>
    <n v="7012"/>
    <n v="2"/>
    <s v="Health &amp; Wellness"/>
    <x v="47"/>
  </r>
  <r>
    <s v="DataTech Solutions"/>
    <x v="3"/>
    <s v="Men 18-24"/>
    <s v="45 days"/>
    <x v="4"/>
    <n v="0.06"/>
    <n v="15322"/>
    <n v="5.86"/>
    <n v="48"/>
    <n v="319.20833333333331"/>
    <s v="New York"/>
    <s v="French"/>
    <n v="802"/>
    <n v="1480"/>
    <n v="1"/>
    <s v="Foodies"/>
    <x v="48"/>
  </r>
  <r>
    <s v="Innovate Industries"/>
    <x v="4"/>
    <s v="Men 18-24"/>
    <s v="30 days"/>
    <x v="3"/>
    <n v="0.11"/>
    <n v="7590"/>
    <n v="3.35"/>
    <n v="35"/>
    <n v="216.85714285714286"/>
    <s v="Los Angeles"/>
    <s v="Mandarin"/>
    <n v="317"/>
    <n v="7877"/>
    <n v="2"/>
    <s v="Fashionistas"/>
    <x v="49"/>
  </r>
  <r>
    <s v="Alpha Innovations"/>
    <x v="2"/>
    <s v="Men 18-24"/>
    <s v="30 days"/>
    <x v="1"/>
    <n v="0.12"/>
    <n v="5066"/>
    <n v="3.58"/>
    <n v="76"/>
    <n v="66.65789473684211"/>
    <s v="Houston"/>
    <s v="Spanish"/>
    <n v="633"/>
    <n v="5800"/>
    <n v="1"/>
    <s v="Fashionistas"/>
    <x v="50"/>
  </r>
  <r>
    <s v="Innovate Industries"/>
    <x v="2"/>
    <s v="Women 35-44"/>
    <s v="45 days"/>
    <x v="2"/>
    <n v="0.01"/>
    <n v="6758"/>
    <n v="3.06"/>
    <n v="10"/>
    <n v="675.8"/>
    <s v="Chicago"/>
    <s v="Spanish"/>
    <n v="997"/>
    <n v="3862"/>
    <n v="6"/>
    <s v="Health &amp; Wellness"/>
    <x v="51"/>
  </r>
  <r>
    <s v="Innovate Industries"/>
    <x v="2"/>
    <s v="All Ages"/>
    <s v="45 days"/>
    <x v="1"/>
    <n v="7.0000000000000007E-2"/>
    <n v="14002"/>
    <n v="2.63"/>
    <n v="36"/>
    <n v="388.94444444444446"/>
    <s v="New York"/>
    <s v="Spanish"/>
    <n v="511"/>
    <n v="5014"/>
    <n v="8"/>
    <s v="Foodies"/>
    <x v="52"/>
  </r>
  <r>
    <s v="TechCorp"/>
    <x v="3"/>
    <s v="Men 25-34"/>
    <s v="30 days"/>
    <x v="4"/>
    <n v="7.0000000000000007E-2"/>
    <n v="9243"/>
    <n v="2.2799999999999998"/>
    <n v="58"/>
    <n v="159.36206896551724"/>
    <s v="Miami"/>
    <s v="Spanish"/>
    <n v="828"/>
    <n v="1152"/>
    <n v="3"/>
    <s v="Fashionistas"/>
    <x v="53"/>
  </r>
  <r>
    <s v="DataTech Solutions"/>
    <x v="4"/>
    <s v="Men 18-24"/>
    <s v="30 days"/>
    <x v="0"/>
    <n v="0.09"/>
    <n v="17910"/>
    <n v="3.77"/>
    <n v="30"/>
    <n v="597"/>
    <s v="Chicago"/>
    <s v="French"/>
    <n v="335"/>
    <n v="6561"/>
    <n v="9"/>
    <s v="Outdoor Adventurers"/>
    <x v="54"/>
  </r>
  <r>
    <s v="Alpha Innovations"/>
    <x v="3"/>
    <s v="Women 25-34"/>
    <s v="30 days"/>
    <x v="5"/>
    <n v="0.1"/>
    <n v="13011"/>
    <n v="4.8600000000000003"/>
    <n v="66"/>
    <n v="197.13636363636363"/>
    <s v="Miami"/>
    <s v="Spanish"/>
    <n v="656"/>
    <n v="4380"/>
    <n v="3"/>
    <s v="Outdoor Adventurers"/>
    <x v="55"/>
  </r>
  <r>
    <s v="TechCorp"/>
    <x v="1"/>
    <s v="All Ages"/>
    <s v="15 days"/>
    <x v="3"/>
    <n v="0.01"/>
    <n v="9606"/>
    <n v="2.3199999999999998"/>
    <n v="4"/>
    <n v="2401.5"/>
    <s v="Los Angeles"/>
    <s v="German"/>
    <n v="426"/>
    <n v="9031"/>
    <n v="7"/>
    <s v="Foodies"/>
    <x v="56"/>
  </r>
  <r>
    <s v="TechCorp"/>
    <x v="0"/>
    <s v="Women 25-34"/>
    <s v="15 days"/>
    <x v="5"/>
    <n v="7.0000000000000007E-2"/>
    <n v="9410"/>
    <n v="7.45"/>
    <n v="14"/>
    <n v="672.14285714285711"/>
    <s v="New York"/>
    <s v="French"/>
    <n v="201"/>
    <n v="8959"/>
    <n v="5"/>
    <s v="Tech Enthusiasts"/>
    <x v="57"/>
  </r>
  <r>
    <s v="NexGen Systems"/>
    <x v="2"/>
    <s v="Men 18-24"/>
    <s v="45 days"/>
    <x v="2"/>
    <n v="0.06"/>
    <n v="16720"/>
    <n v="7.8"/>
    <n v="35"/>
    <n v="477.71428571428572"/>
    <s v="Los Angeles"/>
    <s v="Spanish"/>
    <n v="585"/>
    <n v="8385"/>
    <n v="9"/>
    <s v="Foodies"/>
    <x v="58"/>
  </r>
  <r>
    <s v="Alpha Innovations"/>
    <x v="4"/>
    <s v="All Ages"/>
    <s v="15 days"/>
    <x v="5"/>
    <n v="7.0000000000000007E-2"/>
    <n v="7970"/>
    <n v="3.73"/>
    <n v="52"/>
    <n v="153.26923076923077"/>
    <s v="Houston"/>
    <s v="German"/>
    <n v="743"/>
    <n v="4846"/>
    <n v="8"/>
    <s v="Foodies"/>
    <x v="59"/>
  </r>
  <r>
    <s v="Innovate Industries"/>
    <x v="3"/>
    <s v="Women 25-34"/>
    <s v="30 days"/>
    <x v="4"/>
    <n v="0.04"/>
    <n v="9175"/>
    <n v="7.55"/>
    <n v="31"/>
    <n v="295.96774193548384"/>
    <s v="New York"/>
    <s v="French"/>
    <n v="763"/>
    <n v="1444"/>
    <n v="6"/>
    <s v="Health &amp; Wellness"/>
    <x v="60"/>
  </r>
  <r>
    <s v="TechCorp"/>
    <x v="1"/>
    <s v="Men 25-34"/>
    <s v="45 days"/>
    <x v="1"/>
    <n v="0.06"/>
    <n v="10230"/>
    <n v="6.08"/>
    <n v="25"/>
    <n v="409.2"/>
    <s v="Houston"/>
    <s v="Spanish"/>
    <n v="422"/>
    <n v="6425"/>
    <n v="2"/>
    <s v="Foodies"/>
    <x v="61"/>
  </r>
  <r>
    <s v="NexGen Systems"/>
    <x v="2"/>
    <s v="Women 25-34"/>
    <s v="45 days"/>
    <x v="1"/>
    <n v="0.09"/>
    <n v="6760"/>
    <n v="2.46"/>
    <n v="82"/>
    <n v="82.439024390243901"/>
    <s v="Chicago"/>
    <s v="German"/>
    <n v="914"/>
    <n v="2517"/>
    <n v="1"/>
    <s v="Foodies"/>
    <x v="62"/>
  </r>
  <r>
    <s v="DataTech Solutions"/>
    <x v="1"/>
    <s v="Men 18-24"/>
    <s v="30 days"/>
    <x v="5"/>
    <n v="0.15"/>
    <n v="7792"/>
    <n v="2.0299999999999998"/>
    <n v="91"/>
    <n v="85.626373626373621"/>
    <s v="Miami"/>
    <s v="French"/>
    <n v="605"/>
    <n v="1005"/>
    <n v="10"/>
    <s v="Foodies"/>
    <x v="63"/>
  </r>
  <r>
    <s v="Innovate Industries"/>
    <x v="1"/>
    <s v="Women 35-44"/>
    <s v="15 days"/>
    <x v="1"/>
    <n v="0.14000000000000001"/>
    <n v="13203"/>
    <n v="7.36"/>
    <n v="66"/>
    <n v="200.04545454545453"/>
    <s v="Houston"/>
    <s v="English"/>
    <n v="474"/>
    <n v="6687"/>
    <n v="9"/>
    <s v="Health &amp; Wellness"/>
    <x v="64"/>
  </r>
  <r>
    <s v="NexGen Systems"/>
    <x v="4"/>
    <s v="All Ages"/>
    <s v="15 days"/>
    <x v="3"/>
    <n v="0.1"/>
    <n v="14520"/>
    <n v="2.64"/>
    <n v="56"/>
    <n v="259.28571428571428"/>
    <s v="Houston"/>
    <s v="French"/>
    <n v="557"/>
    <n v="8647"/>
    <n v="9"/>
    <s v="Tech Enthusiasts"/>
    <x v="65"/>
  </r>
  <r>
    <s v="Alpha Innovations"/>
    <x v="0"/>
    <s v="All Ages"/>
    <s v="30 days"/>
    <x v="0"/>
    <n v="0.09"/>
    <n v="19486"/>
    <n v="6.73"/>
    <n v="31"/>
    <n v="628.58064516129036"/>
    <s v="Chicago"/>
    <s v="German"/>
    <n v="343"/>
    <n v="2130"/>
    <n v="4"/>
    <s v="Foodies"/>
    <x v="66"/>
  </r>
  <r>
    <s v="DataTech Solutions"/>
    <x v="3"/>
    <s v="Men 18-24"/>
    <s v="15 days"/>
    <x v="3"/>
    <n v="0.1"/>
    <n v="10561"/>
    <n v="5.86"/>
    <n v="57"/>
    <n v="185.28070175438597"/>
    <s v="Los Angeles"/>
    <s v="French"/>
    <n v="565"/>
    <n v="1398"/>
    <n v="3"/>
    <s v="Tech Enthusiasts"/>
    <x v="67"/>
  </r>
  <r>
    <s v="Innovate Industries"/>
    <x v="0"/>
    <s v="Men 25-34"/>
    <s v="45 days"/>
    <x v="4"/>
    <n v="0.13"/>
    <n v="12935"/>
    <n v="6.62"/>
    <n v="86"/>
    <n v="150.40697674418604"/>
    <s v="New York"/>
    <s v="German"/>
    <n v="665"/>
    <n v="9883"/>
    <n v="9"/>
    <s v="Fashionistas"/>
    <x v="68"/>
  </r>
  <r>
    <s v="DataTech Solutions"/>
    <x v="3"/>
    <s v="All Ages"/>
    <s v="30 days"/>
    <x v="0"/>
    <n v="0.04"/>
    <n v="8728"/>
    <n v="2.41"/>
    <n v="26"/>
    <n v="335.69230769230768"/>
    <s v="New York"/>
    <s v="Mandarin"/>
    <n v="639"/>
    <n v="1807"/>
    <n v="5"/>
    <s v="Health &amp; Wellness"/>
    <x v="69"/>
  </r>
  <r>
    <s v="NexGen Systems"/>
    <x v="0"/>
    <s v="Women 25-34"/>
    <s v="60 days"/>
    <x v="1"/>
    <n v="0.02"/>
    <n v="13771"/>
    <n v="6.94"/>
    <n v="11"/>
    <n v="1251.909090909091"/>
    <s v="Houston"/>
    <s v="English"/>
    <n v="565"/>
    <n v="1421"/>
    <n v="8"/>
    <s v="Health &amp; Wellness"/>
    <x v="70"/>
  </r>
  <r>
    <s v="TechCorp"/>
    <x v="3"/>
    <s v="Women 35-44"/>
    <s v="60 days"/>
    <x v="3"/>
    <n v="0.02"/>
    <n v="8932"/>
    <n v="6.17"/>
    <n v="13"/>
    <n v="687.07692307692309"/>
    <s v="Chicago"/>
    <s v="Mandarin"/>
    <n v="654"/>
    <n v="6649"/>
    <n v="1"/>
    <s v="Tech Enthusiasts"/>
    <x v="71"/>
  </r>
  <r>
    <s v="DataTech Solutions"/>
    <x v="4"/>
    <s v="Women 25-34"/>
    <s v="15 days"/>
    <x v="3"/>
    <n v="0.08"/>
    <n v="5245"/>
    <n v="4.6399999999999997"/>
    <n v="17"/>
    <n v="308.52941176470586"/>
    <s v="Houston"/>
    <s v="German"/>
    <n v="211"/>
    <n v="4774"/>
    <n v="2"/>
    <s v="Foodies"/>
    <x v="72"/>
  </r>
  <r>
    <s v="DataTech Solutions"/>
    <x v="2"/>
    <s v="Women 35-44"/>
    <s v="60 days"/>
    <x v="1"/>
    <n v="0.09"/>
    <n v="19378"/>
    <n v="5.31"/>
    <n v="82"/>
    <n v="236.3170731707317"/>
    <s v="New York"/>
    <s v="English"/>
    <n v="908"/>
    <n v="1071"/>
    <n v="2"/>
    <s v="Foodies"/>
    <x v="73"/>
  </r>
  <r>
    <s v="Innovate Industries"/>
    <x v="3"/>
    <s v="Men 18-24"/>
    <s v="30 days"/>
    <x v="4"/>
    <n v="0.04"/>
    <n v="6450"/>
    <n v="3.16"/>
    <n v="33"/>
    <n v="195.45454545454547"/>
    <s v="Miami"/>
    <s v="German"/>
    <n v="813"/>
    <n v="9261"/>
    <n v="4"/>
    <s v="Health &amp; Wellness"/>
    <x v="74"/>
  </r>
  <r>
    <s v="TechCorp"/>
    <x v="4"/>
    <s v="Women 25-34"/>
    <s v="60 days"/>
    <x v="2"/>
    <n v="0.1"/>
    <n v="10039"/>
    <n v="6.64"/>
    <n v="63"/>
    <n v="159.34920634920636"/>
    <s v="Chicago"/>
    <s v="Spanish"/>
    <n v="626"/>
    <n v="9332"/>
    <n v="5"/>
    <s v="Tech Enthusiasts"/>
    <x v="75"/>
  </r>
  <r>
    <s v="Innovate Industries"/>
    <x v="0"/>
    <s v="Women 35-44"/>
    <s v="60 days"/>
    <x v="1"/>
    <n v="0.03"/>
    <n v="18230"/>
    <n v="6.02"/>
    <n v="4"/>
    <n v="4557.5"/>
    <s v="Chicago"/>
    <s v="German"/>
    <n v="149"/>
    <n v="8401"/>
    <n v="10"/>
    <s v="Tech Enthusiasts"/>
    <x v="76"/>
  </r>
  <r>
    <s v="TechCorp"/>
    <x v="0"/>
    <s v="Women 25-34"/>
    <s v="30 days"/>
    <x v="3"/>
    <n v="0.14000000000000001"/>
    <n v="10575"/>
    <n v="7.14"/>
    <n v="136"/>
    <n v="77.757352941176464"/>
    <s v="Houston"/>
    <s v="Mandarin"/>
    <n v="969"/>
    <n v="6755"/>
    <n v="9"/>
    <s v="Foodies"/>
    <x v="77"/>
  </r>
  <r>
    <s v="Alpha Innovations"/>
    <x v="1"/>
    <s v="Women 25-34"/>
    <s v="45 days"/>
    <x v="3"/>
    <n v="0.01"/>
    <n v="13591"/>
    <n v="4.6900000000000004"/>
    <n v="2"/>
    <n v="6795.5"/>
    <s v="Miami"/>
    <s v="English"/>
    <n v="215"/>
    <n v="4760"/>
    <n v="9"/>
    <s v="Tech Enthusiasts"/>
    <x v="78"/>
  </r>
  <r>
    <s v="TechCorp"/>
    <x v="2"/>
    <s v="Men 18-24"/>
    <s v="45 days"/>
    <x v="4"/>
    <n v="0.08"/>
    <n v="19347"/>
    <n v="7.54"/>
    <n v="66"/>
    <n v="293.13636363636363"/>
    <s v="New York"/>
    <s v="English"/>
    <n v="827"/>
    <n v="2318"/>
    <n v="10"/>
    <s v="Fashionistas"/>
    <x v="79"/>
  </r>
  <r>
    <s v="Innovate Industries"/>
    <x v="1"/>
    <s v="All Ages"/>
    <s v="45 days"/>
    <x v="0"/>
    <n v="0.04"/>
    <n v="10474"/>
    <n v="5.46"/>
    <n v="29"/>
    <n v="361.17241379310343"/>
    <s v="Los Angeles"/>
    <s v="English"/>
    <n v="713"/>
    <n v="9379"/>
    <n v="7"/>
    <s v="Foodies"/>
    <x v="80"/>
  </r>
  <r>
    <s v="NexGen Systems"/>
    <x v="1"/>
    <s v="All Ages"/>
    <s v="30 days"/>
    <x v="0"/>
    <n v="7.0000000000000007E-2"/>
    <n v="11769"/>
    <n v="2.52"/>
    <n v="30"/>
    <n v="392.3"/>
    <s v="Los Angeles"/>
    <s v="Mandarin"/>
    <n v="428"/>
    <n v="7650"/>
    <n v="8"/>
    <s v="Outdoor Adventurers"/>
    <x v="81"/>
  </r>
  <r>
    <s v="TechCorp"/>
    <x v="1"/>
    <s v="Men 18-24"/>
    <s v="15 days"/>
    <x v="2"/>
    <n v="0.03"/>
    <n v="17431"/>
    <n v="2.06"/>
    <n v="26"/>
    <n v="670.42307692307691"/>
    <s v="Chicago"/>
    <s v="Mandarin"/>
    <n v="879"/>
    <n v="4981"/>
    <n v="2"/>
    <s v="Foodies"/>
    <x v="82"/>
  </r>
  <r>
    <s v="Alpha Innovations"/>
    <x v="3"/>
    <s v="Men 25-34"/>
    <s v="30 days"/>
    <x v="4"/>
    <n v="0.13"/>
    <n v="12814"/>
    <n v="2.68"/>
    <n v="101"/>
    <n v="126.87128712871286"/>
    <s v="Houston"/>
    <s v="Spanish"/>
    <n v="777"/>
    <n v="3336"/>
    <n v="8"/>
    <s v="Tech Enthusiasts"/>
    <x v="83"/>
  </r>
  <r>
    <s v="NexGen Systems"/>
    <x v="3"/>
    <s v="Men 25-34"/>
    <s v="45 days"/>
    <x v="4"/>
    <n v="0.02"/>
    <n v="12661"/>
    <n v="3.58"/>
    <n v="15"/>
    <n v="844.06666666666672"/>
    <s v="Houston"/>
    <s v="German"/>
    <n v="762"/>
    <n v="9260"/>
    <n v="1"/>
    <s v="Fashionistas"/>
    <x v="84"/>
  </r>
  <r>
    <s v="TechCorp"/>
    <x v="2"/>
    <s v="Women 35-44"/>
    <s v="30 days"/>
    <x v="5"/>
    <n v="0.09"/>
    <n v="17380"/>
    <n v="4.96"/>
    <n v="24"/>
    <n v="724.16666666666663"/>
    <s v="Houston"/>
    <s v="English"/>
    <n v="270"/>
    <n v="2682"/>
    <n v="5"/>
    <s v="Outdoor Adventurers"/>
    <x v="85"/>
  </r>
  <r>
    <s v="NexGen Systems"/>
    <x v="2"/>
    <s v="Men 18-24"/>
    <s v="45 days"/>
    <x v="0"/>
    <n v="0.08"/>
    <n v="14893"/>
    <n v="3.02"/>
    <n v="22"/>
    <n v="676.9545454545455"/>
    <s v="Houston"/>
    <s v="Mandarin"/>
    <n v="281"/>
    <n v="8044"/>
    <n v="8"/>
    <s v="Fashionistas"/>
    <x v="86"/>
  </r>
  <r>
    <s v="Innovate Industries"/>
    <x v="1"/>
    <s v="Men 25-34"/>
    <s v="45 days"/>
    <x v="1"/>
    <n v="0.13"/>
    <n v="5978"/>
    <n v="5.22"/>
    <n v="71"/>
    <n v="84.197183098591552"/>
    <s v="Houston"/>
    <s v="Spanish"/>
    <n v="546"/>
    <n v="8673"/>
    <n v="10"/>
    <s v="Outdoor Adventurers"/>
    <x v="87"/>
  </r>
  <r>
    <s v="Alpha Innovations"/>
    <x v="2"/>
    <s v="Women 35-44"/>
    <s v="60 days"/>
    <x v="4"/>
    <n v="0.06"/>
    <n v="8462"/>
    <n v="4.03"/>
    <n v="49"/>
    <n v="172.69387755102042"/>
    <s v="Houston"/>
    <s v="German"/>
    <n v="823"/>
    <n v="3895"/>
    <n v="5"/>
    <s v="Tech Enthusiasts"/>
    <x v="88"/>
  </r>
  <r>
    <s v="Innovate Industries"/>
    <x v="4"/>
    <s v="All Ages"/>
    <s v="30 days"/>
    <x v="2"/>
    <n v="0.13"/>
    <n v="5945"/>
    <n v="6.93"/>
    <n v="42"/>
    <n v="141.54761904761904"/>
    <s v="Miami"/>
    <s v="German"/>
    <n v="322"/>
    <n v="9633"/>
    <n v="7"/>
    <s v="Fashionistas"/>
    <x v="89"/>
  </r>
  <r>
    <s v="DataTech Solutions"/>
    <x v="1"/>
    <s v="Women 35-44"/>
    <s v="15 days"/>
    <x v="5"/>
    <n v="0.1"/>
    <n v="13623"/>
    <n v="6.05"/>
    <n v="60"/>
    <n v="227.05"/>
    <s v="Los Angeles"/>
    <s v="French"/>
    <n v="602"/>
    <n v="8739"/>
    <n v="6"/>
    <s v="Fashionistas"/>
    <x v="90"/>
  </r>
  <r>
    <s v="Alpha Innovations"/>
    <x v="4"/>
    <s v="Women 35-44"/>
    <s v="60 days"/>
    <x v="3"/>
    <n v="0.05"/>
    <n v="12531"/>
    <n v="5.0999999999999996"/>
    <n v="43"/>
    <n v="291.41860465116281"/>
    <s v="Houston"/>
    <s v="French"/>
    <n v="856"/>
    <n v="1945"/>
    <n v="9"/>
    <s v="Health &amp; Wellness"/>
    <x v="91"/>
  </r>
  <r>
    <s v="TechCorp"/>
    <x v="1"/>
    <s v="Men 25-34"/>
    <s v="60 days"/>
    <x v="0"/>
    <n v="0.05"/>
    <n v="15501"/>
    <n v="6.49"/>
    <n v="25"/>
    <n v="620.04"/>
    <s v="Los Angeles"/>
    <s v="German"/>
    <n v="497"/>
    <n v="7221"/>
    <n v="1"/>
    <s v="Foodies"/>
    <x v="92"/>
  </r>
  <r>
    <s v="Innovate Industries"/>
    <x v="0"/>
    <s v="Men 18-24"/>
    <s v="45 days"/>
    <x v="5"/>
    <n v="0.13"/>
    <n v="9355"/>
    <n v="2.87"/>
    <n v="56"/>
    <n v="167.05357142857142"/>
    <s v="New York"/>
    <s v="Mandarin"/>
    <n v="428"/>
    <n v="8814"/>
    <n v="2"/>
    <s v="Foodies"/>
    <x v="93"/>
  </r>
  <r>
    <s v="DataTech Solutions"/>
    <x v="3"/>
    <s v="Women 35-44"/>
    <s v="60 days"/>
    <x v="2"/>
    <n v="0.01"/>
    <n v="19958"/>
    <n v="4.1399999999999997"/>
    <n v="2"/>
    <n v="9979"/>
    <s v="Chicago"/>
    <s v="German"/>
    <n v="233"/>
    <n v="5894"/>
    <n v="9"/>
    <s v="Health &amp; Wellness"/>
    <x v="94"/>
  </r>
  <r>
    <s v="DataTech Solutions"/>
    <x v="1"/>
    <s v="Men 25-34"/>
    <s v="30 days"/>
    <x v="0"/>
    <n v="0.06"/>
    <n v="15598"/>
    <n v="3.91"/>
    <n v="29"/>
    <n v="537.86206896551721"/>
    <s v="Los Angeles"/>
    <s v="German"/>
    <n v="480"/>
    <n v="2807"/>
    <n v="2"/>
    <s v="Outdoor Adventurers"/>
    <x v="95"/>
  </r>
  <r>
    <s v="DataTech Solutions"/>
    <x v="4"/>
    <s v="Women 25-34"/>
    <s v="60 days"/>
    <x v="0"/>
    <n v="0.14000000000000001"/>
    <n v="12804"/>
    <n v="6.66"/>
    <n v="53"/>
    <n v="241.58490566037736"/>
    <s v="New York"/>
    <s v="German"/>
    <n v="375"/>
    <n v="2873"/>
    <n v="4"/>
    <s v="Fashionistas"/>
    <x v="96"/>
  </r>
  <r>
    <s v="TechCorp"/>
    <x v="1"/>
    <s v="Men 25-34"/>
    <s v="15 days"/>
    <x v="3"/>
    <n v="0.12"/>
    <n v="12684"/>
    <n v="3.37"/>
    <n v="98"/>
    <n v="129.42857142857142"/>
    <s v="New York"/>
    <s v="German"/>
    <n v="817"/>
    <n v="5743"/>
    <n v="10"/>
    <s v="Foodies"/>
    <x v="97"/>
  </r>
  <r>
    <s v="Innovate Industries"/>
    <x v="0"/>
    <s v="Men 18-24"/>
    <s v="60 days"/>
    <x v="4"/>
    <n v="0.03"/>
    <n v="7105"/>
    <n v="5.66"/>
    <n v="10"/>
    <n v="710.5"/>
    <s v="Los Angeles"/>
    <s v="Spanish"/>
    <n v="346"/>
    <n v="3438"/>
    <n v="2"/>
    <s v="Tech Enthusiasts"/>
    <x v="98"/>
  </r>
  <r>
    <s v="TechCorp"/>
    <x v="2"/>
    <s v="Women 25-34"/>
    <s v="30 days"/>
    <x v="0"/>
    <n v="0.1"/>
    <n v="10009"/>
    <n v="3.15"/>
    <n v="24"/>
    <n v="417.04166666666669"/>
    <s v="New York"/>
    <s v="Spanish"/>
    <n v="243"/>
    <n v="2733"/>
    <n v="7"/>
    <s v="Fashionistas"/>
    <x v="99"/>
  </r>
  <r>
    <s v="NexGen Systems"/>
    <x v="2"/>
    <s v="Men 25-34"/>
    <s v="60 days"/>
    <x v="2"/>
    <n v="0.02"/>
    <n v="9918"/>
    <n v="4.67"/>
    <n v="3"/>
    <n v="3306"/>
    <s v="Chicago"/>
    <s v="Mandarin"/>
    <n v="148"/>
    <n v="8224"/>
    <n v="8"/>
    <s v="Foodies"/>
    <x v="100"/>
  </r>
  <r>
    <s v="NexGen Systems"/>
    <x v="2"/>
    <s v="Women 35-44"/>
    <s v="45 days"/>
    <x v="4"/>
    <n v="0.11"/>
    <n v="5566"/>
    <n v="5.36"/>
    <n v="102"/>
    <n v="54.568627450980394"/>
    <s v="Chicago"/>
    <s v="English"/>
    <n v="923"/>
    <n v="9680"/>
    <n v="5"/>
    <s v="Fashionistas"/>
    <x v="101"/>
  </r>
  <r>
    <s v="TechCorp"/>
    <x v="1"/>
    <s v="Men 25-34"/>
    <s v="15 days"/>
    <x v="0"/>
    <n v="0.05"/>
    <n v="7724"/>
    <n v="2.5499999999999998"/>
    <n v="43"/>
    <n v="179.62790697674419"/>
    <s v="Chicago"/>
    <s v="English"/>
    <n v="864"/>
    <n v="7507"/>
    <n v="5"/>
    <s v="Tech Enthusiasts"/>
    <x v="102"/>
  </r>
  <r>
    <s v="NexGen Systems"/>
    <x v="3"/>
    <s v="Men 18-24"/>
    <s v="15 days"/>
    <x v="5"/>
    <n v="0.04"/>
    <n v="14098"/>
    <n v="7.98"/>
    <n v="11"/>
    <n v="1281.6363636363637"/>
    <s v="Houston"/>
    <s v="English"/>
    <n v="264"/>
    <n v="6861"/>
    <n v="7"/>
    <s v="Outdoor Adventurers"/>
    <x v="103"/>
  </r>
  <r>
    <s v="Innovate Industries"/>
    <x v="3"/>
    <s v="Men 18-24"/>
    <s v="45 days"/>
    <x v="3"/>
    <n v="0.14000000000000001"/>
    <n v="12026"/>
    <n v="7.35"/>
    <n v="25"/>
    <n v="481.04"/>
    <s v="New York"/>
    <s v="English"/>
    <n v="178"/>
    <n v="9376"/>
    <n v="10"/>
    <s v="Health &amp; Wellness"/>
    <x v="104"/>
  </r>
  <r>
    <s v="DataTech Solutions"/>
    <x v="4"/>
    <s v="Women 35-44"/>
    <s v="15 days"/>
    <x v="3"/>
    <n v="0.06"/>
    <n v="7678"/>
    <n v="6.28"/>
    <n v="52"/>
    <n v="147.65384615384616"/>
    <s v="Houston"/>
    <s v="Mandarin"/>
    <n v="874"/>
    <n v="3906"/>
    <n v="9"/>
    <s v="Fashionistas"/>
    <x v="105"/>
  </r>
  <r>
    <s v="DataTech Solutions"/>
    <x v="3"/>
    <s v="Men 25-34"/>
    <s v="60 days"/>
    <x v="4"/>
    <n v="0.02"/>
    <n v="11400"/>
    <n v="2.8"/>
    <n v="7"/>
    <n v="1628.5714285714287"/>
    <s v="Miami"/>
    <s v="English"/>
    <n v="329"/>
    <n v="8081"/>
    <n v="7"/>
    <s v="Outdoor Adventurers"/>
    <x v="106"/>
  </r>
  <r>
    <s v="NexGen Systems"/>
    <x v="4"/>
    <s v="Men 25-34"/>
    <s v="60 days"/>
    <x v="0"/>
    <n v="0.02"/>
    <n v="16645"/>
    <n v="3.96"/>
    <n v="5"/>
    <n v="3329"/>
    <s v="New York"/>
    <s v="Spanish"/>
    <n v="229"/>
    <n v="6916"/>
    <n v="1"/>
    <s v="Health &amp; Wellness"/>
    <x v="107"/>
  </r>
  <r>
    <s v="NexGen Systems"/>
    <x v="1"/>
    <s v="Men 25-34"/>
    <s v="60 days"/>
    <x v="0"/>
    <n v="0.13"/>
    <n v="16606"/>
    <n v="7.23"/>
    <n v="47"/>
    <n v="353.31914893617022"/>
    <s v="Miami"/>
    <s v="Mandarin"/>
    <n v="364"/>
    <n v="5972"/>
    <n v="7"/>
    <s v="Tech Enthusiasts"/>
    <x v="108"/>
  </r>
  <r>
    <s v="DataTech Solutions"/>
    <x v="2"/>
    <s v="Men 18-24"/>
    <s v="60 days"/>
    <x v="5"/>
    <n v="0.02"/>
    <n v="9037"/>
    <n v="4.28"/>
    <n v="2"/>
    <n v="4518.5"/>
    <s v="Houston"/>
    <s v="German"/>
    <n v="119"/>
    <n v="9337"/>
    <n v="9"/>
    <s v="Health &amp; Wellness"/>
    <x v="109"/>
  </r>
  <r>
    <s v="Alpha Innovations"/>
    <x v="2"/>
    <s v="Men 25-34"/>
    <s v="30 days"/>
    <x v="5"/>
    <n v="0.12"/>
    <n v="13587"/>
    <n v="7.45"/>
    <n v="42"/>
    <n v="323.5"/>
    <s v="Chicago"/>
    <s v="German"/>
    <n v="351"/>
    <n v="3877"/>
    <n v="10"/>
    <s v="Tech Enthusiasts"/>
    <x v="110"/>
  </r>
  <r>
    <s v="TechCorp"/>
    <x v="4"/>
    <s v="Women 35-44"/>
    <s v="45 days"/>
    <x v="1"/>
    <n v="0.03"/>
    <n v="11865"/>
    <n v="2.36"/>
    <n v="8"/>
    <n v="1483.125"/>
    <s v="Los Angeles"/>
    <s v="Spanish"/>
    <n v="263"/>
    <n v="1864"/>
    <n v="6"/>
    <s v="Foodies"/>
    <x v="111"/>
  </r>
  <r>
    <s v="TechCorp"/>
    <x v="3"/>
    <s v="Men 25-34"/>
    <s v="30 days"/>
    <x v="2"/>
    <n v="0.11"/>
    <n v="19841"/>
    <n v="2.4700000000000002"/>
    <n v="70"/>
    <n v="283.44285714285712"/>
    <s v="Houston"/>
    <s v="French"/>
    <n v="632"/>
    <n v="7216"/>
    <n v="10"/>
    <s v="Outdoor Adventurers"/>
    <x v="112"/>
  </r>
  <r>
    <s v="Alpha Innovations"/>
    <x v="4"/>
    <s v="Men 18-24"/>
    <s v="45 days"/>
    <x v="4"/>
    <n v="0.04"/>
    <n v="14964"/>
    <n v="3.39"/>
    <n v="38"/>
    <n v="393.78947368421052"/>
    <s v="Los Angeles"/>
    <s v="German"/>
    <n v="952"/>
    <n v="2825"/>
    <n v="10"/>
    <s v="Tech Enthusiasts"/>
    <x v="113"/>
  </r>
  <r>
    <s v="Alpha Innovations"/>
    <x v="0"/>
    <s v="Women 35-44"/>
    <s v="30 days"/>
    <x v="4"/>
    <n v="0.09"/>
    <n v="15684"/>
    <n v="5.0199999999999996"/>
    <n v="70"/>
    <n v="224.05714285714285"/>
    <s v="New York"/>
    <s v="Mandarin"/>
    <n v="778"/>
    <n v="7772"/>
    <n v="1"/>
    <s v="Fashionistas"/>
    <x v="114"/>
  </r>
  <r>
    <s v="DataTech Solutions"/>
    <x v="3"/>
    <s v="All Ages"/>
    <s v="45 days"/>
    <x v="4"/>
    <n v="0.05"/>
    <n v="15113"/>
    <n v="2.88"/>
    <n v="48"/>
    <n v="314.85416666666669"/>
    <s v="Miami"/>
    <s v="English"/>
    <n v="950"/>
    <n v="8471"/>
    <n v="1"/>
    <s v="Tech Enthusiasts"/>
    <x v="115"/>
  </r>
  <r>
    <s v="Innovate Industries"/>
    <x v="4"/>
    <s v="Women 35-44"/>
    <s v="30 days"/>
    <x v="4"/>
    <n v="0.06"/>
    <n v="7853"/>
    <n v="7.8"/>
    <n v="37"/>
    <n v="212.24324324324326"/>
    <s v="New York"/>
    <s v="English"/>
    <n v="611"/>
    <n v="5856"/>
    <n v="7"/>
    <s v="Outdoor Adventurers"/>
    <x v="116"/>
  </r>
  <r>
    <s v="Alpha Innovations"/>
    <x v="3"/>
    <s v="Women 35-44"/>
    <s v="15 days"/>
    <x v="3"/>
    <n v="0.13"/>
    <n v="15112"/>
    <n v="5.9"/>
    <n v="59"/>
    <n v="256.13559322033899"/>
    <s v="Chicago"/>
    <s v="Spanish"/>
    <n v="453"/>
    <n v="2205"/>
    <n v="2"/>
    <s v="Foodies"/>
    <x v="117"/>
  </r>
  <r>
    <s v="NexGen Systems"/>
    <x v="3"/>
    <s v="Women 35-44"/>
    <s v="45 days"/>
    <x v="2"/>
    <n v="0.15"/>
    <n v="11274"/>
    <n v="6.02"/>
    <n v="94"/>
    <n v="119.93617021276596"/>
    <s v="Chicago"/>
    <s v="Mandarin"/>
    <n v="626"/>
    <n v="5094"/>
    <n v="5"/>
    <s v="Foodies"/>
    <x v="118"/>
  </r>
  <r>
    <s v="Innovate Industries"/>
    <x v="4"/>
    <s v="Men 25-34"/>
    <s v="60 days"/>
    <x v="3"/>
    <n v="7.0000000000000007E-2"/>
    <n v="14114"/>
    <n v="3.19"/>
    <n v="36"/>
    <n v="392.05555555555554"/>
    <s v="Los Angeles"/>
    <s v="German"/>
    <n v="520"/>
    <n v="7275"/>
    <n v="8"/>
    <s v="Outdoor Adventurers"/>
    <x v="119"/>
  </r>
  <r>
    <s v="Innovate Industries"/>
    <x v="4"/>
    <s v="Men 25-34"/>
    <s v="60 days"/>
    <x v="4"/>
    <n v="0.01"/>
    <n v="14640"/>
    <n v="3.42"/>
    <n v="7"/>
    <n v="2091.4285714285716"/>
    <s v="Chicago"/>
    <s v="Spanish"/>
    <n v="680"/>
    <n v="3348"/>
    <n v="5"/>
    <s v="Tech Enthusiasts"/>
    <x v="120"/>
  </r>
  <r>
    <s v="NexGen Systems"/>
    <x v="4"/>
    <s v="All Ages"/>
    <s v="15 days"/>
    <x v="4"/>
    <n v="0.01"/>
    <n v="14066"/>
    <n v="3.12"/>
    <n v="7"/>
    <n v="2009.4285714285713"/>
    <s v="Houston"/>
    <s v="German"/>
    <n v="731"/>
    <n v="5778"/>
    <n v="2"/>
    <s v="Fashionistas"/>
    <x v="121"/>
  </r>
  <r>
    <s v="NexGen Systems"/>
    <x v="3"/>
    <s v="Women 25-34"/>
    <s v="45 days"/>
    <x v="2"/>
    <n v="0.09"/>
    <n v="12896"/>
    <n v="6.85"/>
    <n v="35"/>
    <n v="368.45714285714286"/>
    <s v="New York"/>
    <s v="English"/>
    <n v="391"/>
    <n v="7843"/>
    <n v="9"/>
    <s v="Tech Enthusiasts"/>
    <x v="122"/>
  </r>
  <r>
    <s v="TechCorp"/>
    <x v="0"/>
    <s v="Women 25-34"/>
    <s v="30 days"/>
    <x v="2"/>
    <n v="0.11"/>
    <n v="19059"/>
    <n v="3.1"/>
    <n v="40"/>
    <n v="476.47500000000002"/>
    <s v="Miami"/>
    <s v="Spanish"/>
    <n v="368"/>
    <n v="4199"/>
    <n v="4"/>
    <s v="Health &amp; Wellness"/>
    <x v="123"/>
  </r>
  <r>
    <s v="DataTech Solutions"/>
    <x v="1"/>
    <s v="Men 25-34"/>
    <s v="15 days"/>
    <x v="4"/>
    <n v="0.05"/>
    <n v="12152"/>
    <n v="4.0999999999999996"/>
    <n v="38"/>
    <n v="319.78947368421052"/>
    <s v="Miami"/>
    <s v="Mandarin"/>
    <n v="753"/>
    <n v="4578"/>
    <n v="3"/>
    <s v="Health &amp; Wellness"/>
    <x v="124"/>
  </r>
  <r>
    <s v="DataTech Solutions"/>
    <x v="4"/>
    <s v="Women 35-44"/>
    <s v="30 days"/>
    <x v="1"/>
    <n v="0.06"/>
    <n v="10703"/>
    <n v="6.64"/>
    <n v="26"/>
    <n v="411.65384615384613"/>
    <s v="Houston"/>
    <s v="German"/>
    <n v="432"/>
    <n v="2687"/>
    <n v="2"/>
    <s v="Fashionistas"/>
    <x v="125"/>
  </r>
  <r>
    <s v="TechCorp"/>
    <x v="2"/>
    <s v="Men 18-24"/>
    <s v="45 days"/>
    <x v="5"/>
    <n v="0.03"/>
    <n v="8897"/>
    <n v="6.41"/>
    <n v="28"/>
    <n v="317.75"/>
    <s v="Houston"/>
    <s v="English"/>
    <n v="936"/>
    <n v="9664"/>
    <n v="10"/>
    <s v="Fashionistas"/>
    <x v="126"/>
  </r>
  <r>
    <s v="TechCorp"/>
    <x v="3"/>
    <s v="Women 25-34"/>
    <s v="45 days"/>
    <x v="0"/>
    <n v="0.1"/>
    <n v="19902"/>
    <n v="4.32"/>
    <n v="76"/>
    <n v="261.86842105263156"/>
    <s v="Chicago"/>
    <s v="French"/>
    <n v="762"/>
    <n v="4576"/>
    <n v="4"/>
    <s v="Foodies"/>
    <x v="127"/>
  </r>
  <r>
    <s v="TechCorp"/>
    <x v="4"/>
    <s v="All Ages"/>
    <s v="15 days"/>
    <x v="2"/>
    <n v="0.09"/>
    <n v="9139"/>
    <n v="6.73"/>
    <n v="45"/>
    <n v="203.0888888888889"/>
    <s v="Chicago"/>
    <s v="Mandarin"/>
    <n v="497"/>
    <n v="3182"/>
    <n v="4"/>
    <s v="Foodies"/>
    <x v="128"/>
  </r>
  <r>
    <s v="TechCorp"/>
    <x v="0"/>
    <s v="Men 18-24"/>
    <s v="15 days"/>
    <x v="0"/>
    <n v="0.09"/>
    <n v="5344"/>
    <n v="4.32"/>
    <n v="14"/>
    <n v="381.71428571428572"/>
    <s v="New York"/>
    <s v="German"/>
    <n v="158"/>
    <n v="7669"/>
    <n v="5"/>
    <s v="Outdoor Adventurers"/>
    <x v="129"/>
  </r>
  <r>
    <s v="Innovate Industries"/>
    <x v="4"/>
    <s v="All Ages"/>
    <s v="60 days"/>
    <x v="4"/>
    <n v="0.09"/>
    <n v="13120"/>
    <n v="6.65"/>
    <n v="53"/>
    <n v="247.54716981132074"/>
    <s v="Chicago"/>
    <s v="Mandarin"/>
    <n v="584"/>
    <n v="8917"/>
    <n v="1"/>
    <s v="Foodies"/>
    <x v="130"/>
  </r>
  <r>
    <s v="Innovate Industries"/>
    <x v="4"/>
    <s v="Women 25-34"/>
    <s v="15 days"/>
    <x v="0"/>
    <n v="0.15"/>
    <n v="9805"/>
    <n v="6.32"/>
    <n v="35"/>
    <n v="280.14285714285717"/>
    <s v="Chicago"/>
    <s v="German"/>
    <n v="231"/>
    <n v="1750"/>
    <n v="3"/>
    <s v="Health &amp; Wellness"/>
    <x v="131"/>
  </r>
  <r>
    <s v="Alpha Innovations"/>
    <x v="3"/>
    <s v="Women 25-34"/>
    <s v="60 days"/>
    <x v="3"/>
    <n v="0.14000000000000001"/>
    <n v="13040"/>
    <n v="3.25"/>
    <n v="128"/>
    <n v="101.875"/>
    <s v="New York"/>
    <s v="German"/>
    <n v="914"/>
    <n v="9569"/>
    <n v="5"/>
    <s v="Foodies"/>
    <x v="132"/>
  </r>
  <r>
    <s v="NexGen Systems"/>
    <x v="2"/>
    <s v="Women 25-34"/>
    <s v="15 days"/>
    <x v="5"/>
    <n v="0.09"/>
    <n v="9710"/>
    <n v="3.35"/>
    <n v="75"/>
    <n v="129.46666666666667"/>
    <s v="New York"/>
    <s v="Mandarin"/>
    <n v="838"/>
    <n v="8715"/>
    <n v="10"/>
    <s v="Fashionistas"/>
    <x v="133"/>
  </r>
  <r>
    <s v="TechCorp"/>
    <x v="4"/>
    <s v="Women 35-44"/>
    <s v="30 days"/>
    <x v="4"/>
    <n v="0.02"/>
    <n v="12197"/>
    <n v="2.71"/>
    <n v="19"/>
    <n v="641.9473684210526"/>
    <s v="Houston"/>
    <s v="French"/>
    <n v="942"/>
    <n v="4394"/>
    <n v="2"/>
    <s v="Fashionistas"/>
    <x v="134"/>
  </r>
  <r>
    <s v="Innovate Industries"/>
    <x v="3"/>
    <s v="All Ages"/>
    <s v="45 days"/>
    <x v="0"/>
    <n v="0.15"/>
    <n v="17242"/>
    <n v="6.85"/>
    <n v="55"/>
    <n v="313.4909090909091"/>
    <s v="Miami"/>
    <s v="English"/>
    <n v="365"/>
    <n v="7393"/>
    <n v="4"/>
    <s v="Foodies"/>
    <x v="135"/>
  </r>
  <r>
    <s v="Alpha Innovations"/>
    <x v="2"/>
    <s v="Women 25-34"/>
    <s v="30 days"/>
    <x v="1"/>
    <n v="0.04"/>
    <n v="19584"/>
    <n v="2.1"/>
    <n v="38"/>
    <n v="515.36842105263156"/>
    <s v="Los Angeles"/>
    <s v="French"/>
    <n v="951"/>
    <n v="6771"/>
    <n v="5"/>
    <s v="Tech Enthusiasts"/>
    <x v="136"/>
  </r>
  <r>
    <s v="NexGen Systems"/>
    <x v="1"/>
    <s v="Men 25-34"/>
    <s v="30 days"/>
    <x v="3"/>
    <n v="0.14000000000000001"/>
    <n v="12774"/>
    <n v="4.97"/>
    <n v="102"/>
    <n v="125.23529411764706"/>
    <s v="Houston"/>
    <s v="English"/>
    <n v="727"/>
    <n v="2435"/>
    <n v="2"/>
    <s v="Fashionistas"/>
    <x v="137"/>
  </r>
  <r>
    <s v="Innovate Industries"/>
    <x v="2"/>
    <s v="Men 25-34"/>
    <s v="30 days"/>
    <x v="3"/>
    <n v="0.04"/>
    <n v="14314"/>
    <n v="5.54"/>
    <n v="8"/>
    <n v="1789.25"/>
    <s v="Chicago"/>
    <s v="Mandarin"/>
    <n v="192"/>
    <n v="8387"/>
    <n v="9"/>
    <s v="Outdoor Adventurers"/>
    <x v="138"/>
  </r>
  <r>
    <s v="Innovate Industries"/>
    <x v="1"/>
    <s v="Men 25-34"/>
    <s v="60 days"/>
    <x v="2"/>
    <n v="7.0000000000000007E-2"/>
    <n v="19819"/>
    <n v="3.3"/>
    <n v="27"/>
    <n v="734.03703703703707"/>
    <s v="Miami"/>
    <s v="German"/>
    <n v="389"/>
    <n v="9175"/>
    <n v="6"/>
    <s v="Fashionistas"/>
    <x v="139"/>
  </r>
  <r>
    <s v="DataTech Solutions"/>
    <x v="0"/>
    <s v="Women 35-44"/>
    <s v="45 days"/>
    <x v="1"/>
    <n v="0.02"/>
    <n v="14531"/>
    <n v="7.91"/>
    <n v="5"/>
    <n v="2906.2"/>
    <s v="New York"/>
    <s v="English"/>
    <n v="245"/>
    <n v="1188"/>
    <n v="7"/>
    <s v="Tech Enthusiasts"/>
    <x v="140"/>
  </r>
  <r>
    <s v="NexGen Systems"/>
    <x v="4"/>
    <s v="Women 25-34"/>
    <s v="15 days"/>
    <x v="4"/>
    <n v="0.03"/>
    <n v="19304"/>
    <n v="7.67"/>
    <n v="7"/>
    <n v="2757.7142857142858"/>
    <s v="Houston"/>
    <s v="German"/>
    <n v="230"/>
    <n v="6281"/>
    <n v="7"/>
    <s v="Health &amp; Wellness"/>
    <x v="141"/>
  </r>
  <r>
    <s v="Innovate Industries"/>
    <x v="3"/>
    <s v="Men 25-34"/>
    <s v="45 days"/>
    <x v="2"/>
    <n v="0.1"/>
    <n v="11789"/>
    <n v="5.01"/>
    <n v="90"/>
    <n v="130.98888888888888"/>
    <s v="Miami"/>
    <s v="English"/>
    <n v="897"/>
    <n v="6566"/>
    <n v="7"/>
    <s v="Tech Enthusiasts"/>
    <x v="142"/>
  </r>
  <r>
    <s v="NexGen Systems"/>
    <x v="4"/>
    <s v="Women 35-44"/>
    <s v="30 days"/>
    <x v="3"/>
    <n v="7.0000000000000007E-2"/>
    <n v="14877"/>
    <n v="3.47"/>
    <n v="44"/>
    <n v="338.11363636363637"/>
    <s v="Miami"/>
    <s v="English"/>
    <n v="625"/>
    <n v="4723"/>
    <n v="10"/>
    <s v="Health &amp; Wellness"/>
    <x v="143"/>
  </r>
  <r>
    <s v="Innovate Industries"/>
    <x v="4"/>
    <s v="All Ages"/>
    <s v="30 days"/>
    <x v="4"/>
    <n v="0.09"/>
    <n v="5732"/>
    <n v="6.45"/>
    <n v="63"/>
    <n v="90.984126984126988"/>
    <s v="Chicago"/>
    <s v="Spanish"/>
    <n v="704"/>
    <n v="2289"/>
    <n v="7"/>
    <s v="Health &amp; Wellness"/>
    <x v="144"/>
  </r>
  <r>
    <s v="Innovate Industries"/>
    <x v="4"/>
    <s v="All Ages"/>
    <s v="30 days"/>
    <x v="1"/>
    <n v="0.04"/>
    <n v="13880"/>
    <n v="4.4000000000000004"/>
    <n v="39"/>
    <n v="355.89743589743591"/>
    <s v="Chicago"/>
    <s v="German"/>
    <n v="964"/>
    <n v="1912"/>
    <n v="1"/>
    <s v="Foodies"/>
    <x v="145"/>
  </r>
  <r>
    <s v="Innovate Industries"/>
    <x v="1"/>
    <s v="Men 25-34"/>
    <s v="15 days"/>
    <x v="4"/>
    <n v="0.08"/>
    <n v="12837"/>
    <n v="6.6"/>
    <n v="18"/>
    <n v="713.16666666666663"/>
    <s v="Chicago"/>
    <s v="Mandarin"/>
    <n v="231"/>
    <n v="5811"/>
    <n v="10"/>
    <s v="Fashionistas"/>
    <x v="146"/>
  </r>
  <r>
    <s v="DataTech Solutions"/>
    <x v="1"/>
    <s v="Women 25-34"/>
    <s v="60 days"/>
    <x v="5"/>
    <n v="0.06"/>
    <n v="19787"/>
    <n v="3.68"/>
    <n v="33"/>
    <n v="599.60606060606062"/>
    <s v="Miami"/>
    <s v="Mandarin"/>
    <n v="554"/>
    <n v="1241"/>
    <n v="9"/>
    <s v="Fashionistas"/>
    <x v="147"/>
  </r>
  <r>
    <s v="TechCorp"/>
    <x v="4"/>
    <s v="Women 25-34"/>
    <s v="60 days"/>
    <x v="0"/>
    <n v="0.1"/>
    <n v="14249"/>
    <n v="2.3199999999999998"/>
    <n v="57"/>
    <n v="249.98245614035088"/>
    <s v="Miami"/>
    <s v="Spanish"/>
    <n v="574"/>
    <n v="9870"/>
    <n v="6"/>
    <s v="Outdoor Adventurers"/>
    <x v="148"/>
  </r>
  <r>
    <s v="Alpha Innovations"/>
    <x v="0"/>
    <s v="All Ages"/>
    <s v="45 days"/>
    <x v="3"/>
    <n v="0.11"/>
    <n v="18397"/>
    <n v="6.45"/>
    <n v="101"/>
    <n v="182.14851485148515"/>
    <s v="Chicago"/>
    <s v="Spanish"/>
    <n v="920"/>
    <n v="9530"/>
    <n v="5"/>
    <s v="Tech Enthusiasts"/>
    <x v="149"/>
  </r>
  <r>
    <s v="DataTech Solutions"/>
    <x v="2"/>
    <s v="Men 18-24"/>
    <s v="45 days"/>
    <x v="5"/>
    <n v="0.13"/>
    <n v="13162"/>
    <n v="5.05"/>
    <n v="91"/>
    <n v="144.63736263736263"/>
    <s v="Los Angeles"/>
    <s v="German"/>
    <n v="702"/>
    <n v="5834"/>
    <n v="9"/>
    <s v="Fashionistas"/>
    <x v="150"/>
  </r>
  <r>
    <s v="DataTech Solutions"/>
    <x v="3"/>
    <s v="Men 18-24"/>
    <s v="30 days"/>
    <x v="4"/>
    <n v="0.11"/>
    <n v="19743"/>
    <n v="2.23"/>
    <n v="71"/>
    <n v="278.07042253521126"/>
    <s v="New York"/>
    <s v="Spanish"/>
    <n v="646"/>
    <n v="3361"/>
    <n v="3"/>
    <s v="Foodies"/>
    <x v="151"/>
  </r>
  <r>
    <s v="TechCorp"/>
    <x v="1"/>
    <s v="All Ages"/>
    <s v="60 days"/>
    <x v="2"/>
    <n v="0.11"/>
    <n v="16782"/>
    <n v="7.46"/>
    <n v="85"/>
    <n v="197.43529411764706"/>
    <s v="Miami"/>
    <s v="German"/>
    <n v="775"/>
    <n v="3476"/>
    <n v="8"/>
    <s v="Outdoor Adventurers"/>
    <x v="152"/>
  </r>
  <r>
    <s v="Alpha Innovations"/>
    <x v="4"/>
    <s v="Women 35-44"/>
    <s v="60 days"/>
    <x v="1"/>
    <n v="0.13"/>
    <n v="19960"/>
    <n v="7.32"/>
    <n v="117"/>
    <n v="170.59829059829059"/>
    <s v="Houston"/>
    <s v="Spanish"/>
    <n v="899"/>
    <n v="7048"/>
    <n v="10"/>
    <s v="Foodies"/>
    <x v="153"/>
  </r>
  <r>
    <s v="DataTech Solutions"/>
    <x v="2"/>
    <s v="Men 25-34"/>
    <s v="30 days"/>
    <x v="0"/>
    <n v="0.12"/>
    <n v="7344"/>
    <n v="6.29"/>
    <n v="28"/>
    <n v="262.28571428571428"/>
    <s v="Miami"/>
    <s v="English"/>
    <n v="236"/>
    <n v="3442"/>
    <n v="2"/>
    <s v="Foodies"/>
    <x v="154"/>
  </r>
  <r>
    <s v="TechCorp"/>
    <x v="0"/>
    <s v="Women 25-34"/>
    <s v="15 days"/>
    <x v="3"/>
    <n v="0.09"/>
    <n v="8697"/>
    <n v="4.82"/>
    <n v="73"/>
    <n v="119.13698630136986"/>
    <s v="Chicago"/>
    <s v="Spanish"/>
    <n v="816"/>
    <n v="5571"/>
    <n v="4"/>
    <s v="Health &amp; Wellness"/>
    <x v="155"/>
  </r>
  <r>
    <s v="Alpha Innovations"/>
    <x v="2"/>
    <s v="Men 18-24"/>
    <s v="60 days"/>
    <x v="2"/>
    <n v="7.0000000000000007E-2"/>
    <n v="19913"/>
    <n v="4.9800000000000004"/>
    <n v="48"/>
    <n v="414.85416666666669"/>
    <s v="Miami"/>
    <s v="English"/>
    <n v="691"/>
    <n v="6198"/>
    <n v="3"/>
    <s v="Tech Enthusiasts"/>
    <x v="156"/>
  </r>
  <r>
    <s v="Alpha Innovations"/>
    <x v="2"/>
    <s v="Women 35-44"/>
    <s v="15 days"/>
    <x v="3"/>
    <n v="7.0000000000000007E-2"/>
    <n v="18585"/>
    <n v="6"/>
    <n v="16"/>
    <n v="1161.5625"/>
    <s v="Miami"/>
    <s v="English"/>
    <n v="229"/>
    <n v="5281"/>
    <n v="3"/>
    <s v="Health &amp; Wellness"/>
    <x v="157"/>
  </r>
  <r>
    <s v="DataTech Solutions"/>
    <x v="3"/>
    <s v="Women 25-34"/>
    <s v="45 days"/>
    <x v="0"/>
    <n v="0.02"/>
    <n v="17270"/>
    <n v="4.29"/>
    <n v="9"/>
    <n v="1918.8888888888889"/>
    <s v="New York"/>
    <s v="Spanish"/>
    <n v="448"/>
    <n v="6818"/>
    <n v="10"/>
    <s v="Health &amp; Wellness"/>
    <x v="158"/>
  </r>
  <r>
    <s v="NexGen Systems"/>
    <x v="2"/>
    <s v="Women 25-34"/>
    <s v="15 days"/>
    <x v="4"/>
    <n v="0.06"/>
    <n v="10478"/>
    <n v="2.91"/>
    <n v="56"/>
    <n v="187.10714285714286"/>
    <s v="Chicago"/>
    <s v="Mandarin"/>
    <n v="928"/>
    <n v="2474"/>
    <n v="10"/>
    <s v="Fashionistas"/>
    <x v="159"/>
  </r>
  <r>
    <s v="TechCorp"/>
    <x v="0"/>
    <s v="Men 25-34"/>
    <s v="15 days"/>
    <x v="4"/>
    <n v="0.06"/>
    <n v="19212"/>
    <n v="5.37"/>
    <n v="32"/>
    <n v="600.375"/>
    <s v="Los Angeles"/>
    <s v="French"/>
    <n v="530"/>
    <n v="6280"/>
    <n v="6"/>
    <s v="Fashionistas"/>
    <x v="160"/>
  </r>
  <r>
    <s v="NexGen Systems"/>
    <x v="2"/>
    <s v="All Ages"/>
    <s v="30 days"/>
    <x v="3"/>
    <n v="0.12"/>
    <n v="12804"/>
    <n v="3.3"/>
    <n v="47"/>
    <n v="272.42553191489361"/>
    <s v="Miami"/>
    <s v="Mandarin"/>
    <n v="394"/>
    <n v="5195"/>
    <n v="2"/>
    <s v="Foodies"/>
    <x v="161"/>
  </r>
  <r>
    <s v="DataTech Solutions"/>
    <x v="4"/>
    <s v="Women 25-34"/>
    <s v="45 days"/>
    <x v="1"/>
    <n v="0.08"/>
    <n v="17655"/>
    <n v="5.47"/>
    <n v="53"/>
    <n v="333.11320754716979"/>
    <s v="Miami"/>
    <s v="Spanish"/>
    <n v="665"/>
    <n v="1742"/>
    <n v="4"/>
    <s v="Health &amp; Wellness"/>
    <x v="162"/>
  </r>
  <r>
    <s v="Innovate Industries"/>
    <x v="2"/>
    <s v="Men 18-24"/>
    <s v="30 days"/>
    <x v="1"/>
    <n v="0.14000000000000001"/>
    <n v="7573"/>
    <n v="5.54"/>
    <n v="109"/>
    <n v="69.477064220183493"/>
    <s v="Chicago"/>
    <s v="English"/>
    <n v="777"/>
    <n v="2699"/>
    <n v="3"/>
    <s v="Foodies"/>
    <x v="163"/>
  </r>
  <r>
    <s v="Alpha Innovations"/>
    <x v="4"/>
    <s v="Women 35-44"/>
    <s v="15 days"/>
    <x v="2"/>
    <n v="0.02"/>
    <n v="18021"/>
    <n v="2.71"/>
    <n v="18"/>
    <n v="1001.1666666666666"/>
    <s v="Miami"/>
    <s v="Mandarin"/>
    <n v="921"/>
    <n v="7618"/>
    <n v="7"/>
    <s v="Fashionistas"/>
    <x v="164"/>
  </r>
  <r>
    <s v="Alpha Innovations"/>
    <x v="1"/>
    <s v="Women 35-44"/>
    <s v="45 days"/>
    <x v="0"/>
    <n v="0.14000000000000001"/>
    <n v="12217"/>
    <n v="7.87"/>
    <n v="52"/>
    <n v="234.94230769230768"/>
    <s v="Miami"/>
    <s v="English"/>
    <n v="369"/>
    <n v="2051"/>
    <n v="3"/>
    <s v="Outdoor Adventurers"/>
    <x v="165"/>
  </r>
  <r>
    <s v="TechCorp"/>
    <x v="4"/>
    <s v="Men 25-34"/>
    <s v="45 days"/>
    <x v="5"/>
    <n v="0.04"/>
    <n v="19798"/>
    <n v="2.5299999999999998"/>
    <n v="25"/>
    <n v="791.92"/>
    <s v="Houston"/>
    <s v="Mandarin"/>
    <n v="633"/>
    <n v="8068"/>
    <n v="1"/>
    <s v="Outdoor Adventurers"/>
    <x v="166"/>
  </r>
  <r>
    <s v="TechCorp"/>
    <x v="0"/>
    <s v="Men 18-24"/>
    <s v="60 days"/>
    <x v="3"/>
    <n v="0.04"/>
    <n v="10163"/>
    <n v="6.59"/>
    <n v="36"/>
    <n v="282.30555555555554"/>
    <s v="Houston"/>
    <s v="English"/>
    <n v="891"/>
    <n v="7707"/>
    <n v="7"/>
    <s v="Health &amp; Wellness"/>
    <x v="167"/>
  </r>
  <r>
    <s v="NexGen Systems"/>
    <x v="4"/>
    <s v="Men 18-24"/>
    <s v="60 days"/>
    <x v="4"/>
    <n v="0.05"/>
    <n v="7098"/>
    <n v="6.77"/>
    <n v="14"/>
    <n v="507"/>
    <s v="Miami"/>
    <s v="Mandarin"/>
    <n v="282"/>
    <n v="4323"/>
    <n v="9"/>
    <s v="Health &amp; Wellness"/>
    <x v="168"/>
  </r>
  <r>
    <s v="Alpha Innovations"/>
    <x v="1"/>
    <s v="Women 35-44"/>
    <s v="30 days"/>
    <x v="3"/>
    <n v="0.05"/>
    <n v="13067"/>
    <n v="5.35"/>
    <n v="43"/>
    <n v="303.88372093023258"/>
    <s v="Miami"/>
    <s v="Spanish"/>
    <n v="855"/>
    <n v="9813"/>
    <n v="2"/>
    <s v="Foodies"/>
    <x v="169"/>
  </r>
  <r>
    <s v="NexGen Systems"/>
    <x v="2"/>
    <s v="All Ages"/>
    <s v="60 days"/>
    <x v="2"/>
    <n v="0.1"/>
    <n v="10820"/>
    <n v="5.25"/>
    <n v="84"/>
    <n v="128.8095238095238"/>
    <s v="Miami"/>
    <s v="German"/>
    <n v="838"/>
    <n v="7857"/>
    <n v="7"/>
    <s v="Tech Enthusiasts"/>
    <x v="170"/>
  </r>
  <r>
    <s v="NexGen Systems"/>
    <x v="3"/>
    <s v="Men 18-24"/>
    <s v="45 days"/>
    <x v="4"/>
    <n v="0.15"/>
    <n v="7246"/>
    <n v="3.57"/>
    <n v="103"/>
    <n v="70.349514563106794"/>
    <s v="Chicago"/>
    <s v="Spanish"/>
    <n v="689"/>
    <n v="2874"/>
    <n v="4"/>
    <s v="Outdoor Adventurers"/>
    <x v="171"/>
  </r>
  <r>
    <s v="NexGen Systems"/>
    <x v="0"/>
    <s v="Men 25-34"/>
    <s v="15 days"/>
    <x v="1"/>
    <n v="0.06"/>
    <n v="9556"/>
    <n v="6.38"/>
    <n v="52"/>
    <n v="183.76923076923077"/>
    <s v="Miami"/>
    <s v="English"/>
    <n v="863"/>
    <n v="8181"/>
    <n v="5"/>
    <s v="Health &amp; Wellness"/>
    <x v="172"/>
  </r>
  <r>
    <s v="TechCorp"/>
    <x v="2"/>
    <s v="Men 18-24"/>
    <s v="45 days"/>
    <x v="4"/>
    <n v="0.13"/>
    <n v="15899"/>
    <n v="5.35"/>
    <n v="75"/>
    <n v="211.98666666666668"/>
    <s v="New York"/>
    <s v="French"/>
    <n v="578"/>
    <n v="2352"/>
    <n v="8"/>
    <s v="Outdoor Adventurers"/>
    <x v="173"/>
  </r>
  <r>
    <s v="TechCorp"/>
    <x v="1"/>
    <s v="Women 35-44"/>
    <s v="60 days"/>
    <x v="0"/>
    <n v="7.0000000000000007E-2"/>
    <n v="19729"/>
    <n v="5.83"/>
    <n v="44"/>
    <n v="448.38636363636363"/>
    <s v="Chicago"/>
    <s v="German"/>
    <n v="632"/>
    <n v="6474"/>
    <n v="1"/>
    <s v="Outdoor Adventurers"/>
    <x v="174"/>
  </r>
  <r>
    <s v="DataTech Solutions"/>
    <x v="0"/>
    <s v="Men 18-24"/>
    <s v="15 days"/>
    <x v="3"/>
    <n v="0.12"/>
    <n v="8277"/>
    <n v="3.07"/>
    <n v="14"/>
    <n v="591.21428571428567"/>
    <s v="Chicago"/>
    <s v="English"/>
    <n v="116"/>
    <n v="1619"/>
    <n v="1"/>
    <s v="Health &amp; Wellness"/>
    <x v="175"/>
  </r>
  <r>
    <s v="DataTech Solutions"/>
    <x v="3"/>
    <s v="All Ages"/>
    <s v="15 days"/>
    <x v="5"/>
    <n v="0.11"/>
    <n v="19765"/>
    <n v="5.82"/>
    <n v="44"/>
    <n v="449.20454545454544"/>
    <s v="New York"/>
    <s v="Spanish"/>
    <n v="398"/>
    <n v="4619"/>
    <n v="3"/>
    <s v="Tech Enthusiasts"/>
    <x v="176"/>
  </r>
  <r>
    <s v="NexGen Systems"/>
    <x v="1"/>
    <s v="Men 25-34"/>
    <s v="45 days"/>
    <x v="2"/>
    <n v="0.02"/>
    <n v="12541"/>
    <n v="7.2"/>
    <n v="5"/>
    <n v="2508.1999999999998"/>
    <s v="Chicago"/>
    <s v="German"/>
    <n v="233"/>
    <n v="8341"/>
    <n v="2"/>
    <s v="Health &amp; Wellness"/>
    <x v="177"/>
  </r>
  <r>
    <s v="Alpha Innovations"/>
    <x v="4"/>
    <s v="Men 25-34"/>
    <s v="30 days"/>
    <x v="0"/>
    <n v="0.05"/>
    <n v="12346"/>
    <n v="3.99"/>
    <n v="38"/>
    <n v="324.89473684210526"/>
    <s v="Houston"/>
    <s v="English"/>
    <n v="768"/>
    <n v="1518"/>
    <n v="5"/>
    <s v="Tech Enthusiasts"/>
    <x v="178"/>
  </r>
  <r>
    <s v="TechCorp"/>
    <x v="3"/>
    <s v="Men 18-24"/>
    <s v="15 days"/>
    <x v="4"/>
    <n v="0.1"/>
    <n v="14027"/>
    <n v="2.95"/>
    <n v="33"/>
    <n v="425.06060606060606"/>
    <s v="Los Angeles"/>
    <s v="Mandarin"/>
    <n v="328"/>
    <n v="8110"/>
    <n v="3"/>
    <s v="Outdoor Adventurers"/>
    <x v="179"/>
  </r>
  <r>
    <s v="DataTech Solutions"/>
    <x v="1"/>
    <s v="Women 35-44"/>
    <s v="30 days"/>
    <x v="2"/>
    <n v="0.05"/>
    <n v="18575"/>
    <n v="4.29"/>
    <n v="28"/>
    <n v="663.39285714285711"/>
    <s v="New York"/>
    <s v="Spanish"/>
    <n v="558"/>
    <n v="4508"/>
    <n v="6"/>
    <s v="Foodies"/>
    <x v="180"/>
  </r>
  <r>
    <s v="TechCorp"/>
    <x v="0"/>
    <s v="Men 18-24"/>
    <s v="45 days"/>
    <x v="3"/>
    <n v="0.11"/>
    <n v="16295"/>
    <n v="5.65"/>
    <n v="23"/>
    <n v="708.47826086956525"/>
    <s v="New York"/>
    <s v="English"/>
    <n v="208"/>
    <n v="6486"/>
    <n v="5"/>
    <s v="Fashionistas"/>
    <x v="181"/>
  </r>
  <r>
    <s v="Alpha Innovations"/>
    <x v="4"/>
    <s v="Women 25-34"/>
    <s v="30 days"/>
    <x v="4"/>
    <n v="0.09"/>
    <n v="14564"/>
    <n v="6.68"/>
    <n v="27"/>
    <n v="539.40740740740739"/>
    <s v="Los Angeles"/>
    <s v="Mandarin"/>
    <n v="301"/>
    <n v="6375"/>
    <n v="1"/>
    <s v="Tech Enthusiasts"/>
    <x v="182"/>
  </r>
  <r>
    <s v="TechCorp"/>
    <x v="3"/>
    <s v="Women 25-34"/>
    <s v="60 days"/>
    <x v="2"/>
    <n v="0.15"/>
    <n v="12758"/>
    <n v="7.22"/>
    <n v="36"/>
    <n v="354.38888888888891"/>
    <s v="Chicago"/>
    <s v="English"/>
    <n v="240"/>
    <n v="3140"/>
    <n v="5"/>
    <s v="Fashionistas"/>
    <x v="183"/>
  </r>
  <r>
    <s v="TechCorp"/>
    <x v="1"/>
    <s v="Women 35-44"/>
    <s v="45 days"/>
    <x v="0"/>
    <n v="0.01"/>
    <n v="7581"/>
    <n v="7.97"/>
    <n v="8"/>
    <n v="947.625"/>
    <s v="Miami"/>
    <s v="English"/>
    <n v="845"/>
    <n v="3041"/>
    <n v="8"/>
    <s v="Fashionistas"/>
    <x v="184"/>
  </r>
  <r>
    <s v="TechCorp"/>
    <x v="4"/>
    <s v="All Ages"/>
    <s v="15 days"/>
    <x v="2"/>
    <n v="0.14000000000000001"/>
    <n v="19329"/>
    <n v="7.85"/>
    <n v="42"/>
    <n v="460.21428571428572"/>
    <s v="Los Angeles"/>
    <s v="German"/>
    <n v="300"/>
    <n v="8519"/>
    <n v="1"/>
    <s v="Tech Enthusiasts"/>
    <x v="185"/>
  </r>
  <r>
    <s v="Alpha Innovations"/>
    <x v="4"/>
    <s v="All Ages"/>
    <s v="30 days"/>
    <x v="0"/>
    <n v="0.12"/>
    <n v="8016"/>
    <n v="6.21"/>
    <n v="57"/>
    <n v="140.63157894736841"/>
    <s v="Miami"/>
    <s v="Mandarin"/>
    <n v="473"/>
    <n v="5835"/>
    <n v="7"/>
    <s v="Health &amp; Wellness"/>
    <x v="186"/>
  </r>
  <r>
    <s v="TechCorp"/>
    <x v="4"/>
    <s v="Men 25-34"/>
    <s v="60 days"/>
    <x v="4"/>
    <n v="0.1"/>
    <n v="11794"/>
    <n v="7.77"/>
    <n v="38"/>
    <n v="310.36842105263156"/>
    <s v="Los Angeles"/>
    <s v="French"/>
    <n v="383"/>
    <n v="5176"/>
    <n v="9"/>
    <s v="Fashionistas"/>
    <x v="187"/>
  </r>
  <r>
    <s v="Innovate Industries"/>
    <x v="2"/>
    <s v="Women 35-44"/>
    <s v="60 days"/>
    <x v="4"/>
    <n v="0.15"/>
    <n v="15777"/>
    <n v="5.65"/>
    <n v="17"/>
    <n v="928.05882352941171"/>
    <s v="Chicago"/>
    <s v="French"/>
    <n v="116"/>
    <n v="9229"/>
    <n v="9"/>
    <s v="Foodies"/>
    <x v="188"/>
  </r>
  <r>
    <s v="TechCorp"/>
    <x v="4"/>
    <s v="Men 25-34"/>
    <s v="15 days"/>
    <x v="2"/>
    <n v="0.01"/>
    <n v="13152"/>
    <n v="5.0599999999999996"/>
    <n v="5"/>
    <n v="2630.4"/>
    <s v="Chicago"/>
    <s v="German"/>
    <n v="546"/>
    <n v="3746"/>
    <n v="4"/>
    <s v="Fashionistas"/>
    <x v="189"/>
  </r>
  <r>
    <s v="NexGen Systems"/>
    <x v="0"/>
    <s v="Men 25-34"/>
    <s v="45 days"/>
    <x v="1"/>
    <n v="0.01"/>
    <n v="17657"/>
    <n v="5.59"/>
    <n v="5"/>
    <n v="3531.4"/>
    <s v="Los Angeles"/>
    <s v="Mandarin"/>
    <n v="479"/>
    <n v="5169"/>
    <n v="3"/>
    <s v="Outdoor Adventurers"/>
    <x v="190"/>
  </r>
  <r>
    <s v="Alpha Innovations"/>
    <x v="2"/>
    <s v="Men 25-34"/>
    <s v="45 days"/>
    <x v="5"/>
    <n v="0.14000000000000001"/>
    <n v="13017"/>
    <n v="5.99"/>
    <n v="98"/>
    <n v="132.82653061224491"/>
    <s v="Chicago"/>
    <s v="German"/>
    <n v="700"/>
    <n v="1640"/>
    <n v="9"/>
    <s v="Outdoor Adventurers"/>
    <x v="191"/>
  </r>
  <r>
    <s v="Innovate Industries"/>
    <x v="0"/>
    <s v="Women 35-44"/>
    <s v="30 days"/>
    <x v="3"/>
    <n v="0.1"/>
    <n v="8913"/>
    <n v="6.15"/>
    <n v="25"/>
    <n v="356.52"/>
    <s v="Miami"/>
    <s v="English"/>
    <n v="254"/>
    <n v="6718"/>
    <n v="3"/>
    <s v="Fashionistas"/>
    <x v="192"/>
  </r>
  <r>
    <s v="TechCorp"/>
    <x v="1"/>
    <s v="Men 25-34"/>
    <s v="45 days"/>
    <x v="3"/>
    <n v="0.06"/>
    <n v="17745"/>
    <n v="2.1"/>
    <n v="45"/>
    <n v="394.33333333333331"/>
    <s v="Houston"/>
    <s v="Mandarin"/>
    <n v="753"/>
    <n v="9893"/>
    <n v="10"/>
    <s v="Tech Enthusiasts"/>
    <x v="193"/>
  </r>
  <r>
    <s v="DataTech Solutions"/>
    <x v="1"/>
    <s v="All Ages"/>
    <s v="60 days"/>
    <x v="2"/>
    <n v="0.04"/>
    <n v="13236"/>
    <n v="5.78"/>
    <n v="29"/>
    <n v="456.41379310344826"/>
    <s v="Houston"/>
    <s v="Spanish"/>
    <n v="724"/>
    <n v="1458"/>
    <n v="7"/>
    <s v="Outdoor Adventurers"/>
    <x v="194"/>
  </r>
  <r>
    <s v="DataTech Solutions"/>
    <x v="1"/>
    <s v="All Ages"/>
    <s v="30 days"/>
    <x v="0"/>
    <n v="0.15"/>
    <n v="13158"/>
    <n v="7.36"/>
    <n v="33"/>
    <n v="398.72727272727275"/>
    <s v="Los Angeles"/>
    <s v="Mandarin"/>
    <n v="220"/>
    <n v="8714"/>
    <n v="10"/>
    <s v="Fashionistas"/>
    <x v="195"/>
  </r>
  <r>
    <s v="DataTech Solutions"/>
    <x v="2"/>
    <s v="Men 25-34"/>
    <s v="60 days"/>
    <x v="2"/>
    <n v="7.0000000000000007E-2"/>
    <n v="6139"/>
    <n v="2.04"/>
    <n v="46"/>
    <n v="133.45652173913044"/>
    <s v="Chicago"/>
    <s v="Mandarin"/>
    <n v="650"/>
    <n v="2452"/>
    <n v="4"/>
    <s v="Health &amp; Wellness"/>
    <x v="196"/>
  </r>
  <r>
    <s v="TechCorp"/>
    <x v="4"/>
    <s v="Men 18-24"/>
    <s v="30 days"/>
    <x v="1"/>
    <n v="0.1"/>
    <n v="17435"/>
    <n v="7.7"/>
    <n v="35"/>
    <n v="498.14285714285717"/>
    <s v="Houston"/>
    <s v="English"/>
    <n v="354"/>
    <n v="3271"/>
    <n v="2"/>
    <s v="Fashionistas"/>
    <x v="197"/>
  </r>
  <r>
    <s v="Alpha Innovations"/>
    <x v="3"/>
    <s v="Men 18-24"/>
    <s v="30 days"/>
    <x v="4"/>
    <n v="0.02"/>
    <n v="10383"/>
    <n v="7.76"/>
    <n v="14"/>
    <n v="741.64285714285711"/>
    <s v="Los Angeles"/>
    <s v="French"/>
    <n v="711"/>
    <n v="9490"/>
    <n v="9"/>
    <s v="Fashionistas"/>
    <x v="198"/>
  </r>
  <r>
    <s v="DataTech Solutions"/>
    <x v="3"/>
    <s v="Men 25-34"/>
    <s v="15 days"/>
    <x v="0"/>
    <n v="7.0000000000000007E-2"/>
    <n v="12742"/>
    <n v="2.5499999999999998"/>
    <n v="32"/>
    <n v="398.1875"/>
    <s v="New York"/>
    <s v="German"/>
    <n v="453"/>
    <n v="2024"/>
    <n v="9"/>
    <s v="Tech Enthusiasts"/>
    <x v="199"/>
  </r>
  <r>
    <s v="NexGen Systems"/>
    <x v="2"/>
    <s v="Men 25-34"/>
    <s v="45 days"/>
    <x v="1"/>
    <n v="7.0000000000000007E-2"/>
    <n v="17154"/>
    <n v="5.98"/>
    <n v="48"/>
    <n v="357.375"/>
    <s v="Miami"/>
    <s v="German"/>
    <n v="682"/>
    <n v="8716"/>
    <n v="8"/>
    <s v="Fashionistas"/>
    <x v="200"/>
  </r>
  <r>
    <s v="TechCorp"/>
    <x v="2"/>
    <s v="Men 25-34"/>
    <s v="15 days"/>
    <x v="1"/>
    <n v="0.06"/>
    <n v="10258"/>
    <n v="6.98"/>
    <n v="57"/>
    <n v="179.96491228070175"/>
    <s v="Chicago"/>
    <s v="French"/>
    <n v="947"/>
    <n v="5879"/>
    <n v="2"/>
    <s v="Fashionistas"/>
    <x v="201"/>
  </r>
  <r>
    <s v="DataTech Solutions"/>
    <x v="4"/>
    <s v="All Ages"/>
    <s v="60 days"/>
    <x v="3"/>
    <n v="0.02"/>
    <n v="18158"/>
    <n v="2.13"/>
    <n v="9"/>
    <n v="2017.5555555555557"/>
    <s v="Miami"/>
    <s v="German"/>
    <n v="445"/>
    <n v="4287"/>
    <n v="3"/>
    <s v="Health &amp; Wellness"/>
    <x v="202"/>
  </r>
  <r>
    <s v="Alpha Innovations"/>
    <x v="4"/>
    <s v="Men 25-34"/>
    <s v="15 days"/>
    <x v="5"/>
    <n v="0.06"/>
    <n v="11359"/>
    <n v="4.76"/>
    <n v="46"/>
    <n v="246.93478260869566"/>
    <s v="Houston"/>
    <s v="Mandarin"/>
    <n v="770"/>
    <n v="5846"/>
    <n v="1"/>
    <s v="Tech Enthusiasts"/>
    <x v="203"/>
  </r>
  <r>
    <s v="TechCorp"/>
    <x v="4"/>
    <s v="All Ages"/>
    <s v="30 days"/>
    <x v="3"/>
    <n v="0.01"/>
    <n v="15889"/>
    <n v="2.4"/>
    <n v="6"/>
    <n v="2648.1666666666665"/>
    <s v="Los Angeles"/>
    <s v="Mandarin"/>
    <n v="557"/>
    <n v="9375"/>
    <n v="9"/>
    <s v="Health &amp; Wellness"/>
    <x v="204"/>
  </r>
  <r>
    <s v="Innovate Industries"/>
    <x v="1"/>
    <s v="Men 25-34"/>
    <s v="15 days"/>
    <x v="5"/>
    <n v="0.02"/>
    <n v="7028"/>
    <n v="6.59"/>
    <n v="16"/>
    <n v="439.25"/>
    <s v="Miami"/>
    <s v="Spanish"/>
    <n v="802"/>
    <n v="8768"/>
    <n v="7"/>
    <s v="Foodies"/>
    <x v="205"/>
  </r>
  <r>
    <s v="TechCorp"/>
    <x v="0"/>
    <s v="Men 18-24"/>
    <s v="15 days"/>
    <x v="2"/>
    <n v="0.08"/>
    <n v="15089"/>
    <n v="7.9"/>
    <n v="67"/>
    <n v="225.20895522388059"/>
    <s v="Chicago"/>
    <s v="French"/>
    <n v="833"/>
    <n v="8262"/>
    <n v="6"/>
    <s v="Foodies"/>
    <x v="206"/>
  </r>
  <r>
    <s v="NexGen Systems"/>
    <x v="1"/>
    <s v="Women 35-44"/>
    <s v="45 days"/>
    <x v="4"/>
    <n v="0.04"/>
    <n v="6085"/>
    <n v="2.59"/>
    <n v="25"/>
    <n v="243.4"/>
    <s v="Houston"/>
    <s v="Mandarin"/>
    <n v="613"/>
    <n v="1525"/>
    <n v="7"/>
    <s v="Fashionistas"/>
    <x v="207"/>
  </r>
  <r>
    <s v="Alpha Innovations"/>
    <x v="0"/>
    <s v="All Ages"/>
    <s v="45 days"/>
    <x v="4"/>
    <n v="0.02"/>
    <n v="10907"/>
    <n v="4.12"/>
    <n v="18"/>
    <n v="605.94444444444446"/>
    <s v="Chicago"/>
    <s v="French"/>
    <n v="883"/>
    <n v="6481"/>
    <n v="8"/>
    <s v="Fashionistas"/>
    <x v="208"/>
  </r>
  <r>
    <s v="NexGen Systems"/>
    <x v="4"/>
    <s v="Women 25-34"/>
    <s v="45 days"/>
    <x v="0"/>
    <n v="0.04"/>
    <n v="9862"/>
    <n v="3.45"/>
    <n v="8"/>
    <n v="1232.75"/>
    <s v="Miami"/>
    <s v="French"/>
    <n v="190"/>
    <n v="4700"/>
    <n v="1"/>
    <s v="Outdoor Adventurers"/>
    <x v="209"/>
  </r>
  <r>
    <s v="DataTech Solutions"/>
    <x v="2"/>
    <s v="Men 25-34"/>
    <s v="60 days"/>
    <x v="3"/>
    <n v="0.08"/>
    <n v="10918"/>
    <n v="6.19"/>
    <n v="26"/>
    <n v="419.92307692307691"/>
    <s v="Los Angeles"/>
    <s v="German"/>
    <n v="325"/>
    <n v="2307"/>
    <n v="8"/>
    <s v="Foodies"/>
    <x v="210"/>
  </r>
  <r>
    <s v="Alpha Innovations"/>
    <x v="0"/>
    <s v="All Ages"/>
    <s v="45 days"/>
    <x v="5"/>
    <n v="0.02"/>
    <n v="7083"/>
    <n v="2.46"/>
    <n v="17"/>
    <n v="416.64705882352939"/>
    <s v="Chicago"/>
    <s v="Mandarin"/>
    <n v="864"/>
    <n v="6767"/>
    <n v="6"/>
    <s v="Foodies"/>
    <x v="211"/>
  </r>
  <r>
    <s v="TechCorp"/>
    <x v="0"/>
    <s v="Women 35-44"/>
    <s v="60 days"/>
    <x v="2"/>
    <n v="0.01"/>
    <n v="5641"/>
    <n v="4.74"/>
    <n v="6"/>
    <n v="940.16666666666663"/>
    <s v="Los Angeles"/>
    <s v="Mandarin"/>
    <n v="629"/>
    <n v="8721"/>
    <n v="7"/>
    <s v="Health &amp; Wellness"/>
    <x v="212"/>
  </r>
  <r>
    <s v="Alpha Innovations"/>
    <x v="3"/>
    <s v="Men 25-34"/>
    <s v="30 days"/>
    <x v="1"/>
    <n v="0.03"/>
    <n v="16072"/>
    <n v="4.67"/>
    <n v="21"/>
    <n v="765.33333333333337"/>
    <s v="New York"/>
    <s v="Spanish"/>
    <n v="686"/>
    <n v="2877"/>
    <n v="6"/>
    <s v="Foodies"/>
    <x v="213"/>
  </r>
  <r>
    <s v="TechCorp"/>
    <x v="0"/>
    <s v="Women 35-44"/>
    <s v="60 days"/>
    <x v="0"/>
    <n v="0.03"/>
    <n v="13893"/>
    <n v="3.2"/>
    <n v="22"/>
    <n v="631.5"/>
    <s v="New York"/>
    <s v="English"/>
    <n v="747"/>
    <n v="9147"/>
    <n v="7"/>
    <s v="Health &amp; Wellness"/>
    <x v="214"/>
  </r>
  <r>
    <s v="NexGen Systems"/>
    <x v="2"/>
    <s v="Women 25-34"/>
    <s v="45 days"/>
    <x v="3"/>
    <n v="0.08"/>
    <n v="12271"/>
    <n v="7.9"/>
    <n v="79"/>
    <n v="155.32911392405063"/>
    <s v="Chicago"/>
    <s v="Mandarin"/>
    <n v="988"/>
    <n v="3459"/>
    <n v="8"/>
    <s v="Fashionistas"/>
    <x v="215"/>
  </r>
  <r>
    <s v="Innovate Industries"/>
    <x v="4"/>
    <s v="Women 25-34"/>
    <s v="45 days"/>
    <x v="3"/>
    <n v="0.12"/>
    <n v="11399"/>
    <n v="3.24"/>
    <n v="106"/>
    <n v="107.5377358490566"/>
    <s v="New York"/>
    <s v="Spanish"/>
    <n v="880"/>
    <n v="2777"/>
    <n v="2"/>
    <s v="Outdoor Adventurers"/>
    <x v="216"/>
  </r>
  <r>
    <s v="DataTech Solutions"/>
    <x v="3"/>
    <s v="All Ages"/>
    <s v="45 days"/>
    <x v="1"/>
    <n v="0.1"/>
    <n v="6529"/>
    <n v="5.31"/>
    <n v="26"/>
    <n v="251.11538461538461"/>
    <s v="Houston"/>
    <s v="Mandarin"/>
    <n v="261"/>
    <n v="3446"/>
    <n v="3"/>
    <s v="Outdoor Adventurers"/>
    <x v="217"/>
  </r>
  <r>
    <s v="Innovate Industries"/>
    <x v="0"/>
    <s v="Men 18-24"/>
    <s v="30 days"/>
    <x v="3"/>
    <n v="0.08"/>
    <n v="9747"/>
    <n v="6.36"/>
    <n v="39"/>
    <n v="249.92307692307693"/>
    <s v="Miami"/>
    <s v="French"/>
    <n v="482"/>
    <n v="9844"/>
    <n v="9"/>
    <s v="Foodies"/>
    <x v="218"/>
  </r>
  <r>
    <s v="Alpha Innovations"/>
    <x v="4"/>
    <s v="Men 18-24"/>
    <s v="60 days"/>
    <x v="4"/>
    <n v="0.05"/>
    <n v="15211"/>
    <n v="7.99"/>
    <n v="16"/>
    <n v="950.6875"/>
    <s v="New York"/>
    <s v="German"/>
    <n v="318"/>
    <n v="6045"/>
    <n v="8"/>
    <s v="Tech Enthusiasts"/>
    <x v="219"/>
  </r>
  <r>
    <s v="Innovate Industries"/>
    <x v="2"/>
    <s v="Men 18-24"/>
    <s v="60 days"/>
    <x v="4"/>
    <n v="0.01"/>
    <n v="16578"/>
    <n v="5.95"/>
    <n v="6"/>
    <n v="2763"/>
    <s v="Chicago"/>
    <s v="Spanish"/>
    <n v="559"/>
    <n v="4793"/>
    <n v="7"/>
    <s v="Tech Enthusiasts"/>
    <x v="220"/>
  </r>
  <r>
    <s v="Alpha Innovations"/>
    <x v="4"/>
    <s v="Women 25-34"/>
    <s v="45 days"/>
    <x v="3"/>
    <n v="0.11"/>
    <n v="6923"/>
    <n v="2.2000000000000002"/>
    <n v="91"/>
    <n v="76.07692307692308"/>
    <s v="Houston"/>
    <s v="French"/>
    <n v="827"/>
    <n v="8751"/>
    <n v="7"/>
    <s v="Fashionistas"/>
    <x v="221"/>
  </r>
  <r>
    <s v="Alpha Innovations"/>
    <x v="4"/>
    <s v="All Ages"/>
    <s v="15 days"/>
    <x v="3"/>
    <n v="7.0000000000000007E-2"/>
    <n v="7972"/>
    <n v="7.71"/>
    <n v="63"/>
    <n v="126.53968253968254"/>
    <s v="Los Angeles"/>
    <s v="German"/>
    <n v="896"/>
    <n v="7942"/>
    <n v="1"/>
    <s v="Health &amp; Wellness"/>
    <x v="222"/>
  </r>
  <r>
    <s v="DataTech Solutions"/>
    <x v="1"/>
    <s v="Men 25-34"/>
    <s v="45 days"/>
    <x v="4"/>
    <n v="0.04"/>
    <n v="6258"/>
    <n v="2.15"/>
    <n v="14"/>
    <n v="447"/>
    <s v="Chicago"/>
    <s v="German"/>
    <n v="340"/>
    <n v="3280"/>
    <n v="7"/>
    <s v="Tech Enthusiasts"/>
    <x v="223"/>
  </r>
  <r>
    <s v="DataTech Solutions"/>
    <x v="4"/>
    <s v="All Ages"/>
    <s v="30 days"/>
    <x v="4"/>
    <n v="0.03"/>
    <n v="9500"/>
    <n v="5.85"/>
    <n v="13"/>
    <n v="730.76923076923072"/>
    <s v="Chicago"/>
    <s v="French"/>
    <n v="424"/>
    <n v="4414"/>
    <n v="1"/>
    <s v="Health &amp; Wellness"/>
    <x v="224"/>
  </r>
  <r>
    <s v="TechCorp"/>
    <x v="4"/>
    <s v="All Ages"/>
    <s v="15 days"/>
    <x v="5"/>
    <n v="0.1"/>
    <n v="18701"/>
    <n v="5.01"/>
    <n v="17"/>
    <n v="1100.0588235294117"/>
    <s v="Los Angeles"/>
    <s v="English"/>
    <n v="169"/>
    <n v="2847"/>
    <n v="8"/>
    <s v="Fashionistas"/>
    <x v="225"/>
  </r>
  <r>
    <s v="NexGen Systems"/>
    <x v="2"/>
    <s v="Men 18-24"/>
    <s v="60 days"/>
    <x v="2"/>
    <n v="0.13"/>
    <n v="9259"/>
    <n v="2.68"/>
    <n v="50"/>
    <n v="185.18"/>
    <s v="Miami"/>
    <s v="German"/>
    <n v="383"/>
    <n v="1145"/>
    <n v="5"/>
    <s v="Outdoor Adventurers"/>
    <x v="226"/>
  </r>
  <r>
    <s v="TechCorp"/>
    <x v="3"/>
    <s v="Men 25-34"/>
    <s v="15 days"/>
    <x v="4"/>
    <n v="7.0000000000000007E-2"/>
    <n v="11829"/>
    <n v="3.3"/>
    <n v="27"/>
    <n v="438.11111111111109"/>
    <s v="Los Angeles"/>
    <s v="English"/>
    <n v="389"/>
    <n v="3921"/>
    <n v="6"/>
    <s v="Health &amp; Wellness"/>
    <x v="227"/>
  </r>
  <r>
    <s v="TechCorp"/>
    <x v="0"/>
    <s v="Men 18-24"/>
    <s v="45 days"/>
    <x v="3"/>
    <n v="0.03"/>
    <n v="11961"/>
    <n v="4.26"/>
    <n v="8"/>
    <n v="1495.125"/>
    <s v="Chicago"/>
    <s v="English"/>
    <n v="269"/>
    <n v="1055"/>
    <n v="1"/>
    <s v="Health &amp; Wellness"/>
    <x v="228"/>
  </r>
  <r>
    <s v="Alpha Innovations"/>
    <x v="2"/>
    <s v="Men 18-24"/>
    <s v="45 days"/>
    <x v="1"/>
    <n v="0.05"/>
    <n v="7174"/>
    <n v="6.7"/>
    <n v="40"/>
    <n v="179.35"/>
    <s v="New York"/>
    <s v="English"/>
    <n v="797"/>
    <n v="2365"/>
    <n v="1"/>
    <s v="Foodies"/>
    <x v="229"/>
  </r>
  <r>
    <s v="NexGen Systems"/>
    <x v="4"/>
    <s v="Women 25-34"/>
    <s v="15 days"/>
    <x v="5"/>
    <n v="0.11"/>
    <n v="15119"/>
    <n v="4.12"/>
    <n v="48"/>
    <n v="314.97916666666669"/>
    <s v="Chicago"/>
    <s v="Spanish"/>
    <n v="435"/>
    <n v="5824"/>
    <n v="1"/>
    <s v="Foodies"/>
    <x v="230"/>
  </r>
  <r>
    <s v="Innovate Industries"/>
    <x v="4"/>
    <s v="Men 25-34"/>
    <s v="30 days"/>
    <x v="5"/>
    <n v="0.09"/>
    <n v="8433"/>
    <n v="5.46"/>
    <n v="42"/>
    <n v="200.78571428571428"/>
    <s v="Chicago"/>
    <s v="Spanish"/>
    <n v="471"/>
    <n v="1810"/>
    <n v="2"/>
    <s v="Tech Enthusiasts"/>
    <x v="231"/>
  </r>
  <r>
    <s v="NexGen Systems"/>
    <x v="3"/>
    <s v="Men 25-34"/>
    <s v="60 days"/>
    <x v="4"/>
    <n v="0.03"/>
    <n v="18071"/>
    <n v="2.33"/>
    <n v="18"/>
    <n v="1003.9444444444445"/>
    <s v="New York"/>
    <s v="Spanish"/>
    <n v="607"/>
    <n v="4500"/>
    <n v="4"/>
    <s v="Foodies"/>
    <x v="232"/>
  </r>
  <r>
    <s v="DataTech Solutions"/>
    <x v="0"/>
    <s v="Women 25-34"/>
    <s v="30 days"/>
    <x v="0"/>
    <n v="0.15"/>
    <n v="10199"/>
    <n v="5.04"/>
    <n v="113"/>
    <n v="90.256637168141594"/>
    <s v="Houston"/>
    <s v="Mandarin"/>
    <n v="751"/>
    <n v="5971"/>
    <n v="2"/>
    <s v="Tech Enthusiasts"/>
    <x v="233"/>
  </r>
  <r>
    <s v="TechCorp"/>
    <x v="1"/>
    <s v="Women 35-44"/>
    <s v="60 days"/>
    <x v="5"/>
    <n v="0.05"/>
    <n v="10850"/>
    <n v="4.5999999999999996"/>
    <n v="46"/>
    <n v="235.86956521739131"/>
    <s v="Chicago"/>
    <s v="Mandarin"/>
    <n v="926"/>
    <n v="7762"/>
    <n v="9"/>
    <s v="Fashionistas"/>
    <x v="234"/>
  </r>
  <r>
    <s v="DataTech Solutions"/>
    <x v="2"/>
    <s v="Women 25-34"/>
    <s v="15 days"/>
    <x v="4"/>
    <n v="0.06"/>
    <n v="19505"/>
    <n v="7.74"/>
    <n v="32"/>
    <n v="609.53125"/>
    <s v="New York"/>
    <s v="Mandarin"/>
    <n v="537"/>
    <n v="8422"/>
    <n v="7"/>
    <s v="Outdoor Adventurers"/>
    <x v="235"/>
  </r>
  <r>
    <s v="Alpha Innovations"/>
    <x v="1"/>
    <s v="All Ages"/>
    <s v="60 days"/>
    <x v="3"/>
    <n v="0.06"/>
    <n v="7183"/>
    <n v="2.65"/>
    <n v="52"/>
    <n v="138.13461538461539"/>
    <s v="Los Angeles"/>
    <s v="French"/>
    <n v="863"/>
    <n v="8950"/>
    <n v="6"/>
    <s v="Fashionistas"/>
    <x v="236"/>
  </r>
  <r>
    <s v="TechCorp"/>
    <x v="2"/>
    <s v="Women 35-44"/>
    <s v="15 days"/>
    <x v="5"/>
    <n v="0.02"/>
    <n v="5964"/>
    <n v="5.15"/>
    <n v="18"/>
    <n v="331.33333333333331"/>
    <s v="Miami"/>
    <s v="German"/>
    <n v="919"/>
    <n v="5144"/>
    <n v="7"/>
    <s v="Outdoor Adventurers"/>
    <x v="237"/>
  </r>
  <r>
    <s v="TechCorp"/>
    <x v="4"/>
    <s v="Men 18-24"/>
    <s v="60 days"/>
    <x v="2"/>
    <n v="0.01"/>
    <n v="19646"/>
    <n v="6.17"/>
    <n v="3"/>
    <n v="6548.666666666667"/>
    <s v="Chicago"/>
    <s v="English"/>
    <n v="283"/>
    <n v="8489"/>
    <n v="2"/>
    <s v="Fashionistas"/>
    <x v="238"/>
  </r>
  <r>
    <s v="NexGen Systems"/>
    <x v="1"/>
    <s v="Women 35-44"/>
    <s v="45 days"/>
    <x v="5"/>
    <n v="0.11"/>
    <n v="9827"/>
    <n v="3.26"/>
    <n v="63"/>
    <n v="155.98412698412699"/>
    <s v="Houston"/>
    <s v="English"/>
    <n v="576"/>
    <n v="3009"/>
    <n v="6"/>
    <s v="Foodies"/>
    <x v="239"/>
  </r>
  <r>
    <s v="TechCorp"/>
    <x v="2"/>
    <s v="Women 25-34"/>
    <s v="60 days"/>
    <x v="4"/>
    <n v="0.09"/>
    <n v="12965"/>
    <n v="2.0699999999999998"/>
    <n v="17"/>
    <n v="762.64705882352939"/>
    <s v="Los Angeles"/>
    <s v="German"/>
    <n v="186"/>
    <n v="6375"/>
    <n v="9"/>
    <s v="Fashionistas"/>
    <x v="240"/>
  </r>
  <r>
    <s v="DataTech Solutions"/>
    <x v="0"/>
    <s v="Women 35-44"/>
    <s v="15 days"/>
    <x v="5"/>
    <n v="7.0000000000000007E-2"/>
    <n v="11787"/>
    <n v="3.71"/>
    <n v="20"/>
    <n v="589.35"/>
    <s v="Chicago"/>
    <s v="English"/>
    <n v="289"/>
    <n v="8699"/>
    <n v="6"/>
    <s v="Outdoor Adventurers"/>
    <x v="241"/>
  </r>
  <r>
    <s v="Alpha Innovations"/>
    <x v="4"/>
    <s v="Women 25-34"/>
    <s v="15 days"/>
    <x v="1"/>
    <n v="0.09"/>
    <n v="18187"/>
    <n v="4.3099999999999996"/>
    <n v="32"/>
    <n v="568.34375"/>
    <s v="Miami"/>
    <s v="Mandarin"/>
    <n v="358"/>
    <n v="1939"/>
    <n v="6"/>
    <s v="Health &amp; Wellness"/>
    <x v="242"/>
  </r>
  <r>
    <s v="NexGen Systems"/>
    <x v="0"/>
    <s v="Women 35-44"/>
    <s v="45 days"/>
    <x v="5"/>
    <n v="0.14000000000000001"/>
    <n v="13057"/>
    <n v="2.96"/>
    <n v="49"/>
    <n v="266.46938775510205"/>
    <s v="Houston"/>
    <s v="English"/>
    <n v="353"/>
    <n v="8421"/>
    <n v="4"/>
    <s v="Foodies"/>
    <x v="243"/>
  </r>
  <r>
    <s v="NexGen Systems"/>
    <x v="0"/>
    <s v="Men 25-34"/>
    <s v="15 days"/>
    <x v="4"/>
    <n v="0.12"/>
    <n v="17382"/>
    <n v="7.56"/>
    <n v="75"/>
    <n v="231.76"/>
    <s v="Miami"/>
    <s v="French"/>
    <n v="622"/>
    <n v="8917"/>
    <n v="6"/>
    <s v="Outdoor Adventurers"/>
    <x v="244"/>
  </r>
  <r>
    <s v="NexGen Systems"/>
    <x v="4"/>
    <s v="Women 35-44"/>
    <s v="30 days"/>
    <x v="0"/>
    <n v="0.04"/>
    <n v="18222"/>
    <n v="5.41"/>
    <n v="13"/>
    <n v="1401.6923076923076"/>
    <s v="Houston"/>
    <s v="Mandarin"/>
    <n v="328"/>
    <n v="7497"/>
    <n v="2"/>
    <s v="Foodies"/>
    <x v="245"/>
  </r>
  <r>
    <s v="TechCorp"/>
    <x v="2"/>
    <s v="All Ages"/>
    <s v="30 days"/>
    <x v="5"/>
    <n v="0.11"/>
    <n v="16827"/>
    <n v="4.7699999999999996"/>
    <n v="34"/>
    <n v="494.91176470588238"/>
    <s v="Los Angeles"/>
    <s v="English"/>
    <n v="310"/>
    <n v="1968"/>
    <n v="2"/>
    <s v="Foodies"/>
    <x v="246"/>
  </r>
  <r>
    <s v="NexGen Systems"/>
    <x v="2"/>
    <s v="Men 18-24"/>
    <s v="60 days"/>
    <x v="1"/>
    <n v="0.15"/>
    <n v="18596"/>
    <n v="7"/>
    <n v="57"/>
    <n v="326.24561403508773"/>
    <s v="New York"/>
    <s v="English"/>
    <n v="382"/>
    <n v="1877"/>
    <n v="9"/>
    <s v="Tech Enthusiasts"/>
    <x v="247"/>
  </r>
  <r>
    <s v="Innovate Industries"/>
    <x v="1"/>
    <s v="Men 18-24"/>
    <s v="45 days"/>
    <x v="5"/>
    <n v="0.11"/>
    <n v="14612"/>
    <n v="2.82"/>
    <n v="19"/>
    <n v="769.0526315789474"/>
    <s v="Miami"/>
    <s v="English"/>
    <n v="172"/>
    <n v="4288"/>
    <n v="7"/>
    <s v="Outdoor Adventurers"/>
    <x v="248"/>
  </r>
  <r>
    <s v="Alpha Innovations"/>
    <x v="4"/>
    <s v="Men 18-24"/>
    <s v="45 days"/>
    <x v="2"/>
    <n v="0.06"/>
    <n v="9248"/>
    <n v="2.5299999999999998"/>
    <n v="49"/>
    <n v="188.73469387755102"/>
    <s v="New York"/>
    <s v="Spanish"/>
    <n v="812"/>
    <n v="7723"/>
    <n v="10"/>
    <s v="Foodies"/>
    <x v="249"/>
  </r>
  <r>
    <s v="Alpha Innovations"/>
    <x v="4"/>
    <s v="Men 18-24"/>
    <s v="30 days"/>
    <x v="4"/>
    <n v="0.08"/>
    <n v="9243"/>
    <n v="3.98"/>
    <n v="67"/>
    <n v="137.955223880597"/>
    <s v="New York"/>
    <s v="French"/>
    <n v="835"/>
    <n v="6040"/>
    <n v="8"/>
    <s v="Foodies"/>
    <x v="250"/>
  </r>
  <r>
    <s v="Alpha Innovations"/>
    <x v="0"/>
    <s v="Men 25-34"/>
    <s v="30 days"/>
    <x v="5"/>
    <n v="0.11"/>
    <n v="8996"/>
    <n v="5.0999999999999996"/>
    <n v="93"/>
    <n v="96.731182795698928"/>
    <s v="Los Angeles"/>
    <s v="Mandarin"/>
    <n v="845"/>
    <n v="2047"/>
    <n v="9"/>
    <s v="Foodies"/>
    <x v="251"/>
  </r>
  <r>
    <s v="Alpha Innovations"/>
    <x v="3"/>
    <s v="All Ages"/>
    <s v="45 days"/>
    <x v="0"/>
    <n v="0.08"/>
    <n v="16904"/>
    <n v="6.03"/>
    <n v="17"/>
    <n v="994.35294117647061"/>
    <s v="Houston"/>
    <s v="Mandarin"/>
    <n v="208"/>
    <n v="8509"/>
    <n v="9"/>
    <s v="Health &amp; Wellness"/>
    <x v="252"/>
  </r>
  <r>
    <s v="DataTech Solutions"/>
    <x v="1"/>
    <s v="All Ages"/>
    <s v="15 days"/>
    <x v="4"/>
    <n v="0.1"/>
    <n v="18464"/>
    <n v="3.69"/>
    <n v="93"/>
    <n v="198.53763440860214"/>
    <s v="Los Angeles"/>
    <s v="Spanish"/>
    <n v="927"/>
    <n v="5818"/>
    <n v="3"/>
    <s v="Outdoor Adventurers"/>
    <x v="253"/>
  </r>
  <r>
    <s v="Innovate Industries"/>
    <x v="0"/>
    <s v="Women 35-44"/>
    <s v="30 days"/>
    <x v="4"/>
    <n v="0.1"/>
    <n v="10153"/>
    <n v="3.26"/>
    <n v="39"/>
    <n v="260.33333333333331"/>
    <s v="Miami"/>
    <s v="Spanish"/>
    <n v="390"/>
    <n v="4219"/>
    <n v="6"/>
    <s v="Outdoor Adventurers"/>
    <x v="254"/>
  </r>
  <r>
    <s v="TechCorp"/>
    <x v="3"/>
    <s v="All Ages"/>
    <s v="30 days"/>
    <x v="3"/>
    <n v="0.13"/>
    <n v="18015"/>
    <n v="7.86"/>
    <n v="90"/>
    <n v="200.16666666666666"/>
    <s v="New York"/>
    <s v="Spanish"/>
    <n v="690"/>
    <n v="2875"/>
    <n v="10"/>
    <s v="Tech Enthusiasts"/>
    <x v="255"/>
  </r>
  <r>
    <s v="TechCorp"/>
    <x v="3"/>
    <s v="Women 25-34"/>
    <s v="60 days"/>
    <x v="2"/>
    <n v="0.13"/>
    <n v="18304"/>
    <n v="7.25"/>
    <n v="61"/>
    <n v="300.06557377049182"/>
    <s v="New York"/>
    <s v="Spanish"/>
    <n v="469"/>
    <n v="7084"/>
    <n v="7"/>
    <s v="Fashionistas"/>
    <x v="256"/>
  </r>
  <r>
    <s v="Alpha Innovations"/>
    <x v="0"/>
    <s v="Men 25-34"/>
    <s v="45 days"/>
    <x v="5"/>
    <n v="7.0000000000000007E-2"/>
    <n v="18282"/>
    <n v="4.43"/>
    <n v="47"/>
    <n v="388.97872340425533"/>
    <s v="New York"/>
    <s v="Mandarin"/>
    <n v="668"/>
    <n v="5657"/>
    <n v="10"/>
    <s v="Tech Enthusiasts"/>
    <x v="257"/>
  </r>
  <r>
    <s v="NexGen Systems"/>
    <x v="3"/>
    <s v="Men 25-34"/>
    <s v="30 days"/>
    <x v="3"/>
    <n v="7.0000000000000007E-2"/>
    <n v="19914"/>
    <n v="3.16"/>
    <n v="40"/>
    <n v="497.85"/>
    <s v="Miami"/>
    <s v="German"/>
    <n v="570"/>
    <n v="2029"/>
    <n v="7"/>
    <s v="Tech Enthusiasts"/>
    <x v="258"/>
  </r>
  <r>
    <s v="Alpha Innovations"/>
    <x v="2"/>
    <s v="Women 35-44"/>
    <s v="15 days"/>
    <x v="2"/>
    <n v="0.05"/>
    <n v="12382"/>
    <n v="7.02"/>
    <n v="7"/>
    <n v="1768.8571428571429"/>
    <s v="New York"/>
    <s v="German"/>
    <n v="146"/>
    <n v="1252"/>
    <n v="7"/>
    <s v="Fashionistas"/>
    <x v="259"/>
  </r>
  <r>
    <s v="Innovate Industries"/>
    <x v="4"/>
    <s v="Men 25-34"/>
    <s v="60 days"/>
    <x v="2"/>
    <n v="0.14000000000000001"/>
    <n v="5716"/>
    <n v="4.4400000000000004"/>
    <n v="128"/>
    <n v="44.65625"/>
    <s v="Miami"/>
    <s v="Spanish"/>
    <n v="916"/>
    <n v="8745"/>
    <n v="6"/>
    <s v="Outdoor Adventurers"/>
    <x v="260"/>
  </r>
  <r>
    <s v="DataTech Solutions"/>
    <x v="1"/>
    <s v="Women 25-34"/>
    <s v="15 days"/>
    <x v="3"/>
    <n v="0.02"/>
    <n v="13086"/>
    <n v="2.71"/>
    <n v="11"/>
    <n v="1189.6363636363637"/>
    <s v="New York"/>
    <s v="German"/>
    <n v="565"/>
    <n v="8161"/>
    <n v="4"/>
    <s v="Outdoor Adventurers"/>
    <x v="261"/>
  </r>
  <r>
    <s v="TechCorp"/>
    <x v="2"/>
    <s v="Women 25-34"/>
    <s v="15 days"/>
    <x v="3"/>
    <n v="7.0000000000000007E-2"/>
    <n v="6092"/>
    <n v="5.49"/>
    <n v="29"/>
    <n v="210.06896551724137"/>
    <s v="Chicago"/>
    <s v="English"/>
    <n v="408"/>
    <n v="2577"/>
    <n v="4"/>
    <s v="Foodies"/>
    <x v="262"/>
  </r>
  <r>
    <s v="NexGen Systems"/>
    <x v="1"/>
    <s v="Men 18-24"/>
    <s v="60 days"/>
    <x v="3"/>
    <n v="7.0000000000000007E-2"/>
    <n v="9078"/>
    <n v="5.71"/>
    <n v="17"/>
    <n v="534"/>
    <s v="Chicago"/>
    <s v="Mandarin"/>
    <n v="237"/>
    <n v="3108"/>
    <n v="5"/>
    <s v="Health &amp; Wellness"/>
    <x v="263"/>
  </r>
  <r>
    <s v="Innovate Industries"/>
    <x v="1"/>
    <s v="Men 25-34"/>
    <s v="15 days"/>
    <x v="2"/>
    <n v="0.04"/>
    <n v="14124"/>
    <n v="5.52"/>
    <n v="36"/>
    <n v="392.33333333333331"/>
    <s v="Chicago"/>
    <s v="Mandarin"/>
    <n v="894"/>
    <n v="8222"/>
    <n v="10"/>
    <s v="Outdoor Adventurers"/>
    <x v="264"/>
  </r>
  <r>
    <s v="Alpha Innovations"/>
    <x v="0"/>
    <s v="Men 25-34"/>
    <s v="60 days"/>
    <x v="2"/>
    <n v="0.14000000000000001"/>
    <n v="10461"/>
    <n v="5.04"/>
    <n v="119"/>
    <n v="87.907563025210081"/>
    <s v="Los Angeles"/>
    <s v="Mandarin"/>
    <n v="852"/>
    <n v="1199"/>
    <n v="9"/>
    <s v="Foodies"/>
    <x v="265"/>
  </r>
  <r>
    <s v="DataTech Solutions"/>
    <x v="0"/>
    <s v="Men 18-24"/>
    <s v="45 days"/>
    <x v="1"/>
    <n v="0.02"/>
    <n v="8319"/>
    <n v="2.31"/>
    <n v="5"/>
    <n v="1663.8"/>
    <s v="Houston"/>
    <s v="German"/>
    <n v="262"/>
    <n v="1760"/>
    <n v="9"/>
    <s v="Outdoor Adventurers"/>
    <x v="266"/>
  </r>
  <r>
    <s v="Innovate Industries"/>
    <x v="0"/>
    <s v="Women 25-34"/>
    <s v="30 days"/>
    <x v="1"/>
    <n v="0.12"/>
    <n v="12734"/>
    <n v="5.7"/>
    <n v="20"/>
    <n v="636.70000000000005"/>
    <s v="Houston"/>
    <s v="Spanish"/>
    <n v="164"/>
    <n v="1481"/>
    <n v="10"/>
    <s v="Tech Enthusiasts"/>
    <x v="267"/>
  </r>
  <r>
    <s v="Innovate Industries"/>
    <x v="4"/>
    <s v="Women 25-34"/>
    <s v="15 days"/>
    <x v="2"/>
    <n v="0.14000000000000001"/>
    <n v="15315"/>
    <n v="3.62"/>
    <n v="119"/>
    <n v="128.69747899159663"/>
    <s v="Chicago"/>
    <s v="French"/>
    <n v="852"/>
    <n v="1058"/>
    <n v="9"/>
    <s v="Tech Enthusiasts"/>
    <x v="268"/>
  </r>
  <r>
    <s v="Innovate Industries"/>
    <x v="2"/>
    <s v="Women 25-34"/>
    <s v="45 days"/>
    <x v="4"/>
    <n v="0.05"/>
    <n v="5869"/>
    <n v="6.02"/>
    <n v="46"/>
    <n v="127.58695652173913"/>
    <s v="Chicago"/>
    <s v="English"/>
    <n v="925"/>
    <n v="7382"/>
    <n v="5"/>
    <s v="Fashionistas"/>
    <x v="269"/>
  </r>
  <r>
    <s v="DataTech Solutions"/>
    <x v="4"/>
    <s v="All Ages"/>
    <s v="45 days"/>
    <x v="0"/>
    <n v="0.14000000000000001"/>
    <n v="5691"/>
    <n v="6.05"/>
    <n v="21"/>
    <n v="271"/>
    <s v="Miami"/>
    <s v="German"/>
    <n v="148"/>
    <n v="6746"/>
    <n v="9"/>
    <s v="Tech Enthusiasts"/>
    <x v="270"/>
  </r>
  <r>
    <s v="DataTech Solutions"/>
    <x v="0"/>
    <s v="Women 25-34"/>
    <s v="30 days"/>
    <x v="0"/>
    <n v="0.08"/>
    <n v="13917"/>
    <n v="6.55"/>
    <n v="10"/>
    <n v="1391.7"/>
    <s v="Houston"/>
    <s v="English"/>
    <n v="121"/>
    <n v="2838"/>
    <n v="4"/>
    <s v="Outdoor Adventurers"/>
    <x v="271"/>
  </r>
  <r>
    <s v="DataTech Solutions"/>
    <x v="1"/>
    <s v="Men 18-24"/>
    <s v="15 days"/>
    <x v="5"/>
    <n v="0.05"/>
    <n v="10265"/>
    <n v="6.29"/>
    <n v="39"/>
    <n v="263.20512820512823"/>
    <s v="Houston"/>
    <s v="English"/>
    <n v="772"/>
    <n v="9017"/>
    <n v="10"/>
    <s v="Health &amp; Wellness"/>
    <x v="272"/>
  </r>
  <r>
    <s v="Alpha Innovations"/>
    <x v="1"/>
    <s v="Men 25-34"/>
    <s v="60 days"/>
    <x v="5"/>
    <n v="0.11"/>
    <n v="19358"/>
    <n v="7.83"/>
    <n v="54"/>
    <n v="358.48148148148147"/>
    <s v="Miami"/>
    <s v="German"/>
    <n v="488"/>
    <n v="5501"/>
    <n v="8"/>
    <s v="Health &amp; Wellness"/>
    <x v="273"/>
  </r>
  <r>
    <s v="TechCorp"/>
    <x v="3"/>
    <s v="Men 25-34"/>
    <s v="15 days"/>
    <x v="0"/>
    <n v="0.06"/>
    <n v="6360"/>
    <n v="4.42"/>
    <n v="39"/>
    <n v="163.07692307692307"/>
    <s v="New York"/>
    <s v="Mandarin"/>
    <n v="650"/>
    <n v="9704"/>
    <n v="8"/>
    <s v="Tech Enthusiasts"/>
    <x v="274"/>
  </r>
  <r>
    <s v="Alpha Innovations"/>
    <x v="4"/>
    <s v="Men 18-24"/>
    <s v="15 days"/>
    <x v="5"/>
    <n v="0.05"/>
    <n v="9578"/>
    <n v="6.4"/>
    <n v="43"/>
    <n v="222.74418604651163"/>
    <s v="Chicago"/>
    <s v="Mandarin"/>
    <n v="866"/>
    <n v="5011"/>
    <n v="5"/>
    <s v="Foodies"/>
    <x v="275"/>
  </r>
  <r>
    <s v="Alpha Innovations"/>
    <x v="3"/>
    <s v="Women 25-34"/>
    <s v="60 days"/>
    <x v="1"/>
    <n v="0.04"/>
    <n v="7745"/>
    <n v="3.78"/>
    <n v="30"/>
    <n v="258.16666666666669"/>
    <s v="Miami"/>
    <s v="Mandarin"/>
    <n v="757"/>
    <n v="9147"/>
    <n v="10"/>
    <s v="Fashionistas"/>
    <x v="276"/>
  </r>
  <r>
    <s v="TechCorp"/>
    <x v="3"/>
    <s v="Men 25-34"/>
    <s v="45 days"/>
    <x v="2"/>
    <n v="0.12"/>
    <n v="7172"/>
    <n v="5.82"/>
    <n v="57"/>
    <n v="125.82456140350877"/>
    <s v="Chicago"/>
    <s v="Spanish"/>
    <n v="476"/>
    <n v="5529"/>
    <n v="8"/>
    <s v="Outdoor Adventurers"/>
    <x v="277"/>
  </r>
  <r>
    <s v="TechCorp"/>
    <x v="0"/>
    <s v="Men 18-24"/>
    <s v="15 days"/>
    <x v="1"/>
    <n v="0.06"/>
    <n v="19965"/>
    <n v="6.66"/>
    <n v="53"/>
    <n v="376.69811320754718"/>
    <s v="New York"/>
    <s v="English"/>
    <n v="875"/>
    <n v="3720"/>
    <n v="9"/>
    <s v="Fashionistas"/>
    <x v="278"/>
  </r>
  <r>
    <s v="DataTech Solutions"/>
    <x v="2"/>
    <s v="Women 35-44"/>
    <s v="30 days"/>
    <x v="0"/>
    <n v="0.06"/>
    <n v="5223"/>
    <n v="4.26"/>
    <n v="16"/>
    <n v="326.4375"/>
    <s v="Los Angeles"/>
    <s v="Mandarin"/>
    <n v="261"/>
    <n v="8140"/>
    <n v="9"/>
    <s v="Outdoor Adventurers"/>
    <x v="279"/>
  </r>
  <r>
    <s v="DataTech Solutions"/>
    <x v="3"/>
    <s v="Women 25-34"/>
    <s v="45 days"/>
    <x v="1"/>
    <n v="0.08"/>
    <n v="7782"/>
    <n v="3.14"/>
    <n v="9"/>
    <n v="864.66666666666663"/>
    <s v="Houston"/>
    <s v="English"/>
    <n v="114"/>
    <n v="6843"/>
    <n v="10"/>
    <s v="Tech Enthusiasts"/>
    <x v="280"/>
  </r>
  <r>
    <s v="Alpha Innovations"/>
    <x v="4"/>
    <s v="Women 35-44"/>
    <s v="45 days"/>
    <x v="2"/>
    <n v="0.02"/>
    <n v="7672"/>
    <n v="2.06"/>
    <n v="5"/>
    <n v="1534.4"/>
    <s v="Los Angeles"/>
    <s v="German"/>
    <n v="236"/>
    <n v="3656"/>
    <n v="10"/>
    <s v="Health &amp; Wellness"/>
    <x v="281"/>
  </r>
  <r>
    <s v="TechCorp"/>
    <x v="1"/>
    <s v="Women 35-44"/>
    <s v="60 days"/>
    <x v="2"/>
    <n v="0.13"/>
    <n v="8488"/>
    <n v="2.84"/>
    <n v="33"/>
    <n v="257.21212121212119"/>
    <s v="Chicago"/>
    <s v="Mandarin"/>
    <n v="254"/>
    <n v="5805"/>
    <n v="7"/>
    <s v="Tech Enthusiasts"/>
    <x v="282"/>
  </r>
  <r>
    <s v="DataTech Solutions"/>
    <x v="0"/>
    <s v="All Ages"/>
    <s v="30 days"/>
    <x v="4"/>
    <n v="7.0000000000000007E-2"/>
    <n v="7438"/>
    <n v="6.65"/>
    <n v="38"/>
    <n v="195.73684210526315"/>
    <s v="New York"/>
    <s v="French"/>
    <n v="539"/>
    <n v="9586"/>
    <n v="6"/>
    <s v="Outdoor Adventurers"/>
    <x v="283"/>
  </r>
  <r>
    <s v="NexGen Systems"/>
    <x v="3"/>
    <s v="Women 35-44"/>
    <s v="30 days"/>
    <x v="5"/>
    <n v="0.14000000000000001"/>
    <n v="8255"/>
    <n v="4.9800000000000004"/>
    <n v="88"/>
    <n v="93.806818181818187"/>
    <s v="New York"/>
    <s v="Mandarin"/>
    <n v="632"/>
    <n v="5051"/>
    <n v="8"/>
    <s v="Health &amp; Wellness"/>
    <x v="284"/>
  </r>
  <r>
    <s v="TechCorp"/>
    <x v="3"/>
    <s v="Women 25-34"/>
    <s v="15 days"/>
    <x v="5"/>
    <n v="0.05"/>
    <n v="7004"/>
    <n v="3.93"/>
    <n v="43"/>
    <n v="162.88372093023256"/>
    <s v="New York"/>
    <s v="Mandarin"/>
    <n v="856"/>
    <n v="3008"/>
    <n v="9"/>
    <s v="Fashionistas"/>
    <x v="285"/>
  </r>
  <r>
    <s v="DataTech Solutions"/>
    <x v="1"/>
    <s v="Women 35-44"/>
    <s v="30 days"/>
    <x v="1"/>
    <n v="0.03"/>
    <n v="16368"/>
    <n v="2.0299999999999998"/>
    <n v="17"/>
    <n v="962.82352941176475"/>
    <s v="Los Angeles"/>
    <s v="French"/>
    <n v="564"/>
    <n v="4996"/>
    <n v="8"/>
    <s v="Outdoor Adventurers"/>
    <x v="286"/>
  </r>
  <r>
    <s v="TechCorp"/>
    <x v="2"/>
    <s v="Women 25-34"/>
    <s v="15 days"/>
    <x v="2"/>
    <n v="0.08"/>
    <n v="13979"/>
    <n v="6.89"/>
    <n v="52"/>
    <n v="268.82692307692309"/>
    <s v="Chicago"/>
    <s v="Mandarin"/>
    <n v="655"/>
    <n v="1457"/>
    <n v="3"/>
    <s v="Health &amp; Wellness"/>
    <x v="287"/>
  </r>
  <r>
    <s v="Innovate Industries"/>
    <x v="2"/>
    <s v="Women 35-44"/>
    <s v="30 days"/>
    <x v="5"/>
    <n v="0.09"/>
    <n v="6188"/>
    <n v="4.51"/>
    <n v="75"/>
    <n v="82.506666666666661"/>
    <s v="New York"/>
    <s v="Mandarin"/>
    <n v="830"/>
    <n v="7091"/>
    <n v="9"/>
    <s v="Foodies"/>
    <x v="288"/>
  </r>
  <r>
    <s v="TechCorp"/>
    <x v="3"/>
    <s v="All Ages"/>
    <s v="45 days"/>
    <x v="0"/>
    <n v="0.06"/>
    <n v="19453"/>
    <n v="3.58"/>
    <n v="18"/>
    <n v="1080.7222222222222"/>
    <s v="New York"/>
    <s v="Spanish"/>
    <n v="306"/>
    <n v="7708"/>
    <n v="10"/>
    <s v="Fashionistas"/>
    <x v="289"/>
  </r>
  <r>
    <s v="TechCorp"/>
    <x v="2"/>
    <s v="Women 35-44"/>
    <s v="60 days"/>
    <x v="2"/>
    <n v="0.03"/>
    <n v="8972"/>
    <n v="3.54"/>
    <n v="7"/>
    <n v="1281.7142857142858"/>
    <s v="Houston"/>
    <s v="English"/>
    <n v="241"/>
    <n v="6767"/>
    <n v="1"/>
    <s v="Outdoor Adventurers"/>
    <x v="290"/>
  </r>
  <r>
    <s v="DataTech Solutions"/>
    <x v="3"/>
    <s v="Women 35-44"/>
    <s v="60 days"/>
    <x v="5"/>
    <n v="0.06"/>
    <n v="18093"/>
    <n v="4.54"/>
    <n v="40"/>
    <n v="452.32499999999999"/>
    <s v="Los Angeles"/>
    <s v="Mandarin"/>
    <n v="671"/>
    <n v="5141"/>
    <n v="8"/>
    <s v="Tech Enthusiasts"/>
    <x v="291"/>
  </r>
  <r>
    <s v="Alpha Innovations"/>
    <x v="0"/>
    <s v="Men 25-34"/>
    <s v="60 days"/>
    <x v="3"/>
    <n v="7.0000000000000007E-2"/>
    <n v="15119"/>
    <n v="3.58"/>
    <n v="68"/>
    <n v="222.33823529411765"/>
    <s v="New York"/>
    <s v="German"/>
    <n v="967"/>
    <n v="2310"/>
    <n v="7"/>
    <s v="Tech Enthusiasts"/>
    <x v="292"/>
  </r>
  <r>
    <s v="DataTech Solutions"/>
    <x v="2"/>
    <s v="Men 18-24"/>
    <s v="60 days"/>
    <x v="4"/>
    <n v="0.02"/>
    <n v="7005"/>
    <n v="5.94"/>
    <n v="15"/>
    <n v="467"/>
    <s v="New York"/>
    <s v="Mandarin"/>
    <n v="773"/>
    <n v="5178"/>
    <n v="5"/>
    <s v="Fashionistas"/>
    <x v="293"/>
  </r>
  <r>
    <s v="Alpha Innovations"/>
    <x v="4"/>
    <s v="Men 25-34"/>
    <s v="60 days"/>
    <x v="3"/>
    <n v="0.12"/>
    <n v="7310"/>
    <n v="5.89"/>
    <n v="52"/>
    <n v="140.57692307692307"/>
    <s v="Los Angeles"/>
    <s v="Mandarin"/>
    <n v="430"/>
    <n v="6302"/>
    <n v="1"/>
    <s v="Tech Enthusiasts"/>
    <x v="294"/>
  </r>
  <r>
    <s v="DataTech Solutions"/>
    <x v="3"/>
    <s v="Men 18-24"/>
    <s v="15 days"/>
    <x v="3"/>
    <n v="0.02"/>
    <n v="14394"/>
    <n v="6.34"/>
    <n v="8"/>
    <n v="1799.25"/>
    <s v="Los Angeles"/>
    <s v="German"/>
    <n v="375"/>
    <n v="3351"/>
    <n v="9"/>
    <s v="Fashionistas"/>
    <x v="295"/>
  </r>
  <r>
    <s v="Innovate Industries"/>
    <x v="2"/>
    <s v="Women 25-34"/>
    <s v="60 days"/>
    <x v="4"/>
    <n v="0.02"/>
    <n v="14556"/>
    <n v="3.87"/>
    <n v="10"/>
    <n v="1455.6"/>
    <s v="New York"/>
    <s v="French"/>
    <n v="489"/>
    <n v="1374"/>
    <n v="3"/>
    <s v="Tech Enthusiasts"/>
    <x v="296"/>
  </r>
  <r>
    <s v="TechCorp"/>
    <x v="1"/>
    <s v="Men 25-34"/>
    <s v="15 days"/>
    <x v="1"/>
    <n v="0.06"/>
    <n v="19495"/>
    <n v="4.82"/>
    <n v="38"/>
    <n v="513.02631578947364"/>
    <s v="Chicago"/>
    <s v="Mandarin"/>
    <n v="632"/>
    <n v="9014"/>
    <n v="4"/>
    <s v="Health &amp; Wellness"/>
    <x v="297"/>
  </r>
  <r>
    <s v="NexGen Systems"/>
    <x v="0"/>
    <s v="All Ages"/>
    <s v="45 days"/>
    <x v="1"/>
    <n v="0.12"/>
    <n v="17421"/>
    <n v="3.8"/>
    <n v="41"/>
    <n v="424.90243902439022"/>
    <s v="Miami"/>
    <s v="Spanish"/>
    <n v="340"/>
    <n v="4348"/>
    <n v="8"/>
    <s v="Tech Enthusiasts"/>
    <x v="298"/>
  </r>
  <r>
    <s v="TechCorp"/>
    <x v="4"/>
    <s v="Men 18-24"/>
    <s v="15 days"/>
    <x v="1"/>
    <n v="0.13"/>
    <n v="7506"/>
    <n v="6.82"/>
    <n v="18"/>
    <n v="417"/>
    <s v="Miami"/>
    <s v="Mandarin"/>
    <n v="142"/>
    <n v="9094"/>
    <n v="5"/>
    <s v="Fashionistas"/>
    <x v="299"/>
  </r>
  <r>
    <s v="Innovate Industries"/>
    <x v="2"/>
    <s v="Men 25-34"/>
    <s v="15 days"/>
    <x v="4"/>
    <n v="0.11"/>
    <n v="17842"/>
    <n v="2.1"/>
    <n v="46"/>
    <n v="387.86956521739131"/>
    <s v="Miami"/>
    <s v="German"/>
    <n v="415"/>
    <n v="4005"/>
    <n v="8"/>
    <s v="Foodies"/>
    <x v="300"/>
  </r>
  <r>
    <s v="Alpha Innovations"/>
    <x v="0"/>
    <s v="All Ages"/>
    <s v="30 days"/>
    <x v="5"/>
    <n v="0.06"/>
    <n v="19192"/>
    <n v="5.28"/>
    <n v="26"/>
    <n v="738.15384615384619"/>
    <s v="New York"/>
    <s v="English"/>
    <n v="428"/>
    <n v="4857"/>
    <n v="6"/>
    <s v="Outdoor Adventurers"/>
    <x v="301"/>
  </r>
  <r>
    <s v="Innovate Industries"/>
    <x v="0"/>
    <s v="Women 25-34"/>
    <s v="30 days"/>
    <x v="3"/>
    <n v="0.01"/>
    <n v="16317"/>
    <n v="6.46"/>
    <n v="9"/>
    <n v="1813"/>
    <s v="Houston"/>
    <s v="Mandarin"/>
    <n v="862"/>
    <n v="9147"/>
    <n v="2"/>
    <s v="Outdoor Adventurers"/>
    <x v="302"/>
  </r>
  <r>
    <s v="TechCorp"/>
    <x v="4"/>
    <s v="Men 25-34"/>
    <s v="30 days"/>
    <x v="1"/>
    <n v="0.1"/>
    <n v="9105"/>
    <n v="2.61"/>
    <n v="80"/>
    <n v="113.8125"/>
    <s v="Chicago"/>
    <s v="German"/>
    <n v="800"/>
    <n v="9188"/>
    <n v="10"/>
    <s v="Fashionistas"/>
    <x v="303"/>
  </r>
  <r>
    <s v="TechCorp"/>
    <x v="1"/>
    <s v="Women 25-34"/>
    <s v="15 days"/>
    <x v="4"/>
    <n v="0.02"/>
    <n v="13405"/>
    <n v="3.83"/>
    <n v="7"/>
    <n v="1915"/>
    <s v="Chicago"/>
    <s v="English"/>
    <n v="353"/>
    <n v="5907"/>
    <n v="8"/>
    <s v="Outdoor Adventurers"/>
    <x v="304"/>
  </r>
  <r>
    <s v="DataTech Solutions"/>
    <x v="3"/>
    <s v="Women 25-34"/>
    <s v="30 days"/>
    <x v="3"/>
    <n v="0.09"/>
    <n v="8034"/>
    <n v="6.36"/>
    <n v="44"/>
    <n v="182.59090909090909"/>
    <s v="New York"/>
    <s v="English"/>
    <n v="494"/>
    <n v="7644"/>
    <n v="10"/>
    <s v="Foodies"/>
    <x v="305"/>
  </r>
  <r>
    <s v="TechCorp"/>
    <x v="3"/>
    <s v="Men 25-34"/>
    <s v="15 days"/>
    <x v="2"/>
    <n v="0.08"/>
    <n v="10855"/>
    <n v="2.74"/>
    <n v="42"/>
    <n v="258.45238095238096"/>
    <s v="Chicago"/>
    <s v="Mandarin"/>
    <n v="527"/>
    <n v="7317"/>
    <n v="5"/>
    <s v="Tech Enthusiasts"/>
    <x v="306"/>
  </r>
  <r>
    <s v="NexGen Systems"/>
    <x v="3"/>
    <s v="All Ages"/>
    <s v="45 days"/>
    <x v="3"/>
    <n v="0.08"/>
    <n v="19777"/>
    <n v="4.5999999999999996"/>
    <n v="68"/>
    <n v="290.83823529411762"/>
    <s v="New York"/>
    <s v="English"/>
    <n v="847"/>
    <n v="8495"/>
    <n v="5"/>
    <s v="Foodies"/>
    <x v="307"/>
  </r>
  <r>
    <s v="Alpha Innovations"/>
    <x v="2"/>
    <s v="All Ages"/>
    <s v="45 days"/>
    <x v="3"/>
    <n v="7.0000000000000007E-2"/>
    <n v="19286"/>
    <n v="5.07"/>
    <n v="40"/>
    <n v="482.15"/>
    <s v="New York"/>
    <s v="English"/>
    <n v="578"/>
    <n v="3386"/>
    <n v="6"/>
    <s v="Foodies"/>
    <x v="308"/>
  </r>
  <r>
    <s v="DataTech Solutions"/>
    <x v="0"/>
    <s v="Men 18-24"/>
    <s v="45 days"/>
    <x v="4"/>
    <n v="0.11"/>
    <n v="18172"/>
    <n v="3.43"/>
    <n v="13"/>
    <n v="1397.8461538461538"/>
    <s v="Miami"/>
    <s v="German"/>
    <n v="114"/>
    <n v="5779"/>
    <n v="3"/>
    <s v="Tech Enthusiasts"/>
    <x v="309"/>
  </r>
  <r>
    <s v="NexGen Systems"/>
    <x v="1"/>
    <s v="Women 35-44"/>
    <s v="45 days"/>
    <x v="4"/>
    <n v="0.14000000000000001"/>
    <n v="7249"/>
    <n v="2.71"/>
    <n v="63"/>
    <n v="115.06349206349206"/>
    <s v="Houston"/>
    <s v="German"/>
    <n v="450"/>
    <n v="1258"/>
    <n v="7"/>
    <s v="Foodies"/>
    <x v="310"/>
  </r>
  <r>
    <s v="TechCorp"/>
    <x v="3"/>
    <s v="Men 25-34"/>
    <s v="15 days"/>
    <x v="5"/>
    <n v="0.12"/>
    <n v="10043"/>
    <n v="4.1900000000000004"/>
    <n v="15"/>
    <n v="669.5333333333333"/>
    <s v="New York"/>
    <s v="Mandarin"/>
    <n v="129"/>
    <n v="4390"/>
    <n v="1"/>
    <s v="Health &amp; Wellness"/>
    <x v="311"/>
  </r>
  <r>
    <s v="Alpha Innovations"/>
    <x v="1"/>
    <s v="Men 25-34"/>
    <s v="60 days"/>
    <x v="1"/>
    <n v="0.04"/>
    <n v="5616"/>
    <n v="5.8"/>
    <n v="13"/>
    <n v="432"/>
    <s v="Miami"/>
    <s v="English"/>
    <n v="317"/>
    <n v="3993"/>
    <n v="9"/>
    <s v="Tech Enthusiasts"/>
    <x v="312"/>
  </r>
  <r>
    <s v="DataTech Solutions"/>
    <x v="0"/>
    <s v="All Ages"/>
    <s v="60 days"/>
    <x v="4"/>
    <n v="0.06"/>
    <n v="10462"/>
    <n v="2.2400000000000002"/>
    <n v="45"/>
    <n v="232.48888888888888"/>
    <s v="Houston"/>
    <s v="English"/>
    <n v="744"/>
    <n v="1152"/>
    <n v="10"/>
    <s v="Health &amp; Wellness"/>
    <x v="313"/>
  </r>
  <r>
    <s v="DataTech Solutions"/>
    <x v="0"/>
    <s v="All Ages"/>
    <s v="60 days"/>
    <x v="1"/>
    <n v="0.11"/>
    <n v="6987"/>
    <n v="6.43"/>
    <n v="88"/>
    <n v="79.397727272727266"/>
    <s v="Houston"/>
    <s v="German"/>
    <n v="796"/>
    <n v="1013"/>
    <n v="4"/>
    <s v="Outdoor Adventurers"/>
    <x v="314"/>
  </r>
  <r>
    <s v="Alpha Innovations"/>
    <x v="3"/>
    <s v="Women 25-34"/>
    <s v="15 days"/>
    <x v="3"/>
    <n v="0.11"/>
    <n v="7511"/>
    <n v="5.0999999999999996"/>
    <n v="16"/>
    <n v="469.4375"/>
    <s v="Los Angeles"/>
    <s v="German"/>
    <n v="144"/>
    <n v="1005"/>
    <n v="6"/>
    <s v="Fashionistas"/>
    <x v="315"/>
  </r>
  <r>
    <s v="Innovate Industries"/>
    <x v="2"/>
    <s v="Men 25-34"/>
    <s v="15 days"/>
    <x v="3"/>
    <n v="0.06"/>
    <n v="14586"/>
    <n v="6.8"/>
    <n v="53"/>
    <n v="275.20754716981133"/>
    <s v="Miami"/>
    <s v="Spanish"/>
    <n v="882"/>
    <n v="4941"/>
    <n v="10"/>
    <s v="Foodies"/>
    <x v="316"/>
  </r>
  <r>
    <s v="Alpha Innovations"/>
    <x v="0"/>
    <s v="Women 25-34"/>
    <s v="60 days"/>
    <x v="3"/>
    <n v="0.08"/>
    <n v="13041"/>
    <n v="4.55"/>
    <n v="21"/>
    <n v="621"/>
    <s v="New York"/>
    <s v="German"/>
    <n v="268"/>
    <n v="8467"/>
    <n v="5"/>
    <s v="Tech Enthusiasts"/>
    <x v="317"/>
  </r>
  <r>
    <s v="Innovate Industries"/>
    <x v="4"/>
    <s v="Men 18-24"/>
    <s v="30 days"/>
    <x v="4"/>
    <n v="0.06"/>
    <n v="19692"/>
    <n v="7.7"/>
    <n v="22"/>
    <n v="895.09090909090912"/>
    <s v="New York"/>
    <s v="Spanish"/>
    <n v="359"/>
    <n v="8600"/>
    <n v="1"/>
    <s v="Foodies"/>
    <x v="318"/>
  </r>
  <r>
    <s v="TechCorp"/>
    <x v="0"/>
    <s v="Men 18-24"/>
    <s v="30 days"/>
    <x v="5"/>
    <n v="0.04"/>
    <n v="8852"/>
    <n v="5.22"/>
    <n v="23"/>
    <n v="384.86956521739131"/>
    <s v="New York"/>
    <s v="English"/>
    <n v="578"/>
    <n v="4804"/>
    <n v="2"/>
    <s v="Outdoor Adventurers"/>
    <x v="319"/>
  </r>
  <r>
    <s v="Innovate Industries"/>
    <x v="0"/>
    <s v="Women 25-34"/>
    <s v="45 days"/>
    <x v="5"/>
    <n v="0.15"/>
    <n v="10217"/>
    <n v="4.76"/>
    <n v="127"/>
    <n v="80.448818897637793"/>
    <s v="New York"/>
    <s v="French"/>
    <n v="847"/>
    <n v="7604"/>
    <n v="3"/>
    <s v="Outdoor Adventurers"/>
    <x v="320"/>
  </r>
  <r>
    <s v="NexGen Systems"/>
    <x v="1"/>
    <s v="Women 25-34"/>
    <s v="45 days"/>
    <x v="3"/>
    <n v="0.08"/>
    <n v="9149"/>
    <n v="6.35"/>
    <n v="27"/>
    <n v="338.85185185185185"/>
    <s v="Los Angeles"/>
    <s v="Mandarin"/>
    <n v="342"/>
    <n v="5538"/>
    <n v="10"/>
    <s v="Outdoor Adventurers"/>
    <x v="321"/>
  </r>
  <r>
    <s v="Alpha Innovations"/>
    <x v="4"/>
    <s v="All Ages"/>
    <s v="15 days"/>
    <x v="5"/>
    <n v="0.09"/>
    <n v="12956"/>
    <n v="3.04"/>
    <n v="23"/>
    <n v="563.304347826087"/>
    <s v="Miami"/>
    <s v="Spanish"/>
    <n v="258"/>
    <n v="3862"/>
    <n v="4"/>
    <s v="Tech Enthusiasts"/>
    <x v="322"/>
  </r>
  <r>
    <s v="DataTech Solutions"/>
    <x v="3"/>
    <s v="Women 35-44"/>
    <s v="30 days"/>
    <x v="5"/>
    <n v="0.08"/>
    <n v="14864"/>
    <n v="7.36"/>
    <n v="19"/>
    <n v="782.31578947368416"/>
    <s v="New York"/>
    <s v="English"/>
    <n v="237"/>
    <n v="4080"/>
    <n v="8"/>
    <s v="Outdoor Adventurers"/>
    <x v="323"/>
  </r>
  <r>
    <s v="TechCorp"/>
    <x v="3"/>
    <s v="Women 25-34"/>
    <s v="15 days"/>
    <x v="3"/>
    <n v="0.1"/>
    <n v="9885"/>
    <n v="5.98"/>
    <n v="71"/>
    <n v="139.22535211267606"/>
    <s v="Houston"/>
    <s v="Spanish"/>
    <n v="707"/>
    <n v="1084"/>
    <n v="1"/>
    <s v="Foodies"/>
    <x v="324"/>
  </r>
  <r>
    <s v="NexGen Systems"/>
    <x v="2"/>
    <s v="Men 25-34"/>
    <s v="60 days"/>
    <x v="5"/>
    <n v="0.04"/>
    <n v="6760"/>
    <n v="7.56"/>
    <n v="31"/>
    <n v="218.06451612903226"/>
    <s v="Chicago"/>
    <s v="Mandarin"/>
    <n v="763"/>
    <n v="1148"/>
    <n v="6"/>
    <s v="Outdoor Adventurers"/>
    <x v="325"/>
  </r>
  <r>
    <s v="Innovate Industries"/>
    <x v="3"/>
    <s v="All Ages"/>
    <s v="60 days"/>
    <x v="1"/>
    <n v="0.14000000000000001"/>
    <n v="13755"/>
    <n v="7.92"/>
    <n v="72"/>
    <n v="191.04166666666666"/>
    <s v="Miami"/>
    <s v="English"/>
    <n v="517"/>
    <n v="3702"/>
    <n v="10"/>
    <s v="Health &amp; Wellness"/>
    <x v="326"/>
  </r>
  <r>
    <s v="NexGen Systems"/>
    <x v="0"/>
    <s v="All Ages"/>
    <s v="15 days"/>
    <x v="2"/>
    <n v="0.14000000000000001"/>
    <n v="6729"/>
    <n v="2.25"/>
    <n v="76"/>
    <n v="88.53947368421052"/>
    <s v="Miami"/>
    <s v="German"/>
    <n v="546"/>
    <n v="8767"/>
    <n v="8"/>
    <s v="Health &amp; Wellness"/>
    <x v="327"/>
  </r>
  <r>
    <s v="Alpha Innovations"/>
    <x v="1"/>
    <s v="All Ages"/>
    <s v="45 days"/>
    <x v="1"/>
    <n v="0.04"/>
    <n v="16844"/>
    <n v="4.5999999999999996"/>
    <n v="16"/>
    <n v="1052.75"/>
    <s v="New York"/>
    <s v="Spanish"/>
    <n v="395"/>
    <n v="2694"/>
    <n v="6"/>
    <s v="Health &amp; Wellness"/>
    <x v="328"/>
  </r>
  <r>
    <s v="TechCorp"/>
    <x v="1"/>
    <s v="All Ages"/>
    <s v="30 days"/>
    <x v="4"/>
    <n v="0.09"/>
    <n v="17296"/>
    <n v="3.68"/>
    <n v="50"/>
    <n v="345.92"/>
    <s v="Los Angeles"/>
    <s v="German"/>
    <n v="553"/>
    <n v="7969"/>
    <n v="6"/>
    <s v="Fashionistas"/>
    <x v="329"/>
  </r>
  <r>
    <s v="DataTech Solutions"/>
    <x v="1"/>
    <s v="Women 35-44"/>
    <s v="15 days"/>
    <x v="1"/>
    <n v="0.08"/>
    <n v="17225"/>
    <n v="4.99"/>
    <n v="27"/>
    <n v="637.96296296296293"/>
    <s v="Miami"/>
    <s v="French"/>
    <n v="341"/>
    <n v="3812"/>
    <n v="3"/>
    <s v="Fashionistas"/>
    <x v="330"/>
  </r>
  <r>
    <s v="TechCorp"/>
    <x v="1"/>
    <s v="Women 35-44"/>
    <s v="30 days"/>
    <x v="1"/>
    <n v="0.13"/>
    <n v="19744"/>
    <n v="5.22"/>
    <n v="34"/>
    <n v="580.70588235294122"/>
    <s v="Miami"/>
    <s v="French"/>
    <n v="263"/>
    <n v="1896"/>
    <n v="4"/>
    <s v="Outdoor Adventurers"/>
    <x v="331"/>
  </r>
  <r>
    <s v="Innovate Industries"/>
    <x v="4"/>
    <s v="Men 25-34"/>
    <s v="60 days"/>
    <x v="3"/>
    <n v="0.06"/>
    <n v="5759"/>
    <n v="6.77"/>
    <n v="17"/>
    <n v="338.76470588235293"/>
    <s v="Chicago"/>
    <s v="English"/>
    <n v="290"/>
    <n v="6211"/>
    <n v="6"/>
    <s v="Health &amp; Wellness"/>
    <x v="332"/>
  </r>
  <r>
    <s v="TechCorp"/>
    <x v="2"/>
    <s v="Women 25-34"/>
    <s v="15 days"/>
    <x v="4"/>
    <n v="0.08"/>
    <n v="10596"/>
    <n v="4.63"/>
    <n v="9"/>
    <n v="1177.3333333333333"/>
    <s v="New York"/>
    <s v="French"/>
    <n v="107"/>
    <n v="7271"/>
    <n v="4"/>
    <s v="Foodies"/>
    <x v="333"/>
  </r>
  <r>
    <s v="NexGen Systems"/>
    <x v="4"/>
    <s v="Men 25-34"/>
    <s v="15 days"/>
    <x v="1"/>
    <n v="0.13"/>
    <n v="17705"/>
    <n v="5.85"/>
    <n v="125"/>
    <n v="141.63999999999999"/>
    <s v="Los Angeles"/>
    <s v="French"/>
    <n v="965"/>
    <n v="9254"/>
    <n v="6"/>
    <s v="Outdoor Adventurers"/>
    <x v="334"/>
  </r>
  <r>
    <s v="Alpha Innovations"/>
    <x v="2"/>
    <s v="Women 35-44"/>
    <s v="15 days"/>
    <x v="0"/>
    <n v="0.05"/>
    <n v="9840"/>
    <n v="7.13"/>
    <n v="25"/>
    <n v="393.6"/>
    <s v="Houston"/>
    <s v="Spanish"/>
    <n v="500"/>
    <n v="4354"/>
    <n v="4"/>
    <s v="Foodies"/>
    <x v="335"/>
  </r>
  <r>
    <s v="DataTech Solutions"/>
    <x v="1"/>
    <s v="Women 25-34"/>
    <s v="15 days"/>
    <x v="0"/>
    <n v="0.12"/>
    <n v="5860"/>
    <n v="4.37"/>
    <n v="78"/>
    <n v="75.128205128205124"/>
    <s v="New York"/>
    <s v="Mandarin"/>
    <n v="651"/>
    <n v="7765"/>
    <n v="2"/>
    <s v="Fashionistas"/>
    <x v="336"/>
  </r>
  <r>
    <s v="TechCorp"/>
    <x v="0"/>
    <s v="Women 25-34"/>
    <s v="45 days"/>
    <x v="2"/>
    <n v="0.09"/>
    <n v="18627"/>
    <n v="5.54"/>
    <n v="88"/>
    <n v="211.67045454545453"/>
    <s v="Miami"/>
    <s v="German"/>
    <n v="981"/>
    <n v="7701"/>
    <n v="2"/>
    <s v="Foodies"/>
    <x v="337"/>
  </r>
  <r>
    <s v="Innovate Industries"/>
    <x v="2"/>
    <s v="Men 18-24"/>
    <s v="30 days"/>
    <x v="5"/>
    <n v="0.01"/>
    <n v="13250"/>
    <n v="6.59"/>
    <n v="9"/>
    <n v="1472.2222222222222"/>
    <s v="Miami"/>
    <s v="German"/>
    <n v="937"/>
    <n v="4089"/>
    <n v="8"/>
    <s v="Fashionistas"/>
    <x v="338"/>
  </r>
  <r>
    <s v="Innovate Industries"/>
    <x v="1"/>
    <s v="Women 25-34"/>
    <s v="60 days"/>
    <x v="3"/>
    <n v="0.05"/>
    <n v="7594"/>
    <n v="7.07"/>
    <n v="22"/>
    <n v="345.18181818181819"/>
    <s v="Chicago"/>
    <s v="Mandarin"/>
    <n v="437"/>
    <n v="2629"/>
    <n v="4"/>
    <s v="Foodies"/>
    <x v="339"/>
  </r>
  <r>
    <s v="DataTech Solutions"/>
    <x v="2"/>
    <s v="Women 35-44"/>
    <s v="45 days"/>
    <x v="5"/>
    <n v="0.02"/>
    <n v="19474"/>
    <n v="3.27"/>
    <n v="12"/>
    <n v="1622.8333333333333"/>
    <s v="New York"/>
    <s v="English"/>
    <n v="605"/>
    <n v="1513"/>
    <n v="9"/>
    <s v="Tech Enthusiasts"/>
    <x v="340"/>
  </r>
  <r>
    <s v="NexGen Systems"/>
    <x v="2"/>
    <s v="All Ages"/>
    <s v="60 days"/>
    <x v="5"/>
    <n v="0.06"/>
    <n v="17704"/>
    <n v="3.88"/>
    <n v="21"/>
    <n v="843.04761904761904"/>
    <s v="Miami"/>
    <s v="French"/>
    <n v="356"/>
    <n v="8640"/>
    <n v="2"/>
    <s v="Fashionistas"/>
    <x v="341"/>
  </r>
  <r>
    <s v="Innovate Industries"/>
    <x v="0"/>
    <s v="Women 35-44"/>
    <s v="15 days"/>
    <x v="0"/>
    <n v="0.11"/>
    <n v="16862"/>
    <n v="7.19"/>
    <n v="28"/>
    <n v="602.21428571428567"/>
    <s v="Houston"/>
    <s v="French"/>
    <n v="254"/>
    <n v="7106"/>
    <n v="10"/>
    <s v="Outdoor Adventurers"/>
    <x v="342"/>
  </r>
  <r>
    <s v="Innovate Industries"/>
    <x v="3"/>
    <s v="Women 25-34"/>
    <s v="45 days"/>
    <x v="2"/>
    <n v="0.11"/>
    <n v="17313"/>
    <n v="2.59"/>
    <n v="94"/>
    <n v="184.18085106382978"/>
    <s v="Miami"/>
    <s v="French"/>
    <n v="859"/>
    <n v="8682"/>
    <n v="3"/>
    <s v="Health &amp; Wellness"/>
    <x v="343"/>
  </r>
  <r>
    <s v="TechCorp"/>
    <x v="4"/>
    <s v="Women 35-44"/>
    <s v="15 days"/>
    <x v="0"/>
    <n v="0.08"/>
    <n v="12924"/>
    <n v="3.89"/>
    <n v="34"/>
    <n v="380.11764705882354"/>
    <s v="New York"/>
    <s v="German"/>
    <n v="422"/>
    <n v="7028"/>
    <n v="3"/>
    <s v="Foodies"/>
    <x v="344"/>
  </r>
  <r>
    <s v="DataTech Solutions"/>
    <x v="3"/>
    <s v="Women 25-34"/>
    <s v="30 days"/>
    <x v="1"/>
    <n v="0.11"/>
    <n v="15776"/>
    <n v="3.59"/>
    <n v="17"/>
    <n v="928"/>
    <s v="New York"/>
    <s v="Mandarin"/>
    <n v="152"/>
    <n v="6015"/>
    <n v="9"/>
    <s v="Fashionistas"/>
    <x v="345"/>
  </r>
  <r>
    <s v="NexGen Systems"/>
    <x v="0"/>
    <s v="Women 25-34"/>
    <s v="45 days"/>
    <x v="5"/>
    <n v="7.0000000000000007E-2"/>
    <n v="10091"/>
    <n v="4.0599999999999996"/>
    <n v="59"/>
    <n v="171.03389830508473"/>
    <s v="Los Angeles"/>
    <s v="Spanish"/>
    <n v="843"/>
    <n v="2846"/>
    <n v="3"/>
    <s v="Fashionistas"/>
    <x v="346"/>
  </r>
  <r>
    <s v="Innovate Industries"/>
    <x v="1"/>
    <s v="Women 35-44"/>
    <s v="30 days"/>
    <x v="3"/>
    <n v="0.15"/>
    <n v="9904"/>
    <n v="2.91"/>
    <n v="114"/>
    <n v="86.877192982456137"/>
    <s v="Los Angeles"/>
    <s v="German"/>
    <n v="763"/>
    <n v="5453"/>
    <n v="10"/>
    <s v="Foodies"/>
    <x v="347"/>
  </r>
  <r>
    <s v="DataTech Solutions"/>
    <x v="4"/>
    <s v="Men 25-34"/>
    <s v="30 days"/>
    <x v="4"/>
    <n v="0.14000000000000001"/>
    <n v="12532"/>
    <n v="6.45"/>
    <n v="65"/>
    <n v="192.8"/>
    <s v="Chicago"/>
    <s v="German"/>
    <n v="464"/>
    <n v="8781"/>
    <n v="4"/>
    <s v="Foodies"/>
    <x v="348"/>
  </r>
  <r>
    <s v="TechCorp"/>
    <x v="2"/>
    <s v="Men 18-24"/>
    <s v="15 days"/>
    <x v="5"/>
    <n v="0.02"/>
    <n v="17502"/>
    <n v="6.81"/>
    <n v="16"/>
    <n v="1093.875"/>
    <s v="Miami"/>
    <s v="English"/>
    <n v="822"/>
    <n v="7740"/>
    <n v="6"/>
    <s v="Tech Enthusiasts"/>
    <x v="349"/>
  </r>
  <r>
    <s v="NexGen Systems"/>
    <x v="0"/>
    <s v="Women 25-34"/>
    <s v="30 days"/>
    <x v="4"/>
    <n v="0.14000000000000001"/>
    <n v="8642"/>
    <n v="4.88"/>
    <n v="124"/>
    <n v="69.693548387096769"/>
    <s v="Miami"/>
    <s v="French"/>
    <n v="887"/>
    <n v="2401"/>
    <n v="2"/>
    <s v="Health &amp; Wellness"/>
    <x v="350"/>
  </r>
  <r>
    <s v="TechCorp"/>
    <x v="2"/>
    <s v="Women 25-34"/>
    <s v="30 days"/>
    <x v="4"/>
    <n v="0.02"/>
    <n v="12380"/>
    <n v="5.2"/>
    <n v="18"/>
    <n v="687.77777777777783"/>
    <s v="Chicago"/>
    <s v="French"/>
    <n v="921"/>
    <n v="9411"/>
    <n v="8"/>
    <s v="Tech Enthusiasts"/>
    <x v="351"/>
  </r>
  <r>
    <s v="NexGen Systems"/>
    <x v="4"/>
    <s v="Women 35-44"/>
    <s v="15 days"/>
    <x v="2"/>
    <n v="0.03"/>
    <n v="16999"/>
    <n v="3.6"/>
    <n v="13"/>
    <n v="1307.6153846153845"/>
    <s v="Los Angeles"/>
    <s v="Spanish"/>
    <n v="423"/>
    <n v="8225"/>
    <n v="7"/>
    <s v="Health &amp; Wellness"/>
    <x v="352"/>
  </r>
  <r>
    <s v="TechCorp"/>
    <x v="3"/>
    <s v="Women 35-44"/>
    <s v="15 days"/>
    <x v="2"/>
    <n v="0.02"/>
    <n v="14824"/>
    <n v="4.0599999999999996"/>
    <n v="13"/>
    <n v="1140.3076923076924"/>
    <s v="Chicago"/>
    <s v="Mandarin"/>
    <n v="626"/>
    <n v="3224"/>
    <n v="2"/>
    <s v="Health &amp; Wellness"/>
    <x v="353"/>
  </r>
  <r>
    <s v="Innovate Industries"/>
    <x v="1"/>
    <s v="All Ages"/>
    <s v="30 days"/>
    <x v="1"/>
    <n v="0.12"/>
    <n v="5982"/>
    <n v="4.71"/>
    <n v="100"/>
    <n v="59.82"/>
    <s v="Houston"/>
    <s v="Spanish"/>
    <n v="830"/>
    <n v="6893"/>
    <n v="8"/>
    <s v="Health &amp; Wellness"/>
    <x v="354"/>
  </r>
  <r>
    <s v="Alpha Innovations"/>
    <x v="2"/>
    <s v="Men 25-34"/>
    <s v="60 days"/>
    <x v="1"/>
    <n v="0.06"/>
    <n v="10565"/>
    <n v="7.11"/>
    <n v="11"/>
    <n v="960.4545454545455"/>
    <s v="Chicago"/>
    <s v="Mandarin"/>
    <n v="185"/>
    <n v="9307"/>
    <n v="7"/>
    <s v="Health &amp; Wellness"/>
    <x v="355"/>
  </r>
  <r>
    <s v="DataTech Solutions"/>
    <x v="1"/>
    <s v="Women 35-44"/>
    <s v="60 days"/>
    <x v="4"/>
    <n v="0.03"/>
    <n v="11741"/>
    <n v="6.99"/>
    <n v="29"/>
    <n v="404.86206896551727"/>
    <s v="New York"/>
    <s v="Mandarin"/>
    <n v="974"/>
    <n v="2798"/>
    <n v="3"/>
    <s v="Outdoor Adventurers"/>
    <x v="356"/>
  </r>
  <r>
    <s v="TechCorp"/>
    <x v="0"/>
    <s v="Women 35-44"/>
    <s v="30 days"/>
    <x v="0"/>
    <n v="0.11"/>
    <n v="6625"/>
    <n v="4.88"/>
    <n v="33"/>
    <n v="200.75757575757575"/>
    <s v="Miami"/>
    <s v="Mandarin"/>
    <n v="298"/>
    <n v="5863"/>
    <n v="10"/>
    <s v="Outdoor Adventurers"/>
    <x v="357"/>
  </r>
  <r>
    <s v="TechCorp"/>
    <x v="1"/>
    <s v="Men 25-34"/>
    <s v="60 days"/>
    <x v="4"/>
    <n v="0.05"/>
    <n v="10008"/>
    <n v="2.69"/>
    <n v="29"/>
    <n v="345.10344827586209"/>
    <s v="Miami"/>
    <s v="Spanish"/>
    <n v="576"/>
    <n v="1096"/>
    <n v="10"/>
    <s v="Fashionistas"/>
    <x v="358"/>
  </r>
  <r>
    <s v="DataTech Solutions"/>
    <x v="1"/>
    <s v="Men 25-34"/>
    <s v="45 days"/>
    <x v="2"/>
    <n v="0.05"/>
    <n v="7499"/>
    <n v="7.62"/>
    <n v="24"/>
    <n v="312.45833333333331"/>
    <s v="Miami"/>
    <s v="French"/>
    <n v="478"/>
    <n v="9193"/>
    <n v="9"/>
    <s v="Outdoor Adventurers"/>
    <x v="359"/>
  </r>
  <r>
    <s v="DataTech Solutions"/>
    <x v="1"/>
    <s v="Men 25-34"/>
    <s v="15 days"/>
    <x v="4"/>
    <n v="0.05"/>
    <n v="8456"/>
    <n v="2.13"/>
    <n v="25"/>
    <n v="338.24"/>
    <s v="New York"/>
    <s v="German"/>
    <n v="504"/>
    <n v="7241"/>
    <n v="7"/>
    <s v="Outdoor Adventurers"/>
    <x v="360"/>
  </r>
  <r>
    <s v="NexGen Systems"/>
    <x v="1"/>
    <s v="Women 35-44"/>
    <s v="30 days"/>
    <x v="3"/>
    <n v="0.12"/>
    <n v="12831"/>
    <n v="7.83"/>
    <n v="100"/>
    <n v="128.31"/>
    <s v="Miami"/>
    <s v="French"/>
    <n v="832"/>
    <n v="9651"/>
    <n v="10"/>
    <s v="Tech Enthusiasts"/>
    <x v="361"/>
  </r>
  <r>
    <s v="TechCorp"/>
    <x v="4"/>
    <s v="Men 25-34"/>
    <s v="15 days"/>
    <x v="0"/>
    <n v="0.14000000000000001"/>
    <n v="7154"/>
    <n v="6.7"/>
    <n v="83"/>
    <n v="86.192771084337352"/>
    <s v="Miami"/>
    <s v="English"/>
    <n v="592"/>
    <n v="1296"/>
    <n v="2"/>
    <s v="Health &amp; Wellness"/>
    <x v="362"/>
  </r>
  <r>
    <s v="DataTech Solutions"/>
    <x v="3"/>
    <s v="Men 18-24"/>
    <s v="60 days"/>
    <x v="2"/>
    <n v="0.01"/>
    <n v="9446"/>
    <n v="4.2"/>
    <n v="2"/>
    <n v="4723"/>
    <s v="New York"/>
    <s v="English"/>
    <n v="156"/>
    <n v="5176"/>
    <n v="10"/>
    <s v="Fashionistas"/>
    <x v="363"/>
  </r>
  <r>
    <s v="Innovate Industries"/>
    <x v="1"/>
    <s v="Men 25-34"/>
    <s v="15 days"/>
    <x v="4"/>
    <n v="0.13"/>
    <n v="15681"/>
    <n v="2.14"/>
    <n v="17"/>
    <n v="922.41176470588232"/>
    <s v="New York"/>
    <s v="English"/>
    <n v="134"/>
    <n v="5899"/>
    <n v="2"/>
    <s v="Fashionistas"/>
    <x v="364"/>
  </r>
  <r>
    <s v="Alpha Innovations"/>
    <x v="0"/>
    <s v="Women 25-34"/>
    <s v="30 days"/>
    <x v="5"/>
    <n v="0.14000000000000001"/>
    <n v="11787"/>
    <n v="4.83"/>
    <n v="75"/>
    <n v="157.16"/>
    <s v="Chicago"/>
    <s v="German"/>
    <n v="534"/>
    <n v="4244"/>
    <n v="8"/>
    <s v="Foodies"/>
    <x v="0"/>
  </r>
  <r>
    <s v="Innovate Industries"/>
    <x v="4"/>
    <s v="Women 25-34"/>
    <s v="60 days"/>
    <x v="5"/>
    <n v="0.04"/>
    <n v="16579"/>
    <n v="7.45"/>
    <n v="34"/>
    <n v="487.61764705882354"/>
    <s v="Chicago"/>
    <s v="English"/>
    <n v="854"/>
    <n v="2749"/>
    <n v="8"/>
    <s v="Fashionistas"/>
    <x v="1"/>
  </r>
  <r>
    <s v="DataTech Solutions"/>
    <x v="4"/>
    <s v="Women 25-34"/>
    <s v="15 days"/>
    <x v="3"/>
    <n v="0.04"/>
    <n v="11508"/>
    <n v="4.24"/>
    <n v="19"/>
    <n v="605.68421052631584"/>
    <s v="New York"/>
    <s v="English"/>
    <n v="476"/>
    <n v="9574"/>
    <n v="6"/>
    <s v="Tech Enthusiasts"/>
    <x v="2"/>
  </r>
  <r>
    <s v="Alpha Innovations"/>
    <x v="2"/>
    <s v="Men 18-24"/>
    <s v="60 days"/>
    <x v="0"/>
    <n v="0.09"/>
    <n v="11853"/>
    <n v="2.5499999999999998"/>
    <n v="22"/>
    <n v="538.77272727272725"/>
    <s v="Chicago"/>
    <s v="French"/>
    <n v="240"/>
    <n v="2146"/>
    <n v="7"/>
    <s v="Fashionistas"/>
    <x v="3"/>
  </r>
  <r>
    <s v="Alpha Innovations"/>
    <x v="4"/>
    <s v="Men 18-24"/>
    <s v="60 days"/>
    <x v="1"/>
    <n v="0.04"/>
    <n v="9458"/>
    <n v="7.95"/>
    <n v="19"/>
    <n v="497.78947368421052"/>
    <s v="Miami"/>
    <s v="English"/>
    <n v="477"/>
    <n v="2062"/>
    <n v="9"/>
    <s v="Foodies"/>
    <x v="4"/>
  </r>
  <r>
    <s v="TechCorp"/>
    <x v="3"/>
    <s v="All Ages"/>
    <s v="45 days"/>
    <x v="4"/>
    <n v="0.08"/>
    <n v="5058"/>
    <n v="6.28"/>
    <n v="70"/>
    <n v="72.257142857142853"/>
    <s v="Miami"/>
    <s v="Mandarin"/>
    <n v="877"/>
    <n v="7217"/>
    <n v="5"/>
    <s v="Health &amp; Wellness"/>
    <x v="5"/>
  </r>
  <r>
    <s v="TechCorp"/>
    <x v="2"/>
    <s v="All Ages"/>
    <s v="15 days"/>
    <x v="3"/>
    <n v="0.02"/>
    <n v="18479"/>
    <n v="4.5999999999999996"/>
    <n v="18"/>
    <n v="1026.6111111111111"/>
    <s v="Chicago"/>
    <s v="Spanish"/>
    <n v="879"/>
    <n v="8344"/>
    <n v="3"/>
    <s v="Health &amp; Wellness"/>
    <x v="6"/>
  </r>
  <r>
    <s v="Innovate Industries"/>
    <x v="4"/>
    <s v="Women 35-44"/>
    <s v="45 days"/>
    <x v="3"/>
    <n v="0.09"/>
    <n v="15319"/>
    <n v="5.05"/>
    <n v="26"/>
    <n v="589.19230769230774"/>
    <s v="New York"/>
    <s v="English"/>
    <n v="292"/>
    <n v="8656"/>
    <n v="5"/>
    <s v="Outdoor Adventurers"/>
    <x v="7"/>
  </r>
  <r>
    <s v="Alpha Innovations"/>
    <x v="0"/>
    <s v="All Ages"/>
    <s v="30 days"/>
    <x v="3"/>
    <n v="0.08"/>
    <n v="14773"/>
    <n v="2.66"/>
    <n v="68"/>
    <n v="217.25"/>
    <s v="Miami"/>
    <s v="Spanish"/>
    <n v="845"/>
    <n v="5530"/>
    <n v="9"/>
    <s v="Health &amp; Wellness"/>
    <x v="8"/>
  </r>
  <r>
    <s v="Alpha Innovations"/>
    <x v="3"/>
    <s v="All Ages"/>
    <s v="60 days"/>
    <x v="5"/>
    <n v="0.05"/>
    <n v="19842"/>
    <n v="6.14"/>
    <n v="41"/>
    <n v="483.95121951219511"/>
    <s v="Chicago"/>
    <s v="German"/>
    <n v="811"/>
    <n v="4578"/>
    <n v="7"/>
    <s v="Health &amp; Wellness"/>
    <x v="9"/>
  </r>
  <r>
    <s v="TechCorp"/>
    <x v="3"/>
    <s v="Women 35-44"/>
    <s v="45 days"/>
    <x v="4"/>
    <n v="0.15"/>
    <n v="17448"/>
    <n v="3.38"/>
    <n v="115"/>
    <n v="151.72173913043477"/>
    <s v="Houston"/>
    <s v="English"/>
    <n v="768"/>
    <n v="4758"/>
    <n v="6"/>
    <s v="Outdoor Adventurers"/>
    <x v="10"/>
  </r>
  <r>
    <s v="Innovate Industries"/>
    <x v="2"/>
    <s v="Men 18-24"/>
    <s v="60 days"/>
    <x v="4"/>
    <n v="0.13"/>
    <n v="13488"/>
    <n v="3.46"/>
    <n v="113"/>
    <n v="119.36283185840708"/>
    <s v="Los Angeles"/>
    <s v="German"/>
    <n v="872"/>
    <n v="6605"/>
    <n v="9"/>
    <s v="Foodies"/>
    <x v="11"/>
  </r>
  <r>
    <s v="Alpha Innovations"/>
    <x v="3"/>
    <s v="Women 35-44"/>
    <s v="45 days"/>
    <x v="4"/>
    <n v="0.13"/>
    <n v="14679"/>
    <n v="6.78"/>
    <n v="126"/>
    <n v="116.5"/>
    <s v="Chicago"/>
    <s v="French"/>
    <n v="973"/>
    <n v="7800"/>
    <n v="1"/>
    <s v="Foodies"/>
    <x v="12"/>
  </r>
  <r>
    <s v="Innovate Industries"/>
    <x v="4"/>
    <s v="All Ages"/>
    <s v="15 days"/>
    <x v="4"/>
    <n v="0.03"/>
    <n v="14117"/>
    <n v="4.7"/>
    <n v="29"/>
    <n v="486.79310344827587"/>
    <s v="Chicago"/>
    <s v="German"/>
    <n v="954"/>
    <n v="7267"/>
    <n v="5"/>
    <s v="Foodies"/>
    <x v="13"/>
  </r>
  <r>
    <s v="NexGen Systems"/>
    <x v="1"/>
    <s v="Men 25-34"/>
    <s v="45 days"/>
    <x v="0"/>
    <n v="0.13"/>
    <n v="10761"/>
    <n v="6.07"/>
    <n v="18"/>
    <n v="597.83333333333337"/>
    <s v="New York"/>
    <s v="German"/>
    <n v="139"/>
    <n v="6407"/>
    <n v="10"/>
    <s v="Foodies"/>
    <x v="14"/>
  </r>
  <r>
    <s v="Alpha Innovations"/>
    <x v="0"/>
    <s v="Men 18-24"/>
    <s v="30 days"/>
    <x v="5"/>
    <n v="0.1"/>
    <n v="12533"/>
    <n v="7.88"/>
    <n v="94"/>
    <n v="133.32978723404256"/>
    <s v="Miami"/>
    <s v="French"/>
    <n v="940"/>
    <n v="1192"/>
    <n v="5"/>
    <s v="Foodies"/>
    <x v="15"/>
  </r>
  <r>
    <s v="NexGen Systems"/>
    <x v="4"/>
    <s v="Men 18-24"/>
    <s v="45 days"/>
    <x v="3"/>
    <n v="0.11"/>
    <n v="15841"/>
    <n v="4.3"/>
    <n v="60"/>
    <n v="264.01666666666665"/>
    <s v="New York"/>
    <s v="French"/>
    <n v="549"/>
    <n v="8882"/>
    <n v="2"/>
    <s v="Foodies"/>
    <x v="16"/>
  </r>
  <r>
    <s v="Innovate Industries"/>
    <x v="3"/>
    <s v="All Ages"/>
    <s v="30 days"/>
    <x v="5"/>
    <n v="0.05"/>
    <n v="11929"/>
    <n v="4.5"/>
    <n v="47"/>
    <n v="253.80851063829786"/>
    <s v="Houston"/>
    <s v="French"/>
    <n v="947"/>
    <n v="6709"/>
    <n v="9"/>
    <s v="Outdoor Adventurers"/>
    <x v="17"/>
  </r>
  <r>
    <s v="Alpha Innovations"/>
    <x v="3"/>
    <s v="All Ages"/>
    <s v="60 days"/>
    <x v="5"/>
    <n v="0.02"/>
    <n v="5086"/>
    <n v="7.37"/>
    <n v="3"/>
    <n v="1695.3333333333333"/>
    <s v="Chicago"/>
    <s v="Mandarin"/>
    <n v="144"/>
    <n v="5185"/>
    <n v="3"/>
    <s v="Health &amp; Wellness"/>
    <x v="18"/>
  </r>
  <r>
    <s v="NexGen Systems"/>
    <x v="1"/>
    <s v="Men 25-34"/>
    <s v="45 days"/>
    <x v="5"/>
    <n v="0.06"/>
    <n v="17085"/>
    <n v="6.76"/>
    <n v="18"/>
    <n v="949.16666666666663"/>
    <s v="New York"/>
    <s v="German"/>
    <n v="302"/>
    <n v="2489"/>
    <n v="8"/>
    <s v="Foodies"/>
    <x v="19"/>
  </r>
  <r>
    <s v="TechCorp"/>
    <x v="1"/>
    <s v="Men 18-24"/>
    <s v="30 days"/>
    <x v="0"/>
    <n v="0.03"/>
    <n v="12802"/>
    <n v="5.07"/>
    <n v="10"/>
    <n v="1280.2"/>
    <s v="Los Angeles"/>
    <s v="German"/>
    <n v="336"/>
    <n v="9185"/>
    <n v="1"/>
    <s v="Fashionistas"/>
    <x v="20"/>
  </r>
  <r>
    <s v="Alpha Innovations"/>
    <x v="0"/>
    <s v="Women 25-34"/>
    <s v="60 days"/>
    <x v="5"/>
    <n v="0.04"/>
    <n v="15349"/>
    <n v="2.09"/>
    <n v="20"/>
    <n v="767.45"/>
    <s v="Houston"/>
    <s v="Spanish"/>
    <n v="497"/>
    <n v="4179"/>
    <n v="5"/>
    <s v="Fashionistas"/>
    <x v="21"/>
  </r>
  <r>
    <s v="TechCorp"/>
    <x v="0"/>
    <s v="Women 35-44"/>
    <s v="15 days"/>
    <x v="3"/>
    <n v="0.09"/>
    <n v="16985"/>
    <n v="5.69"/>
    <n v="52"/>
    <n v="326.63461538461536"/>
    <s v="Miami"/>
    <s v="Mandarin"/>
    <n v="574"/>
    <n v="1912"/>
    <n v="9"/>
    <s v="Tech Enthusiasts"/>
    <x v="22"/>
  </r>
  <r>
    <s v="Innovate Industries"/>
    <x v="3"/>
    <s v="Men 18-24"/>
    <s v="60 days"/>
    <x v="5"/>
    <n v="0.08"/>
    <n v="15265"/>
    <n v="2.3199999999999998"/>
    <n v="60"/>
    <n v="254.41666666666666"/>
    <s v="Los Angeles"/>
    <s v="German"/>
    <n v="745"/>
    <n v="9339"/>
    <n v="9"/>
    <s v="Health &amp; Wellness"/>
    <x v="23"/>
  </r>
  <r>
    <s v="TechCorp"/>
    <x v="1"/>
    <s v="Women 35-44"/>
    <s v="60 days"/>
    <x v="4"/>
    <n v="0.08"/>
    <n v="7887"/>
    <n v="6.7"/>
    <n v="59"/>
    <n v="133.67796610169492"/>
    <s v="Miami"/>
    <s v="Spanish"/>
    <n v="736"/>
    <n v="3041"/>
    <n v="9"/>
    <s v="Fashionistas"/>
    <x v="24"/>
  </r>
  <r>
    <s v="DataTech Solutions"/>
    <x v="3"/>
    <s v="Men 18-24"/>
    <s v="30 days"/>
    <x v="3"/>
    <n v="0.12"/>
    <n v="19575"/>
    <n v="3.26"/>
    <n v="50"/>
    <n v="391.5"/>
    <s v="Houston"/>
    <s v="French"/>
    <n v="420"/>
    <n v="7760"/>
    <n v="9"/>
    <s v="Foodies"/>
    <x v="25"/>
  </r>
  <r>
    <s v="Alpha Innovations"/>
    <x v="0"/>
    <s v="All Ages"/>
    <s v="30 days"/>
    <x v="1"/>
    <n v="0.06"/>
    <n v="10998"/>
    <n v="3.38"/>
    <n v="28"/>
    <n v="392.78571428571428"/>
    <s v="New York"/>
    <s v="Mandarin"/>
    <n v="460"/>
    <n v="4327"/>
    <n v="9"/>
    <s v="Outdoor Adventurers"/>
    <x v="26"/>
  </r>
  <r>
    <s v="Alpha Innovations"/>
    <x v="4"/>
    <s v="Men 18-24"/>
    <s v="60 days"/>
    <x v="1"/>
    <n v="0.02"/>
    <n v="16117"/>
    <n v="3.14"/>
    <n v="15"/>
    <n v="1074.4666666666667"/>
    <s v="Miami"/>
    <s v="Spanish"/>
    <n v="733"/>
    <n v="3259"/>
    <n v="7"/>
    <s v="Tech Enthusiasts"/>
    <x v="27"/>
  </r>
  <r>
    <s v="DataTech Solutions"/>
    <x v="0"/>
    <s v="Women 25-34"/>
    <s v="15 days"/>
    <x v="3"/>
    <n v="0.03"/>
    <n v="11733"/>
    <n v="4.87"/>
    <n v="20"/>
    <n v="586.65"/>
    <s v="Los Angeles"/>
    <s v="English"/>
    <n v="656"/>
    <n v="2253"/>
    <n v="5"/>
    <s v="Outdoor Adventurers"/>
    <x v="28"/>
  </r>
  <r>
    <s v="Innovate Industries"/>
    <x v="1"/>
    <s v="Men 25-34"/>
    <s v="60 days"/>
    <x v="5"/>
    <n v="0.05"/>
    <n v="14682"/>
    <n v="7.14"/>
    <n v="24"/>
    <n v="611.75"/>
    <s v="Miami"/>
    <s v="Spanish"/>
    <n v="479"/>
    <n v="7616"/>
    <n v="6"/>
    <s v="Fashionistas"/>
    <x v="29"/>
  </r>
  <r>
    <s v="TechCorp"/>
    <x v="1"/>
    <s v="All Ages"/>
    <s v="45 days"/>
    <x v="4"/>
    <n v="7.0000000000000007E-2"/>
    <n v="10793"/>
    <n v="7.44"/>
    <n v="64"/>
    <n v="168.640625"/>
    <s v="Houston"/>
    <s v="Spanish"/>
    <n v="912"/>
    <n v="2091"/>
    <n v="6"/>
    <s v="Tech Enthusiasts"/>
    <x v="30"/>
  </r>
  <r>
    <s v="NexGen Systems"/>
    <x v="0"/>
    <s v="Women 25-34"/>
    <s v="15 days"/>
    <x v="1"/>
    <n v="0.02"/>
    <n v="15892"/>
    <n v="2.25"/>
    <n v="20"/>
    <n v="794.6"/>
    <s v="Miami"/>
    <s v="Spanish"/>
    <n v="990"/>
    <n v="3017"/>
    <n v="1"/>
    <s v="Health &amp; Wellness"/>
    <x v="31"/>
  </r>
  <r>
    <s v="Alpha Innovations"/>
    <x v="0"/>
    <s v="Men 25-34"/>
    <s v="15 days"/>
    <x v="5"/>
    <n v="0.06"/>
    <n v="13111"/>
    <n v="3.88"/>
    <n v="41"/>
    <n v="319.78048780487802"/>
    <s v="New York"/>
    <s v="English"/>
    <n v="690"/>
    <n v="9664"/>
    <n v="7"/>
    <s v="Tech Enthusiasts"/>
    <x v="32"/>
  </r>
  <r>
    <s v="Alpha Innovations"/>
    <x v="3"/>
    <s v="Women 25-34"/>
    <s v="45 days"/>
    <x v="2"/>
    <n v="0.1"/>
    <n v="17914"/>
    <n v="5.66"/>
    <n v="89"/>
    <n v="201.28089887640451"/>
    <s v="New York"/>
    <s v="Mandarin"/>
    <n v="892"/>
    <n v="9177"/>
    <n v="1"/>
    <s v="Tech Enthusiasts"/>
    <x v="33"/>
  </r>
  <r>
    <s v="Innovate Industries"/>
    <x v="1"/>
    <s v="All Ages"/>
    <s v="45 days"/>
    <x v="3"/>
    <n v="0.03"/>
    <n v="8137"/>
    <n v="3.64"/>
    <n v="11"/>
    <n v="739.72727272727275"/>
    <s v="New York"/>
    <s v="French"/>
    <n v="383"/>
    <n v="2321"/>
    <n v="7"/>
    <s v="Fashionistas"/>
    <x v="34"/>
  </r>
  <r>
    <s v="DataTech Solutions"/>
    <x v="4"/>
    <s v="All Ages"/>
    <s v="15 days"/>
    <x v="5"/>
    <n v="0.1"/>
    <n v="9908"/>
    <n v="6.62"/>
    <n v="40"/>
    <n v="247.7"/>
    <s v="Chicago"/>
    <s v="English"/>
    <n v="401"/>
    <n v="1857"/>
    <n v="7"/>
    <s v="Health &amp; Wellness"/>
    <x v="35"/>
  </r>
  <r>
    <s v="DataTech Solutions"/>
    <x v="4"/>
    <s v="All Ages"/>
    <s v="45 days"/>
    <x v="2"/>
    <n v="0.1"/>
    <n v="15829"/>
    <n v="6.37"/>
    <n v="39"/>
    <n v="405.87179487179486"/>
    <s v="Los Angeles"/>
    <s v="Mandarin"/>
    <n v="394"/>
    <n v="2261"/>
    <n v="8"/>
    <s v="Outdoor Adventurers"/>
    <x v="36"/>
  </r>
  <r>
    <s v="Alpha Innovations"/>
    <x v="1"/>
    <s v="All Ages"/>
    <s v="30 days"/>
    <x v="3"/>
    <n v="0.14000000000000001"/>
    <n v="5884"/>
    <n v="5.2"/>
    <n v="72"/>
    <n v="81.722222222222229"/>
    <s v="Los Angeles"/>
    <s v="Spanish"/>
    <n v="511"/>
    <n v="2403"/>
    <n v="3"/>
    <s v="Tech Enthusiasts"/>
    <x v="37"/>
  </r>
  <r>
    <s v="Alpha Innovations"/>
    <x v="1"/>
    <s v="All Ages"/>
    <s v="60 days"/>
    <x v="0"/>
    <n v="0.01"/>
    <n v="5030"/>
    <n v="2.69"/>
    <n v="3"/>
    <n v="1676.6666666666667"/>
    <s v="Houston"/>
    <s v="English"/>
    <n v="253"/>
    <n v="9776"/>
    <n v="4"/>
    <s v="Health &amp; Wellness"/>
    <x v="38"/>
  </r>
  <r>
    <s v="TechCorp"/>
    <x v="0"/>
    <s v="Women 25-34"/>
    <s v="15 days"/>
    <x v="3"/>
    <n v="0.02"/>
    <n v="16294"/>
    <n v="6.29"/>
    <n v="16"/>
    <n v="1018.375"/>
    <s v="Los Angeles"/>
    <s v="Mandarin"/>
    <n v="824"/>
    <n v="9481"/>
    <n v="8"/>
    <s v="Foodies"/>
    <x v="39"/>
  </r>
  <r>
    <s v="TechCorp"/>
    <x v="1"/>
    <s v="Women 35-44"/>
    <s v="60 days"/>
    <x v="1"/>
    <n v="0.13"/>
    <n v="12482"/>
    <n v="7.3"/>
    <n v="20"/>
    <n v="624.1"/>
    <s v="Houston"/>
    <s v="Mandarin"/>
    <n v="155"/>
    <n v="2746"/>
    <n v="7"/>
    <s v="Tech Enthusiasts"/>
    <x v="40"/>
  </r>
  <r>
    <s v="Alpha Innovations"/>
    <x v="2"/>
    <s v="Women 25-34"/>
    <s v="30 days"/>
    <x v="1"/>
    <n v="0.09"/>
    <n v="14834"/>
    <n v="7.09"/>
    <n v="42"/>
    <n v="353.1904761904762"/>
    <s v="New York"/>
    <s v="German"/>
    <n v="464"/>
    <n v="7437"/>
    <n v="5"/>
    <s v="Tech Enthusiasts"/>
    <x v="41"/>
  </r>
  <r>
    <s v="Innovate Industries"/>
    <x v="1"/>
    <s v="Men 25-34"/>
    <s v="45 days"/>
    <x v="0"/>
    <n v="0.01"/>
    <n v="17962"/>
    <n v="7.99"/>
    <n v="2"/>
    <n v="8981"/>
    <s v="New York"/>
    <s v="English"/>
    <n v="170"/>
    <n v="7212"/>
    <n v="10"/>
    <s v="Foodies"/>
    <x v="42"/>
  </r>
  <r>
    <s v="DataTech Solutions"/>
    <x v="3"/>
    <s v="Women 35-44"/>
    <s v="15 days"/>
    <x v="3"/>
    <n v="0.11"/>
    <n v="11445"/>
    <n v="6.2"/>
    <n v="49"/>
    <n v="233.57142857142858"/>
    <s v="Miami"/>
    <s v="German"/>
    <n v="447"/>
    <n v="8290"/>
    <n v="7"/>
    <s v="Foodies"/>
    <x v="43"/>
  </r>
  <r>
    <s v="NexGen Systems"/>
    <x v="2"/>
    <s v="Men 25-34"/>
    <s v="15 days"/>
    <x v="1"/>
    <n v="0.12"/>
    <n v="11394"/>
    <n v="2.21"/>
    <n v="28"/>
    <n v="406.92857142857144"/>
    <s v="Chicago"/>
    <s v="Spanish"/>
    <n v="235"/>
    <n v="5872"/>
    <n v="4"/>
    <s v="Tech Enthusiasts"/>
    <x v="44"/>
  </r>
  <r>
    <s v="TechCorp"/>
    <x v="2"/>
    <s v="Women 35-44"/>
    <s v="30 days"/>
    <x v="0"/>
    <n v="7.0000000000000007E-2"/>
    <n v="8693"/>
    <n v="6.57"/>
    <n v="30"/>
    <n v="289.76666666666665"/>
    <s v="Houston"/>
    <s v="German"/>
    <n v="429"/>
    <n v="7581"/>
    <n v="2"/>
    <s v="Tech Enthusiasts"/>
    <x v="45"/>
  </r>
  <r>
    <s v="NexGen Systems"/>
    <x v="4"/>
    <s v="Women 35-44"/>
    <s v="15 days"/>
    <x v="5"/>
    <n v="0.04"/>
    <n v="14034"/>
    <n v="6.57"/>
    <n v="38"/>
    <n v="369.31578947368422"/>
    <s v="Houston"/>
    <s v="Spanish"/>
    <n v="949"/>
    <n v="7870"/>
    <n v="8"/>
    <s v="Outdoor Adventurers"/>
    <x v="46"/>
  </r>
  <r>
    <s v="Alpha Innovations"/>
    <x v="0"/>
    <s v="Men 25-34"/>
    <s v="45 days"/>
    <x v="4"/>
    <n v="0.13"/>
    <n v="6184"/>
    <n v="6.17"/>
    <n v="18"/>
    <n v="343.55555555555554"/>
    <s v="Miami"/>
    <s v="Mandarin"/>
    <n v="135"/>
    <n v="7325"/>
    <n v="4"/>
    <s v="Outdoor Adventurers"/>
    <x v="47"/>
  </r>
  <r>
    <s v="Alpha Innovations"/>
    <x v="4"/>
    <s v="Men 25-34"/>
    <s v="30 days"/>
    <x v="1"/>
    <n v="0.13"/>
    <n v="5921"/>
    <n v="5.29"/>
    <n v="66"/>
    <n v="89.712121212121218"/>
    <s v="Los Angeles"/>
    <s v="German"/>
    <n v="511"/>
    <n v="4147"/>
    <n v="5"/>
    <s v="Health &amp; Wellness"/>
    <x v="48"/>
  </r>
  <r>
    <s v="TechCorp"/>
    <x v="3"/>
    <s v="Women 25-34"/>
    <s v="15 days"/>
    <x v="4"/>
    <n v="0.13"/>
    <n v="11649"/>
    <n v="6.15"/>
    <n v="54"/>
    <n v="215.72222222222223"/>
    <s v="Houston"/>
    <s v="French"/>
    <n v="415"/>
    <n v="2219"/>
    <n v="8"/>
    <s v="Foodies"/>
    <x v="49"/>
  </r>
  <r>
    <s v="NexGen Systems"/>
    <x v="1"/>
    <s v="Women 35-44"/>
    <s v="30 days"/>
    <x v="4"/>
    <n v="0.04"/>
    <n v="16411"/>
    <n v="7.8"/>
    <n v="38"/>
    <n v="431.86842105263156"/>
    <s v="Los Angeles"/>
    <s v="Mandarin"/>
    <n v="954"/>
    <n v="4083"/>
    <n v="1"/>
    <s v="Foodies"/>
    <x v="50"/>
  </r>
  <r>
    <s v="Innovate Industries"/>
    <x v="3"/>
    <s v="Men 18-24"/>
    <s v="60 days"/>
    <x v="2"/>
    <n v="0.04"/>
    <n v="12248"/>
    <n v="3.96"/>
    <n v="29"/>
    <n v="422.34482758620692"/>
    <s v="Houston"/>
    <s v="English"/>
    <n v="731"/>
    <n v="6517"/>
    <n v="1"/>
    <s v="Health &amp; Wellness"/>
    <x v="51"/>
  </r>
  <r>
    <s v="NexGen Systems"/>
    <x v="4"/>
    <s v="Women 35-44"/>
    <s v="60 days"/>
    <x v="1"/>
    <n v="0.15"/>
    <n v="14415"/>
    <n v="7.84"/>
    <n v="49"/>
    <n v="294.18367346938777"/>
    <s v="New York"/>
    <s v="German"/>
    <n v="324"/>
    <n v="7711"/>
    <n v="6"/>
    <s v="Foodies"/>
    <x v="52"/>
  </r>
  <r>
    <s v="NexGen Systems"/>
    <x v="2"/>
    <s v="Men 25-34"/>
    <s v="45 days"/>
    <x v="1"/>
    <n v="0.06"/>
    <n v="12156"/>
    <n v="7.31"/>
    <n v="20"/>
    <n v="607.79999999999995"/>
    <s v="Chicago"/>
    <s v="German"/>
    <n v="336"/>
    <n v="9246"/>
    <n v="9"/>
    <s v="Foodies"/>
    <x v="53"/>
  </r>
  <r>
    <s v="DataTech Solutions"/>
    <x v="1"/>
    <s v="Men 25-34"/>
    <s v="30 days"/>
    <x v="4"/>
    <n v="0.13"/>
    <n v="19442"/>
    <n v="7.06"/>
    <n v="73"/>
    <n v="266.32876712328766"/>
    <s v="Chicago"/>
    <s v="French"/>
    <n v="558"/>
    <n v="8483"/>
    <n v="2"/>
    <s v="Outdoor Adventurers"/>
    <x v="54"/>
  </r>
  <r>
    <s v="Alpha Innovations"/>
    <x v="2"/>
    <s v="Women 35-44"/>
    <s v="60 days"/>
    <x v="1"/>
    <n v="0.04"/>
    <n v="19559"/>
    <n v="6.77"/>
    <n v="7"/>
    <n v="2794.1428571428573"/>
    <s v="Miami"/>
    <s v="French"/>
    <n v="184"/>
    <n v="9945"/>
    <n v="4"/>
    <s v="Outdoor Adventurers"/>
    <x v="55"/>
  </r>
  <r>
    <s v="TechCorp"/>
    <x v="0"/>
    <s v="Men 18-24"/>
    <s v="30 days"/>
    <x v="3"/>
    <n v="0.11"/>
    <n v="19237"/>
    <n v="4.8499999999999996"/>
    <n v="28"/>
    <n v="687.03571428571433"/>
    <s v="New York"/>
    <s v="Mandarin"/>
    <n v="252"/>
    <n v="3790"/>
    <n v="5"/>
    <s v="Foodies"/>
    <x v="56"/>
  </r>
  <r>
    <s v="DataTech Solutions"/>
    <x v="4"/>
    <s v="All Ages"/>
    <s v="60 days"/>
    <x v="4"/>
    <n v="0.11"/>
    <n v="13027"/>
    <n v="5.18"/>
    <n v="57"/>
    <n v="228.54385964912279"/>
    <s v="Los Angeles"/>
    <s v="English"/>
    <n v="516"/>
    <n v="4474"/>
    <n v="2"/>
    <s v="Fashionistas"/>
    <x v="57"/>
  </r>
  <r>
    <s v="Innovate Industries"/>
    <x v="4"/>
    <s v="All Ages"/>
    <s v="30 days"/>
    <x v="5"/>
    <n v="0.12"/>
    <n v="11760"/>
    <n v="5.85"/>
    <n v="86"/>
    <n v="136.74418604651163"/>
    <s v="Chicago"/>
    <s v="French"/>
    <n v="720"/>
    <n v="2797"/>
    <n v="2"/>
    <s v="Health &amp; Wellness"/>
    <x v="58"/>
  </r>
  <r>
    <s v="Alpha Innovations"/>
    <x v="1"/>
    <s v="Men 25-34"/>
    <s v="15 days"/>
    <x v="2"/>
    <n v="0.03"/>
    <n v="17970"/>
    <n v="4.0999999999999996"/>
    <n v="13"/>
    <n v="1382.3076923076924"/>
    <s v="Houston"/>
    <s v="Mandarin"/>
    <n v="431"/>
    <n v="5787"/>
    <n v="2"/>
    <s v="Foodies"/>
    <x v="59"/>
  </r>
  <r>
    <s v="NexGen Systems"/>
    <x v="2"/>
    <s v="Women 35-44"/>
    <s v="45 days"/>
    <x v="5"/>
    <n v="7.0000000000000007E-2"/>
    <n v="5116"/>
    <n v="4.08"/>
    <n v="21"/>
    <n v="243.61904761904762"/>
    <s v="Los Angeles"/>
    <s v="Spanish"/>
    <n v="307"/>
    <n v="2449"/>
    <n v="6"/>
    <s v="Tech Enthusiasts"/>
    <x v="60"/>
  </r>
  <r>
    <s v="TechCorp"/>
    <x v="3"/>
    <s v="All Ages"/>
    <s v="45 days"/>
    <x v="1"/>
    <n v="0.04"/>
    <n v="9338"/>
    <n v="2.93"/>
    <n v="35"/>
    <n v="266.8"/>
    <s v="Los Angeles"/>
    <s v="Spanish"/>
    <n v="877"/>
    <n v="6516"/>
    <n v="4"/>
    <s v="Health &amp; Wellness"/>
    <x v="61"/>
  </r>
  <r>
    <s v="DataTech Solutions"/>
    <x v="0"/>
    <s v="Women 25-34"/>
    <s v="15 days"/>
    <x v="2"/>
    <n v="0.13"/>
    <n v="9448"/>
    <n v="4.9800000000000004"/>
    <n v="109"/>
    <n v="86.678899082568805"/>
    <s v="New York"/>
    <s v="Spanish"/>
    <n v="838"/>
    <n v="6336"/>
    <n v="8"/>
    <s v="Outdoor Adventurers"/>
    <x v="62"/>
  </r>
  <r>
    <s v="NexGen Systems"/>
    <x v="3"/>
    <s v="Women 25-34"/>
    <s v="30 days"/>
    <x v="3"/>
    <n v="0.02"/>
    <n v="13093"/>
    <n v="5.64"/>
    <n v="19"/>
    <n v="689.10526315789468"/>
    <s v="Chicago"/>
    <s v="French"/>
    <n v="944"/>
    <n v="7266"/>
    <n v="2"/>
    <s v="Fashionistas"/>
    <x v="63"/>
  </r>
  <r>
    <s v="Alpha Innovations"/>
    <x v="2"/>
    <s v="Men 25-34"/>
    <s v="30 days"/>
    <x v="5"/>
    <n v="0.03"/>
    <n v="14652"/>
    <n v="4.2699999999999996"/>
    <n v="13"/>
    <n v="1127.0769230769231"/>
    <s v="Houston"/>
    <s v="French"/>
    <n v="438"/>
    <n v="8574"/>
    <n v="8"/>
    <s v="Foodies"/>
    <x v="64"/>
  </r>
  <r>
    <s v="DataTech Solutions"/>
    <x v="2"/>
    <s v="Women 25-34"/>
    <s v="15 days"/>
    <x v="1"/>
    <n v="0.02"/>
    <n v="18054"/>
    <n v="6.47"/>
    <n v="15"/>
    <n v="1203.5999999999999"/>
    <s v="Houston"/>
    <s v="English"/>
    <n v="745"/>
    <n v="6522"/>
    <n v="1"/>
    <s v="Tech Enthusiasts"/>
    <x v="65"/>
  </r>
  <r>
    <s v="TechCorp"/>
    <x v="0"/>
    <s v="All Ages"/>
    <s v="45 days"/>
    <x v="2"/>
    <n v="0.02"/>
    <n v="15836"/>
    <n v="3.49"/>
    <n v="19"/>
    <n v="833.47368421052636"/>
    <s v="New York"/>
    <s v="German"/>
    <n v="957"/>
    <n v="5953"/>
    <n v="1"/>
    <s v="Outdoor Adventurers"/>
    <x v="66"/>
  </r>
  <r>
    <s v="Alpha Innovations"/>
    <x v="2"/>
    <s v="Men 25-34"/>
    <s v="15 days"/>
    <x v="2"/>
    <n v="0.15"/>
    <n v="9935"/>
    <n v="2.0499999999999998"/>
    <n v="18"/>
    <n v="551.94444444444446"/>
    <s v="Miami"/>
    <s v="German"/>
    <n v="120"/>
    <n v="6667"/>
    <n v="8"/>
    <s v="Outdoor Adventurers"/>
    <x v="67"/>
  </r>
  <r>
    <s v="NexGen Systems"/>
    <x v="4"/>
    <s v="Men 18-24"/>
    <s v="60 days"/>
    <x v="2"/>
    <n v="0.03"/>
    <n v="14149"/>
    <n v="3.36"/>
    <n v="6"/>
    <n v="2358.1666666666665"/>
    <s v="Los Angeles"/>
    <s v="English"/>
    <n v="214"/>
    <n v="7718"/>
    <n v="6"/>
    <s v="Tech Enthusiasts"/>
    <x v="68"/>
  </r>
  <r>
    <s v="TechCorp"/>
    <x v="1"/>
    <s v="All Ages"/>
    <s v="30 days"/>
    <x v="2"/>
    <n v="0.14000000000000001"/>
    <n v="6962"/>
    <n v="2.08"/>
    <n v="50"/>
    <n v="139.24"/>
    <s v="Miami"/>
    <s v="English"/>
    <n v="356"/>
    <n v="9913"/>
    <n v="1"/>
    <s v="Foodies"/>
    <x v="69"/>
  </r>
  <r>
    <s v="TechCorp"/>
    <x v="0"/>
    <s v="Men 25-34"/>
    <s v="30 days"/>
    <x v="4"/>
    <n v="0.12"/>
    <n v="17619"/>
    <n v="7.09"/>
    <n v="88"/>
    <n v="200.21590909090909"/>
    <s v="Chicago"/>
    <s v="Mandarin"/>
    <n v="737"/>
    <n v="1825"/>
    <n v="3"/>
    <s v="Health &amp; Wellness"/>
    <x v="70"/>
  </r>
  <r>
    <s v="NexGen Systems"/>
    <x v="4"/>
    <s v="Women 25-34"/>
    <s v="30 days"/>
    <x v="2"/>
    <n v="0.1"/>
    <n v="15826"/>
    <n v="6.55"/>
    <n v="64"/>
    <n v="247.28125"/>
    <s v="Los Angeles"/>
    <s v="French"/>
    <n v="640"/>
    <n v="6124"/>
    <n v="2"/>
    <s v="Outdoor Adventurers"/>
    <x v="71"/>
  </r>
  <r>
    <s v="NexGen Systems"/>
    <x v="2"/>
    <s v="Women 25-34"/>
    <s v="30 days"/>
    <x v="1"/>
    <n v="0.1"/>
    <n v="14808"/>
    <n v="2.25"/>
    <n v="15"/>
    <n v="987.2"/>
    <s v="Los Angeles"/>
    <s v="French"/>
    <n v="154"/>
    <n v="3430"/>
    <n v="7"/>
    <s v="Health &amp; Wellness"/>
    <x v="72"/>
  </r>
  <r>
    <s v="Innovate Industries"/>
    <x v="3"/>
    <s v="Women 35-44"/>
    <s v="60 days"/>
    <x v="4"/>
    <n v="0.09"/>
    <n v="11021"/>
    <n v="4.92"/>
    <n v="69"/>
    <n v="159.72463768115941"/>
    <s v="Miami"/>
    <s v="Spanish"/>
    <n v="767"/>
    <n v="3479"/>
    <n v="7"/>
    <s v="Fashionistas"/>
    <x v="73"/>
  </r>
  <r>
    <s v="Alpha Innovations"/>
    <x v="1"/>
    <s v="Men 25-34"/>
    <s v="60 days"/>
    <x v="0"/>
    <n v="0.04"/>
    <n v="18092"/>
    <n v="5.33"/>
    <n v="38"/>
    <n v="476.10526315789474"/>
    <s v="Houston"/>
    <s v="Mandarin"/>
    <n v="960"/>
    <n v="9844"/>
    <n v="7"/>
    <s v="Foodies"/>
    <x v="74"/>
  </r>
  <r>
    <s v="DataTech Solutions"/>
    <x v="1"/>
    <s v="Men 25-34"/>
    <s v="15 days"/>
    <x v="1"/>
    <n v="0.14000000000000001"/>
    <n v="15480"/>
    <n v="2.5299999999999998"/>
    <n v="122"/>
    <n v="126.88524590163935"/>
    <s v="New York"/>
    <s v="English"/>
    <n v="870"/>
    <n v="7588"/>
    <n v="8"/>
    <s v="Tech Enthusiasts"/>
    <x v="75"/>
  </r>
  <r>
    <s v="Alpha Innovations"/>
    <x v="0"/>
    <s v="Women 25-34"/>
    <s v="45 days"/>
    <x v="3"/>
    <n v="0.02"/>
    <n v="8650"/>
    <n v="5.69"/>
    <n v="15"/>
    <n v="576.66666666666663"/>
    <s v="Los Angeles"/>
    <s v="Spanish"/>
    <n v="729"/>
    <n v="9706"/>
    <n v="1"/>
    <s v="Tech Enthusiasts"/>
    <x v="76"/>
  </r>
  <r>
    <s v="Innovate Industries"/>
    <x v="3"/>
    <s v="Women 25-34"/>
    <s v="30 days"/>
    <x v="1"/>
    <n v="0.09"/>
    <n v="5366"/>
    <n v="3.14"/>
    <n v="28"/>
    <n v="191.64285714285714"/>
    <s v="New York"/>
    <s v="English"/>
    <n v="315"/>
    <n v="9927"/>
    <n v="10"/>
    <s v="Tech Enthusiasts"/>
    <x v="77"/>
  </r>
  <r>
    <s v="Innovate Industries"/>
    <x v="1"/>
    <s v="All Ages"/>
    <s v="45 days"/>
    <x v="1"/>
    <n v="0.03"/>
    <n v="13598"/>
    <n v="7.19"/>
    <n v="3"/>
    <n v="4532.666666666667"/>
    <s v="Miami"/>
    <s v="Spanish"/>
    <n v="100"/>
    <n v="2689"/>
    <n v="6"/>
    <s v="Outdoor Adventurers"/>
    <x v="78"/>
  </r>
  <r>
    <s v="Alpha Innovations"/>
    <x v="1"/>
    <s v="Women 35-44"/>
    <s v="60 days"/>
    <x v="5"/>
    <n v="0.13"/>
    <n v="14838"/>
    <n v="5.8"/>
    <n v="67"/>
    <n v="221.46268656716418"/>
    <s v="Houston"/>
    <s v="Mandarin"/>
    <n v="516"/>
    <n v="3097"/>
    <n v="7"/>
    <s v="Outdoor Adventurers"/>
    <x v="79"/>
  </r>
  <r>
    <s v="DataTech Solutions"/>
    <x v="2"/>
    <s v="Men 25-34"/>
    <s v="15 days"/>
    <x v="4"/>
    <n v="0.03"/>
    <n v="18932"/>
    <n v="7.16"/>
    <n v="21"/>
    <n v="901.52380952380952"/>
    <s v="New York"/>
    <s v="Spanish"/>
    <n v="691"/>
    <n v="8255"/>
    <n v="6"/>
    <s v="Health &amp; Wellness"/>
    <x v="80"/>
  </r>
  <r>
    <s v="DataTech Solutions"/>
    <x v="2"/>
    <s v="All Ages"/>
    <s v="60 days"/>
    <x v="5"/>
    <n v="0.03"/>
    <n v="15573"/>
    <n v="3.39"/>
    <n v="14"/>
    <n v="1112.3571428571429"/>
    <s v="Miami"/>
    <s v="French"/>
    <n v="483"/>
    <n v="6956"/>
    <n v="10"/>
    <s v="Outdoor Adventurers"/>
    <x v="81"/>
  </r>
  <r>
    <s v="TechCorp"/>
    <x v="3"/>
    <s v="All Ages"/>
    <s v="15 days"/>
    <x v="4"/>
    <n v="0.11"/>
    <n v="11446"/>
    <n v="3.82"/>
    <n v="71"/>
    <n v="161.21126760563379"/>
    <s v="Los Angeles"/>
    <s v="English"/>
    <n v="641"/>
    <n v="5705"/>
    <n v="5"/>
    <s v="Foodies"/>
    <x v="82"/>
  </r>
  <r>
    <s v="Alpha Innovations"/>
    <x v="2"/>
    <s v="Women 25-34"/>
    <s v="60 days"/>
    <x v="1"/>
    <n v="0.11"/>
    <n v="8282"/>
    <n v="6.35"/>
    <n v="105"/>
    <n v="78.876190476190473"/>
    <s v="New York"/>
    <s v="Mandarin"/>
    <n v="950"/>
    <n v="6803"/>
    <n v="9"/>
    <s v="Tech Enthusiasts"/>
    <x v="83"/>
  </r>
  <r>
    <s v="Innovate Industries"/>
    <x v="3"/>
    <s v="Women 25-34"/>
    <s v="30 days"/>
    <x v="4"/>
    <n v="0.06"/>
    <n v="10258"/>
    <n v="2.1"/>
    <n v="18"/>
    <n v="569.88888888888891"/>
    <s v="Miami"/>
    <s v="German"/>
    <n v="300"/>
    <n v="9156"/>
    <n v="8"/>
    <s v="Foodies"/>
    <x v="84"/>
  </r>
  <r>
    <s v="Alpha Innovations"/>
    <x v="3"/>
    <s v="Women 35-44"/>
    <s v="30 days"/>
    <x v="2"/>
    <n v="0.06"/>
    <n v="8782"/>
    <n v="2.23"/>
    <n v="38"/>
    <n v="231.10526315789474"/>
    <s v="Los Angeles"/>
    <s v="French"/>
    <n v="640"/>
    <n v="4248"/>
    <n v="1"/>
    <s v="Tech Enthusiasts"/>
    <x v="85"/>
  </r>
  <r>
    <s v="DataTech Solutions"/>
    <x v="3"/>
    <s v="All Ages"/>
    <s v="60 days"/>
    <x v="2"/>
    <n v="0.02"/>
    <n v="6056"/>
    <n v="4.96"/>
    <n v="6"/>
    <n v="1009.3333333333334"/>
    <s v="Los Angeles"/>
    <s v="French"/>
    <n v="278"/>
    <n v="6928"/>
    <n v="1"/>
    <s v="Tech Enthusiasts"/>
    <x v="86"/>
  </r>
  <r>
    <s v="Innovate Industries"/>
    <x v="2"/>
    <s v="Men 25-34"/>
    <s v="30 days"/>
    <x v="0"/>
    <n v="0.06"/>
    <n v="18572"/>
    <n v="5.19"/>
    <n v="24"/>
    <n v="773.83333333333337"/>
    <s v="Chicago"/>
    <s v="Spanish"/>
    <n v="401"/>
    <n v="5277"/>
    <n v="2"/>
    <s v="Foodies"/>
    <x v="87"/>
  </r>
  <r>
    <s v="TechCorp"/>
    <x v="3"/>
    <s v="Women 25-34"/>
    <s v="45 days"/>
    <x v="3"/>
    <n v="0.06"/>
    <n v="16061"/>
    <n v="6.93"/>
    <n v="40"/>
    <n v="401.52499999999998"/>
    <s v="Los Angeles"/>
    <s v="Mandarin"/>
    <n v="674"/>
    <n v="4751"/>
    <n v="7"/>
    <s v="Health &amp; Wellness"/>
    <x v="88"/>
  </r>
  <r>
    <s v="Alpha Innovations"/>
    <x v="1"/>
    <s v="Men 25-34"/>
    <s v="30 days"/>
    <x v="0"/>
    <n v="0.02"/>
    <n v="19978"/>
    <n v="7.5"/>
    <n v="17"/>
    <n v="1175.1764705882354"/>
    <s v="New York"/>
    <s v="German"/>
    <n v="856"/>
    <n v="8306"/>
    <n v="7"/>
    <s v="Foodies"/>
    <x v="89"/>
  </r>
  <r>
    <s v="DataTech Solutions"/>
    <x v="2"/>
    <s v="Women 25-34"/>
    <s v="15 days"/>
    <x v="5"/>
    <n v="0.12"/>
    <n v="15572"/>
    <n v="4.7699999999999996"/>
    <n v="70"/>
    <n v="222.45714285714286"/>
    <s v="Los Angeles"/>
    <s v="French"/>
    <n v="580"/>
    <n v="2180"/>
    <n v="2"/>
    <s v="Health &amp; Wellness"/>
    <x v="90"/>
  </r>
  <r>
    <s v="Innovate Industries"/>
    <x v="1"/>
    <s v="Men 25-34"/>
    <s v="60 days"/>
    <x v="2"/>
    <n v="0.11"/>
    <n v="5874"/>
    <n v="2.2599999999999998"/>
    <n v="97"/>
    <n v="60.556701030927833"/>
    <s v="Los Angeles"/>
    <s v="German"/>
    <n v="884"/>
    <n v="1734"/>
    <n v="6"/>
    <s v="Fashionistas"/>
    <x v="91"/>
  </r>
  <r>
    <s v="DataTech Solutions"/>
    <x v="1"/>
    <s v="Women 25-34"/>
    <s v="60 days"/>
    <x v="3"/>
    <n v="0.12"/>
    <n v="7064"/>
    <n v="7.76"/>
    <n v="111"/>
    <n v="63.63963963963964"/>
    <s v="New York"/>
    <s v="German"/>
    <n v="922"/>
    <n v="8692"/>
    <n v="4"/>
    <s v="Health &amp; Wellness"/>
    <x v="92"/>
  </r>
  <r>
    <s v="Innovate Industries"/>
    <x v="4"/>
    <s v="Women 25-34"/>
    <s v="30 days"/>
    <x v="0"/>
    <n v="0.04"/>
    <n v="5477"/>
    <n v="7.49"/>
    <n v="23"/>
    <n v="238.13043478260869"/>
    <s v="Houston"/>
    <s v="German"/>
    <n v="583"/>
    <n v="3106"/>
    <n v="5"/>
    <s v="Health &amp; Wellness"/>
    <x v="93"/>
  </r>
  <r>
    <s v="Innovate Industries"/>
    <x v="0"/>
    <s v="All Ages"/>
    <s v="15 days"/>
    <x v="1"/>
    <n v="0.11"/>
    <n v="19481"/>
    <n v="5.77"/>
    <n v="45"/>
    <n v="432.9111111111111"/>
    <s v="Chicago"/>
    <s v="Mandarin"/>
    <n v="408"/>
    <n v="4345"/>
    <n v="6"/>
    <s v="Fashionistas"/>
    <x v="94"/>
  </r>
  <r>
    <s v="TechCorp"/>
    <x v="1"/>
    <s v="Women 35-44"/>
    <s v="45 days"/>
    <x v="2"/>
    <n v="0.15"/>
    <n v="8685"/>
    <n v="6.74"/>
    <n v="102"/>
    <n v="85.147058823529406"/>
    <s v="New York"/>
    <s v="Mandarin"/>
    <n v="683"/>
    <n v="5134"/>
    <n v="7"/>
    <s v="Foodies"/>
    <x v="95"/>
  </r>
  <r>
    <s v="Alpha Innovations"/>
    <x v="1"/>
    <s v="All Ages"/>
    <s v="15 days"/>
    <x v="2"/>
    <n v="0.13"/>
    <n v="12942"/>
    <n v="6.65"/>
    <n v="37"/>
    <n v="349.7837837837838"/>
    <s v="Houston"/>
    <s v="English"/>
    <n v="286"/>
    <n v="2073"/>
    <n v="6"/>
    <s v="Health &amp; Wellness"/>
    <x v="96"/>
  </r>
  <r>
    <s v="Alpha Innovations"/>
    <x v="4"/>
    <s v="Men 18-24"/>
    <s v="30 days"/>
    <x v="4"/>
    <n v="0.03"/>
    <n v="12322"/>
    <n v="2.06"/>
    <n v="15"/>
    <n v="821.4666666666667"/>
    <s v="New York"/>
    <s v="French"/>
    <n v="492"/>
    <n v="1724"/>
    <n v="9"/>
    <s v="Health &amp; Wellness"/>
    <x v="97"/>
  </r>
  <r>
    <s v="TechCorp"/>
    <x v="2"/>
    <s v="Women 25-34"/>
    <s v="30 days"/>
    <x v="0"/>
    <n v="0.13"/>
    <n v="13293"/>
    <n v="5.57"/>
    <n v="60"/>
    <n v="221.55"/>
    <s v="Los Angeles"/>
    <s v="Spanish"/>
    <n v="459"/>
    <n v="7932"/>
    <n v="1"/>
    <s v="Outdoor Adventurers"/>
    <x v="98"/>
  </r>
  <r>
    <s v="NexGen Systems"/>
    <x v="2"/>
    <s v="All Ages"/>
    <s v="45 days"/>
    <x v="2"/>
    <n v="0.14000000000000001"/>
    <n v="18815"/>
    <n v="5.24"/>
    <n v="34"/>
    <n v="553.38235294117646"/>
    <s v="Miami"/>
    <s v="Spanish"/>
    <n v="244"/>
    <n v="8541"/>
    <n v="4"/>
    <s v="Foodies"/>
    <x v="99"/>
  </r>
  <r>
    <s v="NexGen Systems"/>
    <x v="2"/>
    <s v="Women 25-34"/>
    <s v="60 days"/>
    <x v="4"/>
    <n v="0.14000000000000001"/>
    <n v="7588"/>
    <n v="6.32"/>
    <n v="129"/>
    <n v="58.821705426356587"/>
    <s v="Miami"/>
    <s v="Spanish"/>
    <n v="923"/>
    <n v="8935"/>
    <n v="9"/>
    <s v="Fashionistas"/>
    <x v="100"/>
  </r>
  <r>
    <s v="Alpha Innovations"/>
    <x v="1"/>
    <s v="Women 35-44"/>
    <s v="60 days"/>
    <x v="3"/>
    <n v="0.09"/>
    <n v="18688"/>
    <n v="2.0299999999999998"/>
    <n v="76"/>
    <n v="245.89473684210526"/>
    <s v="Los Angeles"/>
    <s v="French"/>
    <n v="846"/>
    <n v="5127"/>
    <n v="4"/>
    <s v="Health &amp; Wellness"/>
    <x v="101"/>
  </r>
  <r>
    <s v="TechCorp"/>
    <x v="3"/>
    <s v="Men 25-34"/>
    <s v="15 days"/>
    <x v="0"/>
    <n v="0.09"/>
    <n v="5933"/>
    <n v="7.13"/>
    <n v="15"/>
    <n v="395.53333333333336"/>
    <s v="Los Angeles"/>
    <s v="French"/>
    <n v="164"/>
    <n v="4187"/>
    <n v="2"/>
    <s v="Health &amp; Wellness"/>
    <x v="102"/>
  </r>
  <r>
    <s v="Innovate Industries"/>
    <x v="2"/>
    <s v="Women 25-34"/>
    <s v="15 days"/>
    <x v="1"/>
    <n v="0.11"/>
    <n v="12343"/>
    <n v="5.07"/>
    <n v="40"/>
    <n v="308.57499999999999"/>
    <s v="Chicago"/>
    <s v="Mandarin"/>
    <n v="364"/>
    <n v="9456"/>
    <n v="10"/>
    <s v="Health &amp; Wellness"/>
    <x v="103"/>
  </r>
  <r>
    <s v="Alpha Innovations"/>
    <x v="0"/>
    <s v="Women 25-34"/>
    <s v="30 days"/>
    <x v="4"/>
    <n v="0.14000000000000001"/>
    <n v="5671"/>
    <n v="5.79"/>
    <n v="123"/>
    <n v="46.105691056910572"/>
    <s v="New York"/>
    <s v="Mandarin"/>
    <n v="875"/>
    <n v="3091"/>
    <n v="5"/>
    <s v="Outdoor Adventurers"/>
    <x v="104"/>
  </r>
  <r>
    <s v="Innovate Industries"/>
    <x v="1"/>
    <s v="All Ages"/>
    <s v="60 days"/>
    <x v="1"/>
    <n v="0.12"/>
    <n v="16441"/>
    <n v="6.07"/>
    <n v="18"/>
    <n v="913.38888888888891"/>
    <s v="Houston"/>
    <s v="English"/>
    <n v="149"/>
    <n v="8058"/>
    <n v="6"/>
    <s v="Tech Enthusiasts"/>
    <x v="105"/>
  </r>
  <r>
    <s v="Alpha Innovations"/>
    <x v="0"/>
    <s v="Women 35-44"/>
    <s v="45 days"/>
    <x v="4"/>
    <n v="0.1"/>
    <n v="17854"/>
    <n v="2.0299999999999998"/>
    <n v="37"/>
    <n v="482.54054054054052"/>
    <s v="Miami"/>
    <s v="Spanish"/>
    <n v="371"/>
    <n v="2953"/>
    <n v="4"/>
    <s v="Fashionistas"/>
    <x v="106"/>
  </r>
  <r>
    <s v="NexGen Systems"/>
    <x v="1"/>
    <s v="Women 25-34"/>
    <s v="15 days"/>
    <x v="1"/>
    <n v="0.06"/>
    <n v="5177"/>
    <n v="7.51"/>
    <n v="18"/>
    <n v="287.61111111111109"/>
    <s v="New York"/>
    <s v="French"/>
    <n v="292"/>
    <n v="2603"/>
    <n v="1"/>
    <s v="Tech Enthusiasts"/>
    <x v="107"/>
  </r>
  <r>
    <s v="Innovate Industries"/>
    <x v="4"/>
    <s v="Women 35-44"/>
    <s v="15 days"/>
    <x v="0"/>
    <n v="0.01"/>
    <n v="18085"/>
    <n v="6.13"/>
    <n v="3"/>
    <n v="6028.333333333333"/>
    <s v="Houston"/>
    <s v="German"/>
    <n v="276"/>
    <n v="9017"/>
    <n v="7"/>
    <s v="Foodies"/>
    <x v="108"/>
  </r>
  <r>
    <s v="TechCorp"/>
    <x v="4"/>
    <s v="Women 25-34"/>
    <s v="60 days"/>
    <x v="4"/>
    <n v="0.09"/>
    <n v="8372"/>
    <n v="6.7"/>
    <n v="77"/>
    <n v="108.72727272727273"/>
    <s v="Houston"/>
    <s v="Mandarin"/>
    <n v="853"/>
    <n v="4666"/>
    <n v="8"/>
    <s v="Health &amp; Wellness"/>
    <x v="109"/>
  </r>
  <r>
    <s v="TechCorp"/>
    <x v="0"/>
    <s v="Women 35-44"/>
    <s v="30 days"/>
    <x v="1"/>
    <n v="0.05"/>
    <n v="11970"/>
    <n v="3.54"/>
    <n v="36"/>
    <n v="332.5"/>
    <s v="Miami"/>
    <s v="English"/>
    <n v="718"/>
    <n v="3559"/>
    <n v="8"/>
    <s v="Outdoor Adventurers"/>
    <x v="110"/>
  </r>
  <r>
    <s v="TechCorp"/>
    <x v="3"/>
    <s v="Women 35-44"/>
    <s v="30 days"/>
    <x v="2"/>
    <n v="0.08"/>
    <n v="19501"/>
    <n v="5.68"/>
    <n v="48"/>
    <n v="406.27083333333331"/>
    <s v="Chicago"/>
    <s v="German"/>
    <n v="601"/>
    <n v="5485"/>
    <n v="5"/>
    <s v="Health &amp; Wellness"/>
    <x v="111"/>
  </r>
  <r>
    <s v="NexGen Systems"/>
    <x v="0"/>
    <s v="Men 18-24"/>
    <s v="15 days"/>
    <x v="3"/>
    <n v="7.0000000000000007E-2"/>
    <n v="13206"/>
    <n v="6.37"/>
    <n v="11"/>
    <n v="1200.5454545454545"/>
    <s v="Chicago"/>
    <s v="Spanish"/>
    <n v="153"/>
    <n v="8272"/>
    <n v="2"/>
    <s v="Tech Enthusiasts"/>
    <x v="112"/>
  </r>
  <r>
    <s v="TechCorp"/>
    <x v="0"/>
    <s v="Women 35-44"/>
    <s v="30 days"/>
    <x v="3"/>
    <n v="0.13"/>
    <n v="15729"/>
    <n v="3.86"/>
    <n v="46"/>
    <n v="341.93478260869563"/>
    <s v="Los Angeles"/>
    <s v="Spanish"/>
    <n v="352"/>
    <n v="9857"/>
    <n v="4"/>
    <s v="Foodies"/>
    <x v="113"/>
  </r>
  <r>
    <s v="DataTech Solutions"/>
    <x v="2"/>
    <s v="Women 35-44"/>
    <s v="60 days"/>
    <x v="4"/>
    <n v="0.13"/>
    <n v="7778"/>
    <n v="3.87"/>
    <n v="49"/>
    <n v="158.73469387755102"/>
    <s v="Miami"/>
    <s v="English"/>
    <n v="380"/>
    <n v="6603"/>
    <n v="4"/>
    <s v="Tech Enthusiasts"/>
    <x v="114"/>
  </r>
  <r>
    <s v="NexGen Systems"/>
    <x v="0"/>
    <s v="All Ages"/>
    <s v="15 days"/>
    <x v="2"/>
    <n v="0.11"/>
    <n v="7280"/>
    <n v="3.82"/>
    <n v="72"/>
    <n v="101.11111111111111"/>
    <s v="Los Angeles"/>
    <s v="Mandarin"/>
    <n v="650"/>
    <n v="9150"/>
    <n v="8"/>
    <s v="Foodies"/>
    <x v="115"/>
  </r>
  <r>
    <s v="NexGen Systems"/>
    <x v="3"/>
    <s v="Women 25-34"/>
    <s v="45 days"/>
    <x v="3"/>
    <n v="0.02"/>
    <n v="11359"/>
    <n v="5.94"/>
    <n v="19"/>
    <n v="597.84210526315792"/>
    <s v="Houston"/>
    <s v="Mandarin"/>
    <n v="940"/>
    <n v="3890"/>
    <n v="4"/>
    <s v="Outdoor Adventurers"/>
    <x v="116"/>
  </r>
  <r>
    <s v="NexGen Systems"/>
    <x v="1"/>
    <s v="All Ages"/>
    <s v="30 days"/>
    <x v="0"/>
    <n v="0.02"/>
    <n v="5106"/>
    <n v="3.53"/>
    <n v="4"/>
    <n v="1276.5"/>
    <s v="Chicago"/>
    <s v="English"/>
    <n v="199"/>
    <n v="1794"/>
    <n v="2"/>
    <s v="Outdoor Adventurers"/>
    <x v="117"/>
  </r>
  <r>
    <s v="Innovate Industries"/>
    <x v="2"/>
    <s v="All Ages"/>
    <s v="15 days"/>
    <x v="2"/>
    <n v="0.02"/>
    <n v="13778"/>
    <n v="7.06"/>
    <n v="13"/>
    <n v="1059.8461538461538"/>
    <s v="Miami"/>
    <s v="English"/>
    <n v="659"/>
    <n v="6605"/>
    <n v="3"/>
    <s v="Tech Enthusiasts"/>
    <x v="118"/>
  </r>
  <r>
    <s v="NexGen Systems"/>
    <x v="3"/>
    <s v="All Ages"/>
    <s v="45 days"/>
    <x v="4"/>
    <n v="0.06"/>
    <n v="18551"/>
    <n v="5.69"/>
    <n v="22"/>
    <n v="843.22727272727275"/>
    <s v="Chicago"/>
    <s v="German"/>
    <n v="370"/>
    <n v="8647"/>
    <n v="5"/>
    <s v="Outdoor Adventurers"/>
    <x v="119"/>
  </r>
  <r>
    <s v="NexGen Systems"/>
    <x v="1"/>
    <s v="Women 25-34"/>
    <s v="30 days"/>
    <x v="1"/>
    <n v="0.03"/>
    <n v="14615"/>
    <n v="2.36"/>
    <n v="12"/>
    <n v="1217.9166666666667"/>
    <s v="New York"/>
    <s v="German"/>
    <n v="399"/>
    <n v="3099"/>
    <n v="9"/>
    <s v="Fashionistas"/>
    <x v="120"/>
  </r>
  <r>
    <s v="Innovate Industries"/>
    <x v="2"/>
    <s v="All Ages"/>
    <s v="15 days"/>
    <x v="3"/>
    <n v="0.06"/>
    <n v="5641"/>
    <n v="6.19"/>
    <n v="25"/>
    <n v="225.64"/>
    <s v="Miami"/>
    <s v="French"/>
    <n v="411"/>
    <n v="2260"/>
    <n v="6"/>
    <s v="Outdoor Adventurers"/>
    <x v="121"/>
  </r>
  <r>
    <s v="DataTech Solutions"/>
    <x v="0"/>
    <s v="All Ages"/>
    <s v="45 days"/>
    <x v="2"/>
    <n v="0.13"/>
    <n v="7674"/>
    <n v="3.17"/>
    <n v="94"/>
    <n v="81.638297872340431"/>
    <s v="Los Angeles"/>
    <s v="English"/>
    <n v="721"/>
    <n v="6344"/>
    <n v="8"/>
    <s v="Foodies"/>
    <x v="122"/>
  </r>
  <r>
    <s v="Innovate Industries"/>
    <x v="4"/>
    <s v="Women 25-34"/>
    <s v="15 days"/>
    <x v="4"/>
    <n v="0.05"/>
    <n v="12889"/>
    <n v="4.22"/>
    <n v="49"/>
    <n v="263.0408163265306"/>
    <s v="New York"/>
    <s v="French"/>
    <n v="981"/>
    <n v="6060"/>
    <n v="7"/>
    <s v="Fashionistas"/>
    <x v="123"/>
  </r>
  <r>
    <s v="NexGen Systems"/>
    <x v="2"/>
    <s v="All Ages"/>
    <s v="60 days"/>
    <x v="2"/>
    <n v="0.08"/>
    <n v="18783"/>
    <n v="6.97"/>
    <n v="9"/>
    <n v="2087"/>
    <s v="Miami"/>
    <s v="German"/>
    <n v="111"/>
    <n v="7258"/>
    <n v="10"/>
    <s v="Outdoor Adventurers"/>
    <x v="124"/>
  </r>
  <r>
    <s v="NexGen Systems"/>
    <x v="4"/>
    <s v="Women 35-44"/>
    <s v="60 days"/>
    <x v="1"/>
    <n v="0.05"/>
    <n v="15503"/>
    <n v="2.02"/>
    <n v="22"/>
    <n v="704.68181818181813"/>
    <s v="New York"/>
    <s v="Mandarin"/>
    <n v="447"/>
    <n v="5673"/>
    <n v="4"/>
    <s v="Tech Enthusiasts"/>
    <x v="125"/>
  </r>
  <r>
    <s v="Innovate Industries"/>
    <x v="0"/>
    <s v="Women 35-44"/>
    <s v="45 days"/>
    <x v="1"/>
    <n v="0.01"/>
    <n v="9990"/>
    <n v="3.87"/>
    <n v="5"/>
    <n v="1998"/>
    <s v="Houston"/>
    <s v="French"/>
    <n v="454"/>
    <n v="2999"/>
    <n v="9"/>
    <s v="Health &amp; Wellness"/>
    <x v="126"/>
  </r>
  <r>
    <s v="DataTech Solutions"/>
    <x v="0"/>
    <s v="Men 25-34"/>
    <s v="15 days"/>
    <x v="2"/>
    <n v="0.06"/>
    <n v="6148"/>
    <n v="7.26"/>
    <n v="16"/>
    <n v="384.25"/>
    <s v="Houston"/>
    <s v="German"/>
    <n v="260"/>
    <n v="1133"/>
    <n v="3"/>
    <s v="Outdoor Adventurers"/>
    <x v="127"/>
  </r>
  <r>
    <s v="TechCorp"/>
    <x v="4"/>
    <s v="Women 25-34"/>
    <s v="45 days"/>
    <x v="1"/>
    <n v="0.06"/>
    <n v="8323"/>
    <n v="4.21"/>
    <n v="51"/>
    <n v="163.19607843137254"/>
    <s v="Los Angeles"/>
    <s v="French"/>
    <n v="856"/>
    <n v="7693"/>
    <n v="6"/>
    <s v="Health &amp; Wellness"/>
    <x v="128"/>
  </r>
  <r>
    <s v="TechCorp"/>
    <x v="2"/>
    <s v="All Ages"/>
    <s v="60 days"/>
    <x v="3"/>
    <n v="0.13"/>
    <n v="8233"/>
    <n v="6.5"/>
    <n v="51"/>
    <n v="161.43137254901961"/>
    <s v="Los Angeles"/>
    <s v="Spanish"/>
    <n v="396"/>
    <n v="8361"/>
    <n v="1"/>
    <s v="Health &amp; Wellness"/>
    <x v="129"/>
  </r>
  <r>
    <s v="Innovate Industries"/>
    <x v="1"/>
    <s v="All Ages"/>
    <s v="30 days"/>
    <x v="0"/>
    <n v="0.02"/>
    <n v="17328"/>
    <n v="6.14"/>
    <n v="18"/>
    <n v="962.66666666666663"/>
    <s v="New York"/>
    <s v="Mandarin"/>
    <n v="913"/>
    <n v="1552"/>
    <n v="6"/>
    <s v="Tech Enthusiasts"/>
    <x v="130"/>
  </r>
  <r>
    <s v="NexGen Systems"/>
    <x v="2"/>
    <s v="Women 35-44"/>
    <s v="45 days"/>
    <x v="4"/>
    <n v="0.06"/>
    <n v="18621"/>
    <n v="3.48"/>
    <n v="59"/>
    <n v="315.61016949152543"/>
    <s v="Los Angeles"/>
    <s v="English"/>
    <n v="978"/>
    <n v="2119"/>
    <n v="6"/>
    <s v="Tech Enthusiasts"/>
    <x v="131"/>
  </r>
  <r>
    <s v="NexGen Systems"/>
    <x v="4"/>
    <s v="All Ages"/>
    <s v="45 days"/>
    <x v="0"/>
    <n v="0.05"/>
    <n v="12636"/>
    <n v="3.14"/>
    <n v="25"/>
    <n v="505.44"/>
    <s v="Chicago"/>
    <s v="French"/>
    <n v="505"/>
    <n v="1676"/>
    <n v="9"/>
    <s v="Tech Enthusiasts"/>
    <x v="132"/>
  </r>
  <r>
    <s v="TechCorp"/>
    <x v="3"/>
    <s v="Men 25-34"/>
    <s v="15 days"/>
    <x v="3"/>
    <n v="0.13"/>
    <n v="8486"/>
    <n v="2.54"/>
    <n v="125"/>
    <n v="67.888000000000005"/>
    <s v="New York"/>
    <s v="Mandarin"/>
    <n v="961"/>
    <n v="4894"/>
    <n v="5"/>
    <s v="Outdoor Adventurers"/>
    <x v="133"/>
  </r>
  <r>
    <s v="Alpha Innovations"/>
    <x v="1"/>
    <s v="Men 18-24"/>
    <s v="45 days"/>
    <x v="5"/>
    <n v="0.1"/>
    <n v="19277"/>
    <n v="5.45"/>
    <n v="79"/>
    <n v="244.01265822784811"/>
    <s v="Chicago"/>
    <s v="French"/>
    <n v="787"/>
    <n v="7111"/>
    <n v="10"/>
    <s v="Fashionistas"/>
    <x v="134"/>
  </r>
  <r>
    <s v="Innovate Industries"/>
    <x v="3"/>
    <s v="Women 25-34"/>
    <s v="30 days"/>
    <x v="5"/>
    <n v="0.14000000000000001"/>
    <n v="13229"/>
    <n v="3.17"/>
    <n v="72"/>
    <n v="183.73611111111111"/>
    <s v="New York"/>
    <s v="French"/>
    <n v="511"/>
    <n v="3698"/>
    <n v="8"/>
    <s v="Fashionistas"/>
    <x v="135"/>
  </r>
  <r>
    <s v="Alpha Innovations"/>
    <x v="0"/>
    <s v="All Ages"/>
    <s v="45 days"/>
    <x v="4"/>
    <n v="0.02"/>
    <n v="15875"/>
    <n v="3.31"/>
    <n v="18"/>
    <n v="881.94444444444446"/>
    <s v="Houston"/>
    <s v="English"/>
    <n v="890"/>
    <n v="7703"/>
    <n v="1"/>
    <s v="Foodies"/>
    <x v="136"/>
  </r>
  <r>
    <s v="NexGen Systems"/>
    <x v="0"/>
    <s v="Men 18-24"/>
    <s v="60 days"/>
    <x v="3"/>
    <n v="0.14000000000000001"/>
    <n v="6189"/>
    <n v="2.82"/>
    <n v="27"/>
    <n v="229.22222222222223"/>
    <s v="Miami"/>
    <s v="French"/>
    <n v="195"/>
    <n v="8406"/>
    <n v="1"/>
    <s v="Foodies"/>
    <x v="137"/>
  </r>
  <r>
    <s v="TechCorp"/>
    <x v="3"/>
    <s v="Men 25-34"/>
    <s v="15 days"/>
    <x v="3"/>
    <n v="0.04"/>
    <n v="7810"/>
    <n v="7.72"/>
    <n v="14"/>
    <n v="557.85714285714289"/>
    <s v="New York"/>
    <s v="German"/>
    <n v="360"/>
    <n v="1695"/>
    <n v="9"/>
    <s v="Tech Enthusiasts"/>
    <x v="138"/>
  </r>
  <r>
    <s v="DataTech Solutions"/>
    <x v="1"/>
    <s v="All Ages"/>
    <s v="15 days"/>
    <x v="3"/>
    <n v="0.09"/>
    <n v="12158"/>
    <n v="7.91"/>
    <n v="70"/>
    <n v="173.68571428571428"/>
    <s v="Los Angeles"/>
    <s v="Mandarin"/>
    <n v="773"/>
    <n v="2232"/>
    <n v="8"/>
    <s v="Tech Enthusiasts"/>
    <x v="139"/>
  </r>
  <r>
    <s v="DataTech Solutions"/>
    <x v="2"/>
    <s v="Women 25-34"/>
    <s v="60 days"/>
    <x v="2"/>
    <n v="0.11"/>
    <n v="7137"/>
    <n v="5.44"/>
    <n v="59"/>
    <n v="120.96610169491525"/>
    <s v="New York"/>
    <s v="German"/>
    <n v="534"/>
    <n v="7115"/>
    <n v="6"/>
    <s v="Outdoor Adventurers"/>
    <x v="140"/>
  </r>
  <r>
    <s v="DataTech Solutions"/>
    <x v="4"/>
    <s v="Men 25-34"/>
    <s v="45 days"/>
    <x v="1"/>
    <n v="0.09"/>
    <n v="5655"/>
    <n v="2.52"/>
    <n v="42"/>
    <n v="134.64285714285714"/>
    <s v="Miami"/>
    <s v="Mandarin"/>
    <n v="470"/>
    <n v="7445"/>
    <n v="7"/>
    <s v="Foodies"/>
    <x v="141"/>
  </r>
  <r>
    <s v="TechCorp"/>
    <x v="0"/>
    <s v="Women 35-44"/>
    <s v="15 days"/>
    <x v="3"/>
    <n v="0.09"/>
    <n v="9705"/>
    <n v="6.32"/>
    <n v="77"/>
    <n v="126.03896103896103"/>
    <s v="Miami"/>
    <s v="English"/>
    <n v="850"/>
    <n v="9190"/>
    <n v="3"/>
    <s v="Tech Enthusiasts"/>
    <x v="142"/>
  </r>
  <r>
    <s v="NexGen Systems"/>
    <x v="2"/>
    <s v="Men 25-34"/>
    <s v="30 days"/>
    <x v="0"/>
    <n v="0.06"/>
    <n v="12107"/>
    <n v="5.72"/>
    <n v="30"/>
    <n v="403.56666666666666"/>
    <s v="Los Angeles"/>
    <s v="French"/>
    <n v="497"/>
    <n v="2495"/>
    <n v="1"/>
    <s v="Foodies"/>
    <x v="143"/>
  </r>
  <r>
    <s v="Alpha Innovations"/>
    <x v="1"/>
    <s v="Men 25-34"/>
    <s v="45 days"/>
    <x v="1"/>
    <n v="0.03"/>
    <n v="12396"/>
    <n v="6.53"/>
    <n v="28"/>
    <n v="442.71428571428572"/>
    <s v="Los Angeles"/>
    <s v="Spanish"/>
    <n v="919"/>
    <n v="9801"/>
    <n v="7"/>
    <s v="Tech Enthusiasts"/>
    <x v="144"/>
  </r>
  <r>
    <s v="Alpha Innovations"/>
    <x v="4"/>
    <s v="Men 25-34"/>
    <s v="60 days"/>
    <x v="0"/>
    <n v="0.04"/>
    <n v="7790"/>
    <n v="5.43"/>
    <n v="18"/>
    <n v="432.77777777777777"/>
    <s v="New York"/>
    <s v="Spanish"/>
    <n v="440"/>
    <n v="4463"/>
    <n v="5"/>
    <s v="Foodies"/>
    <x v="145"/>
  </r>
  <r>
    <s v="TechCorp"/>
    <x v="0"/>
    <s v="Men 18-24"/>
    <s v="15 days"/>
    <x v="4"/>
    <n v="0.09"/>
    <n v="17104"/>
    <n v="6.23"/>
    <n v="14"/>
    <n v="1221.7142857142858"/>
    <s v="Chicago"/>
    <s v="English"/>
    <n v="152"/>
    <n v="6529"/>
    <n v="8"/>
    <s v="Fashionistas"/>
    <x v="146"/>
  </r>
  <r>
    <s v="Alpha Innovations"/>
    <x v="3"/>
    <s v="Women 35-44"/>
    <s v="60 days"/>
    <x v="3"/>
    <n v="0.12"/>
    <n v="6722"/>
    <n v="3.37"/>
    <n v="63"/>
    <n v="106.6984126984127"/>
    <s v="Los Angeles"/>
    <s v="French"/>
    <n v="522"/>
    <n v="3102"/>
    <n v="2"/>
    <s v="Tech Enthusiasts"/>
    <x v="147"/>
  </r>
  <r>
    <s v="Innovate Industries"/>
    <x v="4"/>
    <s v="Women 35-44"/>
    <s v="30 days"/>
    <x v="3"/>
    <n v="0.08"/>
    <n v="5250"/>
    <n v="3.51"/>
    <n v="29"/>
    <n v="181.0344827586207"/>
    <s v="Los Angeles"/>
    <s v="Mandarin"/>
    <n v="364"/>
    <n v="6235"/>
    <n v="9"/>
    <s v="Outdoor Adventurers"/>
    <x v="148"/>
  </r>
  <r>
    <s v="TechCorp"/>
    <x v="4"/>
    <s v="Men 25-34"/>
    <s v="60 days"/>
    <x v="1"/>
    <n v="0.11"/>
    <n v="12673"/>
    <n v="4.95"/>
    <n v="109"/>
    <n v="116.26605504587155"/>
    <s v="Miami"/>
    <s v="Spanish"/>
    <n v="988"/>
    <n v="9770"/>
    <n v="3"/>
    <s v="Health &amp; Wellness"/>
    <x v="149"/>
  </r>
  <r>
    <s v="NexGen Systems"/>
    <x v="0"/>
    <s v="Women 35-44"/>
    <s v="15 days"/>
    <x v="5"/>
    <n v="0.03"/>
    <n v="15337"/>
    <n v="3.75"/>
    <n v="13"/>
    <n v="1179.7692307692307"/>
    <s v="Los Angeles"/>
    <s v="French"/>
    <n v="449"/>
    <n v="2082"/>
    <n v="8"/>
    <s v="Health &amp; Wellness"/>
    <x v="150"/>
  </r>
  <r>
    <s v="Innovate Industries"/>
    <x v="4"/>
    <s v="Women 25-34"/>
    <s v="45 days"/>
    <x v="3"/>
    <n v="0.1"/>
    <n v="14924"/>
    <n v="7.65"/>
    <n v="91"/>
    <n v="164"/>
    <s v="Miami"/>
    <s v="Spanish"/>
    <n v="905"/>
    <n v="4083"/>
    <n v="9"/>
    <s v="Foodies"/>
    <x v="151"/>
  </r>
  <r>
    <s v="Alpha Innovations"/>
    <x v="0"/>
    <s v="Men 25-34"/>
    <s v="45 days"/>
    <x v="4"/>
    <n v="0.06"/>
    <n v="9639"/>
    <n v="2.0699999999999998"/>
    <n v="47"/>
    <n v="205.08510638297872"/>
    <s v="Chicago"/>
    <s v="French"/>
    <n v="790"/>
    <n v="5696"/>
    <n v="3"/>
    <s v="Health &amp; Wellness"/>
    <x v="152"/>
  </r>
  <r>
    <s v="Innovate Industries"/>
    <x v="2"/>
    <s v="Women 35-44"/>
    <s v="30 days"/>
    <x v="1"/>
    <n v="0.14000000000000001"/>
    <n v="18075"/>
    <n v="3.7"/>
    <n v="30"/>
    <n v="602.5"/>
    <s v="Los Angeles"/>
    <s v="French"/>
    <n v="214"/>
    <n v="3511"/>
    <n v="6"/>
    <s v="Health &amp; Wellness"/>
    <x v="153"/>
  </r>
  <r>
    <s v="Innovate Industries"/>
    <x v="1"/>
    <s v="Men 18-24"/>
    <s v="45 days"/>
    <x v="4"/>
    <n v="0.1"/>
    <n v="19293"/>
    <n v="7.76"/>
    <n v="95"/>
    <n v="203.08421052631579"/>
    <s v="Miami"/>
    <s v="Mandarin"/>
    <n v="946"/>
    <n v="6590"/>
    <n v="1"/>
    <s v="Health &amp; Wellness"/>
    <x v="154"/>
  </r>
  <r>
    <s v="Innovate Industries"/>
    <x v="4"/>
    <s v="All Ages"/>
    <s v="30 days"/>
    <x v="5"/>
    <n v="7.0000000000000007E-2"/>
    <n v="5883"/>
    <n v="7.63"/>
    <n v="10"/>
    <n v="588.29999999999995"/>
    <s v="Los Angeles"/>
    <s v="German"/>
    <n v="138"/>
    <n v="5669"/>
    <n v="2"/>
    <s v="Fashionistas"/>
    <x v="155"/>
  </r>
  <r>
    <s v="DataTech Solutions"/>
    <x v="4"/>
    <s v="All Ages"/>
    <s v="60 days"/>
    <x v="1"/>
    <n v="0.05"/>
    <n v="18183"/>
    <n v="6.47"/>
    <n v="47"/>
    <n v="386.87234042553189"/>
    <s v="Los Angeles"/>
    <s v="German"/>
    <n v="942"/>
    <n v="2169"/>
    <n v="4"/>
    <s v="Health &amp; Wellness"/>
    <x v="156"/>
  </r>
  <r>
    <s v="DataTech Solutions"/>
    <x v="0"/>
    <s v="Women 35-44"/>
    <s v="45 days"/>
    <x v="2"/>
    <n v="0.03"/>
    <n v="8831"/>
    <n v="7.6"/>
    <n v="12"/>
    <n v="735.91666666666663"/>
    <s v="New York"/>
    <s v="French"/>
    <n v="412"/>
    <n v="7144"/>
    <n v="1"/>
    <s v="Outdoor Adventurers"/>
    <x v="157"/>
  </r>
  <r>
    <s v="NexGen Systems"/>
    <x v="3"/>
    <s v="Men 25-34"/>
    <s v="15 days"/>
    <x v="2"/>
    <n v="0.12"/>
    <n v="15614"/>
    <n v="3.05"/>
    <n v="42"/>
    <n v="371.76190476190476"/>
    <s v="Chicago"/>
    <s v="English"/>
    <n v="352"/>
    <n v="8707"/>
    <n v="7"/>
    <s v="Outdoor Adventurers"/>
    <x v="158"/>
  </r>
  <r>
    <s v="TechCorp"/>
    <x v="4"/>
    <s v="Men 25-34"/>
    <s v="60 days"/>
    <x v="0"/>
    <n v="7.0000000000000007E-2"/>
    <n v="16928"/>
    <n v="6.41"/>
    <n v="33"/>
    <n v="512.969696969697"/>
    <s v="Chicago"/>
    <s v="German"/>
    <n v="469"/>
    <n v="5173"/>
    <n v="4"/>
    <s v="Fashionistas"/>
    <x v="159"/>
  </r>
  <r>
    <s v="Innovate Industries"/>
    <x v="1"/>
    <s v="Women 35-44"/>
    <s v="15 days"/>
    <x v="2"/>
    <n v="0.02"/>
    <n v="10526"/>
    <n v="5.05"/>
    <n v="13"/>
    <n v="809.69230769230774"/>
    <s v="Los Angeles"/>
    <s v="Mandarin"/>
    <n v="654"/>
    <n v="1721"/>
    <n v="8"/>
    <s v="Foodies"/>
    <x v="160"/>
  </r>
  <r>
    <s v="DataTech Solutions"/>
    <x v="4"/>
    <s v="All Ages"/>
    <s v="30 days"/>
    <x v="5"/>
    <n v="0.05"/>
    <n v="16520"/>
    <n v="4.68"/>
    <n v="49"/>
    <n v="337.14285714285717"/>
    <s v="Chicago"/>
    <s v="German"/>
    <n v="981"/>
    <n v="3672"/>
    <n v="3"/>
    <s v="Outdoor Adventurers"/>
    <x v="161"/>
  </r>
  <r>
    <s v="Innovate Industries"/>
    <x v="2"/>
    <s v="Men 25-34"/>
    <s v="15 days"/>
    <x v="2"/>
    <n v="0.09"/>
    <n v="18730"/>
    <n v="4.49"/>
    <n v="73"/>
    <n v="256.57534246575341"/>
    <s v="Los Angeles"/>
    <s v="English"/>
    <n v="810"/>
    <n v="7855"/>
    <n v="9"/>
    <s v="Foodies"/>
    <x v="162"/>
  </r>
  <r>
    <s v="Innovate Industries"/>
    <x v="0"/>
    <s v="All Ages"/>
    <s v="15 days"/>
    <x v="4"/>
    <n v="0.12"/>
    <n v="6497"/>
    <n v="3.1"/>
    <n v="49"/>
    <n v="132.59183673469389"/>
    <s v="New York"/>
    <s v="Spanish"/>
    <n v="405"/>
    <n v="7080"/>
    <n v="9"/>
    <s v="Fashionistas"/>
    <x v="163"/>
  </r>
  <r>
    <s v="TechCorp"/>
    <x v="4"/>
    <s v="Women 25-34"/>
    <s v="60 days"/>
    <x v="0"/>
    <n v="0.06"/>
    <n v="19490"/>
    <n v="2.94"/>
    <n v="16"/>
    <n v="1218.125"/>
    <s v="Houston"/>
    <s v="Mandarin"/>
    <n v="266"/>
    <n v="2251"/>
    <n v="5"/>
    <s v="Fashionistas"/>
    <x v="164"/>
  </r>
  <r>
    <s v="Innovate Industries"/>
    <x v="3"/>
    <s v="Women 25-34"/>
    <s v="45 days"/>
    <x v="3"/>
    <n v="0.09"/>
    <n v="11585"/>
    <n v="7.81"/>
    <n v="64"/>
    <n v="181.015625"/>
    <s v="Chicago"/>
    <s v="German"/>
    <n v="707"/>
    <n v="9447"/>
    <n v="7"/>
    <s v="Health &amp; Wellness"/>
    <x v="165"/>
  </r>
  <r>
    <s v="DataTech Solutions"/>
    <x v="4"/>
    <s v="Men 18-24"/>
    <s v="45 days"/>
    <x v="0"/>
    <n v="0.14000000000000001"/>
    <n v="12272"/>
    <n v="5.07"/>
    <n v="91"/>
    <n v="134.85714285714286"/>
    <s v="Los Angeles"/>
    <s v="Mandarin"/>
    <n v="648"/>
    <n v="8251"/>
    <n v="2"/>
    <s v="Fashionistas"/>
    <x v="166"/>
  </r>
  <r>
    <s v="NexGen Systems"/>
    <x v="1"/>
    <s v="Women 25-34"/>
    <s v="30 days"/>
    <x v="3"/>
    <n v="0.13"/>
    <n v="19264"/>
    <n v="2.61"/>
    <n v="72"/>
    <n v="267.55555555555554"/>
    <s v="Los Angeles"/>
    <s v="French"/>
    <n v="553"/>
    <n v="3896"/>
    <n v="6"/>
    <s v="Foodies"/>
    <x v="167"/>
  </r>
  <r>
    <s v="Alpha Innovations"/>
    <x v="0"/>
    <s v="All Ages"/>
    <s v="30 days"/>
    <x v="5"/>
    <n v="0.06"/>
    <n v="8597"/>
    <n v="6.46"/>
    <n v="53"/>
    <n v="162.20754716981133"/>
    <s v="Los Angeles"/>
    <s v="Spanish"/>
    <n v="882"/>
    <n v="4229"/>
    <n v="5"/>
    <s v="Outdoor Adventurers"/>
    <x v="168"/>
  </r>
  <r>
    <s v="Innovate Industries"/>
    <x v="0"/>
    <s v="Men 25-34"/>
    <s v="45 days"/>
    <x v="3"/>
    <n v="0.12"/>
    <n v="11129"/>
    <n v="7.31"/>
    <n v="28"/>
    <n v="397.46428571428572"/>
    <s v="Chicago"/>
    <s v="Spanish"/>
    <n v="232"/>
    <n v="3024"/>
    <n v="4"/>
    <s v="Foodies"/>
    <x v="169"/>
  </r>
  <r>
    <s v="Innovate Industries"/>
    <x v="3"/>
    <s v="Women 35-44"/>
    <s v="30 days"/>
    <x v="3"/>
    <n v="7.0000000000000007E-2"/>
    <n v="8904"/>
    <n v="4.5199999999999996"/>
    <n v="24"/>
    <n v="371"/>
    <s v="Miami"/>
    <s v="French"/>
    <n v="341"/>
    <n v="7810"/>
    <n v="5"/>
    <s v="Fashionistas"/>
    <x v="170"/>
  </r>
  <r>
    <s v="DataTech Solutions"/>
    <x v="3"/>
    <s v="Women 25-34"/>
    <s v="15 days"/>
    <x v="5"/>
    <n v="0.04"/>
    <n v="7029"/>
    <n v="4.46"/>
    <n v="7"/>
    <n v="1004.1428571428571"/>
    <s v="New York"/>
    <s v="English"/>
    <n v="174"/>
    <n v="3834"/>
    <n v="5"/>
    <s v="Health &amp; Wellness"/>
    <x v="171"/>
  </r>
  <r>
    <s v="Alpha Innovations"/>
    <x v="4"/>
    <s v="Men 18-24"/>
    <s v="30 days"/>
    <x v="2"/>
    <n v="0.12"/>
    <n v="17144"/>
    <n v="6.88"/>
    <n v="34"/>
    <n v="504.23529411764707"/>
    <s v="Miami"/>
    <s v="Spanish"/>
    <n v="280"/>
    <n v="9557"/>
    <n v="8"/>
    <s v="Tech Enthusiasts"/>
    <x v="172"/>
  </r>
  <r>
    <s v="TechCorp"/>
    <x v="2"/>
    <s v="Men 25-34"/>
    <s v="60 days"/>
    <x v="0"/>
    <n v="0.08"/>
    <n v="10172"/>
    <n v="7.44"/>
    <n v="37"/>
    <n v="274.91891891891891"/>
    <s v="Miami"/>
    <s v="Spanish"/>
    <n v="465"/>
    <n v="1199"/>
    <n v="9"/>
    <s v="Health &amp; Wellness"/>
    <x v="173"/>
  </r>
  <r>
    <s v="Innovate Industries"/>
    <x v="3"/>
    <s v="Men 25-34"/>
    <s v="30 days"/>
    <x v="2"/>
    <n v="0.13"/>
    <n v="12914"/>
    <n v="5.96"/>
    <n v="65"/>
    <n v="198.67692307692309"/>
    <s v="Miami"/>
    <s v="French"/>
    <n v="499"/>
    <n v="1757"/>
    <n v="4"/>
    <s v="Fashionistas"/>
    <x v="174"/>
  </r>
  <r>
    <s v="Alpha Innovations"/>
    <x v="4"/>
    <s v="Men 25-34"/>
    <s v="15 days"/>
    <x v="3"/>
    <n v="0.03"/>
    <n v="18001"/>
    <n v="3.42"/>
    <n v="10"/>
    <n v="1800.1"/>
    <s v="Miami"/>
    <s v="Mandarin"/>
    <n v="320"/>
    <n v="2952"/>
    <n v="1"/>
    <s v="Fashionistas"/>
    <x v="175"/>
  </r>
  <r>
    <s v="Alpha Innovations"/>
    <x v="3"/>
    <s v="Men 18-24"/>
    <s v="60 days"/>
    <x v="4"/>
    <n v="0.12"/>
    <n v="8436"/>
    <n v="3.75"/>
    <n v="26"/>
    <n v="324.46153846153845"/>
    <s v="Chicago"/>
    <s v="English"/>
    <n v="214"/>
    <n v="3483"/>
    <n v="8"/>
    <s v="Fashionistas"/>
    <x v="176"/>
  </r>
  <r>
    <s v="Innovate Industries"/>
    <x v="4"/>
    <s v="Women 35-44"/>
    <s v="60 days"/>
    <x v="1"/>
    <n v="0.08"/>
    <n v="16485"/>
    <n v="5.52"/>
    <n v="48"/>
    <n v="343.4375"/>
    <s v="Chicago"/>
    <s v="French"/>
    <n v="605"/>
    <n v="5404"/>
    <n v="9"/>
    <s v="Outdoor Adventurers"/>
    <x v="177"/>
  </r>
  <r>
    <s v="NexGen Systems"/>
    <x v="0"/>
    <s v="Men 25-34"/>
    <s v="30 days"/>
    <x v="5"/>
    <n v="0.15"/>
    <n v="17574"/>
    <n v="4.83"/>
    <n v="134"/>
    <n v="131.14925373134329"/>
    <s v="Chicago"/>
    <s v="Spanish"/>
    <n v="895"/>
    <n v="2448"/>
    <n v="1"/>
    <s v="Outdoor Adventurers"/>
    <x v="178"/>
  </r>
  <r>
    <s v="TechCorp"/>
    <x v="2"/>
    <s v="Women 25-34"/>
    <s v="15 days"/>
    <x v="2"/>
    <n v="0.14000000000000001"/>
    <n v="7967"/>
    <n v="3.94"/>
    <n v="100"/>
    <n v="79.67"/>
    <s v="Houston"/>
    <s v="French"/>
    <n v="712"/>
    <n v="6218"/>
    <n v="6"/>
    <s v="Tech Enthusiasts"/>
    <x v="179"/>
  </r>
  <r>
    <s v="TechCorp"/>
    <x v="3"/>
    <s v="Men 25-34"/>
    <s v="60 days"/>
    <x v="3"/>
    <n v="0.09"/>
    <n v="9124"/>
    <n v="5.32"/>
    <n v="77"/>
    <n v="118.49350649350649"/>
    <s v="Houston"/>
    <s v="Mandarin"/>
    <n v="854"/>
    <n v="4924"/>
    <n v="2"/>
    <s v="Tech Enthusiasts"/>
    <x v="180"/>
  </r>
  <r>
    <s v="TechCorp"/>
    <x v="1"/>
    <s v="All Ages"/>
    <s v="30 days"/>
    <x v="2"/>
    <n v="0.06"/>
    <n v="13130"/>
    <n v="7.39"/>
    <n v="27"/>
    <n v="486.2962962962963"/>
    <s v="Houston"/>
    <s v="Spanish"/>
    <n v="450"/>
    <n v="6604"/>
    <n v="2"/>
    <s v="Health &amp; Wellness"/>
    <x v="181"/>
  </r>
  <r>
    <s v="TechCorp"/>
    <x v="0"/>
    <s v="All Ages"/>
    <s v="45 days"/>
    <x v="1"/>
    <n v="0.14000000000000001"/>
    <n v="15135"/>
    <n v="4.01"/>
    <n v="60"/>
    <n v="252.25"/>
    <s v="New York"/>
    <s v="English"/>
    <n v="428"/>
    <n v="2957"/>
    <n v="8"/>
    <s v="Foodies"/>
    <x v="182"/>
  </r>
  <r>
    <s v="NexGen Systems"/>
    <x v="1"/>
    <s v="Women 35-44"/>
    <s v="15 days"/>
    <x v="5"/>
    <n v="0.13"/>
    <n v="18220"/>
    <n v="2.81"/>
    <n v="28"/>
    <n v="650.71428571428567"/>
    <s v="Houston"/>
    <s v="Spanish"/>
    <n v="213"/>
    <n v="6275"/>
    <n v="3"/>
    <s v="Health &amp; Wellness"/>
    <x v="183"/>
  </r>
  <r>
    <s v="TechCorp"/>
    <x v="0"/>
    <s v="Women 35-44"/>
    <s v="15 days"/>
    <x v="5"/>
    <n v="0.02"/>
    <n v="9600"/>
    <n v="3.65"/>
    <n v="5"/>
    <n v="1920"/>
    <s v="New York"/>
    <s v="Mandarin"/>
    <n v="251"/>
    <n v="1045"/>
    <n v="9"/>
    <s v="Tech Enthusiasts"/>
    <x v="184"/>
  </r>
  <r>
    <s v="Alpha Innovations"/>
    <x v="4"/>
    <s v="Men 25-34"/>
    <s v="60 days"/>
    <x v="4"/>
    <n v="0.14000000000000001"/>
    <n v="16026"/>
    <n v="7.95"/>
    <n v="111"/>
    <n v="144.37837837837839"/>
    <s v="New York"/>
    <s v="French"/>
    <n v="793"/>
    <n v="6998"/>
    <n v="2"/>
    <s v="Health &amp; Wellness"/>
    <x v="185"/>
  </r>
  <r>
    <s v="Alpha Innovations"/>
    <x v="3"/>
    <s v="All Ages"/>
    <s v="15 days"/>
    <x v="0"/>
    <n v="0.03"/>
    <n v="11880"/>
    <n v="4.5999999999999996"/>
    <n v="14"/>
    <n v="848.57142857142856"/>
    <s v="New York"/>
    <s v="German"/>
    <n v="477"/>
    <n v="9014"/>
    <n v="2"/>
    <s v="Fashionistas"/>
    <x v="186"/>
  </r>
  <r>
    <s v="Alpha Innovations"/>
    <x v="3"/>
    <s v="Men 18-24"/>
    <s v="30 days"/>
    <x v="3"/>
    <n v="0.05"/>
    <n v="15491"/>
    <n v="6.09"/>
    <n v="15"/>
    <n v="1032.7333333333333"/>
    <s v="Los Angeles"/>
    <s v="Mandarin"/>
    <n v="294"/>
    <n v="6424"/>
    <n v="9"/>
    <s v="Foodies"/>
    <x v="187"/>
  </r>
  <r>
    <s v="Alpha Innovations"/>
    <x v="2"/>
    <s v="Men 18-24"/>
    <s v="60 days"/>
    <x v="3"/>
    <n v="0.08"/>
    <n v="13278"/>
    <n v="2.65"/>
    <n v="58"/>
    <n v="228.93103448275863"/>
    <s v="Los Angeles"/>
    <s v="English"/>
    <n v="723"/>
    <n v="9056"/>
    <n v="5"/>
    <s v="Foodies"/>
    <x v="188"/>
  </r>
  <r>
    <s v="DataTech Solutions"/>
    <x v="3"/>
    <s v="Men 25-34"/>
    <s v="60 days"/>
    <x v="0"/>
    <n v="0.12"/>
    <n v="12991"/>
    <n v="7.68"/>
    <n v="98"/>
    <n v="132.5612244897959"/>
    <s v="Chicago"/>
    <s v="English"/>
    <n v="817"/>
    <n v="8323"/>
    <n v="9"/>
    <s v="Foodies"/>
    <x v="189"/>
  </r>
  <r>
    <s v="NexGen Systems"/>
    <x v="3"/>
    <s v="Women 35-44"/>
    <s v="60 days"/>
    <x v="5"/>
    <n v="0.1"/>
    <n v="14743"/>
    <n v="3.94"/>
    <n v="69"/>
    <n v="213.66666666666666"/>
    <s v="Miami"/>
    <s v="Mandarin"/>
    <n v="692"/>
    <n v="4875"/>
    <n v="2"/>
    <s v="Outdoor Adventurers"/>
    <x v="190"/>
  </r>
  <r>
    <s v="DataTech Solutions"/>
    <x v="2"/>
    <s v="Men 25-34"/>
    <s v="30 days"/>
    <x v="2"/>
    <n v="0.11"/>
    <n v="13650"/>
    <n v="2.66"/>
    <n v="64"/>
    <n v="213.28125"/>
    <s v="New York"/>
    <s v="German"/>
    <n v="580"/>
    <n v="6764"/>
    <n v="4"/>
    <s v="Health &amp; Wellness"/>
    <x v="191"/>
  </r>
  <r>
    <s v="Alpha Innovations"/>
    <x v="0"/>
    <s v="Women 35-44"/>
    <s v="45 days"/>
    <x v="2"/>
    <n v="0.11"/>
    <n v="11340"/>
    <n v="4.42"/>
    <n v="81"/>
    <n v="140"/>
    <s v="Houston"/>
    <s v="German"/>
    <n v="740"/>
    <n v="7583"/>
    <n v="9"/>
    <s v="Health &amp; Wellness"/>
    <x v="192"/>
  </r>
  <r>
    <s v="DataTech Solutions"/>
    <x v="1"/>
    <s v="Men 18-24"/>
    <s v="45 days"/>
    <x v="1"/>
    <n v="0.12"/>
    <n v="13411"/>
    <n v="4.2300000000000004"/>
    <n v="50"/>
    <n v="268.22000000000003"/>
    <s v="Los Angeles"/>
    <s v="Spanish"/>
    <n v="418"/>
    <n v="9940"/>
    <n v="4"/>
    <s v="Foodies"/>
    <x v="193"/>
  </r>
  <r>
    <s v="TechCorp"/>
    <x v="2"/>
    <s v="Women 35-44"/>
    <s v="45 days"/>
    <x v="2"/>
    <n v="0.08"/>
    <n v="18871"/>
    <n v="4.75"/>
    <n v="77"/>
    <n v="245.07792207792207"/>
    <s v="Los Angeles"/>
    <s v="Mandarin"/>
    <n v="959"/>
    <n v="8252"/>
    <n v="6"/>
    <s v="Outdoor Adventurers"/>
    <x v="194"/>
  </r>
  <r>
    <s v="DataTech Solutions"/>
    <x v="1"/>
    <s v="Women 25-34"/>
    <s v="30 days"/>
    <x v="4"/>
    <n v="0.09"/>
    <n v="13149"/>
    <n v="5.91"/>
    <n v="50"/>
    <n v="262.98"/>
    <s v="Miami"/>
    <s v="Mandarin"/>
    <n v="552"/>
    <n v="1734"/>
    <n v="4"/>
    <s v="Tech Enthusiasts"/>
    <x v="195"/>
  </r>
  <r>
    <s v="NexGen Systems"/>
    <x v="1"/>
    <s v="Men 25-34"/>
    <s v="60 days"/>
    <x v="4"/>
    <n v="0.06"/>
    <n v="17344"/>
    <n v="5.46"/>
    <n v="36"/>
    <n v="481.77777777777777"/>
    <s v="Miami"/>
    <s v="Mandarin"/>
    <n v="597"/>
    <n v="6115"/>
    <n v="10"/>
    <s v="Foodies"/>
    <x v="196"/>
  </r>
  <r>
    <s v="DataTech Solutions"/>
    <x v="3"/>
    <s v="Men 25-34"/>
    <s v="60 days"/>
    <x v="4"/>
    <n v="0.14000000000000001"/>
    <n v="11997"/>
    <n v="6.1"/>
    <n v="122"/>
    <n v="98.336065573770497"/>
    <s v="New York"/>
    <s v="Spanish"/>
    <n v="874"/>
    <n v="5799"/>
    <n v="6"/>
    <s v="Health &amp; Wellness"/>
    <x v="197"/>
  </r>
  <r>
    <s v="TechCorp"/>
    <x v="4"/>
    <s v="Women 35-44"/>
    <s v="45 days"/>
    <x v="5"/>
    <n v="0.12"/>
    <n v="14755"/>
    <n v="4.9000000000000004"/>
    <n v="27"/>
    <n v="546.48148148148152"/>
    <s v="Miami"/>
    <s v="Mandarin"/>
    <n v="227"/>
    <n v="3429"/>
    <n v="3"/>
    <s v="Outdoor Adventurers"/>
    <x v="198"/>
  </r>
  <r>
    <s v="Innovate Industries"/>
    <x v="2"/>
    <s v="Women 25-34"/>
    <s v="30 days"/>
    <x v="5"/>
    <n v="0.05"/>
    <n v="5952"/>
    <n v="2.41"/>
    <n v="26"/>
    <n v="228.92307692307693"/>
    <s v="Los Angeles"/>
    <s v="German"/>
    <n v="510"/>
    <n v="9287"/>
    <n v="3"/>
    <s v="Foodies"/>
    <x v="199"/>
  </r>
  <r>
    <s v="Alpha Innovations"/>
    <x v="3"/>
    <s v="All Ages"/>
    <s v="60 days"/>
    <x v="2"/>
    <n v="0.04"/>
    <n v="5194"/>
    <n v="3.22"/>
    <n v="8"/>
    <n v="649.25"/>
    <s v="Los Angeles"/>
    <s v="Mandarin"/>
    <n v="204"/>
    <n v="4396"/>
    <n v="5"/>
    <s v="Tech Enthusiasts"/>
    <x v="200"/>
  </r>
  <r>
    <s v="TechCorp"/>
    <x v="3"/>
    <s v="Men 25-34"/>
    <s v="60 days"/>
    <x v="3"/>
    <n v="0.04"/>
    <n v="9684"/>
    <n v="5.81"/>
    <n v="16"/>
    <n v="605.25"/>
    <s v="New York"/>
    <s v="English"/>
    <n v="389"/>
    <n v="2067"/>
    <n v="3"/>
    <s v="Fashionistas"/>
    <x v="201"/>
  </r>
  <r>
    <s v="DataTech Solutions"/>
    <x v="2"/>
    <s v="Men 25-34"/>
    <s v="15 days"/>
    <x v="0"/>
    <n v="0.09"/>
    <n v="5677"/>
    <n v="7.98"/>
    <n v="35"/>
    <n v="162.19999999999999"/>
    <s v="Los Angeles"/>
    <s v="French"/>
    <n v="389"/>
    <n v="3392"/>
    <n v="7"/>
    <s v="Health &amp; Wellness"/>
    <x v="202"/>
  </r>
  <r>
    <s v="NexGen Systems"/>
    <x v="4"/>
    <s v="Men 18-24"/>
    <s v="30 days"/>
    <x v="5"/>
    <n v="7.0000000000000007E-2"/>
    <n v="7299"/>
    <n v="2.96"/>
    <n v="31"/>
    <n v="235.45161290322579"/>
    <s v="Miami"/>
    <s v="Spanish"/>
    <n v="439"/>
    <n v="2720"/>
    <n v="7"/>
    <s v="Tech Enthusiasts"/>
    <x v="203"/>
  </r>
  <r>
    <s v="Innovate Industries"/>
    <x v="4"/>
    <s v="Women 25-34"/>
    <s v="45 days"/>
    <x v="4"/>
    <n v="0.13"/>
    <n v="11310"/>
    <n v="3.35"/>
    <n v="65"/>
    <n v="174"/>
    <s v="Houston"/>
    <s v="Spanish"/>
    <n v="502"/>
    <n v="5718"/>
    <n v="9"/>
    <s v="Tech Enthusiasts"/>
    <x v="204"/>
  </r>
  <r>
    <s v="Alpha Innovations"/>
    <x v="2"/>
    <s v="Men 25-34"/>
    <s v="30 days"/>
    <x v="5"/>
    <n v="0.11"/>
    <n v="9251"/>
    <n v="4.63"/>
    <n v="23"/>
    <n v="402.21739130434781"/>
    <s v="New York"/>
    <s v="French"/>
    <n v="209"/>
    <n v="1580"/>
    <n v="2"/>
    <s v="Foodies"/>
    <x v="205"/>
  </r>
  <r>
    <s v="Alpha Innovations"/>
    <x v="0"/>
    <s v="Men 18-24"/>
    <s v="30 days"/>
    <x v="1"/>
    <n v="0.14000000000000001"/>
    <n v="12245"/>
    <n v="6.32"/>
    <n v="102"/>
    <n v="120.04901960784314"/>
    <s v="New York"/>
    <s v="French"/>
    <n v="729"/>
    <n v="8588"/>
    <n v="6"/>
    <s v="Outdoor Adventurers"/>
    <x v="206"/>
  </r>
  <r>
    <s v="Alpha Innovations"/>
    <x v="3"/>
    <s v="All Ages"/>
    <s v="45 days"/>
    <x v="5"/>
    <n v="0.11"/>
    <n v="14706"/>
    <n v="5.73"/>
    <n v="41"/>
    <n v="358.6829268292683"/>
    <s v="Los Angeles"/>
    <s v="French"/>
    <n v="373"/>
    <n v="5314"/>
    <n v="8"/>
    <s v="Outdoor Adventurers"/>
    <x v="207"/>
  </r>
  <r>
    <s v="Innovate Industries"/>
    <x v="4"/>
    <s v="Women 35-44"/>
    <s v="45 days"/>
    <x v="5"/>
    <n v="0.05"/>
    <n v="12103"/>
    <n v="7.83"/>
    <n v="5"/>
    <n v="2420.6"/>
    <s v="Houston"/>
    <s v="English"/>
    <n v="100"/>
    <n v="3602"/>
    <n v="10"/>
    <s v="Foodies"/>
    <x v="208"/>
  </r>
  <r>
    <s v="Alpha Innovations"/>
    <x v="1"/>
    <s v="Women 35-44"/>
    <s v="30 days"/>
    <x v="0"/>
    <n v="0.05"/>
    <n v="6067"/>
    <n v="5.45"/>
    <n v="21"/>
    <n v="288.90476190476193"/>
    <s v="Los Angeles"/>
    <s v="German"/>
    <n v="419"/>
    <n v="9970"/>
    <n v="2"/>
    <s v="Health &amp; Wellness"/>
    <x v="209"/>
  </r>
  <r>
    <s v="Alpha Innovations"/>
    <x v="2"/>
    <s v="All Ages"/>
    <s v="60 days"/>
    <x v="0"/>
    <n v="0.03"/>
    <n v="6641"/>
    <n v="2.86"/>
    <n v="27"/>
    <n v="245.96296296296296"/>
    <s v="Houston"/>
    <s v="French"/>
    <n v="899"/>
    <n v="2955"/>
    <n v="3"/>
    <s v="Tech Enthusiasts"/>
    <x v="210"/>
  </r>
  <r>
    <s v="Innovate Industries"/>
    <x v="2"/>
    <s v="Men 18-24"/>
    <s v="30 days"/>
    <x v="3"/>
    <n v="0.04"/>
    <n v="18219"/>
    <n v="5.57"/>
    <n v="15"/>
    <n v="1214.5999999999999"/>
    <s v="Houston"/>
    <s v="French"/>
    <n v="380"/>
    <n v="4708"/>
    <n v="10"/>
    <s v="Fashionistas"/>
    <x v="211"/>
  </r>
  <r>
    <s v="NexGen Systems"/>
    <x v="3"/>
    <s v="Men 18-24"/>
    <s v="45 days"/>
    <x v="1"/>
    <n v="0.06"/>
    <n v="12925"/>
    <n v="5.32"/>
    <n v="16"/>
    <n v="807.8125"/>
    <s v="Houston"/>
    <s v="French"/>
    <n v="266"/>
    <n v="9131"/>
    <n v="3"/>
    <s v="Fashionistas"/>
    <x v="212"/>
  </r>
  <r>
    <s v="Alpha Innovations"/>
    <x v="3"/>
    <s v="All Ages"/>
    <s v="60 days"/>
    <x v="4"/>
    <n v="0.06"/>
    <n v="19810"/>
    <n v="5.23"/>
    <n v="7"/>
    <n v="2830"/>
    <s v="Chicago"/>
    <s v="French"/>
    <n v="112"/>
    <n v="1925"/>
    <n v="2"/>
    <s v="Outdoor Adventurers"/>
    <x v="213"/>
  </r>
  <r>
    <s v="TechCorp"/>
    <x v="3"/>
    <s v="All Ages"/>
    <s v="30 days"/>
    <x v="5"/>
    <n v="0.12"/>
    <n v="15652"/>
    <n v="3.41"/>
    <n v="22"/>
    <n v="711.4545454545455"/>
    <s v="Houston"/>
    <s v="English"/>
    <n v="180"/>
    <n v="1497"/>
    <n v="1"/>
    <s v="Tech Enthusiasts"/>
    <x v="214"/>
  </r>
  <r>
    <s v="TechCorp"/>
    <x v="3"/>
    <s v="Men 25-34"/>
    <s v="30 days"/>
    <x v="3"/>
    <n v="0.11"/>
    <n v="9427"/>
    <n v="6.9"/>
    <n v="80"/>
    <n v="117.83750000000001"/>
    <s v="Houston"/>
    <s v="English"/>
    <n v="728"/>
    <n v="6140"/>
    <n v="10"/>
    <s v="Fashionistas"/>
    <x v="215"/>
  </r>
  <r>
    <s v="Alpha Innovations"/>
    <x v="3"/>
    <s v="Men 25-34"/>
    <s v="30 days"/>
    <x v="2"/>
    <n v="0.01"/>
    <n v="11882"/>
    <n v="5.62"/>
    <n v="3"/>
    <n v="3960.6666666666665"/>
    <s v="Miami"/>
    <s v="English"/>
    <n v="301"/>
    <n v="8267"/>
    <n v="4"/>
    <s v="Fashionistas"/>
    <x v="216"/>
  </r>
  <r>
    <s v="NexGen Systems"/>
    <x v="1"/>
    <s v="All Ages"/>
    <s v="60 days"/>
    <x v="0"/>
    <n v="0.02"/>
    <n v="13828"/>
    <n v="4.07"/>
    <n v="3"/>
    <n v="4609.333333333333"/>
    <s v="Chicago"/>
    <s v="German"/>
    <n v="129"/>
    <n v="1191"/>
    <n v="10"/>
    <s v="Tech Enthusiasts"/>
    <x v="217"/>
  </r>
  <r>
    <s v="NexGen Systems"/>
    <x v="2"/>
    <s v="All Ages"/>
    <s v="15 days"/>
    <x v="3"/>
    <n v="0.11"/>
    <n v="13440"/>
    <n v="2.67"/>
    <n v="95"/>
    <n v="141.47368421052633"/>
    <s v="Houston"/>
    <s v="French"/>
    <n v="865"/>
    <n v="9376"/>
    <n v="8"/>
    <s v="Health &amp; Wellness"/>
    <x v="218"/>
  </r>
  <r>
    <s v="Alpha Innovations"/>
    <x v="1"/>
    <s v="All Ages"/>
    <s v="15 days"/>
    <x v="4"/>
    <n v="0.09"/>
    <n v="9729"/>
    <n v="6.34"/>
    <n v="50"/>
    <n v="194.58"/>
    <s v="New York"/>
    <s v="Mandarin"/>
    <n v="557"/>
    <n v="9735"/>
    <n v="3"/>
    <s v="Outdoor Adventurers"/>
    <x v="219"/>
  </r>
  <r>
    <s v="Alpha Innovations"/>
    <x v="0"/>
    <s v="Women 35-44"/>
    <s v="45 days"/>
    <x v="4"/>
    <n v="0.15"/>
    <n v="16053"/>
    <n v="2.44"/>
    <n v="73"/>
    <n v="219.9041095890411"/>
    <s v="Miami"/>
    <s v="French"/>
    <n v="487"/>
    <n v="2286"/>
    <n v="2"/>
    <s v="Fashionistas"/>
    <x v="220"/>
  </r>
  <r>
    <s v="Alpha Innovations"/>
    <x v="4"/>
    <s v="Men 25-34"/>
    <s v="15 days"/>
    <x v="1"/>
    <n v="7.0000000000000007E-2"/>
    <n v="16251"/>
    <n v="7.76"/>
    <n v="18"/>
    <n v="902.83333333333337"/>
    <s v="Houston"/>
    <s v="German"/>
    <n v="262"/>
    <n v="5159"/>
    <n v="3"/>
    <s v="Foodies"/>
    <x v="221"/>
  </r>
  <r>
    <s v="DataTech Solutions"/>
    <x v="3"/>
    <s v="Men 18-24"/>
    <s v="45 days"/>
    <x v="1"/>
    <n v="0.11"/>
    <n v="16809"/>
    <n v="6.7"/>
    <n v="13"/>
    <n v="1293"/>
    <s v="Chicago"/>
    <s v="French"/>
    <n v="120"/>
    <n v="9726"/>
    <n v="3"/>
    <s v="Tech Enthusiasts"/>
    <x v="222"/>
  </r>
  <r>
    <s v="TechCorp"/>
    <x v="3"/>
    <s v="All Ages"/>
    <s v="45 days"/>
    <x v="2"/>
    <n v="0.03"/>
    <n v="8112"/>
    <n v="2.93"/>
    <n v="14"/>
    <n v="579.42857142857144"/>
    <s v="New York"/>
    <s v="English"/>
    <n v="460"/>
    <n v="3466"/>
    <n v="10"/>
    <s v="Fashionistas"/>
    <x v="223"/>
  </r>
  <r>
    <s v="Innovate Industries"/>
    <x v="2"/>
    <s v="Women 25-34"/>
    <s v="60 days"/>
    <x v="2"/>
    <n v="0.06"/>
    <n v="18761"/>
    <n v="6.53"/>
    <n v="24"/>
    <n v="781.70833333333337"/>
    <s v="Los Angeles"/>
    <s v="Mandarin"/>
    <n v="394"/>
    <n v="6167"/>
    <n v="3"/>
    <s v="Tech Enthusiasts"/>
    <x v="224"/>
  </r>
  <r>
    <s v="DataTech Solutions"/>
    <x v="0"/>
    <s v="Men 25-34"/>
    <s v="15 days"/>
    <x v="5"/>
    <n v="7.0000000000000007E-2"/>
    <n v="17497"/>
    <n v="6.45"/>
    <n v="41"/>
    <n v="426.7560975609756"/>
    <s v="Miami"/>
    <s v="Spanish"/>
    <n v="592"/>
    <n v="9516"/>
    <n v="4"/>
    <s v="Outdoor Adventurers"/>
    <x v="225"/>
  </r>
  <r>
    <s v="TechCorp"/>
    <x v="1"/>
    <s v="Men 25-34"/>
    <s v="45 days"/>
    <x v="1"/>
    <n v="0.09"/>
    <n v="11791"/>
    <n v="4.84"/>
    <n v="45"/>
    <n v="262.02222222222224"/>
    <s v="Miami"/>
    <s v="French"/>
    <n v="497"/>
    <n v="2307"/>
    <n v="5"/>
    <s v="Foodies"/>
    <x v="226"/>
  </r>
  <r>
    <s v="Alpha Innovations"/>
    <x v="2"/>
    <s v="Women 25-34"/>
    <s v="45 days"/>
    <x v="2"/>
    <n v="0.04"/>
    <n v="10988"/>
    <n v="6.8"/>
    <n v="21"/>
    <n v="523.23809523809518"/>
    <s v="Houston"/>
    <s v="French"/>
    <n v="518"/>
    <n v="9942"/>
    <n v="9"/>
    <s v="Foodies"/>
    <x v="227"/>
  </r>
  <r>
    <s v="Innovate Industries"/>
    <x v="1"/>
    <s v="All Ages"/>
    <s v="15 days"/>
    <x v="1"/>
    <n v="0.12"/>
    <n v="6396"/>
    <n v="6.27"/>
    <n v="113"/>
    <n v="56.601769911504427"/>
    <s v="Chicago"/>
    <s v="French"/>
    <n v="940"/>
    <n v="5825"/>
    <n v="6"/>
    <s v="Fashionistas"/>
    <x v="228"/>
  </r>
  <r>
    <s v="Innovate Industries"/>
    <x v="2"/>
    <s v="Women 35-44"/>
    <s v="15 days"/>
    <x v="0"/>
    <n v="0.1"/>
    <n v="15084"/>
    <n v="3.61"/>
    <n v="90"/>
    <n v="167.6"/>
    <s v="Los Angeles"/>
    <s v="German"/>
    <n v="901"/>
    <n v="6542"/>
    <n v="5"/>
    <s v="Outdoor Adventurers"/>
    <x v="229"/>
  </r>
  <r>
    <s v="TechCorp"/>
    <x v="3"/>
    <s v="Women 25-34"/>
    <s v="60 days"/>
    <x v="1"/>
    <n v="0.01"/>
    <n v="10876"/>
    <n v="4.72"/>
    <n v="6"/>
    <n v="1812.6666666666667"/>
    <s v="Miami"/>
    <s v="Spanish"/>
    <n v="627"/>
    <n v="7138"/>
    <n v="7"/>
    <s v="Outdoor Adventurers"/>
    <x v="230"/>
  </r>
  <r>
    <s v="DataTech Solutions"/>
    <x v="1"/>
    <s v="Men 18-24"/>
    <s v="45 days"/>
    <x v="0"/>
    <n v="0.04"/>
    <n v="12148"/>
    <n v="5.0999999999999996"/>
    <n v="12"/>
    <n v="1012.3333333333334"/>
    <s v="Houston"/>
    <s v="Spanish"/>
    <n v="298"/>
    <n v="5514"/>
    <n v="2"/>
    <s v="Tech Enthusiasts"/>
    <x v="231"/>
  </r>
  <r>
    <s v="TechCorp"/>
    <x v="0"/>
    <s v="Women 25-34"/>
    <s v="30 days"/>
    <x v="5"/>
    <n v="0.12"/>
    <n v="9674"/>
    <n v="4.6100000000000003"/>
    <n v="44"/>
    <n v="219.86363636363637"/>
    <s v="Los Angeles"/>
    <s v="Spanish"/>
    <n v="366"/>
    <n v="6977"/>
    <n v="5"/>
    <s v="Tech Enthusiasts"/>
    <x v="232"/>
  </r>
  <r>
    <s v="NexGen Systems"/>
    <x v="0"/>
    <s v="Men 18-24"/>
    <s v="60 days"/>
    <x v="2"/>
    <n v="0.02"/>
    <n v="12542"/>
    <n v="5.8"/>
    <n v="16"/>
    <n v="783.875"/>
    <s v="Houston"/>
    <s v="French"/>
    <n v="808"/>
    <n v="7781"/>
    <n v="7"/>
    <s v="Fashionistas"/>
    <x v="233"/>
  </r>
  <r>
    <s v="Innovate Industries"/>
    <x v="3"/>
    <s v="All Ages"/>
    <s v="60 days"/>
    <x v="1"/>
    <n v="0.08"/>
    <n v="17931"/>
    <n v="7.42"/>
    <n v="64"/>
    <n v="280.171875"/>
    <s v="Miami"/>
    <s v="English"/>
    <n v="798"/>
    <n v="1158"/>
    <n v="4"/>
    <s v="Fashionistas"/>
    <x v="234"/>
  </r>
  <r>
    <s v="DataTech Solutions"/>
    <x v="4"/>
    <s v="Women 35-44"/>
    <s v="60 days"/>
    <x v="0"/>
    <n v="0.01"/>
    <n v="9297"/>
    <n v="7.66"/>
    <n v="9"/>
    <n v="1033"/>
    <s v="Los Angeles"/>
    <s v="French"/>
    <n v="910"/>
    <n v="6860"/>
    <n v="4"/>
    <s v="Outdoor Adventurers"/>
    <x v="235"/>
  </r>
  <r>
    <s v="Innovate Industries"/>
    <x v="2"/>
    <s v="All Ages"/>
    <s v="30 days"/>
    <x v="0"/>
    <n v="0.05"/>
    <n v="16778"/>
    <n v="6.65"/>
    <n v="39"/>
    <n v="430.20512820512823"/>
    <s v="Miami"/>
    <s v="Spanish"/>
    <n v="782"/>
    <n v="5008"/>
    <n v="10"/>
    <s v="Outdoor Adventurers"/>
    <x v="236"/>
  </r>
  <r>
    <s v="Alpha Innovations"/>
    <x v="2"/>
    <s v="Men 25-34"/>
    <s v="45 days"/>
    <x v="1"/>
    <n v="0.11"/>
    <n v="16254"/>
    <n v="7.5"/>
    <n v="103"/>
    <n v="157.80582524271844"/>
    <s v="Houston"/>
    <s v="Mandarin"/>
    <n v="940"/>
    <n v="9159"/>
    <n v="10"/>
    <s v="Tech Enthusiasts"/>
    <x v="237"/>
  </r>
  <r>
    <s v="Alpha Innovations"/>
    <x v="3"/>
    <s v="Women 25-34"/>
    <s v="60 days"/>
    <x v="3"/>
    <n v="0.04"/>
    <n v="5268"/>
    <n v="6.64"/>
    <n v="11"/>
    <n v="478.90909090909093"/>
    <s v="Los Angeles"/>
    <s v="Mandarin"/>
    <n v="270"/>
    <n v="7585"/>
    <n v="9"/>
    <s v="Tech Enthusiasts"/>
    <x v="238"/>
  </r>
  <r>
    <s v="TechCorp"/>
    <x v="4"/>
    <s v="Men 18-24"/>
    <s v="15 days"/>
    <x v="5"/>
    <n v="0.02"/>
    <n v="16455"/>
    <n v="4.93"/>
    <n v="17"/>
    <n v="967.94117647058829"/>
    <s v="New York"/>
    <s v="English"/>
    <n v="846"/>
    <n v="2715"/>
    <n v="8"/>
    <s v="Outdoor Adventurers"/>
    <x v="239"/>
  </r>
  <r>
    <s v="Alpha Innovations"/>
    <x v="4"/>
    <s v="Women 25-34"/>
    <s v="60 days"/>
    <x v="0"/>
    <n v="0.1"/>
    <n v="9390"/>
    <n v="7.67"/>
    <n v="18"/>
    <n v="521.66666666666663"/>
    <s v="Chicago"/>
    <s v="English"/>
    <n v="184"/>
    <n v="9319"/>
    <n v="6"/>
    <s v="Health &amp; Wellness"/>
    <x v="240"/>
  </r>
  <r>
    <s v="Alpha Innovations"/>
    <x v="2"/>
    <s v="Men 25-34"/>
    <s v="60 days"/>
    <x v="0"/>
    <n v="0.12"/>
    <n v="13939"/>
    <n v="6.67"/>
    <n v="86"/>
    <n v="162.08139534883722"/>
    <s v="Los Angeles"/>
    <s v="English"/>
    <n v="714"/>
    <n v="9979"/>
    <n v="7"/>
    <s v="Outdoor Adventurers"/>
    <x v="241"/>
  </r>
  <r>
    <s v="Alpha Innovations"/>
    <x v="2"/>
    <s v="Women 25-34"/>
    <s v="45 days"/>
    <x v="5"/>
    <n v="0.14000000000000001"/>
    <n v="16252"/>
    <n v="6.37"/>
    <n v="56"/>
    <n v="290.21428571428572"/>
    <s v="Los Angeles"/>
    <s v="French"/>
    <n v="402"/>
    <n v="4846"/>
    <n v="4"/>
    <s v="Tech Enthusiasts"/>
    <x v="242"/>
  </r>
  <r>
    <s v="DataTech Solutions"/>
    <x v="2"/>
    <s v="Women 25-34"/>
    <s v="30 days"/>
    <x v="1"/>
    <n v="0.05"/>
    <n v="6565"/>
    <n v="7.68"/>
    <n v="19"/>
    <n v="345.5263157894737"/>
    <s v="Houston"/>
    <s v="German"/>
    <n v="379"/>
    <n v="5453"/>
    <n v="10"/>
    <s v="Outdoor Adventurers"/>
    <x v="243"/>
  </r>
  <r>
    <s v="Innovate Industries"/>
    <x v="4"/>
    <s v="All Ages"/>
    <s v="30 days"/>
    <x v="3"/>
    <n v="0.13"/>
    <n v="19029"/>
    <n v="4.71"/>
    <n v="54"/>
    <n v="352.38888888888891"/>
    <s v="New York"/>
    <s v="Spanish"/>
    <n v="419"/>
    <n v="4444"/>
    <n v="2"/>
    <s v="Health &amp; Wellness"/>
    <x v="244"/>
  </r>
  <r>
    <s v="Innovate Industries"/>
    <x v="4"/>
    <s v="Women 35-44"/>
    <s v="15 days"/>
    <x v="5"/>
    <n v="0.05"/>
    <n v="12477"/>
    <n v="7.82"/>
    <n v="27"/>
    <n v="462.11111111111109"/>
    <s v="Los Angeles"/>
    <s v="Mandarin"/>
    <n v="546"/>
    <n v="3033"/>
    <n v="8"/>
    <s v="Foodies"/>
    <x v="245"/>
  </r>
  <r>
    <s v="DataTech Solutions"/>
    <x v="2"/>
    <s v="Men 25-34"/>
    <s v="15 days"/>
    <x v="0"/>
    <n v="0.05"/>
    <n v="12298"/>
    <n v="3.62"/>
    <n v="8"/>
    <n v="1537.25"/>
    <s v="Miami"/>
    <s v="French"/>
    <n v="152"/>
    <n v="1450"/>
    <n v="4"/>
    <s v="Tech Enthusiasts"/>
    <x v="246"/>
  </r>
  <r>
    <s v="Innovate Industries"/>
    <x v="0"/>
    <s v="All Ages"/>
    <s v="30 days"/>
    <x v="3"/>
    <n v="0.13"/>
    <n v="18106"/>
    <n v="4.99"/>
    <n v="82"/>
    <n v="220.80487804878049"/>
    <s v="Miami"/>
    <s v="French"/>
    <n v="630"/>
    <n v="6778"/>
    <n v="3"/>
    <s v="Fashionistas"/>
    <x v="247"/>
  </r>
  <r>
    <s v="TechCorp"/>
    <x v="3"/>
    <s v="Men 25-34"/>
    <s v="60 days"/>
    <x v="5"/>
    <n v="0.11"/>
    <n v="7956"/>
    <n v="4.84"/>
    <n v="31"/>
    <n v="256.64516129032256"/>
    <s v="New York"/>
    <s v="English"/>
    <n v="278"/>
    <n v="7018"/>
    <n v="9"/>
    <s v="Foodies"/>
    <x v="248"/>
  </r>
  <r>
    <s v="DataTech Solutions"/>
    <x v="4"/>
    <s v="Men 18-24"/>
    <s v="45 days"/>
    <x v="4"/>
    <n v="0.04"/>
    <n v="7320"/>
    <n v="4.34"/>
    <n v="30"/>
    <n v="244"/>
    <s v="Los Angeles"/>
    <s v="English"/>
    <n v="760"/>
    <n v="2774"/>
    <n v="8"/>
    <s v="Outdoor Adventurers"/>
    <x v="249"/>
  </r>
  <r>
    <s v="Alpha Innovations"/>
    <x v="4"/>
    <s v="Men 18-24"/>
    <s v="30 days"/>
    <x v="4"/>
    <n v="0.02"/>
    <n v="10022"/>
    <n v="6.11"/>
    <n v="17"/>
    <n v="589.52941176470586"/>
    <s v="Los Angeles"/>
    <s v="French"/>
    <n v="855"/>
    <n v="8826"/>
    <n v="6"/>
    <s v="Health &amp; Wellness"/>
    <x v="250"/>
  </r>
  <r>
    <s v="NexGen Systems"/>
    <x v="0"/>
    <s v="Women 25-34"/>
    <s v="30 days"/>
    <x v="1"/>
    <n v="0.08"/>
    <n v="13457"/>
    <n v="3.56"/>
    <n v="32"/>
    <n v="420.53125"/>
    <s v="Los Angeles"/>
    <s v="German"/>
    <n v="397"/>
    <n v="9801"/>
    <n v="8"/>
    <s v="Outdoor Adventurers"/>
    <x v="251"/>
  </r>
  <r>
    <s v="NexGen Systems"/>
    <x v="3"/>
    <s v="Men 18-24"/>
    <s v="60 days"/>
    <x v="2"/>
    <n v="0.09"/>
    <n v="18505"/>
    <n v="4.33"/>
    <n v="44"/>
    <n v="420.56818181818181"/>
    <s v="Chicago"/>
    <s v="English"/>
    <n v="486"/>
    <n v="6304"/>
    <n v="9"/>
    <s v="Health &amp; Wellness"/>
    <x v="252"/>
  </r>
  <r>
    <s v="DataTech Solutions"/>
    <x v="0"/>
    <s v="All Ages"/>
    <s v="30 days"/>
    <x v="2"/>
    <n v="0.04"/>
    <n v="12654"/>
    <n v="5.0599999999999996"/>
    <n v="37"/>
    <n v="342"/>
    <s v="New York"/>
    <s v="English"/>
    <n v="933"/>
    <n v="3566"/>
    <n v="3"/>
    <s v="Health &amp; Wellness"/>
    <x v="253"/>
  </r>
  <r>
    <s v="DataTech Solutions"/>
    <x v="4"/>
    <s v="Women 35-44"/>
    <s v="15 days"/>
    <x v="4"/>
    <n v="0.05"/>
    <n v="6529"/>
    <n v="4.9400000000000004"/>
    <n v="33"/>
    <n v="197.84848484848484"/>
    <s v="Chicago"/>
    <s v="Spanish"/>
    <n v="665"/>
    <n v="1488"/>
    <n v="8"/>
    <s v="Outdoor Adventurers"/>
    <x v="254"/>
  </r>
  <r>
    <s v="DataTech Solutions"/>
    <x v="3"/>
    <s v="Men 25-34"/>
    <s v="30 days"/>
    <x v="1"/>
    <n v="0.02"/>
    <n v="6064"/>
    <n v="7.46"/>
    <n v="3"/>
    <n v="2021.3333333333333"/>
    <s v="New York"/>
    <s v="German"/>
    <n v="147"/>
    <n v="1223"/>
    <n v="1"/>
    <s v="Fashionistas"/>
    <x v="255"/>
  </r>
  <r>
    <s v="TechCorp"/>
    <x v="0"/>
    <s v="Women 35-44"/>
    <s v="30 days"/>
    <x v="2"/>
    <n v="0.04"/>
    <n v="16901"/>
    <n v="2.69"/>
    <n v="35"/>
    <n v="482.8857142857143"/>
    <s v="New York"/>
    <s v="English"/>
    <n v="870"/>
    <n v="8362"/>
    <n v="9"/>
    <s v="Health &amp; Wellness"/>
    <x v="256"/>
  </r>
  <r>
    <s v="TechCorp"/>
    <x v="2"/>
    <s v="Men 18-24"/>
    <s v="30 days"/>
    <x v="4"/>
    <n v="0.09"/>
    <n v="5517"/>
    <n v="7.32"/>
    <n v="27"/>
    <n v="204.33333333333334"/>
    <s v="Houston"/>
    <s v="English"/>
    <n v="295"/>
    <n v="5382"/>
    <n v="9"/>
    <s v="Foodies"/>
    <x v="257"/>
  </r>
  <r>
    <s v="DataTech Solutions"/>
    <x v="3"/>
    <s v="Women 25-34"/>
    <s v="30 days"/>
    <x v="1"/>
    <n v="0.04"/>
    <n v="17790"/>
    <n v="2.9"/>
    <n v="38"/>
    <n v="468.15789473684208"/>
    <s v="New York"/>
    <s v="Mandarin"/>
    <n v="955"/>
    <n v="4898"/>
    <n v="7"/>
    <s v="Tech Enthusiasts"/>
    <x v="258"/>
  </r>
  <r>
    <s v="Alpha Innovations"/>
    <x v="2"/>
    <s v="Men 18-24"/>
    <s v="60 days"/>
    <x v="3"/>
    <n v="0.03"/>
    <n v="15195"/>
    <n v="4.18"/>
    <n v="4"/>
    <n v="3798.75"/>
    <s v="Chicago"/>
    <s v="French"/>
    <n v="135"/>
    <n v="5736"/>
    <n v="3"/>
    <s v="Health &amp; Wellness"/>
    <x v="259"/>
  </r>
  <r>
    <s v="Alpha Innovations"/>
    <x v="3"/>
    <s v="Women 25-34"/>
    <s v="30 days"/>
    <x v="3"/>
    <n v="0.05"/>
    <n v="9938"/>
    <n v="6.89"/>
    <n v="43"/>
    <n v="231.11627906976744"/>
    <s v="Houston"/>
    <s v="Mandarin"/>
    <n v="852"/>
    <n v="9716"/>
    <n v="6"/>
    <s v="Health &amp; Wellness"/>
    <x v="260"/>
  </r>
  <r>
    <s v="Innovate Industries"/>
    <x v="2"/>
    <s v="Men 25-34"/>
    <s v="60 days"/>
    <x v="0"/>
    <n v="0.11"/>
    <n v="7126"/>
    <n v="3"/>
    <n v="59"/>
    <n v="120.77966101694915"/>
    <s v="New York"/>
    <s v="Mandarin"/>
    <n v="535"/>
    <n v="8831"/>
    <n v="8"/>
    <s v="Tech Enthusiasts"/>
    <x v="261"/>
  </r>
  <r>
    <s v="TechCorp"/>
    <x v="1"/>
    <s v="Women 35-44"/>
    <s v="45 days"/>
    <x v="5"/>
    <n v="0.12"/>
    <n v="17691"/>
    <n v="4.87"/>
    <n v="67"/>
    <n v="264.04477611940297"/>
    <s v="Los Angeles"/>
    <s v="German"/>
    <n v="559"/>
    <n v="8643"/>
    <n v="4"/>
    <s v="Outdoor Adventurers"/>
    <x v="262"/>
  </r>
  <r>
    <s v="Alpha Innovations"/>
    <x v="4"/>
    <s v="Women 35-44"/>
    <s v="15 days"/>
    <x v="3"/>
    <n v="0.06"/>
    <n v="13397"/>
    <n v="4.9000000000000004"/>
    <n v="11"/>
    <n v="1217.909090909091"/>
    <s v="Miami"/>
    <s v="French"/>
    <n v="175"/>
    <n v="5156"/>
    <n v="6"/>
    <s v="Tech Enthusiasts"/>
    <x v="263"/>
  </r>
  <r>
    <s v="NexGen Systems"/>
    <x v="0"/>
    <s v="Women 25-34"/>
    <s v="45 days"/>
    <x v="4"/>
    <n v="0.04"/>
    <n v="5524"/>
    <n v="5.0599999999999996"/>
    <n v="36"/>
    <n v="153.44444444444446"/>
    <s v="Los Angeles"/>
    <s v="German"/>
    <n v="912"/>
    <n v="1483"/>
    <n v="4"/>
    <s v="Fashionistas"/>
    <x v="264"/>
  </r>
  <r>
    <s v="NexGen Systems"/>
    <x v="4"/>
    <s v="Men 25-34"/>
    <s v="15 days"/>
    <x v="0"/>
    <n v="0.01"/>
    <n v="9451"/>
    <n v="2.92"/>
    <n v="10"/>
    <n v="945.1"/>
    <s v="New York"/>
    <s v="French"/>
    <n v="954"/>
    <n v="4263"/>
    <n v="4"/>
    <s v="Fashionistas"/>
    <x v="265"/>
  </r>
  <r>
    <s v="DataTech Solutions"/>
    <x v="2"/>
    <s v="Men 25-34"/>
    <s v="60 days"/>
    <x v="3"/>
    <n v="0.11"/>
    <n v="5447"/>
    <n v="3.78"/>
    <n v="41"/>
    <n v="132.85365853658536"/>
    <s v="Chicago"/>
    <s v="Spanish"/>
    <n v="370"/>
    <n v="9439"/>
    <n v="5"/>
    <s v="Health &amp; Wellness"/>
    <x v="266"/>
  </r>
  <r>
    <s v="DataTech Solutions"/>
    <x v="0"/>
    <s v="All Ages"/>
    <s v="15 days"/>
    <x v="5"/>
    <n v="7.0000000000000007E-2"/>
    <n v="5300"/>
    <n v="7.49"/>
    <n v="11"/>
    <n v="481.81818181818181"/>
    <s v="Houston"/>
    <s v="German"/>
    <n v="157"/>
    <n v="5001"/>
    <n v="10"/>
    <s v="Health &amp; Wellness"/>
    <x v="267"/>
  </r>
  <r>
    <s v="Innovate Industries"/>
    <x v="3"/>
    <s v="All Ages"/>
    <s v="30 days"/>
    <x v="1"/>
    <n v="0.05"/>
    <n v="8625"/>
    <n v="7.59"/>
    <n v="30"/>
    <n v="287.5"/>
    <s v="Miami"/>
    <s v="English"/>
    <n v="592"/>
    <n v="2446"/>
    <n v="10"/>
    <s v="Tech Enthusiasts"/>
    <x v="268"/>
  </r>
  <r>
    <s v="Alpha Innovations"/>
    <x v="1"/>
    <s v="Men 18-24"/>
    <s v="30 days"/>
    <x v="0"/>
    <n v="0.12"/>
    <n v="19180"/>
    <n v="5.24"/>
    <n v="60"/>
    <n v="319.66666666666669"/>
    <s v="Miami"/>
    <s v="Spanish"/>
    <n v="500"/>
    <n v="5891"/>
    <n v="1"/>
    <s v="Foodies"/>
    <x v="269"/>
  </r>
  <r>
    <s v="Alpha Innovations"/>
    <x v="3"/>
    <s v="All Ages"/>
    <s v="60 days"/>
    <x v="1"/>
    <n v="0.08"/>
    <n v="15563"/>
    <n v="2.5"/>
    <n v="29"/>
    <n v="536.65517241379314"/>
    <s v="Chicago"/>
    <s v="English"/>
    <n v="367"/>
    <n v="7242"/>
    <n v="1"/>
    <s v="Health &amp; Wellness"/>
    <x v="270"/>
  </r>
  <r>
    <s v="DataTech Solutions"/>
    <x v="3"/>
    <s v="All Ages"/>
    <s v="45 days"/>
    <x v="5"/>
    <n v="0.05"/>
    <n v="10629"/>
    <n v="3.36"/>
    <n v="20"/>
    <n v="531.45000000000005"/>
    <s v="Los Angeles"/>
    <s v="Spanish"/>
    <n v="403"/>
    <n v="3429"/>
    <n v="1"/>
    <s v="Fashionistas"/>
    <x v="271"/>
  </r>
  <r>
    <s v="TechCorp"/>
    <x v="0"/>
    <s v="Women 25-34"/>
    <s v="45 days"/>
    <x v="0"/>
    <n v="0.1"/>
    <n v="10854"/>
    <n v="7.22"/>
    <n v="62"/>
    <n v="175.06451612903226"/>
    <s v="Houston"/>
    <s v="Mandarin"/>
    <n v="623"/>
    <n v="6628"/>
    <n v="1"/>
    <s v="Outdoor Adventurers"/>
    <x v="272"/>
  </r>
  <r>
    <s v="DataTech Solutions"/>
    <x v="4"/>
    <s v="Women 35-44"/>
    <s v="30 days"/>
    <x v="0"/>
    <n v="0.12"/>
    <n v="14084"/>
    <n v="2.52"/>
    <n v="100"/>
    <n v="140.84"/>
    <s v="Houston"/>
    <s v="French"/>
    <n v="830"/>
    <n v="2820"/>
    <n v="9"/>
    <s v="Fashionistas"/>
    <x v="273"/>
  </r>
  <r>
    <s v="TechCorp"/>
    <x v="1"/>
    <s v="Men 18-24"/>
    <s v="15 days"/>
    <x v="4"/>
    <n v="0.09"/>
    <n v="10614"/>
    <n v="2.4"/>
    <n v="73"/>
    <n v="145.39726027397259"/>
    <s v="Chicago"/>
    <s v="Spanish"/>
    <n v="816"/>
    <n v="5621"/>
    <n v="6"/>
    <s v="Health &amp; Wellness"/>
    <x v="274"/>
  </r>
  <r>
    <s v="Innovate Industries"/>
    <x v="4"/>
    <s v="Men 18-24"/>
    <s v="30 days"/>
    <x v="4"/>
    <n v="0.08"/>
    <n v="8808"/>
    <n v="2.35"/>
    <n v="60"/>
    <n v="146.80000000000001"/>
    <s v="Miami"/>
    <s v="German"/>
    <n v="747"/>
    <n v="6410"/>
    <n v="3"/>
    <s v="Fashionistas"/>
    <x v="275"/>
  </r>
  <r>
    <s v="TechCorp"/>
    <x v="0"/>
    <s v="Women 35-44"/>
    <s v="15 days"/>
    <x v="3"/>
    <n v="0.03"/>
    <n v="10954"/>
    <n v="7.2"/>
    <n v="21"/>
    <n v="521.61904761904759"/>
    <s v="New York"/>
    <s v="Spanish"/>
    <n v="685"/>
    <n v="7652"/>
    <n v="9"/>
    <s v="Fashionistas"/>
    <x v="276"/>
  </r>
  <r>
    <s v="NexGen Systems"/>
    <x v="0"/>
    <s v="Men 18-24"/>
    <s v="60 days"/>
    <x v="3"/>
    <n v="0.15"/>
    <n v="19715"/>
    <n v="2.25"/>
    <n v="69"/>
    <n v="285.72463768115944"/>
    <s v="Los Angeles"/>
    <s v="German"/>
    <n v="457"/>
    <n v="6506"/>
    <n v="1"/>
    <s v="Health &amp; Wellness"/>
    <x v="277"/>
  </r>
  <r>
    <s v="Alpha Innovations"/>
    <x v="3"/>
    <s v="Women 25-34"/>
    <s v="60 days"/>
    <x v="2"/>
    <n v="0.05"/>
    <n v="6242"/>
    <n v="6.41"/>
    <n v="16"/>
    <n v="390.125"/>
    <s v="Chicago"/>
    <s v="French"/>
    <n v="323"/>
    <n v="6422"/>
    <n v="10"/>
    <s v="Fashionistas"/>
    <x v="278"/>
  </r>
  <r>
    <s v="Alpha Innovations"/>
    <x v="1"/>
    <s v="All Ages"/>
    <s v="15 days"/>
    <x v="0"/>
    <n v="0.06"/>
    <n v="14599"/>
    <n v="5.72"/>
    <n v="12"/>
    <n v="1216.5833333333333"/>
    <s v="New York"/>
    <s v="French"/>
    <n v="197"/>
    <n v="4564"/>
    <n v="7"/>
    <s v="Health &amp; Wellness"/>
    <x v="279"/>
  </r>
  <r>
    <s v="DataTech Solutions"/>
    <x v="1"/>
    <s v="Men 18-24"/>
    <s v="45 days"/>
    <x v="4"/>
    <n v="0.08"/>
    <n v="10183"/>
    <n v="7.8"/>
    <n v="15"/>
    <n v="678.86666666666667"/>
    <s v="Miami"/>
    <s v="Spanish"/>
    <n v="192"/>
    <n v="4345"/>
    <n v="2"/>
    <s v="Health &amp; Wellness"/>
    <x v="280"/>
  </r>
  <r>
    <s v="DataTech Solutions"/>
    <x v="4"/>
    <s v="Women 25-34"/>
    <s v="15 days"/>
    <x v="1"/>
    <n v="0.03"/>
    <n v="7422"/>
    <n v="6.18"/>
    <n v="19"/>
    <n v="390.63157894736844"/>
    <s v="New York"/>
    <s v="German"/>
    <n v="640"/>
    <n v="1720"/>
    <n v="4"/>
    <s v="Foodies"/>
    <x v="281"/>
  </r>
  <r>
    <s v="NexGen Systems"/>
    <x v="4"/>
    <s v="Women 35-44"/>
    <s v="45 days"/>
    <x v="1"/>
    <n v="0.01"/>
    <n v="12582"/>
    <n v="6.03"/>
    <n v="10"/>
    <n v="1258.2"/>
    <s v="Los Angeles"/>
    <s v="Mandarin"/>
    <n v="991"/>
    <n v="5562"/>
    <n v="5"/>
    <s v="Health &amp; Wellness"/>
    <x v="282"/>
  </r>
  <r>
    <s v="TechCorp"/>
    <x v="1"/>
    <s v="Women 35-44"/>
    <s v="45 days"/>
    <x v="1"/>
    <n v="0.03"/>
    <n v="13955"/>
    <n v="5.19"/>
    <n v="9"/>
    <n v="1550.5555555555557"/>
    <s v="Miami"/>
    <s v="Spanish"/>
    <n v="299"/>
    <n v="5931"/>
    <n v="4"/>
    <s v="Health &amp; Wellness"/>
    <x v="283"/>
  </r>
  <r>
    <s v="Innovate Industries"/>
    <x v="1"/>
    <s v="Women 25-34"/>
    <s v="30 days"/>
    <x v="4"/>
    <n v="0.06"/>
    <n v="12518"/>
    <n v="7.99"/>
    <n v="53"/>
    <n v="236.18867924528303"/>
    <s v="Miami"/>
    <s v="Spanish"/>
    <n v="890"/>
    <n v="3761"/>
    <n v="10"/>
    <s v="Foodies"/>
    <x v="284"/>
  </r>
  <r>
    <s v="Alpha Innovations"/>
    <x v="3"/>
    <s v="Men 25-34"/>
    <s v="15 days"/>
    <x v="0"/>
    <n v="0.11"/>
    <n v="9846"/>
    <n v="7.76"/>
    <n v="58"/>
    <n v="169.75862068965517"/>
    <s v="New York"/>
    <s v="German"/>
    <n v="524"/>
    <n v="3166"/>
    <n v="4"/>
    <s v="Fashionistas"/>
    <x v="285"/>
  </r>
  <r>
    <s v="NexGen Systems"/>
    <x v="2"/>
    <s v="All Ages"/>
    <s v="45 days"/>
    <x v="0"/>
    <n v="0.03"/>
    <n v="14617"/>
    <n v="6.46"/>
    <n v="11"/>
    <n v="1328.8181818181818"/>
    <s v="Los Angeles"/>
    <s v="French"/>
    <n v="358"/>
    <n v="7660"/>
    <n v="8"/>
    <s v="Health &amp; Wellness"/>
    <x v="286"/>
  </r>
  <r>
    <s v="DataTech Solutions"/>
    <x v="3"/>
    <s v="Women 35-44"/>
    <s v="60 days"/>
    <x v="4"/>
    <n v="0.05"/>
    <n v="8537"/>
    <n v="3.24"/>
    <n v="37"/>
    <n v="230.72972972972974"/>
    <s v="Chicago"/>
    <s v="English"/>
    <n v="732"/>
    <n v="2546"/>
    <n v="2"/>
    <s v="Foodies"/>
    <x v="287"/>
  </r>
  <r>
    <s v="Alpha Innovations"/>
    <x v="3"/>
    <s v="Women 35-44"/>
    <s v="45 days"/>
    <x v="3"/>
    <n v="0.13"/>
    <n v="17464"/>
    <n v="4.9800000000000004"/>
    <n v="74"/>
    <n v="236"/>
    <s v="Houston"/>
    <s v="French"/>
    <n v="573"/>
    <n v="8821"/>
    <n v="7"/>
    <s v="Health &amp; Wellness"/>
    <x v="288"/>
  </r>
  <r>
    <s v="TechCorp"/>
    <x v="3"/>
    <s v="Women 25-34"/>
    <s v="30 days"/>
    <x v="3"/>
    <n v="0.12"/>
    <n v="9087"/>
    <n v="7.24"/>
    <n v="104"/>
    <n v="87.375"/>
    <s v="Chicago"/>
    <s v="French"/>
    <n v="869"/>
    <n v="8337"/>
    <n v="4"/>
    <s v="Health &amp; Wellness"/>
    <x v="289"/>
  </r>
  <r>
    <s v="NexGen Systems"/>
    <x v="4"/>
    <s v="Men 25-34"/>
    <s v="60 days"/>
    <x v="2"/>
    <n v="0.1"/>
    <n v="9494"/>
    <n v="6.97"/>
    <n v="65"/>
    <n v="146.06153846153848"/>
    <s v="Chicago"/>
    <s v="Mandarin"/>
    <n v="654"/>
    <n v="1911"/>
    <n v="1"/>
    <s v="Tech Enthusiasts"/>
    <x v="290"/>
  </r>
  <r>
    <s v="Innovate Industries"/>
    <x v="2"/>
    <s v="All Ages"/>
    <s v="45 days"/>
    <x v="2"/>
    <n v="0.11"/>
    <n v="18165"/>
    <n v="4.1100000000000003"/>
    <n v="34"/>
    <n v="534.26470588235293"/>
    <s v="Houston"/>
    <s v="Mandarin"/>
    <n v="310"/>
    <n v="8836"/>
    <n v="8"/>
    <s v="Health &amp; Wellness"/>
    <x v="291"/>
  </r>
  <r>
    <s v="DataTech Solutions"/>
    <x v="0"/>
    <s v="Men 25-34"/>
    <s v="15 days"/>
    <x v="5"/>
    <n v="0.14000000000000001"/>
    <n v="5990"/>
    <n v="4.5199999999999996"/>
    <n v="109"/>
    <n v="54.954128440366972"/>
    <s v="New York"/>
    <s v="English"/>
    <n v="782"/>
    <n v="8447"/>
    <n v="7"/>
    <s v="Health &amp; Wellness"/>
    <x v="292"/>
  </r>
  <r>
    <s v="Alpha Innovations"/>
    <x v="2"/>
    <s v="All Ages"/>
    <s v="15 days"/>
    <x v="2"/>
    <n v="0.02"/>
    <n v="6238"/>
    <n v="4.68"/>
    <n v="8"/>
    <n v="779.75"/>
    <s v="Houston"/>
    <s v="German"/>
    <n v="415"/>
    <n v="1867"/>
    <n v="8"/>
    <s v="Tech Enthusiasts"/>
    <x v="293"/>
  </r>
  <r>
    <s v="Innovate Industries"/>
    <x v="4"/>
    <s v="Women 25-34"/>
    <s v="60 days"/>
    <x v="3"/>
    <n v="7.0000000000000007E-2"/>
    <n v="17623"/>
    <n v="4.0999999999999996"/>
    <n v="18"/>
    <n v="979.05555555555554"/>
    <s v="Miami"/>
    <s v="Spanish"/>
    <n v="263"/>
    <n v="2932"/>
    <n v="3"/>
    <s v="Health &amp; Wellness"/>
    <x v="294"/>
  </r>
  <r>
    <s v="NexGen Systems"/>
    <x v="4"/>
    <s v="Men 18-24"/>
    <s v="45 days"/>
    <x v="4"/>
    <n v="0.11"/>
    <n v="8786"/>
    <n v="7.01"/>
    <n v="14"/>
    <n v="627.57142857142856"/>
    <s v="Chicago"/>
    <s v="Spanish"/>
    <n v="126"/>
    <n v="7022"/>
    <n v="9"/>
    <s v="Fashionistas"/>
    <x v="295"/>
  </r>
  <r>
    <s v="NexGen Systems"/>
    <x v="4"/>
    <s v="Men 18-24"/>
    <s v="30 days"/>
    <x v="3"/>
    <n v="0.01"/>
    <n v="12189"/>
    <n v="5.89"/>
    <n v="2"/>
    <n v="6094.5"/>
    <s v="Los Angeles"/>
    <s v="Mandarin"/>
    <n v="224"/>
    <n v="1254"/>
    <n v="7"/>
    <s v="Fashionistas"/>
    <x v="296"/>
  </r>
  <r>
    <s v="Alpha Innovations"/>
    <x v="0"/>
    <s v="Men 25-34"/>
    <s v="45 days"/>
    <x v="1"/>
    <n v="0.03"/>
    <n v="18967"/>
    <n v="5.65"/>
    <n v="19"/>
    <n v="998.26315789473688"/>
    <s v="Chicago"/>
    <s v="German"/>
    <n v="646"/>
    <n v="4622"/>
    <n v="5"/>
    <s v="Foodies"/>
    <x v="297"/>
  </r>
  <r>
    <s v="Alpha Innovations"/>
    <x v="2"/>
    <s v="All Ages"/>
    <s v="45 days"/>
    <x v="0"/>
    <n v="0.05"/>
    <n v="10989"/>
    <n v="6.12"/>
    <n v="37"/>
    <n v="297"/>
    <s v="Los Angeles"/>
    <s v="Mandarin"/>
    <n v="731"/>
    <n v="9895"/>
    <n v="5"/>
    <s v="Foodies"/>
    <x v="298"/>
  </r>
  <r>
    <s v="DataTech Solutions"/>
    <x v="4"/>
    <s v="Men 18-24"/>
    <s v="60 days"/>
    <x v="0"/>
    <n v="0.01"/>
    <n v="9618"/>
    <n v="5.66"/>
    <n v="9"/>
    <n v="1068.6666666666667"/>
    <s v="New York"/>
    <s v="English"/>
    <n v="854"/>
    <n v="8917"/>
    <n v="9"/>
    <s v="Outdoor Adventurers"/>
    <x v="299"/>
  </r>
  <r>
    <s v="TechCorp"/>
    <x v="4"/>
    <s v="All Ages"/>
    <s v="15 days"/>
    <x v="4"/>
    <n v="0.06"/>
    <n v="17560"/>
    <n v="6.78"/>
    <n v="49"/>
    <n v="358.36734693877548"/>
    <s v="Chicago"/>
    <s v="English"/>
    <n v="809"/>
    <n v="4515"/>
    <n v="4"/>
    <s v="Health &amp; Wellness"/>
    <x v="300"/>
  </r>
  <r>
    <s v="DataTech Solutions"/>
    <x v="4"/>
    <s v="All Ages"/>
    <s v="15 days"/>
    <x v="2"/>
    <n v="0.02"/>
    <n v="16730"/>
    <n v="7.47"/>
    <n v="5"/>
    <n v="3346"/>
    <s v="Houston"/>
    <s v="German"/>
    <n v="274"/>
    <n v="7990"/>
    <n v="5"/>
    <s v="Health &amp; Wellness"/>
    <x v="301"/>
  </r>
  <r>
    <s v="Alpha Innovations"/>
    <x v="2"/>
    <s v="Women 25-34"/>
    <s v="30 days"/>
    <x v="5"/>
    <n v="0.15"/>
    <n v="17623"/>
    <n v="4.57"/>
    <n v="110"/>
    <n v="160.20909090909092"/>
    <s v="New York"/>
    <s v="German"/>
    <n v="735"/>
    <n v="8105"/>
    <n v="2"/>
    <s v="Health &amp; Wellness"/>
    <x v="302"/>
  </r>
  <r>
    <s v="NexGen Systems"/>
    <x v="0"/>
    <s v="Women 35-44"/>
    <s v="15 days"/>
    <x v="4"/>
    <n v="0.01"/>
    <n v="17834"/>
    <n v="4.59"/>
    <n v="5"/>
    <n v="3566.8"/>
    <s v="Los Angeles"/>
    <s v="German"/>
    <n v="525"/>
    <n v="3515"/>
    <n v="3"/>
    <s v="Tech Enthusiasts"/>
    <x v="303"/>
  </r>
  <r>
    <s v="DataTech Solutions"/>
    <x v="2"/>
    <s v="Women 25-34"/>
    <s v="60 days"/>
    <x v="4"/>
    <n v="0.11"/>
    <n v="15581"/>
    <n v="2.81"/>
    <n v="53"/>
    <n v="293.98113207547169"/>
    <s v="Miami"/>
    <s v="French"/>
    <n v="481"/>
    <n v="1290"/>
    <n v="6"/>
    <s v="Health &amp; Wellness"/>
    <x v="304"/>
  </r>
  <r>
    <s v="TechCorp"/>
    <x v="0"/>
    <s v="Women 35-44"/>
    <s v="60 days"/>
    <x v="5"/>
    <n v="0.13"/>
    <n v="9101"/>
    <n v="3.65"/>
    <n v="27"/>
    <n v="337.07407407407408"/>
    <s v="New York"/>
    <s v="Mandarin"/>
    <n v="208"/>
    <n v="6640"/>
    <n v="6"/>
    <s v="Health &amp; Wellness"/>
    <x v="305"/>
  </r>
  <r>
    <s v="Alpha Innovations"/>
    <x v="0"/>
    <s v="Men 25-34"/>
    <s v="60 days"/>
    <x v="0"/>
    <n v="0.11"/>
    <n v="16425"/>
    <n v="7.75"/>
    <n v="63"/>
    <n v="260.71428571428572"/>
    <s v="Miami"/>
    <s v="German"/>
    <n v="569"/>
    <n v="2759"/>
    <n v="8"/>
    <s v="Outdoor Adventurers"/>
    <x v="306"/>
  </r>
  <r>
    <s v="NexGen Systems"/>
    <x v="3"/>
    <s v="Men 25-34"/>
    <s v="60 days"/>
    <x v="0"/>
    <n v="0.14000000000000001"/>
    <n v="11874"/>
    <n v="5.01"/>
    <n v="28"/>
    <n v="424.07142857142856"/>
    <s v="Los Angeles"/>
    <s v="English"/>
    <n v="203"/>
    <n v="1270"/>
    <n v="7"/>
    <s v="Outdoor Adventurers"/>
    <x v="307"/>
  </r>
  <r>
    <s v="DataTech Solutions"/>
    <x v="2"/>
    <s v="Women 35-44"/>
    <s v="30 days"/>
    <x v="0"/>
    <n v="0.14000000000000001"/>
    <n v="18371"/>
    <n v="6.02"/>
    <n v="137"/>
    <n v="134.09489051094891"/>
    <s v="Miami"/>
    <s v="Spanish"/>
    <n v="975"/>
    <n v="2494"/>
    <n v="1"/>
    <s v="Tech Enthusiasts"/>
    <x v="308"/>
  </r>
  <r>
    <s v="NexGen Systems"/>
    <x v="3"/>
    <s v="Men 25-34"/>
    <s v="15 days"/>
    <x v="1"/>
    <n v="0.05"/>
    <n v="16641"/>
    <n v="5.0999999999999996"/>
    <n v="35"/>
    <n v="475.45714285714286"/>
    <s v="Los Angeles"/>
    <s v="Spanish"/>
    <n v="704"/>
    <n v="6291"/>
    <n v="4"/>
    <s v="Tech Enthusiasts"/>
    <x v="309"/>
  </r>
  <r>
    <s v="Alpha Innovations"/>
    <x v="2"/>
    <s v="Women 25-34"/>
    <s v="45 days"/>
    <x v="3"/>
    <n v="0.14000000000000001"/>
    <n v="17645"/>
    <n v="7.11"/>
    <n v="116"/>
    <n v="152.11206896551724"/>
    <s v="Houston"/>
    <s v="German"/>
    <n v="831"/>
    <n v="9503"/>
    <n v="2"/>
    <s v="Outdoor Adventurers"/>
    <x v="310"/>
  </r>
  <r>
    <s v="Alpha Innovations"/>
    <x v="3"/>
    <s v="All Ages"/>
    <s v="60 days"/>
    <x v="5"/>
    <n v="0.11"/>
    <n v="16027"/>
    <n v="3.2"/>
    <n v="76"/>
    <n v="210.88157894736841"/>
    <s v="Miami"/>
    <s v="Mandarin"/>
    <n v="687"/>
    <n v="5000"/>
    <n v="8"/>
    <s v="Health &amp; Wellness"/>
    <x v="311"/>
  </r>
  <r>
    <s v="NexGen Systems"/>
    <x v="1"/>
    <s v="All Ages"/>
    <s v="30 days"/>
    <x v="2"/>
    <n v="0.11"/>
    <n v="16276"/>
    <n v="4.93"/>
    <n v="92"/>
    <n v="176.91304347826087"/>
    <s v="New York"/>
    <s v="Mandarin"/>
    <n v="840"/>
    <n v="3659"/>
    <n v="9"/>
    <s v="Tech Enthusiasts"/>
    <x v="312"/>
  </r>
  <r>
    <s v="Alpha Innovations"/>
    <x v="4"/>
    <s v="Men 25-34"/>
    <s v="15 days"/>
    <x v="2"/>
    <n v="0.03"/>
    <n v="15270"/>
    <n v="3.25"/>
    <n v="19"/>
    <n v="803.68421052631584"/>
    <s v="Miami"/>
    <s v="Mandarin"/>
    <n v="626"/>
    <n v="9864"/>
    <n v="2"/>
    <s v="Fashionistas"/>
    <x v="313"/>
  </r>
  <r>
    <s v="DataTech Solutions"/>
    <x v="2"/>
    <s v="Women 35-44"/>
    <s v="30 days"/>
    <x v="0"/>
    <n v="0.05"/>
    <n v="5979"/>
    <n v="6.23"/>
    <n v="28"/>
    <n v="213.53571428571428"/>
    <s v="Los Angeles"/>
    <s v="German"/>
    <n v="551"/>
    <n v="3155"/>
    <n v="8"/>
    <s v="Foodies"/>
    <x v="314"/>
  </r>
  <r>
    <s v="DataTech Solutions"/>
    <x v="0"/>
    <s v="Men 18-24"/>
    <s v="30 days"/>
    <x v="3"/>
    <n v="0.14000000000000001"/>
    <n v="6839"/>
    <n v="7.88"/>
    <n v="86"/>
    <n v="79.523255813953483"/>
    <s v="Chicago"/>
    <s v="German"/>
    <n v="612"/>
    <n v="5450"/>
    <n v="6"/>
    <s v="Foodies"/>
    <x v="315"/>
  </r>
  <r>
    <s v="NexGen Systems"/>
    <x v="3"/>
    <s v="Women 35-44"/>
    <s v="60 days"/>
    <x v="2"/>
    <n v="7.0000000000000007E-2"/>
    <n v="19543"/>
    <n v="6.15"/>
    <n v="17"/>
    <n v="1149.5882352941176"/>
    <s v="Chicago"/>
    <s v="French"/>
    <n v="236"/>
    <n v="1428"/>
    <n v="3"/>
    <s v="Health &amp; Wellness"/>
    <x v="316"/>
  </r>
  <r>
    <s v="NexGen Systems"/>
    <x v="2"/>
    <s v="Women 35-44"/>
    <s v="45 days"/>
    <x v="3"/>
    <n v="0.1"/>
    <n v="7730"/>
    <n v="3.31"/>
    <n v="15"/>
    <n v="515.33333333333337"/>
    <s v="Los Angeles"/>
    <s v="English"/>
    <n v="153"/>
    <n v="7030"/>
    <n v="1"/>
    <s v="Foodies"/>
    <x v="317"/>
  </r>
  <r>
    <s v="Alpha Innovations"/>
    <x v="4"/>
    <s v="All Ages"/>
    <s v="45 days"/>
    <x v="1"/>
    <n v="0.01"/>
    <n v="7665"/>
    <n v="6.29"/>
    <n v="10"/>
    <n v="766.5"/>
    <s v="New York"/>
    <s v="Mandarin"/>
    <n v="960"/>
    <n v="6347"/>
    <n v="3"/>
    <s v="Foodies"/>
    <x v="318"/>
  </r>
  <r>
    <s v="TechCorp"/>
    <x v="1"/>
    <s v="Men 18-24"/>
    <s v="30 days"/>
    <x v="1"/>
    <n v="0.11"/>
    <n v="9497"/>
    <n v="6.26"/>
    <n v="47"/>
    <n v="202.06382978723406"/>
    <s v="Miami"/>
    <s v="English"/>
    <n v="430"/>
    <n v="9956"/>
    <n v="9"/>
    <s v="Fashionistas"/>
    <x v="319"/>
  </r>
  <r>
    <s v="Alpha Innovations"/>
    <x v="2"/>
    <s v="Women 35-44"/>
    <s v="60 days"/>
    <x v="0"/>
    <n v="0.13"/>
    <n v="14368"/>
    <n v="2.35"/>
    <n v="17"/>
    <n v="845.17647058823525"/>
    <s v="New York"/>
    <s v="French"/>
    <n v="133"/>
    <n v="2475"/>
    <n v="1"/>
    <s v="Foodies"/>
    <x v="320"/>
  </r>
  <r>
    <s v="NexGen Systems"/>
    <x v="2"/>
    <s v="Women 25-34"/>
    <s v="60 days"/>
    <x v="1"/>
    <n v="0.04"/>
    <n v="19451"/>
    <n v="3.69"/>
    <n v="4"/>
    <n v="4862.75"/>
    <s v="Miami"/>
    <s v="Spanish"/>
    <n v="101"/>
    <n v="4633"/>
    <n v="7"/>
    <s v="Health &amp; Wellness"/>
    <x v="321"/>
  </r>
  <r>
    <s v="NexGen Systems"/>
    <x v="2"/>
    <s v="Women 25-34"/>
    <s v="30 days"/>
    <x v="3"/>
    <n v="0.01"/>
    <n v="18639"/>
    <n v="2.33"/>
    <n v="4"/>
    <n v="4659.75"/>
    <s v="Los Angeles"/>
    <s v="French"/>
    <n v="419"/>
    <n v="3377"/>
    <n v="2"/>
    <s v="Health &amp; Wellness"/>
    <x v="322"/>
  </r>
  <r>
    <s v="Innovate Industries"/>
    <x v="2"/>
    <s v="Women 25-34"/>
    <s v="30 days"/>
    <x v="3"/>
    <n v="0.02"/>
    <n v="14372"/>
    <n v="5.07"/>
    <n v="3"/>
    <n v="4790.666666666667"/>
    <s v="Los Angeles"/>
    <s v="Mandarin"/>
    <n v="148"/>
    <n v="3877"/>
    <n v="8"/>
    <s v="Foodies"/>
    <x v="323"/>
  </r>
  <r>
    <s v="NexGen Systems"/>
    <x v="1"/>
    <s v="Men 25-34"/>
    <s v="60 days"/>
    <x v="1"/>
    <n v="0.05"/>
    <n v="12239"/>
    <n v="6.43"/>
    <n v="11"/>
    <n v="1112.6363636363637"/>
    <s v="Miami"/>
    <s v="Spanish"/>
    <n v="217"/>
    <n v="8829"/>
    <n v="3"/>
    <s v="Tech Enthusiasts"/>
    <x v="324"/>
  </r>
  <r>
    <s v="Alpha Innovations"/>
    <x v="1"/>
    <s v="Women 25-34"/>
    <s v="30 days"/>
    <x v="4"/>
    <n v="0.01"/>
    <n v="14046"/>
    <n v="4.5"/>
    <n v="5"/>
    <n v="2809.2"/>
    <s v="Houston"/>
    <s v="German"/>
    <n v="506"/>
    <n v="9612"/>
    <n v="9"/>
    <s v="Foodies"/>
    <x v="325"/>
  </r>
  <r>
    <s v="NexGen Systems"/>
    <x v="2"/>
    <s v="Men 25-34"/>
    <s v="30 days"/>
    <x v="5"/>
    <n v="0.02"/>
    <n v="6738"/>
    <n v="2.23"/>
    <n v="17"/>
    <n v="396.35294117647061"/>
    <s v="Miami"/>
    <s v="English"/>
    <n v="844"/>
    <n v="9602"/>
    <n v="3"/>
    <s v="Fashionistas"/>
    <x v="326"/>
  </r>
  <r>
    <s v="Alpha Innovations"/>
    <x v="1"/>
    <s v="Women 35-44"/>
    <s v="15 days"/>
    <x v="3"/>
    <n v="0.02"/>
    <n v="7936"/>
    <n v="3.2"/>
    <n v="9"/>
    <n v="881.77777777777783"/>
    <s v="Miami"/>
    <s v="English"/>
    <n v="469"/>
    <n v="1614"/>
    <n v="3"/>
    <s v="Foodies"/>
    <x v="327"/>
  </r>
  <r>
    <s v="DataTech Solutions"/>
    <x v="4"/>
    <s v="Women 35-44"/>
    <s v="15 days"/>
    <x v="3"/>
    <n v="0.09"/>
    <n v="17030"/>
    <n v="6.35"/>
    <n v="18"/>
    <n v="946.11111111111109"/>
    <s v="Los Angeles"/>
    <s v="English"/>
    <n v="196"/>
    <n v="3149"/>
    <n v="2"/>
    <s v="Tech Enthusiasts"/>
    <x v="328"/>
  </r>
  <r>
    <s v="Innovate Industries"/>
    <x v="2"/>
    <s v="All Ages"/>
    <s v="60 days"/>
    <x v="5"/>
    <n v="0.06"/>
    <n v="14267"/>
    <n v="7.18"/>
    <n v="43"/>
    <n v="331.7906976744186"/>
    <s v="Miami"/>
    <s v="Mandarin"/>
    <n v="715"/>
    <n v="3835"/>
    <n v="6"/>
    <s v="Tech Enthusiasts"/>
    <x v="329"/>
  </r>
  <r>
    <s v="NexGen Systems"/>
    <x v="3"/>
    <s v="Men 25-34"/>
    <s v="30 days"/>
    <x v="0"/>
    <n v="0.05"/>
    <n v="11263"/>
    <n v="3.57"/>
    <n v="21"/>
    <n v="536.33333333333337"/>
    <s v="Miami"/>
    <s v="German"/>
    <n v="429"/>
    <n v="5152"/>
    <n v="7"/>
    <s v="Outdoor Adventurers"/>
    <x v="330"/>
  </r>
  <r>
    <s v="DataTech Solutions"/>
    <x v="0"/>
    <s v="Women 35-44"/>
    <s v="45 days"/>
    <x v="3"/>
    <n v="0.06"/>
    <n v="12908"/>
    <n v="4.01"/>
    <n v="12"/>
    <n v="1075.6666666666667"/>
    <s v="New York"/>
    <s v="Spanish"/>
    <n v="200"/>
    <n v="3786"/>
    <n v="1"/>
    <s v="Tech Enthusiasts"/>
    <x v="331"/>
  </r>
  <r>
    <s v="NexGen Systems"/>
    <x v="2"/>
    <s v="Women 25-34"/>
    <s v="60 days"/>
    <x v="3"/>
    <n v="0.08"/>
    <n v="16980"/>
    <n v="6.87"/>
    <n v="14"/>
    <n v="1212.8571428571429"/>
    <s v="Houston"/>
    <s v="German"/>
    <n v="180"/>
    <n v="1440"/>
    <n v="1"/>
    <s v="Foodies"/>
    <x v="332"/>
  </r>
  <r>
    <s v="Alpha Innovations"/>
    <x v="4"/>
    <s v="All Ages"/>
    <s v="30 days"/>
    <x v="2"/>
    <n v="7.0000000000000007E-2"/>
    <n v="11098"/>
    <n v="3.07"/>
    <n v="19"/>
    <n v="584.10526315789468"/>
    <s v="Los Angeles"/>
    <s v="French"/>
    <n v="270"/>
    <n v="2117"/>
    <n v="4"/>
    <s v="Fashionistas"/>
    <x v="333"/>
  </r>
  <r>
    <s v="Alpha Innovations"/>
    <x v="0"/>
    <s v="Women 25-34"/>
    <s v="45 days"/>
    <x v="3"/>
    <n v="7.0000000000000007E-2"/>
    <n v="19812"/>
    <n v="3.21"/>
    <n v="29"/>
    <n v="683.17241379310349"/>
    <s v="Los Angeles"/>
    <s v="German"/>
    <n v="414"/>
    <n v="1197"/>
    <n v="10"/>
    <s v="Tech Enthusiasts"/>
    <x v="334"/>
  </r>
  <r>
    <s v="Alpha Innovations"/>
    <x v="1"/>
    <s v="Men 18-24"/>
    <s v="60 days"/>
    <x v="5"/>
    <n v="0.02"/>
    <n v="13260"/>
    <n v="2.2599999999999998"/>
    <n v="20"/>
    <n v="663"/>
    <s v="Houston"/>
    <s v="French"/>
    <n v="989"/>
    <n v="2127"/>
    <n v="4"/>
    <s v="Tech Enthusiasts"/>
    <x v="335"/>
  </r>
  <r>
    <s v="Alpha Innovations"/>
    <x v="2"/>
    <s v="All Ages"/>
    <s v="15 days"/>
    <x v="5"/>
    <n v="0.15"/>
    <n v="7590"/>
    <n v="2.75"/>
    <n v="58"/>
    <n v="130.86206896551724"/>
    <s v="New York"/>
    <s v="English"/>
    <n v="386"/>
    <n v="4702"/>
    <n v="10"/>
    <s v="Tech Enthusiasts"/>
    <x v="336"/>
  </r>
  <r>
    <s v="Alpha Innovations"/>
    <x v="1"/>
    <s v="All Ages"/>
    <s v="45 days"/>
    <x v="1"/>
    <n v="0.01"/>
    <n v="6495"/>
    <n v="6.37"/>
    <n v="9"/>
    <n v="721.66666666666663"/>
    <s v="Miami"/>
    <s v="Spanish"/>
    <n v="885"/>
    <n v="3974"/>
    <n v="7"/>
    <s v="Fashionistas"/>
    <x v="337"/>
  </r>
  <r>
    <s v="Alpha Innovations"/>
    <x v="1"/>
    <s v="Women 35-44"/>
    <s v="60 days"/>
    <x v="3"/>
    <n v="0.12"/>
    <n v="7911"/>
    <n v="3.19"/>
    <n v="49"/>
    <n v="161.44897959183675"/>
    <s v="New York"/>
    <s v="English"/>
    <n v="409"/>
    <n v="9324"/>
    <n v="2"/>
    <s v="Fashionistas"/>
    <x v="338"/>
  </r>
  <r>
    <s v="Innovate Industries"/>
    <x v="2"/>
    <s v="Women 25-34"/>
    <s v="30 days"/>
    <x v="4"/>
    <n v="0.01"/>
    <n v="14384"/>
    <n v="3.76"/>
    <n v="8"/>
    <n v="1798"/>
    <s v="Los Angeles"/>
    <s v="Spanish"/>
    <n v="828"/>
    <n v="4877"/>
    <n v="6"/>
    <s v="Foodies"/>
    <x v="339"/>
  </r>
  <r>
    <s v="DataTech Solutions"/>
    <x v="4"/>
    <s v="Men 18-24"/>
    <s v="45 days"/>
    <x v="3"/>
    <n v="0.12"/>
    <n v="9607"/>
    <n v="4.4000000000000004"/>
    <n v="97"/>
    <n v="99.041237113402062"/>
    <s v="Chicago"/>
    <s v="Spanish"/>
    <n v="808"/>
    <n v="6346"/>
    <n v="5"/>
    <s v="Outdoor Adventurers"/>
    <x v="340"/>
  </r>
  <r>
    <s v="TechCorp"/>
    <x v="3"/>
    <s v="Men 25-34"/>
    <s v="60 days"/>
    <x v="3"/>
    <n v="0.11"/>
    <n v="18208"/>
    <n v="7.76"/>
    <n v="29"/>
    <n v="627.86206896551721"/>
    <s v="New York"/>
    <s v="French"/>
    <n v="261"/>
    <n v="8001"/>
    <n v="8"/>
    <s v="Tech Enthusiasts"/>
    <x v="341"/>
  </r>
  <r>
    <s v="TechCorp"/>
    <x v="4"/>
    <s v="Women 35-44"/>
    <s v="15 days"/>
    <x v="4"/>
    <n v="0.04"/>
    <n v="8250"/>
    <n v="7.97"/>
    <n v="33"/>
    <n v="250"/>
    <s v="Chicago"/>
    <s v="English"/>
    <n v="836"/>
    <n v="8356"/>
    <n v="3"/>
    <s v="Foodies"/>
    <x v="342"/>
  </r>
  <r>
    <s v="Innovate Industries"/>
    <x v="2"/>
    <s v="Women 25-34"/>
    <s v="15 days"/>
    <x v="1"/>
    <n v="0.13"/>
    <n v="14900"/>
    <n v="7.83"/>
    <n v="123"/>
    <n v="121.13821138211382"/>
    <s v="Los Angeles"/>
    <s v="English"/>
    <n v="945"/>
    <n v="2418"/>
    <n v="10"/>
    <s v="Foodies"/>
    <x v="343"/>
  </r>
  <r>
    <s v="Innovate Industries"/>
    <x v="3"/>
    <s v="All Ages"/>
    <s v="15 days"/>
    <x v="4"/>
    <n v="0.11"/>
    <n v="12836"/>
    <n v="5.27"/>
    <n v="49"/>
    <n v="261.9591836734694"/>
    <s v="Chicago"/>
    <s v="German"/>
    <n v="446"/>
    <n v="1062"/>
    <n v="2"/>
    <s v="Tech Enthusiasts"/>
    <x v="344"/>
  </r>
  <r>
    <s v="Alpha Innovations"/>
    <x v="3"/>
    <s v="All Ages"/>
    <s v="30 days"/>
    <x v="3"/>
    <n v="7.0000000000000007E-2"/>
    <n v="5867"/>
    <n v="3.61"/>
    <n v="14"/>
    <n v="419.07142857142856"/>
    <s v="New York"/>
    <s v="French"/>
    <n v="199"/>
    <n v="5117"/>
    <n v="8"/>
    <s v="Foodies"/>
    <x v="345"/>
  </r>
  <r>
    <s v="Alpha Innovations"/>
    <x v="1"/>
    <s v="Men 25-34"/>
    <s v="30 days"/>
    <x v="1"/>
    <n v="0.04"/>
    <n v="12804"/>
    <n v="3.5"/>
    <n v="30"/>
    <n v="426.8"/>
    <s v="New York"/>
    <s v="French"/>
    <n v="746"/>
    <n v="4386"/>
    <n v="1"/>
    <s v="Tech Enthusiasts"/>
    <x v="346"/>
  </r>
  <r>
    <s v="Innovate Industries"/>
    <x v="4"/>
    <s v="All Ages"/>
    <s v="45 days"/>
    <x v="1"/>
    <n v="0.04"/>
    <n v="11840"/>
    <n v="4.29"/>
    <n v="7"/>
    <n v="1691.4285714285713"/>
    <s v="Houston"/>
    <s v="French"/>
    <n v="180"/>
    <n v="8456"/>
    <n v="8"/>
    <s v="Tech Enthusiasts"/>
    <x v="347"/>
  </r>
  <r>
    <s v="DataTech Solutions"/>
    <x v="3"/>
    <s v="Men 25-34"/>
    <s v="30 days"/>
    <x v="4"/>
    <n v="0.06"/>
    <n v="8363"/>
    <n v="2.06"/>
    <n v="20"/>
    <n v="418.15"/>
    <s v="Miami"/>
    <s v="French"/>
    <n v="329"/>
    <n v="8411"/>
    <n v="5"/>
    <s v="Health &amp; Wellness"/>
    <x v="348"/>
  </r>
  <r>
    <s v="DataTech Solutions"/>
    <x v="1"/>
    <s v="Men 18-24"/>
    <s v="15 days"/>
    <x v="0"/>
    <n v="0.03"/>
    <n v="14781"/>
    <n v="4.84"/>
    <n v="11"/>
    <n v="1343.7272727272727"/>
    <s v="Miami"/>
    <s v="Spanish"/>
    <n v="372"/>
    <n v="1455"/>
    <n v="2"/>
    <s v="Tech Enthusiasts"/>
    <x v="349"/>
  </r>
  <r>
    <s v="DataTech Solutions"/>
    <x v="2"/>
    <s v="Women 35-44"/>
    <s v="15 days"/>
    <x v="2"/>
    <n v="0.11"/>
    <n v="17477"/>
    <n v="2.61"/>
    <n v="56"/>
    <n v="312.08928571428572"/>
    <s v="Houston"/>
    <s v="Spanish"/>
    <n v="511"/>
    <n v="7082"/>
    <n v="5"/>
    <s v="Health &amp; Wellness"/>
    <x v="350"/>
  </r>
  <r>
    <s v="Innovate Industries"/>
    <x v="3"/>
    <s v="Women 25-34"/>
    <s v="15 days"/>
    <x v="3"/>
    <n v="0.05"/>
    <n v="6052"/>
    <n v="7.46"/>
    <n v="37"/>
    <n v="163.56756756756758"/>
    <s v="New York"/>
    <s v="English"/>
    <n v="740"/>
    <n v="2776"/>
    <n v="5"/>
    <s v="Outdoor Adventurers"/>
    <x v="351"/>
  </r>
  <r>
    <s v="NexGen Systems"/>
    <x v="4"/>
    <s v="Men 18-24"/>
    <s v="15 days"/>
    <x v="3"/>
    <n v="0.04"/>
    <n v="19202"/>
    <n v="4.3499999999999996"/>
    <n v="19"/>
    <n v="1010.6315789473684"/>
    <s v="Los Angeles"/>
    <s v="French"/>
    <n v="485"/>
    <n v="5569"/>
    <n v="5"/>
    <s v="Health &amp; Wellness"/>
    <x v="352"/>
  </r>
  <r>
    <s v="Innovate Industries"/>
    <x v="4"/>
    <s v="Women 25-34"/>
    <s v="45 days"/>
    <x v="0"/>
    <n v="0.04"/>
    <n v="10845"/>
    <n v="7.15"/>
    <n v="10"/>
    <n v="1084.5"/>
    <s v="Chicago"/>
    <s v="Mandarin"/>
    <n v="253"/>
    <n v="3899"/>
    <n v="8"/>
    <s v="Fashionistas"/>
    <x v="353"/>
  </r>
  <r>
    <s v="Innovate Industries"/>
    <x v="2"/>
    <s v="All Ages"/>
    <s v="15 days"/>
    <x v="2"/>
    <n v="0.04"/>
    <n v="16935"/>
    <n v="2.87"/>
    <n v="11"/>
    <n v="1539.5454545454545"/>
    <s v="Los Angeles"/>
    <s v="French"/>
    <n v="264"/>
    <n v="2813"/>
    <n v="2"/>
    <s v="Tech Enthusiasts"/>
    <x v="354"/>
  </r>
  <r>
    <s v="TechCorp"/>
    <x v="4"/>
    <s v="Women 25-34"/>
    <s v="30 days"/>
    <x v="0"/>
    <n v="0.13"/>
    <n v="8756"/>
    <n v="3.3"/>
    <n v="114"/>
    <n v="76.807017543859644"/>
    <s v="Houston"/>
    <s v="French"/>
    <n v="878"/>
    <n v="6760"/>
    <n v="3"/>
    <s v="Health &amp; Wellness"/>
    <x v="355"/>
  </r>
  <r>
    <s v="Alpha Innovations"/>
    <x v="2"/>
    <s v="Men 18-24"/>
    <s v="60 days"/>
    <x v="2"/>
    <n v="0.04"/>
    <n v="10691"/>
    <n v="5.31"/>
    <n v="8"/>
    <n v="1336.375"/>
    <s v="Chicago"/>
    <s v="English"/>
    <n v="200"/>
    <n v="3508"/>
    <n v="3"/>
    <s v="Foodies"/>
    <x v="356"/>
  </r>
  <r>
    <s v="NexGen Systems"/>
    <x v="0"/>
    <s v="Men 25-34"/>
    <s v="30 days"/>
    <x v="3"/>
    <n v="0.14000000000000001"/>
    <n v="19477"/>
    <n v="3.79"/>
    <n v="35"/>
    <n v="556.48571428571427"/>
    <s v="Los Angeles"/>
    <s v="English"/>
    <n v="247"/>
    <n v="8046"/>
    <n v="2"/>
    <s v="Health &amp; Wellness"/>
    <x v="357"/>
  </r>
  <r>
    <s v="DataTech Solutions"/>
    <x v="3"/>
    <s v="Women 25-34"/>
    <s v="60 days"/>
    <x v="3"/>
    <n v="7.0000000000000007E-2"/>
    <n v="19134"/>
    <n v="7.44"/>
    <n v="58"/>
    <n v="329.89655172413791"/>
    <s v="Houston"/>
    <s v="Spanish"/>
    <n v="829"/>
    <n v="7897"/>
    <n v="8"/>
    <s v="Health &amp; Wellness"/>
    <x v="358"/>
  </r>
  <r>
    <s v="DataTech Solutions"/>
    <x v="3"/>
    <s v="Men 18-24"/>
    <s v="60 days"/>
    <x v="0"/>
    <n v="0.02"/>
    <n v="12671"/>
    <n v="6.3"/>
    <n v="19"/>
    <n v="666.89473684210532"/>
    <s v="Houston"/>
    <s v="Spanish"/>
    <n v="945"/>
    <n v="7287"/>
    <n v="4"/>
    <s v="Outdoor Adventurers"/>
    <x v="359"/>
  </r>
  <r>
    <s v="Alpha Innovations"/>
    <x v="4"/>
    <s v="Men 18-24"/>
    <s v="15 days"/>
    <x v="1"/>
    <n v="0.05"/>
    <n v="6195"/>
    <n v="2.81"/>
    <n v="6"/>
    <n v="1032.5"/>
    <s v="Houston"/>
    <s v="Mandarin"/>
    <n v="122"/>
    <n v="1991"/>
    <n v="3"/>
    <s v="Fashionistas"/>
    <x v="360"/>
  </r>
  <r>
    <s v="Alpha Innovations"/>
    <x v="1"/>
    <s v="All Ages"/>
    <s v="60 days"/>
    <x v="4"/>
    <n v="0.14000000000000001"/>
    <n v="5543"/>
    <n v="2.16"/>
    <n v="110"/>
    <n v="50.390909090909091"/>
    <s v="Chicago"/>
    <s v="Mandarin"/>
    <n v="783"/>
    <n v="6194"/>
    <n v="6"/>
    <s v="Health &amp; Wellness"/>
    <x v="361"/>
  </r>
  <r>
    <s v="TechCorp"/>
    <x v="4"/>
    <s v="Men 18-24"/>
    <s v="45 days"/>
    <x v="0"/>
    <n v="0.11"/>
    <n v="11448"/>
    <n v="5.79"/>
    <n v="13"/>
    <n v="880.61538461538464"/>
    <s v="Houston"/>
    <s v="English"/>
    <n v="115"/>
    <n v="2929"/>
    <n v="8"/>
    <s v="Foodies"/>
    <x v="362"/>
  </r>
  <r>
    <s v="DataTech Solutions"/>
    <x v="1"/>
    <s v="Women 25-34"/>
    <s v="15 days"/>
    <x v="1"/>
    <n v="0.15"/>
    <n v="17956"/>
    <n v="6.47"/>
    <n v="39"/>
    <n v="460.41025641025641"/>
    <s v="Miami"/>
    <s v="Spanish"/>
    <n v="260"/>
    <n v="2351"/>
    <n v="4"/>
    <s v="Foodies"/>
    <x v="363"/>
  </r>
  <r>
    <s v="Innovate Industries"/>
    <x v="4"/>
    <s v="Women 25-34"/>
    <s v="45 days"/>
    <x v="1"/>
    <n v="0.15"/>
    <n v="15007"/>
    <n v="7.8"/>
    <n v="80"/>
    <n v="187.58750000000001"/>
    <s v="Houston"/>
    <s v="French"/>
    <n v="536"/>
    <n v="1379"/>
    <n v="9"/>
    <s v="Health &amp; Wellness"/>
    <x v="364"/>
  </r>
  <r>
    <s v="DataTech Solutions"/>
    <x v="2"/>
    <s v="Women 25-34"/>
    <s v="45 days"/>
    <x v="4"/>
    <n v="0.06"/>
    <n v="9818"/>
    <n v="7.78"/>
    <n v="31"/>
    <n v="316.70967741935482"/>
    <s v="Los Angeles"/>
    <s v="Mandarin"/>
    <n v="522"/>
    <n v="6005"/>
    <n v="9"/>
    <s v="Outdoor Adventurers"/>
    <x v="0"/>
  </r>
  <r>
    <s v="TechCorp"/>
    <x v="3"/>
    <s v="Women 25-34"/>
    <s v="60 days"/>
    <x v="3"/>
    <n v="0.03"/>
    <n v="13316"/>
    <n v="4.41"/>
    <n v="14"/>
    <n v="951.14285714285711"/>
    <s v="New York"/>
    <s v="Mandarin"/>
    <n v="467"/>
    <n v="4228"/>
    <n v="5"/>
    <s v="Fashionistas"/>
    <x v="1"/>
  </r>
  <r>
    <s v="DataTech Solutions"/>
    <x v="4"/>
    <s v="Men 18-24"/>
    <s v="30 days"/>
    <x v="1"/>
    <n v="0.02"/>
    <n v="10358"/>
    <n v="6.93"/>
    <n v="16"/>
    <n v="647.375"/>
    <s v="Chicago"/>
    <s v="French"/>
    <n v="798"/>
    <n v="7105"/>
    <n v="9"/>
    <s v="Foodies"/>
    <x v="2"/>
  </r>
  <r>
    <s v="TechCorp"/>
    <x v="2"/>
    <s v="Women 25-34"/>
    <s v="60 days"/>
    <x v="2"/>
    <n v="0.13"/>
    <n v="17392"/>
    <n v="3.12"/>
    <n v="125"/>
    <n v="139.136"/>
    <s v="New York"/>
    <s v="English"/>
    <n v="959"/>
    <n v="2468"/>
    <n v="2"/>
    <s v="Outdoor Adventurers"/>
    <x v="3"/>
  </r>
  <r>
    <s v="Alpha Innovations"/>
    <x v="1"/>
    <s v="Men 18-24"/>
    <s v="15 days"/>
    <x v="1"/>
    <n v="0.08"/>
    <n v="15055"/>
    <n v="3.41"/>
    <n v="18"/>
    <n v="836.38888888888891"/>
    <s v="Chicago"/>
    <s v="German"/>
    <n v="229"/>
    <n v="1313"/>
    <n v="3"/>
    <s v="Health &amp; Wellness"/>
    <x v="4"/>
  </r>
  <r>
    <s v="Alpha Innovations"/>
    <x v="2"/>
    <s v="Men 25-34"/>
    <s v="15 days"/>
    <x v="1"/>
    <n v="0.11"/>
    <n v="18735"/>
    <n v="7.12"/>
    <n v="25"/>
    <n v="749.4"/>
    <s v="Chicago"/>
    <s v="Mandarin"/>
    <n v="229"/>
    <n v="4265"/>
    <n v="4"/>
    <s v="Tech Enthusiasts"/>
    <x v="5"/>
  </r>
  <r>
    <s v="NexGen Systems"/>
    <x v="0"/>
    <s v="Women 35-44"/>
    <s v="45 days"/>
    <x v="2"/>
    <n v="0.01"/>
    <n v="5838"/>
    <n v="7.51"/>
    <n v="4"/>
    <n v="1459.5"/>
    <s v="New York"/>
    <s v="Mandarin"/>
    <n v="427"/>
    <n v="1706"/>
    <n v="1"/>
    <s v="Tech Enthusiasts"/>
    <x v="6"/>
  </r>
  <r>
    <s v="DataTech Solutions"/>
    <x v="2"/>
    <s v="Men 25-34"/>
    <s v="60 days"/>
    <x v="1"/>
    <n v="0.11"/>
    <n v="6191"/>
    <n v="3.81"/>
    <n v="43"/>
    <n v="143.97674418604652"/>
    <s v="Miami"/>
    <s v="English"/>
    <n v="387"/>
    <n v="7832"/>
    <n v="1"/>
    <s v="Tech Enthusiasts"/>
    <x v="7"/>
  </r>
  <r>
    <s v="Innovate Industries"/>
    <x v="3"/>
    <s v="Women 25-34"/>
    <s v="60 days"/>
    <x v="5"/>
    <n v="0.05"/>
    <n v="15457"/>
    <n v="6.47"/>
    <n v="24"/>
    <n v="644.04166666666663"/>
    <s v="Miami"/>
    <s v="Mandarin"/>
    <n v="476"/>
    <n v="5293"/>
    <n v="4"/>
    <s v="Outdoor Adventurers"/>
    <x v="8"/>
  </r>
  <r>
    <s v="Alpha Innovations"/>
    <x v="2"/>
    <s v="Men 18-24"/>
    <s v="60 days"/>
    <x v="3"/>
    <n v="0.08"/>
    <n v="13707"/>
    <n v="7.23"/>
    <n v="20"/>
    <n v="685.35"/>
    <s v="Chicago"/>
    <s v="French"/>
    <n v="253"/>
    <n v="1206"/>
    <n v="5"/>
    <s v="Outdoor Adventurers"/>
    <x v="9"/>
  </r>
  <r>
    <s v="DataTech Solutions"/>
    <x v="3"/>
    <s v="Women 35-44"/>
    <s v="15 days"/>
    <x v="1"/>
    <n v="0.14000000000000001"/>
    <n v="13620"/>
    <n v="5.28"/>
    <n v="93"/>
    <n v="146.45161290322579"/>
    <s v="Chicago"/>
    <s v="French"/>
    <n v="661"/>
    <n v="1673"/>
    <n v="9"/>
    <s v="Outdoor Adventurers"/>
    <x v="10"/>
  </r>
  <r>
    <s v="Innovate Industries"/>
    <x v="3"/>
    <s v="Women 35-44"/>
    <s v="60 days"/>
    <x v="1"/>
    <n v="0.06"/>
    <n v="6964"/>
    <n v="4.58"/>
    <n v="55"/>
    <n v="126.61818181818182"/>
    <s v="Houston"/>
    <s v="French"/>
    <n v="912"/>
    <n v="3387"/>
    <n v="8"/>
    <s v="Fashionistas"/>
    <x v="11"/>
  </r>
  <r>
    <s v="Innovate Industries"/>
    <x v="4"/>
    <s v="Men 18-24"/>
    <s v="30 days"/>
    <x v="1"/>
    <n v="0.06"/>
    <n v="7514"/>
    <n v="4.4400000000000004"/>
    <n v="15"/>
    <n v="500.93333333333334"/>
    <s v="Los Angeles"/>
    <s v="German"/>
    <n v="245"/>
    <n v="7127"/>
    <n v="7"/>
    <s v="Foodies"/>
    <x v="12"/>
  </r>
  <r>
    <s v="DataTech Solutions"/>
    <x v="0"/>
    <s v="Women 25-34"/>
    <s v="60 days"/>
    <x v="0"/>
    <n v="0.1"/>
    <n v="17909"/>
    <n v="6.02"/>
    <n v="44"/>
    <n v="407.02272727272725"/>
    <s v="Chicago"/>
    <s v="French"/>
    <n v="438"/>
    <n v="4269"/>
    <n v="9"/>
    <s v="Foodies"/>
    <x v="13"/>
  </r>
  <r>
    <s v="Innovate Industries"/>
    <x v="4"/>
    <s v="Men 18-24"/>
    <s v="45 days"/>
    <x v="3"/>
    <n v="0.1"/>
    <n v="8343"/>
    <n v="4.5599999999999996"/>
    <n v="60"/>
    <n v="139.05000000000001"/>
    <s v="Miami"/>
    <s v="Spanish"/>
    <n v="598"/>
    <n v="2874"/>
    <n v="5"/>
    <s v="Foodies"/>
    <x v="14"/>
  </r>
  <r>
    <s v="DataTech Solutions"/>
    <x v="3"/>
    <s v="Men 18-24"/>
    <s v="60 days"/>
    <x v="2"/>
    <n v="0.05"/>
    <n v="16478"/>
    <n v="7.34"/>
    <n v="37"/>
    <n v="445.35135135135135"/>
    <s v="Chicago"/>
    <s v="French"/>
    <n v="737"/>
    <n v="6545"/>
    <n v="8"/>
    <s v="Health &amp; Wellness"/>
    <x v="15"/>
  </r>
  <r>
    <s v="Alpha Innovations"/>
    <x v="1"/>
    <s v="Men 18-24"/>
    <s v="45 days"/>
    <x v="5"/>
    <n v="0.03"/>
    <n v="14123"/>
    <n v="2.0499999999999998"/>
    <n v="12"/>
    <n v="1176.9166666666667"/>
    <s v="Chicago"/>
    <s v="French"/>
    <n v="404"/>
    <n v="2056"/>
    <n v="3"/>
    <s v="Outdoor Adventurers"/>
    <x v="16"/>
  </r>
  <r>
    <s v="Alpha Innovations"/>
    <x v="2"/>
    <s v="All Ages"/>
    <s v="45 days"/>
    <x v="0"/>
    <n v="0.12"/>
    <n v="15459"/>
    <n v="7.76"/>
    <n v="17"/>
    <n v="909.35294117647061"/>
    <s v="New York"/>
    <s v="German"/>
    <n v="140"/>
    <n v="9739"/>
    <n v="1"/>
    <s v="Foodies"/>
    <x v="17"/>
  </r>
  <r>
    <s v="TechCorp"/>
    <x v="4"/>
    <s v="Men 18-24"/>
    <s v="30 days"/>
    <x v="1"/>
    <n v="0.02"/>
    <n v="16430"/>
    <n v="4.3899999999999997"/>
    <n v="11"/>
    <n v="1493.6363636363637"/>
    <s v="Houston"/>
    <s v="French"/>
    <n v="547"/>
    <n v="7681"/>
    <n v="2"/>
    <s v="Tech Enthusiasts"/>
    <x v="18"/>
  </r>
  <r>
    <s v="Alpha Innovations"/>
    <x v="1"/>
    <s v="Men 25-34"/>
    <s v="15 days"/>
    <x v="0"/>
    <n v="0.08"/>
    <n v="13887"/>
    <n v="7.36"/>
    <n v="9"/>
    <n v="1543"/>
    <s v="Miami"/>
    <s v="German"/>
    <n v="110"/>
    <n v="4281"/>
    <n v="4"/>
    <s v="Fashionistas"/>
    <x v="19"/>
  </r>
  <r>
    <s v="DataTech Solutions"/>
    <x v="0"/>
    <s v="All Ages"/>
    <s v="30 days"/>
    <x v="3"/>
    <n v="0.14000000000000001"/>
    <n v="7408"/>
    <n v="3.14"/>
    <n v="84"/>
    <n v="88.19047619047619"/>
    <s v="Los Angeles"/>
    <s v="German"/>
    <n v="603"/>
    <n v="6185"/>
    <n v="6"/>
    <s v="Foodies"/>
    <x v="20"/>
  </r>
  <r>
    <s v="TechCorp"/>
    <x v="0"/>
    <s v="Women 35-44"/>
    <s v="60 days"/>
    <x v="0"/>
    <n v="0.05"/>
    <n v="14359"/>
    <n v="3.35"/>
    <n v="17"/>
    <n v="844.64705882352939"/>
    <s v="New York"/>
    <s v="French"/>
    <n v="341"/>
    <n v="4101"/>
    <n v="9"/>
    <s v="Outdoor Adventurers"/>
    <x v="21"/>
  </r>
  <r>
    <s v="NexGen Systems"/>
    <x v="4"/>
    <s v="All Ages"/>
    <s v="45 days"/>
    <x v="3"/>
    <n v="0.05"/>
    <n v="7303"/>
    <n v="5.7"/>
    <n v="25"/>
    <n v="292.12"/>
    <s v="Miami"/>
    <s v="Spanish"/>
    <n v="496"/>
    <n v="9535"/>
    <n v="6"/>
    <s v="Fashionistas"/>
    <x v="22"/>
  </r>
  <r>
    <s v="DataTech Solutions"/>
    <x v="1"/>
    <s v="All Ages"/>
    <s v="60 days"/>
    <x v="4"/>
    <n v="0.05"/>
    <n v="5983"/>
    <n v="7.25"/>
    <n v="11"/>
    <n v="543.90909090909088"/>
    <s v="Los Angeles"/>
    <s v="French"/>
    <n v="224"/>
    <n v="3013"/>
    <n v="9"/>
    <s v="Outdoor Adventurers"/>
    <x v="23"/>
  </r>
  <r>
    <s v="DataTech Solutions"/>
    <x v="3"/>
    <s v="All Ages"/>
    <s v="30 days"/>
    <x v="3"/>
    <n v="0.09"/>
    <n v="18483"/>
    <n v="7.48"/>
    <n v="57"/>
    <n v="324.26315789473682"/>
    <s v="Los Angeles"/>
    <s v="French"/>
    <n v="632"/>
    <n v="5011"/>
    <n v="8"/>
    <s v="Tech Enthusiasts"/>
    <x v="24"/>
  </r>
  <r>
    <s v="Innovate Industries"/>
    <x v="1"/>
    <s v="All Ages"/>
    <s v="45 days"/>
    <x v="1"/>
    <n v="0.11"/>
    <n v="16631"/>
    <n v="3.62"/>
    <n v="96"/>
    <n v="173.23958333333334"/>
    <s v="New York"/>
    <s v="Spanish"/>
    <n v="869"/>
    <n v="3499"/>
    <n v="3"/>
    <s v="Fashionistas"/>
    <x v="25"/>
  </r>
  <r>
    <s v="DataTech Solutions"/>
    <x v="2"/>
    <s v="Women 25-34"/>
    <s v="45 days"/>
    <x v="3"/>
    <n v="0.01"/>
    <n v="12657"/>
    <n v="2.98"/>
    <n v="7"/>
    <n v="1808.1428571428571"/>
    <s v="Los Angeles"/>
    <s v="Spanish"/>
    <n v="681"/>
    <n v="2127"/>
    <n v="10"/>
    <s v="Outdoor Adventurers"/>
    <x v="26"/>
  </r>
  <r>
    <s v="DataTech Solutions"/>
    <x v="2"/>
    <s v="Men 25-34"/>
    <s v="45 days"/>
    <x v="2"/>
    <n v="0.06"/>
    <n v="5799"/>
    <n v="2.37"/>
    <n v="49"/>
    <n v="118.34693877551021"/>
    <s v="Los Angeles"/>
    <s v="French"/>
    <n v="823"/>
    <n v="8028"/>
    <n v="10"/>
    <s v="Fashionistas"/>
    <x v="27"/>
  </r>
  <r>
    <s v="Alpha Innovations"/>
    <x v="1"/>
    <s v="All Ages"/>
    <s v="60 days"/>
    <x v="1"/>
    <n v="0.03"/>
    <n v="14453"/>
    <n v="2.85"/>
    <n v="8"/>
    <n v="1806.625"/>
    <s v="Chicago"/>
    <s v="Mandarin"/>
    <n v="283"/>
    <n v="3529"/>
    <n v="1"/>
    <s v="Health &amp; Wellness"/>
    <x v="28"/>
  </r>
  <r>
    <s v="Alpha Innovations"/>
    <x v="4"/>
    <s v="Men 18-24"/>
    <s v="45 days"/>
    <x v="4"/>
    <n v="7.0000000000000007E-2"/>
    <n v="5495"/>
    <n v="7.89"/>
    <n v="23"/>
    <n v="238.91304347826087"/>
    <s v="Houston"/>
    <s v="German"/>
    <n v="330"/>
    <n v="1146"/>
    <n v="2"/>
    <s v="Health &amp; Wellness"/>
    <x v="29"/>
  </r>
  <r>
    <s v="DataTech Solutions"/>
    <x v="3"/>
    <s v="Women 25-34"/>
    <s v="45 days"/>
    <x v="0"/>
    <n v="0.14000000000000001"/>
    <n v="6167"/>
    <n v="5.44"/>
    <n v="58"/>
    <n v="106.32758620689656"/>
    <s v="Miami"/>
    <s v="German"/>
    <n v="412"/>
    <n v="4823"/>
    <n v="5"/>
    <s v="Outdoor Adventurers"/>
    <x v="30"/>
  </r>
  <r>
    <s v="Alpha Innovations"/>
    <x v="4"/>
    <s v="Women 25-34"/>
    <s v="15 days"/>
    <x v="5"/>
    <n v="0.1"/>
    <n v="11899"/>
    <n v="6.78"/>
    <n v="14"/>
    <n v="849.92857142857144"/>
    <s v="Chicago"/>
    <s v="German"/>
    <n v="140"/>
    <n v="9393"/>
    <n v="4"/>
    <s v="Fashionistas"/>
    <x v="31"/>
  </r>
  <r>
    <s v="NexGen Systems"/>
    <x v="0"/>
    <s v="Women 35-44"/>
    <s v="45 days"/>
    <x v="0"/>
    <n v="0.02"/>
    <n v="18306"/>
    <n v="7.83"/>
    <n v="7"/>
    <n v="2615.1428571428573"/>
    <s v="Houston"/>
    <s v="French"/>
    <n v="339"/>
    <n v="4095"/>
    <n v="8"/>
    <s v="Outdoor Adventurers"/>
    <x v="32"/>
  </r>
  <r>
    <s v="TechCorp"/>
    <x v="1"/>
    <s v="Men 18-24"/>
    <s v="30 days"/>
    <x v="4"/>
    <n v="0.15"/>
    <n v="15439"/>
    <n v="3.67"/>
    <n v="52"/>
    <n v="296.90384615384613"/>
    <s v="Miami"/>
    <s v="German"/>
    <n v="346"/>
    <n v="7377"/>
    <n v="2"/>
    <s v="Outdoor Adventurers"/>
    <x v="33"/>
  </r>
  <r>
    <s v="Alpha Innovations"/>
    <x v="0"/>
    <s v="Men 18-24"/>
    <s v="15 days"/>
    <x v="1"/>
    <n v="0.14000000000000001"/>
    <n v="15436"/>
    <n v="2.48"/>
    <n v="113"/>
    <n v="136.60176991150442"/>
    <s v="Houston"/>
    <s v="Spanish"/>
    <n v="810"/>
    <n v="6986"/>
    <n v="1"/>
    <s v="Fashionistas"/>
    <x v="34"/>
  </r>
  <r>
    <s v="Innovate Industries"/>
    <x v="2"/>
    <s v="All Ages"/>
    <s v="60 days"/>
    <x v="5"/>
    <n v="0.02"/>
    <n v="14455"/>
    <n v="7.88"/>
    <n v="20"/>
    <n v="722.75"/>
    <s v="Chicago"/>
    <s v="Spanish"/>
    <n v="995"/>
    <n v="9666"/>
    <n v="9"/>
    <s v="Tech Enthusiasts"/>
    <x v="35"/>
  </r>
  <r>
    <s v="TechCorp"/>
    <x v="4"/>
    <s v="Women 35-44"/>
    <s v="45 days"/>
    <x v="4"/>
    <n v="0.12"/>
    <n v="8398"/>
    <n v="7.99"/>
    <n v="50"/>
    <n v="167.96"/>
    <s v="Houston"/>
    <s v="French"/>
    <n v="418"/>
    <n v="9416"/>
    <n v="3"/>
    <s v="Fashionistas"/>
    <x v="36"/>
  </r>
  <r>
    <s v="NexGen Systems"/>
    <x v="2"/>
    <s v="Men 25-34"/>
    <s v="60 days"/>
    <x v="1"/>
    <n v="0.11"/>
    <n v="16408"/>
    <n v="3.21"/>
    <n v="72"/>
    <n v="227.88888888888889"/>
    <s v="Chicago"/>
    <s v="Spanish"/>
    <n v="656"/>
    <n v="7047"/>
    <n v="5"/>
    <s v="Health &amp; Wellness"/>
    <x v="37"/>
  </r>
  <r>
    <s v="TechCorp"/>
    <x v="4"/>
    <s v="Women 35-44"/>
    <s v="45 days"/>
    <x v="4"/>
    <n v="0.02"/>
    <n v="11617"/>
    <n v="5.73"/>
    <n v="18"/>
    <n v="645.38888888888891"/>
    <s v="Miami"/>
    <s v="German"/>
    <n v="890"/>
    <n v="9025"/>
    <n v="4"/>
    <s v="Foodies"/>
    <x v="38"/>
  </r>
  <r>
    <s v="TechCorp"/>
    <x v="2"/>
    <s v="Men 25-34"/>
    <s v="60 days"/>
    <x v="4"/>
    <n v="0.05"/>
    <n v="12676"/>
    <n v="5.62"/>
    <n v="25"/>
    <n v="507.04"/>
    <s v="Miami"/>
    <s v="French"/>
    <n v="501"/>
    <n v="2836"/>
    <n v="6"/>
    <s v="Health &amp; Wellness"/>
    <x v="39"/>
  </r>
  <r>
    <s v="DataTech Solutions"/>
    <x v="4"/>
    <s v="Men 25-34"/>
    <s v="15 days"/>
    <x v="0"/>
    <n v="0.03"/>
    <n v="8853"/>
    <n v="6.35"/>
    <n v="12"/>
    <n v="737.75"/>
    <s v="Chicago"/>
    <s v="French"/>
    <n v="400"/>
    <n v="9482"/>
    <n v="10"/>
    <s v="Health &amp; Wellness"/>
    <x v="40"/>
  </r>
  <r>
    <s v="NexGen Systems"/>
    <x v="1"/>
    <s v="All Ages"/>
    <s v="15 days"/>
    <x v="4"/>
    <n v="0.08"/>
    <n v="12014"/>
    <n v="2.81"/>
    <n v="34"/>
    <n v="353.35294117647061"/>
    <s v="Houston"/>
    <s v="Spanish"/>
    <n v="424"/>
    <n v="6937"/>
    <n v="8"/>
    <s v="Tech Enthusiasts"/>
    <x v="41"/>
  </r>
  <r>
    <s v="TechCorp"/>
    <x v="1"/>
    <s v="Men 18-24"/>
    <s v="30 days"/>
    <x v="0"/>
    <n v="0.13"/>
    <n v="8704"/>
    <n v="7.47"/>
    <n v="24"/>
    <n v="362.66666666666669"/>
    <s v="Chicago"/>
    <s v="German"/>
    <n v="186"/>
    <n v="8272"/>
    <n v="3"/>
    <s v="Foodies"/>
    <x v="42"/>
  </r>
  <r>
    <s v="Alpha Innovations"/>
    <x v="0"/>
    <s v="Men 18-24"/>
    <s v="15 days"/>
    <x v="3"/>
    <n v="0.06"/>
    <n v="14299"/>
    <n v="5.03"/>
    <n v="44"/>
    <n v="324.97727272727275"/>
    <s v="Miami"/>
    <s v="German"/>
    <n v="730"/>
    <n v="9960"/>
    <n v="2"/>
    <s v="Foodies"/>
    <x v="43"/>
  </r>
  <r>
    <s v="Alpha Innovations"/>
    <x v="2"/>
    <s v="Men 18-24"/>
    <s v="60 days"/>
    <x v="3"/>
    <n v="0.02"/>
    <n v="5138"/>
    <n v="2.2200000000000002"/>
    <n v="17"/>
    <n v="302.23529411764707"/>
    <s v="Houston"/>
    <s v="Mandarin"/>
    <n v="857"/>
    <n v="8941"/>
    <n v="2"/>
    <s v="Foodies"/>
    <x v="44"/>
  </r>
  <r>
    <s v="Innovate Industries"/>
    <x v="0"/>
    <s v="All Ages"/>
    <s v="15 days"/>
    <x v="2"/>
    <n v="0.05"/>
    <n v="10546"/>
    <n v="4.0599999999999996"/>
    <n v="47"/>
    <n v="224.38297872340425"/>
    <s v="Los Angeles"/>
    <s v="Mandarin"/>
    <n v="944"/>
    <n v="6852"/>
    <n v="9"/>
    <s v="Outdoor Adventurers"/>
    <x v="45"/>
  </r>
  <r>
    <s v="Innovate Industries"/>
    <x v="4"/>
    <s v="Men 18-24"/>
    <s v="15 days"/>
    <x v="4"/>
    <n v="7.0000000000000007E-2"/>
    <n v="12041"/>
    <n v="5.54"/>
    <n v="31"/>
    <n v="388.41935483870969"/>
    <s v="Houston"/>
    <s v="Spanish"/>
    <n v="441"/>
    <n v="2928"/>
    <n v="7"/>
    <s v="Outdoor Adventurers"/>
    <x v="46"/>
  </r>
  <r>
    <s v="DataTech Solutions"/>
    <x v="1"/>
    <s v="Men 18-24"/>
    <s v="15 days"/>
    <x v="3"/>
    <n v="0.03"/>
    <n v="16800"/>
    <n v="2.46"/>
    <n v="6"/>
    <n v="2800"/>
    <s v="Chicago"/>
    <s v="Spanish"/>
    <n v="189"/>
    <n v="5061"/>
    <n v="3"/>
    <s v="Foodies"/>
    <x v="47"/>
  </r>
  <r>
    <s v="TechCorp"/>
    <x v="2"/>
    <s v="Men 25-34"/>
    <s v="60 days"/>
    <x v="4"/>
    <n v="7.0000000000000007E-2"/>
    <n v="18577"/>
    <n v="6.2"/>
    <n v="25"/>
    <n v="743.08"/>
    <s v="Chicago"/>
    <s v="Mandarin"/>
    <n v="354"/>
    <n v="2611"/>
    <n v="1"/>
    <s v="Tech Enthusiasts"/>
    <x v="48"/>
  </r>
  <r>
    <s v="DataTech Solutions"/>
    <x v="1"/>
    <s v="All Ages"/>
    <s v="45 days"/>
    <x v="4"/>
    <n v="0.01"/>
    <n v="15197"/>
    <n v="2.63"/>
    <n v="6"/>
    <n v="2532.8333333333335"/>
    <s v="Houston"/>
    <s v="Spanish"/>
    <n v="613"/>
    <n v="6747"/>
    <n v="4"/>
    <s v="Health &amp; Wellness"/>
    <x v="49"/>
  </r>
  <r>
    <s v="Alpha Innovations"/>
    <x v="2"/>
    <s v="Men 18-24"/>
    <s v="60 days"/>
    <x v="2"/>
    <n v="7.0000000000000007E-2"/>
    <n v="14393"/>
    <n v="5.96"/>
    <n v="69"/>
    <n v="208.59420289855072"/>
    <s v="Miami"/>
    <s v="German"/>
    <n v="986"/>
    <n v="9170"/>
    <n v="1"/>
    <s v="Fashionistas"/>
    <x v="50"/>
  </r>
  <r>
    <s v="NexGen Systems"/>
    <x v="1"/>
    <s v="Men 25-34"/>
    <s v="15 days"/>
    <x v="1"/>
    <n v="7.0000000000000007E-2"/>
    <n v="12482"/>
    <n v="7.46"/>
    <n v="59"/>
    <n v="211.5593220338983"/>
    <s v="Chicago"/>
    <s v="English"/>
    <n v="848"/>
    <n v="8574"/>
    <n v="4"/>
    <s v="Fashionistas"/>
    <x v="51"/>
  </r>
  <r>
    <s v="NexGen Systems"/>
    <x v="4"/>
    <s v="All Ages"/>
    <s v="30 days"/>
    <x v="0"/>
    <n v="0.14000000000000001"/>
    <n v="15421"/>
    <n v="2.78"/>
    <n v="52"/>
    <n v="296.55769230769232"/>
    <s v="Chicago"/>
    <s v="German"/>
    <n v="369"/>
    <n v="6473"/>
    <n v="8"/>
    <s v="Health &amp; Wellness"/>
    <x v="52"/>
  </r>
  <r>
    <s v="DataTech Solutions"/>
    <x v="4"/>
    <s v="Women 25-34"/>
    <s v="15 days"/>
    <x v="0"/>
    <n v="0.04"/>
    <n v="13233"/>
    <n v="7.91"/>
    <n v="19"/>
    <n v="696.47368421052636"/>
    <s v="Miami"/>
    <s v="Spanish"/>
    <n v="469"/>
    <n v="8513"/>
    <n v="9"/>
    <s v="Outdoor Adventurers"/>
    <x v="53"/>
  </r>
  <r>
    <s v="TechCorp"/>
    <x v="2"/>
    <s v="Men 18-24"/>
    <s v="30 days"/>
    <x v="2"/>
    <n v="0.09"/>
    <n v="17792"/>
    <n v="6.81"/>
    <n v="46"/>
    <n v="386.78260869565219"/>
    <s v="Los Angeles"/>
    <s v="Mandarin"/>
    <n v="510"/>
    <n v="1511"/>
    <n v="1"/>
    <s v="Outdoor Adventurers"/>
    <x v="54"/>
  </r>
  <r>
    <s v="Alpha Innovations"/>
    <x v="1"/>
    <s v="All Ages"/>
    <s v="60 days"/>
    <x v="3"/>
    <n v="0.12"/>
    <n v="8817"/>
    <n v="7.83"/>
    <n v="77"/>
    <n v="114.50649350649351"/>
    <s v="Miami"/>
    <s v="English"/>
    <n v="640"/>
    <n v="4796"/>
    <n v="3"/>
    <s v="Fashionistas"/>
    <x v="55"/>
  </r>
  <r>
    <s v="NexGen Systems"/>
    <x v="3"/>
    <s v="All Ages"/>
    <s v="60 days"/>
    <x v="0"/>
    <n v="0.03"/>
    <n v="15383"/>
    <n v="5.54"/>
    <n v="21"/>
    <n v="732.52380952380952"/>
    <s v="Los Angeles"/>
    <s v="English"/>
    <n v="698"/>
    <n v="3928"/>
    <n v="9"/>
    <s v="Fashionistas"/>
    <x v="56"/>
  </r>
  <r>
    <s v="DataTech Solutions"/>
    <x v="0"/>
    <s v="Women 25-34"/>
    <s v="45 days"/>
    <x v="0"/>
    <n v="0.01"/>
    <n v="19056"/>
    <n v="6.28"/>
    <n v="9"/>
    <n v="2117.3333333333335"/>
    <s v="Chicago"/>
    <s v="French"/>
    <n v="850"/>
    <n v="5123"/>
    <n v="2"/>
    <s v="Fashionistas"/>
    <x v="57"/>
  </r>
  <r>
    <s v="Innovate Industries"/>
    <x v="2"/>
    <s v="Women 25-34"/>
    <s v="30 days"/>
    <x v="1"/>
    <n v="0.13"/>
    <n v="18699"/>
    <n v="3.14"/>
    <n v="72"/>
    <n v="259.70833333333331"/>
    <s v="New York"/>
    <s v="French"/>
    <n v="554"/>
    <n v="3102"/>
    <n v="2"/>
    <s v="Fashionistas"/>
    <x v="58"/>
  </r>
  <r>
    <s v="TechCorp"/>
    <x v="2"/>
    <s v="Women 25-34"/>
    <s v="45 days"/>
    <x v="1"/>
    <n v="0.02"/>
    <n v="12833"/>
    <n v="2.62"/>
    <n v="14"/>
    <n v="916.64285714285711"/>
    <s v="New York"/>
    <s v="Spanish"/>
    <n v="716"/>
    <n v="4162"/>
    <n v="3"/>
    <s v="Tech Enthusiasts"/>
    <x v="59"/>
  </r>
  <r>
    <s v="Innovate Industries"/>
    <x v="0"/>
    <s v="Men 25-34"/>
    <s v="15 days"/>
    <x v="0"/>
    <n v="0.08"/>
    <n v="18173"/>
    <n v="6.18"/>
    <n v="68"/>
    <n v="267.25"/>
    <s v="Miami"/>
    <s v="Spanish"/>
    <n v="844"/>
    <n v="5451"/>
    <n v="9"/>
    <s v="Health &amp; Wellness"/>
    <x v="60"/>
  </r>
  <r>
    <s v="TechCorp"/>
    <x v="4"/>
    <s v="Men 25-34"/>
    <s v="60 days"/>
    <x v="2"/>
    <n v="0.08"/>
    <n v="17539"/>
    <n v="5.03"/>
    <n v="40"/>
    <n v="438.47500000000002"/>
    <s v="New York"/>
    <s v="Mandarin"/>
    <n v="500"/>
    <n v="5973"/>
    <n v="9"/>
    <s v="Health &amp; Wellness"/>
    <x v="61"/>
  </r>
  <r>
    <s v="DataTech Solutions"/>
    <x v="0"/>
    <s v="Women 25-34"/>
    <s v="60 days"/>
    <x v="2"/>
    <n v="0.09"/>
    <n v="6196"/>
    <n v="7.13"/>
    <n v="68"/>
    <n v="91.117647058823536"/>
    <s v="New York"/>
    <s v="French"/>
    <n v="760"/>
    <n v="6821"/>
    <n v="5"/>
    <s v="Fashionistas"/>
    <x v="62"/>
  </r>
  <r>
    <s v="Alpha Innovations"/>
    <x v="1"/>
    <s v="Men 25-34"/>
    <s v="15 days"/>
    <x v="3"/>
    <n v="0.04"/>
    <n v="16958"/>
    <n v="4.34"/>
    <n v="31"/>
    <n v="547.0322580645161"/>
    <s v="Chicago"/>
    <s v="French"/>
    <n v="776"/>
    <n v="4904"/>
    <n v="10"/>
    <s v="Foodies"/>
    <x v="63"/>
  </r>
  <r>
    <s v="DataTech Solutions"/>
    <x v="2"/>
    <s v="Women 35-44"/>
    <s v="15 days"/>
    <x v="5"/>
    <n v="7.0000000000000007E-2"/>
    <n v="12501"/>
    <n v="5.38"/>
    <n v="66"/>
    <n v="189.40909090909091"/>
    <s v="Chicago"/>
    <s v="French"/>
    <n v="940"/>
    <n v="5947"/>
    <n v="10"/>
    <s v="Fashionistas"/>
    <x v="64"/>
  </r>
  <r>
    <s v="TechCorp"/>
    <x v="4"/>
    <s v="Men 18-24"/>
    <s v="60 days"/>
    <x v="3"/>
    <n v="0.06"/>
    <n v="12315"/>
    <n v="4.75"/>
    <n v="39"/>
    <n v="315.76923076923077"/>
    <s v="Houston"/>
    <s v="English"/>
    <n v="653"/>
    <n v="5511"/>
    <n v="6"/>
    <s v="Tech Enthusiasts"/>
    <x v="65"/>
  </r>
  <r>
    <s v="DataTech Solutions"/>
    <x v="2"/>
    <s v="Men 18-24"/>
    <s v="30 days"/>
    <x v="5"/>
    <n v="0.04"/>
    <n v="12191"/>
    <n v="5.04"/>
    <n v="8"/>
    <n v="1523.875"/>
    <s v="Los Angeles"/>
    <s v="German"/>
    <n v="209"/>
    <n v="6133"/>
    <n v="5"/>
    <s v="Health &amp; Wellness"/>
    <x v="66"/>
  </r>
  <r>
    <s v="TechCorp"/>
    <x v="4"/>
    <s v="Women 25-34"/>
    <s v="60 days"/>
    <x v="4"/>
    <n v="0.15"/>
    <n v="15909"/>
    <n v="4.2300000000000004"/>
    <n v="40"/>
    <n v="397.72500000000002"/>
    <s v="New York"/>
    <s v="Spanish"/>
    <n v="266"/>
    <n v="6822"/>
    <n v="1"/>
    <s v="Fashionistas"/>
    <x v="67"/>
  </r>
  <r>
    <s v="Alpha Innovations"/>
    <x v="1"/>
    <s v="Men 25-34"/>
    <s v="30 days"/>
    <x v="4"/>
    <n v="0.1"/>
    <n v="6486"/>
    <n v="3.64"/>
    <n v="53"/>
    <n v="122.37735849056604"/>
    <s v="Miami"/>
    <s v="French"/>
    <n v="527"/>
    <n v="8772"/>
    <n v="6"/>
    <s v="Tech Enthusiasts"/>
    <x v="68"/>
  </r>
  <r>
    <s v="Innovate Industries"/>
    <x v="0"/>
    <s v="Men 25-34"/>
    <s v="60 days"/>
    <x v="2"/>
    <n v="0.02"/>
    <n v="11384"/>
    <n v="5.9"/>
    <n v="9"/>
    <n v="1264.8888888888889"/>
    <s v="Chicago"/>
    <s v="French"/>
    <n v="471"/>
    <n v="7279"/>
    <n v="2"/>
    <s v="Tech Enthusiasts"/>
    <x v="69"/>
  </r>
  <r>
    <s v="Alpha Innovations"/>
    <x v="0"/>
    <s v="Men 18-24"/>
    <s v="30 days"/>
    <x v="1"/>
    <n v="0.06"/>
    <n v="7352"/>
    <n v="5.19"/>
    <n v="49"/>
    <n v="150.0408163265306"/>
    <s v="Houston"/>
    <s v="English"/>
    <n v="814"/>
    <n v="6864"/>
    <n v="8"/>
    <s v="Foodies"/>
    <x v="70"/>
  </r>
  <r>
    <s v="TechCorp"/>
    <x v="2"/>
    <s v="Women 35-44"/>
    <s v="60 days"/>
    <x v="3"/>
    <n v="0.12"/>
    <n v="16731"/>
    <n v="3.47"/>
    <n v="111"/>
    <n v="150.72972972972974"/>
    <s v="Miami"/>
    <s v="English"/>
    <n v="924"/>
    <n v="9147"/>
    <n v="6"/>
    <s v="Fashionistas"/>
    <x v="71"/>
  </r>
  <r>
    <s v="Innovate Industries"/>
    <x v="2"/>
    <s v="All Ages"/>
    <s v="60 days"/>
    <x v="5"/>
    <n v="0.06"/>
    <n v="13661"/>
    <n v="4.37"/>
    <n v="45"/>
    <n v="303.57777777777778"/>
    <s v="Chicago"/>
    <s v="German"/>
    <n v="757"/>
    <n v="6613"/>
    <n v="1"/>
    <s v="Fashionistas"/>
    <x v="72"/>
  </r>
  <r>
    <s v="NexGen Systems"/>
    <x v="3"/>
    <s v="All Ages"/>
    <s v="45 days"/>
    <x v="2"/>
    <n v="0.02"/>
    <n v="11458"/>
    <n v="5.54"/>
    <n v="2"/>
    <n v="5729"/>
    <s v="Chicago"/>
    <s v="English"/>
    <n v="120"/>
    <n v="3178"/>
    <n v="8"/>
    <s v="Outdoor Adventurers"/>
    <x v="73"/>
  </r>
  <r>
    <s v="Alpha Innovations"/>
    <x v="3"/>
    <s v="All Ages"/>
    <s v="45 days"/>
    <x v="2"/>
    <n v="7.0000000000000007E-2"/>
    <n v="10004"/>
    <n v="2.98"/>
    <n v="47"/>
    <n v="212.85106382978722"/>
    <s v="Chicago"/>
    <s v="Spanish"/>
    <n v="671"/>
    <n v="9978"/>
    <n v="9"/>
    <s v="Foodies"/>
    <x v="74"/>
  </r>
  <r>
    <s v="NexGen Systems"/>
    <x v="1"/>
    <s v="All Ages"/>
    <s v="60 days"/>
    <x v="3"/>
    <n v="0.11"/>
    <n v="11859"/>
    <n v="3.11"/>
    <n v="73"/>
    <n v="162.45205479452054"/>
    <s v="Miami"/>
    <s v="French"/>
    <n v="663"/>
    <n v="4765"/>
    <n v="8"/>
    <s v="Tech Enthusiasts"/>
    <x v="75"/>
  </r>
  <r>
    <s v="DataTech Solutions"/>
    <x v="2"/>
    <s v="Men 25-34"/>
    <s v="60 days"/>
    <x v="5"/>
    <n v="0.05"/>
    <n v="10271"/>
    <n v="5.94"/>
    <n v="22"/>
    <n v="466.86363636363637"/>
    <s v="Los Angeles"/>
    <s v="Mandarin"/>
    <n v="437"/>
    <n v="7643"/>
    <n v="1"/>
    <s v="Outdoor Adventurers"/>
    <x v="76"/>
  </r>
  <r>
    <s v="Innovate Industries"/>
    <x v="1"/>
    <s v="Men 25-34"/>
    <s v="60 days"/>
    <x v="5"/>
    <n v="0.05"/>
    <n v="14556"/>
    <n v="7.5"/>
    <n v="22"/>
    <n v="661.63636363636363"/>
    <s v="Los Angeles"/>
    <s v="Spanish"/>
    <n v="449"/>
    <n v="7861"/>
    <n v="9"/>
    <s v="Health &amp; Wellness"/>
    <x v="77"/>
  </r>
  <r>
    <s v="NexGen Systems"/>
    <x v="4"/>
    <s v="Women 35-44"/>
    <s v="60 days"/>
    <x v="0"/>
    <n v="0.09"/>
    <n v="12923"/>
    <n v="5.26"/>
    <n v="86"/>
    <n v="150.26744186046511"/>
    <s v="Chicago"/>
    <s v="French"/>
    <n v="951"/>
    <n v="8449"/>
    <n v="9"/>
    <s v="Tech Enthusiasts"/>
    <x v="78"/>
  </r>
  <r>
    <s v="DataTech Solutions"/>
    <x v="3"/>
    <s v="Men 18-24"/>
    <s v="45 days"/>
    <x v="4"/>
    <n v="0.03"/>
    <n v="19220"/>
    <n v="2.69"/>
    <n v="19"/>
    <n v="1011.578947368421"/>
    <s v="New York"/>
    <s v="English"/>
    <n v="622"/>
    <n v="6343"/>
    <n v="6"/>
    <s v="Foodies"/>
    <x v="79"/>
  </r>
  <r>
    <s v="DataTech Solutions"/>
    <x v="0"/>
    <s v="All Ages"/>
    <s v="30 days"/>
    <x v="3"/>
    <n v="0.15"/>
    <n v="5435"/>
    <n v="2.69"/>
    <n v="124"/>
    <n v="43.83064516129032"/>
    <s v="New York"/>
    <s v="English"/>
    <n v="825"/>
    <n v="5906"/>
    <n v="2"/>
    <s v="Fashionistas"/>
    <x v="80"/>
  </r>
  <r>
    <s v="DataTech Solutions"/>
    <x v="1"/>
    <s v="Men 25-34"/>
    <s v="15 days"/>
    <x v="1"/>
    <n v="0.01"/>
    <n v="19568"/>
    <n v="6.93"/>
    <n v="5"/>
    <n v="3913.6"/>
    <s v="Chicago"/>
    <s v="Mandarin"/>
    <n v="516"/>
    <n v="1658"/>
    <n v="9"/>
    <s v="Tech Enthusiasts"/>
    <x v="81"/>
  </r>
  <r>
    <s v="Alpha Innovations"/>
    <x v="3"/>
    <s v="Men 25-34"/>
    <s v="15 days"/>
    <x v="0"/>
    <n v="0.12"/>
    <n v="7553"/>
    <n v="5.83"/>
    <n v="50"/>
    <n v="151.06"/>
    <s v="Chicago"/>
    <s v="Spanish"/>
    <n v="420"/>
    <n v="6262"/>
    <n v="8"/>
    <s v="Health &amp; Wellness"/>
    <x v="82"/>
  </r>
  <r>
    <s v="NexGen Systems"/>
    <x v="4"/>
    <s v="Women 35-44"/>
    <s v="30 days"/>
    <x v="4"/>
    <n v="0.04"/>
    <n v="16096"/>
    <n v="6.09"/>
    <n v="24"/>
    <n v="670.66666666666663"/>
    <s v="New York"/>
    <s v="Spanish"/>
    <n v="605"/>
    <n v="5749"/>
    <n v="9"/>
    <s v="Outdoor Adventurers"/>
    <x v="83"/>
  </r>
  <r>
    <s v="TechCorp"/>
    <x v="1"/>
    <s v="All Ages"/>
    <s v="15 days"/>
    <x v="3"/>
    <n v="0.11"/>
    <n v="17714"/>
    <n v="5"/>
    <n v="39"/>
    <n v="454.20512820512823"/>
    <s v="Miami"/>
    <s v="Mandarin"/>
    <n v="357"/>
    <n v="1270"/>
    <n v="1"/>
    <s v="Tech Enthusiasts"/>
    <x v="84"/>
  </r>
  <r>
    <s v="DataTech Solutions"/>
    <x v="1"/>
    <s v="Women 35-44"/>
    <s v="30 days"/>
    <x v="4"/>
    <n v="0.11"/>
    <n v="11014"/>
    <n v="2.1800000000000002"/>
    <n v="72"/>
    <n v="152.97222222222223"/>
    <s v="Los Angeles"/>
    <s v="Mandarin"/>
    <n v="652"/>
    <n v="6597"/>
    <n v="7"/>
    <s v="Foodies"/>
    <x v="85"/>
  </r>
  <r>
    <s v="DataTech Solutions"/>
    <x v="4"/>
    <s v="All Ages"/>
    <s v="60 days"/>
    <x v="0"/>
    <n v="0.06"/>
    <n v="14148"/>
    <n v="6.77"/>
    <n v="32"/>
    <n v="442.125"/>
    <s v="Los Angeles"/>
    <s v="German"/>
    <n v="531"/>
    <n v="8922"/>
    <n v="4"/>
    <s v="Tech Enthusiasts"/>
    <x v="86"/>
  </r>
  <r>
    <s v="Innovate Industries"/>
    <x v="0"/>
    <s v="Men 18-24"/>
    <s v="15 days"/>
    <x v="3"/>
    <n v="0.02"/>
    <n v="12777"/>
    <n v="5.55"/>
    <n v="6"/>
    <n v="2129.5"/>
    <s v="New York"/>
    <s v="German"/>
    <n v="316"/>
    <n v="1900"/>
    <n v="7"/>
    <s v="Health &amp; Wellness"/>
    <x v="87"/>
  </r>
  <r>
    <s v="NexGen Systems"/>
    <x v="3"/>
    <s v="Women 25-34"/>
    <s v="15 days"/>
    <x v="2"/>
    <n v="0.06"/>
    <n v="19604"/>
    <n v="5.32"/>
    <n v="10"/>
    <n v="1960.4"/>
    <s v="Los Angeles"/>
    <s v="Spanish"/>
    <n v="160"/>
    <n v="8033"/>
    <n v="4"/>
    <s v="Outdoor Adventurers"/>
    <x v="88"/>
  </r>
  <r>
    <s v="TechCorp"/>
    <x v="1"/>
    <s v="Men 25-34"/>
    <s v="15 days"/>
    <x v="1"/>
    <n v="0.03"/>
    <n v="18148"/>
    <n v="4.51"/>
    <n v="10"/>
    <n v="1814.8"/>
    <s v="Chicago"/>
    <s v="French"/>
    <n v="349"/>
    <n v="9675"/>
    <n v="9"/>
    <s v="Fashionistas"/>
    <x v="89"/>
  </r>
  <r>
    <s v="Innovate Industries"/>
    <x v="3"/>
    <s v="Women 35-44"/>
    <s v="15 days"/>
    <x v="4"/>
    <n v="0.01"/>
    <n v="16794"/>
    <n v="7.59"/>
    <n v="8"/>
    <n v="2099.25"/>
    <s v="Miami"/>
    <s v="English"/>
    <n v="834"/>
    <n v="2470"/>
    <n v="4"/>
    <s v="Foodies"/>
    <x v="90"/>
  </r>
  <r>
    <s v="NexGen Systems"/>
    <x v="0"/>
    <s v="Men 18-24"/>
    <s v="45 days"/>
    <x v="2"/>
    <n v="0.09"/>
    <n v="13425"/>
    <n v="5.49"/>
    <n v="60"/>
    <n v="223.75"/>
    <s v="New York"/>
    <s v="French"/>
    <n v="668"/>
    <n v="9262"/>
    <n v="4"/>
    <s v="Fashionistas"/>
    <x v="91"/>
  </r>
  <r>
    <s v="TechCorp"/>
    <x v="1"/>
    <s v="Men 25-34"/>
    <s v="30 days"/>
    <x v="0"/>
    <n v="7.0000000000000007E-2"/>
    <n v="16812"/>
    <n v="5.72"/>
    <n v="45"/>
    <n v="373.6"/>
    <s v="Miami"/>
    <s v="Spanish"/>
    <n v="646"/>
    <n v="7687"/>
    <n v="5"/>
    <s v="Foodies"/>
    <x v="92"/>
  </r>
  <r>
    <s v="Innovate Industries"/>
    <x v="1"/>
    <s v="Women 25-34"/>
    <s v="60 days"/>
    <x v="1"/>
    <n v="0.13"/>
    <n v="10617"/>
    <n v="4.93"/>
    <n v="114"/>
    <n v="93.131578947368425"/>
    <s v="Chicago"/>
    <s v="German"/>
    <n v="879"/>
    <n v="1082"/>
    <n v="5"/>
    <s v="Fashionistas"/>
    <x v="93"/>
  </r>
  <r>
    <s v="NexGen Systems"/>
    <x v="4"/>
    <s v="Men 18-24"/>
    <s v="15 days"/>
    <x v="3"/>
    <n v="0.04"/>
    <n v="19847"/>
    <n v="2.25"/>
    <n v="23"/>
    <n v="862.91304347826087"/>
    <s v="Houston"/>
    <s v="Mandarin"/>
    <n v="582"/>
    <n v="7020"/>
    <n v="3"/>
    <s v="Tech Enthusiasts"/>
    <x v="94"/>
  </r>
  <r>
    <s v="DataTech Solutions"/>
    <x v="2"/>
    <s v="Women 35-44"/>
    <s v="60 days"/>
    <x v="0"/>
    <n v="0.05"/>
    <n v="9958"/>
    <n v="7.1"/>
    <n v="46"/>
    <n v="216.47826086956522"/>
    <s v="Chicago"/>
    <s v="German"/>
    <n v="919"/>
    <n v="4531"/>
    <n v="5"/>
    <s v="Fashionistas"/>
    <x v="95"/>
  </r>
  <r>
    <s v="DataTech Solutions"/>
    <x v="1"/>
    <s v="Men 25-34"/>
    <s v="45 days"/>
    <x v="1"/>
    <n v="0.1"/>
    <n v="8206"/>
    <n v="3.63"/>
    <n v="75"/>
    <n v="109.41333333333333"/>
    <s v="Houston"/>
    <s v="Mandarin"/>
    <n v="746"/>
    <n v="6065"/>
    <n v="5"/>
    <s v="Health &amp; Wellness"/>
    <x v="96"/>
  </r>
  <r>
    <s v="NexGen Systems"/>
    <x v="1"/>
    <s v="All Ages"/>
    <s v="30 days"/>
    <x v="3"/>
    <n v="0.09"/>
    <n v="16831"/>
    <n v="7.16"/>
    <n v="13"/>
    <n v="1294.6923076923076"/>
    <s v="Los Angeles"/>
    <s v="German"/>
    <n v="140"/>
    <n v="1359"/>
    <n v="9"/>
    <s v="Fashionistas"/>
    <x v="97"/>
  </r>
  <r>
    <s v="Innovate Industries"/>
    <x v="3"/>
    <s v="Women 35-44"/>
    <s v="30 days"/>
    <x v="5"/>
    <n v="0.14000000000000001"/>
    <n v="9343"/>
    <n v="4.5599999999999996"/>
    <n v="70"/>
    <n v="133.47142857142856"/>
    <s v="Houston"/>
    <s v="German"/>
    <n v="503"/>
    <n v="1885"/>
    <n v="10"/>
    <s v="Outdoor Adventurers"/>
    <x v="98"/>
  </r>
  <r>
    <s v="DataTech Solutions"/>
    <x v="1"/>
    <s v="Women 35-44"/>
    <s v="15 days"/>
    <x v="1"/>
    <n v="0.02"/>
    <n v="5837"/>
    <n v="6.61"/>
    <n v="10"/>
    <n v="583.70000000000005"/>
    <s v="Los Angeles"/>
    <s v="Spanish"/>
    <n v="485"/>
    <n v="1601"/>
    <n v="6"/>
    <s v="Fashionistas"/>
    <x v="99"/>
  </r>
  <r>
    <s v="Innovate Industries"/>
    <x v="4"/>
    <s v="Men 18-24"/>
    <s v="30 days"/>
    <x v="3"/>
    <n v="0.09"/>
    <n v="18975"/>
    <n v="6.77"/>
    <n v="50"/>
    <n v="379.5"/>
    <s v="New York"/>
    <s v="Spanish"/>
    <n v="556"/>
    <n v="1867"/>
    <n v="9"/>
    <s v="Fashionistas"/>
    <x v="100"/>
  </r>
  <r>
    <s v="NexGen Systems"/>
    <x v="2"/>
    <s v="Women 35-44"/>
    <s v="30 days"/>
    <x v="2"/>
    <n v="0.03"/>
    <n v="7925"/>
    <n v="3.71"/>
    <n v="21"/>
    <n v="377.38095238095241"/>
    <s v="New York"/>
    <s v="French"/>
    <n v="693"/>
    <n v="8052"/>
    <n v="8"/>
    <s v="Outdoor Adventurers"/>
    <x v="101"/>
  </r>
  <r>
    <s v="Alpha Innovations"/>
    <x v="0"/>
    <s v="Men 25-34"/>
    <s v="45 days"/>
    <x v="4"/>
    <n v="0.09"/>
    <n v="6990"/>
    <n v="4.96"/>
    <n v="53"/>
    <n v="131.88679245283018"/>
    <s v="Los Angeles"/>
    <s v="German"/>
    <n v="586"/>
    <n v="9760"/>
    <n v="2"/>
    <s v="Health &amp; Wellness"/>
    <x v="102"/>
  </r>
  <r>
    <s v="NexGen Systems"/>
    <x v="0"/>
    <s v="All Ages"/>
    <s v="60 days"/>
    <x v="5"/>
    <n v="0.12"/>
    <n v="14151"/>
    <n v="6.77"/>
    <n v="17"/>
    <n v="832.41176470588232"/>
    <s v="New York"/>
    <s v="German"/>
    <n v="140"/>
    <n v="8005"/>
    <n v="2"/>
    <s v="Fashionistas"/>
    <x v="103"/>
  </r>
  <r>
    <s v="Alpha Innovations"/>
    <x v="4"/>
    <s v="Men 25-34"/>
    <s v="45 days"/>
    <x v="1"/>
    <n v="0.03"/>
    <n v="18002"/>
    <n v="6.02"/>
    <n v="25"/>
    <n v="720.08"/>
    <s v="Chicago"/>
    <s v="English"/>
    <n v="834"/>
    <n v="7347"/>
    <n v="5"/>
    <s v="Tech Enthusiasts"/>
    <x v="104"/>
  </r>
  <r>
    <s v="Alpha Innovations"/>
    <x v="1"/>
    <s v="All Ages"/>
    <s v="45 days"/>
    <x v="5"/>
    <n v="0.03"/>
    <n v="12338"/>
    <n v="7.3"/>
    <n v="30"/>
    <n v="411.26666666666665"/>
    <s v="Houston"/>
    <s v="Mandarin"/>
    <n v="990"/>
    <n v="3658"/>
    <n v="1"/>
    <s v="Fashionistas"/>
    <x v="105"/>
  </r>
  <r>
    <s v="Alpha Innovations"/>
    <x v="1"/>
    <s v="Men 18-24"/>
    <s v="45 days"/>
    <x v="1"/>
    <n v="0.01"/>
    <n v="15721"/>
    <n v="3.99"/>
    <n v="4"/>
    <n v="3930.25"/>
    <s v="Houston"/>
    <s v="English"/>
    <n v="433"/>
    <n v="4847"/>
    <n v="3"/>
    <s v="Health &amp; Wellness"/>
    <x v="106"/>
  </r>
  <r>
    <s v="DataTech Solutions"/>
    <x v="2"/>
    <s v="Men 25-34"/>
    <s v="15 days"/>
    <x v="4"/>
    <n v="0.08"/>
    <n v="8660"/>
    <n v="5.0599999999999996"/>
    <n v="72"/>
    <n v="120.27777777777777"/>
    <s v="Miami"/>
    <s v="English"/>
    <n v="895"/>
    <n v="6160"/>
    <n v="2"/>
    <s v="Foodies"/>
    <x v="107"/>
  </r>
  <r>
    <s v="DataTech Solutions"/>
    <x v="2"/>
    <s v="Men 25-34"/>
    <s v="45 days"/>
    <x v="1"/>
    <n v="0.09"/>
    <n v="7786"/>
    <n v="7.14"/>
    <n v="63"/>
    <n v="123.58730158730158"/>
    <s v="Houston"/>
    <s v="Mandarin"/>
    <n v="700"/>
    <n v="5600"/>
    <n v="4"/>
    <s v="Foodies"/>
    <x v="108"/>
  </r>
  <r>
    <s v="NexGen Systems"/>
    <x v="3"/>
    <s v="Women 25-34"/>
    <s v="30 days"/>
    <x v="0"/>
    <n v="0.08"/>
    <n v="12510"/>
    <n v="3.71"/>
    <n v="65"/>
    <n v="192.46153846153845"/>
    <s v="Los Angeles"/>
    <s v="French"/>
    <n v="814"/>
    <n v="4129"/>
    <n v="10"/>
    <s v="Tech Enthusiasts"/>
    <x v="109"/>
  </r>
  <r>
    <s v="Innovate Industries"/>
    <x v="2"/>
    <s v="Men 18-24"/>
    <s v="60 days"/>
    <x v="2"/>
    <n v="0.11"/>
    <n v="19114"/>
    <n v="6.22"/>
    <n v="15"/>
    <n v="1274.2666666666667"/>
    <s v="New York"/>
    <s v="Spanish"/>
    <n v="139"/>
    <n v="9870"/>
    <n v="6"/>
    <s v="Tech Enthusiasts"/>
    <x v="110"/>
  </r>
  <r>
    <s v="DataTech Solutions"/>
    <x v="4"/>
    <s v="Men 25-34"/>
    <s v="30 days"/>
    <x v="4"/>
    <n v="0.01"/>
    <n v="9540"/>
    <n v="5.87"/>
    <n v="6"/>
    <n v="1590"/>
    <s v="Chicago"/>
    <s v="French"/>
    <n v="551"/>
    <n v="4191"/>
    <n v="7"/>
    <s v="Outdoor Adventurers"/>
    <x v="111"/>
  </r>
  <r>
    <s v="Innovate Industries"/>
    <x v="3"/>
    <s v="Men 25-34"/>
    <s v="45 days"/>
    <x v="5"/>
    <n v="0.06"/>
    <n v="18283"/>
    <n v="2.64"/>
    <n v="20"/>
    <n v="914.15"/>
    <s v="Miami"/>
    <s v="German"/>
    <n v="333"/>
    <n v="2993"/>
    <n v="7"/>
    <s v="Tech Enthusiasts"/>
    <x v="112"/>
  </r>
  <r>
    <s v="Alpha Innovations"/>
    <x v="4"/>
    <s v="Women 25-34"/>
    <s v="60 days"/>
    <x v="1"/>
    <n v="0.01"/>
    <n v="13462"/>
    <n v="5.6"/>
    <n v="4"/>
    <n v="3365.5"/>
    <s v="Houston"/>
    <s v="German"/>
    <n v="430"/>
    <n v="5690"/>
    <n v="5"/>
    <s v="Foodies"/>
    <x v="113"/>
  </r>
  <r>
    <s v="Alpha Innovations"/>
    <x v="0"/>
    <s v="Women 25-34"/>
    <s v="45 days"/>
    <x v="2"/>
    <n v="0.1"/>
    <n v="16422"/>
    <n v="5.15"/>
    <n v="35"/>
    <n v="469.2"/>
    <s v="Chicago"/>
    <s v="French"/>
    <n v="350"/>
    <n v="4495"/>
    <n v="3"/>
    <s v="Tech Enthusiasts"/>
    <x v="114"/>
  </r>
  <r>
    <s v="Alpha Innovations"/>
    <x v="1"/>
    <s v="Men 18-24"/>
    <s v="15 days"/>
    <x v="4"/>
    <n v="7.0000000000000007E-2"/>
    <n v="8828"/>
    <n v="4.67"/>
    <n v="49"/>
    <n v="180.16326530612244"/>
    <s v="New York"/>
    <s v="German"/>
    <n v="701"/>
    <n v="2974"/>
    <n v="7"/>
    <s v="Foodies"/>
    <x v="115"/>
  </r>
  <r>
    <s v="Innovate Industries"/>
    <x v="1"/>
    <s v="All Ages"/>
    <s v="30 days"/>
    <x v="4"/>
    <n v="0.03"/>
    <n v="14660"/>
    <n v="6.64"/>
    <n v="21"/>
    <n v="698.09523809523807"/>
    <s v="Chicago"/>
    <s v="English"/>
    <n v="697"/>
    <n v="3036"/>
    <n v="8"/>
    <s v="Fashionistas"/>
    <x v="116"/>
  </r>
  <r>
    <s v="Innovate Industries"/>
    <x v="0"/>
    <s v="All Ages"/>
    <s v="45 days"/>
    <x v="2"/>
    <n v="0.05"/>
    <n v="7747"/>
    <n v="7.14"/>
    <n v="31"/>
    <n v="249.90322580645162"/>
    <s v="New York"/>
    <s v="Spanish"/>
    <n v="623"/>
    <n v="1388"/>
    <n v="9"/>
    <s v="Foodies"/>
    <x v="117"/>
  </r>
  <r>
    <s v="Innovate Industries"/>
    <x v="1"/>
    <s v="Men 25-34"/>
    <s v="15 days"/>
    <x v="0"/>
    <n v="0.06"/>
    <n v="10198"/>
    <n v="6.43"/>
    <n v="58"/>
    <n v="175.82758620689654"/>
    <s v="Los Angeles"/>
    <s v="Mandarin"/>
    <n v="970"/>
    <n v="7743"/>
    <n v="1"/>
    <s v="Foodies"/>
    <x v="118"/>
  </r>
  <r>
    <s v="DataTech Solutions"/>
    <x v="0"/>
    <s v="Men 18-24"/>
    <s v="60 days"/>
    <x v="0"/>
    <n v="0.02"/>
    <n v="5365"/>
    <n v="3.87"/>
    <n v="6"/>
    <n v="894.16666666666663"/>
    <s v="Miami"/>
    <s v="Mandarin"/>
    <n v="275"/>
    <n v="5309"/>
    <n v="2"/>
    <s v="Health &amp; Wellness"/>
    <x v="119"/>
  </r>
  <r>
    <s v="NexGen Systems"/>
    <x v="0"/>
    <s v="Women 25-34"/>
    <s v="30 days"/>
    <x v="3"/>
    <n v="7.0000000000000007E-2"/>
    <n v="9446"/>
    <n v="4.13"/>
    <n v="47"/>
    <n v="200.97872340425531"/>
    <s v="Miami"/>
    <s v="French"/>
    <n v="670"/>
    <n v="2689"/>
    <n v="9"/>
    <s v="Health &amp; Wellness"/>
    <x v="120"/>
  </r>
  <r>
    <s v="Alpha Innovations"/>
    <x v="1"/>
    <s v="Men 25-34"/>
    <s v="15 days"/>
    <x v="0"/>
    <n v="0.1"/>
    <n v="11690"/>
    <n v="6.63"/>
    <n v="57"/>
    <n v="205.08771929824562"/>
    <s v="New York"/>
    <s v="Mandarin"/>
    <n v="569"/>
    <n v="6936"/>
    <n v="5"/>
    <s v="Fashionistas"/>
    <x v="121"/>
  </r>
  <r>
    <s v="NexGen Systems"/>
    <x v="1"/>
    <s v="Men 18-24"/>
    <s v="30 days"/>
    <x v="2"/>
    <n v="0.08"/>
    <n v="13708"/>
    <n v="5.66"/>
    <n v="74"/>
    <n v="185.24324324324326"/>
    <s v="Houston"/>
    <s v="German"/>
    <n v="921"/>
    <n v="7183"/>
    <n v="5"/>
    <s v="Foodies"/>
    <x v="122"/>
  </r>
  <r>
    <s v="DataTech Solutions"/>
    <x v="3"/>
    <s v="Women 35-44"/>
    <s v="15 days"/>
    <x v="3"/>
    <n v="0.05"/>
    <n v="8459"/>
    <n v="2.91"/>
    <n v="35"/>
    <n v="241.68571428571428"/>
    <s v="New York"/>
    <s v="Spanish"/>
    <n v="707"/>
    <n v="6723"/>
    <n v="5"/>
    <s v="Fashionistas"/>
    <x v="123"/>
  </r>
  <r>
    <s v="Innovate Industries"/>
    <x v="1"/>
    <s v="Women 25-34"/>
    <s v="60 days"/>
    <x v="2"/>
    <n v="0.14000000000000001"/>
    <n v="13549"/>
    <n v="4.3899999999999997"/>
    <n v="87"/>
    <n v="155.73563218390805"/>
    <s v="Houston"/>
    <s v="English"/>
    <n v="618"/>
    <n v="3916"/>
    <n v="8"/>
    <s v="Foodies"/>
    <x v="124"/>
  </r>
  <r>
    <s v="NexGen Systems"/>
    <x v="4"/>
    <s v="Men 18-24"/>
    <s v="60 days"/>
    <x v="0"/>
    <n v="0.03"/>
    <n v="6941"/>
    <n v="3.11"/>
    <n v="21"/>
    <n v="330.52380952380952"/>
    <s v="Houston"/>
    <s v="English"/>
    <n v="687"/>
    <n v="4855"/>
    <n v="7"/>
    <s v="Health &amp; Wellness"/>
    <x v="125"/>
  </r>
  <r>
    <s v="NexGen Systems"/>
    <x v="4"/>
    <s v="Women 35-44"/>
    <s v="30 days"/>
    <x v="4"/>
    <n v="0.09"/>
    <n v="17451"/>
    <n v="2.2799999999999998"/>
    <n v="12"/>
    <n v="1454.25"/>
    <s v="New York"/>
    <s v="Mandarin"/>
    <n v="138"/>
    <n v="5069"/>
    <n v="5"/>
    <s v="Health &amp; Wellness"/>
    <x v="126"/>
  </r>
  <r>
    <s v="DataTech Solutions"/>
    <x v="1"/>
    <s v="All Ages"/>
    <s v="45 days"/>
    <x v="4"/>
    <n v="0.08"/>
    <n v="11269"/>
    <n v="7.01"/>
    <n v="20"/>
    <n v="563.45000000000005"/>
    <s v="Miami"/>
    <s v="French"/>
    <n v="255"/>
    <n v="1020"/>
    <n v="5"/>
    <s v="Health &amp; Wellness"/>
    <x v="127"/>
  </r>
  <r>
    <s v="NexGen Systems"/>
    <x v="1"/>
    <s v="Men 25-34"/>
    <s v="60 days"/>
    <x v="0"/>
    <n v="7.0000000000000007E-2"/>
    <n v="17231"/>
    <n v="6.54"/>
    <n v="31"/>
    <n v="555.83870967741939"/>
    <s v="Houston"/>
    <s v="English"/>
    <n v="448"/>
    <n v="5918"/>
    <n v="8"/>
    <s v="Fashionistas"/>
    <x v="128"/>
  </r>
  <r>
    <s v="Alpha Innovations"/>
    <x v="1"/>
    <s v="Men 25-34"/>
    <s v="30 days"/>
    <x v="4"/>
    <n v="0.15"/>
    <n v="17100"/>
    <n v="6.6"/>
    <n v="139"/>
    <n v="123.02158273381295"/>
    <s v="Chicago"/>
    <s v="Mandarin"/>
    <n v="925"/>
    <n v="5047"/>
    <n v="4"/>
    <s v="Tech Enthusiasts"/>
    <x v="129"/>
  </r>
  <r>
    <s v="Innovate Industries"/>
    <x v="3"/>
    <s v="Men 18-24"/>
    <s v="45 days"/>
    <x v="4"/>
    <n v="0.09"/>
    <n v="12568"/>
    <n v="6.47"/>
    <n v="27"/>
    <n v="465.48148148148147"/>
    <s v="Los Angeles"/>
    <s v="French"/>
    <n v="298"/>
    <n v="8467"/>
    <n v="7"/>
    <s v="Outdoor Adventurers"/>
    <x v="130"/>
  </r>
  <r>
    <s v="Innovate Industries"/>
    <x v="1"/>
    <s v="Women 35-44"/>
    <s v="15 days"/>
    <x v="5"/>
    <n v="0.06"/>
    <n v="19772"/>
    <n v="2.14"/>
    <n v="25"/>
    <n v="790.88"/>
    <s v="Los Angeles"/>
    <s v="German"/>
    <n v="412"/>
    <n v="2317"/>
    <n v="1"/>
    <s v="Outdoor Adventurers"/>
    <x v="131"/>
  </r>
  <r>
    <s v="TechCorp"/>
    <x v="0"/>
    <s v="All Ages"/>
    <s v="45 days"/>
    <x v="0"/>
    <n v="0.05"/>
    <n v="19209"/>
    <n v="4.09"/>
    <n v="7"/>
    <n v="2744.1428571428573"/>
    <s v="New York"/>
    <s v="German"/>
    <n v="138"/>
    <n v="2087"/>
    <n v="1"/>
    <s v="Health &amp; Wellness"/>
    <x v="132"/>
  </r>
  <r>
    <s v="Alpha Innovations"/>
    <x v="1"/>
    <s v="Men 18-24"/>
    <s v="60 days"/>
    <x v="0"/>
    <n v="0.14000000000000001"/>
    <n v="9688"/>
    <n v="2.5"/>
    <n v="61"/>
    <n v="158.81967213114754"/>
    <s v="Houston"/>
    <s v="English"/>
    <n v="435"/>
    <n v="4552"/>
    <n v="6"/>
    <s v="Tech Enthusiasts"/>
    <x v="133"/>
  </r>
  <r>
    <s v="DataTech Solutions"/>
    <x v="4"/>
    <s v="Women 35-44"/>
    <s v="60 days"/>
    <x v="5"/>
    <n v="0.11"/>
    <n v="8801"/>
    <n v="3.63"/>
    <n v="21"/>
    <n v="419.09523809523807"/>
    <s v="New York"/>
    <s v="French"/>
    <n v="195"/>
    <n v="5811"/>
    <n v="7"/>
    <s v="Outdoor Adventurers"/>
    <x v="134"/>
  </r>
  <r>
    <s v="Alpha Innovations"/>
    <x v="4"/>
    <s v="Men 25-34"/>
    <s v="15 days"/>
    <x v="2"/>
    <n v="0.13"/>
    <n v="5621"/>
    <n v="2.27"/>
    <n v="41"/>
    <n v="137.09756097560975"/>
    <s v="Los Angeles"/>
    <s v="German"/>
    <n v="319"/>
    <n v="6126"/>
    <n v="5"/>
    <s v="Health &amp; Wellness"/>
    <x v="135"/>
  </r>
  <r>
    <s v="DataTech Solutions"/>
    <x v="0"/>
    <s v="Women 35-44"/>
    <s v="45 days"/>
    <x v="3"/>
    <n v="0.05"/>
    <n v="6876"/>
    <n v="3.9"/>
    <n v="45"/>
    <n v="152.80000000000001"/>
    <s v="Miami"/>
    <s v="English"/>
    <n v="892"/>
    <n v="3998"/>
    <n v="6"/>
    <s v="Outdoor Adventurers"/>
    <x v="136"/>
  </r>
  <r>
    <s v="TechCorp"/>
    <x v="0"/>
    <s v="Women 35-44"/>
    <s v="60 days"/>
    <x v="0"/>
    <n v="0.11"/>
    <n v="17899"/>
    <n v="3.11"/>
    <n v="33"/>
    <n v="542.39393939393938"/>
    <s v="Miami"/>
    <s v="French"/>
    <n v="300"/>
    <n v="6070"/>
    <n v="6"/>
    <s v="Tech Enthusiasts"/>
    <x v="137"/>
  </r>
  <r>
    <s v="Alpha Innovations"/>
    <x v="1"/>
    <s v="Women 35-44"/>
    <s v="30 days"/>
    <x v="3"/>
    <n v="0.08"/>
    <n v="5399"/>
    <n v="7.15"/>
    <n v="47"/>
    <n v="114.87234042553192"/>
    <s v="Chicago"/>
    <s v="German"/>
    <n v="585"/>
    <n v="7041"/>
    <n v="9"/>
    <s v="Fashionistas"/>
    <x v="138"/>
  </r>
  <r>
    <s v="DataTech Solutions"/>
    <x v="0"/>
    <s v="Men 18-24"/>
    <s v="15 days"/>
    <x v="0"/>
    <n v="0.08"/>
    <n v="11432"/>
    <n v="7.58"/>
    <n v="63"/>
    <n v="181.46031746031747"/>
    <s v="Houston"/>
    <s v="Mandarin"/>
    <n v="792"/>
    <n v="6862"/>
    <n v="1"/>
    <s v="Fashionistas"/>
    <x v="139"/>
  </r>
  <r>
    <s v="Alpha Innovations"/>
    <x v="1"/>
    <s v="All Ages"/>
    <s v="15 days"/>
    <x v="1"/>
    <n v="7.0000000000000007E-2"/>
    <n v="13356"/>
    <n v="3.27"/>
    <n v="16"/>
    <n v="834.75"/>
    <s v="Chicago"/>
    <s v="French"/>
    <n v="235"/>
    <n v="1947"/>
    <n v="10"/>
    <s v="Foodies"/>
    <x v="140"/>
  </r>
  <r>
    <s v="Alpha Innovations"/>
    <x v="0"/>
    <s v="Men 18-24"/>
    <s v="30 days"/>
    <x v="3"/>
    <n v="0.12"/>
    <n v="17530"/>
    <n v="4.79"/>
    <n v="24"/>
    <n v="730.41666666666663"/>
    <s v="Chicago"/>
    <s v="Mandarin"/>
    <n v="202"/>
    <n v="6420"/>
    <n v="9"/>
    <s v="Fashionistas"/>
    <x v="141"/>
  </r>
  <r>
    <s v="NexGen Systems"/>
    <x v="3"/>
    <s v="All Ages"/>
    <s v="60 days"/>
    <x v="5"/>
    <n v="0.01"/>
    <n v="12321"/>
    <n v="2.66"/>
    <n v="6"/>
    <n v="2053.5"/>
    <s v="Houston"/>
    <s v="Spanish"/>
    <n v="644"/>
    <n v="1950"/>
    <n v="5"/>
    <s v="Health &amp; Wellness"/>
    <x v="142"/>
  </r>
  <r>
    <s v="Alpha Innovations"/>
    <x v="4"/>
    <s v="Men 25-34"/>
    <s v="60 days"/>
    <x v="4"/>
    <n v="7.0000000000000007E-2"/>
    <n v="15478"/>
    <n v="3.46"/>
    <n v="22"/>
    <n v="703.5454545454545"/>
    <s v="Los Angeles"/>
    <s v="German"/>
    <n v="310"/>
    <n v="2684"/>
    <n v="4"/>
    <s v="Foodies"/>
    <x v="143"/>
  </r>
  <r>
    <s v="TechCorp"/>
    <x v="0"/>
    <s v="Women 25-34"/>
    <s v="60 days"/>
    <x v="2"/>
    <n v="0.05"/>
    <n v="15663"/>
    <n v="2.12"/>
    <n v="43"/>
    <n v="364.25581395348837"/>
    <s v="Chicago"/>
    <s v="English"/>
    <n v="851"/>
    <n v="1002"/>
    <n v="4"/>
    <s v="Outdoor Adventurers"/>
    <x v="144"/>
  </r>
  <r>
    <s v="Alpha Innovations"/>
    <x v="3"/>
    <s v="Women 25-34"/>
    <s v="30 days"/>
    <x v="1"/>
    <n v="0.05"/>
    <n v="19951"/>
    <n v="6.19"/>
    <n v="50"/>
    <n v="399.02"/>
    <s v="Miami"/>
    <s v="French"/>
    <n v="992"/>
    <n v="4061"/>
    <n v="5"/>
    <s v="Fashionistas"/>
    <x v="145"/>
  </r>
  <r>
    <s v="Alpha Innovations"/>
    <x v="4"/>
    <s v="Men 18-24"/>
    <s v="30 days"/>
    <x v="2"/>
    <n v="7.0000000000000007E-2"/>
    <n v="12503"/>
    <n v="6.98"/>
    <n v="53"/>
    <n v="235.90566037735849"/>
    <s v="New York"/>
    <s v="German"/>
    <n v="759"/>
    <n v="1083"/>
    <n v="2"/>
    <s v="Foodies"/>
    <x v="146"/>
  </r>
  <r>
    <s v="DataTech Solutions"/>
    <x v="4"/>
    <s v="Women 25-34"/>
    <s v="45 days"/>
    <x v="3"/>
    <n v="0.08"/>
    <n v="5682"/>
    <n v="3.16"/>
    <n v="60"/>
    <n v="94.7"/>
    <s v="Chicago"/>
    <s v="German"/>
    <n v="752"/>
    <n v="7223"/>
    <n v="1"/>
    <s v="Health &amp; Wellness"/>
    <x v="147"/>
  </r>
  <r>
    <s v="NexGen Systems"/>
    <x v="4"/>
    <s v="All Ages"/>
    <s v="15 days"/>
    <x v="1"/>
    <n v="0.14000000000000001"/>
    <n v="16437"/>
    <n v="5.19"/>
    <n v="40"/>
    <n v="410.92500000000001"/>
    <s v="Chicago"/>
    <s v="Spanish"/>
    <n v="286"/>
    <n v="4963"/>
    <n v="10"/>
    <s v="Tech Enthusiasts"/>
    <x v="148"/>
  </r>
  <r>
    <s v="NexGen Systems"/>
    <x v="1"/>
    <s v="Men 18-24"/>
    <s v="15 days"/>
    <x v="3"/>
    <n v="0.12"/>
    <n v="17692"/>
    <n v="4"/>
    <n v="23"/>
    <n v="769.21739130434787"/>
    <s v="Houston"/>
    <s v="German"/>
    <n v="190"/>
    <n v="6054"/>
    <n v="5"/>
    <s v="Fashionistas"/>
    <x v="149"/>
  </r>
  <r>
    <s v="NexGen Systems"/>
    <x v="2"/>
    <s v="Women 25-34"/>
    <s v="30 days"/>
    <x v="4"/>
    <n v="0.08"/>
    <n v="12403"/>
    <n v="6.12"/>
    <n v="48"/>
    <n v="258.39583333333331"/>
    <s v="Chicago"/>
    <s v="Spanish"/>
    <n v="600"/>
    <n v="4015"/>
    <n v="2"/>
    <s v="Tech Enthusiasts"/>
    <x v="150"/>
  </r>
  <r>
    <s v="NexGen Systems"/>
    <x v="3"/>
    <s v="Women 25-34"/>
    <s v="45 days"/>
    <x v="2"/>
    <n v="0.09"/>
    <n v="17193"/>
    <n v="6.12"/>
    <n v="70"/>
    <n v="245.61428571428573"/>
    <s v="Miami"/>
    <s v="Spanish"/>
    <n v="783"/>
    <n v="5160"/>
    <n v="7"/>
    <s v="Foodies"/>
    <x v="151"/>
  </r>
  <r>
    <s v="Innovate Industries"/>
    <x v="3"/>
    <s v="Men 25-34"/>
    <s v="15 days"/>
    <x v="4"/>
    <n v="0.06"/>
    <n v="13512"/>
    <n v="7.85"/>
    <n v="42"/>
    <n v="321.71428571428572"/>
    <s v="New York"/>
    <s v="Spanish"/>
    <n v="705"/>
    <n v="7586"/>
    <n v="2"/>
    <s v="Fashionistas"/>
    <x v="152"/>
  </r>
  <r>
    <s v="TechCorp"/>
    <x v="4"/>
    <s v="Men 25-34"/>
    <s v="30 days"/>
    <x v="3"/>
    <n v="0.13"/>
    <n v="11391"/>
    <n v="7.35"/>
    <n v="104"/>
    <n v="109.52884615384616"/>
    <s v="Houston"/>
    <s v="French"/>
    <n v="798"/>
    <n v="9684"/>
    <n v="4"/>
    <s v="Health &amp; Wellness"/>
    <x v="153"/>
  </r>
  <r>
    <s v="Innovate Industries"/>
    <x v="2"/>
    <s v="Men 18-24"/>
    <s v="15 days"/>
    <x v="0"/>
    <n v="7.0000000000000007E-2"/>
    <n v="8491"/>
    <n v="5.28"/>
    <n v="33"/>
    <n v="257.30303030303031"/>
    <s v="Miami"/>
    <s v="English"/>
    <n v="466"/>
    <n v="4852"/>
    <n v="10"/>
    <s v="Fashionistas"/>
    <x v="154"/>
  </r>
  <r>
    <s v="TechCorp"/>
    <x v="3"/>
    <s v="Women 35-44"/>
    <s v="45 days"/>
    <x v="2"/>
    <n v="0.09"/>
    <n v="9201"/>
    <n v="7.25"/>
    <n v="60"/>
    <n v="153.35"/>
    <s v="Houston"/>
    <s v="French"/>
    <n v="670"/>
    <n v="1761"/>
    <n v="8"/>
    <s v="Outdoor Adventurers"/>
    <x v="155"/>
  </r>
  <r>
    <s v="DataTech Solutions"/>
    <x v="2"/>
    <s v="Women 25-34"/>
    <s v="45 days"/>
    <x v="3"/>
    <n v="0.1"/>
    <n v="17714"/>
    <n v="2.72"/>
    <n v="29"/>
    <n v="610.82758620689651"/>
    <s v="Los Angeles"/>
    <s v="Mandarin"/>
    <n v="288"/>
    <n v="9359"/>
    <n v="7"/>
    <s v="Foodies"/>
    <x v="156"/>
  </r>
  <r>
    <s v="TechCorp"/>
    <x v="4"/>
    <s v="Women 25-34"/>
    <s v="30 days"/>
    <x v="4"/>
    <n v="0.03"/>
    <n v="19633"/>
    <n v="5.35"/>
    <n v="9"/>
    <n v="2181.4444444444443"/>
    <s v="New York"/>
    <s v="English"/>
    <n v="286"/>
    <n v="8652"/>
    <n v="5"/>
    <s v="Foodies"/>
    <x v="157"/>
  </r>
  <r>
    <s v="DataTech Solutions"/>
    <x v="1"/>
    <s v="Women 25-34"/>
    <s v="45 days"/>
    <x v="0"/>
    <n v="0.1"/>
    <n v="5839"/>
    <n v="6.06"/>
    <n v="72"/>
    <n v="81.097222222222229"/>
    <s v="Houston"/>
    <s v="English"/>
    <n v="720"/>
    <n v="7297"/>
    <n v="4"/>
    <s v="Foodies"/>
    <x v="158"/>
  </r>
  <r>
    <s v="TechCorp"/>
    <x v="4"/>
    <s v="Women 35-44"/>
    <s v="30 days"/>
    <x v="4"/>
    <n v="0.11"/>
    <n v="13388"/>
    <n v="3.47"/>
    <n v="66"/>
    <n v="202.84848484848484"/>
    <s v="Miami"/>
    <s v="Spanish"/>
    <n v="604"/>
    <n v="6180"/>
    <n v="6"/>
    <s v="Health &amp; Wellness"/>
    <x v="159"/>
  </r>
  <r>
    <s v="NexGen Systems"/>
    <x v="1"/>
    <s v="All Ages"/>
    <s v="30 days"/>
    <x v="2"/>
    <n v="0.12"/>
    <n v="17265"/>
    <n v="3.02"/>
    <n v="99"/>
    <n v="174.39393939393941"/>
    <s v="Los Angeles"/>
    <s v="French"/>
    <n v="827"/>
    <n v="3415"/>
    <n v="6"/>
    <s v="Tech Enthusiasts"/>
    <x v="160"/>
  </r>
  <r>
    <s v="DataTech Solutions"/>
    <x v="4"/>
    <s v="Women 25-34"/>
    <s v="30 days"/>
    <x v="3"/>
    <n v="0.02"/>
    <n v="7280"/>
    <n v="6.72"/>
    <n v="7"/>
    <n v="1040"/>
    <s v="New York"/>
    <s v="French"/>
    <n v="361"/>
    <n v="9861"/>
    <n v="7"/>
    <s v="Outdoor Adventurers"/>
    <x v="161"/>
  </r>
  <r>
    <s v="Innovate Industries"/>
    <x v="1"/>
    <s v="Women 25-34"/>
    <s v="45 days"/>
    <x v="2"/>
    <n v="0.13"/>
    <n v="12603"/>
    <n v="2.5099999999999998"/>
    <n v="71"/>
    <n v="177.50704225352112"/>
    <s v="Chicago"/>
    <s v="Spanish"/>
    <n v="544"/>
    <n v="4306"/>
    <n v="5"/>
    <s v="Fashionistas"/>
    <x v="162"/>
  </r>
  <r>
    <s v="Innovate Industries"/>
    <x v="3"/>
    <s v="Men 25-34"/>
    <s v="45 days"/>
    <x v="4"/>
    <n v="0.11"/>
    <n v="17396"/>
    <n v="6.01"/>
    <n v="88"/>
    <n v="197.68181818181819"/>
    <s v="Miami"/>
    <s v="English"/>
    <n v="804"/>
    <n v="6361"/>
    <n v="10"/>
    <s v="Tech Enthusiasts"/>
    <x v="163"/>
  </r>
  <r>
    <s v="Innovate Industries"/>
    <x v="2"/>
    <s v="Men 18-24"/>
    <s v="30 days"/>
    <x v="2"/>
    <n v="0.12"/>
    <n v="12656"/>
    <n v="2.19"/>
    <n v="36"/>
    <n v="351.55555555555554"/>
    <s v="Houston"/>
    <s v="Spanish"/>
    <n v="297"/>
    <n v="6179"/>
    <n v="4"/>
    <s v="Health &amp; Wellness"/>
    <x v="164"/>
  </r>
  <r>
    <s v="TechCorp"/>
    <x v="4"/>
    <s v="Men 25-34"/>
    <s v="45 days"/>
    <x v="3"/>
    <n v="0.01"/>
    <n v="12857"/>
    <n v="7.2"/>
    <n v="6"/>
    <n v="2142.8333333333335"/>
    <s v="Miami"/>
    <s v="Spanish"/>
    <n v="603"/>
    <n v="7551"/>
    <n v="9"/>
    <s v="Foodies"/>
    <x v="165"/>
  </r>
  <r>
    <s v="TechCorp"/>
    <x v="0"/>
    <s v="Women 35-44"/>
    <s v="30 days"/>
    <x v="3"/>
    <n v="7.0000000000000007E-2"/>
    <n v="5067"/>
    <n v="4.54"/>
    <n v="14"/>
    <n v="361.92857142857144"/>
    <s v="Chicago"/>
    <s v="Spanish"/>
    <n v="193"/>
    <n v="8968"/>
    <n v="9"/>
    <s v="Health &amp; Wellness"/>
    <x v="166"/>
  </r>
  <r>
    <s v="Alpha Innovations"/>
    <x v="2"/>
    <s v="Women 25-34"/>
    <s v="60 days"/>
    <x v="5"/>
    <n v="0.01"/>
    <n v="11997"/>
    <n v="7.42"/>
    <n v="9"/>
    <n v="1333"/>
    <s v="Miami"/>
    <s v="French"/>
    <n v="941"/>
    <n v="1986"/>
    <n v="2"/>
    <s v="Health &amp; Wellness"/>
    <x v="167"/>
  </r>
  <r>
    <s v="DataTech Solutions"/>
    <x v="2"/>
    <s v="Men 25-34"/>
    <s v="60 days"/>
    <x v="5"/>
    <n v="0.12"/>
    <n v="8421"/>
    <n v="3.38"/>
    <n v="56"/>
    <n v="150.375"/>
    <s v="Houston"/>
    <s v="French"/>
    <n v="466"/>
    <n v="5689"/>
    <n v="1"/>
    <s v="Foodies"/>
    <x v="168"/>
  </r>
  <r>
    <s v="Alpha Innovations"/>
    <x v="3"/>
    <s v="Women 25-34"/>
    <s v="60 days"/>
    <x v="5"/>
    <n v="0.06"/>
    <n v="7569"/>
    <n v="4.04"/>
    <n v="36"/>
    <n v="210.25"/>
    <s v="New York"/>
    <s v="German"/>
    <n v="599"/>
    <n v="3805"/>
    <n v="9"/>
    <s v="Health &amp; Wellness"/>
    <x v="169"/>
  </r>
  <r>
    <s v="NexGen Systems"/>
    <x v="3"/>
    <s v="Men 18-24"/>
    <s v="45 days"/>
    <x v="2"/>
    <n v="0.11"/>
    <n v="16535"/>
    <n v="3.02"/>
    <n v="13"/>
    <n v="1271.9230769230769"/>
    <s v="New York"/>
    <s v="German"/>
    <n v="122"/>
    <n v="7488"/>
    <n v="10"/>
    <s v="Health &amp; Wellness"/>
    <x v="170"/>
  </r>
  <r>
    <s v="DataTech Solutions"/>
    <x v="2"/>
    <s v="All Ages"/>
    <s v="15 days"/>
    <x v="5"/>
    <n v="0.06"/>
    <n v="7599"/>
    <n v="5.26"/>
    <n v="43"/>
    <n v="176.72093023255815"/>
    <s v="Chicago"/>
    <s v="Mandarin"/>
    <n v="712"/>
    <n v="9733"/>
    <n v="1"/>
    <s v="Tech Enthusiasts"/>
    <x v="171"/>
  </r>
  <r>
    <s v="Innovate Industries"/>
    <x v="2"/>
    <s v="All Ages"/>
    <s v="30 days"/>
    <x v="4"/>
    <n v="0.08"/>
    <n v="15125"/>
    <n v="2.48"/>
    <n v="14"/>
    <n v="1080.3571428571429"/>
    <s v="Houston"/>
    <s v="German"/>
    <n v="169"/>
    <n v="4112"/>
    <n v="4"/>
    <s v="Foodies"/>
    <x v="172"/>
  </r>
  <r>
    <s v="TechCorp"/>
    <x v="3"/>
    <s v="Women 25-34"/>
    <s v="15 days"/>
    <x v="2"/>
    <n v="0.14000000000000001"/>
    <n v="8137"/>
    <n v="2.39"/>
    <n v="52"/>
    <n v="156.48076923076923"/>
    <s v="Chicago"/>
    <s v="French"/>
    <n v="373"/>
    <n v="6230"/>
    <n v="6"/>
    <s v="Outdoor Adventurers"/>
    <x v="173"/>
  </r>
  <r>
    <s v="NexGen Systems"/>
    <x v="3"/>
    <s v="Men 18-24"/>
    <s v="60 days"/>
    <x v="4"/>
    <n v="0.05"/>
    <n v="19452"/>
    <n v="4.4800000000000004"/>
    <n v="22"/>
    <n v="884.18181818181813"/>
    <s v="Miami"/>
    <s v="English"/>
    <n v="445"/>
    <n v="3133"/>
    <n v="2"/>
    <s v="Foodies"/>
    <x v="174"/>
  </r>
  <r>
    <s v="NexGen Systems"/>
    <x v="2"/>
    <s v="Women 35-44"/>
    <s v="60 days"/>
    <x v="3"/>
    <n v="0.06"/>
    <n v="6740"/>
    <n v="2.89"/>
    <n v="36"/>
    <n v="187.22222222222223"/>
    <s v="New York"/>
    <s v="English"/>
    <n v="593"/>
    <n v="4152"/>
    <n v="4"/>
    <s v="Fashionistas"/>
    <x v="175"/>
  </r>
  <r>
    <s v="Innovate Industries"/>
    <x v="3"/>
    <s v="All Ages"/>
    <s v="30 days"/>
    <x v="4"/>
    <n v="0.1"/>
    <n v="19507"/>
    <n v="6.56"/>
    <n v="54"/>
    <n v="361.24074074074076"/>
    <s v="Houston"/>
    <s v="French"/>
    <n v="537"/>
    <n v="6749"/>
    <n v="10"/>
    <s v="Tech Enthusiasts"/>
    <x v="176"/>
  </r>
  <r>
    <s v="TechCorp"/>
    <x v="1"/>
    <s v="Men 25-34"/>
    <s v="45 days"/>
    <x v="0"/>
    <n v="0.08"/>
    <n v="10648"/>
    <n v="7.87"/>
    <n v="32"/>
    <n v="332.75"/>
    <s v="Los Angeles"/>
    <s v="English"/>
    <n v="401"/>
    <n v="7094"/>
    <n v="5"/>
    <s v="Fashionistas"/>
    <x v="177"/>
  </r>
  <r>
    <s v="TechCorp"/>
    <x v="3"/>
    <s v="Women 35-44"/>
    <s v="30 days"/>
    <x v="1"/>
    <n v="0.1"/>
    <n v="18643"/>
    <n v="6.74"/>
    <n v="89"/>
    <n v="209.47191011235955"/>
    <s v="Chicago"/>
    <s v="French"/>
    <n v="892"/>
    <n v="2888"/>
    <n v="7"/>
    <s v="Health &amp; Wellness"/>
    <x v="178"/>
  </r>
  <r>
    <s v="TechCorp"/>
    <x v="0"/>
    <s v="Men 25-34"/>
    <s v="45 days"/>
    <x v="4"/>
    <n v="0.08"/>
    <n v="7804"/>
    <n v="3.75"/>
    <n v="32"/>
    <n v="243.875"/>
    <s v="Houston"/>
    <s v="French"/>
    <n v="402"/>
    <n v="4662"/>
    <n v="3"/>
    <s v="Health &amp; Wellness"/>
    <x v="179"/>
  </r>
  <r>
    <s v="DataTech Solutions"/>
    <x v="0"/>
    <s v="Women 25-34"/>
    <s v="15 days"/>
    <x v="2"/>
    <n v="0.01"/>
    <n v="7395"/>
    <n v="2.0099999999999998"/>
    <n v="4"/>
    <n v="1848.75"/>
    <s v="New York"/>
    <s v="French"/>
    <n v="383"/>
    <n v="7248"/>
    <n v="6"/>
    <s v="Foodies"/>
    <x v="180"/>
  </r>
  <r>
    <s v="Innovate Industries"/>
    <x v="2"/>
    <s v="Men 25-34"/>
    <s v="60 days"/>
    <x v="5"/>
    <n v="0.13"/>
    <n v="13122"/>
    <n v="5.89"/>
    <n v="69"/>
    <n v="190.17391304347825"/>
    <s v="Chicago"/>
    <s v="Mandarin"/>
    <n v="530"/>
    <n v="6444"/>
    <n v="7"/>
    <s v="Foodies"/>
    <x v="181"/>
  </r>
  <r>
    <s v="TechCorp"/>
    <x v="2"/>
    <s v="Women 35-44"/>
    <s v="30 days"/>
    <x v="4"/>
    <n v="0.15"/>
    <n v="8628"/>
    <n v="5.38"/>
    <n v="71"/>
    <n v="121.52112676056338"/>
    <s v="New York"/>
    <s v="Spanish"/>
    <n v="471"/>
    <n v="8081"/>
    <n v="4"/>
    <s v="Tech Enthusiasts"/>
    <x v="182"/>
  </r>
  <r>
    <s v="TechCorp"/>
    <x v="3"/>
    <s v="Men 25-34"/>
    <s v="60 days"/>
    <x v="1"/>
    <n v="0.05"/>
    <n v="10154"/>
    <n v="7.04"/>
    <n v="13"/>
    <n v="781.07692307692309"/>
    <s v="Chicago"/>
    <s v="Mandarin"/>
    <n v="257"/>
    <n v="2082"/>
    <n v="10"/>
    <s v="Tech Enthusiasts"/>
    <x v="183"/>
  </r>
  <r>
    <s v="TechCorp"/>
    <x v="3"/>
    <s v="Men 18-24"/>
    <s v="45 days"/>
    <x v="1"/>
    <n v="0.14000000000000001"/>
    <n v="5007"/>
    <n v="3.6"/>
    <n v="44"/>
    <n v="113.79545454545455"/>
    <s v="Miami"/>
    <s v="English"/>
    <n v="311"/>
    <n v="7766"/>
    <n v="4"/>
    <s v="Tech Enthusiasts"/>
    <x v="184"/>
  </r>
  <r>
    <s v="DataTech Solutions"/>
    <x v="3"/>
    <s v="All Ages"/>
    <s v="60 days"/>
    <x v="2"/>
    <n v="0.1"/>
    <n v="15330"/>
    <n v="4.79"/>
    <n v="64"/>
    <n v="239.53125"/>
    <s v="Chicago"/>
    <s v="Spanish"/>
    <n v="635"/>
    <n v="1921"/>
    <n v="5"/>
    <s v="Fashionistas"/>
    <x v="185"/>
  </r>
  <r>
    <s v="Innovate Industries"/>
    <x v="0"/>
    <s v="Men 18-24"/>
    <s v="60 days"/>
    <x v="2"/>
    <n v="0.14000000000000001"/>
    <n v="16917"/>
    <n v="4.0599999999999996"/>
    <n v="93"/>
    <n v="181.90322580645162"/>
    <s v="Chicago"/>
    <s v="German"/>
    <n v="662"/>
    <n v="6649"/>
    <n v="5"/>
    <s v="Foodies"/>
    <x v="186"/>
  </r>
  <r>
    <s v="DataTech Solutions"/>
    <x v="3"/>
    <s v="Men 25-34"/>
    <s v="60 days"/>
    <x v="2"/>
    <n v="0.05"/>
    <n v="12857"/>
    <n v="2.34"/>
    <n v="18"/>
    <n v="714.27777777777783"/>
    <s v="Los Angeles"/>
    <s v="English"/>
    <n v="352"/>
    <n v="1275"/>
    <n v="2"/>
    <s v="Outdoor Adventurers"/>
    <x v="187"/>
  </r>
  <r>
    <s v="Innovate Industries"/>
    <x v="4"/>
    <s v="Women 25-34"/>
    <s v="45 days"/>
    <x v="1"/>
    <n v="0.01"/>
    <n v="18630"/>
    <n v="4.46"/>
    <n v="5"/>
    <n v="3726"/>
    <s v="Los Angeles"/>
    <s v="English"/>
    <n v="478"/>
    <n v="9310"/>
    <n v="6"/>
    <s v="Outdoor Adventurers"/>
    <x v="188"/>
  </r>
  <r>
    <s v="Alpha Innovations"/>
    <x v="1"/>
    <s v="Women 35-44"/>
    <s v="45 days"/>
    <x v="5"/>
    <n v="0.1"/>
    <n v="13645"/>
    <n v="4.8600000000000003"/>
    <n v="83"/>
    <n v="164.39759036144579"/>
    <s v="Miami"/>
    <s v="French"/>
    <n v="829"/>
    <n v="1113"/>
    <n v="4"/>
    <s v="Tech Enthusiasts"/>
    <x v="189"/>
  </r>
  <r>
    <s v="Alpha Innovations"/>
    <x v="1"/>
    <s v="Men 18-24"/>
    <s v="15 days"/>
    <x v="5"/>
    <n v="0.11"/>
    <n v="15134"/>
    <n v="6.63"/>
    <n v="107"/>
    <n v="141.43925233644859"/>
    <s v="Los Angeles"/>
    <s v="Mandarin"/>
    <n v="976"/>
    <n v="6816"/>
    <n v="5"/>
    <s v="Health &amp; Wellness"/>
    <x v="190"/>
  </r>
  <r>
    <s v="Alpha Innovations"/>
    <x v="2"/>
    <s v="Women 35-44"/>
    <s v="45 days"/>
    <x v="4"/>
    <n v="0.01"/>
    <n v="18580"/>
    <n v="7.02"/>
    <n v="8"/>
    <n v="2322.5"/>
    <s v="Houston"/>
    <s v="German"/>
    <n v="787"/>
    <n v="3100"/>
    <n v="5"/>
    <s v="Tech Enthusiasts"/>
    <x v="191"/>
  </r>
  <r>
    <s v="Alpha Innovations"/>
    <x v="1"/>
    <s v="Women 35-44"/>
    <s v="30 days"/>
    <x v="0"/>
    <n v="0.02"/>
    <n v="6250"/>
    <n v="2.19"/>
    <n v="14"/>
    <n v="446.42857142857144"/>
    <s v="Houston"/>
    <s v="French"/>
    <n v="681"/>
    <n v="8052"/>
    <n v="9"/>
    <s v="Tech Enthusiasts"/>
    <x v="192"/>
  </r>
  <r>
    <s v="Alpha Innovations"/>
    <x v="0"/>
    <s v="All Ages"/>
    <s v="30 days"/>
    <x v="4"/>
    <n v="0.12"/>
    <n v="12045"/>
    <n v="4.45"/>
    <n v="81"/>
    <n v="148.7037037037037"/>
    <s v="Los Angeles"/>
    <s v="Mandarin"/>
    <n v="671"/>
    <n v="1427"/>
    <n v="10"/>
    <s v="Fashionistas"/>
    <x v="193"/>
  </r>
  <r>
    <s v="DataTech Solutions"/>
    <x v="1"/>
    <s v="Women 25-34"/>
    <s v="30 days"/>
    <x v="4"/>
    <n v="0.03"/>
    <n v="9174"/>
    <n v="2.5099999999999998"/>
    <n v="24"/>
    <n v="382.25"/>
    <s v="Miami"/>
    <s v="Spanish"/>
    <n v="815"/>
    <n v="3750"/>
    <n v="4"/>
    <s v="Tech Enthusiasts"/>
    <x v="194"/>
  </r>
  <r>
    <s v="TechCorp"/>
    <x v="2"/>
    <s v="All Ages"/>
    <s v="15 days"/>
    <x v="1"/>
    <n v="0.12"/>
    <n v="5617"/>
    <n v="3.91"/>
    <n v="58"/>
    <n v="96.84482758620689"/>
    <s v="Houston"/>
    <s v="English"/>
    <n v="484"/>
    <n v="8033"/>
    <n v="5"/>
    <s v="Fashionistas"/>
    <x v="195"/>
  </r>
  <r>
    <s v="TechCorp"/>
    <x v="1"/>
    <s v="Women 25-34"/>
    <s v="45 days"/>
    <x v="2"/>
    <n v="0.11"/>
    <n v="10048"/>
    <n v="4.43"/>
    <n v="45"/>
    <n v="223.28888888888889"/>
    <s v="New York"/>
    <s v="Mandarin"/>
    <n v="411"/>
    <n v="9400"/>
    <n v="7"/>
    <s v="Health &amp; Wellness"/>
    <x v="196"/>
  </r>
  <r>
    <s v="NexGen Systems"/>
    <x v="2"/>
    <s v="Men 25-34"/>
    <s v="15 days"/>
    <x v="2"/>
    <n v="0.06"/>
    <n v="16406"/>
    <n v="7.45"/>
    <n v="27"/>
    <n v="607.62962962962968"/>
    <s v="Miami"/>
    <s v="French"/>
    <n v="455"/>
    <n v="2607"/>
    <n v="1"/>
    <s v="Health &amp; Wellness"/>
    <x v="197"/>
  </r>
  <r>
    <s v="DataTech Solutions"/>
    <x v="2"/>
    <s v="Women 25-34"/>
    <s v="60 days"/>
    <x v="5"/>
    <n v="0.03"/>
    <n v="15443"/>
    <n v="3.07"/>
    <n v="17"/>
    <n v="908.41176470588232"/>
    <s v="Miami"/>
    <s v="Spanish"/>
    <n v="575"/>
    <n v="1221"/>
    <n v="1"/>
    <s v="Fashionistas"/>
    <x v="198"/>
  </r>
  <r>
    <s v="Alpha Innovations"/>
    <x v="1"/>
    <s v="Women 25-34"/>
    <s v="45 days"/>
    <x v="0"/>
    <n v="0.03"/>
    <n v="19332"/>
    <n v="6.41"/>
    <n v="9"/>
    <n v="2148"/>
    <s v="Los Angeles"/>
    <s v="English"/>
    <n v="303"/>
    <n v="1046"/>
    <n v="8"/>
    <s v="Fashionistas"/>
    <x v="199"/>
  </r>
  <r>
    <s v="Alpha Innovations"/>
    <x v="2"/>
    <s v="Men 25-34"/>
    <s v="45 days"/>
    <x v="3"/>
    <n v="7.0000000000000007E-2"/>
    <n v="6540"/>
    <n v="4.66"/>
    <n v="20"/>
    <n v="327"/>
    <s v="New York"/>
    <s v="English"/>
    <n v="281"/>
    <n v="9590"/>
    <n v="9"/>
    <s v="Outdoor Adventurers"/>
    <x v="200"/>
  </r>
  <r>
    <s v="Alpha Innovations"/>
    <x v="4"/>
    <s v="Women 35-44"/>
    <s v="30 days"/>
    <x v="4"/>
    <n v="0.09"/>
    <n v="8222"/>
    <n v="2.42"/>
    <n v="49"/>
    <n v="167.79591836734693"/>
    <s v="Miami"/>
    <s v="French"/>
    <n v="549"/>
    <n v="8103"/>
    <n v="4"/>
    <s v="Tech Enthusiasts"/>
    <x v="201"/>
  </r>
  <r>
    <s v="NexGen Systems"/>
    <x v="1"/>
    <s v="Men 18-24"/>
    <s v="30 days"/>
    <x v="0"/>
    <n v="7.0000000000000007E-2"/>
    <n v="15535"/>
    <n v="2.66"/>
    <n v="61"/>
    <n v="254.67213114754099"/>
    <s v="New York"/>
    <s v="German"/>
    <n v="877"/>
    <n v="2225"/>
    <n v="8"/>
    <s v="Outdoor Adventurers"/>
    <x v="202"/>
  </r>
  <r>
    <s v="NexGen Systems"/>
    <x v="0"/>
    <s v="Men 18-24"/>
    <s v="45 days"/>
    <x v="5"/>
    <n v="0.08"/>
    <n v="11012"/>
    <n v="2.54"/>
    <n v="31"/>
    <n v="355.22580645161293"/>
    <s v="Los Angeles"/>
    <s v="English"/>
    <n v="390"/>
    <n v="9983"/>
    <n v="10"/>
    <s v="Tech Enthusiasts"/>
    <x v="203"/>
  </r>
  <r>
    <s v="DataTech Solutions"/>
    <x v="2"/>
    <s v="Women 25-34"/>
    <s v="60 days"/>
    <x v="3"/>
    <n v="0.15"/>
    <n v="14232"/>
    <n v="6.45"/>
    <n v="71"/>
    <n v="200.45070422535213"/>
    <s v="Chicago"/>
    <s v="Mandarin"/>
    <n v="473"/>
    <n v="4302"/>
    <n v="5"/>
    <s v="Outdoor Adventurers"/>
    <x v="204"/>
  </r>
  <r>
    <s v="Innovate Industries"/>
    <x v="0"/>
    <s v="All Ages"/>
    <s v="30 days"/>
    <x v="2"/>
    <n v="0.13"/>
    <n v="8268"/>
    <n v="7.06"/>
    <n v="95"/>
    <n v="87.031578947368416"/>
    <s v="Los Angeles"/>
    <s v="German"/>
    <n v="728"/>
    <n v="2403"/>
    <n v="10"/>
    <s v="Fashionistas"/>
    <x v="205"/>
  </r>
  <r>
    <s v="Innovate Industries"/>
    <x v="0"/>
    <s v="All Ages"/>
    <s v="60 days"/>
    <x v="1"/>
    <n v="0.11"/>
    <n v="11792"/>
    <n v="3.49"/>
    <n v="46"/>
    <n v="256.3478260869565"/>
    <s v="Los Angeles"/>
    <s v="English"/>
    <n v="421"/>
    <n v="2152"/>
    <n v="9"/>
    <s v="Tech Enthusiasts"/>
    <x v="206"/>
  </r>
  <r>
    <s v="TechCorp"/>
    <x v="1"/>
    <s v="Men 25-34"/>
    <s v="15 days"/>
    <x v="0"/>
    <n v="0.02"/>
    <n v="15657"/>
    <n v="4.2300000000000004"/>
    <n v="18"/>
    <n v="869.83333333333337"/>
    <s v="Houston"/>
    <s v="Mandarin"/>
    <n v="918"/>
    <n v="6710"/>
    <n v="7"/>
    <s v="Health &amp; Wellness"/>
    <x v="207"/>
  </r>
  <r>
    <s v="TechCorp"/>
    <x v="3"/>
    <s v="All Ages"/>
    <s v="60 days"/>
    <x v="2"/>
    <n v="0.12"/>
    <n v="6537"/>
    <n v="7.26"/>
    <n v="41"/>
    <n v="159.4390243902439"/>
    <s v="Chicago"/>
    <s v="English"/>
    <n v="345"/>
    <n v="3629"/>
    <n v="10"/>
    <s v="Fashionistas"/>
    <x v="208"/>
  </r>
  <r>
    <s v="NexGen Systems"/>
    <x v="1"/>
    <s v="Men 18-24"/>
    <s v="30 days"/>
    <x v="3"/>
    <n v="0.14000000000000001"/>
    <n v="19732"/>
    <n v="7.3"/>
    <n v="25"/>
    <n v="789.28"/>
    <s v="Miami"/>
    <s v="Spanish"/>
    <n v="179"/>
    <n v="6301"/>
    <n v="2"/>
    <s v="Foodies"/>
    <x v="209"/>
  </r>
  <r>
    <s v="NexGen Systems"/>
    <x v="0"/>
    <s v="All Ages"/>
    <s v="45 days"/>
    <x v="3"/>
    <n v="0.02"/>
    <n v="15572"/>
    <n v="4"/>
    <n v="4"/>
    <n v="3893"/>
    <s v="Chicago"/>
    <s v="Mandarin"/>
    <n v="182"/>
    <n v="4940"/>
    <n v="8"/>
    <s v="Health &amp; Wellness"/>
    <x v="210"/>
  </r>
  <r>
    <s v="Innovate Industries"/>
    <x v="0"/>
    <s v="Men 25-34"/>
    <s v="45 days"/>
    <x v="1"/>
    <n v="0.12"/>
    <n v="14855"/>
    <n v="7.35"/>
    <n v="19"/>
    <n v="781.84210526315792"/>
    <s v="Los Angeles"/>
    <s v="English"/>
    <n v="161"/>
    <n v="8337"/>
    <n v="9"/>
    <s v="Health &amp; Wellness"/>
    <x v="211"/>
  </r>
  <r>
    <s v="Innovate Industries"/>
    <x v="2"/>
    <s v="All Ages"/>
    <s v="60 days"/>
    <x v="3"/>
    <n v="0.14000000000000001"/>
    <n v="8560"/>
    <n v="5.52"/>
    <n v="99"/>
    <n v="86.464646464646464"/>
    <s v="Los Angeles"/>
    <s v="German"/>
    <n v="710"/>
    <n v="8806"/>
    <n v="8"/>
    <s v="Outdoor Adventurers"/>
    <x v="212"/>
  </r>
  <r>
    <s v="Innovate Industries"/>
    <x v="3"/>
    <s v="Women 35-44"/>
    <s v="15 days"/>
    <x v="1"/>
    <n v="0.02"/>
    <n v="15178"/>
    <n v="3.13"/>
    <n v="15"/>
    <n v="1011.8666666666667"/>
    <s v="Miami"/>
    <s v="Spanish"/>
    <n v="740"/>
    <n v="9462"/>
    <n v="2"/>
    <s v="Tech Enthusiasts"/>
    <x v="213"/>
  </r>
  <r>
    <s v="DataTech Solutions"/>
    <x v="0"/>
    <s v="All Ages"/>
    <s v="45 days"/>
    <x v="5"/>
    <n v="0.08"/>
    <n v="16807"/>
    <n v="7.49"/>
    <n v="23"/>
    <n v="730.73913043478262"/>
    <s v="Chicago"/>
    <s v="French"/>
    <n v="290"/>
    <n v="9901"/>
    <n v="5"/>
    <s v="Foodies"/>
    <x v="214"/>
  </r>
  <r>
    <s v="TechCorp"/>
    <x v="3"/>
    <s v="All Ages"/>
    <s v="60 days"/>
    <x v="1"/>
    <n v="0.14000000000000001"/>
    <n v="13139"/>
    <n v="4.45"/>
    <n v="78"/>
    <n v="168.44871794871796"/>
    <s v="Miami"/>
    <s v="French"/>
    <n v="560"/>
    <n v="6852"/>
    <n v="5"/>
    <s v="Foodies"/>
    <x v="215"/>
  </r>
  <r>
    <s v="DataTech Solutions"/>
    <x v="4"/>
    <s v="Men 25-34"/>
    <s v="15 days"/>
    <x v="0"/>
    <n v="0.11"/>
    <n v="12191"/>
    <n v="3.54"/>
    <n v="74"/>
    <n v="164.74324324324326"/>
    <s v="Los Angeles"/>
    <s v="English"/>
    <n v="677"/>
    <n v="2146"/>
    <n v="1"/>
    <s v="Foodies"/>
    <x v="216"/>
  </r>
  <r>
    <s v="DataTech Solutions"/>
    <x v="3"/>
    <s v="Women 35-44"/>
    <s v="45 days"/>
    <x v="5"/>
    <n v="0.09"/>
    <n v="6953"/>
    <n v="6.61"/>
    <n v="75"/>
    <n v="92.706666666666663"/>
    <s v="New York"/>
    <s v="English"/>
    <n v="829"/>
    <n v="5177"/>
    <n v="10"/>
    <s v="Outdoor Adventurers"/>
    <x v="217"/>
  </r>
  <r>
    <s v="DataTech Solutions"/>
    <x v="1"/>
    <s v="Men 25-34"/>
    <s v="15 days"/>
    <x v="5"/>
    <n v="0.14000000000000001"/>
    <n v="16829"/>
    <n v="6.14"/>
    <n v="39"/>
    <n v="431.5128205128205"/>
    <s v="Houston"/>
    <s v="French"/>
    <n v="275"/>
    <n v="2728"/>
    <n v="2"/>
    <s v="Foodies"/>
    <x v="218"/>
  </r>
  <r>
    <s v="DataTech Solutions"/>
    <x v="4"/>
    <s v="Men 25-34"/>
    <s v="15 days"/>
    <x v="0"/>
    <n v="0.11"/>
    <n v="9799"/>
    <n v="3.99"/>
    <n v="74"/>
    <n v="132.41891891891891"/>
    <s v="Chicago"/>
    <s v="Mandarin"/>
    <n v="674"/>
    <n v="3975"/>
    <n v="9"/>
    <s v="Fashionistas"/>
    <x v="219"/>
  </r>
  <r>
    <s v="TechCorp"/>
    <x v="3"/>
    <s v="Women 25-34"/>
    <s v="30 days"/>
    <x v="1"/>
    <n v="0.08"/>
    <n v="15970"/>
    <n v="7.81"/>
    <n v="44"/>
    <n v="362.95454545454544"/>
    <s v="Houston"/>
    <s v="Mandarin"/>
    <n v="544"/>
    <n v="4071"/>
    <n v="6"/>
    <s v="Tech Enthusiasts"/>
    <x v="220"/>
  </r>
  <r>
    <s v="Alpha Innovations"/>
    <x v="0"/>
    <s v="Women 35-44"/>
    <s v="45 days"/>
    <x v="0"/>
    <n v="0.05"/>
    <n v="19291"/>
    <n v="7.2"/>
    <n v="40"/>
    <n v="482.27499999999998"/>
    <s v="Los Angeles"/>
    <s v="Mandarin"/>
    <n v="806"/>
    <n v="1453"/>
    <n v="1"/>
    <s v="Tech Enthusiasts"/>
    <x v="221"/>
  </r>
  <r>
    <s v="TechCorp"/>
    <x v="0"/>
    <s v="Men 18-24"/>
    <s v="30 days"/>
    <x v="1"/>
    <n v="0.05"/>
    <n v="12934"/>
    <n v="7.82"/>
    <n v="50"/>
    <n v="258.68"/>
    <s v="Houston"/>
    <s v="Mandarin"/>
    <n v="994"/>
    <n v="6303"/>
    <n v="3"/>
    <s v="Tech Enthusiasts"/>
    <x v="222"/>
  </r>
  <r>
    <s v="NexGen Systems"/>
    <x v="4"/>
    <s v="Men 25-34"/>
    <s v="30 days"/>
    <x v="1"/>
    <n v="0.1"/>
    <n v="7835"/>
    <n v="5.92"/>
    <n v="92"/>
    <n v="85.163043478260875"/>
    <s v="Houston"/>
    <s v="English"/>
    <n v="919"/>
    <n v="2214"/>
    <n v="1"/>
    <s v="Tech Enthusiasts"/>
    <x v="223"/>
  </r>
  <r>
    <s v="DataTech Solutions"/>
    <x v="3"/>
    <s v="Men 18-24"/>
    <s v="45 days"/>
    <x v="5"/>
    <n v="0.03"/>
    <n v="19271"/>
    <n v="7.46"/>
    <n v="26"/>
    <n v="741.19230769230774"/>
    <s v="Los Angeles"/>
    <s v="French"/>
    <n v="868"/>
    <n v="5872"/>
    <n v="5"/>
    <s v="Outdoor Adventurers"/>
    <x v="224"/>
  </r>
  <r>
    <s v="TechCorp"/>
    <x v="2"/>
    <s v="Women 25-34"/>
    <s v="15 days"/>
    <x v="3"/>
    <n v="0.1"/>
    <n v="17955"/>
    <n v="6.15"/>
    <n v="68"/>
    <n v="264.04411764705884"/>
    <s v="Los Angeles"/>
    <s v="Mandarin"/>
    <n v="676"/>
    <n v="1174"/>
    <n v="8"/>
    <s v="Foodies"/>
    <x v="225"/>
  </r>
  <r>
    <s v="TechCorp"/>
    <x v="3"/>
    <s v="All Ages"/>
    <s v="45 days"/>
    <x v="0"/>
    <n v="0.11"/>
    <n v="18903"/>
    <n v="3.64"/>
    <n v="20"/>
    <n v="945.15"/>
    <s v="Miami"/>
    <s v="French"/>
    <n v="183"/>
    <n v="7663"/>
    <n v="2"/>
    <s v="Fashionistas"/>
    <x v="226"/>
  </r>
  <r>
    <s v="Innovate Industries"/>
    <x v="1"/>
    <s v="Men 25-34"/>
    <s v="15 days"/>
    <x v="0"/>
    <n v="0.08"/>
    <n v="10551"/>
    <n v="4.87"/>
    <n v="8"/>
    <n v="1318.875"/>
    <s v="Chicago"/>
    <s v="French"/>
    <n v="104"/>
    <n v="3427"/>
    <n v="7"/>
    <s v="Foodies"/>
    <x v="227"/>
  </r>
  <r>
    <s v="NexGen Systems"/>
    <x v="0"/>
    <s v="Men 25-34"/>
    <s v="45 days"/>
    <x v="3"/>
    <n v="0.1"/>
    <n v="9561"/>
    <n v="2.16"/>
    <n v="74"/>
    <n v="129.20270270270271"/>
    <s v="Miami"/>
    <s v="Spanish"/>
    <n v="742"/>
    <n v="3883"/>
    <n v="7"/>
    <s v="Foodies"/>
    <x v="228"/>
  </r>
  <r>
    <s v="DataTech Solutions"/>
    <x v="3"/>
    <s v="Women 35-44"/>
    <s v="60 days"/>
    <x v="0"/>
    <n v="0.1"/>
    <n v="14218"/>
    <n v="2.0499999999999998"/>
    <n v="35"/>
    <n v="406.22857142857146"/>
    <s v="Miami"/>
    <s v="Spanish"/>
    <n v="354"/>
    <n v="2111"/>
    <n v="4"/>
    <s v="Tech Enthusiasts"/>
    <x v="229"/>
  </r>
  <r>
    <s v="DataTech Solutions"/>
    <x v="3"/>
    <s v="Women 35-44"/>
    <s v="30 days"/>
    <x v="1"/>
    <n v="0.11"/>
    <n v="6339"/>
    <n v="4.7300000000000004"/>
    <n v="69"/>
    <n v="91.869565217391298"/>
    <s v="Los Angeles"/>
    <s v="French"/>
    <n v="623"/>
    <n v="8066"/>
    <n v="2"/>
    <s v="Foodies"/>
    <x v="230"/>
  </r>
  <r>
    <s v="Innovate Industries"/>
    <x v="4"/>
    <s v="Men 18-24"/>
    <s v="15 days"/>
    <x v="2"/>
    <n v="7.0000000000000007E-2"/>
    <n v="17938"/>
    <n v="4.38"/>
    <n v="63"/>
    <n v="284.73015873015873"/>
    <s v="Los Angeles"/>
    <s v="German"/>
    <n v="902"/>
    <n v="8093"/>
    <n v="2"/>
    <s v="Tech Enthusiasts"/>
    <x v="231"/>
  </r>
  <r>
    <s v="Alpha Innovations"/>
    <x v="4"/>
    <s v="Women 35-44"/>
    <s v="15 days"/>
    <x v="4"/>
    <n v="0.01"/>
    <n v="16794"/>
    <n v="2.75"/>
    <n v="7"/>
    <n v="2399.1428571428573"/>
    <s v="Houston"/>
    <s v="Spanish"/>
    <n v="726"/>
    <n v="2651"/>
    <n v="10"/>
    <s v="Outdoor Adventurers"/>
    <x v="232"/>
  </r>
  <r>
    <s v="Alpha Innovations"/>
    <x v="4"/>
    <s v="Women 25-34"/>
    <s v="45 days"/>
    <x v="0"/>
    <n v="0.09"/>
    <n v="6137"/>
    <n v="5.99"/>
    <n v="32"/>
    <n v="191.78125"/>
    <s v="Los Angeles"/>
    <s v="German"/>
    <n v="361"/>
    <n v="9309"/>
    <n v="9"/>
    <s v="Outdoor Adventurers"/>
    <x v="233"/>
  </r>
  <r>
    <s v="TechCorp"/>
    <x v="1"/>
    <s v="Men 18-24"/>
    <s v="60 days"/>
    <x v="4"/>
    <n v="0.1"/>
    <n v="18487"/>
    <n v="6.28"/>
    <n v="43"/>
    <n v="429.93023255813955"/>
    <s v="Chicago"/>
    <s v="English"/>
    <n v="428"/>
    <n v="9345"/>
    <n v="9"/>
    <s v="Tech Enthusiasts"/>
    <x v="234"/>
  </r>
  <r>
    <s v="TechCorp"/>
    <x v="3"/>
    <s v="Men 18-24"/>
    <s v="30 days"/>
    <x v="3"/>
    <n v="0.13"/>
    <n v="17722"/>
    <n v="4.74"/>
    <n v="23"/>
    <n v="770.52173913043475"/>
    <s v="Los Angeles"/>
    <s v="Spanish"/>
    <n v="178"/>
    <n v="8376"/>
    <n v="9"/>
    <s v="Health &amp; Wellness"/>
    <x v="235"/>
  </r>
  <r>
    <s v="NexGen Systems"/>
    <x v="4"/>
    <s v="Men 18-24"/>
    <s v="45 days"/>
    <x v="3"/>
    <n v="0.13"/>
    <n v="5342"/>
    <n v="4.41"/>
    <n v="95"/>
    <n v="56.231578947368419"/>
    <s v="Chicago"/>
    <s v="French"/>
    <n v="728"/>
    <n v="4737"/>
    <n v="8"/>
    <s v="Outdoor Adventurers"/>
    <x v="236"/>
  </r>
  <r>
    <s v="Alpha Innovations"/>
    <x v="4"/>
    <s v="Men 18-24"/>
    <s v="15 days"/>
    <x v="2"/>
    <n v="0.13"/>
    <n v="12985"/>
    <n v="5.34"/>
    <n v="38"/>
    <n v="341.71052631578948"/>
    <s v="Chicago"/>
    <s v="French"/>
    <n v="295"/>
    <n v="7353"/>
    <n v="5"/>
    <s v="Tech Enthusiasts"/>
    <x v="237"/>
  </r>
  <r>
    <s v="NexGen Systems"/>
    <x v="2"/>
    <s v="Women 35-44"/>
    <s v="30 days"/>
    <x v="2"/>
    <n v="0.13"/>
    <n v="16492"/>
    <n v="5.81"/>
    <n v="81"/>
    <n v="203.60493827160494"/>
    <s v="Houston"/>
    <s v="German"/>
    <n v="622"/>
    <n v="8754"/>
    <n v="5"/>
    <s v="Health &amp; Wellness"/>
    <x v="238"/>
  </r>
  <r>
    <s v="Innovate Industries"/>
    <x v="1"/>
    <s v="Men 25-34"/>
    <s v="45 days"/>
    <x v="3"/>
    <n v="0.12"/>
    <n v="11417"/>
    <n v="3.75"/>
    <n v="58"/>
    <n v="196.84482758620689"/>
    <s v="Chicago"/>
    <s v="French"/>
    <n v="485"/>
    <n v="3286"/>
    <n v="6"/>
    <s v="Tech Enthusiasts"/>
    <x v="239"/>
  </r>
  <r>
    <s v="TechCorp"/>
    <x v="0"/>
    <s v="Men 25-34"/>
    <s v="60 days"/>
    <x v="0"/>
    <n v="7.0000000000000007E-2"/>
    <n v="6668"/>
    <n v="2.5499999999999998"/>
    <n v="52"/>
    <n v="128.23076923076923"/>
    <s v="New York"/>
    <s v="Mandarin"/>
    <n v="747"/>
    <n v="2222"/>
    <n v="9"/>
    <s v="Health &amp; Wellness"/>
    <x v="240"/>
  </r>
  <r>
    <s v="Alpha Innovations"/>
    <x v="4"/>
    <s v="Men 18-24"/>
    <s v="30 days"/>
    <x v="2"/>
    <n v="0.06"/>
    <n v="10211"/>
    <n v="2.72"/>
    <n v="57"/>
    <n v="179.14035087719299"/>
    <s v="Houston"/>
    <s v="French"/>
    <n v="945"/>
    <n v="5035"/>
    <n v="1"/>
    <s v="Tech Enthusiasts"/>
    <x v="241"/>
  </r>
  <r>
    <s v="Alpha Innovations"/>
    <x v="0"/>
    <s v="Women 25-34"/>
    <s v="45 days"/>
    <x v="3"/>
    <n v="0.02"/>
    <n v="16439"/>
    <n v="2.76"/>
    <n v="18"/>
    <n v="913.27777777777783"/>
    <s v="Miami"/>
    <s v="Mandarin"/>
    <n v="898"/>
    <n v="9450"/>
    <n v="2"/>
    <s v="Foodies"/>
    <x v="242"/>
  </r>
  <r>
    <s v="Alpha Innovations"/>
    <x v="2"/>
    <s v="Men 18-24"/>
    <s v="45 days"/>
    <x v="2"/>
    <n v="7.0000000000000007E-2"/>
    <n v="14163"/>
    <n v="2.73"/>
    <n v="7"/>
    <n v="2023.2857142857142"/>
    <s v="Miami"/>
    <s v="Spanish"/>
    <n v="102"/>
    <n v="4523"/>
    <n v="9"/>
    <s v="Health &amp; Wellness"/>
    <x v="243"/>
  </r>
  <r>
    <s v="NexGen Systems"/>
    <x v="0"/>
    <s v="Women 35-44"/>
    <s v="30 days"/>
    <x v="3"/>
    <n v="0.09"/>
    <n v="10612"/>
    <n v="5.42"/>
    <n v="85"/>
    <n v="124.84705882352941"/>
    <s v="Los Angeles"/>
    <s v="Spanish"/>
    <n v="940"/>
    <n v="3661"/>
    <n v="7"/>
    <s v="Health &amp; Wellness"/>
    <x v="244"/>
  </r>
  <r>
    <s v="Innovate Industries"/>
    <x v="1"/>
    <s v="Men 25-34"/>
    <s v="15 days"/>
    <x v="2"/>
    <n v="7.0000000000000007E-2"/>
    <n v="18552"/>
    <n v="7.22"/>
    <n v="19"/>
    <n v="976.42105263157896"/>
    <s v="New York"/>
    <s v="French"/>
    <n v="275"/>
    <n v="6581"/>
    <n v="7"/>
    <s v="Outdoor Adventurers"/>
    <x v="245"/>
  </r>
  <r>
    <s v="Alpha Innovations"/>
    <x v="4"/>
    <s v="Women 25-34"/>
    <s v="30 days"/>
    <x v="0"/>
    <n v="0.12"/>
    <n v="7125"/>
    <n v="2.36"/>
    <n v="99"/>
    <n v="71.969696969696969"/>
    <s v="Houston"/>
    <s v="French"/>
    <n v="822"/>
    <n v="8749"/>
    <n v="7"/>
    <s v="Foodies"/>
    <x v="246"/>
  </r>
  <r>
    <s v="TechCorp"/>
    <x v="2"/>
    <s v="All Ages"/>
    <s v="30 days"/>
    <x v="0"/>
    <n v="0.03"/>
    <n v="6330"/>
    <n v="7.8"/>
    <n v="15"/>
    <n v="422"/>
    <s v="Houston"/>
    <s v="English"/>
    <n v="489"/>
    <n v="9969"/>
    <n v="5"/>
    <s v="Fashionistas"/>
    <x v="247"/>
  </r>
  <r>
    <s v="NexGen Systems"/>
    <x v="0"/>
    <s v="Women 25-34"/>
    <s v="15 days"/>
    <x v="0"/>
    <n v="0.05"/>
    <n v="15782"/>
    <n v="4.6100000000000003"/>
    <n v="11"/>
    <n v="1434.7272727272727"/>
    <s v="Miami"/>
    <s v="English"/>
    <n v="229"/>
    <n v="9882"/>
    <n v="4"/>
    <s v="Health &amp; Wellness"/>
    <x v="248"/>
  </r>
  <r>
    <s v="Innovate Industries"/>
    <x v="1"/>
    <s v="Men 25-34"/>
    <s v="45 days"/>
    <x v="0"/>
    <n v="0.03"/>
    <n v="17399"/>
    <n v="5.87"/>
    <n v="9"/>
    <n v="1933.2222222222222"/>
    <s v="Miami"/>
    <s v="German"/>
    <n v="297"/>
    <n v="4547"/>
    <n v="8"/>
    <s v="Tech Enthusiasts"/>
    <x v="249"/>
  </r>
  <r>
    <s v="Innovate Industries"/>
    <x v="2"/>
    <s v="All Ages"/>
    <s v="45 days"/>
    <x v="1"/>
    <n v="0.05"/>
    <n v="19693"/>
    <n v="4.42"/>
    <n v="48"/>
    <n v="410.27083333333331"/>
    <s v="Houston"/>
    <s v="German"/>
    <n v="953"/>
    <n v="9690"/>
    <n v="2"/>
    <s v="Outdoor Adventurers"/>
    <x v="250"/>
  </r>
  <r>
    <s v="NexGen Systems"/>
    <x v="1"/>
    <s v="Men 25-34"/>
    <s v="15 days"/>
    <x v="2"/>
    <n v="0.13"/>
    <n v="15929"/>
    <n v="4.82"/>
    <n v="39"/>
    <n v="408.43589743589746"/>
    <s v="Los Angeles"/>
    <s v="French"/>
    <n v="297"/>
    <n v="2732"/>
    <n v="7"/>
    <s v="Outdoor Adventurers"/>
    <x v="251"/>
  </r>
  <r>
    <s v="NexGen Systems"/>
    <x v="2"/>
    <s v="Men 18-24"/>
    <s v="45 days"/>
    <x v="3"/>
    <n v="0.09"/>
    <n v="12640"/>
    <n v="7.63"/>
    <n v="88"/>
    <n v="143.63636363636363"/>
    <s v="Miami"/>
    <s v="Mandarin"/>
    <n v="979"/>
    <n v="2079"/>
    <n v="10"/>
    <s v="Tech Enthusiasts"/>
    <x v="252"/>
  </r>
  <r>
    <s v="TechCorp"/>
    <x v="1"/>
    <s v="Men 18-24"/>
    <s v="15 days"/>
    <x v="0"/>
    <n v="0.15"/>
    <n v="18542"/>
    <n v="6.5"/>
    <n v="71"/>
    <n v="261.15492957746477"/>
    <s v="Los Angeles"/>
    <s v="English"/>
    <n v="471"/>
    <n v="4399"/>
    <n v="1"/>
    <s v="Fashionistas"/>
    <x v="253"/>
  </r>
  <r>
    <s v="TechCorp"/>
    <x v="1"/>
    <s v="Men 18-24"/>
    <s v="30 days"/>
    <x v="2"/>
    <n v="7.0000000000000007E-2"/>
    <n v="19719"/>
    <n v="7.3"/>
    <n v="30"/>
    <n v="657.3"/>
    <s v="Miami"/>
    <s v="English"/>
    <n v="427"/>
    <n v="6394"/>
    <n v="5"/>
    <s v="Health &amp; Wellness"/>
    <x v="254"/>
  </r>
  <r>
    <s v="TechCorp"/>
    <x v="4"/>
    <s v="Women 35-44"/>
    <s v="45 days"/>
    <x v="2"/>
    <n v="0.04"/>
    <n v="10604"/>
    <n v="7.7"/>
    <n v="32"/>
    <n v="331.375"/>
    <s v="Los Angeles"/>
    <s v="Spanish"/>
    <n v="806"/>
    <n v="1750"/>
    <n v="7"/>
    <s v="Outdoor Adventurers"/>
    <x v="255"/>
  </r>
  <r>
    <s v="NexGen Systems"/>
    <x v="0"/>
    <s v="Men 25-34"/>
    <s v="30 days"/>
    <x v="4"/>
    <n v="0.03"/>
    <n v="17754"/>
    <n v="3.92"/>
    <n v="20"/>
    <n v="887.7"/>
    <s v="Miami"/>
    <s v="German"/>
    <n v="651"/>
    <n v="3822"/>
    <n v="7"/>
    <s v="Fashionistas"/>
    <x v="256"/>
  </r>
  <r>
    <s v="TechCorp"/>
    <x v="3"/>
    <s v="All Ages"/>
    <s v="45 days"/>
    <x v="0"/>
    <n v="0.05"/>
    <n v="14875"/>
    <n v="6.99"/>
    <n v="11"/>
    <n v="1352.2727272727273"/>
    <s v="Houston"/>
    <s v="Spanish"/>
    <n v="218"/>
    <n v="3150"/>
    <n v="1"/>
    <s v="Health &amp; Wellness"/>
    <x v="257"/>
  </r>
  <r>
    <s v="DataTech Solutions"/>
    <x v="3"/>
    <s v="Men 25-34"/>
    <s v="60 days"/>
    <x v="3"/>
    <n v="0.08"/>
    <n v="18620"/>
    <n v="2.09"/>
    <n v="27"/>
    <n v="689.62962962962968"/>
    <s v="New York"/>
    <s v="French"/>
    <n v="336"/>
    <n v="1215"/>
    <n v="8"/>
    <s v="Tech Enthusiasts"/>
    <x v="258"/>
  </r>
  <r>
    <s v="Alpha Innovations"/>
    <x v="3"/>
    <s v="Women 25-34"/>
    <s v="15 days"/>
    <x v="0"/>
    <n v="0.06"/>
    <n v="19156"/>
    <n v="5.93"/>
    <n v="19"/>
    <n v="1008.2105263157895"/>
    <s v="Los Angeles"/>
    <s v="French"/>
    <n v="321"/>
    <n v="7174"/>
    <n v="7"/>
    <s v="Fashionistas"/>
    <x v="259"/>
  </r>
  <r>
    <s v="DataTech Solutions"/>
    <x v="2"/>
    <s v="Men 18-24"/>
    <s v="45 days"/>
    <x v="3"/>
    <n v="0.01"/>
    <n v="16907"/>
    <n v="5.74"/>
    <n v="4"/>
    <n v="4226.75"/>
    <s v="Los Angeles"/>
    <s v="French"/>
    <n v="354"/>
    <n v="4364"/>
    <n v="5"/>
    <s v="Tech Enthusiasts"/>
    <x v="260"/>
  </r>
  <r>
    <s v="Alpha Innovations"/>
    <x v="4"/>
    <s v="Men 25-34"/>
    <s v="30 days"/>
    <x v="5"/>
    <n v="0.1"/>
    <n v="10625"/>
    <n v="5.44"/>
    <n v="60"/>
    <n v="177.08333333333334"/>
    <s v="New York"/>
    <s v="German"/>
    <n v="604"/>
    <n v="2568"/>
    <n v="4"/>
    <s v="Tech Enthusiasts"/>
    <x v="261"/>
  </r>
  <r>
    <s v="Innovate Industries"/>
    <x v="4"/>
    <s v="Men 18-24"/>
    <s v="45 days"/>
    <x v="5"/>
    <n v="0.13"/>
    <n v="10658"/>
    <n v="7.37"/>
    <n v="58"/>
    <n v="183.75862068965517"/>
    <s v="New York"/>
    <s v="French"/>
    <n v="445"/>
    <n v="8880"/>
    <n v="2"/>
    <s v="Tech Enthusiasts"/>
    <x v="262"/>
  </r>
  <r>
    <s v="TechCorp"/>
    <x v="0"/>
    <s v="All Ages"/>
    <s v="45 days"/>
    <x v="0"/>
    <n v="7.0000000000000007E-2"/>
    <n v="5118"/>
    <n v="3.71"/>
    <n v="8"/>
    <n v="639.75"/>
    <s v="Los Angeles"/>
    <s v="English"/>
    <n v="114"/>
    <n v="9480"/>
    <n v="2"/>
    <s v="Foodies"/>
    <x v="263"/>
  </r>
  <r>
    <s v="Innovate Industries"/>
    <x v="3"/>
    <s v="Women 35-44"/>
    <s v="30 days"/>
    <x v="5"/>
    <n v="7.0000000000000007E-2"/>
    <n v="9809"/>
    <n v="5.6"/>
    <n v="39"/>
    <n v="251.51282051282053"/>
    <s v="Chicago"/>
    <s v="Mandarin"/>
    <n v="560"/>
    <n v="8153"/>
    <n v="8"/>
    <s v="Outdoor Adventurers"/>
    <x v="264"/>
  </r>
  <r>
    <s v="Innovate Industries"/>
    <x v="0"/>
    <s v="All Ages"/>
    <s v="60 days"/>
    <x v="3"/>
    <n v="0.11"/>
    <n v="12226"/>
    <n v="2.11"/>
    <n v="59"/>
    <n v="207.22033898305085"/>
    <s v="Los Angeles"/>
    <s v="Mandarin"/>
    <n v="535"/>
    <n v="8963"/>
    <n v="4"/>
    <s v="Tech Enthusiasts"/>
    <x v="265"/>
  </r>
  <r>
    <s v="DataTech Solutions"/>
    <x v="2"/>
    <s v="Women 35-44"/>
    <s v="30 days"/>
    <x v="2"/>
    <n v="0.03"/>
    <n v="11912"/>
    <n v="7.75"/>
    <n v="4"/>
    <n v="2978"/>
    <s v="Miami"/>
    <s v="Spanish"/>
    <n v="140"/>
    <n v="3858"/>
    <n v="4"/>
    <s v="Health &amp; Wellness"/>
    <x v="266"/>
  </r>
  <r>
    <s v="NexGen Systems"/>
    <x v="2"/>
    <s v="Men 18-24"/>
    <s v="45 days"/>
    <x v="3"/>
    <n v="0.12"/>
    <n v="16067"/>
    <n v="5.83"/>
    <n v="23"/>
    <n v="698.56521739130437"/>
    <s v="Los Angeles"/>
    <s v="Spanish"/>
    <n v="190"/>
    <n v="7498"/>
    <n v="3"/>
    <s v="Fashionistas"/>
    <x v="267"/>
  </r>
  <r>
    <s v="TechCorp"/>
    <x v="3"/>
    <s v="Women 25-34"/>
    <s v="30 days"/>
    <x v="0"/>
    <n v="0.11"/>
    <n v="12048"/>
    <n v="4.43"/>
    <n v="47"/>
    <n v="256.34042553191489"/>
    <s v="Los Angeles"/>
    <s v="English"/>
    <n v="426"/>
    <n v="3070"/>
    <n v="5"/>
    <s v="Fashionistas"/>
    <x v="268"/>
  </r>
  <r>
    <s v="Alpha Innovations"/>
    <x v="0"/>
    <s v="Women 25-34"/>
    <s v="30 days"/>
    <x v="4"/>
    <n v="0.04"/>
    <n v="11886"/>
    <n v="7.46"/>
    <n v="12"/>
    <n v="990.5"/>
    <s v="Los Angeles"/>
    <s v="Mandarin"/>
    <n v="312"/>
    <n v="2806"/>
    <n v="1"/>
    <s v="Tech Enthusiasts"/>
    <x v="269"/>
  </r>
  <r>
    <s v="DataTech Solutions"/>
    <x v="4"/>
    <s v="All Ages"/>
    <s v="45 days"/>
    <x v="0"/>
    <n v="7.0000000000000007E-2"/>
    <n v="14782"/>
    <n v="5.64"/>
    <n v="40"/>
    <n v="369.55"/>
    <s v="New York"/>
    <s v="German"/>
    <n v="566"/>
    <n v="3276"/>
    <n v="5"/>
    <s v="Tech Enthusiasts"/>
    <x v="270"/>
  </r>
  <r>
    <s v="Alpha Innovations"/>
    <x v="4"/>
    <s v="All Ages"/>
    <s v="15 days"/>
    <x v="0"/>
    <n v="0.08"/>
    <n v="15911"/>
    <n v="7.6"/>
    <n v="26"/>
    <n v="611.96153846153845"/>
    <s v="Houston"/>
    <s v="Mandarin"/>
    <n v="330"/>
    <n v="8847"/>
    <n v="5"/>
    <s v="Health &amp; Wellness"/>
    <x v="271"/>
  </r>
  <r>
    <s v="NexGen Systems"/>
    <x v="0"/>
    <s v="Men 18-24"/>
    <s v="60 days"/>
    <x v="4"/>
    <n v="0.05"/>
    <n v="17956"/>
    <n v="4.37"/>
    <n v="9"/>
    <n v="1995.1111111111111"/>
    <s v="New York"/>
    <s v="English"/>
    <n v="174"/>
    <n v="6018"/>
    <n v="2"/>
    <s v="Fashionistas"/>
    <x v="272"/>
  </r>
  <r>
    <s v="Innovate Industries"/>
    <x v="4"/>
    <s v="Women 25-34"/>
    <s v="60 days"/>
    <x v="4"/>
    <n v="0.08"/>
    <n v="15541"/>
    <n v="6.69"/>
    <n v="15"/>
    <n v="1036.0666666666666"/>
    <s v="Houston"/>
    <s v="Mandarin"/>
    <n v="185"/>
    <n v="7653"/>
    <n v="6"/>
    <s v="Fashionistas"/>
    <x v="273"/>
  </r>
  <r>
    <s v="TechCorp"/>
    <x v="3"/>
    <s v="Men 18-24"/>
    <s v="45 days"/>
    <x v="0"/>
    <n v="7.0000000000000007E-2"/>
    <n v="9473"/>
    <n v="5.22"/>
    <n v="27"/>
    <n v="350.85185185185185"/>
    <s v="Houston"/>
    <s v="Spanish"/>
    <n v="385"/>
    <n v="7712"/>
    <n v="6"/>
    <s v="Fashionistas"/>
    <x v="274"/>
  </r>
  <r>
    <s v="TechCorp"/>
    <x v="0"/>
    <s v="All Ages"/>
    <s v="45 days"/>
    <x v="3"/>
    <n v="0.01"/>
    <n v="9324"/>
    <n v="4.26"/>
    <n v="5"/>
    <n v="1864.8"/>
    <s v="Miami"/>
    <s v="French"/>
    <n v="492"/>
    <n v="8848"/>
    <n v="1"/>
    <s v="Foodies"/>
    <x v="275"/>
  </r>
  <r>
    <s v="NexGen Systems"/>
    <x v="0"/>
    <s v="Men 18-24"/>
    <s v="30 days"/>
    <x v="4"/>
    <n v="0.06"/>
    <n v="9358"/>
    <n v="2.2000000000000002"/>
    <n v="51"/>
    <n v="183.49019607843138"/>
    <s v="Miami"/>
    <s v="Mandarin"/>
    <n v="843"/>
    <n v="7756"/>
    <n v="3"/>
    <s v="Health &amp; Wellness"/>
    <x v="276"/>
  </r>
  <r>
    <s v="TechCorp"/>
    <x v="0"/>
    <s v="Men 25-34"/>
    <s v="60 days"/>
    <x v="0"/>
    <n v="0.09"/>
    <n v="13932"/>
    <n v="6.56"/>
    <n v="28"/>
    <n v="497.57142857142856"/>
    <s v="Houston"/>
    <s v="German"/>
    <n v="311"/>
    <n v="5812"/>
    <n v="10"/>
    <s v="Tech Enthusiasts"/>
    <x v="277"/>
  </r>
  <r>
    <s v="DataTech Solutions"/>
    <x v="1"/>
    <s v="Men 18-24"/>
    <s v="15 days"/>
    <x v="0"/>
    <n v="0.1"/>
    <n v="6333"/>
    <n v="5.84"/>
    <n v="38"/>
    <n v="166.65789473684211"/>
    <s v="Miami"/>
    <s v="German"/>
    <n v="378"/>
    <n v="6201"/>
    <n v="7"/>
    <s v="Fashionistas"/>
    <x v="278"/>
  </r>
  <r>
    <s v="Innovate Industries"/>
    <x v="4"/>
    <s v="Women 35-44"/>
    <s v="15 days"/>
    <x v="5"/>
    <n v="0.14000000000000001"/>
    <n v="12066"/>
    <n v="6.6"/>
    <n v="79"/>
    <n v="152.73417721518987"/>
    <s v="Miami"/>
    <s v="Spanish"/>
    <n v="562"/>
    <n v="8282"/>
    <n v="7"/>
    <s v="Health &amp; Wellness"/>
    <x v="279"/>
  </r>
  <r>
    <s v="DataTech Solutions"/>
    <x v="4"/>
    <s v="All Ages"/>
    <s v="30 days"/>
    <x v="3"/>
    <n v="0.09"/>
    <n v="18134"/>
    <n v="6.4"/>
    <n v="74"/>
    <n v="245.05405405405406"/>
    <s v="Chicago"/>
    <s v="English"/>
    <n v="820"/>
    <n v="9006"/>
    <n v="8"/>
    <s v="Health &amp; Wellness"/>
    <x v="280"/>
  </r>
  <r>
    <s v="Innovate Industries"/>
    <x v="0"/>
    <s v="Men 18-24"/>
    <s v="30 days"/>
    <x v="5"/>
    <n v="0.01"/>
    <n v="7151"/>
    <n v="6.95"/>
    <n v="3"/>
    <n v="2383.6666666666665"/>
    <s v="Miami"/>
    <s v="English"/>
    <n v="337"/>
    <n v="5271"/>
    <n v="2"/>
    <s v="Foodies"/>
    <x v="281"/>
  </r>
  <r>
    <s v="TechCorp"/>
    <x v="0"/>
    <s v="Men 18-24"/>
    <s v="60 days"/>
    <x v="2"/>
    <n v="0.11"/>
    <n v="14929"/>
    <n v="7.31"/>
    <n v="110"/>
    <n v="135.71818181818182"/>
    <s v="New York"/>
    <s v="Mandarin"/>
    <n v="998"/>
    <n v="4011"/>
    <n v="2"/>
    <s v="Tech Enthusiasts"/>
    <x v="282"/>
  </r>
  <r>
    <s v="TechCorp"/>
    <x v="4"/>
    <s v="Men 25-34"/>
    <s v="30 days"/>
    <x v="2"/>
    <n v="0.12"/>
    <n v="13958"/>
    <n v="3.17"/>
    <n v="101"/>
    <n v="138.19801980198019"/>
    <s v="Chicago"/>
    <s v="English"/>
    <n v="845"/>
    <n v="1512"/>
    <n v="6"/>
    <s v="Foodies"/>
    <x v="283"/>
  </r>
  <r>
    <s v="DataTech Solutions"/>
    <x v="2"/>
    <s v="Men 18-24"/>
    <s v="30 days"/>
    <x v="5"/>
    <n v="0.14000000000000001"/>
    <n v="18242"/>
    <n v="4.84"/>
    <n v="114"/>
    <n v="160.01754385964912"/>
    <s v="Chicago"/>
    <s v="Spanish"/>
    <n v="816"/>
    <n v="1352"/>
    <n v="7"/>
    <s v="Tech Enthusiasts"/>
    <x v="284"/>
  </r>
  <r>
    <s v="Innovate Industries"/>
    <x v="2"/>
    <s v="Women 35-44"/>
    <s v="45 days"/>
    <x v="2"/>
    <n v="0.13"/>
    <n v="8567"/>
    <n v="7.27"/>
    <n v="66"/>
    <n v="129.80303030303031"/>
    <s v="New York"/>
    <s v="German"/>
    <n v="504"/>
    <n v="4571"/>
    <n v="2"/>
    <s v="Tech Enthusiasts"/>
    <x v="285"/>
  </r>
  <r>
    <s v="TechCorp"/>
    <x v="2"/>
    <s v="Men 18-24"/>
    <s v="60 days"/>
    <x v="3"/>
    <n v="0.13"/>
    <n v="9325"/>
    <n v="4.4400000000000004"/>
    <n v="40"/>
    <n v="233.125"/>
    <s v="Chicago"/>
    <s v="Spanish"/>
    <n v="307"/>
    <n v="7129"/>
    <n v="6"/>
    <s v="Tech Enthusiasts"/>
    <x v="286"/>
  </r>
  <r>
    <s v="Innovate Industries"/>
    <x v="2"/>
    <s v="Men 18-24"/>
    <s v="60 days"/>
    <x v="5"/>
    <n v="0.1"/>
    <n v="18070"/>
    <n v="3.36"/>
    <n v="47"/>
    <n v="384.468085106383"/>
    <s v="Los Angeles"/>
    <s v="French"/>
    <n v="465"/>
    <n v="3474"/>
    <n v="7"/>
    <s v="Fashionistas"/>
    <x v="287"/>
  </r>
  <r>
    <s v="DataTech Solutions"/>
    <x v="1"/>
    <s v="All Ages"/>
    <s v="45 days"/>
    <x v="1"/>
    <n v="0.09"/>
    <n v="10784"/>
    <n v="3.79"/>
    <n v="89"/>
    <n v="121.1685393258427"/>
    <s v="Los Angeles"/>
    <s v="English"/>
    <n v="986"/>
    <n v="9461"/>
    <n v="4"/>
    <s v="Health &amp; Wellness"/>
    <x v="288"/>
  </r>
  <r>
    <s v="NexGen Systems"/>
    <x v="1"/>
    <s v="Men 25-34"/>
    <s v="60 days"/>
    <x v="4"/>
    <n v="0.12"/>
    <n v="11880"/>
    <n v="7.42"/>
    <n v="44"/>
    <n v="270"/>
    <s v="Miami"/>
    <s v="Spanish"/>
    <n v="370"/>
    <n v="8709"/>
    <n v="2"/>
    <s v="Outdoor Adventurers"/>
    <x v="289"/>
  </r>
  <r>
    <s v="Alpha Innovations"/>
    <x v="3"/>
    <s v="Men 18-24"/>
    <s v="15 days"/>
    <x v="1"/>
    <n v="0.11"/>
    <n v="14142"/>
    <n v="5.27"/>
    <n v="49"/>
    <n v="288.61224489795916"/>
    <s v="Chicago"/>
    <s v="Spanish"/>
    <n v="441"/>
    <n v="9970"/>
    <n v="1"/>
    <s v="Outdoor Adventurers"/>
    <x v="290"/>
  </r>
  <r>
    <s v="TechCorp"/>
    <x v="4"/>
    <s v="Women 35-44"/>
    <s v="60 days"/>
    <x v="5"/>
    <n v="0.15"/>
    <n v="16638"/>
    <n v="4.6100000000000003"/>
    <n v="119"/>
    <n v="139.81512605042016"/>
    <s v="New York"/>
    <s v="English"/>
    <n v="791"/>
    <n v="4972"/>
    <n v="8"/>
    <s v="Outdoor Adventurers"/>
    <x v="291"/>
  </r>
  <r>
    <s v="Innovate Industries"/>
    <x v="4"/>
    <s v="Women 25-34"/>
    <s v="30 days"/>
    <x v="4"/>
    <n v="7.0000000000000007E-2"/>
    <n v="14451"/>
    <n v="3.46"/>
    <n v="39"/>
    <n v="370.53846153846155"/>
    <s v="New York"/>
    <s v="Spanish"/>
    <n v="553"/>
    <n v="7118"/>
    <n v="6"/>
    <s v="Fashionistas"/>
    <x v="292"/>
  </r>
  <r>
    <s v="DataTech Solutions"/>
    <x v="2"/>
    <s v="Women 35-44"/>
    <s v="45 days"/>
    <x v="1"/>
    <n v="0.13"/>
    <n v="10857"/>
    <n v="2.06"/>
    <n v="72"/>
    <n v="150.79166666666666"/>
    <s v="New York"/>
    <s v="English"/>
    <n v="556"/>
    <n v="7285"/>
    <n v="5"/>
    <s v="Fashionistas"/>
    <x v="293"/>
  </r>
  <r>
    <s v="TechCorp"/>
    <x v="1"/>
    <s v="Men 18-24"/>
    <s v="60 days"/>
    <x v="0"/>
    <n v="0.04"/>
    <n v="7514"/>
    <n v="2.83"/>
    <n v="31"/>
    <n v="242.38709677419354"/>
    <s v="Chicago"/>
    <s v="Mandarin"/>
    <n v="770"/>
    <n v="8808"/>
    <n v="6"/>
    <s v="Foodies"/>
    <x v="294"/>
  </r>
  <r>
    <s v="Innovate Industries"/>
    <x v="2"/>
    <s v="Men 25-34"/>
    <s v="60 days"/>
    <x v="2"/>
    <n v="0.03"/>
    <n v="19653"/>
    <n v="4.05"/>
    <n v="18"/>
    <n v="1091.8333333333333"/>
    <s v="Los Angeles"/>
    <s v="German"/>
    <n v="609"/>
    <n v="6246"/>
    <n v="1"/>
    <s v="Outdoor Adventurers"/>
    <x v="295"/>
  </r>
  <r>
    <s v="TechCorp"/>
    <x v="0"/>
    <s v="Men 25-34"/>
    <s v="15 days"/>
    <x v="2"/>
    <n v="0.05"/>
    <n v="15713"/>
    <n v="4.75"/>
    <n v="45"/>
    <n v="349.17777777777781"/>
    <s v="Chicago"/>
    <s v="Mandarin"/>
    <n v="898"/>
    <n v="8260"/>
    <n v="3"/>
    <s v="Fashionistas"/>
    <x v="296"/>
  </r>
  <r>
    <s v="DataTech Solutions"/>
    <x v="3"/>
    <s v="Men 25-34"/>
    <s v="60 days"/>
    <x v="1"/>
    <n v="0.04"/>
    <n v="15321"/>
    <n v="2.69"/>
    <n v="27"/>
    <n v="567.44444444444446"/>
    <s v="New York"/>
    <s v="English"/>
    <n v="675"/>
    <n v="7356"/>
    <n v="5"/>
    <s v="Foodies"/>
    <x v="297"/>
  </r>
  <r>
    <s v="Innovate Industries"/>
    <x v="0"/>
    <s v="Men 25-34"/>
    <s v="15 days"/>
    <x v="0"/>
    <n v="0.15"/>
    <n v="5490"/>
    <n v="3.7"/>
    <n v="96"/>
    <n v="57.1875"/>
    <s v="Miami"/>
    <s v="Spanish"/>
    <n v="638"/>
    <n v="7833"/>
    <n v="8"/>
    <s v="Foodies"/>
    <x v="298"/>
  </r>
  <r>
    <s v="DataTech Solutions"/>
    <x v="3"/>
    <s v="Men 25-34"/>
    <s v="15 days"/>
    <x v="1"/>
    <n v="7.0000000000000007E-2"/>
    <n v="12399"/>
    <n v="6.11"/>
    <n v="36"/>
    <n v="344.41666666666669"/>
    <s v="New York"/>
    <s v="Mandarin"/>
    <n v="521"/>
    <n v="6651"/>
    <n v="7"/>
    <s v="Fashionistas"/>
    <x v="299"/>
  </r>
  <r>
    <s v="TechCorp"/>
    <x v="4"/>
    <s v="Men 18-24"/>
    <s v="30 days"/>
    <x v="2"/>
    <n v="0.05"/>
    <n v="11574"/>
    <n v="2.81"/>
    <n v="16"/>
    <n v="723.375"/>
    <s v="New York"/>
    <s v="English"/>
    <n v="323"/>
    <n v="5433"/>
    <n v="4"/>
    <s v="Fashionistas"/>
    <x v="300"/>
  </r>
  <r>
    <s v="TechCorp"/>
    <x v="4"/>
    <s v="All Ages"/>
    <s v="45 days"/>
    <x v="4"/>
    <n v="7.0000000000000007E-2"/>
    <n v="7710"/>
    <n v="4.66"/>
    <n v="59"/>
    <n v="130.67796610169492"/>
    <s v="New York"/>
    <s v="English"/>
    <n v="844"/>
    <n v="4515"/>
    <n v="1"/>
    <s v="Foodies"/>
    <x v="301"/>
  </r>
  <r>
    <s v="Alpha Innovations"/>
    <x v="4"/>
    <s v="Women 25-34"/>
    <s v="60 days"/>
    <x v="0"/>
    <n v="0.06"/>
    <n v="19274"/>
    <n v="3.92"/>
    <n v="26"/>
    <n v="741.30769230769226"/>
    <s v="New York"/>
    <s v="French"/>
    <n v="432"/>
    <n v="4618"/>
    <n v="8"/>
    <s v="Health &amp; Wellness"/>
    <x v="302"/>
  </r>
  <r>
    <s v="DataTech Solutions"/>
    <x v="2"/>
    <s v="Men 25-34"/>
    <s v="45 days"/>
    <x v="2"/>
    <n v="0.06"/>
    <n v="9796"/>
    <n v="3.37"/>
    <n v="9"/>
    <n v="1088.4444444444443"/>
    <s v="New York"/>
    <s v="English"/>
    <n v="153"/>
    <n v="2067"/>
    <n v="2"/>
    <s v="Outdoor Adventurers"/>
    <x v="303"/>
  </r>
  <r>
    <s v="Innovate Industries"/>
    <x v="4"/>
    <s v="All Ages"/>
    <s v="60 days"/>
    <x v="3"/>
    <n v="0.08"/>
    <n v="11408"/>
    <n v="6.24"/>
    <n v="39"/>
    <n v="292.5128205128205"/>
    <s v="Los Angeles"/>
    <s v="German"/>
    <n v="487"/>
    <n v="6159"/>
    <n v="3"/>
    <s v="Outdoor Adventurers"/>
    <x v="304"/>
  </r>
  <r>
    <s v="TechCorp"/>
    <x v="1"/>
    <s v="Men 18-24"/>
    <s v="30 days"/>
    <x v="3"/>
    <n v="0.13"/>
    <n v="14784"/>
    <n v="7.8"/>
    <n v="60"/>
    <n v="246.4"/>
    <s v="Houston"/>
    <s v="English"/>
    <n v="460"/>
    <n v="4900"/>
    <n v="9"/>
    <s v="Foodies"/>
    <x v="305"/>
  </r>
  <r>
    <s v="TechCorp"/>
    <x v="3"/>
    <s v="Men 18-24"/>
    <s v="15 days"/>
    <x v="4"/>
    <n v="0.01"/>
    <n v="16316"/>
    <n v="4.0199999999999996"/>
    <n v="5"/>
    <n v="3263.2"/>
    <s v="Chicago"/>
    <s v="German"/>
    <n v="505"/>
    <n v="5181"/>
    <n v="4"/>
    <s v="Health &amp; Wellness"/>
    <x v="306"/>
  </r>
  <r>
    <s v="TechCorp"/>
    <x v="0"/>
    <s v="All Ages"/>
    <s v="15 days"/>
    <x v="2"/>
    <n v="0.09"/>
    <n v="12856"/>
    <n v="5.97"/>
    <n v="79"/>
    <n v="162.73417721518987"/>
    <s v="New York"/>
    <s v="Mandarin"/>
    <n v="880"/>
    <n v="9222"/>
    <n v="8"/>
    <s v="Tech Enthusiasts"/>
    <x v="307"/>
  </r>
  <r>
    <s v="DataTech Solutions"/>
    <x v="0"/>
    <s v="All Ages"/>
    <s v="30 days"/>
    <x v="3"/>
    <n v="0.13"/>
    <n v="5636"/>
    <n v="5.5"/>
    <n v="71"/>
    <n v="79.380281690140848"/>
    <s v="Chicago"/>
    <s v="German"/>
    <n v="548"/>
    <n v="8099"/>
    <n v="9"/>
    <s v="Fashionistas"/>
    <x v="308"/>
  </r>
  <r>
    <s v="Alpha Innovations"/>
    <x v="2"/>
    <s v="Men 25-34"/>
    <s v="45 days"/>
    <x v="3"/>
    <n v="7.0000000000000007E-2"/>
    <n v="19190"/>
    <n v="7.23"/>
    <n v="69"/>
    <n v="278.1159420289855"/>
    <s v="Houston"/>
    <s v="Spanish"/>
    <n v="981"/>
    <n v="9341"/>
    <n v="3"/>
    <s v="Foodies"/>
    <x v="309"/>
  </r>
  <r>
    <s v="Innovate Industries"/>
    <x v="3"/>
    <s v="Women 35-44"/>
    <s v="30 days"/>
    <x v="2"/>
    <n v="0.05"/>
    <n v="15312"/>
    <n v="2.4700000000000002"/>
    <n v="13"/>
    <n v="1177.8461538461538"/>
    <s v="Chicago"/>
    <s v="French"/>
    <n v="268"/>
    <n v="5660"/>
    <n v="2"/>
    <s v="Foodies"/>
    <x v="310"/>
  </r>
  <r>
    <s v="Alpha Innovations"/>
    <x v="0"/>
    <s v="Men 25-34"/>
    <s v="15 days"/>
    <x v="3"/>
    <n v="0.08"/>
    <n v="18772"/>
    <n v="3.22"/>
    <n v="10"/>
    <n v="1877.2"/>
    <s v="New York"/>
    <s v="Mandarin"/>
    <n v="131"/>
    <n v="4152"/>
    <n v="5"/>
    <s v="Foodies"/>
    <x v="311"/>
  </r>
  <r>
    <s v="DataTech Solutions"/>
    <x v="0"/>
    <s v="Women 35-44"/>
    <s v="15 days"/>
    <x v="3"/>
    <n v="0.12"/>
    <n v="11049"/>
    <n v="3.35"/>
    <n v="49"/>
    <n v="225.48979591836735"/>
    <s v="Houston"/>
    <s v="German"/>
    <n v="412"/>
    <n v="5090"/>
    <n v="9"/>
    <s v="Health &amp; Wellness"/>
    <x v="312"/>
  </r>
  <r>
    <s v="DataTech Solutions"/>
    <x v="1"/>
    <s v="Men 25-34"/>
    <s v="15 days"/>
    <x v="0"/>
    <n v="0.03"/>
    <n v="18735"/>
    <n v="3.69"/>
    <n v="24"/>
    <n v="780.625"/>
    <s v="Miami"/>
    <s v="English"/>
    <n v="801"/>
    <n v="1525"/>
    <n v="6"/>
    <s v="Tech Enthusiasts"/>
    <x v="313"/>
  </r>
  <r>
    <s v="Alpha Innovations"/>
    <x v="3"/>
    <s v="Men 25-34"/>
    <s v="15 days"/>
    <x v="2"/>
    <n v="0.11"/>
    <n v="11805"/>
    <n v="6.21"/>
    <n v="44"/>
    <n v="268.29545454545456"/>
    <s v="New York"/>
    <s v="Mandarin"/>
    <n v="400"/>
    <n v="4111"/>
    <n v="10"/>
    <s v="Foodies"/>
    <x v="314"/>
  </r>
  <r>
    <s v="Innovate Industries"/>
    <x v="0"/>
    <s v="All Ages"/>
    <s v="15 days"/>
    <x v="2"/>
    <n v="0.11"/>
    <n v="12780"/>
    <n v="2.08"/>
    <n v="58"/>
    <n v="220.34482758620689"/>
    <s v="Chicago"/>
    <s v="German"/>
    <n v="526"/>
    <n v="6753"/>
    <n v="1"/>
    <s v="Foodies"/>
    <x v="315"/>
  </r>
  <r>
    <s v="Innovate Industries"/>
    <x v="1"/>
    <s v="All Ages"/>
    <s v="15 days"/>
    <x v="3"/>
    <n v="0.08"/>
    <n v="11792"/>
    <n v="2.86"/>
    <n v="50"/>
    <n v="235.84"/>
    <s v="New York"/>
    <s v="German"/>
    <n v="627"/>
    <n v="7294"/>
    <n v="5"/>
    <s v="Outdoor Adventurers"/>
    <x v="316"/>
  </r>
  <r>
    <s v="TechCorp"/>
    <x v="3"/>
    <s v="Women 35-44"/>
    <s v="60 days"/>
    <x v="5"/>
    <n v="0.11"/>
    <n v="6330"/>
    <n v="5.08"/>
    <n v="32"/>
    <n v="197.8125"/>
    <s v="Houston"/>
    <s v="English"/>
    <n v="288"/>
    <n v="4828"/>
    <n v="2"/>
    <s v="Tech Enthusiasts"/>
    <x v="317"/>
  </r>
  <r>
    <s v="Innovate Industries"/>
    <x v="2"/>
    <s v="Men 18-24"/>
    <s v="30 days"/>
    <x v="5"/>
    <n v="0.13"/>
    <n v="19438"/>
    <n v="7.6"/>
    <n v="57"/>
    <n v="341.01754385964909"/>
    <s v="Los Angeles"/>
    <s v="Mandarin"/>
    <n v="441"/>
    <n v="5177"/>
    <n v="4"/>
    <s v="Fashionistas"/>
    <x v="318"/>
  </r>
  <r>
    <s v="Alpha Innovations"/>
    <x v="4"/>
    <s v="Men 18-24"/>
    <s v="45 days"/>
    <x v="1"/>
    <n v="0.03"/>
    <n v="19037"/>
    <n v="3.41"/>
    <n v="21"/>
    <n v="906.52380952380952"/>
    <s v="New York"/>
    <s v="German"/>
    <n v="710"/>
    <n v="6587"/>
    <n v="7"/>
    <s v="Outdoor Adventurers"/>
    <x v="319"/>
  </r>
  <r>
    <s v="TechCorp"/>
    <x v="3"/>
    <s v="Women 25-34"/>
    <s v="15 days"/>
    <x v="5"/>
    <n v="0.04"/>
    <n v="6198"/>
    <n v="3.53"/>
    <n v="24"/>
    <n v="258.25"/>
    <s v="Miami"/>
    <s v="German"/>
    <n v="598"/>
    <n v="5058"/>
    <n v="7"/>
    <s v="Fashionistas"/>
    <x v="320"/>
  </r>
  <r>
    <s v="TechCorp"/>
    <x v="2"/>
    <s v="Women 35-44"/>
    <s v="60 days"/>
    <x v="2"/>
    <n v="0.1"/>
    <n v="9734"/>
    <n v="5.07"/>
    <n v="67"/>
    <n v="145.28358208955223"/>
    <s v="New York"/>
    <s v="French"/>
    <n v="674"/>
    <n v="2775"/>
    <n v="4"/>
    <s v="Outdoor Adventurers"/>
    <x v="321"/>
  </r>
  <r>
    <s v="Innovate Industries"/>
    <x v="0"/>
    <s v="Men 18-24"/>
    <s v="60 days"/>
    <x v="5"/>
    <n v="0.02"/>
    <n v="6858"/>
    <n v="7.83"/>
    <n v="3"/>
    <n v="2286"/>
    <s v="Chicago"/>
    <s v="Mandarin"/>
    <n v="170"/>
    <n v="2292"/>
    <n v="7"/>
    <s v="Tech Enthusiasts"/>
    <x v="322"/>
  </r>
  <r>
    <s v="TechCorp"/>
    <x v="2"/>
    <s v="Men 18-24"/>
    <s v="30 days"/>
    <x v="2"/>
    <n v="0.05"/>
    <n v="11940"/>
    <n v="5.98"/>
    <n v="27"/>
    <n v="442.22222222222223"/>
    <s v="New York"/>
    <s v="Spanish"/>
    <n v="542"/>
    <n v="7472"/>
    <n v="2"/>
    <s v="Tech Enthusiasts"/>
    <x v="323"/>
  </r>
  <r>
    <s v="DataTech Solutions"/>
    <x v="4"/>
    <s v="Women 25-34"/>
    <s v="45 days"/>
    <x v="5"/>
    <n v="0.15"/>
    <n v="13900"/>
    <n v="3.13"/>
    <n v="98"/>
    <n v="141.83673469387756"/>
    <s v="Los Angeles"/>
    <s v="French"/>
    <n v="654"/>
    <n v="6163"/>
    <n v="8"/>
    <s v="Outdoor Adventurers"/>
    <x v="324"/>
  </r>
  <r>
    <s v="DataTech Solutions"/>
    <x v="1"/>
    <s v="Women 35-44"/>
    <s v="15 days"/>
    <x v="5"/>
    <n v="0.08"/>
    <n v="15105"/>
    <n v="5.39"/>
    <n v="58"/>
    <n v="260.43103448275861"/>
    <s v="Los Angeles"/>
    <s v="French"/>
    <n v="727"/>
    <n v="4790"/>
    <n v="3"/>
    <s v="Outdoor Adventurers"/>
    <x v="325"/>
  </r>
  <r>
    <s v="DataTech Solutions"/>
    <x v="4"/>
    <s v="All Ages"/>
    <s v="30 days"/>
    <x v="3"/>
    <n v="0.08"/>
    <n v="18327"/>
    <n v="7.26"/>
    <n v="21"/>
    <n v="872.71428571428567"/>
    <s v="New York"/>
    <s v="English"/>
    <n v="264"/>
    <n v="6350"/>
    <n v="4"/>
    <s v="Foodies"/>
    <x v="326"/>
  </r>
  <r>
    <s v="NexGen Systems"/>
    <x v="0"/>
    <s v="Men 25-34"/>
    <s v="45 days"/>
    <x v="2"/>
    <n v="0.15"/>
    <n v="19921"/>
    <n v="5.29"/>
    <n v="86"/>
    <n v="231.63953488372093"/>
    <s v="Miami"/>
    <s v="English"/>
    <n v="572"/>
    <n v="2694"/>
    <n v="3"/>
    <s v="Outdoor Adventurers"/>
    <x v="327"/>
  </r>
  <r>
    <s v="DataTech Solutions"/>
    <x v="0"/>
    <s v="Women 35-44"/>
    <s v="60 days"/>
    <x v="2"/>
    <n v="0.05"/>
    <n v="14059"/>
    <n v="2.89"/>
    <n v="12"/>
    <n v="1171.5833333333333"/>
    <s v="Los Angeles"/>
    <s v="French"/>
    <n v="242"/>
    <n v="9193"/>
    <n v="2"/>
    <s v="Foodies"/>
    <x v="328"/>
  </r>
  <r>
    <s v="TechCorp"/>
    <x v="3"/>
    <s v="Men 18-24"/>
    <s v="45 days"/>
    <x v="0"/>
    <n v="7.0000000000000007E-2"/>
    <n v="16366"/>
    <n v="4.9400000000000004"/>
    <n v="34"/>
    <n v="481.35294117647061"/>
    <s v="Los Angeles"/>
    <s v="French"/>
    <n v="480"/>
    <n v="8552"/>
    <n v="10"/>
    <s v="Foodies"/>
    <x v="329"/>
  </r>
  <r>
    <s v="Alpha Innovations"/>
    <x v="1"/>
    <s v="Women 35-44"/>
    <s v="15 days"/>
    <x v="4"/>
    <n v="0.11"/>
    <n v="10502"/>
    <n v="3.16"/>
    <n v="30"/>
    <n v="350.06666666666666"/>
    <s v="Houston"/>
    <s v="English"/>
    <n v="272"/>
    <n v="2246"/>
    <n v="9"/>
    <s v="Outdoor Adventurers"/>
    <x v="330"/>
  </r>
  <r>
    <s v="Alpha Innovations"/>
    <x v="0"/>
    <s v="Women 25-34"/>
    <s v="15 days"/>
    <x v="0"/>
    <n v="0.13"/>
    <n v="10483"/>
    <n v="3.66"/>
    <n v="91"/>
    <n v="115.1978021978022"/>
    <s v="Miami"/>
    <s v="Spanish"/>
    <n v="700"/>
    <n v="6587"/>
    <n v="2"/>
    <s v="Outdoor Adventurers"/>
    <x v="331"/>
  </r>
  <r>
    <s v="NexGen Systems"/>
    <x v="3"/>
    <s v="Men 18-24"/>
    <s v="15 days"/>
    <x v="3"/>
    <n v="0.08"/>
    <n v="14518"/>
    <n v="5.51"/>
    <n v="27"/>
    <n v="537.7037037037037"/>
    <s v="Houston"/>
    <s v="French"/>
    <n v="335"/>
    <n v="1655"/>
    <n v="7"/>
    <s v="Fashionistas"/>
    <x v="332"/>
  </r>
  <r>
    <s v="Innovate Industries"/>
    <x v="1"/>
    <s v="Men 25-34"/>
    <s v="15 days"/>
    <x v="1"/>
    <n v="0.06"/>
    <n v="6885"/>
    <n v="2.95"/>
    <n v="56"/>
    <n v="122.94642857142857"/>
    <s v="Los Angeles"/>
    <s v="English"/>
    <n v="940"/>
    <n v="7012"/>
    <n v="8"/>
    <s v="Outdoor Adventurers"/>
    <x v="333"/>
  </r>
  <r>
    <s v="DataTech Solutions"/>
    <x v="3"/>
    <s v="Women 25-34"/>
    <s v="30 days"/>
    <x v="1"/>
    <n v="0.13"/>
    <n v="14732"/>
    <n v="6.72"/>
    <n v="76"/>
    <n v="193.84210526315789"/>
    <s v="Chicago"/>
    <s v="German"/>
    <n v="584"/>
    <n v="5133"/>
    <n v="4"/>
    <s v="Fashionistas"/>
    <x v="334"/>
  </r>
  <r>
    <s v="NexGen Systems"/>
    <x v="0"/>
    <s v="Men 18-24"/>
    <s v="30 days"/>
    <x v="0"/>
    <n v="0.02"/>
    <n v="16358"/>
    <n v="2.44"/>
    <n v="14"/>
    <n v="1168.4285714285713"/>
    <s v="Miami"/>
    <s v="English"/>
    <n v="706"/>
    <n v="9267"/>
    <n v="1"/>
    <s v="Outdoor Adventurers"/>
    <x v="335"/>
  </r>
  <r>
    <s v="NexGen Systems"/>
    <x v="4"/>
    <s v="All Ages"/>
    <s v="45 days"/>
    <x v="4"/>
    <n v="0.03"/>
    <n v="5909"/>
    <n v="6.5"/>
    <n v="18"/>
    <n v="328.27777777777777"/>
    <s v="New York"/>
    <s v="Mandarin"/>
    <n v="604"/>
    <n v="3648"/>
    <n v="6"/>
    <s v="Health &amp; Wellness"/>
    <x v="336"/>
  </r>
  <r>
    <s v="Innovate Industries"/>
    <x v="1"/>
    <s v="All Ages"/>
    <s v="60 days"/>
    <x v="2"/>
    <n v="0.14000000000000001"/>
    <n v="7696"/>
    <n v="5.6"/>
    <n v="135"/>
    <n v="57.007407407407406"/>
    <s v="New York"/>
    <s v="Spanish"/>
    <n v="965"/>
    <n v="6424"/>
    <n v="5"/>
    <s v="Foodies"/>
    <x v="337"/>
  </r>
  <r>
    <s v="NexGen Systems"/>
    <x v="3"/>
    <s v="Women 35-44"/>
    <s v="15 days"/>
    <x v="0"/>
    <n v="0.02"/>
    <n v="16003"/>
    <n v="6.85"/>
    <n v="17"/>
    <n v="941.35294117647061"/>
    <s v="New York"/>
    <s v="Spanish"/>
    <n v="852"/>
    <n v="7696"/>
    <n v="5"/>
    <s v="Tech Enthusiasts"/>
    <x v="338"/>
  </r>
  <r>
    <s v="NexGen Systems"/>
    <x v="0"/>
    <s v="Women 25-34"/>
    <s v="60 days"/>
    <x v="4"/>
    <n v="0.02"/>
    <n v="17711"/>
    <n v="6.1"/>
    <n v="10"/>
    <n v="1771.1"/>
    <s v="Miami"/>
    <s v="German"/>
    <n v="512"/>
    <n v="1895"/>
    <n v="10"/>
    <s v="Tech Enthusiasts"/>
    <x v="339"/>
  </r>
  <r>
    <s v="Innovate Industries"/>
    <x v="0"/>
    <s v="Men 25-34"/>
    <s v="15 days"/>
    <x v="1"/>
    <n v="0.09"/>
    <n v="10556"/>
    <n v="2.02"/>
    <n v="31"/>
    <n v="340.51612903225805"/>
    <s v="Houston"/>
    <s v="French"/>
    <n v="346"/>
    <n v="9479"/>
    <n v="7"/>
    <s v="Tech Enthusiasts"/>
    <x v="340"/>
  </r>
  <r>
    <s v="Innovate Industries"/>
    <x v="2"/>
    <s v="Men 18-24"/>
    <s v="60 days"/>
    <x v="4"/>
    <n v="0.13"/>
    <n v="5990"/>
    <n v="5.67"/>
    <n v="73"/>
    <n v="82.054794520547944"/>
    <s v="New York"/>
    <s v="Mandarin"/>
    <n v="558"/>
    <n v="3361"/>
    <n v="1"/>
    <s v="Foodies"/>
    <x v="341"/>
  </r>
  <r>
    <s v="Alpha Innovations"/>
    <x v="3"/>
    <s v="Women 35-44"/>
    <s v="45 days"/>
    <x v="4"/>
    <n v="0.08"/>
    <n v="15315"/>
    <n v="6.98"/>
    <n v="72"/>
    <n v="212.70833333333334"/>
    <s v="Los Angeles"/>
    <s v="Mandarin"/>
    <n v="901"/>
    <n v="4239"/>
    <n v="1"/>
    <s v="Health &amp; Wellness"/>
    <x v="342"/>
  </r>
  <r>
    <s v="TechCorp"/>
    <x v="1"/>
    <s v="Men 25-34"/>
    <s v="45 days"/>
    <x v="1"/>
    <n v="0.14000000000000001"/>
    <n v="11662"/>
    <n v="6.85"/>
    <n v="87"/>
    <n v="134.04597701149424"/>
    <s v="New York"/>
    <s v="English"/>
    <n v="620"/>
    <n v="9866"/>
    <n v="4"/>
    <s v="Outdoor Adventurers"/>
    <x v="343"/>
  </r>
  <r>
    <s v="DataTech Solutions"/>
    <x v="4"/>
    <s v="All Ages"/>
    <s v="45 days"/>
    <x v="1"/>
    <n v="7.0000000000000007E-2"/>
    <n v="15406"/>
    <n v="4.76"/>
    <n v="28"/>
    <n v="550.21428571428567"/>
    <s v="Los Angeles"/>
    <s v="German"/>
    <n v="404"/>
    <n v="2833"/>
    <n v="9"/>
    <s v="Tech Enthusiasts"/>
    <x v="344"/>
  </r>
  <r>
    <s v="Alpha Innovations"/>
    <x v="4"/>
    <s v="Men 18-24"/>
    <s v="30 days"/>
    <x v="1"/>
    <n v="0.14000000000000001"/>
    <n v="14127"/>
    <n v="7.49"/>
    <n v="117"/>
    <n v="120.74358974358974"/>
    <s v="New York"/>
    <s v="German"/>
    <n v="836"/>
    <n v="6330"/>
    <n v="5"/>
    <s v="Foodies"/>
    <x v="345"/>
  </r>
  <r>
    <s v="Alpha Innovations"/>
    <x v="3"/>
    <s v="Women 25-34"/>
    <s v="60 days"/>
    <x v="5"/>
    <n v="0.03"/>
    <n v="15121"/>
    <n v="7.83"/>
    <n v="6"/>
    <n v="2520.1666666666665"/>
    <s v="Los Angeles"/>
    <s v="English"/>
    <n v="186"/>
    <n v="8709"/>
    <n v="3"/>
    <s v="Health &amp; Wellness"/>
    <x v="346"/>
  </r>
  <r>
    <s v="TechCorp"/>
    <x v="3"/>
    <s v="Men 18-24"/>
    <s v="60 days"/>
    <x v="2"/>
    <n v="0.01"/>
    <n v="7350"/>
    <n v="4.3899999999999997"/>
    <n v="5"/>
    <n v="1470"/>
    <s v="Chicago"/>
    <s v="Spanish"/>
    <n v="482"/>
    <n v="6865"/>
    <n v="2"/>
    <s v="Fashionistas"/>
    <x v="347"/>
  </r>
  <r>
    <s v="NexGen Systems"/>
    <x v="0"/>
    <s v="Men 18-24"/>
    <s v="60 days"/>
    <x v="3"/>
    <n v="7.0000000000000007E-2"/>
    <n v="6036"/>
    <n v="2.84"/>
    <n v="54"/>
    <n v="111.77777777777777"/>
    <s v="Los Angeles"/>
    <s v="Spanish"/>
    <n v="776"/>
    <n v="8045"/>
    <n v="10"/>
    <s v="Foodies"/>
    <x v="348"/>
  </r>
  <r>
    <s v="Alpha Innovations"/>
    <x v="4"/>
    <s v="Women 35-44"/>
    <s v="45 days"/>
    <x v="4"/>
    <n v="0.04"/>
    <n v="15572"/>
    <n v="5.98"/>
    <n v="33"/>
    <n v="471.87878787878788"/>
    <s v="Los Angeles"/>
    <s v="Mandarin"/>
    <n v="828"/>
    <n v="5150"/>
    <n v="4"/>
    <s v="Tech Enthusiasts"/>
    <x v="349"/>
  </r>
  <r>
    <s v="DataTech Solutions"/>
    <x v="1"/>
    <s v="Men 25-34"/>
    <s v="30 days"/>
    <x v="3"/>
    <n v="0.02"/>
    <n v="18550"/>
    <n v="6.97"/>
    <n v="13"/>
    <n v="1426.9230769230769"/>
    <s v="Houston"/>
    <s v="Mandarin"/>
    <n v="660"/>
    <n v="5450"/>
    <n v="8"/>
    <s v="Outdoor Adventurers"/>
    <x v="350"/>
  </r>
  <r>
    <s v="NexGen Systems"/>
    <x v="1"/>
    <s v="All Ages"/>
    <s v="45 days"/>
    <x v="5"/>
    <n v="0.02"/>
    <n v="19133"/>
    <n v="2.74"/>
    <n v="14"/>
    <n v="1366.6428571428571"/>
    <s v="Houston"/>
    <s v="German"/>
    <n v="676"/>
    <n v="6131"/>
    <n v="10"/>
    <s v="Fashionistas"/>
    <x v="351"/>
  </r>
  <r>
    <s v="Innovate Industries"/>
    <x v="2"/>
    <s v="Women 25-34"/>
    <s v="15 days"/>
    <x v="4"/>
    <n v="0.06"/>
    <n v="10097"/>
    <n v="7.78"/>
    <n v="8"/>
    <n v="1262.125"/>
    <s v="Los Angeles"/>
    <s v="French"/>
    <n v="125"/>
    <n v="6642"/>
    <n v="3"/>
    <s v="Tech Enthusiasts"/>
    <x v="352"/>
  </r>
  <r>
    <s v="Innovate Industries"/>
    <x v="1"/>
    <s v="All Ages"/>
    <s v="45 days"/>
    <x v="3"/>
    <n v="0.05"/>
    <n v="11499"/>
    <n v="2.76"/>
    <n v="45"/>
    <n v="255.53333333333333"/>
    <s v="Houston"/>
    <s v="Mandarin"/>
    <n v="906"/>
    <n v="5525"/>
    <n v="1"/>
    <s v="Health &amp; Wellness"/>
    <x v="353"/>
  </r>
  <r>
    <s v="TechCorp"/>
    <x v="1"/>
    <s v="Women 35-44"/>
    <s v="60 days"/>
    <x v="2"/>
    <n v="0.12"/>
    <n v="18708"/>
    <n v="4.34"/>
    <n v="75"/>
    <n v="249.44"/>
    <s v="New York"/>
    <s v="German"/>
    <n v="624"/>
    <n v="8297"/>
    <n v="6"/>
    <s v="Foodies"/>
    <x v="354"/>
  </r>
  <r>
    <s v="TechCorp"/>
    <x v="1"/>
    <s v="All Ages"/>
    <s v="30 days"/>
    <x v="3"/>
    <n v="0.08"/>
    <n v="13901"/>
    <n v="5.27"/>
    <n v="39"/>
    <n v="356.43589743589746"/>
    <s v="New York"/>
    <s v="German"/>
    <n v="488"/>
    <n v="6099"/>
    <n v="1"/>
    <s v="Health &amp; Wellness"/>
    <x v="355"/>
  </r>
  <r>
    <s v="DataTech Solutions"/>
    <x v="3"/>
    <s v="Women 25-34"/>
    <s v="60 days"/>
    <x v="4"/>
    <n v="0.04"/>
    <n v="10532"/>
    <n v="3.98"/>
    <n v="21"/>
    <n v="501.52380952380952"/>
    <s v="Los Angeles"/>
    <s v="French"/>
    <n v="524"/>
    <n v="8362"/>
    <n v="7"/>
    <s v="Health &amp; Wellness"/>
    <x v="356"/>
  </r>
  <r>
    <s v="TechCorp"/>
    <x v="1"/>
    <s v="Men 18-24"/>
    <s v="60 days"/>
    <x v="4"/>
    <n v="0.11"/>
    <n v="19959"/>
    <n v="6.32"/>
    <n v="24"/>
    <n v="831.625"/>
    <s v="Los Angeles"/>
    <s v="Mandarin"/>
    <n v="217"/>
    <n v="3486"/>
    <n v="9"/>
    <s v="Foodies"/>
    <x v="357"/>
  </r>
  <r>
    <s v="DataTech Solutions"/>
    <x v="1"/>
    <s v="Men 18-24"/>
    <s v="45 days"/>
    <x v="0"/>
    <n v="0.06"/>
    <n v="7849"/>
    <n v="4.58"/>
    <n v="9"/>
    <n v="872.11111111111109"/>
    <s v="Chicago"/>
    <s v="Spanish"/>
    <n v="148"/>
    <n v="9100"/>
    <n v="1"/>
    <s v="Fashionistas"/>
    <x v="358"/>
  </r>
  <r>
    <s v="Innovate Industries"/>
    <x v="1"/>
    <s v="All Ages"/>
    <s v="30 days"/>
    <x v="5"/>
    <n v="0.01"/>
    <n v="18659"/>
    <n v="4.7699999999999996"/>
    <n v="9"/>
    <n v="2073.2222222222222"/>
    <s v="Miami"/>
    <s v="English"/>
    <n v="860"/>
    <n v="3586"/>
    <n v="10"/>
    <s v="Health &amp; Wellness"/>
    <x v="359"/>
  </r>
  <r>
    <s v="NexGen Systems"/>
    <x v="1"/>
    <s v="Men 25-34"/>
    <s v="30 days"/>
    <x v="2"/>
    <n v="0.15"/>
    <n v="14040"/>
    <n v="6.16"/>
    <n v="62"/>
    <n v="226.45161290322579"/>
    <s v="New York"/>
    <s v="German"/>
    <n v="416"/>
    <n v="8178"/>
    <n v="4"/>
    <s v="Outdoor Adventurers"/>
    <x v="360"/>
  </r>
  <r>
    <s v="TechCorp"/>
    <x v="1"/>
    <s v="Men 25-34"/>
    <s v="15 days"/>
    <x v="4"/>
    <n v="0.14000000000000001"/>
    <n v="18865"/>
    <n v="6.02"/>
    <n v="122"/>
    <n v="154.63114754098362"/>
    <s v="New York"/>
    <s v="French"/>
    <n v="870"/>
    <n v="8676"/>
    <n v="1"/>
    <s v="Fashionistas"/>
    <x v="361"/>
  </r>
  <r>
    <s v="Innovate Industries"/>
    <x v="0"/>
    <s v="All Ages"/>
    <s v="60 days"/>
    <x v="0"/>
    <n v="0.04"/>
    <n v="6310"/>
    <n v="2.7"/>
    <n v="23"/>
    <n v="274.3478260869565"/>
    <s v="Chicago"/>
    <s v="Mandarin"/>
    <n v="567"/>
    <n v="4485"/>
    <n v="4"/>
    <s v="Outdoor Adventurers"/>
    <x v="362"/>
  </r>
  <r>
    <s v="NexGen Systems"/>
    <x v="1"/>
    <s v="Women 35-44"/>
    <s v="15 days"/>
    <x v="3"/>
    <n v="0.11"/>
    <n v="13018"/>
    <n v="4.34"/>
    <n v="97"/>
    <n v="134.20618556701032"/>
    <s v="Miami"/>
    <s v="English"/>
    <n v="883"/>
    <n v="4983"/>
    <n v="5"/>
    <s v="Tech Enthusiasts"/>
    <x v="363"/>
  </r>
  <r>
    <s v="Alpha Innovations"/>
    <x v="2"/>
    <s v="Men 25-34"/>
    <s v="15 days"/>
    <x v="4"/>
    <n v="0.14000000000000001"/>
    <n v="16406"/>
    <n v="4.8499999999999996"/>
    <n v="61"/>
    <n v="268.95081967213116"/>
    <s v="Houston"/>
    <s v="Spanish"/>
    <n v="438"/>
    <n v="2635"/>
    <n v="8"/>
    <s v="Tech Enthusiasts"/>
    <x v="364"/>
  </r>
  <r>
    <s v="TechCorp"/>
    <x v="4"/>
    <s v="Women 25-34"/>
    <s v="15 days"/>
    <x v="1"/>
    <n v="0.05"/>
    <n v="9897"/>
    <n v="3.07"/>
    <n v="21"/>
    <n v="471.28571428571428"/>
    <s v="Miami"/>
    <s v="Spanish"/>
    <n v="416"/>
    <n v="2845"/>
    <n v="6"/>
    <s v="Tech Enthusiasts"/>
    <x v="0"/>
  </r>
  <r>
    <s v="TechCorp"/>
    <x v="0"/>
    <s v="Women 25-34"/>
    <s v="60 days"/>
    <x v="3"/>
    <n v="0.12"/>
    <n v="13216"/>
    <n v="3.56"/>
    <n v="80"/>
    <n v="165.2"/>
    <s v="New York"/>
    <s v="English"/>
    <n v="670"/>
    <n v="3171"/>
    <n v="5"/>
    <s v="Health &amp; Wellness"/>
    <x v="1"/>
  </r>
  <r>
    <s v="Innovate Industries"/>
    <x v="1"/>
    <s v="Men 18-24"/>
    <s v="60 days"/>
    <x v="2"/>
    <n v="0.14000000000000001"/>
    <n v="12769"/>
    <n v="7.9"/>
    <n v="59"/>
    <n v="216.42372881355934"/>
    <s v="Houston"/>
    <s v="English"/>
    <n v="420"/>
    <n v="8200"/>
    <n v="10"/>
    <s v="Fashionistas"/>
    <x v="2"/>
  </r>
  <r>
    <s v="DataTech Solutions"/>
    <x v="1"/>
    <s v="All Ages"/>
    <s v="30 days"/>
    <x v="4"/>
    <n v="0.03"/>
    <n v="15473"/>
    <n v="3.88"/>
    <n v="27"/>
    <n v="573.07407407407402"/>
    <s v="Miami"/>
    <s v="French"/>
    <n v="891"/>
    <n v="1965"/>
    <n v="2"/>
    <s v="Health &amp; Wellness"/>
    <x v="3"/>
  </r>
  <r>
    <s v="TechCorp"/>
    <x v="3"/>
    <s v="Men 25-34"/>
    <s v="30 days"/>
    <x v="2"/>
    <n v="0.01"/>
    <n v="16280"/>
    <n v="7.79"/>
    <n v="8"/>
    <n v="2035"/>
    <s v="New York"/>
    <s v="Spanish"/>
    <n v="829"/>
    <n v="7724"/>
    <n v="1"/>
    <s v="Outdoor Adventurers"/>
    <x v="4"/>
  </r>
  <r>
    <s v="DataTech Solutions"/>
    <x v="4"/>
    <s v="Women 25-34"/>
    <s v="30 days"/>
    <x v="5"/>
    <n v="0.06"/>
    <n v="17903"/>
    <n v="5.37"/>
    <n v="15"/>
    <n v="1193.5333333333333"/>
    <s v="Chicago"/>
    <s v="Spanish"/>
    <n v="242"/>
    <n v="9089"/>
    <n v="5"/>
    <s v="Health &amp; Wellness"/>
    <x v="5"/>
  </r>
  <r>
    <s v="Innovate Industries"/>
    <x v="4"/>
    <s v="All Ages"/>
    <s v="45 days"/>
    <x v="1"/>
    <n v="0.05"/>
    <n v="6855"/>
    <n v="4.26"/>
    <n v="27"/>
    <n v="253.88888888888889"/>
    <s v="New York"/>
    <s v="German"/>
    <n v="547"/>
    <n v="6508"/>
    <n v="3"/>
    <s v="Health &amp; Wellness"/>
    <x v="6"/>
  </r>
  <r>
    <s v="DataTech Solutions"/>
    <x v="1"/>
    <s v="All Ages"/>
    <s v="60 days"/>
    <x v="3"/>
    <n v="0.09"/>
    <n v="19173"/>
    <n v="7.62"/>
    <n v="42"/>
    <n v="456.5"/>
    <s v="New York"/>
    <s v="English"/>
    <n v="467"/>
    <n v="2055"/>
    <n v="5"/>
    <s v="Tech Enthusiasts"/>
    <x v="7"/>
  </r>
  <r>
    <s v="Innovate Industries"/>
    <x v="3"/>
    <s v="All Ages"/>
    <s v="60 days"/>
    <x v="3"/>
    <n v="0.06"/>
    <n v="17778"/>
    <n v="7.44"/>
    <n v="49"/>
    <n v="362.81632653061223"/>
    <s v="Miami"/>
    <s v="Spanish"/>
    <n v="811"/>
    <n v="8330"/>
    <n v="7"/>
    <s v="Tech Enthusiasts"/>
    <x v="8"/>
  </r>
  <r>
    <s v="DataTech Solutions"/>
    <x v="2"/>
    <s v="Men 18-24"/>
    <s v="60 days"/>
    <x v="5"/>
    <n v="0.13"/>
    <n v="5624"/>
    <n v="3.58"/>
    <n v="101"/>
    <n v="55.683168316831683"/>
    <s v="Chicago"/>
    <s v="English"/>
    <n v="778"/>
    <n v="6405"/>
    <n v="5"/>
    <s v="Foodies"/>
    <x v="9"/>
  </r>
  <r>
    <s v="Innovate Industries"/>
    <x v="2"/>
    <s v="All Ages"/>
    <s v="60 days"/>
    <x v="1"/>
    <n v="0.04"/>
    <n v="19846"/>
    <n v="4.07"/>
    <n v="30"/>
    <n v="661.5333333333333"/>
    <s v="Houston"/>
    <s v="German"/>
    <n v="759"/>
    <n v="9057"/>
    <n v="3"/>
    <s v="Foodies"/>
    <x v="10"/>
  </r>
  <r>
    <s v="NexGen Systems"/>
    <x v="3"/>
    <s v="Women 35-44"/>
    <s v="60 days"/>
    <x v="3"/>
    <n v="0.12"/>
    <n v="17519"/>
    <n v="4.9800000000000004"/>
    <n v="79"/>
    <n v="221.75949367088609"/>
    <s v="Los Angeles"/>
    <s v="Mandarin"/>
    <n v="656"/>
    <n v="5720"/>
    <n v="2"/>
    <s v="Health &amp; Wellness"/>
    <x v="11"/>
  </r>
  <r>
    <s v="DataTech Solutions"/>
    <x v="4"/>
    <s v="Women 25-34"/>
    <s v="15 days"/>
    <x v="4"/>
    <n v="0.15"/>
    <n v="15128"/>
    <n v="4.28"/>
    <n v="145"/>
    <n v="104.33103448275862"/>
    <s v="Los Angeles"/>
    <s v="English"/>
    <n v="965"/>
    <n v="4993"/>
    <n v="4"/>
    <s v="Foodies"/>
    <x v="12"/>
  </r>
  <r>
    <s v="TechCorp"/>
    <x v="2"/>
    <s v="Men 25-34"/>
    <s v="45 days"/>
    <x v="0"/>
    <n v="0.11"/>
    <n v="19609"/>
    <n v="2.5099999999999998"/>
    <n v="88"/>
    <n v="222.82954545454547"/>
    <s v="New York"/>
    <s v="French"/>
    <n v="796"/>
    <n v="5241"/>
    <n v="6"/>
    <s v="Tech Enthusiasts"/>
    <x v="13"/>
  </r>
  <r>
    <s v="DataTech Solutions"/>
    <x v="0"/>
    <s v="Women 25-34"/>
    <s v="60 days"/>
    <x v="5"/>
    <n v="0.06"/>
    <n v="10923"/>
    <n v="5.56"/>
    <n v="25"/>
    <n v="436.92"/>
    <s v="New York"/>
    <s v="French"/>
    <n v="423"/>
    <n v="3411"/>
    <n v="10"/>
    <s v="Tech Enthusiasts"/>
    <x v="14"/>
  </r>
  <r>
    <s v="DataTech Solutions"/>
    <x v="0"/>
    <s v="Men 25-34"/>
    <s v="45 days"/>
    <x v="2"/>
    <n v="0.09"/>
    <n v="17701"/>
    <n v="7.63"/>
    <n v="88"/>
    <n v="201.14772727272728"/>
    <s v="New York"/>
    <s v="German"/>
    <n v="975"/>
    <n v="2053"/>
    <n v="8"/>
    <s v="Health &amp; Wellness"/>
    <x v="15"/>
  </r>
  <r>
    <s v="DataTech Solutions"/>
    <x v="0"/>
    <s v="All Ages"/>
    <s v="60 days"/>
    <x v="0"/>
    <n v="0.14000000000000001"/>
    <n v="5556"/>
    <n v="6.26"/>
    <n v="42"/>
    <n v="132.28571428571428"/>
    <s v="Miami"/>
    <s v="English"/>
    <n v="298"/>
    <n v="6196"/>
    <n v="4"/>
    <s v="Health &amp; Wellness"/>
    <x v="16"/>
  </r>
  <r>
    <s v="Innovate Industries"/>
    <x v="3"/>
    <s v="Men 18-24"/>
    <s v="45 days"/>
    <x v="5"/>
    <n v="0.03"/>
    <n v="14650"/>
    <n v="2.2799999999999998"/>
    <n v="26"/>
    <n v="563.46153846153845"/>
    <s v="Miami"/>
    <s v="Spanish"/>
    <n v="864"/>
    <n v="3032"/>
    <n v="5"/>
    <s v="Fashionistas"/>
    <x v="17"/>
  </r>
  <r>
    <s v="Alpha Innovations"/>
    <x v="4"/>
    <s v="Women 25-34"/>
    <s v="15 days"/>
    <x v="3"/>
    <n v="0.08"/>
    <n v="19623"/>
    <n v="6.32"/>
    <n v="67"/>
    <n v="292.8805970149254"/>
    <s v="Houston"/>
    <s v="Mandarin"/>
    <n v="841"/>
    <n v="1904"/>
    <n v="5"/>
    <s v="Foodies"/>
    <x v="18"/>
  </r>
  <r>
    <s v="DataTech Solutions"/>
    <x v="3"/>
    <s v="Men 25-34"/>
    <s v="60 days"/>
    <x v="0"/>
    <n v="0.14000000000000001"/>
    <n v="16284"/>
    <n v="7.75"/>
    <n v="29"/>
    <n v="561.51724137931035"/>
    <s v="Miami"/>
    <s v="German"/>
    <n v="207"/>
    <n v="1832"/>
    <n v="4"/>
    <s v="Tech Enthusiasts"/>
    <x v="19"/>
  </r>
  <r>
    <s v="Alpha Innovations"/>
    <x v="4"/>
    <s v="All Ages"/>
    <s v="45 days"/>
    <x v="2"/>
    <n v="0.14000000000000001"/>
    <n v="7402"/>
    <n v="7.39"/>
    <n v="108"/>
    <n v="68.537037037037038"/>
    <s v="Chicago"/>
    <s v="French"/>
    <n v="770"/>
    <n v="6604"/>
    <n v="3"/>
    <s v="Tech Enthusiasts"/>
    <x v="20"/>
  </r>
  <r>
    <s v="Innovate Industries"/>
    <x v="2"/>
    <s v="Women 25-34"/>
    <s v="60 days"/>
    <x v="2"/>
    <n v="0.04"/>
    <n v="11098"/>
    <n v="7.42"/>
    <n v="13"/>
    <n v="853.69230769230774"/>
    <s v="Miami"/>
    <s v="Mandarin"/>
    <n v="335"/>
    <n v="4758"/>
    <n v="8"/>
    <s v="Tech Enthusiasts"/>
    <x v="21"/>
  </r>
  <r>
    <s v="TechCorp"/>
    <x v="2"/>
    <s v="Men 25-34"/>
    <s v="45 days"/>
    <x v="0"/>
    <n v="0.09"/>
    <n v="19688"/>
    <n v="5.04"/>
    <n v="59"/>
    <n v="333.69491525423729"/>
    <s v="Los Angeles"/>
    <s v="French"/>
    <n v="655"/>
    <n v="8096"/>
    <n v="4"/>
    <s v="Fashionistas"/>
    <x v="22"/>
  </r>
  <r>
    <s v="NexGen Systems"/>
    <x v="1"/>
    <s v="All Ages"/>
    <s v="15 days"/>
    <x v="0"/>
    <n v="0.06"/>
    <n v="12481"/>
    <n v="7.9"/>
    <n v="24"/>
    <n v="520.04166666666663"/>
    <s v="Houston"/>
    <s v="Spanish"/>
    <n v="392"/>
    <n v="1211"/>
    <n v="6"/>
    <s v="Fashionistas"/>
    <x v="23"/>
  </r>
  <r>
    <s v="NexGen Systems"/>
    <x v="2"/>
    <s v="Men 25-34"/>
    <s v="45 days"/>
    <x v="4"/>
    <n v="0.14000000000000001"/>
    <n v="10377"/>
    <n v="6.51"/>
    <n v="90"/>
    <n v="115.3"/>
    <s v="Miami"/>
    <s v="German"/>
    <n v="642"/>
    <n v="8685"/>
    <n v="5"/>
    <s v="Health &amp; Wellness"/>
    <x v="24"/>
  </r>
  <r>
    <s v="NexGen Systems"/>
    <x v="4"/>
    <s v="Men 18-24"/>
    <s v="15 days"/>
    <x v="0"/>
    <n v="0.08"/>
    <n v="13233"/>
    <n v="7.13"/>
    <n v="50"/>
    <n v="264.66000000000003"/>
    <s v="Houston"/>
    <s v="Mandarin"/>
    <n v="628"/>
    <n v="9170"/>
    <n v="8"/>
    <s v="Foodies"/>
    <x v="25"/>
  </r>
  <r>
    <s v="Alpha Innovations"/>
    <x v="4"/>
    <s v="Men 25-34"/>
    <s v="60 days"/>
    <x v="3"/>
    <n v="0.12"/>
    <n v="8498"/>
    <n v="2.27"/>
    <n v="19"/>
    <n v="447.26315789473682"/>
    <s v="Chicago"/>
    <s v="English"/>
    <n v="157"/>
    <n v="8528"/>
    <n v="7"/>
    <s v="Outdoor Adventurers"/>
    <x v="26"/>
  </r>
  <r>
    <s v="DataTech Solutions"/>
    <x v="4"/>
    <s v="Men 18-24"/>
    <s v="45 days"/>
    <x v="2"/>
    <n v="0.05"/>
    <n v="11622"/>
    <n v="3.73"/>
    <n v="45"/>
    <n v="258.26666666666665"/>
    <s v="Miami"/>
    <s v="Spanish"/>
    <n v="896"/>
    <n v="8132"/>
    <n v="1"/>
    <s v="Outdoor Adventurers"/>
    <x v="27"/>
  </r>
  <r>
    <s v="Alpha Innovations"/>
    <x v="2"/>
    <s v="Women 25-34"/>
    <s v="45 days"/>
    <x v="0"/>
    <n v="0.1"/>
    <n v="17059"/>
    <n v="3.89"/>
    <n v="36"/>
    <n v="473.86111111111109"/>
    <s v="Houston"/>
    <s v="Mandarin"/>
    <n v="362"/>
    <n v="9830"/>
    <n v="8"/>
    <s v="Foodies"/>
    <x v="28"/>
  </r>
  <r>
    <s v="DataTech Solutions"/>
    <x v="1"/>
    <s v="Men 25-34"/>
    <s v="60 days"/>
    <x v="0"/>
    <n v="7.0000000000000007E-2"/>
    <n v="15297"/>
    <n v="7.75"/>
    <n v="57"/>
    <n v="268.36842105263156"/>
    <s v="Miami"/>
    <s v="French"/>
    <n v="820"/>
    <n v="1679"/>
    <n v="4"/>
    <s v="Tech Enthusiasts"/>
    <x v="29"/>
  </r>
  <r>
    <s v="DataTech Solutions"/>
    <x v="3"/>
    <s v="Men 18-24"/>
    <s v="30 days"/>
    <x v="0"/>
    <n v="0.1"/>
    <n v="8611"/>
    <n v="3.52"/>
    <n v="39"/>
    <n v="220.7948717948718"/>
    <s v="Miami"/>
    <s v="German"/>
    <n v="390"/>
    <n v="9110"/>
    <n v="6"/>
    <s v="Foodies"/>
    <x v="30"/>
  </r>
  <r>
    <s v="Innovate Industries"/>
    <x v="2"/>
    <s v="Women 25-34"/>
    <s v="60 days"/>
    <x v="4"/>
    <n v="0.14000000000000001"/>
    <n v="6715"/>
    <n v="5.53"/>
    <n v="68"/>
    <n v="98.75"/>
    <s v="Miami"/>
    <s v="Mandarin"/>
    <n v="488"/>
    <n v="2307"/>
    <n v="9"/>
    <s v="Tech Enthusiasts"/>
    <x v="31"/>
  </r>
  <r>
    <s v="TechCorp"/>
    <x v="2"/>
    <s v="Men 18-24"/>
    <s v="60 days"/>
    <x v="3"/>
    <n v="0.02"/>
    <n v="6292"/>
    <n v="6.89"/>
    <n v="17"/>
    <n v="370.11764705882354"/>
    <s v="Miami"/>
    <s v="French"/>
    <n v="869"/>
    <n v="2805"/>
    <n v="8"/>
    <s v="Fashionistas"/>
    <x v="32"/>
  </r>
  <r>
    <s v="NexGen Systems"/>
    <x v="1"/>
    <s v="Men 18-24"/>
    <s v="15 days"/>
    <x v="2"/>
    <n v="0.03"/>
    <n v="10824"/>
    <n v="5.7"/>
    <n v="7"/>
    <n v="1546.2857142857142"/>
    <s v="Chicago"/>
    <s v="English"/>
    <n v="247"/>
    <n v="9411"/>
    <n v="9"/>
    <s v="Fashionistas"/>
    <x v="33"/>
  </r>
  <r>
    <s v="TechCorp"/>
    <x v="0"/>
    <s v="Women 25-34"/>
    <s v="45 days"/>
    <x v="2"/>
    <n v="0.15"/>
    <n v="5643"/>
    <n v="2.57"/>
    <n v="135"/>
    <n v="41.8"/>
    <s v="Chicago"/>
    <s v="Mandarin"/>
    <n v="901"/>
    <n v="7655"/>
    <n v="4"/>
    <s v="Health &amp; Wellness"/>
    <x v="34"/>
  </r>
  <r>
    <s v="Innovate Industries"/>
    <x v="3"/>
    <s v="Men 25-34"/>
    <s v="15 days"/>
    <x v="5"/>
    <n v="0.12"/>
    <n v="6345"/>
    <n v="6.85"/>
    <n v="21"/>
    <n v="302.14285714285717"/>
    <s v="Los Angeles"/>
    <s v="German"/>
    <n v="179"/>
    <n v="6740"/>
    <n v="1"/>
    <s v="Outdoor Adventurers"/>
    <x v="35"/>
  </r>
  <r>
    <s v="Innovate Industries"/>
    <x v="2"/>
    <s v="Women 25-34"/>
    <s v="15 days"/>
    <x v="2"/>
    <n v="0.04"/>
    <n v="19053"/>
    <n v="3.45"/>
    <n v="27"/>
    <n v="705.66666666666663"/>
    <s v="New York"/>
    <s v="English"/>
    <n v="666"/>
    <n v="7167"/>
    <n v="6"/>
    <s v="Foodies"/>
    <x v="36"/>
  </r>
  <r>
    <s v="NexGen Systems"/>
    <x v="0"/>
    <s v="All Ages"/>
    <s v="15 days"/>
    <x v="3"/>
    <n v="0.09"/>
    <n v="17831"/>
    <n v="4.8099999999999996"/>
    <n v="30"/>
    <n v="594.36666666666667"/>
    <s v="Houston"/>
    <s v="English"/>
    <n v="328"/>
    <n v="6353"/>
    <n v="8"/>
    <s v="Outdoor Adventurers"/>
    <x v="37"/>
  </r>
  <r>
    <s v="NexGen Systems"/>
    <x v="4"/>
    <s v="Women 35-44"/>
    <s v="45 days"/>
    <x v="2"/>
    <n v="0.05"/>
    <n v="7777"/>
    <n v="7.96"/>
    <n v="6"/>
    <n v="1296.1666666666667"/>
    <s v="Los Angeles"/>
    <s v="German"/>
    <n v="115"/>
    <n v="5033"/>
    <n v="4"/>
    <s v="Fashionistas"/>
    <x v="38"/>
  </r>
  <r>
    <s v="NexGen Systems"/>
    <x v="4"/>
    <s v="Men 25-34"/>
    <s v="60 days"/>
    <x v="2"/>
    <n v="7.0000000000000007E-2"/>
    <n v="11278"/>
    <n v="6.25"/>
    <n v="52"/>
    <n v="216.88461538461539"/>
    <s v="Chicago"/>
    <s v="German"/>
    <n v="739"/>
    <n v="8691"/>
    <n v="6"/>
    <s v="Foodies"/>
    <x v="39"/>
  </r>
  <r>
    <s v="NexGen Systems"/>
    <x v="1"/>
    <s v="All Ages"/>
    <s v="15 days"/>
    <x v="3"/>
    <n v="0.08"/>
    <n v="15010"/>
    <n v="2.46"/>
    <n v="49"/>
    <n v="306.32653061224488"/>
    <s v="New York"/>
    <s v="Spanish"/>
    <n v="617"/>
    <n v="9898"/>
    <n v="4"/>
    <s v="Outdoor Adventurers"/>
    <x v="40"/>
  </r>
  <r>
    <s v="NexGen Systems"/>
    <x v="1"/>
    <s v="Women 25-34"/>
    <s v="60 days"/>
    <x v="2"/>
    <n v="0.14000000000000001"/>
    <n v="10142"/>
    <n v="5.72"/>
    <n v="135"/>
    <n v="75.125925925925927"/>
    <s v="Chicago"/>
    <s v="Spanish"/>
    <n v="963"/>
    <n v="9250"/>
    <n v="2"/>
    <s v="Tech Enthusiasts"/>
    <x v="41"/>
  </r>
  <r>
    <s v="NexGen Systems"/>
    <x v="2"/>
    <s v="All Ages"/>
    <s v="45 days"/>
    <x v="4"/>
    <n v="0.11"/>
    <n v="18131"/>
    <n v="4.67"/>
    <n v="99"/>
    <n v="183.14141414141415"/>
    <s v="New York"/>
    <s v="Spanish"/>
    <n v="899"/>
    <n v="8154"/>
    <n v="2"/>
    <s v="Fashionistas"/>
    <x v="42"/>
  </r>
  <r>
    <s v="NexGen Systems"/>
    <x v="4"/>
    <s v="Women 25-34"/>
    <s v="45 days"/>
    <x v="3"/>
    <n v="0.01"/>
    <n v="7027"/>
    <n v="3.03"/>
    <n v="7"/>
    <n v="1003.8571428571429"/>
    <s v="Miami"/>
    <s v="English"/>
    <n v="666"/>
    <n v="7573"/>
    <n v="6"/>
    <s v="Tech Enthusiasts"/>
    <x v="43"/>
  </r>
  <r>
    <s v="TechCorp"/>
    <x v="2"/>
    <s v="Men 25-34"/>
    <s v="45 days"/>
    <x v="5"/>
    <n v="0.09"/>
    <n v="5979"/>
    <n v="2.72"/>
    <n v="17"/>
    <n v="351.70588235294116"/>
    <s v="Miami"/>
    <s v="Mandarin"/>
    <n v="187"/>
    <n v="2223"/>
    <n v="1"/>
    <s v="Outdoor Adventurers"/>
    <x v="44"/>
  </r>
  <r>
    <s v="Alpha Innovations"/>
    <x v="2"/>
    <s v="Men 18-24"/>
    <s v="45 days"/>
    <x v="0"/>
    <n v="0.12"/>
    <n v="13168"/>
    <n v="5.95"/>
    <n v="58"/>
    <n v="227.0344827586207"/>
    <s v="Los Angeles"/>
    <s v="Spanish"/>
    <n v="481"/>
    <n v="6815"/>
    <n v="5"/>
    <s v="Outdoor Adventurers"/>
    <x v="45"/>
  </r>
  <r>
    <s v="TechCorp"/>
    <x v="0"/>
    <s v="Women 25-34"/>
    <s v="30 days"/>
    <x v="1"/>
    <n v="0.1"/>
    <n v="5195"/>
    <n v="3.81"/>
    <n v="55"/>
    <n v="94.454545454545453"/>
    <s v="Houston"/>
    <s v="French"/>
    <n v="546"/>
    <n v="6971"/>
    <n v="6"/>
    <s v="Health &amp; Wellness"/>
    <x v="46"/>
  </r>
  <r>
    <s v="Innovate Industries"/>
    <x v="2"/>
    <s v="Men 18-24"/>
    <s v="30 days"/>
    <x v="1"/>
    <n v="0.04"/>
    <n v="10459"/>
    <n v="4.3899999999999997"/>
    <n v="32"/>
    <n v="326.84375"/>
    <s v="Miami"/>
    <s v="Mandarin"/>
    <n v="797"/>
    <n v="7411"/>
    <n v="2"/>
    <s v="Outdoor Adventurers"/>
    <x v="47"/>
  </r>
  <r>
    <s v="Alpha Innovations"/>
    <x v="4"/>
    <s v="Men 25-34"/>
    <s v="30 days"/>
    <x v="3"/>
    <n v="0.05"/>
    <n v="5775"/>
    <n v="7.18"/>
    <n v="33"/>
    <n v="175"/>
    <s v="Los Angeles"/>
    <s v="English"/>
    <n v="658"/>
    <n v="2097"/>
    <n v="2"/>
    <s v="Health &amp; Wellness"/>
    <x v="48"/>
  </r>
  <r>
    <s v="TechCorp"/>
    <x v="0"/>
    <s v="Women 25-34"/>
    <s v="45 days"/>
    <x v="1"/>
    <n v="0.09"/>
    <n v="5609"/>
    <n v="3.91"/>
    <n v="69"/>
    <n v="81.289855072463766"/>
    <s v="Chicago"/>
    <s v="French"/>
    <n v="764"/>
    <n v="3957"/>
    <n v="10"/>
    <s v="Tech Enthusiasts"/>
    <x v="49"/>
  </r>
  <r>
    <s v="NexGen Systems"/>
    <x v="4"/>
    <s v="Men 18-24"/>
    <s v="15 days"/>
    <x v="0"/>
    <n v="0.15"/>
    <n v="6503"/>
    <n v="5.72"/>
    <n v="134"/>
    <n v="48.529850746268657"/>
    <s v="New York"/>
    <s v="German"/>
    <n v="895"/>
    <n v="5628"/>
    <n v="8"/>
    <s v="Health &amp; Wellness"/>
    <x v="50"/>
  </r>
  <r>
    <s v="Innovate Industries"/>
    <x v="4"/>
    <s v="Women 35-44"/>
    <s v="60 days"/>
    <x v="3"/>
    <n v="0.13"/>
    <n v="12576"/>
    <n v="7.5"/>
    <n v="77"/>
    <n v="163.32467532467533"/>
    <s v="New York"/>
    <s v="English"/>
    <n v="596"/>
    <n v="2127"/>
    <n v="3"/>
    <s v="Foodies"/>
    <x v="51"/>
  </r>
  <r>
    <s v="NexGen Systems"/>
    <x v="3"/>
    <s v="All Ages"/>
    <s v="15 days"/>
    <x v="1"/>
    <n v="0.13"/>
    <n v="18577"/>
    <n v="7.66"/>
    <n v="36"/>
    <n v="516.02777777777783"/>
    <s v="Houston"/>
    <s v="Spanish"/>
    <n v="275"/>
    <n v="9280"/>
    <n v="5"/>
    <s v="Health &amp; Wellness"/>
    <x v="52"/>
  </r>
  <r>
    <s v="TechCorp"/>
    <x v="2"/>
    <s v="Men 18-24"/>
    <s v="30 days"/>
    <x v="3"/>
    <n v="0.08"/>
    <n v="6261"/>
    <n v="2.25"/>
    <n v="50"/>
    <n v="125.22"/>
    <s v="Miami"/>
    <s v="Spanish"/>
    <n v="622"/>
    <n v="8693"/>
    <n v="3"/>
    <s v="Health &amp; Wellness"/>
    <x v="53"/>
  </r>
  <r>
    <s v="DataTech Solutions"/>
    <x v="0"/>
    <s v="Men 18-24"/>
    <s v="15 days"/>
    <x v="1"/>
    <n v="0.13"/>
    <n v="9138"/>
    <n v="2.85"/>
    <n v="93"/>
    <n v="98.258064516129039"/>
    <s v="Chicago"/>
    <s v="Mandarin"/>
    <n v="717"/>
    <n v="3817"/>
    <n v="10"/>
    <s v="Fashionistas"/>
    <x v="54"/>
  </r>
  <r>
    <s v="DataTech Solutions"/>
    <x v="3"/>
    <s v="All Ages"/>
    <s v="60 days"/>
    <x v="2"/>
    <n v="0.15"/>
    <n v="5884"/>
    <n v="2.0299999999999998"/>
    <n v="134"/>
    <n v="43.910447761194028"/>
    <s v="Houston"/>
    <s v="Mandarin"/>
    <n v="895"/>
    <n v="1617"/>
    <n v="9"/>
    <s v="Fashionistas"/>
    <x v="55"/>
  </r>
  <r>
    <s v="DataTech Solutions"/>
    <x v="4"/>
    <s v="All Ages"/>
    <s v="30 days"/>
    <x v="0"/>
    <n v="0.09"/>
    <n v="15342"/>
    <n v="4.8"/>
    <n v="34"/>
    <n v="451.23529411764707"/>
    <s v="Houston"/>
    <s v="Spanish"/>
    <n v="375"/>
    <n v="3460"/>
    <n v="2"/>
    <s v="Fashionistas"/>
    <x v="56"/>
  </r>
  <r>
    <s v="DataTech Solutions"/>
    <x v="3"/>
    <s v="Men 18-24"/>
    <s v="45 days"/>
    <x v="4"/>
    <n v="0.02"/>
    <n v="6386"/>
    <n v="7.73"/>
    <n v="11"/>
    <n v="580.5454545454545"/>
    <s v="Houston"/>
    <s v="Mandarin"/>
    <n v="560"/>
    <n v="3564"/>
    <n v="9"/>
    <s v="Tech Enthusiasts"/>
    <x v="57"/>
  </r>
  <r>
    <s v="TechCorp"/>
    <x v="4"/>
    <s v="Women 35-44"/>
    <s v="60 days"/>
    <x v="0"/>
    <n v="0.05"/>
    <n v="18231"/>
    <n v="6.79"/>
    <n v="9"/>
    <n v="2025.6666666666667"/>
    <s v="Miami"/>
    <s v="French"/>
    <n v="185"/>
    <n v="1419"/>
    <n v="8"/>
    <s v="Outdoor Adventurers"/>
    <x v="58"/>
  </r>
  <r>
    <s v="TechCorp"/>
    <x v="2"/>
    <s v="Men 25-34"/>
    <s v="45 days"/>
    <x v="5"/>
    <n v="0.14000000000000001"/>
    <n v="7370"/>
    <n v="5.88"/>
    <n v="32"/>
    <n v="230.3125"/>
    <s v="Chicago"/>
    <s v="English"/>
    <n v="231"/>
    <n v="3864"/>
    <n v="4"/>
    <s v="Foodies"/>
    <x v="59"/>
  </r>
  <r>
    <s v="Alpha Innovations"/>
    <x v="3"/>
    <s v="Women 35-44"/>
    <s v="15 days"/>
    <x v="0"/>
    <n v="0.06"/>
    <n v="5778"/>
    <n v="6.67"/>
    <n v="43"/>
    <n v="134.37209302325581"/>
    <s v="Miami"/>
    <s v="English"/>
    <n v="719"/>
    <n v="6864"/>
    <n v="5"/>
    <s v="Tech Enthusiasts"/>
    <x v="60"/>
  </r>
  <r>
    <s v="NexGen Systems"/>
    <x v="3"/>
    <s v="Men 25-34"/>
    <s v="15 days"/>
    <x v="2"/>
    <n v="0.14000000000000001"/>
    <n v="7187"/>
    <n v="2.61"/>
    <n v="111"/>
    <n v="64.747747747747752"/>
    <s v="Los Angeles"/>
    <s v="English"/>
    <n v="793"/>
    <n v="8212"/>
    <n v="10"/>
    <s v="Tech Enthusiasts"/>
    <x v="61"/>
  </r>
  <r>
    <s v="DataTech Solutions"/>
    <x v="3"/>
    <s v="Men 18-24"/>
    <s v="30 days"/>
    <x v="1"/>
    <n v="0.02"/>
    <n v="10226"/>
    <n v="2.44"/>
    <n v="6"/>
    <n v="1704.3333333333333"/>
    <s v="Houston"/>
    <s v="German"/>
    <n v="305"/>
    <n v="6155"/>
    <n v="8"/>
    <s v="Outdoor Adventurers"/>
    <x v="62"/>
  </r>
  <r>
    <s v="DataTech Solutions"/>
    <x v="2"/>
    <s v="All Ages"/>
    <s v="45 days"/>
    <x v="0"/>
    <n v="0.15"/>
    <n v="11783"/>
    <n v="6.2"/>
    <n v="84"/>
    <n v="140.27380952380952"/>
    <s v="Los Angeles"/>
    <s v="Spanish"/>
    <n v="560"/>
    <n v="1060"/>
    <n v="2"/>
    <s v="Tech Enthusiasts"/>
    <x v="63"/>
  </r>
  <r>
    <s v="Innovate Industries"/>
    <x v="2"/>
    <s v="Men 18-24"/>
    <s v="15 days"/>
    <x v="5"/>
    <n v="7.0000000000000007E-2"/>
    <n v="10473"/>
    <n v="5.83"/>
    <n v="13"/>
    <n v="805.61538461538464"/>
    <s v="Houston"/>
    <s v="German"/>
    <n v="185"/>
    <n v="3018"/>
    <n v="1"/>
    <s v="Fashionistas"/>
    <x v="64"/>
  </r>
  <r>
    <s v="Innovate Industries"/>
    <x v="4"/>
    <s v="Women 25-34"/>
    <s v="60 days"/>
    <x v="5"/>
    <n v="0.09"/>
    <n v="5169"/>
    <n v="6.87"/>
    <n v="18"/>
    <n v="287.16666666666669"/>
    <s v="Los Angeles"/>
    <s v="German"/>
    <n v="205"/>
    <n v="9829"/>
    <n v="9"/>
    <s v="Foodies"/>
    <x v="65"/>
  </r>
  <r>
    <s v="NexGen Systems"/>
    <x v="2"/>
    <s v="Women 25-34"/>
    <s v="15 days"/>
    <x v="2"/>
    <n v="0.13"/>
    <n v="12259"/>
    <n v="2.62"/>
    <n v="26"/>
    <n v="471.5"/>
    <s v="Houston"/>
    <s v="English"/>
    <n v="197"/>
    <n v="6620"/>
    <n v="5"/>
    <s v="Outdoor Adventurers"/>
    <x v="66"/>
  </r>
  <r>
    <s v="Alpha Innovations"/>
    <x v="0"/>
    <s v="Men 25-34"/>
    <s v="15 days"/>
    <x v="5"/>
    <n v="0.15"/>
    <n v="8174"/>
    <n v="3.08"/>
    <n v="148"/>
    <n v="55.229729729729726"/>
    <s v="Chicago"/>
    <s v="Spanish"/>
    <n v="988"/>
    <n v="2870"/>
    <n v="2"/>
    <s v="Health &amp; Wellness"/>
    <x v="67"/>
  </r>
  <r>
    <s v="DataTech Solutions"/>
    <x v="2"/>
    <s v="Men 25-34"/>
    <s v="15 days"/>
    <x v="1"/>
    <n v="0.14000000000000001"/>
    <n v="10629"/>
    <n v="3.44"/>
    <n v="108"/>
    <n v="98.416666666666671"/>
    <s v="Houston"/>
    <s v="Spanish"/>
    <n v="774"/>
    <n v="8675"/>
    <n v="3"/>
    <s v="Tech Enthusiasts"/>
    <x v="68"/>
  </r>
  <r>
    <s v="Innovate Industries"/>
    <x v="0"/>
    <s v="All Ages"/>
    <s v="15 days"/>
    <x v="4"/>
    <n v="0.13"/>
    <n v="5123"/>
    <n v="2.84"/>
    <n v="20"/>
    <n v="256.14999999999998"/>
    <s v="Miami"/>
    <s v="English"/>
    <n v="156"/>
    <n v="8239"/>
    <n v="9"/>
    <s v="Health &amp; Wellness"/>
    <x v="69"/>
  </r>
  <r>
    <s v="Alpha Innovations"/>
    <x v="3"/>
    <s v="Women 25-34"/>
    <s v="60 days"/>
    <x v="3"/>
    <n v="0.14000000000000001"/>
    <n v="8725"/>
    <n v="6.69"/>
    <n v="67"/>
    <n v="130.22388059701493"/>
    <s v="Miami"/>
    <s v="French"/>
    <n v="475"/>
    <n v="3011"/>
    <n v="7"/>
    <s v="Foodies"/>
    <x v="70"/>
  </r>
  <r>
    <s v="Innovate Industries"/>
    <x v="4"/>
    <s v="Women 25-34"/>
    <s v="30 days"/>
    <x v="2"/>
    <n v="0.06"/>
    <n v="17381"/>
    <n v="7.72"/>
    <n v="9"/>
    <n v="1931.2222222222222"/>
    <s v="Houston"/>
    <s v="Spanish"/>
    <n v="147"/>
    <n v="5098"/>
    <n v="7"/>
    <s v="Health &amp; Wellness"/>
    <x v="71"/>
  </r>
  <r>
    <s v="NexGen Systems"/>
    <x v="3"/>
    <s v="Women 25-34"/>
    <s v="45 days"/>
    <x v="3"/>
    <n v="0.09"/>
    <n v="8941"/>
    <n v="5.42"/>
    <n v="37"/>
    <n v="241.64864864864865"/>
    <s v="Chicago"/>
    <s v="English"/>
    <n v="416"/>
    <n v="6391"/>
    <n v="5"/>
    <s v="Fashionistas"/>
    <x v="72"/>
  </r>
  <r>
    <s v="Innovate Industries"/>
    <x v="3"/>
    <s v="Women 35-44"/>
    <s v="60 days"/>
    <x v="5"/>
    <n v="0.03"/>
    <n v="14762"/>
    <n v="7.15"/>
    <n v="13"/>
    <n v="1135.5384615384614"/>
    <s v="Houston"/>
    <s v="Spanish"/>
    <n v="428"/>
    <n v="1069"/>
    <n v="7"/>
    <s v="Health &amp; Wellness"/>
    <x v="73"/>
  </r>
  <r>
    <s v="TechCorp"/>
    <x v="4"/>
    <s v="Men 25-34"/>
    <s v="60 days"/>
    <x v="1"/>
    <n v="0.06"/>
    <n v="14125"/>
    <n v="7.22"/>
    <n v="43"/>
    <n v="328.48837209302326"/>
    <s v="Miami"/>
    <s v="Mandarin"/>
    <n v="722"/>
    <n v="9628"/>
    <n v="3"/>
    <s v="Tech Enthusiasts"/>
    <x v="74"/>
  </r>
  <r>
    <s v="NexGen Systems"/>
    <x v="1"/>
    <s v="Women 25-34"/>
    <s v="30 days"/>
    <x v="1"/>
    <n v="0.08"/>
    <n v="10908"/>
    <n v="2.17"/>
    <n v="29"/>
    <n v="376.13793103448273"/>
    <s v="Los Angeles"/>
    <s v="German"/>
    <n v="363"/>
    <n v="7737"/>
    <n v="8"/>
    <s v="Tech Enthusiasts"/>
    <x v="75"/>
  </r>
  <r>
    <s v="Innovate Industries"/>
    <x v="3"/>
    <s v="Men 18-24"/>
    <s v="60 days"/>
    <x v="2"/>
    <n v="0.03"/>
    <n v="11099"/>
    <n v="2.6"/>
    <n v="13"/>
    <n v="853.76923076923072"/>
    <s v="Houston"/>
    <s v="English"/>
    <n v="425"/>
    <n v="3071"/>
    <n v="5"/>
    <s v="Fashionistas"/>
    <x v="76"/>
  </r>
  <r>
    <s v="Alpha Innovations"/>
    <x v="1"/>
    <s v="Men 25-34"/>
    <s v="60 days"/>
    <x v="2"/>
    <n v="0.15"/>
    <n v="6253"/>
    <n v="5.38"/>
    <n v="110"/>
    <n v="56.845454545454544"/>
    <s v="Houston"/>
    <s v="French"/>
    <n v="732"/>
    <n v="7717"/>
    <n v="9"/>
    <s v="Health &amp; Wellness"/>
    <x v="77"/>
  </r>
  <r>
    <s v="DataTech Solutions"/>
    <x v="0"/>
    <s v="Men 25-34"/>
    <s v="30 days"/>
    <x v="0"/>
    <n v="0.03"/>
    <n v="18813"/>
    <n v="3.55"/>
    <n v="24"/>
    <n v="783.875"/>
    <s v="New York"/>
    <s v="German"/>
    <n v="811"/>
    <n v="6836"/>
    <n v="8"/>
    <s v="Health &amp; Wellness"/>
    <x v="78"/>
  </r>
  <r>
    <s v="DataTech Solutions"/>
    <x v="0"/>
    <s v="Women 25-34"/>
    <s v="45 days"/>
    <x v="1"/>
    <n v="0.03"/>
    <n v="11236"/>
    <n v="2.59"/>
    <n v="18"/>
    <n v="624.22222222222217"/>
    <s v="Los Angeles"/>
    <s v="Mandarin"/>
    <n v="599"/>
    <n v="6537"/>
    <n v="4"/>
    <s v="Fashionistas"/>
    <x v="79"/>
  </r>
  <r>
    <s v="NexGen Systems"/>
    <x v="0"/>
    <s v="Men 18-24"/>
    <s v="45 days"/>
    <x v="0"/>
    <n v="0.03"/>
    <n v="14551"/>
    <n v="2.54"/>
    <n v="15"/>
    <n v="970.06666666666672"/>
    <s v="Houston"/>
    <s v="Spanish"/>
    <n v="489"/>
    <n v="8630"/>
    <n v="9"/>
    <s v="Tech Enthusiasts"/>
    <x v="80"/>
  </r>
  <r>
    <s v="DataTech Solutions"/>
    <x v="2"/>
    <s v="Women 25-34"/>
    <s v="30 days"/>
    <x v="4"/>
    <n v="0.09"/>
    <n v="19381"/>
    <n v="3.45"/>
    <n v="31"/>
    <n v="625.19354838709683"/>
    <s v="Chicago"/>
    <s v="French"/>
    <n v="348"/>
    <n v="9464"/>
    <n v="1"/>
    <s v="Fashionistas"/>
    <x v="81"/>
  </r>
  <r>
    <s v="Innovate Industries"/>
    <x v="0"/>
    <s v="All Ages"/>
    <s v="15 days"/>
    <x v="5"/>
    <n v="0.02"/>
    <n v="9568"/>
    <n v="6.37"/>
    <n v="11"/>
    <n v="869.81818181818187"/>
    <s v="Los Angeles"/>
    <s v="German"/>
    <n v="525"/>
    <n v="1349"/>
    <n v="8"/>
    <s v="Fashionistas"/>
    <x v="82"/>
  </r>
  <r>
    <s v="Alpha Innovations"/>
    <x v="2"/>
    <s v="All Ages"/>
    <s v="30 days"/>
    <x v="1"/>
    <n v="0.09"/>
    <n v="8359"/>
    <n v="4.9800000000000004"/>
    <n v="71"/>
    <n v="117.73239436619718"/>
    <s v="New York"/>
    <s v="Spanish"/>
    <n v="789"/>
    <n v="7787"/>
    <n v="9"/>
    <s v="Tech Enthusiasts"/>
    <x v="83"/>
  </r>
  <r>
    <s v="DataTech Solutions"/>
    <x v="3"/>
    <s v="Men 25-34"/>
    <s v="60 days"/>
    <x v="5"/>
    <n v="0.1"/>
    <n v="16057"/>
    <n v="2.19"/>
    <n v="27"/>
    <n v="594.7037037037037"/>
    <s v="Houston"/>
    <s v="French"/>
    <n v="269"/>
    <n v="5709"/>
    <n v="2"/>
    <s v="Fashionistas"/>
    <x v="84"/>
  </r>
  <r>
    <s v="NexGen Systems"/>
    <x v="3"/>
    <s v="Women 35-44"/>
    <s v="45 days"/>
    <x v="5"/>
    <n v="0.06"/>
    <n v="9126"/>
    <n v="3.1"/>
    <n v="11"/>
    <n v="829.63636363636363"/>
    <s v="Chicago"/>
    <s v="Spanish"/>
    <n v="178"/>
    <n v="4068"/>
    <n v="10"/>
    <s v="Tech Enthusiasts"/>
    <x v="85"/>
  </r>
  <r>
    <s v="NexGen Systems"/>
    <x v="0"/>
    <s v="Women 35-44"/>
    <s v="45 days"/>
    <x v="1"/>
    <n v="0.02"/>
    <n v="7430"/>
    <n v="4.21"/>
    <n v="9"/>
    <n v="825.55555555555554"/>
    <s v="Miami"/>
    <s v="Spanish"/>
    <n v="439"/>
    <n v="8167"/>
    <n v="2"/>
    <s v="Outdoor Adventurers"/>
    <x v="86"/>
  </r>
  <r>
    <s v="Innovate Industries"/>
    <x v="1"/>
    <s v="Women 25-34"/>
    <s v="45 days"/>
    <x v="1"/>
    <n v="7.0000000000000007E-2"/>
    <n v="9128"/>
    <n v="5.83"/>
    <n v="67"/>
    <n v="136.23880597014926"/>
    <s v="Houston"/>
    <s v="French"/>
    <n v="958"/>
    <n v="6402"/>
    <n v="8"/>
    <s v="Outdoor Adventurers"/>
    <x v="87"/>
  </r>
  <r>
    <s v="TechCorp"/>
    <x v="3"/>
    <s v="Women 25-34"/>
    <s v="60 days"/>
    <x v="2"/>
    <n v="0.14000000000000001"/>
    <n v="18198"/>
    <n v="3.7"/>
    <n v="67"/>
    <n v="271.61194029850748"/>
    <s v="Los Angeles"/>
    <s v="English"/>
    <n v="476"/>
    <n v="7751"/>
    <n v="2"/>
    <s v="Foodies"/>
    <x v="88"/>
  </r>
  <r>
    <s v="DataTech Solutions"/>
    <x v="1"/>
    <s v="Women 35-44"/>
    <s v="15 days"/>
    <x v="3"/>
    <n v="0.02"/>
    <n v="19851"/>
    <n v="6.63"/>
    <n v="18"/>
    <n v="1102.8333333333333"/>
    <s v="Chicago"/>
    <s v="Spanish"/>
    <n v="881"/>
    <n v="8181"/>
    <n v="10"/>
    <s v="Fashionistas"/>
    <x v="89"/>
  </r>
  <r>
    <s v="NexGen Systems"/>
    <x v="4"/>
    <s v="Women 25-34"/>
    <s v="15 days"/>
    <x v="3"/>
    <n v="0.15"/>
    <n v="12784"/>
    <n v="3.12"/>
    <n v="81"/>
    <n v="157.82716049382717"/>
    <s v="Miami"/>
    <s v="French"/>
    <n v="542"/>
    <n v="7693"/>
    <n v="9"/>
    <s v="Outdoor Adventurers"/>
    <x v="90"/>
  </r>
  <r>
    <s v="Alpha Innovations"/>
    <x v="3"/>
    <s v="Men 18-24"/>
    <s v="60 days"/>
    <x v="1"/>
    <n v="0.03"/>
    <n v="11366"/>
    <n v="6.58"/>
    <n v="12"/>
    <n v="947.16666666666663"/>
    <s v="Los Angeles"/>
    <s v="Mandarin"/>
    <n v="399"/>
    <n v="9887"/>
    <n v="6"/>
    <s v="Outdoor Adventurers"/>
    <x v="91"/>
  </r>
  <r>
    <s v="DataTech Solutions"/>
    <x v="3"/>
    <s v="Men 25-34"/>
    <s v="30 days"/>
    <x v="0"/>
    <n v="0.15"/>
    <n v="6597"/>
    <n v="2.5499999999999998"/>
    <n v="75"/>
    <n v="87.96"/>
    <s v="Houston"/>
    <s v="Mandarin"/>
    <n v="503"/>
    <n v="5178"/>
    <n v="4"/>
    <s v="Foodies"/>
    <x v="92"/>
  </r>
  <r>
    <s v="NexGen Systems"/>
    <x v="2"/>
    <s v="Men 18-24"/>
    <s v="15 days"/>
    <x v="3"/>
    <n v="0.09"/>
    <n v="12773"/>
    <n v="7.92"/>
    <n v="42"/>
    <n v="304.11904761904759"/>
    <s v="New York"/>
    <s v="German"/>
    <n v="462"/>
    <n v="3443"/>
    <n v="5"/>
    <s v="Outdoor Adventurers"/>
    <x v="93"/>
  </r>
  <r>
    <s v="DataTech Solutions"/>
    <x v="4"/>
    <s v="Men 25-34"/>
    <s v="60 days"/>
    <x v="2"/>
    <n v="0.04"/>
    <n v="17215"/>
    <n v="6.45"/>
    <n v="18"/>
    <n v="956.38888888888891"/>
    <s v="Miami"/>
    <s v="French"/>
    <n v="454"/>
    <n v="3816"/>
    <n v="4"/>
    <s v="Outdoor Adventurers"/>
    <x v="94"/>
  </r>
  <r>
    <s v="DataTech Solutions"/>
    <x v="2"/>
    <s v="All Ages"/>
    <s v="30 days"/>
    <x v="1"/>
    <n v="0.1"/>
    <n v="18827"/>
    <n v="6.21"/>
    <n v="14"/>
    <n v="1344.7857142857142"/>
    <s v="Chicago"/>
    <s v="German"/>
    <n v="137"/>
    <n v="8931"/>
    <n v="5"/>
    <s v="Fashionistas"/>
    <x v="95"/>
  </r>
  <r>
    <s v="Innovate Industries"/>
    <x v="0"/>
    <s v="All Ages"/>
    <s v="15 days"/>
    <x v="0"/>
    <n v="0.12"/>
    <n v="12918"/>
    <n v="2.04"/>
    <n v="42"/>
    <n v="307.57142857142856"/>
    <s v="New York"/>
    <s v="Mandarin"/>
    <n v="347"/>
    <n v="5536"/>
    <n v="5"/>
    <s v="Tech Enthusiasts"/>
    <x v="96"/>
  </r>
  <r>
    <s v="Alpha Innovations"/>
    <x v="1"/>
    <s v="Women 35-44"/>
    <s v="15 days"/>
    <x v="1"/>
    <n v="0.11"/>
    <n v="14730"/>
    <n v="2.2000000000000002"/>
    <n v="70"/>
    <n v="210.42857142857142"/>
    <s v="Miami"/>
    <s v="German"/>
    <n v="639"/>
    <n v="3636"/>
    <n v="3"/>
    <s v="Foodies"/>
    <x v="97"/>
  </r>
  <r>
    <s v="TechCorp"/>
    <x v="0"/>
    <s v="Women 25-34"/>
    <s v="45 days"/>
    <x v="5"/>
    <n v="0.12"/>
    <n v="18762"/>
    <n v="7.93"/>
    <n v="107"/>
    <n v="175.34579439252337"/>
    <s v="Houston"/>
    <s v="English"/>
    <n v="895"/>
    <n v="3949"/>
    <n v="2"/>
    <s v="Fashionistas"/>
    <x v="98"/>
  </r>
  <r>
    <s v="DataTech Solutions"/>
    <x v="4"/>
    <s v="Men 18-24"/>
    <s v="30 days"/>
    <x v="1"/>
    <n v="0.12"/>
    <n v="15888"/>
    <n v="2.19"/>
    <n v="112"/>
    <n v="141.85714285714286"/>
    <s v="Houston"/>
    <s v="German"/>
    <n v="937"/>
    <n v="8470"/>
    <n v="8"/>
    <s v="Fashionistas"/>
    <x v="99"/>
  </r>
  <r>
    <s v="TechCorp"/>
    <x v="4"/>
    <s v="Women 35-44"/>
    <s v="30 days"/>
    <x v="0"/>
    <n v="0.13"/>
    <n v="19599"/>
    <n v="4.25"/>
    <n v="25"/>
    <n v="783.96"/>
    <s v="Houston"/>
    <s v="German"/>
    <n v="195"/>
    <n v="8847"/>
    <n v="1"/>
    <s v="Health &amp; Wellness"/>
    <x v="100"/>
  </r>
  <r>
    <s v="Innovate Industries"/>
    <x v="3"/>
    <s v="Men 25-34"/>
    <s v="60 days"/>
    <x v="3"/>
    <n v="0.09"/>
    <n v="6364"/>
    <n v="5.26"/>
    <n v="27"/>
    <n v="235.7037037037037"/>
    <s v="Houston"/>
    <s v="English"/>
    <n v="298"/>
    <n v="1516"/>
    <n v="4"/>
    <s v="Foodies"/>
    <x v="101"/>
  </r>
  <r>
    <s v="Innovate Industries"/>
    <x v="3"/>
    <s v="Women 35-44"/>
    <s v="60 days"/>
    <x v="0"/>
    <n v="0.08"/>
    <n v="17674"/>
    <n v="3.78"/>
    <n v="21"/>
    <n v="841.61904761904759"/>
    <s v="Los Angeles"/>
    <s v="Mandarin"/>
    <n v="266"/>
    <n v="6944"/>
    <n v="9"/>
    <s v="Health &amp; Wellness"/>
    <x v="102"/>
  </r>
  <r>
    <s v="NexGen Systems"/>
    <x v="2"/>
    <s v="Men 25-34"/>
    <s v="60 days"/>
    <x v="1"/>
    <n v="0.12"/>
    <n v="11529"/>
    <n v="6.09"/>
    <n v="36"/>
    <n v="320.25"/>
    <s v="Houston"/>
    <s v="Spanish"/>
    <n v="297"/>
    <n v="2578"/>
    <n v="7"/>
    <s v="Tech Enthusiasts"/>
    <x v="103"/>
  </r>
  <r>
    <s v="Alpha Innovations"/>
    <x v="3"/>
    <s v="Women 35-44"/>
    <s v="60 days"/>
    <x v="2"/>
    <n v="0.12"/>
    <n v="9857"/>
    <n v="4.42"/>
    <n v="38"/>
    <n v="259.39473684210526"/>
    <s v="Los Angeles"/>
    <s v="English"/>
    <n v="316"/>
    <n v="2381"/>
    <n v="7"/>
    <s v="Tech Enthusiasts"/>
    <x v="104"/>
  </r>
  <r>
    <s v="Alpha Innovations"/>
    <x v="4"/>
    <s v="All Ages"/>
    <s v="15 days"/>
    <x v="5"/>
    <n v="0.09"/>
    <n v="9418"/>
    <n v="2.0499999999999998"/>
    <n v="43"/>
    <n v="219.02325581395348"/>
    <s v="Houston"/>
    <s v="German"/>
    <n v="475"/>
    <n v="7918"/>
    <n v="6"/>
    <s v="Fashionistas"/>
    <x v="105"/>
  </r>
  <r>
    <s v="Alpha Innovations"/>
    <x v="2"/>
    <s v="Women 35-44"/>
    <s v="45 days"/>
    <x v="4"/>
    <n v="0.14000000000000001"/>
    <n v="7314"/>
    <n v="7.28"/>
    <n v="68"/>
    <n v="107.55882352941177"/>
    <s v="New York"/>
    <s v="French"/>
    <n v="485"/>
    <n v="5864"/>
    <n v="6"/>
    <s v="Foodies"/>
    <x v="106"/>
  </r>
  <r>
    <s v="Alpha Innovations"/>
    <x v="4"/>
    <s v="Men 25-34"/>
    <s v="45 days"/>
    <x v="4"/>
    <n v="0.11"/>
    <n v="12696"/>
    <n v="6.48"/>
    <n v="98"/>
    <n v="129.55102040816325"/>
    <s v="Miami"/>
    <s v="Mandarin"/>
    <n v="894"/>
    <n v="7116"/>
    <n v="10"/>
    <s v="Fashionistas"/>
    <x v="107"/>
  </r>
  <r>
    <s v="TechCorp"/>
    <x v="1"/>
    <s v="Men 18-24"/>
    <s v="45 days"/>
    <x v="0"/>
    <n v="0.04"/>
    <n v="13591"/>
    <n v="7.45"/>
    <n v="25"/>
    <n v="543.64"/>
    <s v="Chicago"/>
    <s v="German"/>
    <n v="621"/>
    <n v="2294"/>
    <n v="4"/>
    <s v="Outdoor Adventurers"/>
    <x v="108"/>
  </r>
  <r>
    <s v="NexGen Systems"/>
    <x v="1"/>
    <s v="Men 18-24"/>
    <s v="45 days"/>
    <x v="5"/>
    <n v="0.1"/>
    <n v="6264"/>
    <n v="7.32"/>
    <n v="80"/>
    <n v="78.3"/>
    <s v="Miami"/>
    <s v="English"/>
    <n v="797"/>
    <n v="2784"/>
    <n v="4"/>
    <s v="Foodies"/>
    <x v="109"/>
  </r>
  <r>
    <s v="Innovate Industries"/>
    <x v="4"/>
    <s v="Women 25-34"/>
    <s v="45 days"/>
    <x v="4"/>
    <n v="7.0000000000000007E-2"/>
    <n v="13671"/>
    <n v="5.34"/>
    <n v="58"/>
    <n v="235.70689655172413"/>
    <s v="New York"/>
    <s v="French"/>
    <n v="832"/>
    <n v="7832"/>
    <n v="9"/>
    <s v="Health &amp; Wellness"/>
    <x v="110"/>
  </r>
  <r>
    <s v="NexGen Systems"/>
    <x v="4"/>
    <s v="Men 18-24"/>
    <s v="15 days"/>
    <x v="4"/>
    <n v="0.09"/>
    <n v="12479"/>
    <n v="3.38"/>
    <n v="48"/>
    <n v="259.97916666666669"/>
    <s v="Miami"/>
    <s v="Mandarin"/>
    <n v="530"/>
    <n v="5834"/>
    <n v="8"/>
    <s v="Health &amp; Wellness"/>
    <x v="111"/>
  </r>
  <r>
    <s v="Alpha Innovations"/>
    <x v="0"/>
    <s v="Men 18-24"/>
    <s v="15 days"/>
    <x v="0"/>
    <n v="0.1"/>
    <n v="13996"/>
    <n v="4.2"/>
    <n v="71"/>
    <n v="197.12676056338029"/>
    <s v="Miami"/>
    <s v="German"/>
    <n v="714"/>
    <n v="9405"/>
    <n v="2"/>
    <s v="Health &amp; Wellness"/>
    <x v="112"/>
  </r>
  <r>
    <s v="DataTech Solutions"/>
    <x v="1"/>
    <s v="Women 35-44"/>
    <s v="45 days"/>
    <x v="0"/>
    <n v="0.09"/>
    <n v="17881"/>
    <n v="6.59"/>
    <n v="71"/>
    <n v="251.8450704225352"/>
    <s v="Miami"/>
    <s v="English"/>
    <n v="793"/>
    <n v="2865"/>
    <n v="8"/>
    <s v="Outdoor Adventurers"/>
    <x v="113"/>
  </r>
  <r>
    <s v="Innovate Industries"/>
    <x v="2"/>
    <s v="Men 18-24"/>
    <s v="60 days"/>
    <x v="3"/>
    <n v="0.1"/>
    <n v="16144"/>
    <n v="6.95"/>
    <n v="19"/>
    <n v="849.68421052631584"/>
    <s v="Miami"/>
    <s v="English"/>
    <n v="186"/>
    <n v="4003"/>
    <n v="6"/>
    <s v="Health &amp; Wellness"/>
    <x v="114"/>
  </r>
  <r>
    <s v="DataTech Solutions"/>
    <x v="3"/>
    <s v="All Ages"/>
    <s v="15 days"/>
    <x v="1"/>
    <n v="0.1"/>
    <n v="9290"/>
    <n v="2.21"/>
    <n v="47"/>
    <n v="197.65957446808511"/>
    <s v="Miami"/>
    <s v="Spanish"/>
    <n v="474"/>
    <n v="2454"/>
    <n v="7"/>
    <s v="Fashionistas"/>
    <x v="115"/>
  </r>
  <r>
    <s v="DataTech Solutions"/>
    <x v="0"/>
    <s v="Men 18-24"/>
    <s v="15 days"/>
    <x v="2"/>
    <n v="0.02"/>
    <n v="13329"/>
    <n v="3.99"/>
    <n v="9"/>
    <n v="1481"/>
    <s v="Miami"/>
    <s v="English"/>
    <n v="432"/>
    <n v="7653"/>
    <n v="3"/>
    <s v="Outdoor Adventurers"/>
    <x v="116"/>
  </r>
  <r>
    <s v="DataTech Solutions"/>
    <x v="2"/>
    <s v="Men 25-34"/>
    <s v="30 days"/>
    <x v="0"/>
    <n v="0.08"/>
    <n v="10235"/>
    <n v="5.56"/>
    <n v="19"/>
    <n v="538.68421052631584"/>
    <s v="Los Angeles"/>
    <s v="Spanish"/>
    <n v="242"/>
    <n v="4048"/>
    <n v="8"/>
    <s v="Fashionistas"/>
    <x v="117"/>
  </r>
  <r>
    <s v="DataTech Solutions"/>
    <x v="3"/>
    <s v="Men 25-34"/>
    <s v="45 days"/>
    <x v="5"/>
    <n v="0.09"/>
    <n v="8736"/>
    <n v="7.99"/>
    <n v="55"/>
    <n v="158.83636363636364"/>
    <s v="Houston"/>
    <s v="French"/>
    <n v="613"/>
    <n v="2991"/>
    <n v="3"/>
    <s v="Tech Enthusiasts"/>
    <x v="118"/>
  </r>
  <r>
    <s v="Innovate Industries"/>
    <x v="4"/>
    <s v="Men 25-34"/>
    <s v="60 days"/>
    <x v="0"/>
    <n v="0.1"/>
    <n v="16831"/>
    <n v="4.5999999999999996"/>
    <n v="67"/>
    <n v="251.20895522388059"/>
    <s v="Houston"/>
    <s v="French"/>
    <n v="669"/>
    <n v="1523"/>
    <n v="5"/>
    <s v="Health &amp; Wellness"/>
    <x v="119"/>
  </r>
  <r>
    <s v="Innovate Industries"/>
    <x v="3"/>
    <s v="Women 35-44"/>
    <s v="15 days"/>
    <x v="0"/>
    <n v="0.13"/>
    <n v="16760"/>
    <n v="7"/>
    <n v="66"/>
    <n v="253.93939393939394"/>
    <s v="Houston"/>
    <s v="Spanish"/>
    <n v="511"/>
    <n v="8428"/>
    <n v="4"/>
    <s v="Outdoor Adventurers"/>
    <x v="120"/>
  </r>
  <r>
    <s v="NexGen Systems"/>
    <x v="2"/>
    <s v="Women 25-34"/>
    <s v="15 days"/>
    <x v="2"/>
    <n v="0.06"/>
    <n v="18667"/>
    <n v="7.59"/>
    <n v="32"/>
    <n v="583.34375"/>
    <s v="Houston"/>
    <s v="Mandarin"/>
    <n v="531"/>
    <n v="1269"/>
    <n v="5"/>
    <s v="Fashionistas"/>
    <x v="121"/>
  </r>
  <r>
    <s v="TechCorp"/>
    <x v="1"/>
    <s v="Men 18-24"/>
    <s v="15 days"/>
    <x v="1"/>
    <n v="0.1"/>
    <n v="9129"/>
    <n v="7.33"/>
    <n v="84"/>
    <n v="108.67857142857143"/>
    <s v="Los Angeles"/>
    <s v="Mandarin"/>
    <n v="842"/>
    <n v="8084"/>
    <n v="10"/>
    <s v="Foodies"/>
    <x v="122"/>
  </r>
  <r>
    <s v="DataTech Solutions"/>
    <x v="0"/>
    <s v="Women 35-44"/>
    <s v="45 days"/>
    <x v="4"/>
    <n v="0.11"/>
    <n v="6064"/>
    <n v="6.46"/>
    <n v="72"/>
    <n v="84.222222222222229"/>
    <s v="New York"/>
    <s v="English"/>
    <n v="655"/>
    <n v="2293"/>
    <n v="4"/>
    <s v="Health &amp; Wellness"/>
    <x v="123"/>
  </r>
  <r>
    <s v="DataTech Solutions"/>
    <x v="4"/>
    <s v="Women 25-34"/>
    <s v="60 days"/>
    <x v="1"/>
    <n v="0.05"/>
    <n v="18162"/>
    <n v="2.6"/>
    <n v="18"/>
    <n v="1009"/>
    <s v="Miami"/>
    <s v="Mandarin"/>
    <n v="368"/>
    <n v="3003"/>
    <n v="1"/>
    <s v="Foodies"/>
    <x v="124"/>
  </r>
  <r>
    <s v="NexGen Systems"/>
    <x v="0"/>
    <s v="Men 18-24"/>
    <s v="30 days"/>
    <x v="2"/>
    <n v="0.14000000000000001"/>
    <n v="7409"/>
    <n v="3.99"/>
    <n v="117"/>
    <n v="63.324786324786324"/>
    <s v="Houston"/>
    <s v="Mandarin"/>
    <n v="836"/>
    <n v="6021"/>
    <n v="2"/>
    <s v="Foodies"/>
    <x v="125"/>
  </r>
  <r>
    <s v="Alpha Innovations"/>
    <x v="0"/>
    <s v="All Ages"/>
    <s v="60 days"/>
    <x v="4"/>
    <n v="0.02"/>
    <n v="5239"/>
    <n v="2.96"/>
    <n v="8"/>
    <n v="654.875"/>
    <s v="Miami"/>
    <s v="German"/>
    <n v="389"/>
    <n v="2753"/>
    <n v="6"/>
    <s v="Outdoor Adventurers"/>
    <x v="126"/>
  </r>
  <r>
    <s v="Innovate Industries"/>
    <x v="4"/>
    <s v="Men 25-34"/>
    <s v="60 days"/>
    <x v="1"/>
    <n v="7.0000000000000007E-2"/>
    <n v="10449"/>
    <n v="4.6900000000000004"/>
    <n v="8"/>
    <n v="1306.125"/>
    <s v="Miami"/>
    <s v="French"/>
    <n v="121"/>
    <n v="3417"/>
    <n v="3"/>
    <s v="Foodies"/>
    <x v="127"/>
  </r>
  <r>
    <s v="NexGen Systems"/>
    <x v="1"/>
    <s v="All Ages"/>
    <s v="30 days"/>
    <x v="4"/>
    <n v="0.12"/>
    <n v="19496"/>
    <n v="4.9400000000000004"/>
    <n v="120"/>
    <n v="162.46666666666667"/>
    <s v="Miami"/>
    <s v="English"/>
    <n v="998"/>
    <n v="7611"/>
    <n v="3"/>
    <s v="Tech Enthusiasts"/>
    <x v="128"/>
  </r>
  <r>
    <s v="Innovate Industries"/>
    <x v="0"/>
    <s v="Men 18-24"/>
    <s v="30 days"/>
    <x v="4"/>
    <n v="0.1"/>
    <n v="18169"/>
    <n v="6.05"/>
    <n v="77"/>
    <n v="235.96103896103895"/>
    <s v="Miami"/>
    <s v="German"/>
    <n v="766"/>
    <n v="9863"/>
    <n v="1"/>
    <s v="Outdoor Adventurers"/>
    <x v="129"/>
  </r>
  <r>
    <s v="DataTech Solutions"/>
    <x v="0"/>
    <s v="All Ages"/>
    <s v="30 days"/>
    <x v="0"/>
    <n v="0.04"/>
    <n v="11767"/>
    <n v="6.88"/>
    <n v="27"/>
    <n v="435.81481481481484"/>
    <s v="Houston"/>
    <s v="German"/>
    <n v="684"/>
    <n v="9989"/>
    <n v="5"/>
    <s v="Outdoor Adventurers"/>
    <x v="130"/>
  </r>
  <r>
    <s v="NexGen Systems"/>
    <x v="4"/>
    <s v="Men 18-24"/>
    <s v="45 days"/>
    <x v="1"/>
    <n v="0.14000000000000001"/>
    <n v="18061"/>
    <n v="4.72"/>
    <n v="48"/>
    <n v="376.27083333333331"/>
    <s v="Miami"/>
    <s v="Mandarin"/>
    <n v="340"/>
    <n v="3926"/>
    <n v="3"/>
    <s v="Outdoor Adventurers"/>
    <x v="131"/>
  </r>
  <r>
    <s v="Alpha Innovations"/>
    <x v="1"/>
    <s v="Women 25-34"/>
    <s v="45 days"/>
    <x v="0"/>
    <n v="0.03"/>
    <n v="5648"/>
    <n v="4.58"/>
    <n v="23"/>
    <n v="245.56521739130434"/>
    <s v="New York"/>
    <s v="German"/>
    <n v="765"/>
    <n v="9433"/>
    <n v="2"/>
    <s v="Health &amp; Wellness"/>
    <x v="132"/>
  </r>
  <r>
    <s v="Alpha Innovations"/>
    <x v="2"/>
    <s v="All Ages"/>
    <s v="60 days"/>
    <x v="4"/>
    <n v="0.04"/>
    <n v="18168"/>
    <n v="7.46"/>
    <n v="28"/>
    <n v="648.85714285714289"/>
    <s v="Chicago"/>
    <s v="Spanish"/>
    <n v="693"/>
    <n v="5943"/>
    <n v="5"/>
    <s v="Tech Enthusiasts"/>
    <x v="133"/>
  </r>
  <r>
    <s v="NexGen Systems"/>
    <x v="3"/>
    <s v="Men 25-34"/>
    <s v="60 days"/>
    <x v="3"/>
    <n v="7.0000000000000007E-2"/>
    <n v="16490"/>
    <n v="3.84"/>
    <n v="27"/>
    <n v="610.74074074074076"/>
    <s v="Miami"/>
    <s v="Mandarin"/>
    <n v="382"/>
    <n v="2539"/>
    <n v="9"/>
    <s v="Foodies"/>
    <x v="134"/>
  </r>
  <r>
    <s v="Alpha Innovations"/>
    <x v="2"/>
    <s v="Women 25-34"/>
    <s v="45 days"/>
    <x v="0"/>
    <n v="0.08"/>
    <n v="18326"/>
    <n v="3.97"/>
    <n v="59"/>
    <n v="310.61016949152543"/>
    <s v="Miami"/>
    <s v="Spanish"/>
    <n v="738"/>
    <n v="6708"/>
    <n v="8"/>
    <s v="Foodies"/>
    <x v="135"/>
  </r>
  <r>
    <s v="Alpha Innovations"/>
    <x v="3"/>
    <s v="Women 25-34"/>
    <s v="15 days"/>
    <x v="5"/>
    <n v="0.05"/>
    <n v="7122"/>
    <n v="3.11"/>
    <n v="11"/>
    <n v="647.4545454545455"/>
    <s v="Houston"/>
    <s v="Spanish"/>
    <n v="210"/>
    <n v="7367"/>
    <n v="5"/>
    <s v="Health &amp; Wellness"/>
    <x v="136"/>
  </r>
  <r>
    <s v="Innovate Industries"/>
    <x v="3"/>
    <s v="All Ages"/>
    <s v="15 days"/>
    <x v="2"/>
    <n v="0.01"/>
    <n v="18477"/>
    <n v="7.29"/>
    <n v="9"/>
    <n v="2053"/>
    <s v="Miami"/>
    <s v="Mandarin"/>
    <n v="925"/>
    <n v="9366"/>
    <n v="5"/>
    <s v="Outdoor Adventurers"/>
    <x v="137"/>
  </r>
  <r>
    <s v="NexGen Systems"/>
    <x v="0"/>
    <s v="Men 18-24"/>
    <s v="45 days"/>
    <x v="2"/>
    <n v="0.03"/>
    <n v="16000"/>
    <n v="2.5499999999999998"/>
    <n v="6"/>
    <n v="2666.6666666666665"/>
    <s v="New York"/>
    <s v="Spanish"/>
    <n v="215"/>
    <n v="1993"/>
    <n v="8"/>
    <s v="Foodies"/>
    <x v="138"/>
  </r>
  <r>
    <s v="Alpha Innovations"/>
    <x v="0"/>
    <s v="Women 35-44"/>
    <s v="45 days"/>
    <x v="0"/>
    <n v="0.09"/>
    <n v="18089"/>
    <n v="5.61"/>
    <n v="54"/>
    <n v="334.98148148148147"/>
    <s v="New York"/>
    <s v="French"/>
    <n v="598"/>
    <n v="4516"/>
    <n v="5"/>
    <s v="Fashionistas"/>
    <x v="139"/>
  </r>
  <r>
    <s v="DataTech Solutions"/>
    <x v="4"/>
    <s v="All Ages"/>
    <s v="45 days"/>
    <x v="3"/>
    <n v="0.15"/>
    <n v="14284"/>
    <n v="2.88"/>
    <n v="45"/>
    <n v="317.42222222222222"/>
    <s v="New York"/>
    <s v="English"/>
    <n v="300"/>
    <n v="6172"/>
    <n v="1"/>
    <s v="Health &amp; Wellness"/>
    <x v="140"/>
  </r>
  <r>
    <s v="NexGen Systems"/>
    <x v="1"/>
    <s v="Women 25-34"/>
    <s v="15 days"/>
    <x v="3"/>
    <n v="0.08"/>
    <n v="5998"/>
    <n v="4.4400000000000004"/>
    <n v="73"/>
    <n v="82.164383561643831"/>
    <s v="Houston"/>
    <s v="French"/>
    <n v="912"/>
    <n v="5079"/>
    <n v="3"/>
    <s v="Tech Enthusiasts"/>
    <x v="141"/>
  </r>
  <r>
    <s v="Alpha Innovations"/>
    <x v="0"/>
    <s v="Women 25-34"/>
    <s v="60 days"/>
    <x v="2"/>
    <n v="0.12"/>
    <n v="17714"/>
    <n v="6.42"/>
    <n v="104"/>
    <n v="170.32692307692307"/>
    <s v="Chicago"/>
    <s v="Spanish"/>
    <n v="867"/>
    <n v="1941"/>
    <n v="2"/>
    <s v="Health &amp; Wellness"/>
    <x v="142"/>
  </r>
  <r>
    <s v="NexGen Systems"/>
    <x v="1"/>
    <s v="Women 35-44"/>
    <s v="30 days"/>
    <x v="3"/>
    <n v="0.09"/>
    <n v="16649"/>
    <n v="3.41"/>
    <n v="52"/>
    <n v="320.17307692307691"/>
    <s v="Houston"/>
    <s v="Spanish"/>
    <n v="574"/>
    <n v="6964"/>
    <n v="9"/>
    <s v="Health &amp; Wellness"/>
    <x v="143"/>
  </r>
  <r>
    <s v="Innovate Industries"/>
    <x v="0"/>
    <s v="Women 35-44"/>
    <s v="30 days"/>
    <x v="3"/>
    <n v="0.13"/>
    <n v="15694"/>
    <n v="2.2400000000000002"/>
    <n v="87"/>
    <n v="180.39080459770116"/>
    <s v="New York"/>
    <s v="German"/>
    <n v="669"/>
    <n v="4342"/>
    <n v="2"/>
    <s v="Outdoor Adventurers"/>
    <x v="144"/>
  </r>
  <r>
    <s v="DataTech Solutions"/>
    <x v="0"/>
    <s v="Women 35-44"/>
    <s v="45 days"/>
    <x v="0"/>
    <n v="0.12"/>
    <n v="9376"/>
    <n v="5.36"/>
    <n v="55"/>
    <n v="170.47272727272727"/>
    <s v="Houston"/>
    <s v="English"/>
    <n v="456"/>
    <n v="7297"/>
    <n v="5"/>
    <s v="Health &amp; Wellness"/>
    <x v="145"/>
  </r>
  <r>
    <s v="Innovate Industries"/>
    <x v="4"/>
    <s v="Women 35-44"/>
    <s v="30 days"/>
    <x v="4"/>
    <n v="0.13"/>
    <n v="16166"/>
    <n v="3.99"/>
    <n v="75"/>
    <n v="215.54666666666665"/>
    <s v="Miami"/>
    <s v="French"/>
    <n v="574"/>
    <n v="3946"/>
    <n v="3"/>
    <s v="Tech Enthusiasts"/>
    <x v="146"/>
  </r>
  <r>
    <s v="DataTech Solutions"/>
    <x v="4"/>
    <s v="Women 25-34"/>
    <s v="30 days"/>
    <x v="5"/>
    <n v="0.13"/>
    <n v="10160"/>
    <n v="5.29"/>
    <n v="78"/>
    <n v="130.25641025641025"/>
    <s v="Miami"/>
    <s v="French"/>
    <n v="602"/>
    <n v="8271"/>
    <n v="4"/>
    <s v="Fashionistas"/>
    <x v="147"/>
  </r>
  <r>
    <s v="Alpha Innovations"/>
    <x v="3"/>
    <s v="Women 35-44"/>
    <s v="30 days"/>
    <x v="0"/>
    <n v="0.02"/>
    <n v="10565"/>
    <n v="4.9800000000000004"/>
    <n v="11"/>
    <n v="960.4545454545455"/>
    <s v="New York"/>
    <s v="Mandarin"/>
    <n v="564"/>
    <n v="5944"/>
    <n v="5"/>
    <s v="Fashionistas"/>
    <x v="148"/>
  </r>
  <r>
    <s v="Alpha Innovations"/>
    <x v="2"/>
    <s v="All Ages"/>
    <s v="15 days"/>
    <x v="3"/>
    <n v="7.0000000000000007E-2"/>
    <n v="13322"/>
    <n v="3.95"/>
    <n v="43"/>
    <n v="309.81395348837208"/>
    <s v="New York"/>
    <s v="Spanish"/>
    <n v="611"/>
    <n v="9552"/>
    <n v="2"/>
    <s v="Tech Enthusiasts"/>
    <x v="149"/>
  </r>
  <r>
    <s v="TechCorp"/>
    <x v="2"/>
    <s v="Women 35-44"/>
    <s v="30 days"/>
    <x v="4"/>
    <n v="0.04"/>
    <n v="15278"/>
    <n v="3.55"/>
    <n v="32"/>
    <n v="477.4375"/>
    <s v="New York"/>
    <s v="Spanish"/>
    <n v="804"/>
    <n v="4915"/>
    <n v="6"/>
    <s v="Fashionistas"/>
    <x v="150"/>
  </r>
  <r>
    <s v="Innovate Industries"/>
    <x v="1"/>
    <s v="Men 25-34"/>
    <s v="60 days"/>
    <x v="2"/>
    <n v="0.13"/>
    <n v="10254"/>
    <n v="2.17"/>
    <n v="96"/>
    <n v="106.8125"/>
    <s v="Houston"/>
    <s v="Spanish"/>
    <n v="738"/>
    <n v="3574"/>
    <n v="1"/>
    <s v="Health &amp; Wellness"/>
    <x v="151"/>
  </r>
  <r>
    <s v="TechCorp"/>
    <x v="4"/>
    <s v="Women 35-44"/>
    <s v="30 days"/>
    <x v="3"/>
    <n v="0.15"/>
    <n v="9004"/>
    <n v="5.93"/>
    <n v="22"/>
    <n v="409.27272727272725"/>
    <s v="Houston"/>
    <s v="German"/>
    <n v="145"/>
    <n v="8382"/>
    <n v="5"/>
    <s v="Outdoor Adventurers"/>
    <x v="152"/>
  </r>
  <r>
    <s v="TechCorp"/>
    <x v="3"/>
    <s v="Women 25-34"/>
    <s v="30 days"/>
    <x v="4"/>
    <n v="7.0000000000000007E-2"/>
    <n v="14945"/>
    <n v="7.92"/>
    <n v="51"/>
    <n v="293.03921568627453"/>
    <s v="Los Angeles"/>
    <s v="Spanish"/>
    <n v="735"/>
    <n v="7403"/>
    <n v="9"/>
    <s v="Outdoor Adventurers"/>
    <x v="153"/>
  </r>
  <r>
    <s v="NexGen Systems"/>
    <x v="3"/>
    <s v="All Ages"/>
    <s v="30 days"/>
    <x v="5"/>
    <n v="0.01"/>
    <n v="11112"/>
    <n v="3.62"/>
    <n v="8"/>
    <n v="1389"/>
    <s v="New York"/>
    <s v="Mandarin"/>
    <n v="775"/>
    <n v="4511"/>
    <n v="7"/>
    <s v="Foodies"/>
    <x v="154"/>
  </r>
  <r>
    <s v="NexGen Systems"/>
    <x v="3"/>
    <s v="Men 18-24"/>
    <s v="30 days"/>
    <x v="0"/>
    <n v="0.12"/>
    <n v="15783"/>
    <n v="3.94"/>
    <n v="80"/>
    <n v="197.28749999999999"/>
    <s v="Houston"/>
    <s v="Spanish"/>
    <n v="669"/>
    <n v="6426"/>
    <n v="6"/>
    <s v="Outdoor Adventurers"/>
    <x v="155"/>
  </r>
  <r>
    <s v="DataTech Solutions"/>
    <x v="4"/>
    <s v="Men 25-34"/>
    <s v="60 days"/>
    <x v="1"/>
    <n v="0.01"/>
    <n v="7042"/>
    <n v="6.49"/>
    <n v="8"/>
    <n v="880.25"/>
    <s v="Los Angeles"/>
    <s v="Spanish"/>
    <n v="752"/>
    <n v="3060"/>
    <n v="6"/>
    <s v="Tech Enthusiasts"/>
    <x v="156"/>
  </r>
  <r>
    <s v="Innovate Industries"/>
    <x v="3"/>
    <s v="Women 35-44"/>
    <s v="15 days"/>
    <x v="3"/>
    <n v="0.01"/>
    <n v="18610"/>
    <n v="5.66"/>
    <n v="8"/>
    <n v="2326.25"/>
    <s v="New York"/>
    <s v="French"/>
    <n v="832"/>
    <n v="8362"/>
    <n v="9"/>
    <s v="Fashionistas"/>
    <x v="157"/>
  </r>
  <r>
    <s v="TechCorp"/>
    <x v="1"/>
    <s v="Women 25-34"/>
    <s v="30 days"/>
    <x v="0"/>
    <n v="7.0000000000000007E-2"/>
    <n v="17692"/>
    <n v="2.74"/>
    <n v="48"/>
    <n v="368.58333333333331"/>
    <s v="Los Angeles"/>
    <s v="French"/>
    <n v="691"/>
    <n v="6461"/>
    <n v="8"/>
    <s v="Outdoor Adventurers"/>
    <x v="158"/>
  </r>
  <r>
    <s v="Innovate Industries"/>
    <x v="0"/>
    <s v="Women 35-44"/>
    <s v="60 days"/>
    <x v="1"/>
    <n v="0.15"/>
    <n v="19616"/>
    <n v="3.71"/>
    <n v="47"/>
    <n v="417.36170212765956"/>
    <s v="Miami"/>
    <s v="Mandarin"/>
    <n v="311"/>
    <n v="2854"/>
    <n v="9"/>
    <s v="Tech Enthusiasts"/>
    <x v="159"/>
  </r>
  <r>
    <s v="Innovate Industries"/>
    <x v="0"/>
    <s v="Women 35-44"/>
    <s v="45 days"/>
    <x v="4"/>
    <n v="0.08"/>
    <n v="17421"/>
    <n v="6.52"/>
    <n v="18"/>
    <n v="967.83333333333337"/>
    <s v="Chicago"/>
    <s v="English"/>
    <n v="227"/>
    <n v="2455"/>
    <n v="9"/>
    <s v="Fashionistas"/>
    <x v="160"/>
  </r>
  <r>
    <s v="Alpha Innovations"/>
    <x v="0"/>
    <s v="Men 18-24"/>
    <s v="30 days"/>
    <x v="5"/>
    <n v="0.08"/>
    <n v="11824"/>
    <n v="5.52"/>
    <n v="43"/>
    <n v="274.97674418604652"/>
    <s v="Houston"/>
    <s v="German"/>
    <n v="541"/>
    <n v="1351"/>
    <n v="8"/>
    <s v="Health &amp; Wellness"/>
    <x v="161"/>
  </r>
  <r>
    <s v="Innovate Industries"/>
    <x v="0"/>
    <s v="Women 35-44"/>
    <s v="15 days"/>
    <x v="0"/>
    <n v="0.14000000000000001"/>
    <n v="18304"/>
    <n v="7.4"/>
    <n v="15"/>
    <n v="1220.2666666666667"/>
    <s v="Chicago"/>
    <s v="English"/>
    <n v="104"/>
    <n v="2848"/>
    <n v="8"/>
    <s v="Health &amp; Wellness"/>
    <x v="162"/>
  </r>
  <r>
    <s v="DataTech Solutions"/>
    <x v="4"/>
    <s v="Men 18-24"/>
    <s v="30 days"/>
    <x v="2"/>
    <n v="0.04"/>
    <n v="16444"/>
    <n v="7.8"/>
    <n v="18"/>
    <n v="913.55555555555554"/>
    <s v="New York"/>
    <s v="German"/>
    <n v="443"/>
    <n v="8101"/>
    <n v="3"/>
    <s v="Fashionistas"/>
    <x v="163"/>
  </r>
  <r>
    <s v="Innovate Industries"/>
    <x v="0"/>
    <s v="Men 25-34"/>
    <s v="60 days"/>
    <x v="4"/>
    <n v="0.14000000000000001"/>
    <n v="19753"/>
    <n v="2.04"/>
    <n v="73"/>
    <n v="270.58904109589042"/>
    <s v="Los Angeles"/>
    <s v="Spanish"/>
    <n v="523"/>
    <n v="7091"/>
    <n v="3"/>
    <s v="Tech Enthusiasts"/>
    <x v="164"/>
  </r>
  <r>
    <s v="NexGen Systems"/>
    <x v="3"/>
    <s v="Men 25-34"/>
    <s v="30 days"/>
    <x v="1"/>
    <n v="7.0000000000000007E-2"/>
    <n v="7583"/>
    <n v="6.73"/>
    <n v="13"/>
    <n v="583.30769230769226"/>
    <s v="Miami"/>
    <s v="Mandarin"/>
    <n v="187"/>
    <n v="8796"/>
    <n v="5"/>
    <s v="Outdoor Adventurers"/>
    <x v="165"/>
  </r>
  <r>
    <s v="Alpha Innovations"/>
    <x v="4"/>
    <s v="Women 25-34"/>
    <s v="60 days"/>
    <x v="1"/>
    <n v="0.13"/>
    <n v="11038"/>
    <n v="5.53"/>
    <n v="48"/>
    <n v="229.95833333333334"/>
    <s v="Miami"/>
    <s v="German"/>
    <n v="373"/>
    <n v="8786"/>
    <n v="10"/>
    <s v="Tech Enthusiasts"/>
    <x v="166"/>
  </r>
  <r>
    <s v="NexGen Systems"/>
    <x v="0"/>
    <s v="Men 18-24"/>
    <s v="45 days"/>
    <x v="1"/>
    <n v="0.09"/>
    <n v="11167"/>
    <n v="2.31"/>
    <n v="15"/>
    <n v="744.4666666666667"/>
    <s v="Miami"/>
    <s v="German"/>
    <n v="167"/>
    <n v="9968"/>
    <n v="8"/>
    <s v="Tech Enthusiasts"/>
    <x v="167"/>
  </r>
  <r>
    <s v="DataTech Solutions"/>
    <x v="1"/>
    <s v="All Ages"/>
    <s v="30 days"/>
    <x v="0"/>
    <n v="0.13"/>
    <n v="8241"/>
    <n v="5.09"/>
    <n v="43"/>
    <n v="191.65116279069767"/>
    <s v="New York"/>
    <s v="Spanish"/>
    <n v="332"/>
    <n v="9058"/>
    <n v="1"/>
    <s v="Health &amp; Wellness"/>
    <x v="168"/>
  </r>
  <r>
    <s v="Innovate Industries"/>
    <x v="0"/>
    <s v="All Ages"/>
    <s v="15 days"/>
    <x v="2"/>
    <n v="0.08"/>
    <n v="6534"/>
    <n v="7.78"/>
    <n v="53"/>
    <n v="123.28301886792453"/>
    <s v="Miami"/>
    <s v="Spanish"/>
    <n v="667"/>
    <n v="3937"/>
    <n v="9"/>
    <s v="Foodies"/>
    <x v="169"/>
  </r>
  <r>
    <s v="NexGen Systems"/>
    <x v="3"/>
    <s v="Men 25-34"/>
    <s v="45 days"/>
    <x v="5"/>
    <n v="0.08"/>
    <n v="15737"/>
    <n v="7.47"/>
    <n v="14"/>
    <n v="1124.0714285714287"/>
    <s v="Los Angeles"/>
    <s v="Spanish"/>
    <n v="172"/>
    <n v="2492"/>
    <n v="2"/>
    <s v="Health &amp; Wellness"/>
    <x v="170"/>
  </r>
  <r>
    <s v="Alpha Innovations"/>
    <x v="1"/>
    <s v="All Ages"/>
    <s v="45 days"/>
    <x v="3"/>
    <n v="0.08"/>
    <n v="19596"/>
    <n v="7.69"/>
    <n v="35"/>
    <n v="559.88571428571424"/>
    <s v="Miami"/>
    <s v="English"/>
    <n v="438"/>
    <n v="4866"/>
    <n v="10"/>
    <s v="Tech Enthusiasts"/>
    <x v="171"/>
  </r>
  <r>
    <s v="DataTech Solutions"/>
    <x v="0"/>
    <s v="Women 25-34"/>
    <s v="60 days"/>
    <x v="3"/>
    <n v="0.08"/>
    <n v="15298"/>
    <n v="6.48"/>
    <n v="64"/>
    <n v="239.03125"/>
    <s v="New York"/>
    <s v="Spanish"/>
    <n v="797"/>
    <n v="8836"/>
    <n v="1"/>
    <s v="Tech Enthusiasts"/>
    <x v="172"/>
  </r>
  <r>
    <s v="DataTech Solutions"/>
    <x v="3"/>
    <s v="Women 25-34"/>
    <s v="45 days"/>
    <x v="5"/>
    <n v="0.06"/>
    <n v="19147"/>
    <n v="2.57"/>
    <n v="15"/>
    <n v="1276.4666666666667"/>
    <s v="Chicago"/>
    <s v="Spanish"/>
    <n v="248"/>
    <n v="4421"/>
    <n v="10"/>
    <s v="Foodies"/>
    <x v="173"/>
  </r>
  <r>
    <s v="NexGen Systems"/>
    <x v="2"/>
    <s v="All Ages"/>
    <s v="45 days"/>
    <x v="5"/>
    <n v="0.12"/>
    <n v="6748"/>
    <n v="5.74"/>
    <n v="23"/>
    <n v="293.39130434782606"/>
    <s v="New York"/>
    <s v="German"/>
    <n v="190"/>
    <n v="6385"/>
    <n v="7"/>
    <s v="Tech Enthusiasts"/>
    <x v="174"/>
  </r>
  <r>
    <s v="NexGen Systems"/>
    <x v="4"/>
    <s v="Women 35-44"/>
    <s v="60 days"/>
    <x v="3"/>
    <n v="0.05"/>
    <n v="10266"/>
    <n v="7.7"/>
    <n v="33"/>
    <n v="311.09090909090907"/>
    <s v="Los Angeles"/>
    <s v="French"/>
    <n v="656"/>
    <n v="5559"/>
    <n v="2"/>
    <s v="Health &amp; Wellness"/>
    <x v="175"/>
  </r>
  <r>
    <s v="TechCorp"/>
    <x v="1"/>
    <s v="All Ages"/>
    <s v="15 days"/>
    <x v="5"/>
    <n v="0.09"/>
    <n v="9077"/>
    <n v="2.5499999999999998"/>
    <n v="80"/>
    <n v="113.46250000000001"/>
    <s v="Chicago"/>
    <s v="Mandarin"/>
    <n v="893"/>
    <n v="6417"/>
    <n v="4"/>
    <s v="Fashionistas"/>
    <x v="176"/>
  </r>
  <r>
    <s v="Innovate Industries"/>
    <x v="4"/>
    <s v="Men 18-24"/>
    <s v="30 days"/>
    <x v="1"/>
    <n v="0.05"/>
    <n v="8129"/>
    <n v="4.8099999999999996"/>
    <n v="44"/>
    <n v="184.75"/>
    <s v="Houston"/>
    <s v="Mandarin"/>
    <n v="875"/>
    <n v="8062"/>
    <n v="9"/>
    <s v="Tech Enthusiasts"/>
    <x v="177"/>
  </r>
  <r>
    <s v="DataTech Solutions"/>
    <x v="3"/>
    <s v="All Ages"/>
    <s v="30 days"/>
    <x v="0"/>
    <n v="0.13"/>
    <n v="19546"/>
    <n v="3.59"/>
    <n v="69"/>
    <n v="283.27536231884056"/>
    <s v="Los Angeles"/>
    <s v="Mandarin"/>
    <n v="529"/>
    <n v="1877"/>
    <n v="10"/>
    <s v="Foodies"/>
    <x v="178"/>
  </r>
  <r>
    <s v="TechCorp"/>
    <x v="1"/>
    <s v="Men 18-24"/>
    <s v="60 days"/>
    <x v="3"/>
    <n v="0.03"/>
    <n v="10364"/>
    <n v="2.4500000000000002"/>
    <n v="30"/>
    <n v="345.46666666666664"/>
    <s v="New York"/>
    <s v="Mandarin"/>
    <n v="993"/>
    <n v="9406"/>
    <n v="2"/>
    <s v="Outdoor Adventurers"/>
    <x v="179"/>
  </r>
  <r>
    <s v="NexGen Systems"/>
    <x v="1"/>
    <s v="Men 18-24"/>
    <s v="15 days"/>
    <x v="1"/>
    <n v="0.03"/>
    <n v="17384"/>
    <n v="2.39"/>
    <n v="19"/>
    <n v="914.9473684210526"/>
    <s v="Miami"/>
    <s v="Mandarin"/>
    <n v="626"/>
    <n v="2748"/>
    <n v="6"/>
    <s v="Health &amp; Wellness"/>
    <x v="180"/>
  </r>
  <r>
    <s v="DataTech Solutions"/>
    <x v="2"/>
    <s v="Men 18-24"/>
    <s v="60 days"/>
    <x v="0"/>
    <n v="0.09"/>
    <n v="13341"/>
    <n v="7.26"/>
    <n v="39"/>
    <n v="342.07692307692309"/>
    <s v="Los Angeles"/>
    <s v="English"/>
    <n v="437"/>
    <n v="8714"/>
    <n v="3"/>
    <s v="Outdoor Adventurers"/>
    <x v="181"/>
  </r>
  <r>
    <s v="Alpha Innovations"/>
    <x v="4"/>
    <s v="Men 25-34"/>
    <s v="45 days"/>
    <x v="3"/>
    <n v="0.1"/>
    <n v="6503"/>
    <n v="5.89"/>
    <n v="22"/>
    <n v="295.59090909090907"/>
    <s v="Chicago"/>
    <s v="German"/>
    <n v="224"/>
    <n v="5316"/>
    <n v="5"/>
    <s v="Foodies"/>
    <x v="182"/>
  </r>
  <r>
    <s v="TechCorp"/>
    <x v="0"/>
    <s v="All Ages"/>
    <s v="30 days"/>
    <x v="2"/>
    <n v="0.09"/>
    <n v="18057"/>
    <n v="4.5599999999999996"/>
    <n v="49"/>
    <n v="368.51020408163265"/>
    <s v="Los Angeles"/>
    <s v="Spanish"/>
    <n v="540"/>
    <n v="7324"/>
    <n v="6"/>
    <s v="Outdoor Adventurers"/>
    <x v="183"/>
  </r>
  <r>
    <s v="TechCorp"/>
    <x v="4"/>
    <s v="Women 25-34"/>
    <s v="15 days"/>
    <x v="1"/>
    <n v="0.09"/>
    <n v="10879"/>
    <n v="6.22"/>
    <n v="49"/>
    <n v="222.0204081632653"/>
    <s v="New York"/>
    <s v="Spanish"/>
    <n v="542"/>
    <n v="5588"/>
    <n v="7"/>
    <s v="Health &amp; Wellness"/>
    <x v="184"/>
  </r>
  <r>
    <s v="Innovate Industries"/>
    <x v="0"/>
    <s v="Men 25-34"/>
    <s v="15 days"/>
    <x v="2"/>
    <n v="0.05"/>
    <n v="15128"/>
    <n v="7.54"/>
    <n v="19"/>
    <n v="796.21052631578948"/>
    <s v="Houston"/>
    <s v="German"/>
    <n v="375"/>
    <n v="2403"/>
    <n v="3"/>
    <s v="Tech Enthusiasts"/>
    <x v="185"/>
  </r>
  <r>
    <s v="NexGen Systems"/>
    <x v="4"/>
    <s v="Women 25-34"/>
    <s v="15 days"/>
    <x v="0"/>
    <n v="0.15"/>
    <n v="17254"/>
    <n v="6.79"/>
    <n v="35"/>
    <n v="492.97142857142859"/>
    <s v="Los Angeles"/>
    <s v="English"/>
    <n v="230"/>
    <n v="8724"/>
    <n v="10"/>
    <s v="Outdoor Adventurers"/>
    <x v="186"/>
  </r>
  <r>
    <s v="DataTech Solutions"/>
    <x v="2"/>
    <s v="Men 18-24"/>
    <s v="45 days"/>
    <x v="2"/>
    <n v="0.15"/>
    <n v="8698"/>
    <n v="7.97"/>
    <n v="61"/>
    <n v="142.59016393442624"/>
    <s v="Chicago"/>
    <s v="English"/>
    <n v="409"/>
    <n v="6370"/>
    <n v="10"/>
    <s v="Fashionistas"/>
    <x v="187"/>
  </r>
  <r>
    <s v="TechCorp"/>
    <x v="4"/>
    <s v="Women 25-34"/>
    <s v="60 days"/>
    <x v="5"/>
    <n v="0.09"/>
    <n v="18094"/>
    <n v="4.87"/>
    <n v="75"/>
    <n v="241.25333333333333"/>
    <s v="New York"/>
    <s v="French"/>
    <n v="834"/>
    <n v="3655"/>
    <n v="8"/>
    <s v="Fashionistas"/>
    <x v="188"/>
  </r>
  <r>
    <s v="NexGen Systems"/>
    <x v="0"/>
    <s v="Women 35-44"/>
    <s v="15 days"/>
    <x v="4"/>
    <n v="0.11"/>
    <n v="14722"/>
    <n v="5.84"/>
    <n v="41"/>
    <n v="359.07317073170731"/>
    <s v="Miami"/>
    <s v="Mandarin"/>
    <n v="369"/>
    <n v="3159"/>
    <n v="5"/>
    <s v="Outdoor Adventurers"/>
    <x v="189"/>
  </r>
  <r>
    <s v="TechCorp"/>
    <x v="2"/>
    <s v="Women 25-34"/>
    <s v="45 days"/>
    <x v="1"/>
    <n v="0.09"/>
    <n v="8348"/>
    <n v="7.97"/>
    <n v="74"/>
    <n v="112.81081081081081"/>
    <s v="Houston"/>
    <s v="Mandarin"/>
    <n v="818"/>
    <n v="7461"/>
    <n v="3"/>
    <s v="Fashionistas"/>
    <x v="190"/>
  </r>
  <r>
    <s v="DataTech Solutions"/>
    <x v="0"/>
    <s v="All Ages"/>
    <s v="60 days"/>
    <x v="5"/>
    <n v="0.04"/>
    <n v="10964"/>
    <n v="3.54"/>
    <n v="24"/>
    <n v="456.83333333333331"/>
    <s v="Los Angeles"/>
    <s v="Mandarin"/>
    <n v="590"/>
    <n v="5954"/>
    <n v="4"/>
    <s v="Foodies"/>
    <x v="191"/>
  </r>
  <r>
    <s v="Alpha Innovations"/>
    <x v="3"/>
    <s v="Women 35-44"/>
    <s v="30 days"/>
    <x v="0"/>
    <n v="0.12"/>
    <n v="8838"/>
    <n v="2.65"/>
    <n v="108"/>
    <n v="81.833333333333329"/>
    <s v="Houston"/>
    <s v="German"/>
    <n v="899"/>
    <n v="5850"/>
    <n v="3"/>
    <s v="Tech Enthusiasts"/>
    <x v="192"/>
  </r>
  <r>
    <s v="Alpha Innovations"/>
    <x v="2"/>
    <s v="Women 25-34"/>
    <s v="45 days"/>
    <x v="5"/>
    <n v="0.1"/>
    <n v="11086"/>
    <n v="6.35"/>
    <n v="83"/>
    <n v="133.56626506024097"/>
    <s v="Chicago"/>
    <s v="Spanish"/>
    <n v="831"/>
    <n v="7088"/>
    <n v="2"/>
    <s v="Fashionistas"/>
    <x v="193"/>
  </r>
  <r>
    <s v="Alpha Innovations"/>
    <x v="4"/>
    <s v="Women 35-44"/>
    <s v="45 days"/>
    <x v="3"/>
    <n v="0.14000000000000001"/>
    <n v="16123"/>
    <n v="7.03"/>
    <n v="52"/>
    <n v="310.05769230769232"/>
    <s v="New York"/>
    <s v="German"/>
    <n v="369"/>
    <n v="3426"/>
    <n v="1"/>
    <s v="Tech Enthusiasts"/>
    <x v="194"/>
  </r>
  <r>
    <s v="NexGen Systems"/>
    <x v="3"/>
    <s v="Men 18-24"/>
    <s v="45 days"/>
    <x v="2"/>
    <n v="0.13"/>
    <n v="11528"/>
    <n v="4.95"/>
    <n v="67"/>
    <n v="172.0597014925373"/>
    <s v="Miami"/>
    <s v="Spanish"/>
    <n v="519"/>
    <n v="5896"/>
    <n v="7"/>
    <s v="Health &amp; Wellness"/>
    <x v="195"/>
  </r>
  <r>
    <s v="DataTech Solutions"/>
    <x v="4"/>
    <s v="Men 18-24"/>
    <s v="15 days"/>
    <x v="1"/>
    <n v="0.12"/>
    <n v="15431"/>
    <n v="6.49"/>
    <n v="54"/>
    <n v="285.75925925925924"/>
    <s v="Houston"/>
    <s v="French"/>
    <n v="447"/>
    <n v="2975"/>
    <n v="9"/>
    <s v="Fashionistas"/>
    <x v="196"/>
  </r>
  <r>
    <s v="DataTech Solutions"/>
    <x v="2"/>
    <s v="Women 35-44"/>
    <s v="45 days"/>
    <x v="4"/>
    <n v="0.02"/>
    <n v="13015"/>
    <n v="6.81"/>
    <n v="17"/>
    <n v="765.58823529411768"/>
    <s v="Los Angeles"/>
    <s v="Spanish"/>
    <n v="830"/>
    <n v="1704"/>
    <n v="3"/>
    <s v="Health &amp; Wellness"/>
    <x v="197"/>
  </r>
  <r>
    <s v="NexGen Systems"/>
    <x v="3"/>
    <s v="Men 25-34"/>
    <s v="15 days"/>
    <x v="4"/>
    <n v="0.02"/>
    <n v="16687"/>
    <n v="4.5199999999999996"/>
    <n v="2"/>
    <n v="8343.5"/>
    <s v="Houston"/>
    <s v="English"/>
    <n v="111"/>
    <n v="1397"/>
    <n v="5"/>
    <s v="Foodies"/>
    <x v="198"/>
  </r>
  <r>
    <s v="DataTech Solutions"/>
    <x v="3"/>
    <s v="All Ages"/>
    <s v="30 days"/>
    <x v="0"/>
    <n v="0.06"/>
    <n v="6438"/>
    <n v="2.33"/>
    <n v="43"/>
    <n v="149.72093023255815"/>
    <s v="Miami"/>
    <s v="English"/>
    <n v="718"/>
    <n v="1619"/>
    <n v="8"/>
    <s v="Fashionistas"/>
    <x v="199"/>
  </r>
  <r>
    <s v="DataTech Solutions"/>
    <x v="4"/>
    <s v="Men 18-24"/>
    <s v="30 days"/>
    <x v="5"/>
    <n v="0.02"/>
    <n v="8266"/>
    <n v="7.11"/>
    <n v="2"/>
    <n v="4133"/>
    <s v="Los Angeles"/>
    <s v="German"/>
    <n v="103"/>
    <n v="9760"/>
    <n v="10"/>
    <s v="Outdoor Adventurers"/>
    <x v="200"/>
  </r>
  <r>
    <s v="NexGen Systems"/>
    <x v="2"/>
    <s v="Women 35-44"/>
    <s v="60 days"/>
    <x v="0"/>
    <n v="0.14000000000000001"/>
    <n v="18576"/>
    <n v="3.43"/>
    <n v="24"/>
    <n v="774"/>
    <s v="Los Angeles"/>
    <s v="German"/>
    <n v="173"/>
    <n v="9790"/>
    <n v="4"/>
    <s v="Foodies"/>
    <x v="201"/>
  </r>
  <r>
    <s v="Innovate Industries"/>
    <x v="3"/>
    <s v="Men 25-34"/>
    <s v="15 days"/>
    <x v="2"/>
    <n v="7.0000000000000007E-2"/>
    <n v="15230"/>
    <n v="7.81"/>
    <n v="17"/>
    <n v="895.88235294117646"/>
    <s v="Houston"/>
    <s v="Mandarin"/>
    <n v="249"/>
    <n v="9028"/>
    <n v="3"/>
    <s v="Fashionistas"/>
    <x v="202"/>
  </r>
  <r>
    <s v="TechCorp"/>
    <x v="1"/>
    <s v="Men 18-24"/>
    <s v="30 days"/>
    <x v="0"/>
    <n v="7.0000000000000007E-2"/>
    <n v="8651"/>
    <n v="6.43"/>
    <n v="34"/>
    <n v="254.44117647058823"/>
    <s v="Chicago"/>
    <s v="French"/>
    <n v="482"/>
    <n v="8767"/>
    <n v="4"/>
    <s v="Health &amp; Wellness"/>
    <x v="203"/>
  </r>
  <r>
    <s v="DataTech Solutions"/>
    <x v="4"/>
    <s v="All Ages"/>
    <s v="45 days"/>
    <x v="0"/>
    <n v="0.12"/>
    <n v="6091"/>
    <n v="2.0299999999999998"/>
    <n v="20"/>
    <n v="304.55"/>
    <s v="New York"/>
    <s v="English"/>
    <n v="163"/>
    <n v="2958"/>
    <n v="8"/>
    <s v="Outdoor Adventurers"/>
    <x v="204"/>
  </r>
  <r>
    <s v="Alpha Innovations"/>
    <x v="1"/>
    <s v="Women 35-44"/>
    <s v="45 days"/>
    <x v="1"/>
    <n v="7.0000000000000007E-2"/>
    <n v="6314"/>
    <n v="2.44"/>
    <n v="25"/>
    <n v="252.56"/>
    <s v="Los Angeles"/>
    <s v="German"/>
    <n v="356"/>
    <n v="8422"/>
    <n v="1"/>
    <s v="Outdoor Adventurers"/>
    <x v="205"/>
  </r>
  <r>
    <s v="DataTech Solutions"/>
    <x v="4"/>
    <s v="Women 25-34"/>
    <s v="15 days"/>
    <x v="2"/>
    <n v="0.09"/>
    <n v="14938"/>
    <n v="7.9"/>
    <n v="29"/>
    <n v="515.10344827586209"/>
    <s v="New York"/>
    <s v="English"/>
    <n v="321"/>
    <n v="6470"/>
    <n v="6"/>
    <s v="Health &amp; Wellness"/>
    <x v="206"/>
  </r>
  <r>
    <s v="NexGen Systems"/>
    <x v="0"/>
    <s v="Men 18-24"/>
    <s v="60 days"/>
    <x v="3"/>
    <n v="0.05"/>
    <n v="15758"/>
    <n v="3.91"/>
    <n v="19"/>
    <n v="829.36842105263156"/>
    <s v="Houston"/>
    <s v="Mandarin"/>
    <n v="372"/>
    <n v="1246"/>
    <n v="8"/>
    <s v="Health &amp; Wellness"/>
    <x v="207"/>
  </r>
  <r>
    <s v="Innovate Industries"/>
    <x v="3"/>
    <s v="All Ages"/>
    <s v="60 days"/>
    <x v="1"/>
    <n v="0.12"/>
    <n v="12991"/>
    <n v="4.12"/>
    <n v="87"/>
    <n v="149.32183908045977"/>
    <s v="Houston"/>
    <s v="French"/>
    <n v="724"/>
    <n v="7828"/>
    <n v="10"/>
    <s v="Outdoor Adventurers"/>
    <x v="208"/>
  </r>
  <r>
    <s v="DataTech Solutions"/>
    <x v="3"/>
    <s v="All Ages"/>
    <s v="60 days"/>
    <x v="3"/>
    <n v="0.09"/>
    <n v="15432"/>
    <n v="3.12"/>
    <n v="14"/>
    <n v="1102.2857142857142"/>
    <s v="Chicago"/>
    <s v="French"/>
    <n v="151"/>
    <n v="4133"/>
    <n v="7"/>
    <s v="Fashionistas"/>
    <x v="209"/>
  </r>
  <r>
    <s v="TechCorp"/>
    <x v="1"/>
    <s v="All Ages"/>
    <s v="60 days"/>
    <x v="0"/>
    <n v="0.03"/>
    <n v="15010"/>
    <n v="4.26"/>
    <n v="11"/>
    <n v="1364.5454545454545"/>
    <s v="Houston"/>
    <s v="Mandarin"/>
    <n v="381"/>
    <n v="6020"/>
    <n v="1"/>
    <s v="Fashionistas"/>
    <x v="210"/>
  </r>
  <r>
    <s v="DataTech Solutions"/>
    <x v="4"/>
    <s v="Women 25-34"/>
    <s v="60 days"/>
    <x v="5"/>
    <n v="0.06"/>
    <n v="5994"/>
    <n v="7.05"/>
    <n v="51"/>
    <n v="117.52941176470588"/>
    <s v="Miami"/>
    <s v="German"/>
    <n v="858"/>
    <n v="1935"/>
    <n v="4"/>
    <s v="Foodies"/>
    <x v="211"/>
  </r>
  <r>
    <s v="NexGen Systems"/>
    <x v="3"/>
    <s v="Men 18-24"/>
    <s v="15 days"/>
    <x v="5"/>
    <n v="0.12"/>
    <n v="14291"/>
    <n v="5.58"/>
    <n v="42"/>
    <n v="340.26190476190476"/>
    <s v="Los Angeles"/>
    <s v="Spanish"/>
    <n v="347"/>
    <n v="2331"/>
    <n v="7"/>
    <s v="Fashionistas"/>
    <x v="212"/>
  </r>
  <r>
    <s v="NexGen Systems"/>
    <x v="0"/>
    <s v="Women 35-44"/>
    <s v="30 days"/>
    <x v="1"/>
    <n v="0.12"/>
    <n v="5388"/>
    <n v="5.82"/>
    <n v="75"/>
    <n v="71.84"/>
    <s v="Miami"/>
    <s v="Spanish"/>
    <n v="628"/>
    <n v="9414"/>
    <n v="4"/>
    <s v="Tech Enthusiasts"/>
    <x v="213"/>
  </r>
  <r>
    <s v="Alpha Innovations"/>
    <x v="2"/>
    <s v="All Ages"/>
    <s v="15 days"/>
    <x v="4"/>
    <n v="0.09"/>
    <n v="5209"/>
    <n v="7.16"/>
    <n v="12"/>
    <n v="434.08333333333331"/>
    <s v="Chicago"/>
    <s v="French"/>
    <n v="134"/>
    <n v="6652"/>
    <n v="5"/>
    <s v="Fashionistas"/>
    <x v="214"/>
  </r>
  <r>
    <s v="TechCorp"/>
    <x v="0"/>
    <s v="All Ages"/>
    <s v="30 days"/>
    <x v="5"/>
    <n v="0.06"/>
    <n v="6169"/>
    <n v="6.04"/>
    <n v="28"/>
    <n v="220.32142857142858"/>
    <s v="Houston"/>
    <s v="English"/>
    <n v="466"/>
    <n v="4560"/>
    <n v="2"/>
    <s v="Outdoor Adventurers"/>
    <x v="215"/>
  </r>
  <r>
    <s v="Innovate Industries"/>
    <x v="2"/>
    <s v="Men 18-24"/>
    <s v="60 days"/>
    <x v="3"/>
    <n v="0.13"/>
    <n v="19435"/>
    <n v="6.4"/>
    <n v="49"/>
    <n v="396.63265306122452"/>
    <s v="Los Angeles"/>
    <s v="Mandarin"/>
    <n v="375"/>
    <n v="6834"/>
    <n v="6"/>
    <s v="Outdoor Adventurers"/>
    <x v="216"/>
  </r>
  <r>
    <s v="NexGen Systems"/>
    <x v="2"/>
    <s v="Women 35-44"/>
    <s v="15 days"/>
    <x v="5"/>
    <n v="0.04"/>
    <n v="5356"/>
    <n v="3.8"/>
    <n v="35"/>
    <n v="153.02857142857144"/>
    <s v="Los Angeles"/>
    <s v="English"/>
    <n v="876"/>
    <n v="5729"/>
    <n v="1"/>
    <s v="Outdoor Adventurers"/>
    <x v="217"/>
  </r>
  <r>
    <s v="Innovate Industries"/>
    <x v="4"/>
    <s v="Men 25-34"/>
    <s v="15 days"/>
    <x v="5"/>
    <n v="0.04"/>
    <n v="19585"/>
    <n v="5.98"/>
    <n v="36"/>
    <n v="544.02777777777783"/>
    <s v="New York"/>
    <s v="French"/>
    <n v="904"/>
    <n v="3179"/>
    <n v="3"/>
    <s v="Outdoor Adventurers"/>
    <x v="218"/>
  </r>
  <r>
    <s v="DataTech Solutions"/>
    <x v="4"/>
    <s v="Women 25-34"/>
    <s v="60 days"/>
    <x v="5"/>
    <n v="0.05"/>
    <n v="11084"/>
    <n v="5.68"/>
    <n v="6"/>
    <n v="1847.3333333333333"/>
    <s v="Los Angeles"/>
    <s v="Mandarin"/>
    <n v="119"/>
    <n v="9942"/>
    <n v="9"/>
    <s v="Health &amp; Wellness"/>
    <x v="219"/>
  </r>
  <r>
    <s v="TechCorp"/>
    <x v="4"/>
    <s v="Women 35-44"/>
    <s v="45 days"/>
    <x v="3"/>
    <n v="0.08"/>
    <n v="14932"/>
    <n v="4.03"/>
    <n v="59"/>
    <n v="253.08474576271186"/>
    <s v="Miami"/>
    <s v="German"/>
    <n v="737"/>
    <n v="6393"/>
    <n v="4"/>
    <s v="Fashionistas"/>
    <x v="220"/>
  </r>
  <r>
    <s v="TechCorp"/>
    <x v="1"/>
    <s v="Women 25-34"/>
    <s v="15 days"/>
    <x v="0"/>
    <n v="0.14000000000000001"/>
    <n v="16562"/>
    <n v="4.25"/>
    <n v="93"/>
    <n v="178.08602150537635"/>
    <s v="Houston"/>
    <s v="Mandarin"/>
    <n v="662"/>
    <n v="6013"/>
    <n v="3"/>
    <s v="Fashionistas"/>
    <x v="221"/>
  </r>
  <r>
    <s v="TechCorp"/>
    <x v="4"/>
    <s v="Men 18-24"/>
    <s v="15 days"/>
    <x v="4"/>
    <n v="0.03"/>
    <n v="7740"/>
    <n v="3.78"/>
    <n v="11"/>
    <n v="703.63636363636363"/>
    <s v="Los Angeles"/>
    <s v="German"/>
    <n v="376"/>
    <n v="7658"/>
    <n v="5"/>
    <s v="Foodies"/>
    <x v="222"/>
  </r>
  <r>
    <s v="DataTech Solutions"/>
    <x v="0"/>
    <s v="All Ages"/>
    <s v="30 days"/>
    <x v="0"/>
    <n v="0.09"/>
    <n v="10804"/>
    <n v="5.3"/>
    <n v="32"/>
    <n v="337.625"/>
    <s v="New York"/>
    <s v="Mandarin"/>
    <n v="356"/>
    <n v="8770"/>
    <n v="1"/>
    <s v="Foodies"/>
    <x v="223"/>
  </r>
  <r>
    <s v="Alpha Innovations"/>
    <x v="2"/>
    <s v="Women 35-44"/>
    <s v="45 days"/>
    <x v="1"/>
    <n v="0.04"/>
    <n v="15722"/>
    <n v="7.05"/>
    <n v="29"/>
    <n v="542.13793103448279"/>
    <s v="Miami"/>
    <s v="French"/>
    <n v="724"/>
    <n v="6004"/>
    <n v="9"/>
    <s v="Tech Enthusiasts"/>
    <x v="224"/>
  </r>
  <r>
    <s v="Innovate Industries"/>
    <x v="3"/>
    <s v="Men 25-34"/>
    <s v="15 days"/>
    <x v="2"/>
    <n v="0.12"/>
    <n v="13222"/>
    <n v="5.2"/>
    <n v="61"/>
    <n v="216.75409836065575"/>
    <s v="New York"/>
    <s v="French"/>
    <n v="508"/>
    <n v="2195"/>
    <n v="7"/>
    <s v="Foodies"/>
    <x v="225"/>
  </r>
  <r>
    <s v="TechCorp"/>
    <x v="0"/>
    <s v="All Ages"/>
    <s v="15 days"/>
    <x v="4"/>
    <n v="0.11"/>
    <n v="18750"/>
    <n v="3.79"/>
    <n v="17"/>
    <n v="1102.9411764705883"/>
    <s v="Los Angeles"/>
    <s v="German"/>
    <n v="150"/>
    <n v="3631"/>
    <n v="2"/>
    <s v="Outdoor Adventurers"/>
    <x v="226"/>
  </r>
  <r>
    <s v="TechCorp"/>
    <x v="2"/>
    <s v="Men 18-24"/>
    <s v="45 days"/>
    <x v="5"/>
    <n v="7.0000000000000007E-2"/>
    <n v="14103"/>
    <n v="2.2599999999999998"/>
    <n v="17"/>
    <n v="829.58823529411768"/>
    <s v="New York"/>
    <s v="German"/>
    <n v="236"/>
    <n v="6998"/>
    <n v="6"/>
    <s v="Tech Enthusiasts"/>
    <x v="227"/>
  </r>
  <r>
    <s v="DataTech Solutions"/>
    <x v="3"/>
    <s v="All Ages"/>
    <s v="60 days"/>
    <x v="0"/>
    <n v="0.12"/>
    <n v="6424"/>
    <n v="7.36"/>
    <n v="119"/>
    <n v="53.983193277310924"/>
    <s v="Miami"/>
    <s v="French"/>
    <n v="990"/>
    <n v="2444"/>
    <n v="6"/>
    <s v="Fashionistas"/>
    <x v="228"/>
  </r>
  <r>
    <s v="Alpha Innovations"/>
    <x v="3"/>
    <s v="Men 18-24"/>
    <s v="30 days"/>
    <x v="0"/>
    <n v="0.08"/>
    <n v="15650"/>
    <n v="5.0199999999999996"/>
    <n v="9"/>
    <n v="1738.8888888888889"/>
    <s v="Chicago"/>
    <s v="Mandarin"/>
    <n v="111"/>
    <n v="2418"/>
    <n v="1"/>
    <s v="Foodies"/>
    <x v="229"/>
  </r>
  <r>
    <s v="Alpha Innovations"/>
    <x v="3"/>
    <s v="Men 25-34"/>
    <s v="30 days"/>
    <x v="1"/>
    <n v="0.09"/>
    <n v="15918"/>
    <n v="3.32"/>
    <n v="27"/>
    <n v="589.55555555555554"/>
    <s v="New York"/>
    <s v="Spanish"/>
    <n v="300"/>
    <n v="9550"/>
    <n v="7"/>
    <s v="Fashionistas"/>
    <x v="230"/>
  </r>
  <r>
    <s v="TechCorp"/>
    <x v="0"/>
    <s v="Women 25-34"/>
    <s v="60 days"/>
    <x v="3"/>
    <n v="0.11"/>
    <n v="5002"/>
    <n v="7.27"/>
    <n v="24"/>
    <n v="208.41666666666666"/>
    <s v="Los Angeles"/>
    <s v="Mandarin"/>
    <n v="215"/>
    <n v="6044"/>
    <n v="4"/>
    <s v="Fashionistas"/>
    <x v="231"/>
  </r>
  <r>
    <s v="Innovate Industries"/>
    <x v="0"/>
    <s v="Men 18-24"/>
    <s v="45 days"/>
    <x v="4"/>
    <n v="0.08"/>
    <n v="16250"/>
    <n v="3.82"/>
    <n v="48"/>
    <n v="338.54166666666669"/>
    <s v="Miami"/>
    <s v="German"/>
    <n v="602"/>
    <n v="7677"/>
    <n v="9"/>
    <s v="Foodies"/>
    <x v="232"/>
  </r>
  <r>
    <s v="Innovate Industries"/>
    <x v="1"/>
    <s v="All Ages"/>
    <s v="60 days"/>
    <x v="3"/>
    <n v="0.02"/>
    <n v="9405"/>
    <n v="7.73"/>
    <n v="10"/>
    <n v="940.5"/>
    <s v="New York"/>
    <s v="French"/>
    <n v="511"/>
    <n v="2028"/>
    <n v="5"/>
    <s v="Tech Enthusiasts"/>
    <x v="233"/>
  </r>
  <r>
    <s v="NexGen Systems"/>
    <x v="0"/>
    <s v="Women 35-44"/>
    <s v="15 days"/>
    <x v="3"/>
    <n v="0.01"/>
    <n v="19716"/>
    <n v="7.34"/>
    <n v="3"/>
    <n v="6572"/>
    <s v="Miami"/>
    <s v="Spanish"/>
    <n v="345"/>
    <n v="2704"/>
    <n v="10"/>
    <s v="Outdoor Adventurers"/>
    <x v="234"/>
  </r>
  <r>
    <s v="NexGen Systems"/>
    <x v="0"/>
    <s v="All Ages"/>
    <s v="60 days"/>
    <x v="5"/>
    <n v="0.09"/>
    <n v="12494"/>
    <n v="6.93"/>
    <n v="43"/>
    <n v="290.55813953488371"/>
    <s v="Miami"/>
    <s v="Spanish"/>
    <n v="478"/>
    <n v="7483"/>
    <n v="1"/>
    <s v="Fashionistas"/>
    <x v="235"/>
  </r>
  <r>
    <s v="NexGen Systems"/>
    <x v="1"/>
    <s v="Men 25-34"/>
    <s v="30 days"/>
    <x v="4"/>
    <n v="0.11"/>
    <n v="8449"/>
    <n v="6.32"/>
    <n v="91"/>
    <n v="92.84615384615384"/>
    <s v="New York"/>
    <s v="French"/>
    <n v="831"/>
    <n v="8686"/>
    <n v="2"/>
    <s v="Health &amp; Wellness"/>
    <x v="236"/>
  </r>
  <r>
    <s v="TechCorp"/>
    <x v="4"/>
    <s v="Men 18-24"/>
    <s v="15 days"/>
    <x v="4"/>
    <n v="0.15"/>
    <n v="10844"/>
    <n v="4.2"/>
    <n v="20"/>
    <n v="542.20000000000005"/>
    <s v="Chicago"/>
    <s v="English"/>
    <n v="135"/>
    <n v="9278"/>
    <n v="2"/>
    <s v="Outdoor Adventurers"/>
    <x v="237"/>
  </r>
  <r>
    <s v="NexGen Systems"/>
    <x v="0"/>
    <s v="Women 25-34"/>
    <s v="60 days"/>
    <x v="3"/>
    <n v="0.06"/>
    <n v="18070"/>
    <n v="4.75"/>
    <n v="9"/>
    <n v="2007.7777777777778"/>
    <s v="Houston"/>
    <s v="Mandarin"/>
    <n v="144"/>
    <n v="9507"/>
    <n v="10"/>
    <s v="Foodies"/>
    <x v="238"/>
  </r>
  <r>
    <s v="DataTech Solutions"/>
    <x v="0"/>
    <s v="Men 18-24"/>
    <s v="60 days"/>
    <x v="2"/>
    <n v="0.05"/>
    <n v="9390"/>
    <n v="7.11"/>
    <n v="16"/>
    <n v="586.875"/>
    <s v="Houston"/>
    <s v="Mandarin"/>
    <n v="311"/>
    <n v="9809"/>
    <n v="1"/>
    <s v="Foodies"/>
    <x v="239"/>
  </r>
  <r>
    <s v="Alpha Innovations"/>
    <x v="2"/>
    <s v="Women 35-44"/>
    <s v="60 days"/>
    <x v="3"/>
    <n v="0.04"/>
    <n v="13482"/>
    <n v="6.46"/>
    <n v="18"/>
    <n v="749"/>
    <s v="Los Angeles"/>
    <s v="Spanish"/>
    <n v="458"/>
    <n v="5048"/>
    <n v="5"/>
    <s v="Outdoor Adventurers"/>
    <x v="240"/>
  </r>
  <r>
    <s v="Innovate Industries"/>
    <x v="2"/>
    <s v="Men 18-24"/>
    <s v="30 days"/>
    <x v="5"/>
    <n v="0.02"/>
    <n v="8698"/>
    <n v="4.4000000000000004"/>
    <n v="9"/>
    <n v="966.44444444444446"/>
    <s v="Miami"/>
    <s v="English"/>
    <n v="433"/>
    <n v="8359"/>
    <n v="4"/>
    <s v="Fashionistas"/>
    <x v="241"/>
  </r>
  <r>
    <s v="DataTech Solutions"/>
    <x v="4"/>
    <s v="Men 25-34"/>
    <s v="45 days"/>
    <x v="5"/>
    <n v="0.04"/>
    <n v="14217"/>
    <n v="5.63"/>
    <n v="10"/>
    <n v="1421.7"/>
    <s v="Miami"/>
    <s v="French"/>
    <n v="246"/>
    <n v="1769"/>
    <n v="9"/>
    <s v="Outdoor Adventurers"/>
    <x v="242"/>
  </r>
  <r>
    <s v="DataTech Solutions"/>
    <x v="0"/>
    <s v="Men 25-34"/>
    <s v="15 days"/>
    <x v="0"/>
    <n v="0.05"/>
    <n v="8126"/>
    <n v="2.5499999999999998"/>
    <n v="27"/>
    <n v="300.96296296296299"/>
    <s v="Chicago"/>
    <s v="English"/>
    <n v="530"/>
    <n v="5393"/>
    <n v="4"/>
    <s v="Fashionistas"/>
    <x v="243"/>
  </r>
  <r>
    <s v="TechCorp"/>
    <x v="2"/>
    <s v="All Ages"/>
    <s v="60 days"/>
    <x v="5"/>
    <n v="0.13"/>
    <n v="12729"/>
    <n v="7.67"/>
    <n v="14"/>
    <n v="909.21428571428567"/>
    <s v="New York"/>
    <s v="Spanish"/>
    <n v="111"/>
    <n v="1467"/>
    <n v="4"/>
    <s v="Foodies"/>
    <x v="244"/>
  </r>
  <r>
    <s v="Innovate Industries"/>
    <x v="3"/>
    <s v="Women 35-44"/>
    <s v="45 days"/>
    <x v="2"/>
    <n v="0.03"/>
    <n v="12975"/>
    <n v="6.89"/>
    <n v="12"/>
    <n v="1081.25"/>
    <s v="Los Angeles"/>
    <s v="English"/>
    <n v="409"/>
    <n v="5503"/>
    <n v="3"/>
    <s v="Tech Enthusiasts"/>
    <x v="245"/>
  </r>
  <r>
    <s v="NexGen Systems"/>
    <x v="1"/>
    <s v="Men 25-34"/>
    <s v="60 days"/>
    <x v="4"/>
    <n v="0.06"/>
    <n v="19063"/>
    <n v="3.59"/>
    <n v="14"/>
    <n v="1361.6428571428571"/>
    <s v="Los Angeles"/>
    <s v="French"/>
    <n v="237"/>
    <n v="5948"/>
    <n v="7"/>
    <s v="Health &amp; Wellness"/>
    <x v="246"/>
  </r>
  <r>
    <s v="Innovate Industries"/>
    <x v="0"/>
    <s v="Men 25-34"/>
    <s v="45 days"/>
    <x v="4"/>
    <n v="0.04"/>
    <n v="16411"/>
    <n v="4.2699999999999996"/>
    <n v="8"/>
    <n v="2051.375"/>
    <s v="New York"/>
    <s v="French"/>
    <n v="194"/>
    <n v="2016"/>
    <n v="4"/>
    <s v="Fashionistas"/>
    <x v="247"/>
  </r>
  <r>
    <s v="DataTech Solutions"/>
    <x v="0"/>
    <s v="Men 18-24"/>
    <s v="15 days"/>
    <x v="3"/>
    <n v="7.0000000000000007E-2"/>
    <n v="17076"/>
    <n v="7"/>
    <n v="29"/>
    <n v="588.82758620689651"/>
    <s v="Houston"/>
    <s v="Mandarin"/>
    <n v="414"/>
    <n v="4717"/>
    <n v="9"/>
    <s v="Health &amp; Wellness"/>
    <x v="248"/>
  </r>
  <r>
    <s v="Alpha Innovations"/>
    <x v="0"/>
    <s v="Men 25-34"/>
    <s v="30 days"/>
    <x v="3"/>
    <n v="0.11"/>
    <n v="11105"/>
    <n v="5.3"/>
    <n v="49"/>
    <n v="226.63265306122449"/>
    <s v="Houston"/>
    <s v="French"/>
    <n v="444"/>
    <n v="1742"/>
    <n v="6"/>
    <s v="Outdoor Adventurers"/>
    <x v="249"/>
  </r>
  <r>
    <s v="TechCorp"/>
    <x v="3"/>
    <s v="All Ages"/>
    <s v="60 days"/>
    <x v="0"/>
    <n v="0.1"/>
    <n v="13030"/>
    <n v="3.43"/>
    <n v="11"/>
    <n v="1184.5454545454545"/>
    <s v="Houston"/>
    <s v="Spanish"/>
    <n v="112"/>
    <n v="8814"/>
    <n v="7"/>
    <s v="Outdoor Adventurers"/>
    <x v="250"/>
  </r>
  <r>
    <s v="TechCorp"/>
    <x v="0"/>
    <s v="All Ages"/>
    <s v="15 days"/>
    <x v="5"/>
    <n v="0.05"/>
    <n v="8861"/>
    <n v="4.8"/>
    <n v="22"/>
    <n v="402.77272727272725"/>
    <s v="Los Angeles"/>
    <s v="Mandarin"/>
    <n v="431"/>
    <n v="1606"/>
    <n v="8"/>
    <s v="Outdoor Adventurers"/>
    <x v="251"/>
  </r>
  <r>
    <s v="NexGen Systems"/>
    <x v="2"/>
    <s v="Women 35-44"/>
    <s v="15 days"/>
    <x v="3"/>
    <n v="0.1"/>
    <n v="19493"/>
    <n v="3.44"/>
    <n v="92"/>
    <n v="211.88043478260869"/>
    <s v="Miami"/>
    <s v="French"/>
    <n v="923"/>
    <n v="1489"/>
    <n v="6"/>
    <s v="Tech Enthusiasts"/>
    <x v="252"/>
  </r>
  <r>
    <s v="TechCorp"/>
    <x v="0"/>
    <s v="Women 25-34"/>
    <s v="45 days"/>
    <x v="0"/>
    <n v="0.14000000000000001"/>
    <n v="19911"/>
    <n v="3.86"/>
    <n v="114"/>
    <n v="174.65789473684211"/>
    <s v="New York"/>
    <s v="German"/>
    <n v="815"/>
    <n v="9988"/>
    <n v="7"/>
    <s v="Outdoor Adventurers"/>
    <x v="253"/>
  </r>
  <r>
    <s v="Alpha Innovations"/>
    <x v="1"/>
    <s v="Women 35-44"/>
    <s v="60 days"/>
    <x v="3"/>
    <n v="7.0000000000000007E-2"/>
    <n v="14868"/>
    <n v="5.79"/>
    <n v="55"/>
    <n v="270.32727272727271"/>
    <s v="Houston"/>
    <s v="Spanish"/>
    <n v="782"/>
    <n v="7092"/>
    <n v="9"/>
    <s v="Fashionistas"/>
    <x v="254"/>
  </r>
  <r>
    <s v="Alpha Innovations"/>
    <x v="3"/>
    <s v="All Ages"/>
    <s v="60 days"/>
    <x v="2"/>
    <n v="0.05"/>
    <n v="8423"/>
    <n v="5.62"/>
    <n v="8"/>
    <n v="1052.875"/>
    <s v="Los Angeles"/>
    <s v="Mandarin"/>
    <n v="152"/>
    <n v="1769"/>
    <n v="7"/>
    <s v="Foodies"/>
    <x v="255"/>
  </r>
  <r>
    <s v="Alpha Innovations"/>
    <x v="0"/>
    <s v="Women 25-34"/>
    <s v="45 days"/>
    <x v="5"/>
    <n v="7.0000000000000007E-2"/>
    <n v="16770"/>
    <n v="5.17"/>
    <n v="49"/>
    <n v="342.24489795918367"/>
    <s v="Los Angeles"/>
    <s v="French"/>
    <n v="693"/>
    <n v="9239"/>
    <n v="9"/>
    <s v="Fashionistas"/>
    <x v="256"/>
  </r>
  <r>
    <s v="Innovate Industries"/>
    <x v="1"/>
    <s v="Men 25-34"/>
    <s v="45 days"/>
    <x v="0"/>
    <n v="0.13"/>
    <n v="5722"/>
    <n v="2.38"/>
    <n v="56"/>
    <n v="102.17857142857143"/>
    <s v="New York"/>
    <s v="French"/>
    <n v="434"/>
    <n v="8459"/>
    <n v="1"/>
    <s v="Foodies"/>
    <x v="257"/>
  </r>
  <r>
    <s v="Alpha Innovations"/>
    <x v="0"/>
    <s v="Women 35-44"/>
    <s v="60 days"/>
    <x v="2"/>
    <n v="0.13"/>
    <n v="12602"/>
    <n v="6.25"/>
    <n v="59"/>
    <n v="213.59322033898306"/>
    <s v="Los Angeles"/>
    <s v="English"/>
    <n v="450"/>
    <n v="9068"/>
    <n v="8"/>
    <s v="Foodies"/>
    <x v="258"/>
  </r>
  <r>
    <s v="Innovate Industries"/>
    <x v="4"/>
    <s v="Men 25-34"/>
    <s v="15 days"/>
    <x v="2"/>
    <n v="7.0000000000000007E-2"/>
    <n v="14600"/>
    <n v="4.3099999999999996"/>
    <n v="23"/>
    <n v="634.78260869565213"/>
    <s v="Houston"/>
    <s v="Mandarin"/>
    <n v="323"/>
    <n v="2171"/>
    <n v="1"/>
    <s v="Outdoor Adventurers"/>
    <x v="259"/>
  </r>
  <r>
    <s v="Innovate Industries"/>
    <x v="0"/>
    <s v="Women 25-34"/>
    <s v="15 days"/>
    <x v="1"/>
    <n v="0.11"/>
    <n v="10911"/>
    <n v="4.01"/>
    <n v="100"/>
    <n v="109.11"/>
    <s v="Houston"/>
    <s v="English"/>
    <n v="912"/>
    <n v="6358"/>
    <n v="1"/>
    <s v="Outdoor Adventurers"/>
    <x v="260"/>
  </r>
  <r>
    <s v="DataTech Solutions"/>
    <x v="4"/>
    <s v="All Ages"/>
    <s v="45 days"/>
    <x v="4"/>
    <n v="0.05"/>
    <n v="13695"/>
    <n v="4.74"/>
    <n v="16"/>
    <n v="855.9375"/>
    <s v="Houston"/>
    <s v="French"/>
    <n v="325"/>
    <n v="6397"/>
    <n v="9"/>
    <s v="Health &amp; Wellness"/>
    <x v="261"/>
  </r>
  <r>
    <s v="Innovate Industries"/>
    <x v="1"/>
    <s v="Men 18-24"/>
    <s v="45 days"/>
    <x v="1"/>
    <n v="7.0000000000000007E-2"/>
    <n v="12192"/>
    <n v="4.87"/>
    <n v="49"/>
    <n v="248.81632653061226"/>
    <s v="Chicago"/>
    <s v="German"/>
    <n v="696"/>
    <n v="3287"/>
    <n v="1"/>
    <s v="Outdoor Adventurers"/>
    <x v="262"/>
  </r>
  <r>
    <s v="DataTech Solutions"/>
    <x v="3"/>
    <s v="Women 25-34"/>
    <s v="45 days"/>
    <x v="1"/>
    <n v="0.11"/>
    <n v="9205"/>
    <n v="5.87"/>
    <n v="50"/>
    <n v="184.1"/>
    <s v="Chicago"/>
    <s v="French"/>
    <n v="458"/>
    <n v="8373"/>
    <n v="6"/>
    <s v="Fashionistas"/>
    <x v="263"/>
  </r>
  <r>
    <s v="DataTech Solutions"/>
    <x v="0"/>
    <s v="Men 18-24"/>
    <s v="30 days"/>
    <x v="1"/>
    <n v="0.06"/>
    <n v="18311"/>
    <n v="2.06"/>
    <n v="14"/>
    <n v="1307.9285714285713"/>
    <s v="New York"/>
    <s v="English"/>
    <n v="230"/>
    <n v="2093"/>
    <n v="3"/>
    <s v="Foodies"/>
    <x v="264"/>
  </r>
  <r>
    <s v="Innovate Industries"/>
    <x v="1"/>
    <s v="Women 25-34"/>
    <s v="60 days"/>
    <x v="0"/>
    <n v="0.02"/>
    <n v="13909"/>
    <n v="6.94"/>
    <n v="7"/>
    <n v="1987"/>
    <s v="Houston"/>
    <s v="Mandarin"/>
    <n v="359"/>
    <n v="4915"/>
    <n v="2"/>
    <s v="Outdoor Adventurers"/>
    <x v="265"/>
  </r>
  <r>
    <s v="DataTech Solutions"/>
    <x v="3"/>
    <s v="Men 18-24"/>
    <s v="30 days"/>
    <x v="3"/>
    <n v="0.02"/>
    <n v="7644"/>
    <n v="5.62"/>
    <n v="5"/>
    <n v="1528.8"/>
    <s v="Miami"/>
    <s v="Mandarin"/>
    <n v="249"/>
    <n v="2107"/>
    <n v="2"/>
    <s v="Tech Enthusiasts"/>
    <x v="266"/>
  </r>
  <r>
    <s v="DataTech Solutions"/>
    <x v="3"/>
    <s v="Men 25-34"/>
    <s v="30 days"/>
    <x v="1"/>
    <n v="0.1"/>
    <n v="16685"/>
    <n v="5.52"/>
    <n v="13"/>
    <n v="1283.4615384615386"/>
    <s v="Los Angeles"/>
    <s v="Mandarin"/>
    <n v="125"/>
    <n v="9489"/>
    <n v="9"/>
    <s v="Foodies"/>
    <x v="267"/>
  </r>
  <r>
    <s v="NexGen Systems"/>
    <x v="3"/>
    <s v="Women 25-34"/>
    <s v="15 days"/>
    <x v="0"/>
    <n v="0.04"/>
    <n v="9252"/>
    <n v="4.2699999999999996"/>
    <n v="24"/>
    <n v="385.5"/>
    <s v="New York"/>
    <s v="French"/>
    <n v="599"/>
    <n v="9458"/>
    <n v="2"/>
    <s v="Fashionistas"/>
    <x v="268"/>
  </r>
  <r>
    <s v="Alpha Innovations"/>
    <x v="3"/>
    <s v="All Ages"/>
    <s v="30 days"/>
    <x v="1"/>
    <n v="0.03"/>
    <n v="5783"/>
    <n v="7.81"/>
    <n v="13"/>
    <n v="444.84615384615387"/>
    <s v="Miami"/>
    <s v="German"/>
    <n v="439"/>
    <n v="3942"/>
    <n v="8"/>
    <s v="Health &amp; Wellness"/>
    <x v="269"/>
  </r>
  <r>
    <s v="DataTech Solutions"/>
    <x v="0"/>
    <s v="Men 18-24"/>
    <s v="60 days"/>
    <x v="1"/>
    <n v="0.05"/>
    <n v="8132"/>
    <n v="4.74"/>
    <n v="31"/>
    <n v="262.32258064516128"/>
    <s v="Los Angeles"/>
    <s v="French"/>
    <n v="626"/>
    <n v="5686"/>
    <n v="3"/>
    <s v="Fashionistas"/>
    <x v="270"/>
  </r>
  <r>
    <s v="Alpha Innovations"/>
    <x v="0"/>
    <s v="All Ages"/>
    <s v="60 days"/>
    <x v="4"/>
    <n v="0.14000000000000001"/>
    <n v="10239"/>
    <n v="4.5599999999999996"/>
    <n v="77"/>
    <n v="132.97402597402598"/>
    <s v="New York"/>
    <s v="French"/>
    <n v="548"/>
    <n v="4316"/>
    <n v="8"/>
    <s v="Tech Enthusiasts"/>
    <x v="271"/>
  </r>
  <r>
    <s v="Alpha Innovations"/>
    <x v="4"/>
    <s v="Women 25-34"/>
    <s v="60 days"/>
    <x v="3"/>
    <n v="0.14000000000000001"/>
    <n v="17338"/>
    <n v="2.5499999999999998"/>
    <n v="139"/>
    <n v="124.73381294964028"/>
    <s v="Los Angeles"/>
    <s v="German"/>
    <n v="993"/>
    <n v="3826"/>
    <n v="6"/>
    <s v="Outdoor Adventurers"/>
    <x v="272"/>
  </r>
  <r>
    <s v="TechCorp"/>
    <x v="1"/>
    <s v="Women 35-44"/>
    <s v="60 days"/>
    <x v="4"/>
    <n v="0.1"/>
    <n v="16670"/>
    <n v="5.62"/>
    <n v="12"/>
    <n v="1389.1666666666667"/>
    <s v="Miami"/>
    <s v="German"/>
    <n v="124"/>
    <n v="5598"/>
    <n v="9"/>
    <s v="Health &amp; Wellness"/>
    <x v="273"/>
  </r>
  <r>
    <s v="DataTech Solutions"/>
    <x v="4"/>
    <s v="Women 35-44"/>
    <s v="60 days"/>
    <x v="2"/>
    <n v="0.01"/>
    <n v="12827"/>
    <n v="6.98"/>
    <n v="2"/>
    <n v="6413.5"/>
    <s v="Miami"/>
    <s v="Spanish"/>
    <n v="154"/>
    <n v="7991"/>
    <n v="10"/>
    <s v="Tech Enthusiasts"/>
    <x v="274"/>
  </r>
  <r>
    <s v="NexGen Systems"/>
    <x v="2"/>
    <s v="Men 18-24"/>
    <s v="45 days"/>
    <x v="0"/>
    <n v="0.03"/>
    <n v="11356"/>
    <n v="6.06"/>
    <n v="27"/>
    <n v="420.59259259259261"/>
    <s v="Miami"/>
    <s v="Spanish"/>
    <n v="892"/>
    <n v="6321"/>
    <n v="8"/>
    <s v="Health &amp; Wellness"/>
    <x v="275"/>
  </r>
  <r>
    <s v="TechCorp"/>
    <x v="0"/>
    <s v="Women 35-44"/>
    <s v="30 days"/>
    <x v="2"/>
    <n v="0.04"/>
    <n v="16424"/>
    <n v="6.03"/>
    <n v="39"/>
    <n v="421.12820512820514"/>
    <s v="Los Angeles"/>
    <s v="Spanish"/>
    <n v="970"/>
    <n v="2158"/>
    <n v="1"/>
    <s v="Foodies"/>
    <x v="276"/>
  </r>
  <r>
    <s v="DataTech Solutions"/>
    <x v="4"/>
    <s v="Women 35-44"/>
    <s v="45 days"/>
    <x v="3"/>
    <n v="0.06"/>
    <n v="18952"/>
    <n v="4.09"/>
    <n v="27"/>
    <n v="701.92592592592598"/>
    <s v="Houston"/>
    <s v="French"/>
    <n v="450"/>
    <n v="3966"/>
    <n v="1"/>
    <s v="Fashionistas"/>
    <x v="277"/>
  </r>
  <r>
    <s v="TechCorp"/>
    <x v="2"/>
    <s v="All Ages"/>
    <s v="30 days"/>
    <x v="0"/>
    <n v="0.12"/>
    <n v="18019"/>
    <n v="7.45"/>
    <n v="26"/>
    <n v="693.03846153846155"/>
    <s v="Houston"/>
    <s v="Spanish"/>
    <n v="217"/>
    <n v="5326"/>
    <n v="7"/>
    <s v="Foodies"/>
    <x v="278"/>
  </r>
  <r>
    <s v="NexGen Systems"/>
    <x v="0"/>
    <s v="Men 25-34"/>
    <s v="30 days"/>
    <x v="4"/>
    <n v="0.03"/>
    <n v="12486"/>
    <n v="2.48"/>
    <n v="17"/>
    <n v="734.47058823529414"/>
    <s v="Los Angeles"/>
    <s v="French"/>
    <n v="580"/>
    <n v="7902"/>
    <n v="3"/>
    <s v="Outdoor Adventurers"/>
    <x v="279"/>
  </r>
  <r>
    <s v="DataTech Solutions"/>
    <x v="4"/>
    <s v="Women 25-34"/>
    <s v="30 days"/>
    <x v="1"/>
    <n v="0.05"/>
    <n v="19006"/>
    <n v="5.68"/>
    <n v="24"/>
    <n v="791.91666666666663"/>
    <s v="Los Angeles"/>
    <s v="Spanish"/>
    <n v="483"/>
    <n v="4111"/>
    <n v="5"/>
    <s v="Foodies"/>
    <x v="280"/>
  </r>
  <r>
    <s v="Innovate Industries"/>
    <x v="3"/>
    <s v="Men 18-24"/>
    <s v="30 days"/>
    <x v="4"/>
    <n v="0.06"/>
    <n v="7937"/>
    <n v="5.05"/>
    <n v="33"/>
    <n v="240.5151515151515"/>
    <s v="Miami"/>
    <s v="English"/>
    <n v="551"/>
    <n v="7904"/>
    <n v="1"/>
    <s v="Health &amp; Wellness"/>
    <x v="281"/>
  </r>
  <r>
    <s v="Innovate Industries"/>
    <x v="1"/>
    <s v="Men 18-24"/>
    <s v="45 days"/>
    <x v="5"/>
    <n v="0.1"/>
    <n v="16454"/>
    <n v="4.4400000000000004"/>
    <n v="81"/>
    <n v="203.1358024691358"/>
    <s v="Miami"/>
    <s v="English"/>
    <n v="805"/>
    <n v="6895"/>
    <n v="1"/>
    <s v="Outdoor Adventurers"/>
    <x v="282"/>
  </r>
  <r>
    <s v="Alpha Innovations"/>
    <x v="4"/>
    <s v="Women 35-44"/>
    <s v="45 days"/>
    <x v="5"/>
    <n v="0.09"/>
    <n v="10597"/>
    <n v="2.04"/>
    <n v="18"/>
    <n v="588.72222222222217"/>
    <s v="Houston"/>
    <s v="German"/>
    <n v="203"/>
    <n v="3827"/>
    <n v="4"/>
    <s v="Foodies"/>
    <x v="283"/>
  </r>
  <r>
    <s v="TechCorp"/>
    <x v="2"/>
    <s v="All Ages"/>
    <s v="45 days"/>
    <x v="5"/>
    <n v="0.05"/>
    <n v="11501"/>
    <n v="4.58"/>
    <n v="12"/>
    <n v="958.41666666666663"/>
    <s v="New York"/>
    <s v="Spanish"/>
    <n v="232"/>
    <n v="9144"/>
    <n v="9"/>
    <s v="Health &amp; Wellness"/>
    <x v="284"/>
  </r>
  <r>
    <s v="Alpha Innovations"/>
    <x v="0"/>
    <s v="Women 35-44"/>
    <s v="60 days"/>
    <x v="1"/>
    <n v="0.02"/>
    <n v="10105"/>
    <n v="5.89"/>
    <n v="12"/>
    <n v="842.08333333333337"/>
    <s v="Los Angeles"/>
    <s v="English"/>
    <n v="588"/>
    <n v="6909"/>
    <n v="3"/>
    <s v="Fashionistas"/>
    <x v="285"/>
  </r>
  <r>
    <s v="Alpha Innovations"/>
    <x v="1"/>
    <s v="Men 25-34"/>
    <s v="30 days"/>
    <x v="2"/>
    <n v="0.12"/>
    <n v="8812"/>
    <n v="7.47"/>
    <n v="108"/>
    <n v="81.592592592592595"/>
    <s v="New York"/>
    <s v="English"/>
    <n v="898"/>
    <n v="4084"/>
    <n v="8"/>
    <s v="Health &amp; Wellness"/>
    <x v="286"/>
  </r>
  <r>
    <s v="DataTech Solutions"/>
    <x v="0"/>
    <s v="Men 25-34"/>
    <s v="15 days"/>
    <x v="4"/>
    <n v="7.0000000000000007E-2"/>
    <n v="15329"/>
    <n v="3.08"/>
    <n v="60"/>
    <n v="255.48333333333332"/>
    <s v="Miami"/>
    <s v="French"/>
    <n v="862"/>
    <n v="3820"/>
    <n v="10"/>
    <s v="Health &amp; Wellness"/>
    <x v="287"/>
  </r>
  <r>
    <s v="Alpha Innovations"/>
    <x v="1"/>
    <s v="Women 35-44"/>
    <s v="60 days"/>
    <x v="4"/>
    <n v="0.13"/>
    <n v="5651"/>
    <n v="7.22"/>
    <n v="43"/>
    <n v="131.41860465116278"/>
    <s v="New York"/>
    <s v="English"/>
    <n v="333"/>
    <n v="6210"/>
    <n v="7"/>
    <s v="Outdoor Adventurers"/>
    <x v="288"/>
  </r>
  <r>
    <s v="NexGen Systems"/>
    <x v="0"/>
    <s v="Men 25-34"/>
    <s v="30 days"/>
    <x v="5"/>
    <n v="0.02"/>
    <n v="10300"/>
    <n v="7.65"/>
    <n v="6"/>
    <n v="1716.6666666666667"/>
    <s v="Houston"/>
    <s v="Mandarin"/>
    <n v="306"/>
    <n v="8805"/>
    <n v="9"/>
    <s v="Tech Enthusiasts"/>
    <x v="289"/>
  </r>
  <r>
    <s v="TechCorp"/>
    <x v="0"/>
    <s v="Women 25-34"/>
    <s v="15 days"/>
    <x v="5"/>
    <n v="0.06"/>
    <n v="16955"/>
    <n v="2.61"/>
    <n v="25"/>
    <n v="678.2"/>
    <s v="Los Angeles"/>
    <s v="Mandarin"/>
    <n v="409"/>
    <n v="7953"/>
    <n v="5"/>
    <s v="Foodies"/>
    <x v="290"/>
  </r>
  <r>
    <s v="TechCorp"/>
    <x v="4"/>
    <s v="All Ages"/>
    <s v="60 days"/>
    <x v="0"/>
    <n v="7.0000000000000007E-2"/>
    <n v="11205"/>
    <n v="3.51"/>
    <n v="58"/>
    <n v="193.18965517241378"/>
    <s v="Chicago"/>
    <s v="German"/>
    <n v="830"/>
    <n v="5263"/>
    <n v="1"/>
    <s v="Fashionistas"/>
    <x v="291"/>
  </r>
  <r>
    <s v="TechCorp"/>
    <x v="1"/>
    <s v="All Ages"/>
    <s v="15 days"/>
    <x v="3"/>
    <n v="7.0000000000000007E-2"/>
    <n v="10354"/>
    <n v="7.39"/>
    <n v="61"/>
    <n v="169.73770491803279"/>
    <s v="Los Angeles"/>
    <s v="English"/>
    <n v="876"/>
    <n v="4551"/>
    <n v="4"/>
    <s v="Health &amp; Wellness"/>
    <x v="292"/>
  </r>
  <r>
    <s v="NexGen Systems"/>
    <x v="4"/>
    <s v="All Ages"/>
    <s v="45 days"/>
    <x v="4"/>
    <n v="0.09"/>
    <n v="12302"/>
    <n v="2.57"/>
    <n v="61"/>
    <n v="201.67213114754099"/>
    <s v="Los Angeles"/>
    <s v="French"/>
    <n v="678"/>
    <n v="3605"/>
    <n v="9"/>
    <s v="Outdoor Adventurers"/>
    <x v="293"/>
  </r>
  <r>
    <s v="TechCorp"/>
    <x v="2"/>
    <s v="Men 18-24"/>
    <s v="60 days"/>
    <x v="0"/>
    <n v="0.09"/>
    <n v="18622"/>
    <n v="3.03"/>
    <n v="78"/>
    <n v="238.74358974358975"/>
    <s v="Miami"/>
    <s v="Mandarin"/>
    <n v="871"/>
    <n v="2970"/>
    <n v="3"/>
    <s v="Fashionistas"/>
    <x v="294"/>
  </r>
  <r>
    <s v="Innovate Industries"/>
    <x v="3"/>
    <s v="Men 25-34"/>
    <s v="15 days"/>
    <x v="2"/>
    <n v="0.12"/>
    <n v="15821"/>
    <n v="4.2300000000000004"/>
    <n v="116"/>
    <n v="136.38793103448276"/>
    <s v="Chicago"/>
    <s v="English"/>
    <n v="965"/>
    <n v="1879"/>
    <n v="10"/>
    <s v="Health &amp; Wellness"/>
    <x v="295"/>
  </r>
  <r>
    <s v="DataTech Solutions"/>
    <x v="2"/>
    <s v="Women 35-44"/>
    <s v="60 days"/>
    <x v="5"/>
    <n v="7.0000000000000007E-2"/>
    <n v="9101"/>
    <n v="6.47"/>
    <n v="70"/>
    <n v="130.01428571428571"/>
    <s v="New York"/>
    <s v="Spanish"/>
    <n v="1000"/>
    <n v="1421"/>
    <n v="2"/>
    <s v="Foodies"/>
    <x v="296"/>
  </r>
  <r>
    <s v="Alpha Innovations"/>
    <x v="2"/>
    <s v="Women 35-44"/>
    <s v="60 days"/>
    <x v="3"/>
    <n v="0.08"/>
    <n v="9928"/>
    <n v="5.84"/>
    <n v="35"/>
    <n v="283.65714285714284"/>
    <s v="Chicago"/>
    <s v="Spanish"/>
    <n v="437"/>
    <n v="6618"/>
    <n v="1"/>
    <s v="Foodies"/>
    <x v="297"/>
  </r>
  <r>
    <s v="Alpha Innovations"/>
    <x v="4"/>
    <s v="Women 35-44"/>
    <s v="15 days"/>
    <x v="2"/>
    <n v="0.13"/>
    <n v="10750"/>
    <n v="7.65"/>
    <n v="34"/>
    <n v="316.1764705882353"/>
    <s v="Chicago"/>
    <s v="Mandarin"/>
    <n v="265"/>
    <n v="4727"/>
    <n v="9"/>
    <s v="Outdoor Adventurers"/>
    <x v="298"/>
  </r>
  <r>
    <s v="Innovate Industries"/>
    <x v="1"/>
    <s v="Women 25-34"/>
    <s v="60 days"/>
    <x v="1"/>
    <n v="0.14000000000000001"/>
    <n v="12695"/>
    <n v="3.5"/>
    <n v="79"/>
    <n v="160.69620253164558"/>
    <s v="Chicago"/>
    <s v="German"/>
    <n v="562"/>
    <n v="9633"/>
    <n v="3"/>
    <s v="Health &amp; Wellness"/>
    <x v="299"/>
  </r>
  <r>
    <s v="Innovate Industries"/>
    <x v="3"/>
    <s v="Women 35-44"/>
    <s v="30 days"/>
    <x v="2"/>
    <n v="0.14000000000000001"/>
    <n v="10867"/>
    <n v="7.31"/>
    <n v="120"/>
    <n v="90.558333333333337"/>
    <s v="Chicago"/>
    <s v="French"/>
    <n v="854"/>
    <n v="8088"/>
    <n v="4"/>
    <s v="Health &amp; Wellness"/>
    <x v="300"/>
  </r>
  <r>
    <s v="Alpha Innovations"/>
    <x v="3"/>
    <s v="Women 25-34"/>
    <s v="45 days"/>
    <x v="0"/>
    <n v="0.05"/>
    <n v="6160"/>
    <n v="7.62"/>
    <n v="38"/>
    <n v="162.10526315789474"/>
    <s v="Chicago"/>
    <s v="Mandarin"/>
    <n v="759"/>
    <n v="1656"/>
    <n v="4"/>
    <s v="Health &amp; Wellness"/>
    <x v="301"/>
  </r>
  <r>
    <s v="NexGen Systems"/>
    <x v="1"/>
    <s v="All Ages"/>
    <s v="30 days"/>
    <x v="5"/>
    <n v="0.08"/>
    <n v="12071"/>
    <n v="4.51"/>
    <n v="9"/>
    <n v="1341.2222222222222"/>
    <s v="Miami"/>
    <s v="Mandarin"/>
    <n v="117"/>
    <n v="7702"/>
    <n v="10"/>
    <s v="Foodies"/>
    <x v="302"/>
  </r>
  <r>
    <s v="TechCorp"/>
    <x v="1"/>
    <s v="Women 35-44"/>
    <s v="15 days"/>
    <x v="4"/>
    <n v="0.04"/>
    <n v="7360"/>
    <n v="5.21"/>
    <n v="9"/>
    <n v="817.77777777777783"/>
    <s v="New York"/>
    <s v="Spanish"/>
    <n v="218"/>
    <n v="8049"/>
    <n v="9"/>
    <s v="Fashionistas"/>
    <x v="303"/>
  </r>
  <r>
    <s v="DataTech Solutions"/>
    <x v="0"/>
    <s v="Women 25-34"/>
    <s v="45 days"/>
    <x v="0"/>
    <n v="7.0000000000000007E-2"/>
    <n v="17509"/>
    <n v="5.29"/>
    <n v="26"/>
    <n v="673.42307692307691"/>
    <s v="Los Angeles"/>
    <s v="English"/>
    <n v="372"/>
    <n v="6292"/>
    <n v="6"/>
    <s v="Outdoor Adventurers"/>
    <x v="304"/>
  </r>
  <r>
    <s v="DataTech Solutions"/>
    <x v="3"/>
    <s v="All Ages"/>
    <s v="15 days"/>
    <x v="5"/>
    <n v="7.0000000000000007E-2"/>
    <n v="18502"/>
    <n v="4.8899999999999997"/>
    <n v="15"/>
    <n v="1233.4666666666667"/>
    <s v="New York"/>
    <s v="Spanish"/>
    <n v="221"/>
    <n v="4428"/>
    <n v="6"/>
    <s v="Foodies"/>
    <x v="305"/>
  </r>
  <r>
    <s v="TechCorp"/>
    <x v="3"/>
    <s v="Men 18-24"/>
    <s v="15 days"/>
    <x v="2"/>
    <n v="0.06"/>
    <n v="5500"/>
    <n v="7.05"/>
    <n v="21"/>
    <n v="261.90476190476193"/>
    <s v="New York"/>
    <s v="German"/>
    <n v="344"/>
    <n v="3215"/>
    <n v="8"/>
    <s v="Health &amp; Wellness"/>
    <x v="306"/>
  </r>
  <r>
    <s v="DataTech Solutions"/>
    <x v="1"/>
    <s v="Women 25-34"/>
    <s v="30 days"/>
    <x v="2"/>
    <n v="0.08"/>
    <n v="13992"/>
    <n v="6.98"/>
    <n v="35"/>
    <n v="399.77142857142854"/>
    <s v="Miami"/>
    <s v="Spanish"/>
    <n v="441"/>
    <n v="7135"/>
    <n v="7"/>
    <s v="Health &amp; Wellness"/>
    <x v="307"/>
  </r>
  <r>
    <s v="Innovate Industries"/>
    <x v="4"/>
    <s v="All Ages"/>
    <s v="30 days"/>
    <x v="0"/>
    <n v="0.11"/>
    <n v="10979"/>
    <n v="5.92"/>
    <n v="27"/>
    <n v="406.62962962962962"/>
    <s v="Houston"/>
    <s v="German"/>
    <n v="245"/>
    <n v="2792"/>
    <n v="7"/>
    <s v="Fashionistas"/>
    <x v="308"/>
  </r>
  <r>
    <s v="DataTech Solutions"/>
    <x v="0"/>
    <s v="Women 25-34"/>
    <s v="45 days"/>
    <x v="5"/>
    <n v="0.14000000000000001"/>
    <n v="8666"/>
    <n v="2.2599999999999998"/>
    <n v="103"/>
    <n v="84.135922330097088"/>
    <s v="New York"/>
    <s v="English"/>
    <n v="734"/>
    <n v="3123"/>
    <n v="7"/>
    <s v="Health &amp; Wellness"/>
    <x v="309"/>
  </r>
  <r>
    <s v="Innovate Industries"/>
    <x v="2"/>
    <s v="Men 25-34"/>
    <s v="15 days"/>
    <x v="3"/>
    <n v="0.05"/>
    <n v="18322"/>
    <n v="2.21"/>
    <n v="5"/>
    <n v="3664.4"/>
    <s v="Miami"/>
    <s v="Spanish"/>
    <n v="104"/>
    <n v="9850"/>
    <n v="6"/>
    <s v="Health &amp; Wellness"/>
    <x v="310"/>
  </r>
  <r>
    <s v="DataTech Solutions"/>
    <x v="0"/>
    <s v="Men 25-34"/>
    <s v="45 days"/>
    <x v="4"/>
    <n v="0.06"/>
    <n v="11736"/>
    <n v="2.81"/>
    <n v="36"/>
    <n v="326"/>
    <s v="New York"/>
    <s v="Mandarin"/>
    <n v="595"/>
    <n v="1374"/>
    <n v="4"/>
    <s v="Health &amp; Wellness"/>
    <x v="311"/>
  </r>
  <r>
    <s v="DataTech Solutions"/>
    <x v="0"/>
    <s v="Men 25-34"/>
    <s v="45 days"/>
    <x v="5"/>
    <n v="0.01"/>
    <n v="6484"/>
    <n v="5.63"/>
    <n v="7"/>
    <n v="926.28571428571433"/>
    <s v="New York"/>
    <s v="English"/>
    <n v="654"/>
    <n v="7564"/>
    <n v="8"/>
    <s v="Fashionistas"/>
    <x v="312"/>
  </r>
  <r>
    <s v="DataTech Solutions"/>
    <x v="4"/>
    <s v="Women 35-44"/>
    <s v="30 days"/>
    <x v="3"/>
    <n v="0.09"/>
    <n v="7293"/>
    <n v="4.1500000000000004"/>
    <n v="37"/>
    <n v="197.1081081081081"/>
    <s v="Chicago"/>
    <s v="Spanish"/>
    <n v="414"/>
    <n v="1420"/>
    <n v="5"/>
    <s v="Tech Enthusiasts"/>
    <x v="313"/>
  </r>
  <r>
    <s v="NexGen Systems"/>
    <x v="3"/>
    <s v="All Ages"/>
    <s v="15 days"/>
    <x v="1"/>
    <n v="0.02"/>
    <n v="18069"/>
    <n v="6.58"/>
    <n v="16"/>
    <n v="1129.3125"/>
    <s v="Miami"/>
    <s v="French"/>
    <n v="809"/>
    <n v="1640"/>
    <n v="2"/>
    <s v="Foodies"/>
    <x v="314"/>
  </r>
  <r>
    <s v="DataTech Solutions"/>
    <x v="0"/>
    <s v="Women 25-34"/>
    <s v="30 days"/>
    <x v="1"/>
    <n v="0.1"/>
    <n v="18841"/>
    <n v="7.31"/>
    <n v="22"/>
    <n v="856.40909090909088"/>
    <s v="Miami"/>
    <s v="Mandarin"/>
    <n v="215"/>
    <n v="8071"/>
    <n v="9"/>
    <s v="Outdoor Adventurers"/>
    <x v="315"/>
  </r>
  <r>
    <s v="NexGen Systems"/>
    <x v="3"/>
    <s v="Men 25-34"/>
    <s v="15 days"/>
    <x v="5"/>
    <n v="0.06"/>
    <n v="5101"/>
    <n v="7.12"/>
    <n v="49"/>
    <n v="104.10204081632654"/>
    <s v="Houston"/>
    <s v="Spanish"/>
    <n v="820"/>
    <n v="6595"/>
    <n v="10"/>
    <s v="Outdoor Adventurers"/>
    <x v="316"/>
  </r>
  <r>
    <s v="NexGen Systems"/>
    <x v="3"/>
    <s v="Women 35-44"/>
    <s v="30 days"/>
    <x v="2"/>
    <n v="0.08"/>
    <n v="17578"/>
    <n v="7.02"/>
    <n v="43"/>
    <n v="408.7906976744186"/>
    <s v="New York"/>
    <s v="English"/>
    <n v="542"/>
    <n v="8194"/>
    <n v="4"/>
    <s v="Foodies"/>
    <x v="317"/>
  </r>
  <r>
    <s v="NexGen Systems"/>
    <x v="4"/>
    <s v="Men 25-34"/>
    <s v="30 days"/>
    <x v="4"/>
    <n v="0.08"/>
    <n v="10580"/>
    <n v="3.31"/>
    <n v="63"/>
    <n v="167.93650793650792"/>
    <s v="Los Angeles"/>
    <s v="Mandarin"/>
    <n v="791"/>
    <n v="3012"/>
    <n v="6"/>
    <s v="Fashionistas"/>
    <x v="318"/>
  </r>
  <r>
    <s v="Innovate Industries"/>
    <x v="2"/>
    <s v="Women 35-44"/>
    <s v="15 days"/>
    <x v="2"/>
    <n v="0.1"/>
    <n v="16005"/>
    <n v="5.33"/>
    <n v="93"/>
    <n v="172.09677419354838"/>
    <s v="Los Angeles"/>
    <s v="German"/>
    <n v="929"/>
    <n v="5361"/>
    <n v="10"/>
    <s v="Health &amp; Wellness"/>
    <x v="319"/>
  </r>
  <r>
    <s v="Alpha Innovations"/>
    <x v="1"/>
    <s v="All Ages"/>
    <s v="45 days"/>
    <x v="5"/>
    <n v="0.02"/>
    <n v="9701"/>
    <n v="4.87"/>
    <n v="18"/>
    <n v="538.94444444444446"/>
    <s v="Chicago"/>
    <s v="French"/>
    <n v="924"/>
    <n v="6041"/>
    <n v="3"/>
    <s v="Tech Enthusiasts"/>
    <x v="320"/>
  </r>
  <r>
    <s v="DataTech Solutions"/>
    <x v="1"/>
    <s v="All Ages"/>
    <s v="15 days"/>
    <x v="4"/>
    <n v="0.1"/>
    <n v="13744"/>
    <n v="2.33"/>
    <n v="55"/>
    <n v="249.8909090909091"/>
    <s v="Houston"/>
    <s v="Spanish"/>
    <n v="554"/>
    <n v="6560"/>
    <n v="3"/>
    <s v="Tech Enthusiasts"/>
    <x v="321"/>
  </r>
  <r>
    <s v="Innovate Industries"/>
    <x v="4"/>
    <s v="Men 25-34"/>
    <s v="60 days"/>
    <x v="5"/>
    <n v="0.02"/>
    <n v="12218"/>
    <n v="4.62"/>
    <n v="15"/>
    <n v="814.5333333333333"/>
    <s v="Chicago"/>
    <s v="Spanish"/>
    <n v="773"/>
    <n v="2668"/>
    <n v="7"/>
    <s v="Fashionistas"/>
    <x v="322"/>
  </r>
  <r>
    <s v="TechCorp"/>
    <x v="0"/>
    <s v="Women 25-34"/>
    <s v="45 days"/>
    <x v="2"/>
    <n v="0.06"/>
    <n v="10206"/>
    <n v="3.85"/>
    <n v="60"/>
    <n v="170.1"/>
    <s v="New York"/>
    <s v="Mandarin"/>
    <n v="992"/>
    <n v="4474"/>
    <n v="3"/>
    <s v="Health &amp; Wellness"/>
    <x v="323"/>
  </r>
  <r>
    <s v="DataTech Solutions"/>
    <x v="4"/>
    <s v="Women 35-44"/>
    <s v="15 days"/>
    <x v="5"/>
    <n v="0.15"/>
    <n v="13282"/>
    <n v="7.28"/>
    <n v="94"/>
    <n v="141.29787234042553"/>
    <s v="Chicago"/>
    <s v="French"/>
    <n v="629"/>
    <n v="4179"/>
    <n v="2"/>
    <s v="Fashionistas"/>
    <x v="324"/>
  </r>
  <r>
    <s v="NexGen Systems"/>
    <x v="0"/>
    <s v="All Ages"/>
    <s v="15 days"/>
    <x v="0"/>
    <n v="0.03"/>
    <n v="14077"/>
    <n v="5.91"/>
    <n v="16"/>
    <n v="879.8125"/>
    <s v="Los Angeles"/>
    <s v="Spanish"/>
    <n v="549"/>
    <n v="8153"/>
    <n v="4"/>
    <s v="Fashionistas"/>
    <x v="325"/>
  </r>
  <r>
    <s v="Innovate Industries"/>
    <x v="1"/>
    <s v="All Ages"/>
    <s v="45 days"/>
    <x v="3"/>
    <n v="0.12"/>
    <n v="18171"/>
    <n v="5.64"/>
    <n v="80"/>
    <n v="227.13749999999999"/>
    <s v="New York"/>
    <s v="German"/>
    <n v="667"/>
    <n v="3408"/>
    <n v="8"/>
    <s v="Outdoor Adventurers"/>
    <x v="326"/>
  </r>
  <r>
    <s v="NexGen Systems"/>
    <x v="4"/>
    <s v="Women 35-44"/>
    <s v="60 days"/>
    <x v="5"/>
    <n v="0.05"/>
    <n v="17193"/>
    <n v="3.39"/>
    <n v="17"/>
    <n v="1011.3529411764706"/>
    <s v="New York"/>
    <s v="Mandarin"/>
    <n v="332"/>
    <n v="6630"/>
    <n v="1"/>
    <s v="Outdoor Adventurers"/>
    <x v="327"/>
  </r>
  <r>
    <s v="DataTech Solutions"/>
    <x v="4"/>
    <s v="Women 25-34"/>
    <s v="15 days"/>
    <x v="0"/>
    <n v="0.01"/>
    <n v="12656"/>
    <n v="3.59"/>
    <n v="1"/>
    <n v="12656"/>
    <s v="Miami"/>
    <s v="Mandarin"/>
    <n v="134"/>
    <n v="1800"/>
    <n v="6"/>
    <s v="Fashionistas"/>
    <x v="328"/>
  </r>
  <r>
    <s v="DataTech Solutions"/>
    <x v="3"/>
    <s v="All Ages"/>
    <s v="45 days"/>
    <x v="0"/>
    <n v="0.01"/>
    <n v="5460"/>
    <n v="3.72"/>
    <n v="2"/>
    <n v="2730"/>
    <s v="Miami"/>
    <s v="French"/>
    <n v="200"/>
    <n v="4688"/>
    <n v="10"/>
    <s v="Fashionistas"/>
    <x v="329"/>
  </r>
  <r>
    <s v="Alpha Innovations"/>
    <x v="1"/>
    <s v="All Ages"/>
    <s v="45 days"/>
    <x v="3"/>
    <n v="0.06"/>
    <n v="13343"/>
    <n v="2.14"/>
    <n v="18"/>
    <n v="741.27777777777783"/>
    <s v="Chicago"/>
    <s v="English"/>
    <n v="294"/>
    <n v="1875"/>
    <n v="9"/>
    <s v="Foodies"/>
    <x v="330"/>
  </r>
  <r>
    <s v="TechCorp"/>
    <x v="4"/>
    <s v="Women 25-34"/>
    <s v="45 days"/>
    <x v="5"/>
    <n v="0.13"/>
    <n v="6509"/>
    <n v="2.57"/>
    <n v="80"/>
    <n v="81.362499999999997"/>
    <s v="Chicago"/>
    <s v="English"/>
    <n v="619"/>
    <n v="4583"/>
    <n v="4"/>
    <s v="Fashionistas"/>
    <x v="331"/>
  </r>
  <r>
    <s v="DataTech Solutions"/>
    <x v="2"/>
    <s v="Men 25-34"/>
    <s v="15 days"/>
    <x v="5"/>
    <n v="0.08"/>
    <n v="9445"/>
    <n v="5.67"/>
    <n v="28"/>
    <n v="337.32142857142856"/>
    <s v="Houston"/>
    <s v="French"/>
    <n v="350"/>
    <n v="8869"/>
    <n v="1"/>
    <s v="Foodies"/>
    <x v="332"/>
  </r>
  <r>
    <s v="DataTech Solutions"/>
    <x v="4"/>
    <s v="Men 25-34"/>
    <s v="30 days"/>
    <x v="4"/>
    <n v="0.06"/>
    <n v="13395"/>
    <n v="2.12"/>
    <n v="45"/>
    <n v="297.66666666666669"/>
    <s v="New York"/>
    <s v="German"/>
    <n v="745"/>
    <n v="7483"/>
    <n v="7"/>
    <s v="Foodies"/>
    <x v="333"/>
  </r>
  <r>
    <s v="Innovate Industries"/>
    <x v="1"/>
    <s v="All Ages"/>
    <s v="15 days"/>
    <x v="4"/>
    <n v="0.15"/>
    <n v="6290"/>
    <n v="6.16"/>
    <n v="42"/>
    <n v="149.76190476190476"/>
    <s v="New York"/>
    <s v="French"/>
    <n v="283"/>
    <n v="2626"/>
    <n v="2"/>
    <s v="Fashionistas"/>
    <x v="334"/>
  </r>
  <r>
    <s v="Innovate Industries"/>
    <x v="3"/>
    <s v="Men 18-24"/>
    <s v="15 days"/>
    <x v="4"/>
    <n v="0.11"/>
    <n v="16369"/>
    <n v="3.05"/>
    <n v="97"/>
    <n v="168.75257731958763"/>
    <s v="Los Angeles"/>
    <s v="German"/>
    <n v="886"/>
    <n v="7465"/>
    <n v="6"/>
    <s v="Fashionistas"/>
    <x v="335"/>
  </r>
  <r>
    <s v="DataTech Solutions"/>
    <x v="4"/>
    <s v="Men 25-34"/>
    <s v="15 days"/>
    <x v="2"/>
    <n v="0.01"/>
    <n v="15994"/>
    <n v="2.02"/>
    <n v="6"/>
    <n v="2665.6666666666665"/>
    <s v="Miami"/>
    <s v="German"/>
    <n v="604"/>
    <n v="9195"/>
    <n v="5"/>
    <s v="Tech Enthusiasts"/>
    <x v="336"/>
  </r>
  <r>
    <s v="TechCorp"/>
    <x v="1"/>
    <s v="Men 18-24"/>
    <s v="45 days"/>
    <x v="1"/>
    <n v="0.05"/>
    <n v="11035"/>
    <n v="4.29"/>
    <n v="5"/>
    <n v="2207"/>
    <s v="Houston"/>
    <s v="Mandarin"/>
    <n v="101"/>
    <n v="2329"/>
    <n v="3"/>
    <s v="Foodies"/>
    <x v="337"/>
  </r>
  <r>
    <s v="DataTech Solutions"/>
    <x v="2"/>
    <s v="All Ages"/>
    <s v="15 days"/>
    <x v="2"/>
    <n v="0.14000000000000001"/>
    <n v="8693"/>
    <n v="2.76"/>
    <n v="14"/>
    <n v="620.92857142857144"/>
    <s v="Chicago"/>
    <s v="English"/>
    <n v="100"/>
    <n v="9533"/>
    <n v="2"/>
    <s v="Health &amp; Wellness"/>
    <x v="338"/>
  </r>
  <r>
    <s v="Alpha Innovations"/>
    <x v="0"/>
    <s v="All Ages"/>
    <s v="45 days"/>
    <x v="1"/>
    <n v="0.03"/>
    <n v="19030"/>
    <n v="3.01"/>
    <n v="22"/>
    <n v="865"/>
    <s v="Los Angeles"/>
    <s v="German"/>
    <n v="735"/>
    <n v="5442"/>
    <n v="6"/>
    <s v="Health &amp; Wellness"/>
    <x v="339"/>
  </r>
  <r>
    <s v="Innovate Industries"/>
    <x v="4"/>
    <s v="Men 25-34"/>
    <s v="45 days"/>
    <x v="1"/>
    <n v="0.08"/>
    <n v="18334"/>
    <n v="5.49"/>
    <n v="72"/>
    <n v="254.63888888888889"/>
    <s v="Houston"/>
    <s v="German"/>
    <n v="902"/>
    <n v="6104"/>
    <n v="10"/>
    <s v="Foodies"/>
    <x v="340"/>
  </r>
  <r>
    <s v="TechCorp"/>
    <x v="3"/>
    <s v="Women 25-34"/>
    <s v="60 days"/>
    <x v="5"/>
    <n v="0.02"/>
    <n v="14268"/>
    <n v="5.35"/>
    <n v="10"/>
    <n v="1426.8"/>
    <s v="Los Angeles"/>
    <s v="Spanish"/>
    <n v="487"/>
    <n v="2444"/>
    <n v="5"/>
    <s v="Tech Enthusiasts"/>
    <x v="341"/>
  </r>
  <r>
    <s v="TechCorp"/>
    <x v="0"/>
    <s v="All Ages"/>
    <s v="60 days"/>
    <x v="2"/>
    <n v="0.05"/>
    <n v="11808"/>
    <n v="6.39"/>
    <n v="41"/>
    <n v="288"/>
    <s v="Houston"/>
    <s v="English"/>
    <n v="822"/>
    <n v="4994"/>
    <n v="8"/>
    <s v="Outdoor Adventurers"/>
    <x v="342"/>
  </r>
  <r>
    <s v="TechCorp"/>
    <x v="1"/>
    <s v="Women 25-34"/>
    <s v="30 days"/>
    <x v="5"/>
    <n v="0.1"/>
    <n v="7480"/>
    <n v="6.12"/>
    <n v="14"/>
    <n v="534.28571428571433"/>
    <s v="Chicago"/>
    <s v="Mandarin"/>
    <n v="141"/>
    <n v="3388"/>
    <n v="9"/>
    <s v="Health &amp; Wellness"/>
    <x v="343"/>
  </r>
  <r>
    <s v="Innovate Industries"/>
    <x v="4"/>
    <s v="Women 25-34"/>
    <s v="60 days"/>
    <x v="3"/>
    <n v="0.09"/>
    <n v="17463"/>
    <n v="3.61"/>
    <n v="32"/>
    <n v="545.71875"/>
    <s v="Miami"/>
    <s v="Spanish"/>
    <n v="354"/>
    <n v="2023"/>
    <n v="8"/>
    <s v="Health &amp; Wellness"/>
    <x v="344"/>
  </r>
  <r>
    <s v="Innovate Industries"/>
    <x v="0"/>
    <s v="Men 18-24"/>
    <s v="60 days"/>
    <x v="5"/>
    <n v="0.06"/>
    <n v="5553"/>
    <n v="4.74"/>
    <n v="48"/>
    <n v="115.6875"/>
    <s v="New York"/>
    <s v="Spanish"/>
    <n v="806"/>
    <n v="4292"/>
    <n v="7"/>
    <s v="Health &amp; Wellness"/>
    <x v="345"/>
  </r>
  <r>
    <s v="DataTech Solutions"/>
    <x v="1"/>
    <s v="Women 25-34"/>
    <s v="60 days"/>
    <x v="3"/>
    <n v="0.08"/>
    <n v="7447"/>
    <n v="7.76"/>
    <n v="22"/>
    <n v="338.5"/>
    <s v="Los Angeles"/>
    <s v="English"/>
    <n v="277"/>
    <n v="6869"/>
    <n v="7"/>
    <s v="Health &amp; Wellness"/>
    <x v="346"/>
  </r>
  <r>
    <s v="NexGen Systems"/>
    <x v="2"/>
    <s v="Women 35-44"/>
    <s v="60 days"/>
    <x v="0"/>
    <n v="0.03"/>
    <n v="5209"/>
    <n v="6.27"/>
    <n v="21"/>
    <n v="248.04761904761904"/>
    <s v="Chicago"/>
    <s v="Spanish"/>
    <n v="696"/>
    <n v="4457"/>
    <n v="6"/>
    <s v="Tech Enthusiasts"/>
    <x v="347"/>
  </r>
  <r>
    <s v="DataTech Solutions"/>
    <x v="0"/>
    <s v="All Ages"/>
    <s v="15 days"/>
    <x v="2"/>
    <n v="0.11"/>
    <n v="12538"/>
    <n v="3.61"/>
    <n v="51"/>
    <n v="245.84313725490196"/>
    <s v="Chicago"/>
    <s v="Spanish"/>
    <n v="467"/>
    <n v="6144"/>
    <n v="7"/>
    <s v="Fashionistas"/>
    <x v="348"/>
  </r>
  <r>
    <s v="NexGen Systems"/>
    <x v="1"/>
    <s v="Men 18-24"/>
    <s v="30 days"/>
    <x v="4"/>
    <n v="0.03"/>
    <n v="16050"/>
    <n v="2.71"/>
    <n v="10"/>
    <n v="1605"/>
    <s v="Los Angeles"/>
    <s v="French"/>
    <n v="325"/>
    <n v="5248"/>
    <n v="5"/>
    <s v="Health &amp; Wellness"/>
    <x v="349"/>
  </r>
  <r>
    <s v="Alpha Innovations"/>
    <x v="4"/>
    <s v="Men 18-24"/>
    <s v="45 days"/>
    <x v="2"/>
    <n v="0.06"/>
    <n v="17021"/>
    <n v="7.39"/>
    <n v="23"/>
    <n v="740.04347826086962"/>
    <s v="Chicago"/>
    <s v="English"/>
    <n v="380"/>
    <n v="2196"/>
    <n v="8"/>
    <s v="Foodies"/>
    <x v="350"/>
  </r>
  <r>
    <s v="DataTech Solutions"/>
    <x v="1"/>
    <s v="Men 25-34"/>
    <s v="15 days"/>
    <x v="0"/>
    <n v="0.12"/>
    <n v="5832"/>
    <n v="7.21"/>
    <n v="34"/>
    <n v="171.52941176470588"/>
    <s v="New York"/>
    <s v="German"/>
    <n v="281"/>
    <n v="1452"/>
    <n v="4"/>
    <s v="Outdoor Adventurers"/>
    <x v="351"/>
  </r>
  <r>
    <s v="DataTech Solutions"/>
    <x v="3"/>
    <s v="Women 25-34"/>
    <s v="30 days"/>
    <x v="1"/>
    <n v="0.14000000000000001"/>
    <n v="8112"/>
    <n v="4.8099999999999996"/>
    <n v="67"/>
    <n v="121.07462686567165"/>
    <s v="Los Angeles"/>
    <s v="Mandarin"/>
    <n v="478"/>
    <n v="4804"/>
    <n v="8"/>
    <s v="Foodies"/>
    <x v="352"/>
  </r>
  <r>
    <s v="Innovate Industries"/>
    <x v="3"/>
    <s v="Women 35-44"/>
    <s v="15 days"/>
    <x v="3"/>
    <n v="0.1"/>
    <n v="18562"/>
    <n v="2.56"/>
    <n v="55"/>
    <n v="337.4909090909091"/>
    <s v="Houston"/>
    <s v="Spanish"/>
    <n v="550"/>
    <n v="9751"/>
    <n v="5"/>
    <s v="Fashionistas"/>
    <x v="353"/>
  </r>
  <r>
    <s v="Innovate Industries"/>
    <x v="2"/>
    <s v="All Ages"/>
    <s v="45 days"/>
    <x v="4"/>
    <n v="0.08"/>
    <n v="9410"/>
    <n v="5.77"/>
    <n v="14"/>
    <n v="672.14285714285711"/>
    <s v="Miami"/>
    <s v="Mandarin"/>
    <n v="179"/>
    <n v="5819"/>
    <n v="1"/>
    <s v="Outdoor Adventurers"/>
    <x v="354"/>
  </r>
  <r>
    <s v="Alpha Innovations"/>
    <x v="3"/>
    <s v="Women 35-44"/>
    <s v="60 days"/>
    <x v="2"/>
    <n v="0.11"/>
    <n v="18810"/>
    <n v="6.91"/>
    <n v="34"/>
    <n v="553.23529411764707"/>
    <s v="Miami"/>
    <s v="Mandarin"/>
    <n v="307"/>
    <n v="9876"/>
    <n v="4"/>
    <s v="Tech Enthusiasts"/>
    <x v="355"/>
  </r>
  <r>
    <s v="Innovate Industries"/>
    <x v="2"/>
    <s v="Men 25-34"/>
    <s v="45 days"/>
    <x v="4"/>
    <n v="0.12"/>
    <n v="13439"/>
    <n v="5.93"/>
    <n v="72"/>
    <n v="186.65277777777777"/>
    <s v="Chicago"/>
    <s v="English"/>
    <n v="601"/>
    <n v="1301"/>
    <n v="8"/>
    <s v="Health &amp; Wellness"/>
    <x v="356"/>
  </r>
  <r>
    <s v="Innovate Industries"/>
    <x v="1"/>
    <s v="Men 25-34"/>
    <s v="45 days"/>
    <x v="4"/>
    <n v="0.08"/>
    <n v="14249"/>
    <n v="3.61"/>
    <n v="71"/>
    <n v="200.69014084507043"/>
    <s v="Houston"/>
    <s v="German"/>
    <n v="885"/>
    <n v="1204"/>
    <n v="2"/>
    <s v="Health &amp; Wellness"/>
    <x v="357"/>
  </r>
  <r>
    <s v="DataTech Solutions"/>
    <x v="4"/>
    <s v="Men 18-24"/>
    <s v="45 days"/>
    <x v="4"/>
    <n v="0.04"/>
    <n v="14925"/>
    <n v="3.95"/>
    <n v="22"/>
    <n v="678.40909090909088"/>
    <s v="Los Angeles"/>
    <s v="French"/>
    <n v="560"/>
    <n v="7810"/>
    <n v="4"/>
    <s v="Foodies"/>
    <x v="358"/>
  </r>
  <r>
    <s v="NexGen Systems"/>
    <x v="4"/>
    <s v="Women 25-34"/>
    <s v="60 days"/>
    <x v="4"/>
    <n v="0.1"/>
    <n v="16891"/>
    <n v="3.08"/>
    <n v="98"/>
    <n v="172.35714285714286"/>
    <s v="Los Angeles"/>
    <s v="English"/>
    <n v="975"/>
    <n v="7525"/>
    <n v="7"/>
    <s v="Fashionistas"/>
    <x v="359"/>
  </r>
  <r>
    <s v="DataTech Solutions"/>
    <x v="0"/>
    <s v="All Ages"/>
    <s v="60 days"/>
    <x v="0"/>
    <n v="0.01"/>
    <n v="6018"/>
    <n v="5.75"/>
    <n v="9"/>
    <n v="668.66666666666663"/>
    <s v="Miami"/>
    <s v="French"/>
    <n v="925"/>
    <n v="4704"/>
    <n v="1"/>
    <s v="Foodies"/>
    <x v="360"/>
  </r>
  <r>
    <s v="Innovate Industries"/>
    <x v="0"/>
    <s v="Women 35-44"/>
    <s v="15 days"/>
    <x v="3"/>
    <n v="0.12"/>
    <n v="5367"/>
    <n v="7.16"/>
    <n v="60"/>
    <n v="89.45"/>
    <s v="Los Angeles"/>
    <s v="English"/>
    <n v="496"/>
    <n v="3570"/>
    <n v="9"/>
    <s v="Fashionistas"/>
    <x v="361"/>
  </r>
  <r>
    <s v="DataTech Solutions"/>
    <x v="1"/>
    <s v="Women 35-44"/>
    <s v="30 days"/>
    <x v="0"/>
    <n v="0.1"/>
    <n v="16646"/>
    <n v="3.04"/>
    <n v="37"/>
    <n v="449.89189189189187"/>
    <s v="Chicago"/>
    <s v="English"/>
    <n v="370"/>
    <n v="3955"/>
    <n v="8"/>
    <s v="Health &amp; Wellness"/>
    <x v="362"/>
  </r>
  <r>
    <s v="Alpha Innovations"/>
    <x v="0"/>
    <s v="Women 25-34"/>
    <s v="15 days"/>
    <x v="0"/>
    <n v="0.08"/>
    <n v="9721"/>
    <n v="4.29"/>
    <n v="12"/>
    <n v="810.08333333333337"/>
    <s v="Houston"/>
    <s v="Mandarin"/>
    <n v="147"/>
    <n v="8418"/>
    <n v="3"/>
    <s v="Foodies"/>
    <x v="363"/>
  </r>
  <r>
    <s v="Innovate Industries"/>
    <x v="3"/>
    <s v="Men 18-24"/>
    <s v="60 days"/>
    <x v="2"/>
    <n v="0.08"/>
    <n v="15110"/>
    <n v="2.08"/>
    <n v="49"/>
    <n v="308.36734693877548"/>
    <s v="New York"/>
    <s v="French"/>
    <n v="618"/>
    <n v="3944"/>
    <n v="2"/>
    <s v="Foodies"/>
    <x v="364"/>
  </r>
  <r>
    <s v="TechCorp"/>
    <x v="4"/>
    <s v="All Ages"/>
    <s v="15 days"/>
    <x v="3"/>
    <n v="0.11"/>
    <n v="19851"/>
    <n v="7.58"/>
    <n v="46"/>
    <n v="431.54347826086956"/>
    <s v="New York"/>
    <s v="Spanish"/>
    <n v="417"/>
    <n v="6956"/>
    <n v="10"/>
    <s v="Health &amp; Wellness"/>
    <x v="0"/>
  </r>
  <r>
    <s v="Innovate Industries"/>
    <x v="2"/>
    <s v="Women 25-34"/>
    <s v="15 days"/>
    <x v="0"/>
    <n v="0.08"/>
    <n v="8952"/>
    <n v="4.49"/>
    <n v="46"/>
    <n v="194.60869565217391"/>
    <s v="Chicago"/>
    <s v="English"/>
    <n v="575"/>
    <n v="6516"/>
    <n v="8"/>
    <s v="Tech Enthusiasts"/>
    <x v="1"/>
  </r>
  <r>
    <s v="TechCorp"/>
    <x v="1"/>
    <s v="Women 25-34"/>
    <s v="15 days"/>
    <x v="2"/>
    <n v="0.13"/>
    <n v="14819"/>
    <n v="5.77"/>
    <n v="34"/>
    <n v="435.85294117647061"/>
    <s v="Chicago"/>
    <s v="English"/>
    <n v="261"/>
    <n v="3112"/>
    <n v="5"/>
    <s v="Foodies"/>
    <x v="2"/>
  </r>
  <r>
    <s v="Alpha Innovations"/>
    <x v="2"/>
    <s v="All Ages"/>
    <s v="45 days"/>
    <x v="2"/>
    <n v="0.15"/>
    <n v="15853"/>
    <n v="3.55"/>
    <n v="111"/>
    <n v="142.81981981981983"/>
    <s v="Houston"/>
    <s v="English"/>
    <n v="737"/>
    <n v="9908"/>
    <n v="1"/>
    <s v="Tech Enthusiasts"/>
    <x v="3"/>
  </r>
  <r>
    <s v="TechCorp"/>
    <x v="0"/>
    <s v="Men 25-34"/>
    <s v="15 days"/>
    <x v="1"/>
    <n v="0.05"/>
    <n v="16577"/>
    <n v="2.11"/>
    <n v="26"/>
    <n v="637.57692307692309"/>
    <s v="Chicago"/>
    <s v="French"/>
    <n v="523"/>
    <n v="9564"/>
    <n v="5"/>
    <s v="Health &amp; Wellness"/>
    <x v="4"/>
  </r>
  <r>
    <s v="NexGen Systems"/>
    <x v="2"/>
    <s v="Men 18-24"/>
    <s v="15 days"/>
    <x v="5"/>
    <n v="0.05"/>
    <n v="8756"/>
    <n v="7.22"/>
    <n v="21"/>
    <n v="416.95238095238096"/>
    <s v="Chicago"/>
    <s v="English"/>
    <n v="427"/>
    <n v="4953"/>
    <n v="5"/>
    <s v="Fashionistas"/>
    <x v="5"/>
  </r>
  <r>
    <s v="Innovate Industries"/>
    <x v="2"/>
    <s v="Women 25-34"/>
    <s v="30 days"/>
    <x v="4"/>
    <n v="7.0000000000000007E-2"/>
    <n v="12779"/>
    <n v="6.38"/>
    <n v="67"/>
    <n v="190.73134328358208"/>
    <s v="Houston"/>
    <s v="Mandarin"/>
    <n v="964"/>
    <n v="3785"/>
    <n v="1"/>
    <s v="Fashionistas"/>
    <x v="6"/>
  </r>
  <r>
    <s v="Innovate Industries"/>
    <x v="0"/>
    <s v="Men 18-24"/>
    <s v="30 days"/>
    <x v="2"/>
    <n v="0.04"/>
    <n v="11701"/>
    <n v="2.27"/>
    <n v="14"/>
    <n v="835.78571428571433"/>
    <s v="Los Angeles"/>
    <s v="French"/>
    <n v="344"/>
    <n v="8814"/>
    <n v="5"/>
    <s v="Fashionistas"/>
    <x v="7"/>
  </r>
  <r>
    <s v="DataTech Solutions"/>
    <x v="2"/>
    <s v="Women 25-34"/>
    <s v="60 days"/>
    <x v="4"/>
    <n v="0.05"/>
    <n v="9378"/>
    <n v="7.19"/>
    <n v="39"/>
    <n v="240.46153846153845"/>
    <s v="Houston"/>
    <s v="Mandarin"/>
    <n v="788"/>
    <n v="2450"/>
    <n v="7"/>
    <s v="Tech Enthusiasts"/>
    <x v="8"/>
  </r>
  <r>
    <s v="TechCorp"/>
    <x v="2"/>
    <s v="Men 18-24"/>
    <s v="30 days"/>
    <x v="5"/>
    <n v="0.11"/>
    <n v="19704"/>
    <n v="6.2"/>
    <n v="95"/>
    <n v="207.41052631578947"/>
    <s v="Chicago"/>
    <s v="German"/>
    <n v="866"/>
    <n v="5819"/>
    <n v="4"/>
    <s v="Foodies"/>
    <x v="9"/>
  </r>
  <r>
    <s v="Alpha Innovations"/>
    <x v="2"/>
    <s v="Men 18-24"/>
    <s v="30 days"/>
    <x v="1"/>
    <n v="0.14000000000000001"/>
    <n v="7799"/>
    <n v="4.1500000000000004"/>
    <n v="17"/>
    <n v="458.76470588235293"/>
    <s v="Chicago"/>
    <s v="French"/>
    <n v="122"/>
    <n v="1622"/>
    <n v="7"/>
    <s v="Fashionistas"/>
    <x v="10"/>
  </r>
  <r>
    <s v="TechCorp"/>
    <x v="2"/>
    <s v="All Ages"/>
    <s v="60 days"/>
    <x v="0"/>
    <n v="0.12"/>
    <n v="19871"/>
    <n v="2.34"/>
    <n v="114"/>
    <n v="174.30701754385964"/>
    <s v="Houston"/>
    <s v="German"/>
    <n v="954"/>
    <n v="8550"/>
    <n v="3"/>
    <s v="Outdoor Adventurers"/>
    <x v="11"/>
  </r>
  <r>
    <s v="TechCorp"/>
    <x v="3"/>
    <s v="Women 25-34"/>
    <s v="30 days"/>
    <x v="1"/>
    <n v="0.15"/>
    <n v="18042"/>
    <n v="6.58"/>
    <n v="140"/>
    <n v="128.87142857142857"/>
    <s v="Los Angeles"/>
    <s v="Spanish"/>
    <n v="935"/>
    <n v="1848"/>
    <n v="8"/>
    <s v="Foodies"/>
    <x v="12"/>
  </r>
  <r>
    <s v="Innovate Industries"/>
    <x v="1"/>
    <s v="Women 25-34"/>
    <s v="30 days"/>
    <x v="4"/>
    <n v="0.06"/>
    <n v="19868"/>
    <n v="6.09"/>
    <n v="28"/>
    <n v="709.57142857142856"/>
    <s v="New York"/>
    <s v="French"/>
    <n v="464"/>
    <n v="4067"/>
    <n v="3"/>
    <s v="Outdoor Adventurers"/>
    <x v="13"/>
  </r>
  <r>
    <s v="DataTech Solutions"/>
    <x v="2"/>
    <s v="Women 25-34"/>
    <s v="15 days"/>
    <x v="5"/>
    <n v="0.08"/>
    <n v="15591"/>
    <n v="5.64"/>
    <n v="67"/>
    <n v="232.70149253731344"/>
    <s v="Houston"/>
    <s v="Spanish"/>
    <n v="841"/>
    <n v="3182"/>
    <n v="3"/>
    <s v="Foodies"/>
    <x v="14"/>
  </r>
  <r>
    <s v="Innovate Industries"/>
    <x v="4"/>
    <s v="Men 25-34"/>
    <s v="30 days"/>
    <x v="0"/>
    <n v="0.15"/>
    <n v="11243"/>
    <n v="3.52"/>
    <n v="135"/>
    <n v="83.281481481481478"/>
    <s v="Houston"/>
    <s v="Spanish"/>
    <n v="902"/>
    <n v="1369"/>
    <n v="2"/>
    <s v="Outdoor Adventurers"/>
    <x v="15"/>
  </r>
  <r>
    <s v="Innovate Industries"/>
    <x v="0"/>
    <s v="All Ages"/>
    <s v="15 days"/>
    <x v="3"/>
    <n v="0.13"/>
    <n v="19034"/>
    <n v="5.74"/>
    <n v="42"/>
    <n v="453.1904761904762"/>
    <s v="Miami"/>
    <s v="Mandarin"/>
    <n v="323"/>
    <n v="8963"/>
    <n v="8"/>
    <s v="Fashionistas"/>
    <x v="16"/>
  </r>
  <r>
    <s v="Innovate Industries"/>
    <x v="2"/>
    <s v="Women 25-34"/>
    <s v="30 days"/>
    <x v="3"/>
    <n v="0.14000000000000001"/>
    <n v="19897"/>
    <n v="3.11"/>
    <n v="140"/>
    <n v="142.12142857142857"/>
    <s v="Miami"/>
    <s v="French"/>
    <n v="1000"/>
    <n v="7562"/>
    <n v="9"/>
    <s v="Tech Enthusiasts"/>
    <x v="17"/>
  </r>
  <r>
    <s v="Innovate Industries"/>
    <x v="3"/>
    <s v="Women 35-44"/>
    <s v="15 days"/>
    <x v="4"/>
    <n v="0.04"/>
    <n v="15844"/>
    <n v="3.27"/>
    <n v="17"/>
    <n v="932"/>
    <s v="Miami"/>
    <s v="French"/>
    <n v="428"/>
    <n v="4905"/>
    <n v="5"/>
    <s v="Outdoor Adventurers"/>
    <x v="18"/>
  </r>
  <r>
    <s v="Alpha Innovations"/>
    <x v="2"/>
    <s v="Women 25-34"/>
    <s v="60 days"/>
    <x v="1"/>
    <n v="7.0000000000000007E-2"/>
    <n v="5274"/>
    <n v="2.88"/>
    <n v="58"/>
    <n v="90.931034482758619"/>
    <s v="Chicago"/>
    <s v="English"/>
    <n v="822"/>
    <n v="3765"/>
    <n v="6"/>
    <s v="Health &amp; Wellness"/>
    <x v="19"/>
  </r>
  <r>
    <s v="Innovate Industries"/>
    <x v="4"/>
    <s v="Men 18-24"/>
    <s v="30 days"/>
    <x v="0"/>
    <n v="0.11"/>
    <n v="8194"/>
    <n v="6.17"/>
    <n v="43"/>
    <n v="190.55813953488371"/>
    <s v="New York"/>
    <s v="Mandarin"/>
    <n v="388"/>
    <n v="6664"/>
    <n v="8"/>
    <s v="Foodies"/>
    <x v="20"/>
  </r>
  <r>
    <s v="Innovate Industries"/>
    <x v="4"/>
    <s v="Women 35-44"/>
    <s v="60 days"/>
    <x v="2"/>
    <n v="0.13"/>
    <n v="13688"/>
    <n v="2.3199999999999998"/>
    <n v="96"/>
    <n v="142.58333333333334"/>
    <s v="Miami"/>
    <s v="Mandarin"/>
    <n v="738"/>
    <n v="1907"/>
    <n v="4"/>
    <s v="Health &amp; Wellness"/>
    <x v="21"/>
  </r>
  <r>
    <s v="Innovate Industries"/>
    <x v="4"/>
    <s v="Men 18-24"/>
    <s v="45 days"/>
    <x v="1"/>
    <n v="0.08"/>
    <n v="10925"/>
    <n v="7.34"/>
    <n v="50"/>
    <n v="218.5"/>
    <s v="New York"/>
    <s v="English"/>
    <n v="630"/>
    <n v="9941"/>
    <n v="3"/>
    <s v="Foodies"/>
    <x v="22"/>
  </r>
  <r>
    <s v="DataTech Solutions"/>
    <x v="2"/>
    <s v="Women 25-34"/>
    <s v="15 days"/>
    <x v="5"/>
    <n v="0.04"/>
    <n v="13117"/>
    <n v="2.15"/>
    <n v="21"/>
    <n v="624.61904761904759"/>
    <s v="Chicago"/>
    <s v="French"/>
    <n v="522"/>
    <n v="3555"/>
    <n v="5"/>
    <s v="Tech Enthusiasts"/>
    <x v="23"/>
  </r>
  <r>
    <s v="Alpha Innovations"/>
    <x v="4"/>
    <s v="All Ages"/>
    <s v="15 days"/>
    <x v="5"/>
    <n v="0.1"/>
    <n v="15559"/>
    <n v="2.3199999999999998"/>
    <n v="40"/>
    <n v="388.97500000000002"/>
    <s v="Chicago"/>
    <s v="English"/>
    <n v="399"/>
    <n v="6565"/>
    <n v="5"/>
    <s v="Fashionistas"/>
    <x v="24"/>
  </r>
  <r>
    <s v="Alpha Innovations"/>
    <x v="4"/>
    <s v="Women 35-44"/>
    <s v="30 days"/>
    <x v="0"/>
    <n v="0.02"/>
    <n v="6511"/>
    <n v="3.07"/>
    <n v="9"/>
    <n v="723.44444444444446"/>
    <s v="New York"/>
    <s v="German"/>
    <n v="438"/>
    <n v="7878"/>
    <n v="9"/>
    <s v="Tech Enthusiasts"/>
    <x v="25"/>
  </r>
  <r>
    <s v="Innovate Industries"/>
    <x v="2"/>
    <s v="Women 35-44"/>
    <s v="30 days"/>
    <x v="3"/>
    <n v="0.13"/>
    <n v="16931"/>
    <n v="3.55"/>
    <n v="41"/>
    <n v="412.95121951219511"/>
    <s v="Chicago"/>
    <s v="Mandarin"/>
    <n v="313"/>
    <n v="7853"/>
    <n v="4"/>
    <s v="Fashionistas"/>
    <x v="26"/>
  </r>
  <r>
    <s v="DataTech Solutions"/>
    <x v="4"/>
    <s v="Men 18-24"/>
    <s v="30 days"/>
    <x v="2"/>
    <n v="7.0000000000000007E-2"/>
    <n v="12362"/>
    <n v="2.58"/>
    <n v="69"/>
    <n v="179.15942028985506"/>
    <s v="Miami"/>
    <s v="Mandarin"/>
    <n v="986"/>
    <n v="9375"/>
    <n v="8"/>
    <s v="Health &amp; Wellness"/>
    <x v="27"/>
  </r>
  <r>
    <s v="TechCorp"/>
    <x v="3"/>
    <s v="Women 35-44"/>
    <s v="15 days"/>
    <x v="1"/>
    <n v="0.04"/>
    <n v="14636"/>
    <n v="3.3"/>
    <n v="19"/>
    <n v="770.31578947368416"/>
    <s v="Los Angeles"/>
    <s v="Mandarin"/>
    <n v="476"/>
    <n v="1296"/>
    <n v="5"/>
    <s v="Foodies"/>
    <x v="28"/>
  </r>
  <r>
    <s v="DataTech Solutions"/>
    <x v="1"/>
    <s v="Men 18-24"/>
    <s v="15 days"/>
    <x v="0"/>
    <n v="0.15"/>
    <n v="8099"/>
    <n v="4.5199999999999996"/>
    <n v="71"/>
    <n v="114.07042253521126"/>
    <s v="Los Angeles"/>
    <s v="German"/>
    <n v="475"/>
    <n v="5760"/>
    <n v="2"/>
    <s v="Fashionistas"/>
    <x v="29"/>
  </r>
  <r>
    <s v="Innovate Industries"/>
    <x v="3"/>
    <s v="Men 25-34"/>
    <s v="45 days"/>
    <x v="1"/>
    <n v="0.14000000000000001"/>
    <n v="9369"/>
    <n v="4.1100000000000003"/>
    <n v="82"/>
    <n v="114.2560975609756"/>
    <s v="Houston"/>
    <s v="French"/>
    <n v="585"/>
    <n v="3649"/>
    <n v="5"/>
    <s v="Health &amp; Wellness"/>
    <x v="30"/>
  </r>
  <r>
    <s v="Alpha Innovations"/>
    <x v="2"/>
    <s v="Women 35-44"/>
    <s v="45 days"/>
    <x v="1"/>
    <n v="0.13"/>
    <n v="16031"/>
    <n v="2.2999999999999998"/>
    <n v="100"/>
    <n v="160.31"/>
    <s v="Chicago"/>
    <s v="Spanish"/>
    <n v="767"/>
    <n v="2048"/>
    <n v="1"/>
    <s v="Outdoor Adventurers"/>
    <x v="31"/>
  </r>
  <r>
    <s v="NexGen Systems"/>
    <x v="3"/>
    <s v="All Ages"/>
    <s v="30 days"/>
    <x v="2"/>
    <n v="0.04"/>
    <n v="10745"/>
    <n v="2.78"/>
    <n v="39"/>
    <n v="275.5128205128205"/>
    <s v="Miami"/>
    <s v="Mandarin"/>
    <n v="969"/>
    <n v="8136"/>
    <n v="6"/>
    <s v="Fashionistas"/>
    <x v="32"/>
  </r>
  <r>
    <s v="DataTech Solutions"/>
    <x v="3"/>
    <s v="All Ages"/>
    <s v="60 days"/>
    <x v="2"/>
    <n v="0.01"/>
    <n v="13890"/>
    <n v="2.86"/>
    <n v="3"/>
    <n v="4630"/>
    <s v="Chicago"/>
    <s v="Mandarin"/>
    <n v="321"/>
    <n v="4560"/>
    <n v="1"/>
    <s v="Outdoor Adventurers"/>
    <x v="33"/>
  </r>
  <r>
    <s v="Alpha Innovations"/>
    <x v="0"/>
    <s v="Men 25-34"/>
    <s v="60 days"/>
    <x v="5"/>
    <n v="0.08"/>
    <n v="5505"/>
    <n v="7.39"/>
    <n v="13"/>
    <n v="423.46153846153845"/>
    <s v="Miami"/>
    <s v="French"/>
    <n v="157"/>
    <n v="5539"/>
    <n v="5"/>
    <s v="Fashionistas"/>
    <x v="34"/>
  </r>
  <r>
    <s v="NexGen Systems"/>
    <x v="4"/>
    <s v="Men 25-34"/>
    <s v="60 days"/>
    <x v="5"/>
    <n v="7.0000000000000007E-2"/>
    <n v="18092"/>
    <n v="3.73"/>
    <n v="39"/>
    <n v="463.89743589743591"/>
    <s v="Chicago"/>
    <s v="French"/>
    <n v="556"/>
    <n v="8280"/>
    <n v="1"/>
    <s v="Outdoor Adventurers"/>
    <x v="35"/>
  </r>
  <r>
    <s v="Innovate Industries"/>
    <x v="1"/>
    <s v="Men 18-24"/>
    <s v="60 days"/>
    <x v="4"/>
    <n v="0.11"/>
    <n v="17600"/>
    <n v="6.56"/>
    <n v="20"/>
    <n v="880"/>
    <s v="Houston"/>
    <s v="English"/>
    <n v="178"/>
    <n v="2246"/>
    <n v="6"/>
    <s v="Health &amp; Wellness"/>
    <x v="36"/>
  </r>
  <r>
    <s v="Alpha Innovations"/>
    <x v="3"/>
    <s v="All Ages"/>
    <s v="60 days"/>
    <x v="2"/>
    <n v="0.05"/>
    <n v="14322"/>
    <n v="2.92"/>
    <n v="29"/>
    <n v="493.86206896551727"/>
    <s v="Los Angeles"/>
    <s v="Spanish"/>
    <n v="579"/>
    <n v="6047"/>
    <n v="7"/>
    <s v="Outdoor Adventurers"/>
    <x v="37"/>
  </r>
  <r>
    <s v="DataTech Solutions"/>
    <x v="1"/>
    <s v="Men 25-34"/>
    <s v="15 days"/>
    <x v="5"/>
    <n v="0.14000000000000001"/>
    <n v="16706"/>
    <n v="4.34"/>
    <n v="49"/>
    <n v="340.9387755102041"/>
    <s v="New York"/>
    <s v="French"/>
    <n v="349"/>
    <n v="5435"/>
    <n v="8"/>
    <s v="Outdoor Adventurers"/>
    <x v="38"/>
  </r>
  <r>
    <s v="NexGen Systems"/>
    <x v="1"/>
    <s v="Women 25-34"/>
    <s v="15 days"/>
    <x v="4"/>
    <n v="0.13"/>
    <n v="19959"/>
    <n v="5.72"/>
    <n v="112"/>
    <n v="178.20535714285714"/>
    <s v="Chicago"/>
    <s v="English"/>
    <n v="858"/>
    <n v="9084"/>
    <n v="7"/>
    <s v="Health &amp; Wellness"/>
    <x v="39"/>
  </r>
  <r>
    <s v="NexGen Systems"/>
    <x v="1"/>
    <s v="Women 25-34"/>
    <s v="60 days"/>
    <x v="0"/>
    <n v="0.06"/>
    <n v="10644"/>
    <n v="2.2200000000000002"/>
    <n v="16"/>
    <n v="665.25"/>
    <s v="New York"/>
    <s v="German"/>
    <n v="259"/>
    <n v="5064"/>
    <n v="2"/>
    <s v="Tech Enthusiasts"/>
    <x v="40"/>
  </r>
  <r>
    <s v="Alpha Innovations"/>
    <x v="0"/>
    <s v="Men 25-34"/>
    <s v="60 days"/>
    <x v="0"/>
    <n v="0.05"/>
    <n v="10932"/>
    <n v="3.01"/>
    <n v="43"/>
    <n v="254.23255813953489"/>
    <s v="Miami"/>
    <s v="English"/>
    <n v="858"/>
    <n v="9250"/>
    <n v="3"/>
    <s v="Tech Enthusiasts"/>
    <x v="41"/>
  </r>
  <r>
    <s v="DataTech Solutions"/>
    <x v="0"/>
    <s v="Men 25-34"/>
    <s v="15 days"/>
    <x v="1"/>
    <n v="0.1"/>
    <n v="16311"/>
    <n v="6.29"/>
    <n v="74"/>
    <n v="220.41891891891891"/>
    <s v="New York"/>
    <s v="French"/>
    <n v="735"/>
    <n v="9176"/>
    <n v="9"/>
    <s v="Health &amp; Wellness"/>
    <x v="42"/>
  </r>
  <r>
    <s v="TechCorp"/>
    <x v="2"/>
    <s v="All Ages"/>
    <s v="30 days"/>
    <x v="4"/>
    <n v="0.02"/>
    <n v="10784"/>
    <n v="4.74"/>
    <n v="6"/>
    <n v="1797.3333333333333"/>
    <s v="Houston"/>
    <s v="Mandarin"/>
    <n v="307"/>
    <n v="4965"/>
    <n v="6"/>
    <s v="Outdoor Adventurers"/>
    <x v="43"/>
  </r>
  <r>
    <s v="Alpha Innovations"/>
    <x v="2"/>
    <s v="Women 35-44"/>
    <s v="30 days"/>
    <x v="2"/>
    <n v="0.14000000000000001"/>
    <n v="14783"/>
    <n v="2.58"/>
    <n v="83"/>
    <n v="178.10843373493975"/>
    <s v="Houston"/>
    <s v="German"/>
    <n v="593"/>
    <n v="4359"/>
    <n v="4"/>
    <s v="Health &amp; Wellness"/>
    <x v="44"/>
  </r>
  <r>
    <s v="DataTech Solutions"/>
    <x v="2"/>
    <s v="All Ages"/>
    <s v="15 days"/>
    <x v="4"/>
    <n v="0.09"/>
    <n v="5838"/>
    <n v="3.23"/>
    <n v="37"/>
    <n v="157.78378378378378"/>
    <s v="Los Angeles"/>
    <s v="German"/>
    <n v="406"/>
    <n v="5676"/>
    <n v="3"/>
    <s v="Health &amp; Wellness"/>
    <x v="45"/>
  </r>
  <r>
    <s v="NexGen Systems"/>
    <x v="0"/>
    <s v="Men 18-24"/>
    <s v="15 days"/>
    <x v="0"/>
    <n v="0.06"/>
    <n v="15292"/>
    <n v="6.44"/>
    <n v="33"/>
    <n v="463.39393939393938"/>
    <s v="New York"/>
    <s v="Mandarin"/>
    <n v="558"/>
    <n v="5274"/>
    <n v="3"/>
    <s v="Health &amp; Wellness"/>
    <x v="46"/>
  </r>
  <r>
    <s v="TechCorp"/>
    <x v="0"/>
    <s v="Men 18-24"/>
    <s v="30 days"/>
    <x v="4"/>
    <n v="0.08"/>
    <n v="14824"/>
    <n v="5.33"/>
    <n v="54"/>
    <n v="274.51851851851853"/>
    <s v="New York"/>
    <s v="Mandarin"/>
    <n v="672"/>
    <n v="9664"/>
    <n v="8"/>
    <s v="Fashionistas"/>
    <x v="47"/>
  </r>
  <r>
    <s v="DataTech Solutions"/>
    <x v="2"/>
    <s v="Women 35-44"/>
    <s v="30 days"/>
    <x v="4"/>
    <n v="0.09"/>
    <n v="19774"/>
    <n v="7.13"/>
    <n v="48"/>
    <n v="411.95833333333331"/>
    <s v="Los Angeles"/>
    <s v="Spanish"/>
    <n v="531"/>
    <n v="7873"/>
    <n v="4"/>
    <s v="Foodies"/>
    <x v="48"/>
  </r>
  <r>
    <s v="Alpha Innovations"/>
    <x v="0"/>
    <s v="Men 18-24"/>
    <s v="15 days"/>
    <x v="5"/>
    <n v="0.06"/>
    <n v="5057"/>
    <n v="6.64"/>
    <n v="8"/>
    <n v="632.125"/>
    <s v="Los Angeles"/>
    <s v="English"/>
    <n v="137"/>
    <n v="3449"/>
    <n v="5"/>
    <s v="Health &amp; Wellness"/>
    <x v="49"/>
  </r>
  <r>
    <s v="NexGen Systems"/>
    <x v="0"/>
    <s v="Men 18-24"/>
    <s v="30 days"/>
    <x v="0"/>
    <n v="0.03"/>
    <n v="17556"/>
    <n v="4.01"/>
    <n v="13"/>
    <n v="1350.4615384615386"/>
    <s v="Los Angeles"/>
    <s v="Mandarin"/>
    <n v="448"/>
    <n v="5883"/>
    <n v="8"/>
    <s v="Health &amp; Wellness"/>
    <x v="50"/>
  </r>
  <r>
    <s v="Innovate Industries"/>
    <x v="4"/>
    <s v="Women 35-44"/>
    <s v="15 days"/>
    <x v="1"/>
    <n v="0.02"/>
    <n v="11801"/>
    <n v="2.9"/>
    <n v="19"/>
    <n v="621.10526315789468"/>
    <s v="Houston"/>
    <s v="English"/>
    <n v="940"/>
    <n v="1853"/>
    <n v="7"/>
    <s v="Foodies"/>
    <x v="51"/>
  </r>
  <r>
    <s v="DataTech Solutions"/>
    <x v="0"/>
    <s v="Women 35-44"/>
    <s v="45 days"/>
    <x v="4"/>
    <n v="0.1"/>
    <n v="12450"/>
    <n v="3.34"/>
    <n v="12"/>
    <n v="1037.5"/>
    <s v="Los Angeles"/>
    <s v="English"/>
    <n v="116"/>
    <n v="8716"/>
    <n v="10"/>
    <s v="Outdoor Adventurers"/>
    <x v="52"/>
  </r>
  <r>
    <s v="DataTech Solutions"/>
    <x v="1"/>
    <s v="Men 25-34"/>
    <s v="15 days"/>
    <x v="0"/>
    <n v="0.11"/>
    <n v="5146"/>
    <n v="7.44"/>
    <n v="97"/>
    <n v="53.051546391752581"/>
    <s v="Chicago"/>
    <s v="Spanish"/>
    <n v="886"/>
    <n v="1052"/>
    <n v="8"/>
    <s v="Fashionistas"/>
    <x v="53"/>
  </r>
  <r>
    <s v="Innovate Industries"/>
    <x v="1"/>
    <s v="All Ages"/>
    <s v="45 days"/>
    <x v="3"/>
    <n v="0.08"/>
    <n v="8135"/>
    <n v="3.93"/>
    <n v="60"/>
    <n v="135.58333333333334"/>
    <s v="Miami"/>
    <s v="Spanish"/>
    <n v="745"/>
    <n v="4359"/>
    <n v="5"/>
    <s v="Outdoor Adventurers"/>
    <x v="54"/>
  </r>
  <r>
    <s v="NexGen Systems"/>
    <x v="3"/>
    <s v="Men 18-24"/>
    <s v="60 days"/>
    <x v="0"/>
    <n v="0.05"/>
    <n v="11317"/>
    <n v="6.19"/>
    <n v="30"/>
    <n v="377.23333333333335"/>
    <s v="Los Angeles"/>
    <s v="Mandarin"/>
    <n v="604"/>
    <n v="7520"/>
    <n v="4"/>
    <s v="Outdoor Adventurers"/>
    <x v="55"/>
  </r>
  <r>
    <s v="Alpha Innovations"/>
    <x v="3"/>
    <s v="All Ages"/>
    <s v="60 days"/>
    <x v="3"/>
    <n v="0.1"/>
    <n v="18391"/>
    <n v="6.95"/>
    <n v="11"/>
    <n v="1671.909090909091"/>
    <s v="Chicago"/>
    <s v="Mandarin"/>
    <n v="114"/>
    <n v="6497"/>
    <n v="3"/>
    <s v="Fashionistas"/>
    <x v="56"/>
  </r>
  <r>
    <s v="NexGen Systems"/>
    <x v="1"/>
    <s v="Men 18-24"/>
    <s v="30 days"/>
    <x v="0"/>
    <n v="0.15"/>
    <n v="7746"/>
    <n v="7"/>
    <n v="141"/>
    <n v="54.936170212765958"/>
    <s v="Los Angeles"/>
    <s v="English"/>
    <n v="941"/>
    <n v="7577"/>
    <n v="9"/>
    <s v="Outdoor Adventurers"/>
    <x v="57"/>
  </r>
  <r>
    <s v="Alpha Innovations"/>
    <x v="0"/>
    <s v="Women 25-34"/>
    <s v="45 days"/>
    <x v="0"/>
    <n v="0.12"/>
    <n v="5116"/>
    <n v="2.72"/>
    <n v="76"/>
    <n v="67.315789473684205"/>
    <s v="Houston"/>
    <s v="Spanish"/>
    <n v="634"/>
    <n v="3846"/>
    <n v="10"/>
    <s v="Outdoor Adventurers"/>
    <x v="58"/>
  </r>
  <r>
    <s v="Innovate Industries"/>
    <x v="4"/>
    <s v="Men 25-34"/>
    <s v="15 days"/>
    <x v="3"/>
    <n v="0.14000000000000001"/>
    <n v="6640"/>
    <n v="6.44"/>
    <n v="123"/>
    <n v="53.983739837398375"/>
    <s v="Miami"/>
    <s v="English"/>
    <n v="875"/>
    <n v="5060"/>
    <n v="2"/>
    <s v="Tech Enthusiasts"/>
    <x v="59"/>
  </r>
  <r>
    <s v="DataTech Solutions"/>
    <x v="4"/>
    <s v="All Ages"/>
    <s v="45 days"/>
    <x v="2"/>
    <n v="0.09"/>
    <n v="13305"/>
    <n v="5.44"/>
    <n v="37"/>
    <n v="359.59459459459458"/>
    <s v="Houston"/>
    <s v="Spanish"/>
    <n v="411"/>
    <n v="1653"/>
    <n v="6"/>
    <s v="Fashionistas"/>
    <x v="60"/>
  </r>
  <r>
    <s v="Innovate Industries"/>
    <x v="2"/>
    <s v="Women 25-34"/>
    <s v="45 days"/>
    <x v="5"/>
    <n v="7.0000000000000007E-2"/>
    <n v="19811"/>
    <n v="6.14"/>
    <n v="17"/>
    <n v="1165.3529411764705"/>
    <s v="Chicago"/>
    <s v="Spanish"/>
    <n v="244"/>
    <n v="8512"/>
    <n v="2"/>
    <s v="Fashionistas"/>
    <x v="61"/>
  </r>
  <r>
    <s v="Innovate Industries"/>
    <x v="4"/>
    <s v="All Ages"/>
    <s v="30 days"/>
    <x v="2"/>
    <n v="0.11"/>
    <n v="7035"/>
    <n v="4.16"/>
    <n v="88"/>
    <n v="79.943181818181813"/>
    <s v="Los Angeles"/>
    <s v="Spanish"/>
    <n v="799"/>
    <n v="2938"/>
    <n v="9"/>
    <s v="Outdoor Adventurers"/>
    <x v="62"/>
  </r>
  <r>
    <s v="TechCorp"/>
    <x v="3"/>
    <s v="Men 18-24"/>
    <s v="30 days"/>
    <x v="5"/>
    <n v="0.09"/>
    <n v="14616"/>
    <n v="4.7"/>
    <n v="12"/>
    <n v="1218"/>
    <s v="Los Angeles"/>
    <s v="Mandarin"/>
    <n v="135"/>
    <n v="3950"/>
    <n v="4"/>
    <s v="Tech Enthusiasts"/>
    <x v="63"/>
  </r>
  <r>
    <s v="Innovate Industries"/>
    <x v="3"/>
    <s v="Women 35-44"/>
    <s v="60 days"/>
    <x v="4"/>
    <n v="0.01"/>
    <n v="6289"/>
    <n v="4.24"/>
    <n v="6"/>
    <n v="1048.1666666666667"/>
    <s v="Miami"/>
    <s v="French"/>
    <n v="627"/>
    <n v="7254"/>
    <n v="4"/>
    <s v="Tech Enthusiasts"/>
    <x v="64"/>
  </r>
  <r>
    <s v="NexGen Systems"/>
    <x v="3"/>
    <s v="Men 18-24"/>
    <s v="45 days"/>
    <x v="0"/>
    <n v="0.11"/>
    <n v="17628"/>
    <n v="6.93"/>
    <n v="105"/>
    <n v="167.88571428571427"/>
    <s v="Miami"/>
    <s v="French"/>
    <n v="957"/>
    <n v="3335"/>
    <n v="4"/>
    <s v="Foodies"/>
    <x v="65"/>
  </r>
  <r>
    <s v="NexGen Systems"/>
    <x v="2"/>
    <s v="Women 35-44"/>
    <s v="15 days"/>
    <x v="3"/>
    <n v="0.01"/>
    <n v="17529"/>
    <n v="4.9000000000000004"/>
    <n v="8"/>
    <n v="2191.125"/>
    <s v="Houston"/>
    <s v="French"/>
    <n v="764"/>
    <n v="7134"/>
    <n v="2"/>
    <s v="Fashionistas"/>
    <x v="66"/>
  </r>
  <r>
    <s v="NexGen Systems"/>
    <x v="4"/>
    <s v="All Ages"/>
    <s v="60 days"/>
    <x v="4"/>
    <n v="0.11"/>
    <n v="11992"/>
    <n v="7.6"/>
    <n v="88"/>
    <n v="136.27272727272728"/>
    <s v="Miami"/>
    <s v="German"/>
    <n v="800"/>
    <n v="2127"/>
    <n v="2"/>
    <s v="Foodies"/>
    <x v="67"/>
  </r>
  <r>
    <s v="Alpha Innovations"/>
    <x v="2"/>
    <s v="Women 25-34"/>
    <s v="15 days"/>
    <x v="4"/>
    <n v="0.14000000000000001"/>
    <n v="14109"/>
    <n v="2.27"/>
    <n v="80"/>
    <n v="176.36250000000001"/>
    <s v="Miami"/>
    <s v="Mandarin"/>
    <n v="570"/>
    <n v="7457"/>
    <n v="7"/>
    <s v="Foodies"/>
    <x v="68"/>
  </r>
  <r>
    <s v="NexGen Systems"/>
    <x v="0"/>
    <s v="Women 25-34"/>
    <s v="45 days"/>
    <x v="3"/>
    <n v="0.14000000000000001"/>
    <n v="16094"/>
    <n v="5.84"/>
    <n v="88"/>
    <n v="182.88636363636363"/>
    <s v="Houston"/>
    <s v="English"/>
    <n v="631"/>
    <n v="5691"/>
    <n v="8"/>
    <s v="Foodies"/>
    <x v="69"/>
  </r>
  <r>
    <s v="Innovate Industries"/>
    <x v="4"/>
    <s v="Men 25-34"/>
    <s v="45 days"/>
    <x v="3"/>
    <n v="0.03"/>
    <n v="17093"/>
    <n v="5.74"/>
    <n v="27"/>
    <n v="633.07407407407402"/>
    <s v="Chicago"/>
    <s v="Spanish"/>
    <n v="904"/>
    <n v="7993"/>
    <n v="10"/>
    <s v="Fashionistas"/>
    <x v="70"/>
  </r>
  <r>
    <s v="NexGen Systems"/>
    <x v="4"/>
    <s v="All Ages"/>
    <s v="15 days"/>
    <x v="4"/>
    <n v="0.11"/>
    <n v="13339"/>
    <n v="6.35"/>
    <n v="65"/>
    <n v="205.21538461538461"/>
    <s v="New York"/>
    <s v="Spanish"/>
    <n v="595"/>
    <n v="1998"/>
    <n v="7"/>
    <s v="Fashionistas"/>
    <x v="71"/>
  </r>
  <r>
    <s v="TechCorp"/>
    <x v="1"/>
    <s v="Men 25-34"/>
    <s v="45 days"/>
    <x v="5"/>
    <n v="7.0000000000000007E-2"/>
    <n v="17346"/>
    <n v="7.64"/>
    <n v="16"/>
    <n v="1084.125"/>
    <s v="Chicago"/>
    <s v="English"/>
    <n v="228"/>
    <n v="7839"/>
    <n v="5"/>
    <s v="Foodies"/>
    <x v="72"/>
  </r>
  <r>
    <s v="NexGen Systems"/>
    <x v="3"/>
    <s v="Women 25-34"/>
    <s v="30 days"/>
    <x v="5"/>
    <n v="7.0000000000000007E-2"/>
    <n v="6085"/>
    <n v="4.47"/>
    <n v="69"/>
    <n v="88.188405797101453"/>
    <s v="Miami"/>
    <s v="French"/>
    <n v="989"/>
    <n v="5468"/>
    <n v="3"/>
    <s v="Fashionistas"/>
    <x v="73"/>
  </r>
  <r>
    <s v="Innovate Industries"/>
    <x v="0"/>
    <s v="Men 25-34"/>
    <s v="45 days"/>
    <x v="5"/>
    <n v="0.14000000000000001"/>
    <n v="14303"/>
    <n v="7.08"/>
    <n v="56"/>
    <n v="255.41071428571428"/>
    <s v="Los Angeles"/>
    <s v="Spanish"/>
    <n v="399"/>
    <n v="5010"/>
    <n v="8"/>
    <s v="Fashionistas"/>
    <x v="74"/>
  </r>
  <r>
    <s v="TechCorp"/>
    <x v="3"/>
    <s v="Women 35-44"/>
    <s v="60 days"/>
    <x v="1"/>
    <n v="0.08"/>
    <n v="15711"/>
    <n v="4.93"/>
    <n v="56"/>
    <n v="280.55357142857144"/>
    <s v="Chicago"/>
    <s v="Spanish"/>
    <n v="695"/>
    <n v="8219"/>
    <n v="1"/>
    <s v="Health &amp; Wellness"/>
    <x v="75"/>
  </r>
  <r>
    <s v="Innovate Industries"/>
    <x v="4"/>
    <s v="All Ages"/>
    <s v="60 days"/>
    <x v="0"/>
    <n v="0.04"/>
    <n v="5944"/>
    <n v="2.19"/>
    <n v="25"/>
    <n v="237.76"/>
    <s v="Chicago"/>
    <s v="German"/>
    <n v="618"/>
    <n v="3964"/>
    <n v="10"/>
    <s v="Fashionistas"/>
    <x v="76"/>
  </r>
  <r>
    <s v="Innovate Industries"/>
    <x v="3"/>
    <s v="All Ages"/>
    <s v="30 days"/>
    <x v="0"/>
    <n v="0.05"/>
    <n v="5552"/>
    <n v="6.73"/>
    <n v="44"/>
    <n v="126.18181818181819"/>
    <s v="Houston"/>
    <s v="German"/>
    <n v="877"/>
    <n v="8665"/>
    <n v="3"/>
    <s v="Fashionistas"/>
    <x v="77"/>
  </r>
  <r>
    <s v="TechCorp"/>
    <x v="2"/>
    <s v="Women 35-44"/>
    <s v="60 days"/>
    <x v="3"/>
    <n v="0.12"/>
    <n v="14258"/>
    <n v="2.78"/>
    <n v="73"/>
    <n v="195.31506849315068"/>
    <s v="Houston"/>
    <s v="Mandarin"/>
    <n v="607"/>
    <n v="9349"/>
    <n v="9"/>
    <s v="Outdoor Adventurers"/>
    <x v="78"/>
  </r>
  <r>
    <s v="Innovate Industries"/>
    <x v="3"/>
    <s v="Women 35-44"/>
    <s v="45 days"/>
    <x v="5"/>
    <n v="0.06"/>
    <n v="10014"/>
    <n v="2.93"/>
    <n v="53"/>
    <n v="188.9433962264151"/>
    <s v="Los Angeles"/>
    <s v="Mandarin"/>
    <n v="878"/>
    <n v="5531"/>
    <n v="9"/>
    <s v="Health &amp; Wellness"/>
    <x v="79"/>
  </r>
  <r>
    <s v="TechCorp"/>
    <x v="0"/>
    <s v="Men 25-34"/>
    <s v="15 days"/>
    <x v="5"/>
    <n v="0.04"/>
    <n v="13759"/>
    <n v="4.37"/>
    <n v="23"/>
    <n v="598.21739130434787"/>
    <s v="Miami"/>
    <s v="French"/>
    <n v="579"/>
    <n v="9444"/>
    <n v="7"/>
    <s v="Fashionistas"/>
    <x v="80"/>
  </r>
  <r>
    <s v="TechCorp"/>
    <x v="1"/>
    <s v="Women 25-34"/>
    <s v="15 days"/>
    <x v="4"/>
    <n v="0.13"/>
    <n v="9152"/>
    <n v="3.48"/>
    <n v="87"/>
    <n v="105.19540229885058"/>
    <s v="Houston"/>
    <s v="German"/>
    <n v="670"/>
    <n v="3461"/>
    <n v="7"/>
    <s v="Tech Enthusiasts"/>
    <x v="81"/>
  </r>
  <r>
    <s v="DataTech Solutions"/>
    <x v="4"/>
    <s v="Women 25-34"/>
    <s v="60 days"/>
    <x v="2"/>
    <n v="0.06"/>
    <n v="9112"/>
    <n v="4.5"/>
    <n v="30"/>
    <n v="303.73333333333335"/>
    <s v="Houston"/>
    <s v="German"/>
    <n v="506"/>
    <n v="2174"/>
    <n v="1"/>
    <s v="Outdoor Adventurers"/>
    <x v="82"/>
  </r>
  <r>
    <s v="TechCorp"/>
    <x v="2"/>
    <s v="Women 35-44"/>
    <s v="45 days"/>
    <x v="5"/>
    <n v="0.13"/>
    <n v="11939"/>
    <n v="7.39"/>
    <n v="119"/>
    <n v="100.32773109243698"/>
    <s v="Miami"/>
    <s v="Mandarin"/>
    <n v="918"/>
    <n v="6552"/>
    <n v="4"/>
    <s v="Outdoor Adventurers"/>
    <x v="83"/>
  </r>
  <r>
    <s v="NexGen Systems"/>
    <x v="2"/>
    <s v="Women 25-34"/>
    <s v="60 days"/>
    <x v="5"/>
    <n v="0.01"/>
    <n v="12238"/>
    <n v="7.39"/>
    <n v="7"/>
    <n v="1748.2857142857142"/>
    <s v="Miami"/>
    <s v="French"/>
    <n v="694"/>
    <n v="8810"/>
    <n v="7"/>
    <s v="Outdoor Adventurers"/>
    <x v="84"/>
  </r>
  <r>
    <s v="Innovate Industries"/>
    <x v="4"/>
    <s v="All Ages"/>
    <s v="30 days"/>
    <x v="1"/>
    <n v="0.13"/>
    <n v="5860"/>
    <n v="7.07"/>
    <n v="69"/>
    <n v="84.927536231884062"/>
    <s v="Los Angeles"/>
    <s v="Spanish"/>
    <n v="533"/>
    <n v="3688"/>
    <n v="1"/>
    <s v="Health &amp; Wellness"/>
    <x v="85"/>
  </r>
  <r>
    <s v="TechCorp"/>
    <x v="1"/>
    <s v="Men 25-34"/>
    <s v="45 days"/>
    <x v="2"/>
    <n v="7.0000000000000007E-2"/>
    <n v="5849"/>
    <n v="5.18"/>
    <n v="18"/>
    <n v="324.94444444444446"/>
    <s v="Chicago"/>
    <s v="German"/>
    <n v="261"/>
    <n v="6252"/>
    <n v="5"/>
    <s v="Fashionistas"/>
    <x v="86"/>
  </r>
  <r>
    <s v="Alpha Innovations"/>
    <x v="2"/>
    <s v="Men 25-34"/>
    <s v="15 days"/>
    <x v="3"/>
    <n v="0.01"/>
    <n v="16233"/>
    <n v="5.74"/>
    <n v="10"/>
    <n v="1623.3"/>
    <s v="New York"/>
    <s v="German"/>
    <n v="960"/>
    <n v="1211"/>
    <n v="4"/>
    <s v="Health &amp; Wellness"/>
    <x v="87"/>
  </r>
  <r>
    <s v="DataTech Solutions"/>
    <x v="3"/>
    <s v="Women 25-34"/>
    <s v="15 days"/>
    <x v="2"/>
    <n v="0.04"/>
    <n v="18749"/>
    <n v="3.93"/>
    <n v="9"/>
    <n v="2083.2222222222222"/>
    <s v="Houston"/>
    <s v="French"/>
    <n v="232"/>
    <n v="2772"/>
    <n v="10"/>
    <s v="Foodies"/>
    <x v="88"/>
  </r>
  <r>
    <s v="Innovate Industries"/>
    <x v="1"/>
    <s v="Men 25-34"/>
    <s v="15 days"/>
    <x v="0"/>
    <n v="0.02"/>
    <n v="14214"/>
    <n v="3.08"/>
    <n v="15"/>
    <n v="947.6"/>
    <s v="Los Angeles"/>
    <s v="Spanish"/>
    <n v="760"/>
    <n v="9247"/>
    <n v="9"/>
    <s v="Foodies"/>
    <x v="89"/>
  </r>
  <r>
    <s v="TechCorp"/>
    <x v="0"/>
    <s v="Men 25-34"/>
    <s v="60 days"/>
    <x v="3"/>
    <n v="0.04"/>
    <n v="7253"/>
    <n v="5.13"/>
    <n v="36"/>
    <n v="201.47222222222223"/>
    <s v="New York"/>
    <s v="French"/>
    <n v="904"/>
    <n v="5594"/>
    <n v="9"/>
    <s v="Tech Enthusiasts"/>
    <x v="90"/>
  </r>
  <r>
    <s v="TechCorp"/>
    <x v="3"/>
    <s v="Women 35-44"/>
    <s v="30 days"/>
    <x v="0"/>
    <n v="0.06"/>
    <n v="13311"/>
    <n v="6.78"/>
    <n v="17"/>
    <n v="783"/>
    <s v="Miami"/>
    <s v="Spanish"/>
    <n v="286"/>
    <n v="1425"/>
    <n v="4"/>
    <s v="Fashionistas"/>
    <x v="91"/>
  </r>
  <r>
    <s v="NexGen Systems"/>
    <x v="4"/>
    <s v="Men 18-24"/>
    <s v="30 days"/>
    <x v="1"/>
    <n v="0.1"/>
    <n v="16417"/>
    <n v="7.77"/>
    <n v="40"/>
    <n v="410.42500000000001"/>
    <s v="Chicago"/>
    <s v="Spanish"/>
    <n v="399"/>
    <n v="8065"/>
    <n v="8"/>
    <s v="Health &amp; Wellness"/>
    <x v="92"/>
  </r>
  <r>
    <s v="TechCorp"/>
    <x v="4"/>
    <s v="Men 18-24"/>
    <s v="15 days"/>
    <x v="0"/>
    <n v="0.1"/>
    <n v="12291"/>
    <n v="5.84"/>
    <n v="47"/>
    <n v="261.51063829787233"/>
    <s v="Los Angeles"/>
    <s v="German"/>
    <n v="471"/>
    <n v="6196"/>
    <n v="10"/>
    <s v="Outdoor Adventurers"/>
    <x v="93"/>
  </r>
  <r>
    <s v="TechCorp"/>
    <x v="2"/>
    <s v="Women 35-44"/>
    <s v="30 days"/>
    <x v="0"/>
    <n v="0.05"/>
    <n v="11095"/>
    <n v="4.1100000000000003"/>
    <n v="12"/>
    <n v="924.58333333333337"/>
    <s v="Chicago"/>
    <s v="Mandarin"/>
    <n v="230"/>
    <n v="6438"/>
    <n v="4"/>
    <s v="Foodies"/>
    <x v="94"/>
  </r>
  <r>
    <s v="Alpha Innovations"/>
    <x v="4"/>
    <s v="Women 25-34"/>
    <s v="15 days"/>
    <x v="2"/>
    <n v="0.13"/>
    <n v="11268"/>
    <n v="2.2000000000000002"/>
    <n v="20"/>
    <n v="563.4"/>
    <s v="Los Angeles"/>
    <s v="Mandarin"/>
    <n v="157"/>
    <n v="5613"/>
    <n v="6"/>
    <s v="Tech Enthusiasts"/>
    <x v="95"/>
  </r>
  <r>
    <s v="DataTech Solutions"/>
    <x v="4"/>
    <s v="Women 25-34"/>
    <s v="30 days"/>
    <x v="5"/>
    <n v="0.12"/>
    <n v="12587"/>
    <n v="2.89"/>
    <n v="97"/>
    <n v="129.76288659793815"/>
    <s v="Chicago"/>
    <s v="Mandarin"/>
    <n v="809"/>
    <n v="7144"/>
    <n v="4"/>
    <s v="Outdoor Adventurers"/>
    <x v="96"/>
  </r>
  <r>
    <s v="Innovate Industries"/>
    <x v="0"/>
    <s v="Men 25-34"/>
    <s v="45 days"/>
    <x v="1"/>
    <n v="0.08"/>
    <n v="7401"/>
    <n v="6.64"/>
    <n v="72"/>
    <n v="102.79166666666667"/>
    <s v="Los Angeles"/>
    <s v="English"/>
    <n v="904"/>
    <n v="5675"/>
    <n v="9"/>
    <s v="Outdoor Adventurers"/>
    <x v="97"/>
  </r>
  <r>
    <s v="Alpha Innovations"/>
    <x v="1"/>
    <s v="Men 25-34"/>
    <s v="30 days"/>
    <x v="4"/>
    <n v="0.11"/>
    <n v="19421"/>
    <n v="7.24"/>
    <n v="110"/>
    <n v="176.55454545454546"/>
    <s v="New York"/>
    <s v="Spanish"/>
    <n v="997"/>
    <n v="2845"/>
    <n v="10"/>
    <s v="Outdoor Adventurers"/>
    <x v="98"/>
  </r>
  <r>
    <s v="NexGen Systems"/>
    <x v="1"/>
    <s v="Women 35-44"/>
    <s v="30 days"/>
    <x v="3"/>
    <n v="0.08"/>
    <n v="10741"/>
    <n v="2.3199999999999998"/>
    <n v="24"/>
    <n v="447.54166666666669"/>
    <s v="Chicago"/>
    <s v="French"/>
    <n v="294"/>
    <n v="4312"/>
    <n v="5"/>
    <s v="Health &amp; Wellness"/>
    <x v="99"/>
  </r>
  <r>
    <s v="DataTech Solutions"/>
    <x v="2"/>
    <s v="Men 25-34"/>
    <s v="15 days"/>
    <x v="4"/>
    <n v="0.03"/>
    <n v="17670"/>
    <n v="3.73"/>
    <n v="21"/>
    <n v="841.42857142857144"/>
    <s v="Houston"/>
    <s v="French"/>
    <n v="696"/>
    <n v="7484"/>
    <n v="6"/>
    <s v="Tech Enthusiasts"/>
    <x v="100"/>
  </r>
  <r>
    <s v="Innovate Industries"/>
    <x v="1"/>
    <s v="Women 25-34"/>
    <s v="15 days"/>
    <x v="4"/>
    <n v="0.05"/>
    <n v="10767"/>
    <n v="6.76"/>
    <n v="28"/>
    <n v="384.53571428571428"/>
    <s v="Chicago"/>
    <s v="German"/>
    <n v="568"/>
    <n v="4276"/>
    <n v="10"/>
    <s v="Fashionistas"/>
    <x v="101"/>
  </r>
  <r>
    <s v="Innovate Industries"/>
    <x v="1"/>
    <s v="Women 25-34"/>
    <s v="30 days"/>
    <x v="0"/>
    <n v="0.04"/>
    <n v="14569"/>
    <n v="5.21"/>
    <n v="36"/>
    <n v="404.69444444444446"/>
    <s v="New York"/>
    <s v="Mandarin"/>
    <n v="902"/>
    <n v="8502"/>
    <n v="6"/>
    <s v="Health &amp; Wellness"/>
    <x v="102"/>
  </r>
  <r>
    <s v="Alpha Innovations"/>
    <x v="3"/>
    <s v="Women 35-44"/>
    <s v="45 days"/>
    <x v="2"/>
    <n v="0.08"/>
    <n v="5440"/>
    <n v="6.57"/>
    <n v="68"/>
    <n v="80"/>
    <s v="Los Angeles"/>
    <s v="German"/>
    <n v="846"/>
    <n v="4353"/>
    <n v="3"/>
    <s v="Foodies"/>
    <x v="103"/>
  </r>
  <r>
    <s v="TechCorp"/>
    <x v="3"/>
    <s v="Men 18-24"/>
    <s v="45 days"/>
    <x v="3"/>
    <n v="0.13"/>
    <n v="19212"/>
    <n v="7.8"/>
    <n v="59"/>
    <n v="325.62711864406782"/>
    <s v="Chicago"/>
    <s v="French"/>
    <n v="454"/>
    <n v="1222"/>
    <n v="5"/>
    <s v="Outdoor Adventurers"/>
    <x v="104"/>
  </r>
  <r>
    <s v="NexGen Systems"/>
    <x v="2"/>
    <s v="Men 18-24"/>
    <s v="60 days"/>
    <x v="3"/>
    <n v="0.15"/>
    <n v="12879"/>
    <n v="5.97"/>
    <n v="136"/>
    <n v="94.69852941176471"/>
    <s v="Chicago"/>
    <s v="German"/>
    <n v="908"/>
    <n v="4566"/>
    <n v="1"/>
    <s v="Health &amp; Wellness"/>
    <x v="105"/>
  </r>
  <r>
    <s v="DataTech Solutions"/>
    <x v="0"/>
    <s v="Men 18-24"/>
    <s v="60 days"/>
    <x v="2"/>
    <n v="0.13"/>
    <n v="15916"/>
    <n v="4.16"/>
    <n v="67"/>
    <n v="237.55223880597015"/>
    <s v="Los Angeles"/>
    <s v="French"/>
    <n v="514"/>
    <n v="2545"/>
    <n v="4"/>
    <s v="Fashionistas"/>
    <x v="106"/>
  </r>
  <r>
    <s v="Innovate Industries"/>
    <x v="1"/>
    <s v="Women 25-34"/>
    <s v="15 days"/>
    <x v="0"/>
    <n v="0.1"/>
    <n v="15267"/>
    <n v="3.32"/>
    <n v="69"/>
    <n v="221.2608695652174"/>
    <s v="Los Angeles"/>
    <s v="Mandarin"/>
    <n v="685"/>
    <n v="3881"/>
    <n v="2"/>
    <s v="Outdoor Adventurers"/>
    <x v="107"/>
  </r>
  <r>
    <s v="Innovate Industries"/>
    <x v="2"/>
    <s v="Men 25-34"/>
    <s v="30 days"/>
    <x v="1"/>
    <n v="0.04"/>
    <n v="13618"/>
    <n v="2.4900000000000002"/>
    <n v="38"/>
    <n v="358.36842105263156"/>
    <s v="Los Angeles"/>
    <s v="French"/>
    <n v="958"/>
    <n v="3549"/>
    <n v="2"/>
    <s v="Outdoor Adventurers"/>
    <x v="108"/>
  </r>
  <r>
    <s v="Innovate Industries"/>
    <x v="2"/>
    <s v="Men 25-34"/>
    <s v="45 days"/>
    <x v="3"/>
    <n v="0.1"/>
    <n v="12476"/>
    <n v="4.88"/>
    <n v="62"/>
    <n v="201.2258064516129"/>
    <s v="New York"/>
    <s v="English"/>
    <n v="622"/>
    <n v="4726"/>
    <n v="2"/>
    <s v="Tech Enthusiasts"/>
    <x v="109"/>
  </r>
  <r>
    <s v="Alpha Innovations"/>
    <x v="0"/>
    <s v="Men 18-24"/>
    <s v="15 days"/>
    <x v="4"/>
    <n v="0.05"/>
    <n v="7077"/>
    <n v="6.38"/>
    <n v="15"/>
    <n v="471.8"/>
    <s v="Miami"/>
    <s v="Spanish"/>
    <n v="307"/>
    <n v="2460"/>
    <n v="4"/>
    <s v="Tech Enthusiasts"/>
    <x v="110"/>
  </r>
  <r>
    <s v="Alpha Innovations"/>
    <x v="2"/>
    <s v="Women 25-34"/>
    <s v="60 days"/>
    <x v="4"/>
    <n v="0.13"/>
    <n v="15513"/>
    <n v="2.69"/>
    <n v="48"/>
    <n v="323.1875"/>
    <s v="Chicago"/>
    <s v="German"/>
    <n v="369"/>
    <n v="9667"/>
    <n v="7"/>
    <s v="Health &amp; Wellness"/>
    <x v="111"/>
  </r>
  <r>
    <s v="NexGen Systems"/>
    <x v="2"/>
    <s v="Women 35-44"/>
    <s v="30 days"/>
    <x v="0"/>
    <n v="0.12"/>
    <n v="12382"/>
    <n v="3.54"/>
    <n v="107"/>
    <n v="115.71962616822429"/>
    <s v="Houston"/>
    <s v="French"/>
    <n v="895"/>
    <n v="6709"/>
    <n v="6"/>
    <s v="Outdoor Adventurers"/>
    <x v="112"/>
  </r>
  <r>
    <s v="Innovate Industries"/>
    <x v="4"/>
    <s v="Men 18-24"/>
    <s v="45 days"/>
    <x v="5"/>
    <n v="0.03"/>
    <n v="15093"/>
    <n v="3.09"/>
    <n v="18"/>
    <n v="838.5"/>
    <s v="Los Angeles"/>
    <s v="Mandarin"/>
    <n v="609"/>
    <n v="3917"/>
    <n v="3"/>
    <s v="Health &amp; Wellness"/>
    <x v="113"/>
  </r>
  <r>
    <s v="TechCorp"/>
    <x v="2"/>
    <s v="Men 25-34"/>
    <s v="30 days"/>
    <x v="1"/>
    <n v="0.1"/>
    <n v="16304"/>
    <n v="7.95"/>
    <n v="46"/>
    <n v="354.43478260869563"/>
    <s v="Miami"/>
    <s v="Mandarin"/>
    <n v="461"/>
    <n v="3184"/>
    <n v="2"/>
    <s v="Tech Enthusiasts"/>
    <x v="114"/>
  </r>
  <r>
    <s v="TechCorp"/>
    <x v="4"/>
    <s v="Women 25-34"/>
    <s v="30 days"/>
    <x v="2"/>
    <n v="0.11"/>
    <n v="13818"/>
    <n v="6.81"/>
    <n v="25"/>
    <n v="552.72"/>
    <s v="New York"/>
    <s v="German"/>
    <n v="228"/>
    <n v="9730"/>
    <n v="2"/>
    <s v="Foodies"/>
    <x v="115"/>
  </r>
  <r>
    <s v="NexGen Systems"/>
    <x v="4"/>
    <s v="All Ages"/>
    <s v="30 days"/>
    <x v="1"/>
    <n v="0.12"/>
    <n v="5054"/>
    <n v="3.9"/>
    <n v="28"/>
    <n v="180.5"/>
    <s v="Houston"/>
    <s v="French"/>
    <n v="237"/>
    <n v="4676"/>
    <n v="3"/>
    <s v="Foodies"/>
    <x v="116"/>
  </r>
  <r>
    <s v="Innovate Industries"/>
    <x v="3"/>
    <s v="Women 35-44"/>
    <s v="60 days"/>
    <x v="1"/>
    <n v="0.13"/>
    <n v="10332"/>
    <n v="5.53"/>
    <n v="127"/>
    <n v="81.354330708661422"/>
    <s v="Houston"/>
    <s v="English"/>
    <n v="977"/>
    <n v="9271"/>
    <n v="10"/>
    <s v="Health &amp; Wellness"/>
    <x v="117"/>
  </r>
  <r>
    <s v="NexGen Systems"/>
    <x v="0"/>
    <s v="Women 25-34"/>
    <s v="60 days"/>
    <x v="1"/>
    <n v="0.12"/>
    <n v="16910"/>
    <n v="2.94"/>
    <n v="66"/>
    <n v="256.21212121212119"/>
    <s v="Los Angeles"/>
    <s v="English"/>
    <n v="552"/>
    <n v="9231"/>
    <n v="2"/>
    <s v="Fashionistas"/>
    <x v="118"/>
  </r>
  <r>
    <s v="NexGen Systems"/>
    <x v="0"/>
    <s v="Women 25-34"/>
    <s v="60 days"/>
    <x v="2"/>
    <n v="0.04"/>
    <n v="17781"/>
    <n v="4.53"/>
    <n v="7"/>
    <n v="2540.1428571428573"/>
    <s v="New York"/>
    <s v="German"/>
    <n v="177"/>
    <n v="5540"/>
    <n v="1"/>
    <s v="Fashionistas"/>
    <x v="119"/>
  </r>
  <r>
    <s v="DataTech Solutions"/>
    <x v="4"/>
    <s v="All Ages"/>
    <s v="60 days"/>
    <x v="1"/>
    <n v="0.03"/>
    <n v="10697"/>
    <n v="4.21"/>
    <n v="29"/>
    <n v="368.86206896551727"/>
    <s v="Houston"/>
    <s v="French"/>
    <n v="969"/>
    <n v="3904"/>
    <n v="7"/>
    <s v="Fashionistas"/>
    <x v="120"/>
  </r>
  <r>
    <s v="NexGen Systems"/>
    <x v="4"/>
    <s v="Women 35-44"/>
    <s v="60 days"/>
    <x v="3"/>
    <n v="0.09"/>
    <n v="11181"/>
    <n v="4.0999999999999996"/>
    <n v="14"/>
    <n v="798.64285714285711"/>
    <s v="Houston"/>
    <s v="Spanish"/>
    <n v="160"/>
    <n v="2233"/>
    <n v="1"/>
    <s v="Outdoor Adventurers"/>
    <x v="121"/>
  </r>
  <r>
    <s v="NexGen Systems"/>
    <x v="2"/>
    <s v="All Ages"/>
    <s v="60 days"/>
    <x v="0"/>
    <n v="0.04"/>
    <n v="16221"/>
    <n v="2.78"/>
    <n v="18"/>
    <n v="901.16666666666663"/>
    <s v="Miami"/>
    <s v="Mandarin"/>
    <n v="444"/>
    <n v="4832"/>
    <n v="2"/>
    <s v="Fashionistas"/>
    <x v="122"/>
  </r>
  <r>
    <s v="Innovate Industries"/>
    <x v="4"/>
    <s v="All Ages"/>
    <s v="60 days"/>
    <x v="0"/>
    <n v="0.04"/>
    <n v="5870"/>
    <n v="6.16"/>
    <n v="16"/>
    <n v="366.875"/>
    <s v="Houston"/>
    <s v="French"/>
    <n v="407"/>
    <n v="6039"/>
    <n v="7"/>
    <s v="Health &amp; Wellness"/>
    <x v="123"/>
  </r>
  <r>
    <s v="DataTech Solutions"/>
    <x v="1"/>
    <s v="Women 35-44"/>
    <s v="60 days"/>
    <x v="1"/>
    <n v="0.15"/>
    <n v="13940"/>
    <n v="6.06"/>
    <n v="134"/>
    <n v="104.02985074626865"/>
    <s v="New York"/>
    <s v="English"/>
    <n v="896"/>
    <n v="6558"/>
    <n v="2"/>
    <s v="Outdoor Adventurers"/>
    <x v="124"/>
  </r>
  <r>
    <s v="Innovate Industries"/>
    <x v="2"/>
    <s v="Men 25-34"/>
    <s v="60 days"/>
    <x v="0"/>
    <n v="0.1"/>
    <n v="18998"/>
    <n v="6.75"/>
    <n v="66"/>
    <n v="287.84848484848487"/>
    <s v="New York"/>
    <s v="German"/>
    <n v="659"/>
    <n v="2482"/>
    <n v="6"/>
    <s v="Health &amp; Wellness"/>
    <x v="125"/>
  </r>
  <r>
    <s v="NexGen Systems"/>
    <x v="2"/>
    <s v="Women 25-34"/>
    <s v="45 days"/>
    <x v="0"/>
    <n v="0.14000000000000001"/>
    <n v="8165"/>
    <n v="6.38"/>
    <n v="33"/>
    <n v="247.42424242424244"/>
    <s v="Miami"/>
    <s v="German"/>
    <n v="235"/>
    <n v="5439"/>
    <n v="5"/>
    <s v="Health &amp; Wellness"/>
    <x v="126"/>
  </r>
  <r>
    <s v="DataTech Solutions"/>
    <x v="3"/>
    <s v="Women 35-44"/>
    <s v="45 days"/>
    <x v="4"/>
    <n v="0.02"/>
    <n v="18707"/>
    <n v="2.9"/>
    <n v="7"/>
    <n v="2672.4285714285716"/>
    <s v="New York"/>
    <s v="Spanish"/>
    <n v="357"/>
    <n v="1936"/>
    <n v="4"/>
    <s v="Tech Enthusiasts"/>
    <x v="127"/>
  </r>
  <r>
    <s v="Alpha Innovations"/>
    <x v="3"/>
    <s v="Men 25-34"/>
    <s v="45 days"/>
    <x v="5"/>
    <n v="0.05"/>
    <n v="16162"/>
    <n v="7.88"/>
    <n v="12"/>
    <n v="1346.8333333333333"/>
    <s v="Los Angeles"/>
    <s v="English"/>
    <n v="245"/>
    <n v="6068"/>
    <n v="9"/>
    <s v="Foodies"/>
    <x v="128"/>
  </r>
  <r>
    <s v="TechCorp"/>
    <x v="0"/>
    <s v="Men 25-34"/>
    <s v="30 days"/>
    <x v="5"/>
    <n v="0.13"/>
    <n v="10213"/>
    <n v="7.62"/>
    <n v="58"/>
    <n v="176.08620689655172"/>
    <s v="Los Angeles"/>
    <s v="Spanish"/>
    <n v="449"/>
    <n v="7289"/>
    <n v="1"/>
    <s v="Outdoor Adventurers"/>
    <x v="129"/>
  </r>
  <r>
    <s v="Innovate Industries"/>
    <x v="1"/>
    <s v="Women 35-44"/>
    <s v="30 days"/>
    <x v="1"/>
    <n v="0.12"/>
    <n v="12453"/>
    <n v="4.08"/>
    <n v="22"/>
    <n v="566.0454545454545"/>
    <s v="Los Angeles"/>
    <s v="Mandarin"/>
    <n v="182"/>
    <n v="8940"/>
    <n v="3"/>
    <s v="Health &amp; Wellness"/>
    <x v="130"/>
  </r>
  <r>
    <s v="Alpha Innovations"/>
    <x v="0"/>
    <s v="Women 25-34"/>
    <s v="30 days"/>
    <x v="1"/>
    <n v="0.04"/>
    <n v="9692"/>
    <n v="7.67"/>
    <n v="20"/>
    <n v="484.6"/>
    <s v="Los Angeles"/>
    <s v="English"/>
    <n v="498"/>
    <n v="9083"/>
    <n v="1"/>
    <s v="Fashionistas"/>
    <x v="131"/>
  </r>
  <r>
    <s v="DataTech Solutions"/>
    <x v="1"/>
    <s v="Men 18-24"/>
    <s v="45 days"/>
    <x v="2"/>
    <n v="0.08"/>
    <n v="12016"/>
    <n v="3.33"/>
    <n v="38"/>
    <n v="316.21052631578948"/>
    <s v="New York"/>
    <s v="Spanish"/>
    <n v="480"/>
    <n v="9432"/>
    <n v="6"/>
    <s v="Health &amp; Wellness"/>
    <x v="132"/>
  </r>
  <r>
    <s v="TechCorp"/>
    <x v="1"/>
    <s v="Men 18-24"/>
    <s v="15 days"/>
    <x v="4"/>
    <n v="0.08"/>
    <n v="16364"/>
    <n v="4.9000000000000004"/>
    <n v="68"/>
    <n v="240.64705882352942"/>
    <s v="Chicago"/>
    <s v="English"/>
    <n v="850"/>
    <n v="3534"/>
    <n v="9"/>
    <s v="Tech Enthusiasts"/>
    <x v="133"/>
  </r>
  <r>
    <s v="Alpha Innovations"/>
    <x v="2"/>
    <s v="Men 25-34"/>
    <s v="30 days"/>
    <x v="4"/>
    <n v="0.11"/>
    <n v="7436"/>
    <n v="5.27"/>
    <n v="72"/>
    <n v="103.27777777777777"/>
    <s v="Houston"/>
    <s v="Mandarin"/>
    <n v="654"/>
    <n v="3026"/>
    <n v="10"/>
    <s v="Health &amp; Wellness"/>
    <x v="134"/>
  </r>
  <r>
    <s v="NexGen Systems"/>
    <x v="4"/>
    <s v="Men 18-24"/>
    <s v="15 days"/>
    <x v="2"/>
    <n v="0.02"/>
    <n v="10631"/>
    <n v="5.62"/>
    <n v="13"/>
    <n v="817.76923076923072"/>
    <s v="Chicago"/>
    <s v="Mandarin"/>
    <n v="634"/>
    <n v="7016"/>
    <n v="5"/>
    <s v="Tech Enthusiasts"/>
    <x v="135"/>
  </r>
  <r>
    <s v="NexGen Systems"/>
    <x v="1"/>
    <s v="Men 18-24"/>
    <s v="45 days"/>
    <x v="0"/>
    <n v="0.01"/>
    <n v="18533"/>
    <n v="7.39"/>
    <n v="4"/>
    <n v="4633.25"/>
    <s v="Los Angeles"/>
    <s v="English"/>
    <n v="383"/>
    <n v="4139"/>
    <n v="9"/>
    <s v="Tech Enthusiasts"/>
    <x v="136"/>
  </r>
  <r>
    <s v="Innovate Industries"/>
    <x v="1"/>
    <s v="Men 25-34"/>
    <s v="15 days"/>
    <x v="0"/>
    <n v="0.11"/>
    <n v="7848"/>
    <n v="5.87"/>
    <n v="26"/>
    <n v="301.84615384615387"/>
    <s v="New York"/>
    <s v="English"/>
    <n v="233"/>
    <n v="3505"/>
    <n v="3"/>
    <s v="Foodies"/>
    <x v="137"/>
  </r>
  <r>
    <s v="Alpha Innovations"/>
    <x v="0"/>
    <s v="Men 18-24"/>
    <s v="15 days"/>
    <x v="3"/>
    <n v="0.11"/>
    <n v="10364"/>
    <n v="3.63"/>
    <n v="44"/>
    <n v="235.54545454545453"/>
    <s v="Miami"/>
    <s v="English"/>
    <n v="402"/>
    <n v="9332"/>
    <n v="7"/>
    <s v="Fashionistas"/>
    <x v="138"/>
  </r>
  <r>
    <s v="DataTech Solutions"/>
    <x v="4"/>
    <s v="Women 35-44"/>
    <s v="45 days"/>
    <x v="5"/>
    <n v="0.12"/>
    <n v="17466"/>
    <n v="2.21"/>
    <n v="66"/>
    <n v="264.63636363636363"/>
    <s v="Chicago"/>
    <s v="French"/>
    <n v="552"/>
    <n v="8913"/>
    <n v="1"/>
    <s v="Foodies"/>
    <x v="139"/>
  </r>
  <r>
    <s v="NexGen Systems"/>
    <x v="4"/>
    <s v="Women 25-34"/>
    <s v="30 days"/>
    <x v="0"/>
    <n v="0.11"/>
    <n v="5779"/>
    <n v="5.36"/>
    <n v="37"/>
    <n v="156.18918918918919"/>
    <s v="Chicago"/>
    <s v="French"/>
    <n v="339"/>
    <n v="6285"/>
    <n v="8"/>
    <s v="Outdoor Adventurers"/>
    <x v="140"/>
  </r>
  <r>
    <s v="NexGen Systems"/>
    <x v="3"/>
    <s v="All Ages"/>
    <s v="45 days"/>
    <x v="3"/>
    <n v="0.13"/>
    <n v="14312"/>
    <n v="4.25"/>
    <n v="99"/>
    <n v="144.56565656565655"/>
    <s v="Miami"/>
    <s v="Spanish"/>
    <n v="759"/>
    <n v="9969"/>
    <n v="4"/>
    <s v="Fashionistas"/>
    <x v="141"/>
  </r>
  <r>
    <s v="Alpha Innovations"/>
    <x v="1"/>
    <s v="Women 25-34"/>
    <s v="45 days"/>
    <x v="1"/>
    <n v="7.0000000000000007E-2"/>
    <n v="12020"/>
    <n v="6.98"/>
    <n v="12"/>
    <n v="1001.6666666666666"/>
    <s v="Houston"/>
    <s v="German"/>
    <n v="173"/>
    <n v="2232"/>
    <n v="6"/>
    <s v="Foodies"/>
    <x v="142"/>
  </r>
  <r>
    <s v="Innovate Industries"/>
    <x v="1"/>
    <s v="Women 25-34"/>
    <s v="30 days"/>
    <x v="0"/>
    <n v="0.03"/>
    <n v="11714"/>
    <n v="4.9000000000000004"/>
    <n v="12"/>
    <n v="976.16666666666663"/>
    <s v="Los Angeles"/>
    <s v="English"/>
    <n v="393"/>
    <n v="1707"/>
    <n v="7"/>
    <s v="Foodies"/>
    <x v="143"/>
  </r>
  <r>
    <s v="TechCorp"/>
    <x v="0"/>
    <s v="Men 25-34"/>
    <s v="30 days"/>
    <x v="1"/>
    <n v="0.12"/>
    <n v="15450"/>
    <n v="7.48"/>
    <n v="61"/>
    <n v="253.27868852459017"/>
    <s v="Houston"/>
    <s v="Spanish"/>
    <n v="510"/>
    <n v="3587"/>
    <n v="6"/>
    <s v="Fashionistas"/>
    <x v="144"/>
  </r>
  <r>
    <s v="Alpha Innovations"/>
    <x v="3"/>
    <s v="Men 18-24"/>
    <s v="60 days"/>
    <x v="1"/>
    <n v="0.08"/>
    <n v="19288"/>
    <n v="3.34"/>
    <n v="25"/>
    <n v="771.52"/>
    <s v="New York"/>
    <s v="English"/>
    <n v="307"/>
    <n v="2196"/>
    <n v="9"/>
    <s v="Tech Enthusiasts"/>
    <x v="145"/>
  </r>
  <r>
    <s v="TechCorp"/>
    <x v="1"/>
    <s v="Men 25-34"/>
    <s v="45 days"/>
    <x v="5"/>
    <n v="0.03"/>
    <n v="18398"/>
    <n v="2.27"/>
    <n v="29"/>
    <n v="634.41379310344826"/>
    <s v="Houston"/>
    <s v="English"/>
    <n v="952"/>
    <n v="8254"/>
    <n v="9"/>
    <s v="Outdoor Adventurers"/>
    <x v="146"/>
  </r>
  <r>
    <s v="TechCorp"/>
    <x v="3"/>
    <s v="Men 18-24"/>
    <s v="15 days"/>
    <x v="0"/>
    <n v="0.12"/>
    <n v="18757"/>
    <n v="2.79"/>
    <n v="89"/>
    <n v="210.75280898876406"/>
    <s v="Miami"/>
    <s v="English"/>
    <n v="742"/>
    <n v="3200"/>
    <n v="10"/>
    <s v="Tech Enthusiasts"/>
    <x v="147"/>
  </r>
  <r>
    <s v="DataTech Solutions"/>
    <x v="4"/>
    <s v="Men 25-34"/>
    <s v="15 days"/>
    <x v="4"/>
    <n v="0.03"/>
    <n v="14645"/>
    <n v="7.74"/>
    <n v="12"/>
    <n v="1220.4166666666667"/>
    <s v="Chicago"/>
    <s v="German"/>
    <n v="392"/>
    <n v="6680"/>
    <n v="1"/>
    <s v="Tech Enthusiasts"/>
    <x v="148"/>
  </r>
  <r>
    <s v="DataTech Solutions"/>
    <x v="1"/>
    <s v="Women 35-44"/>
    <s v="15 days"/>
    <x v="2"/>
    <n v="0.04"/>
    <n v="17566"/>
    <n v="5.65"/>
    <n v="7"/>
    <n v="2509.4285714285716"/>
    <s v="Houston"/>
    <s v="Spanish"/>
    <n v="163"/>
    <n v="8225"/>
    <n v="1"/>
    <s v="Fashionistas"/>
    <x v="149"/>
  </r>
  <r>
    <s v="DataTech Solutions"/>
    <x v="4"/>
    <s v="Women 35-44"/>
    <s v="45 days"/>
    <x v="3"/>
    <n v="0.08"/>
    <n v="7425"/>
    <n v="3.85"/>
    <n v="64"/>
    <n v="116.015625"/>
    <s v="Houston"/>
    <s v="German"/>
    <n v="805"/>
    <n v="9542"/>
    <n v="8"/>
    <s v="Outdoor Adventurers"/>
    <x v="150"/>
  </r>
  <r>
    <s v="Alpha Innovations"/>
    <x v="2"/>
    <s v="Women 25-34"/>
    <s v="15 days"/>
    <x v="2"/>
    <n v="0.05"/>
    <n v="11773"/>
    <n v="5.19"/>
    <n v="23"/>
    <n v="511.86956521739131"/>
    <s v="Chicago"/>
    <s v="English"/>
    <n v="456"/>
    <n v="1908"/>
    <n v="9"/>
    <s v="Foodies"/>
    <x v="151"/>
  </r>
  <r>
    <s v="DataTech Solutions"/>
    <x v="4"/>
    <s v="All Ages"/>
    <s v="15 days"/>
    <x v="0"/>
    <n v="0.11"/>
    <n v="17973"/>
    <n v="5.83"/>
    <n v="103"/>
    <n v="174.49514563106797"/>
    <s v="Los Angeles"/>
    <s v="English"/>
    <n v="932"/>
    <n v="4979"/>
    <n v="10"/>
    <s v="Health &amp; Wellness"/>
    <x v="152"/>
  </r>
  <r>
    <s v="DataTech Solutions"/>
    <x v="2"/>
    <s v="Women 25-34"/>
    <s v="60 days"/>
    <x v="1"/>
    <n v="0.14000000000000001"/>
    <n v="6842"/>
    <n v="3.2"/>
    <n v="138"/>
    <n v="49.579710144927539"/>
    <s v="Chicago"/>
    <s v="English"/>
    <n v="986"/>
    <n v="4674"/>
    <n v="5"/>
    <s v="Fashionistas"/>
    <x v="153"/>
  </r>
  <r>
    <s v="NexGen Systems"/>
    <x v="4"/>
    <s v="Men 18-24"/>
    <s v="45 days"/>
    <x v="2"/>
    <n v="0.14000000000000001"/>
    <n v="8784"/>
    <n v="7.56"/>
    <n v="122"/>
    <n v="72"/>
    <s v="New York"/>
    <s v="German"/>
    <n v="871"/>
    <n v="7358"/>
    <n v="4"/>
    <s v="Health &amp; Wellness"/>
    <x v="154"/>
  </r>
  <r>
    <s v="Alpha Innovations"/>
    <x v="4"/>
    <s v="Women 25-34"/>
    <s v="60 days"/>
    <x v="5"/>
    <n v="0.13"/>
    <n v="5435"/>
    <n v="5.1100000000000003"/>
    <n v="60"/>
    <n v="90.583333333333329"/>
    <s v="Chicago"/>
    <s v="French"/>
    <n v="461"/>
    <n v="1161"/>
    <n v="7"/>
    <s v="Foodies"/>
    <x v="155"/>
  </r>
  <r>
    <s v="TechCorp"/>
    <x v="2"/>
    <s v="Men 18-24"/>
    <s v="45 days"/>
    <x v="3"/>
    <n v="0.02"/>
    <n v="15049"/>
    <n v="7.17"/>
    <n v="17"/>
    <n v="885.23529411764707"/>
    <s v="Los Angeles"/>
    <s v="Spanish"/>
    <n v="859"/>
    <n v="2296"/>
    <n v="8"/>
    <s v="Outdoor Adventurers"/>
    <x v="156"/>
  </r>
  <r>
    <s v="Innovate Industries"/>
    <x v="2"/>
    <s v="All Ages"/>
    <s v="45 days"/>
    <x v="4"/>
    <n v="0.06"/>
    <n v="5117"/>
    <n v="2.41"/>
    <n v="13"/>
    <n v="393.61538461538464"/>
    <s v="Chicago"/>
    <s v="English"/>
    <n v="213"/>
    <n v="8266"/>
    <n v="6"/>
    <s v="Health &amp; Wellness"/>
    <x v="157"/>
  </r>
  <r>
    <s v="Alpha Innovations"/>
    <x v="1"/>
    <s v="Women 25-34"/>
    <s v="45 days"/>
    <x v="0"/>
    <n v="7.0000000000000007E-2"/>
    <n v="8623"/>
    <n v="5.79"/>
    <n v="36"/>
    <n v="239.52777777777777"/>
    <s v="Houston"/>
    <s v="French"/>
    <n v="520"/>
    <n v="2297"/>
    <n v="8"/>
    <s v="Health &amp; Wellness"/>
    <x v="158"/>
  </r>
  <r>
    <s v="TechCorp"/>
    <x v="2"/>
    <s v="Men 18-24"/>
    <s v="15 days"/>
    <x v="3"/>
    <n v="0.1"/>
    <n v="14312"/>
    <n v="3.83"/>
    <n v="89"/>
    <n v="160.80898876404495"/>
    <s v="Chicago"/>
    <s v="English"/>
    <n v="891"/>
    <n v="6628"/>
    <n v="6"/>
    <s v="Tech Enthusiasts"/>
    <x v="159"/>
  </r>
  <r>
    <s v="Alpha Innovations"/>
    <x v="1"/>
    <s v="All Ages"/>
    <s v="45 days"/>
    <x v="1"/>
    <n v="0.02"/>
    <n v="6141"/>
    <n v="4.13"/>
    <n v="13"/>
    <n v="472.38461538461536"/>
    <s v="New York"/>
    <s v="Mandarin"/>
    <n v="627"/>
    <n v="8324"/>
    <n v="9"/>
    <s v="Outdoor Adventurers"/>
    <x v="160"/>
  </r>
  <r>
    <s v="DataTech Solutions"/>
    <x v="1"/>
    <s v="Women 35-44"/>
    <s v="60 days"/>
    <x v="0"/>
    <n v="0.12"/>
    <n v="9101"/>
    <n v="3.15"/>
    <n v="82"/>
    <n v="110.98780487804878"/>
    <s v="Miami"/>
    <s v="English"/>
    <n v="686"/>
    <n v="9452"/>
    <n v="2"/>
    <s v="Outdoor Adventurers"/>
    <x v="161"/>
  </r>
  <r>
    <s v="Alpha Innovations"/>
    <x v="2"/>
    <s v="Women 35-44"/>
    <s v="45 days"/>
    <x v="5"/>
    <n v="0.13"/>
    <n v="7755"/>
    <n v="3.55"/>
    <n v="129"/>
    <n v="60.116279069767444"/>
    <s v="Los Angeles"/>
    <s v="German"/>
    <n v="991"/>
    <n v="4960"/>
    <n v="7"/>
    <s v="Tech Enthusiasts"/>
    <x v="162"/>
  </r>
  <r>
    <s v="Innovate Industries"/>
    <x v="0"/>
    <s v="Men 18-24"/>
    <s v="60 days"/>
    <x v="1"/>
    <n v="0.15"/>
    <n v="12718"/>
    <n v="5.48"/>
    <n v="95"/>
    <n v="133.87368421052631"/>
    <s v="Los Angeles"/>
    <s v="French"/>
    <n v="636"/>
    <n v="2084"/>
    <n v="4"/>
    <s v="Fashionistas"/>
    <x v="163"/>
  </r>
  <r>
    <s v="Innovate Industries"/>
    <x v="0"/>
    <s v="Men 25-34"/>
    <s v="45 days"/>
    <x v="3"/>
    <n v="0.09"/>
    <n v="14830"/>
    <n v="3.5"/>
    <n v="29"/>
    <n v="511.37931034482756"/>
    <s v="Miami"/>
    <s v="Spanish"/>
    <n v="327"/>
    <n v="2071"/>
    <n v="5"/>
    <s v="Outdoor Adventurers"/>
    <x v="164"/>
  </r>
  <r>
    <s v="Innovate Industries"/>
    <x v="3"/>
    <s v="Men 18-24"/>
    <s v="15 days"/>
    <x v="3"/>
    <n v="0.08"/>
    <n v="18137"/>
    <n v="3.83"/>
    <n v="52"/>
    <n v="348.78846153846155"/>
    <s v="Miami"/>
    <s v="Mandarin"/>
    <n v="655"/>
    <n v="1852"/>
    <n v="8"/>
    <s v="Tech Enthusiasts"/>
    <x v="165"/>
  </r>
  <r>
    <s v="Innovate Industries"/>
    <x v="4"/>
    <s v="All Ages"/>
    <s v="45 days"/>
    <x v="0"/>
    <n v="0.11"/>
    <n v="5002"/>
    <n v="4.7"/>
    <n v="63"/>
    <n v="79.396825396825392"/>
    <s v="Chicago"/>
    <s v="Spanish"/>
    <n v="570"/>
    <n v="8222"/>
    <n v="9"/>
    <s v="Foodies"/>
    <x v="166"/>
  </r>
  <r>
    <s v="NexGen Systems"/>
    <x v="2"/>
    <s v="Men 25-34"/>
    <s v="60 days"/>
    <x v="0"/>
    <n v="0.06"/>
    <n v="6709"/>
    <n v="2.1"/>
    <n v="56"/>
    <n v="119.80357142857143"/>
    <s v="New York"/>
    <s v="German"/>
    <n v="941"/>
    <n v="9175"/>
    <n v="10"/>
    <s v="Health &amp; Wellness"/>
    <x v="167"/>
  </r>
  <r>
    <s v="NexGen Systems"/>
    <x v="4"/>
    <s v="Women 35-44"/>
    <s v="15 days"/>
    <x v="5"/>
    <n v="0.14000000000000001"/>
    <n v="15649"/>
    <n v="3.65"/>
    <n v="75"/>
    <n v="208.65333333333334"/>
    <s v="Houston"/>
    <s v="English"/>
    <n v="533"/>
    <n v="5442"/>
    <n v="4"/>
    <s v="Outdoor Adventurers"/>
    <x v="168"/>
  </r>
  <r>
    <s v="NexGen Systems"/>
    <x v="4"/>
    <s v="Men 18-24"/>
    <s v="45 days"/>
    <x v="4"/>
    <n v="0.1"/>
    <n v="11899"/>
    <n v="6.35"/>
    <n v="45"/>
    <n v="264.42222222222222"/>
    <s v="Houston"/>
    <s v="French"/>
    <n v="448"/>
    <n v="6923"/>
    <n v="10"/>
    <s v="Foodies"/>
    <x v="169"/>
  </r>
  <r>
    <s v="Innovate Industries"/>
    <x v="2"/>
    <s v="Women 35-44"/>
    <s v="30 days"/>
    <x v="3"/>
    <n v="0.02"/>
    <n v="13282"/>
    <n v="7.77"/>
    <n v="15"/>
    <n v="885.4666666666667"/>
    <s v="New York"/>
    <s v="Mandarin"/>
    <n v="729"/>
    <n v="3610"/>
    <n v="9"/>
    <s v="Fashionistas"/>
    <x v="170"/>
  </r>
  <r>
    <s v="Innovate Industries"/>
    <x v="0"/>
    <s v="Women 25-34"/>
    <s v="15 days"/>
    <x v="4"/>
    <n v="0.1"/>
    <n v="9979"/>
    <n v="6.43"/>
    <n v="37"/>
    <n v="269.70270270270271"/>
    <s v="New York"/>
    <s v="Spanish"/>
    <n v="365"/>
    <n v="4718"/>
    <n v="10"/>
    <s v="Fashionistas"/>
    <x v="171"/>
  </r>
  <r>
    <s v="Innovate Industries"/>
    <x v="4"/>
    <s v="Women 25-34"/>
    <s v="15 days"/>
    <x v="1"/>
    <n v="0.03"/>
    <n v="13244"/>
    <n v="5.31"/>
    <n v="18"/>
    <n v="735.77777777777783"/>
    <s v="Chicago"/>
    <s v="Mandarin"/>
    <n v="610"/>
    <n v="9877"/>
    <n v="5"/>
    <s v="Health &amp; Wellness"/>
    <x v="172"/>
  </r>
  <r>
    <s v="TechCorp"/>
    <x v="0"/>
    <s v="Women 25-34"/>
    <s v="60 days"/>
    <x v="3"/>
    <n v="0.09"/>
    <n v="17035"/>
    <n v="2.6"/>
    <n v="31"/>
    <n v="549.51612903225805"/>
    <s v="New York"/>
    <s v="Mandarin"/>
    <n v="342"/>
    <n v="9930"/>
    <n v="6"/>
    <s v="Fashionistas"/>
    <x v="173"/>
  </r>
  <r>
    <s v="NexGen Systems"/>
    <x v="3"/>
    <s v="Women 35-44"/>
    <s v="60 days"/>
    <x v="0"/>
    <n v="0.02"/>
    <n v="16683"/>
    <n v="5.64"/>
    <n v="6"/>
    <n v="2780.5"/>
    <s v="Chicago"/>
    <s v="German"/>
    <n v="286"/>
    <n v="7020"/>
    <n v="5"/>
    <s v="Fashionistas"/>
    <x v="174"/>
  </r>
  <r>
    <s v="TechCorp"/>
    <x v="4"/>
    <s v="Men 25-34"/>
    <s v="45 days"/>
    <x v="5"/>
    <n v="0.15"/>
    <n v="19321"/>
    <n v="7.78"/>
    <n v="120"/>
    <n v="161.00833333333333"/>
    <s v="New York"/>
    <s v="Spanish"/>
    <n v="797"/>
    <n v="4553"/>
    <n v="7"/>
    <s v="Outdoor Adventurers"/>
    <x v="175"/>
  </r>
  <r>
    <s v="DataTech Solutions"/>
    <x v="4"/>
    <s v="Women 25-34"/>
    <s v="45 days"/>
    <x v="0"/>
    <n v="0.03"/>
    <n v="10282"/>
    <n v="4.71"/>
    <n v="7"/>
    <n v="1468.8571428571429"/>
    <s v="Los Angeles"/>
    <s v="Spanish"/>
    <n v="236"/>
    <n v="1998"/>
    <n v="10"/>
    <s v="Tech Enthusiasts"/>
    <x v="176"/>
  </r>
  <r>
    <s v="TechCorp"/>
    <x v="3"/>
    <s v="Women 35-44"/>
    <s v="30 days"/>
    <x v="5"/>
    <n v="0.06"/>
    <n v="19127"/>
    <n v="6.39"/>
    <n v="22"/>
    <n v="869.40909090909088"/>
    <s v="New York"/>
    <s v="Mandarin"/>
    <n v="369"/>
    <n v="7693"/>
    <n v="5"/>
    <s v="Tech Enthusiasts"/>
    <x v="177"/>
  </r>
  <r>
    <s v="TechCorp"/>
    <x v="2"/>
    <s v="Men 25-34"/>
    <s v="15 days"/>
    <x v="4"/>
    <n v="0.08"/>
    <n v="5194"/>
    <n v="2.62"/>
    <n v="51"/>
    <n v="101.84313725490196"/>
    <s v="New York"/>
    <s v="English"/>
    <n v="638"/>
    <n v="3660"/>
    <n v="7"/>
    <s v="Tech Enthusiasts"/>
    <x v="178"/>
  </r>
  <r>
    <s v="DataTech Solutions"/>
    <x v="4"/>
    <s v="Women 35-44"/>
    <s v="15 days"/>
    <x v="1"/>
    <n v="0.11"/>
    <n v="16620"/>
    <n v="4.7300000000000004"/>
    <n v="39"/>
    <n v="426.15384615384613"/>
    <s v="New York"/>
    <s v="French"/>
    <n v="352"/>
    <n v="8243"/>
    <n v="3"/>
    <s v="Outdoor Adventurers"/>
    <x v="179"/>
  </r>
  <r>
    <s v="NexGen Systems"/>
    <x v="3"/>
    <s v="Men 18-24"/>
    <s v="15 days"/>
    <x v="5"/>
    <n v="0.05"/>
    <n v="13485"/>
    <n v="3.33"/>
    <n v="38"/>
    <n v="354.86842105263156"/>
    <s v="New York"/>
    <s v="German"/>
    <n v="761"/>
    <n v="1584"/>
    <n v="5"/>
    <s v="Tech Enthusiasts"/>
    <x v="180"/>
  </r>
  <r>
    <s v="DataTech Solutions"/>
    <x v="4"/>
    <s v="Women 35-44"/>
    <s v="30 days"/>
    <x v="2"/>
    <n v="0.08"/>
    <n v="8239"/>
    <n v="3.49"/>
    <n v="76"/>
    <n v="108.40789473684211"/>
    <s v="Chicago"/>
    <s v="Mandarin"/>
    <n v="951"/>
    <n v="6168"/>
    <n v="3"/>
    <s v="Outdoor Adventurers"/>
    <x v="181"/>
  </r>
  <r>
    <s v="DataTech Solutions"/>
    <x v="1"/>
    <s v="All Ages"/>
    <s v="30 days"/>
    <x v="1"/>
    <n v="0.14000000000000001"/>
    <n v="7101"/>
    <n v="4.2"/>
    <n v="38"/>
    <n v="186.86842105263159"/>
    <s v="Houston"/>
    <s v="Mandarin"/>
    <n v="273"/>
    <n v="7543"/>
    <n v="3"/>
    <s v="Fashionistas"/>
    <x v="182"/>
  </r>
  <r>
    <s v="DataTech Solutions"/>
    <x v="0"/>
    <s v="All Ages"/>
    <s v="15 days"/>
    <x v="1"/>
    <n v="0.13"/>
    <n v="15727"/>
    <n v="7.35"/>
    <n v="93"/>
    <n v="169.10752688172042"/>
    <s v="Miami"/>
    <s v="English"/>
    <n v="717"/>
    <n v="5702"/>
    <n v="8"/>
    <s v="Outdoor Adventurers"/>
    <x v="183"/>
  </r>
  <r>
    <s v="Alpha Innovations"/>
    <x v="3"/>
    <s v="Women 35-44"/>
    <s v="60 days"/>
    <x v="3"/>
    <n v="0.11"/>
    <n v="15409"/>
    <n v="7.26"/>
    <n v="109"/>
    <n v="141.36697247706422"/>
    <s v="Chicago"/>
    <s v="Spanish"/>
    <n v="995"/>
    <n v="4286"/>
    <n v="4"/>
    <s v="Health &amp; Wellness"/>
    <x v="184"/>
  </r>
  <r>
    <s v="NexGen Systems"/>
    <x v="4"/>
    <s v="Women 35-44"/>
    <s v="15 days"/>
    <x v="2"/>
    <n v="0.08"/>
    <n v="9692"/>
    <n v="2.5299999999999998"/>
    <n v="12"/>
    <n v="807.66666666666663"/>
    <s v="Miami"/>
    <s v="English"/>
    <n v="152"/>
    <n v="7907"/>
    <n v="10"/>
    <s v="Tech Enthusiasts"/>
    <x v="185"/>
  </r>
  <r>
    <s v="Innovate Industries"/>
    <x v="3"/>
    <s v="Men 25-34"/>
    <s v="15 days"/>
    <x v="1"/>
    <n v="0.12"/>
    <n v="10941"/>
    <n v="6.54"/>
    <n v="22"/>
    <n v="497.31818181818181"/>
    <s v="Chicago"/>
    <s v="Spanish"/>
    <n v="187"/>
    <n v="7094"/>
    <n v="5"/>
    <s v="Tech Enthusiasts"/>
    <x v="186"/>
  </r>
  <r>
    <s v="NexGen Systems"/>
    <x v="1"/>
    <s v="Women 25-34"/>
    <s v="60 days"/>
    <x v="4"/>
    <n v="0.13"/>
    <n v="14466"/>
    <n v="4.62"/>
    <n v="77"/>
    <n v="187.87012987012986"/>
    <s v="Los Angeles"/>
    <s v="Spanish"/>
    <n v="595"/>
    <n v="2401"/>
    <n v="3"/>
    <s v="Health &amp; Wellness"/>
    <x v="187"/>
  </r>
  <r>
    <s v="Alpha Innovations"/>
    <x v="0"/>
    <s v="Men 25-34"/>
    <s v="15 days"/>
    <x v="0"/>
    <n v="0.06"/>
    <n v="14076"/>
    <n v="2.06"/>
    <n v="20"/>
    <n v="703.8"/>
    <s v="Los Angeles"/>
    <s v="Mandarin"/>
    <n v="331"/>
    <n v="6864"/>
    <n v="8"/>
    <s v="Health &amp; Wellness"/>
    <x v="188"/>
  </r>
  <r>
    <s v="TechCorp"/>
    <x v="4"/>
    <s v="Men 18-24"/>
    <s v="30 days"/>
    <x v="4"/>
    <n v="0.05"/>
    <n v="10012"/>
    <n v="3.76"/>
    <n v="17"/>
    <n v="588.94117647058829"/>
    <s v="Miami"/>
    <s v="English"/>
    <n v="346"/>
    <n v="3215"/>
    <n v="3"/>
    <s v="Fashionistas"/>
    <x v="189"/>
  </r>
  <r>
    <s v="TechCorp"/>
    <x v="4"/>
    <s v="Men 25-34"/>
    <s v="45 days"/>
    <x v="3"/>
    <n v="0.09"/>
    <n v="12571"/>
    <n v="7.42"/>
    <n v="71"/>
    <n v="177.05633802816902"/>
    <s v="Miami"/>
    <s v="Spanish"/>
    <n v="792"/>
    <n v="3820"/>
    <n v="7"/>
    <s v="Foodies"/>
    <x v="190"/>
  </r>
  <r>
    <s v="NexGen Systems"/>
    <x v="4"/>
    <s v="Men 18-24"/>
    <s v="30 days"/>
    <x v="3"/>
    <n v="0.04"/>
    <n v="17041"/>
    <n v="5.58"/>
    <n v="24"/>
    <n v="710.04166666666663"/>
    <s v="Houston"/>
    <s v="Mandarin"/>
    <n v="612"/>
    <n v="2461"/>
    <n v="7"/>
    <s v="Health &amp; Wellness"/>
    <x v="191"/>
  </r>
  <r>
    <s v="NexGen Systems"/>
    <x v="3"/>
    <s v="Women 35-44"/>
    <s v="45 days"/>
    <x v="2"/>
    <n v="0.12"/>
    <n v="11463"/>
    <n v="6.49"/>
    <n v="46"/>
    <n v="249.19565217391303"/>
    <s v="Miami"/>
    <s v="French"/>
    <n v="384"/>
    <n v="2856"/>
    <n v="1"/>
    <s v="Outdoor Adventurers"/>
    <x v="192"/>
  </r>
  <r>
    <s v="DataTech Solutions"/>
    <x v="2"/>
    <s v="Men 25-34"/>
    <s v="60 days"/>
    <x v="0"/>
    <n v="0.15"/>
    <n v="7890"/>
    <n v="4.5999999999999996"/>
    <n v="113"/>
    <n v="69.823008849557525"/>
    <s v="New York"/>
    <s v="English"/>
    <n v="755"/>
    <n v="8332"/>
    <n v="7"/>
    <s v="Foodies"/>
    <x v="193"/>
  </r>
  <r>
    <s v="Innovate Industries"/>
    <x v="3"/>
    <s v="Women 25-34"/>
    <s v="30 days"/>
    <x v="5"/>
    <n v="0.02"/>
    <n v="14290"/>
    <n v="4.91"/>
    <n v="19"/>
    <n v="752.10526315789468"/>
    <s v="Miami"/>
    <s v="English"/>
    <n v="936"/>
    <n v="6486"/>
    <n v="5"/>
    <s v="Tech Enthusiasts"/>
    <x v="194"/>
  </r>
  <r>
    <s v="Alpha Innovations"/>
    <x v="0"/>
    <s v="Women 25-34"/>
    <s v="15 days"/>
    <x v="2"/>
    <n v="0.05"/>
    <n v="14933"/>
    <n v="7.38"/>
    <n v="7"/>
    <n v="2133.2857142857142"/>
    <s v="New York"/>
    <s v="German"/>
    <n v="144"/>
    <n v="3478"/>
    <n v="6"/>
    <s v="Health &amp; Wellness"/>
    <x v="195"/>
  </r>
  <r>
    <s v="NexGen Systems"/>
    <x v="3"/>
    <s v="Men 18-24"/>
    <s v="45 days"/>
    <x v="5"/>
    <n v="0.08"/>
    <n v="6217"/>
    <n v="4.01"/>
    <n v="22"/>
    <n v="282.59090909090907"/>
    <s v="Los Angeles"/>
    <s v="French"/>
    <n v="280"/>
    <n v="6552"/>
    <n v="7"/>
    <s v="Foodies"/>
    <x v="196"/>
  </r>
  <r>
    <s v="NexGen Systems"/>
    <x v="0"/>
    <s v="All Ages"/>
    <s v="30 days"/>
    <x v="1"/>
    <n v="0.1"/>
    <n v="9774"/>
    <n v="3.95"/>
    <n v="13"/>
    <n v="751.84615384615381"/>
    <s v="New York"/>
    <s v="German"/>
    <n v="125"/>
    <n v="5250"/>
    <n v="1"/>
    <s v="Tech Enthusiasts"/>
    <x v="197"/>
  </r>
  <r>
    <s v="TechCorp"/>
    <x v="1"/>
    <s v="Men 18-24"/>
    <s v="30 days"/>
    <x v="3"/>
    <n v="0.08"/>
    <n v="13308"/>
    <n v="4.1399999999999997"/>
    <n v="57"/>
    <n v="233.47368421052633"/>
    <s v="Miami"/>
    <s v="English"/>
    <n v="709"/>
    <n v="8889"/>
    <n v="8"/>
    <s v="Outdoor Adventurers"/>
    <x v="198"/>
  </r>
  <r>
    <s v="Alpha Innovations"/>
    <x v="4"/>
    <s v="Women 35-44"/>
    <s v="15 days"/>
    <x v="3"/>
    <n v="0.1"/>
    <n v="7720"/>
    <n v="7.8"/>
    <n v="49"/>
    <n v="157.55102040816325"/>
    <s v="New York"/>
    <s v="German"/>
    <n v="490"/>
    <n v="3613"/>
    <n v="8"/>
    <s v="Fashionistas"/>
    <x v="199"/>
  </r>
  <r>
    <s v="DataTech Solutions"/>
    <x v="0"/>
    <s v="Men 25-34"/>
    <s v="45 days"/>
    <x v="0"/>
    <n v="0.02"/>
    <n v="14148"/>
    <n v="2.44"/>
    <n v="13"/>
    <n v="1088.3076923076924"/>
    <s v="Los Angeles"/>
    <s v="German"/>
    <n v="669"/>
    <n v="7167"/>
    <n v="10"/>
    <s v="Health &amp; Wellness"/>
    <x v="200"/>
  </r>
  <r>
    <s v="NexGen Systems"/>
    <x v="0"/>
    <s v="All Ages"/>
    <s v="15 days"/>
    <x v="3"/>
    <n v="0.08"/>
    <n v="7951"/>
    <n v="7.93"/>
    <n v="62"/>
    <n v="128.24193548387098"/>
    <s v="Houston"/>
    <s v="English"/>
    <n v="775"/>
    <n v="1824"/>
    <n v="10"/>
    <s v="Tech Enthusiasts"/>
    <x v="201"/>
  </r>
  <r>
    <s v="TechCorp"/>
    <x v="3"/>
    <s v="All Ages"/>
    <s v="60 days"/>
    <x v="5"/>
    <n v="0.04"/>
    <n v="6428"/>
    <n v="2.4700000000000002"/>
    <n v="6"/>
    <n v="1071.3333333333333"/>
    <s v="Houston"/>
    <s v="English"/>
    <n v="155"/>
    <n v="3442"/>
    <n v="7"/>
    <s v="Tech Enthusiasts"/>
    <x v="202"/>
  </r>
  <r>
    <s v="Innovate Industries"/>
    <x v="1"/>
    <s v="Women 25-34"/>
    <s v="15 days"/>
    <x v="2"/>
    <n v="0.14000000000000001"/>
    <n v="16853"/>
    <n v="7.1"/>
    <n v="79"/>
    <n v="213.32911392405063"/>
    <s v="Miami"/>
    <s v="German"/>
    <n v="564"/>
    <n v="6421"/>
    <n v="6"/>
    <s v="Health &amp; Wellness"/>
    <x v="203"/>
  </r>
  <r>
    <s v="TechCorp"/>
    <x v="1"/>
    <s v="All Ages"/>
    <s v="45 days"/>
    <x v="0"/>
    <n v="0.03"/>
    <n v="11421"/>
    <n v="2.2799999999999998"/>
    <n v="20"/>
    <n v="571.04999999999995"/>
    <s v="Miami"/>
    <s v="English"/>
    <n v="659"/>
    <n v="5500"/>
    <n v="1"/>
    <s v="Tech Enthusiasts"/>
    <x v="204"/>
  </r>
  <r>
    <s v="Innovate Industries"/>
    <x v="1"/>
    <s v="Men 25-34"/>
    <s v="30 days"/>
    <x v="3"/>
    <n v="0.1"/>
    <n v="12060"/>
    <n v="5.3"/>
    <n v="43"/>
    <n v="280.46511627906978"/>
    <s v="Houston"/>
    <s v="English"/>
    <n v="427"/>
    <n v="8602"/>
    <n v="7"/>
    <s v="Foodies"/>
    <x v="205"/>
  </r>
  <r>
    <s v="Innovate Industries"/>
    <x v="4"/>
    <s v="Women 25-34"/>
    <s v="30 days"/>
    <x v="0"/>
    <n v="0.01"/>
    <n v="16135"/>
    <n v="7.89"/>
    <n v="9"/>
    <n v="1792.7777777777778"/>
    <s v="Los Angeles"/>
    <s v="Mandarin"/>
    <n v="927"/>
    <n v="3277"/>
    <n v="1"/>
    <s v="Foodies"/>
    <x v="206"/>
  </r>
  <r>
    <s v="Innovate Industries"/>
    <x v="3"/>
    <s v="Men 18-24"/>
    <s v="60 days"/>
    <x v="4"/>
    <n v="0.09"/>
    <n v="12428"/>
    <n v="3.28"/>
    <n v="53"/>
    <n v="234.49056603773585"/>
    <s v="Chicago"/>
    <s v="Spanish"/>
    <n v="584"/>
    <n v="7577"/>
    <n v="6"/>
    <s v="Health &amp; Wellness"/>
    <x v="207"/>
  </r>
  <r>
    <s v="TechCorp"/>
    <x v="1"/>
    <s v="Men 18-24"/>
    <s v="60 days"/>
    <x v="3"/>
    <n v="0.02"/>
    <n v="17128"/>
    <n v="5.55"/>
    <n v="13"/>
    <n v="1317.5384615384614"/>
    <s v="Chicago"/>
    <s v="Mandarin"/>
    <n v="648"/>
    <n v="1172"/>
    <n v="5"/>
    <s v="Fashionistas"/>
    <x v="208"/>
  </r>
  <r>
    <s v="DataTech Solutions"/>
    <x v="4"/>
    <s v="Men 18-24"/>
    <s v="30 days"/>
    <x v="1"/>
    <n v="0.02"/>
    <n v="13598"/>
    <n v="4.78"/>
    <n v="8"/>
    <n v="1699.75"/>
    <s v="Miami"/>
    <s v="Mandarin"/>
    <n v="379"/>
    <n v="6754"/>
    <n v="5"/>
    <s v="Tech Enthusiasts"/>
    <x v="209"/>
  </r>
  <r>
    <s v="Alpha Innovations"/>
    <x v="0"/>
    <s v="Men 25-34"/>
    <s v="60 days"/>
    <x v="0"/>
    <n v="0.05"/>
    <n v="7105"/>
    <n v="3.67"/>
    <n v="41"/>
    <n v="173.29268292682926"/>
    <s v="New York"/>
    <s v="Mandarin"/>
    <n v="811"/>
    <n v="8283"/>
    <n v="7"/>
    <s v="Outdoor Adventurers"/>
    <x v="210"/>
  </r>
  <r>
    <s v="Innovate Industries"/>
    <x v="3"/>
    <s v="Women 35-44"/>
    <s v="45 days"/>
    <x v="5"/>
    <n v="0.12"/>
    <n v="7327"/>
    <n v="6.41"/>
    <n v="38"/>
    <n v="192.81578947368422"/>
    <s v="New York"/>
    <s v="French"/>
    <n v="319"/>
    <n v="3205"/>
    <n v="1"/>
    <s v="Foodies"/>
    <x v="211"/>
  </r>
  <r>
    <s v="DataTech Solutions"/>
    <x v="0"/>
    <s v="All Ages"/>
    <s v="30 days"/>
    <x v="0"/>
    <n v="0.14000000000000001"/>
    <n v="11115"/>
    <n v="4.63"/>
    <n v="62"/>
    <n v="179.2741935483871"/>
    <s v="Los Angeles"/>
    <s v="English"/>
    <n v="443"/>
    <n v="7874"/>
    <n v="5"/>
    <s v="Foodies"/>
    <x v="212"/>
  </r>
  <r>
    <s v="Alpha Innovations"/>
    <x v="2"/>
    <s v="Women 35-44"/>
    <s v="60 days"/>
    <x v="0"/>
    <n v="0.01"/>
    <n v="15550"/>
    <n v="5.94"/>
    <n v="3"/>
    <n v="5183.333333333333"/>
    <s v="Chicago"/>
    <s v="English"/>
    <n v="268"/>
    <n v="3360"/>
    <n v="6"/>
    <s v="Tech Enthusiasts"/>
    <x v="213"/>
  </r>
  <r>
    <s v="Innovate Industries"/>
    <x v="4"/>
    <s v="Women 25-34"/>
    <s v="15 days"/>
    <x v="1"/>
    <n v="0.04"/>
    <n v="10156"/>
    <n v="5.29"/>
    <n v="13"/>
    <n v="781.23076923076928"/>
    <s v="Chicago"/>
    <s v="German"/>
    <n v="329"/>
    <n v="6966"/>
    <n v="10"/>
    <s v="Tech Enthusiasts"/>
    <x v="214"/>
  </r>
  <r>
    <s v="NexGen Systems"/>
    <x v="3"/>
    <s v="Men 18-24"/>
    <s v="30 days"/>
    <x v="4"/>
    <n v="0.11"/>
    <n v="15921"/>
    <n v="5.71"/>
    <n v="84"/>
    <n v="189.53571428571428"/>
    <s v="Los Angeles"/>
    <s v="Spanish"/>
    <n v="767"/>
    <n v="2345"/>
    <n v="1"/>
    <s v="Foodies"/>
    <x v="215"/>
  </r>
  <r>
    <s v="NexGen Systems"/>
    <x v="1"/>
    <s v="Men 25-34"/>
    <s v="45 days"/>
    <x v="5"/>
    <n v="0.12"/>
    <n v="11073"/>
    <n v="7.83"/>
    <n v="101"/>
    <n v="109.63366336633663"/>
    <s v="Houston"/>
    <s v="Spanish"/>
    <n v="842"/>
    <n v="8107"/>
    <n v="8"/>
    <s v="Tech Enthusiasts"/>
    <x v="216"/>
  </r>
  <r>
    <s v="TechCorp"/>
    <x v="2"/>
    <s v="Women 35-44"/>
    <s v="45 days"/>
    <x v="4"/>
    <n v="0.03"/>
    <n v="19283"/>
    <n v="6.12"/>
    <n v="5"/>
    <n v="3856.6"/>
    <s v="Los Angeles"/>
    <s v="Mandarin"/>
    <n v="170"/>
    <n v="2674"/>
    <n v="7"/>
    <s v="Health &amp; Wellness"/>
    <x v="217"/>
  </r>
  <r>
    <s v="TechCorp"/>
    <x v="4"/>
    <s v="Women 35-44"/>
    <s v="45 days"/>
    <x v="4"/>
    <n v="0.13"/>
    <n v="14491"/>
    <n v="5.66"/>
    <n v="127"/>
    <n v="114.10236220472441"/>
    <s v="Los Angeles"/>
    <s v="Mandarin"/>
    <n v="974"/>
    <n v="4001"/>
    <n v="6"/>
    <s v="Outdoor Adventurers"/>
    <x v="218"/>
  </r>
  <r>
    <s v="DataTech Solutions"/>
    <x v="2"/>
    <s v="Women 35-44"/>
    <s v="45 days"/>
    <x v="3"/>
    <n v="0.1"/>
    <n v="18914"/>
    <n v="5.91"/>
    <n v="72"/>
    <n v="262.69444444444446"/>
    <s v="Miami"/>
    <s v="English"/>
    <n v="723"/>
    <n v="8659"/>
    <n v="9"/>
    <s v="Outdoor Adventurers"/>
    <x v="219"/>
  </r>
  <r>
    <s v="DataTech Solutions"/>
    <x v="4"/>
    <s v="Women 25-34"/>
    <s v="45 days"/>
    <x v="0"/>
    <n v="0.08"/>
    <n v="10054"/>
    <n v="2.21"/>
    <n v="78"/>
    <n v="128.89743589743588"/>
    <s v="Los Angeles"/>
    <s v="Spanish"/>
    <n v="981"/>
    <n v="6770"/>
    <n v="9"/>
    <s v="Outdoor Adventurers"/>
    <x v="220"/>
  </r>
  <r>
    <s v="DataTech Solutions"/>
    <x v="1"/>
    <s v="Men 25-34"/>
    <s v="15 days"/>
    <x v="4"/>
    <n v="0.05"/>
    <n v="17266"/>
    <n v="6.75"/>
    <n v="8"/>
    <n v="2158.25"/>
    <s v="Miami"/>
    <s v="English"/>
    <n v="163"/>
    <n v="3345"/>
    <n v="6"/>
    <s v="Outdoor Adventurers"/>
    <x v="221"/>
  </r>
  <r>
    <s v="Alpha Innovations"/>
    <x v="0"/>
    <s v="Women 35-44"/>
    <s v="15 days"/>
    <x v="4"/>
    <n v="0.08"/>
    <n v="13726"/>
    <n v="4.1500000000000004"/>
    <n v="29"/>
    <n v="473.31034482758622"/>
    <s v="Miami"/>
    <s v="Spanish"/>
    <n v="361"/>
    <n v="1416"/>
    <n v="3"/>
    <s v="Foodies"/>
    <x v="222"/>
  </r>
  <r>
    <s v="NexGen Systems"/>
    <x v="2"/>
    <s v="Men 18-24"/>
    <s v="30 days"/>
    <x v="0"/>
    <n v="0.11"/>
    <n v="16373"/>
    <n v="4.8600000000000003"/>
    <n v="86"/>
    <n v="190.38372093023256"/>
    <s v="Houston"/>
    <s v="Mandarin"/>
    <n v="781"/>
    <n v="7180"/>
    <n v="8"/>
    <s v="Outdoor Adventurers"/>
    <x v="223"/>
  </r>
  <r>
    <s v="Alpha Innovations"/>
    <x v="4"/>
    <s v="All Ages"/>
    <s v="30 days"/>
    <x v="5"/>
    <n v="0.12"/>
    <n v="16311"/>
    <n v="7.56"/>
    <n v="62"/>
    <n v="263.08064516129031"/>
    <s v="New York"/>
    <s v="Mandarin"/>
    <n v="515"/>
    <n v="2562"/>
    <n v="10"/>
    <s v="Health &amp; Wellness"/>
    <x v="224"/>
  </r>
  <r>
    <s v="NexGen Systems"/>
    <x v="4"/>
    <s v="Women 25-34"/>
    <s v="60 days"/>
    <x v="4"/>
    <n v="7.0000000000000007E-2"/>
    <n v="6711"/>
    <n v="5.34"/>
    <n v="18"/>
    <n v="372.83333333333331"/>
    <s v="Miami"/>
    <s v="French"/>
    <n v="262"/>
    <n v="7363"/>
    <n v="7"/>
    <s v="Tech Enthusiasts"/>
    <x v="225"/>
  </r>
  <r>
    <s v="TechCorp"/>
    <x v="3"/>
    <s v="Men 25-34"/>
    <s v="15 days"/>
    <x v="0"/>
    <n v="0.15"/>
    <n v="15459"/>
    <n v="3.66"/>
    <n v="49"/>
    <n v="315.48979591836735"/>
    <s v="Houston"/>
    <s v="English"/>
    <n v="328"/>
    <n v="5467"/>
    <n v="10"/>
    <s v="Tech Enthusiasts"/>
    <x v="226"/>
  </r>
  <r>
    <s v="TechCorp"/>
    <x v="4"/>
    <s v="Men 25-34"/>
    <s v="30 days"/>
    <x v="4"/>
    <n v="0.02"/>
    <n v="15818"/>
    <n v="6.79"/>
    <n v="12"/>
    <n v="1318.1666666666667"/>
    <s v="Houston"/>
    <s v="German"/>
    <n v="585"/>
    <n v="7202"/>
    <n v="6"/>
    <s v="Foodies"/>
    <x v="227"/>
  </r>
  <r>
    <s v="Innovate Industries"/>
    <x v="3"/>
    <s v="All Ages"/>
    <s v="60 days"/>
    <x v="1"/>
    <n v="0.11"/>
    <n v="5000"/>
    <n v="6.03"/>
    <n v="44"/>
    <n v="113.63636363636364"/>
    <s v="Miami"/>
    <s v="German"/>
    <n v="402"/>
    <n v="9512"/>
    <n v="3"/>
    <s v="Fashionistas"/>
    <x v="228"/>
  </r>
  <r>
    <s v="Alpha Innovations"/>
    <x v="2"/>
    <s v="All Ages"/>
    <s v="45 days"/>
    <x v="5"/>
    <n v="7.0000000000000007E-2"/>
    <n v="6683"/>
    <n v="3.76"/>
    <n v="65"/>
    <n v="102.81538461538462"/>
    <s v="Chicago"/>
    <s v="Spanish"/>
    <n v="933"/>
    <n v="9175"/>
    <n v="6"/>
    <s v="Tech Enthusiasts"/>
    <x v="229"/>
  </r>
  <r>
    <s v="TechCorp"/>
    <x v="4"/>
    <s v="Women 25-34"/>
    <s v="45 days"/>
    <x v="3"/>
    <n v="0.11"/>
    <n v="5632"/>
    <n v="5.71"/>
    <n v="50"/>
    <n v="112.64"/>
    <s v="New York"/>
    <s v="Mandarin"/>
    <n v="458"/>
    <n v="1556"/>
    <n v="8"/>
    <s v="Fashionistas"/>
    <x v="230"/>
  </r>
  <r>
    <s v="TechCorp"/>
    <x v="2"/>
    <s v="Men 18-24"/>
    <s v="45 days"/>
    <x v="4"/>
    <n v="0.1"/>
    <n v="16911"/>
    <n v="2.38"/>
    <n v="41"/>
    <n v="412.46341463414632"/>
    <s v="Chicago"/>
    <s v="Mandarin"/>
    <n v="413"/>
    <n v="8593"/>
    <n v="5"/>
    <s v="Outdoor Adventurers"/>
    <x v="231"/>
  </r>
  <r>
    <s v="NexGen Systems"/>
    <x v="2"/>
    <s v="Men 25-34"/>
    <s v="60 days"/>
    <x v="2"/>
    <n v="0.06"/>
    <n v="7941"/>
    <n v="2.35"/>
    <n v="29"/>
    <n v="273.82758620689657"/>
    <s v="Houston"/>
    <s v="German"/>
    <n v="483"/>
    <n v="2577"/>
    <n v="1"/>
    <s v="Outdoor Adventurers"/>
    <x v="232"/>
  </r>
  <r>
    <s v="TechCorp"/>
    <x v="4"/>
    <s v="Women 25-34"/>
    <s v="15 days"/>
    <x v="4"/>
    <n v="0.03"/>
    <n v="19959"/>
    <n v="4.22"/>
    <n v="20"/>
    <n v="997.95"/>
    <s v="New York"/>
    <s v="French"/>
    <n v="665"/>
    <n v="3518"/>
    <n v="6"/>
    <s v="Health &amp; Wellness"/>
    <x v="233"/>
  </r>
  <r>
    <s v="NexGen Systems"/>
    <x v="3"/>
    <s v="Men 18-24"/>
    <s v="15 days"/>
    <x v="4"/>
    <n v="0.11"/>
    <n v="15088"/>
    <n v="5.43"/>
    <n v="99"/>
    <n v="152.40404040404042"/>
    <s v="Los Angeles"/>
    <s v="Mandarin"/>
    <n v="903"/>
    <n v="4499"/>
    <n v="1"/>
    <s v="Fashionistas"/>
    <x v="234"/>
  </r>
  <r>
    <s v="TechCorp"/>
    <x v="2"/>
    <s v="Women 35-44"/>
    <s v="30 days"/>
    <x v="2"/>
    <n v="0.05"/>
    <n v="9658"/>
    <n v="7.09"/>
    <n v="7"/>
    <n v="1379.7142857142858"/>
    <s v="Chicago"/>
    <s v="French"/>
    <n v="138"/>
    <n v="6928"/>
    <n v="9"/>
    <s v="Foodies"/>
    <x v="235"/>
  </r>
  <r>
    <s v="TechCorp"/>
    <x v="1"/>
    <s v="Women 25-34"/>
    <s v="45 days"/>
    <x v="4"/>
    <n v="0.1"/>
    <n v="11640"/>
    <n v="5.0199999999999996"/>
    <n v="84"/>
    <n v="138.57142857142858"/>
    <s v="Chicago"/>
    <s v="German"/>
    <n v="840"/>
    <n v="2397"/>
    <n v="1"/>
    <s v="Tech Enthusiasts"/>
    <x v="236"/>
  </r>
  <r>
    <s v="DataTech Solutions"/>
    <x v="3"/>
    <s v="Women 25-34"/>
    <s v="30 days"/>
    <x v="2"/>
    <n v="0.05"/>
    <n v="13318"/>
    <n v="6.31"/>
    <n v="41"/>
    <n v="324.82926829268291"/>
    <s v="Los Angeles"/>
    <s v="Mandarin"/>
    <n v="825"/>
    <n v="5937"/>
    <n v="9"/>
    <s v="Fashionistas"/>
    <x v="237"/>
  </r>
  <r>
    <s v="Alpha Innovations"/>
    <x v="2"/>
    <s v="All Ages"/>
    <s v="60 days"/>
    <x v="0"/>
    <n v="0.09"/>
    <n v="13455"/>
    <n v="2.4"/>
    <n v="69"/>
    <n v="195"/>
    <s v="Los Angeles"/>
    <s v="Spanish"/>
    <n v="771"/>
    <n v="9237"/>
    <n v="9"/>
    <s v="Fashionistas"/>
    <x v="238"/>
  </r>
  <r>
    <s v="Alpha Innovations"/>
    <x v="2"/>
    <s v="Women 35-44"/>
    <s v="15 days"/>
    <x v="2"/>
    <n v="0.02"/>
    <n v="7548"/>
    <n v="5.58"/>
    <n v="19"/>
    <n v="397.26315789473682"/>
    <s v="New York"/>
    <s v="French"/>
    <n v="934"/>
    <n v="3143"/>
    <n v="2"/>
    <s v="Health &amp; Wellness"/>
    <x v="239"/>
  </r>
  <r>
    <s v="Innovate Industries"/>
    <x v="0"/>
    <s v="All Ages"/>
    <s v="30 days"/>
    <x v="2"/>
    <n v="0.13"/>
    <n v="8033"/>
    <n v="4.17"/>
    <n v="126"/>
    <n v="63.753968253968253"/>
    <s v="Los Angeles"/>
    <s v="Mandarin"/>
    <n v="969"/>
    <n v="7703"/>
    <n v="2"/>
    <s v="Outdoor Adventurers"/>
    <x v="240"/>
  </r>
  <r>
    <s v="Innovate Industries"/>
    <x v="1"/>
    <s v="Men 25-34"/>
    <s v="45 days"/>
    <x v="1"/>
    <n v="0.12"/>
    <n v="13388"/>
    <n v="4.45"/>
    <n v="99"/>
    <n v="135.23232323232324"/>
    <s v="Miami"/>
    <s v="English"/>
    <n v="827"/>
    <n v="1965"/>
    <n v="4"/>
    <s v="Health &amp; Wellness"/>
    <x v="241"/>
  </r>
  <r>
    <s v="TechCorp"/>
    <x v="4"/>
    <s v="Men 25-34"/>
    <s v="60 days"/>
    <x v="3"/>
    <n v="0.05"/>
    <n v="14965"/>
    <n v="3.92"/>
    <n v="24"/>
    <n v="623.54166666666663"/>
    <s v="Houston"/>
    <s v="English"/>
    <n v="476"/>
    <n v="7636"/>
    <n v="9"/>
    <s v="Health &amp; Wellness"/>
    <x v="242"/>
  </r>
  <r>
    <s v="Alpha Innovations"/>
    <x v="0"/>
    <s v="Women 35-44"/>
    <s v="45 days"/>
    <x v="5"/>
    <n v="0.01"/>
    <n v="11205"/>
    <n v="3.9"/>
    <n v="7"/>
    <n v="1600.7142857142858"/>
    <s v="Chicago"/>
    <s v="Spanish"/>
    <n v="659"/>
    <n v="5388"/>
    <n v="2"/>
    <s v="Outdoor Adventurers"/>
    <x v="243"/>
  </r>
  <r>
    <s v="NexGen Systems"/>
    <x v="0"/>
    <s v="Women 35-44"/>
    <s v="60 days"/>
    <x v="2"/>
    <n v="0.14000000000000001"/>
    <n v="19274"/>
    <n v="2.6"/>
    <n v="65"/>
    <n v="296.52307692307693"/>
    <s v="Miami"/>
    <s v="Spanish"/>
    <n v="462"/>
    <n v="2234"/>
    <n v="8"/>
    <s v="Tech Enthusiasts"/>
    <x v="244"/>
  </r>
  <r>
    <s v="NexGen Systems"/>
    <x v="0"/>
    <s v="Men 25-34"/>
    <s v="60 days"/>
    <x v="2"/>
    <n v="0.11"/>
    <n v="15386"/>
    <n v="3.42"/>
    <n v="77"/>
    <n v="199.81818181818181"/>
    <s v="Miami"/>
    <s v="English"/>
    <n v="697"/>
    <n v="4057"/>
    <n v="5"/>
    <s v="Tech Enthusiasts"/>
    <x v="245"/>
  </r>
  <r>
    <s v="DataTech Solutions"/>
    <x v="0"/>
    <s v="Men 18-24"/>
    <s v="45 days"/>
    <x v="3"/>
    <n v="0.11"/>
    <n v="5069"/>
    <n v="7.87"/>
    <n v="66"/>
    <n v="76.803030303030297"/>
    <s v="Miami"/>
    <s v="Mandarin"/>
    <n v="597"/>
    <n v="5090"/>
    <n v="2"/>
    <s v="Health &amp; Wellness"/>
    <x v="246"/>
  </r>
  <r>
    <s v="DataTech Solutions"/>
    <x v="3"/>
    <s v="Women 35-44"/>
    <s v="30 days"/>
    <x v="3"/>
    <n v="0.03"/>
    <n v="9315"/>
    <n v="7.18"/>
    <n v="22"/>
    <n v="423.40909090909093"/>
    <s v="New York"/>
    <s v="Mandarin"/>
    <n v="734"/>
    <n v="4304"/>
    <n v="8"/>
    <s v="Outdoor Adventurers"/>
    <x v="247"/>
  </r>
  <r>
    <s v="Alpha Innovations"/>
    <x v="4"/>
    <s v="Men 18-24"/>
    <s v="45 days"/>
    <x v="0"/>
    <n v="0.03"/>
    <n v="15562"/>
    <n v="5.37"/>
    <n v="10"/>
    <n v="1556.2"/>
    <s v="Los Angeles"/>
    <s v="Spanish"/>
    <n v="329"/>
    <n v="4584"/>
    <n v="9"/>
    <s v="Foodies"/>
    <x v="248"/>
  </r>
  <r>
    <s v="TechCorp"/>
    <x v="0"/>
    <s v="All Ages"/>
    <s v="45 days"/>
    <x v="3"/>
    <n v="0.05"/>
    <n v="10886"/>
    <n v="3.13"/>
    <n v="24"/>
    <n v="453.58333333333331"/>
    <s v="Miami"/>
    <s v="Spanish"/>
    <n v="476"/>
    <n v="2570"/>
    <n v="6"/>
    <s v="Foodies"/>
    <x v="249"/>
  </r>
  <r>
    <s v="Innovate Industries"/>
    <x v="1"/>
    <s v="Men 25-34"/>
    <s v="45 days"/>
    <x v="0"/>
    <n v="0.14000000000000001"/>
    <n v="16273"/>
    <n v="2.94"/>
    <n v="18"/>
    <n v="904.05555555555554"/>
    <s v="New York"/>
    <s v="Mandarin"/>
    <n v="130"/>
    <n v="7027"/>
    <n v="10"/>
    <s v="Tech Enthusiasts"/>
    <x v="250"/>
  </r>
  <r>
    <s v="DataTech Solutions"/>
    <x v="3"/>
    <s v="Women 35-44"/>
    <s v="30 days"/>
    <x v="3"/>
    <n v="7.0000000000000007E-2"/>
    <n v="18174"/>
    <n v="5.56"/>
    <n v="58"/>
    <n v="313.34482758620692"/>
    <s v="Los Angeles"/>
    <s v="German"/>
    <n v="829"/>
    <n v="5896"/>
    <n v="7"/>
    <s v="Fashionistas"/>
    <x v="251"/>
  </r>
  <r>
    <s v="TechCorp"/>
    <x v="1"/>
    <s v="Women 35-44"/>
    <s v="30 days"/>
    <x v="1"/>
    <n v="0.1"/>
    <n v="6585"/>
    <n v="6.11"/>
    <n v="69"/>
    <n v="95.434782608695656"/>
    <s v="New York"/>
    <s v="Mandarin"/>
    <n v="690"/>
    <n v="6100"/>
    <n v="2"/>
    <s v="Health &amp; Wellness"/>
    <x v="252"/>
  </r>
  <r>
    <s v="DataTech Solutions"/>
    <x v="1"/>
    <s v="Women 25-34"/>
    <s v="45 days"/>
    <x v="4"/>
    <n v="0.12"/>
    <n v="17263"/>
    <n v="7.86"/>
    <n v="107"/>
    <n v="161.33644859813083"/>
    <s v="Chicago"/>
    <s v="German"/>
    <n v="889"/>
    <n v="5274"/>
    <n v="10"/>
    <s v="Health &amp; Wellness"/>
    <x v="253"/>
  </r>
  <r>
    <s v="Innovate Industries"/>
    <x v="2"/>
    <s v="Women 35-44"/>
    <s v="30 days"/>
    <x v="4"/>
    <n v="0.03"/>
    <n v="17573"/>
    <n v="4.4400000000000004"/>
    <n v="16"/>
    <n v="1098.3125"/>
    <s v="New York"/>
    <s v="Spanish"/>
    <n v="532"/>
    <n v="4546"/>
    <n v="9"/>
    <s v="Health &amp; Wellness"/>
    <x v="2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32DE8E-23B0-40FA-BEDF-F5C8711DEB0B}" name="PivotTable9"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A3:AB10" firstHeaderRow="1" firstDataRow="1" firstDataCol="1"/>
  <pivotFields count="19">
    <pivotField showAll="0"/>
    <pivotField showAll="0">
      <items count="6">
        <item x="2"/>
        <item x="0"/>
        <item x="1"/>
        <item x="3"/>
        <item x="4"/>
        <item t="default"/>
      </items>
    </pivotField>
    <pivotField showAll="0"/>
    <pivotField showAll="0"/>
    <pivotField axis="axisRow" showAll="0">
      <items count="7">
        <item x="5"/>
        <item x="4"/>
        <item x="0"/>
        <item x="2"/>
        <item x="3"/>
        <item x="1"/>
        <item t="default"/>
      </items>
    </pivotField>
    <pivotField showAll="0"/>
    <pivotField numFmtId="171" showAll="0"/>
    <pivotField dataField="1" showAll="0"/>
    <pivotField numFmtId="1" showAll="0"/>
    <pivotField numFmtId="176" showAll="0"/>
    <pivotField showAll="0"/>
    <pivotField showAll="0"/>
    <pivotField showAll="0"/>
    <pivotField showAll="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7">
    <i>
      <x/>
    </i>
    <i>
      <x v="1"/>
    </i>
    <i>
      <x v="2"/>
    </i>
    <i>
      <x v="3"/>
    </i>
    <i>
      <x v="4"/>
    </i>
    <i>
      <x v="5"/>
    </i>
    <i t="grand">
      <x/>
    </i>
  </rowItems>
  <colItems count="1">
    <i/>
  </colItems>
  <dataFields count="1">
    <dataField name="Average of ROI" fld="7" subtotal="average" baseField="4" baseItem="0" numFmtId="2"/>
  </dataFields>
  <formats count="1">
    <format dxfId="128">
      <pivotArea outline="0" collapsedLevelsAreSubtotals="1" fieldPosition="0"/>
    </format>
  </formats>
  <chartFormats count="2">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CF9C0F-586D-4819-8EEF-3FB69C3F4A5A}" name="PivotTable8"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V3:W9" firstHeaderRow="1" firstDataRow="1" firstDataCol="1"/>
  <pivotFields count="19">
    <pivotField showAll="0"/>
    <pivotField axis="axisRow" showAll="0">
      <items count="6">
        <item x="2"/>
        <item x="0"/>
        <item x="1"/>
        <item x="3"/>
        <item x="4"/>
        <item t="default"/>
      </items>
    </pivotField>
    <pivotField showAll="0"/>
    <pivotField showAll="0"/>
    <pivotField showAll="0">
      <items count="7">
        <item x="5"/>
        <item x="4"/>
        <item x="0"/>
        <item x="2"/>
        <item x="3"/>
        <item x="1"/>
        <item t="default"/>
      </items>
    </pivotField>
    <pivotField showAll="0"/>
    <pivotField numFmtId="171" showAll="0"/>
    <pivotField dataField="1" showAll="0"/>
    <pivotField numFmtId="1" showAll="0"/>
    <pivotField numFmtId="176" showAll="0"/>
    <pivotField showAll="0"/>
    <pivotField showAll="0"/>
    <pivotField showAll="0"/>
    <pivotField showAll="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6">
    <i>
      <x/>
    </i>
    <i>
      <x v="1"/>
    </i>
    <i>
      <x v="2"/>
    </i>
    <i>
      <x v="3"/>
    </i>
    <i>
      <x v="4"/>
    </i>
    <i t="grand">
      <x/>
    </i>
  </rowItems>
  <colItems count="1">
    <i/>
  </colItems>
  <dataFields count="1">
    <dataField name="Average of ROI" fld="7" subtotal="average" baseField="1" baseItem="0" numFmtId="2"/>
  </dataFields>
  <formats count="1">
    <format dxfId="129">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527DFF-AF6D-4D1E-A82C-128BBAE8CA7D}" name="PivotTable4" cacheId="14"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F3:F4" firstHeaderRow="1" firstDataRow="1" firstDataCol="0"/>
  <pivotFields count="19">
    <pivotField showAll="0"/>
    <pivotField showAll="0">
      <items count="6">
        <item x="2"/>
        <item x="0"/>
        <item x="1"/>
        <item x="3"/>
        <item x="4"/>
        <item t="default"/>
      </items>
    </pivotField>
    <pivotField showAll="0"/>
    <pivotField showAll="0"/>
    <pivotField showAll="0">
      <items count="7">
        <item x="5"/>
        <item x="4"/>
        <item x="0"/>
        <item x="2"/>
        <item x="3"/>
        <item x="1"/>
        <item t="default"/>
      </items>
    </pivotField>
    <pivotField dataField="1" showAll="0"/>
    <pivotField numFmtId="171" showAll="0"/>
    <pivotField showAll="0"/>
    <pivotField numFmtId="1" showAll="0"/>
    <pivotField numFmtId="176" showAll="0"/>
    <pivotField showAll="0"/>
    <pivotField showAll="0"/>
    <pivotField showAll="0"/>
    <pivotField showAll="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Conversion_Rate" fld="5" subtotal="average" baseField="0" baseItem="0" numFmtId="173"/>
  </dataFields>
  <formats count="1">
    <format dxfId="1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93C592-F787-46D6-946E-FAC47DCCD33F}" name="PivotTable3"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4:A5" firstHeaderRow="1" firstDataRow="1" firstDataCol="0"/>
  <pivotFields count="19">
    <pivotField showAll="0"/>
    <pivotField showAll="0">
      <items count="6">
        <item x="2"/>
        <item x="0"/>
        <item x="1"/>
        <item x="3"/>
        <item x="4"/>
        <item t="default"/>
      </items>
    </pivotField>
    <pivotField showAll="0"/>
    <pivotField showAll="0"/>
    <pivotField showAll="0">
      <items count="7">
        <item x="5"/>
        <item x="4"/>
        <item x="0"/>
        <item x="2"/>
        <item x="3"/>
        <item x="1"/>
        <item t="default"/>
      </items>
    </pivotField>
    <pivotField showAll="0"/>
    <pivotField numFmtId="171" showAll="0"/>
    <pivotField dataField="1" showAll="0"/>
    <pivotField numFmtId="1" showAll="0"/>
    <pivotField numFmtId="176" showAll="0"/>
    <pivotField showAll="0"/>
    <pivotField showAll="0"/>
    <pivotField showAll="0"/>
    <pivotField showAll="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OI" fld="7" subtotal="average" baseField="0" baseItem="0" numFmtId="2"/>
  </dataFields>
  <formats count="1">
    <format dxfId="1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15F329-E50D-4099-A8DF-07FF93EC47C4}" name="PivotTable7"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Q3:R16" firstHeaderRow="1" firstDataRow="1" firstDataCol="1"/>
  <pivotFields count="19">
    <pivotField showAll="0"/>
    <pivotField showAll="0">
      <items count="6">
        <item x="2"/>
        <item x="0"/>
        <item x="1"/>
        <item x="3"/>
        <item x="4"/>
        <item t="default"/>
      </items>
    </pivotField>
    <pivotField showAll="0"/>
    <pivotField showAll="0"/>
    <pivotField showAll="0">
      <items count="7">
        <item x="5"/>
        <item x="4"/>
        <item x="0"/>
        <item x="2"/>
        <item x="3"/>
        <item x="1"/>
        <item t="default"/>
      </items>
    </pivotField>
    <pivotField showAll="0"/>
    <pivotField numFmtId="171" showAll="0"/>
    <pivotField dataField="1" showAll="0"/>
    <pivotField numFmtId="1" showAll="0"/>
    <pivotField numFmtId="176" showAll="0"/>
    <pivotField showAll="0"/>
    <pivotField showAll="0"/>
    <pivotField showAll="0"/>
    <pivotField showAll="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8"/>
  </rowFields>
  <rowItems count="13">
    <i>
      <x v="1"/>
    </i>
    <i>
      <x v="2"/>
    </i>
    <i>
      <x v="3"/>
    </i>
    <i>
      <x v="4"/>
    </i>
    <i>
      <x v="5"/>
    </i>
    <i>
      <x v="6"/>
    </i>
    <i>
      <x v="7"/>
    </i>
    <i>
      <x v="8"/>
    </i>
    <i>
      <x v="9"/>
    </i>
    <i>
      <x v="10"/>
    </i>
    <i>
      <x v="11"/>
    </i>
    <i>
      <x v="12"/>
    </i>
    <i t="grand">
      <x/>
    </i>
  </rowItems>
  <colItems count="1">
    <i/>
  </colItems>
  <dataFields count="1">
    <dataField name="Average of ROI" fld="7" subtotal="average" baseField="16" baseItem="1" numFmtId="43"/>
  </dataFields>
  <formats count="2">
    <format dxfId="132">
      <pivotArea collapsedLevelsAreSubtotals="1" fieldPosition="0">
        <references count="1">
          <reference field="18" count="12">
            <x v="1"/>
            <x v="2"/>
            <x v="3"/>
            <x v="4"/>
            <x v="5"/>
            <x v="6"/>
            <x v="7"/>
            <x v="8"/>
            <x v="9"/>
            <x v="10"/>
            <x v="11"/>
            <x v="12"/>
          </reference>
        </references>
      </pivotArea>
    </format>
    <format dxfId="131">
      <pivotArea outline="0" collapsedLevelsAreSubtotals="1" fieldPosition="0"/>
    </format>
  </formats>
  <chartFormats count="7">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18" count="1" selected="0">
            <x v="3"/>
          </reference>
        </references>
      </pivotArea>
    </chartFormat>
    <chartFormat chart="7" format="14">
      <pivotArea type="data" outline="0" fieldPosition="0">
        <references count="2">
          <reference field="4294967294" count="1" selected="0">
            <x v="0"/>
          </reference>
          <reference field="18" count="1" selected="0">
            <x v="5"/>
          </reference>
        </references>
      </pivotArea>
    </chartFormat>
    <chartFormat chart="7" format="15">
      <pivotArea type="data" outline="0" fieldPosition="0">
        <references count="2">
          <reference field="4294967294" count="1" selected="0">
            <x v="0"/>
          </reference>
          <reference field="18" count="1" selected="0">
            <x v="8"/>
          </reference>
        </references>
      </pivotArea>
    </chartFormat>
    <chartFormat chart="7" format="16">
      <pivotArea type="data" outline="0" fieldPosition="0">
        <references count="2">
          <reference field="4294967294" count="1" selected="0">
            <x v="0"/>
          </reference>
          <reference field="18" count="1" selected="0">
            <x v="9"/>
          </reference>
        </references>
      </pivotArea>
    </chartFormat>
    <chartFormat chart="7" format="17">
      <pivotArea type="data" outline="0" fieldPosition="0">
        <references count="2">
          <reference field="4294967294" count="1" selected="0">
            <x v="0"/>
          </reference>
          <reference field="18" count="1" selected="0">
            <x v="11"/>
          </reference>
        </references>
      </pivotArea>
    </chartFormat>
    <chartFormat chart="7" format="18">
      <pivotArea type="data" outline="0" fieldPosition="0">
        <references count="2">
          <reference field="4294967294" count="1" selected="0">
            <x v="0"/>
          </reference>
          <reference field="18"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5D9E59-5A9C-4860-B18E-EB1D8CFE9FA1}" name="PivotTable6" cacheId="14"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L3:L4" firstHeaderRow="1" firstDataRow="1" firstDataCol="0"/>
  <pivotFields count="19">
    <pivotField showAll="0"/>
    <pivotField showAll="0">
      <items count="6">
        <item x="2"/>
        <item x="0"/>
        <item x="1"/>
        <item x="3"/>
        <item x="4"/>
        <item t="default"/>
      </items>
    </pivotField>
    <pivotField showAll="0"/>
    <pivotField showAll="0"/>
    <pivotField showAll="0">
      <items count="7">
        <item x="5"/>
        <item x="4"/>
        <item x="0"/>
        <item x="2"/>
        <item x="3"/>
        <item x="1"/>
        <item t="default"/>
      </items>
    </pivotField>
    <pivotField showAll="0"/>
    <pivotField numFmtId="171" showAll="0"/>
    <pivotField showAll="0"/>
    <pivotField dataField="1" numFmtId="1" showAll="0"/>
    <pivotField numFmtId="176" showAll="0"/>
    <pivotField showAll="0"/>
    <pivotField showAll="0"/>
    <pivotField showAll="0"/>
    <pivotField showAll="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Customers" fld="8" subtotal="average" baseField="0" baseItem="0" numFmtId="1"/>
  </dataFields>
  <formats count="1">
    <format dxfId="1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C1A011-546B-4E56-9A70-6FA36A60712D}" name="PivotTable5" cacheId="14"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I3:I4" firstHeaderRow="1" firstDataRow="1" firstDataCol="0"/>
  <pivotFields count="19">
    <pivotField showAll="0"/>
    <pivotField showAll="0">
      <items count="6">
        <item x="2"/>
        <item x="0"/>
        <item x="1"/>
        <item x="3"/>
        <item x="4"/>
        <item t="default"/>
      </items>
    </pivotField>
    <pivotField showAll="0"/>
    <pivotField showAll="0"/>
    <pivotField showAll="0">
      <items count="7">
        <item x="5"/>
        <item x="4"/>
        <item x="0"/>
        <item x="2"/>
        <item x="3"/>
        <item x="1"/>
        <item t="default"/>
      </items>
    </pivotField>
    <pivotField showAll="0"/>
    <pivotField numFmtId="171" showAll="0"/>
    <pivotField showAll="0"/>
    <pivotField numFmtId="1" showAll="0"/>
    <pivotField dataField="1" numFmtId="176" showAll="0"/>
    <pivotField showAll="0"/>
    <pivotField showAll="0"/>
    <pivotField showAll="0"/>
    <pivotField showAll="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CAC" fld="9" subtotal="average" baseField="0" baseItem="0" numFmtId="176"/>
  </dataFields>
  <formats count="1">
    <format dxfId="1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74541DE-CC7F-43D5-9D4E-15E595BDBD01}" autoFormatId="16" applyNumberFormats="0" applyBorderFormats="0" applyFontFormats="0" applyPatternFormats="0" applyAlignmentFormats="0" applyWidthHeightFormats="0">
  <queryTableRefresh nextId="19">
    <queryTableFields count="17">
      <queryTableField id="2" name="Company" tableColumnId="2"/>
      <queryTableField id="3" name="Campaign_Type" tableColumnId="3"/>
      <queryTableField id="4" name="Target_Audience" tableColumnId="4"/>
      <queryTableField id="5" name="Duration" tableColumnId="5"/>
      <queryTableField id="6" name="Channel_Used" tableColumnId="6"/>
      <queryTableField id="7" name="Conversion_Rate" tableColumnId="7"/>
      <queryTableField id="8" name="Acquisition_Cost" tableColumnId="8"/>
      <queryTableField id="9" name="ROI" tableColumnId="9"/>
      <queryTableField id="18" dataBound="0" tableColumnId="17"/>
      <queryTableField id="17" dataBound="0" tableColumnId="18"/>
      <queryTableField id="10" name="Location" tableColumnId="10"/>
      <queryTableField id="11" name="Language" tableColumnId="11"/>
      <queryTableField id="12" name="Clicks" tableColumnId="12"/>
      <queryTableField id="13" name="Impressions" tableColumnId="13"/>
      <queryTableField id="14" name="Engagement_Score" tableColumnId="14"/>
      <queryTableField id="15" name="Customer_Segment" tableColumnId="15"/>
      <queryTableField id="16" name="Date"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_Used" xr10:uid="{147FBE9E-7834-41B2-BD4D-BC6284A42798}" sourceName="Channel_Used">
  <pivotTables>
    <pivotTable tabId="1" name="PivotTable9"/>
    <pivotTable tabId="1" name="PivotTable3"/>
    <pivotTable tabId="1" name="PivotTable4"/>
    <pivotTable tabId="1" name="PivotTable5"/>
    <pivotTable tabId="1" name="PivotTable6"/>
    <pivotTable tabId="1" name="PivotTable7"/>
    <pivotTable tabId="1" name="PivotTable8"/>
  </pivotTables>
  <data>
    <tabular pivotCacheId="318456780">
      <items count="6">
        <i x="5" s="1"/>
        <i x="4" s="1"/>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_Type" xr10:uid="{FE8A0E17-ADB3-44BB-9D7C-03E5F2945D37}" sourceName="Campaign_Type">
  <pivotTables>
    <pivotTable tabId="1" name="PivotTable9"/>
    <pivotTable tabId="1" name="PivotTable3"/>
    <pivotTable tabId="1" name="PivotTable4"/>
    <pivotTable tabId="1" name="PivotTable5"/>
    <pivotTable tabId="1" name="PivotTable6"/>
    <pivotTable tabId="1" name="PivotTable7"/>
    <pivotTable tabId="1" name="PivotTable8"/>
  </pivotTables>
  <data>
    <tabular pivotCacheId="318456780">
      <items count="5">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_Used" xr10:uid="{8A80690F-751F-4B66-8302-0B58C9213F58}" cache="Slicer_Channel_Used" caption="Channel_Used" columnCount="3" style="Slicer Style 6" rowHeight="247650"/>
  <slicer name="Campaign_Type" xr10:uid="{2B8C550F-24B5-4D16-AEFB-FFD66B88B2E5}" cache="Slicer_Campaign_Type" caption="Campaign_Type" columnCount="3" style="Slicer Style 6"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384E2F-D152-496F-A652-85DAC434BEA8}" name="Marketing" displayName="Marketing" ref="A1:Q5001" tableType="queryTable" totalsRowShown="0">
  <autoFilter ref="A1:Q5001" xr:uid="{A7384E2F-D152-496F-A652-85DAC434BEA8}"/>
  <tableColumns count="17">
    <tableColumn id="2" xr3:uid="{03D92E74-A5BD-4EB9-8008-E5EF75421601}" uniqueName="2" name="Company" queryTableFieldId="2" dataDxfId="141"/>
    <tableColumn id="3" xr3:uid="{0EE5646B-CC2E-4536-9682-9D433A050861}" uniqueName="3" name="Campaign_Type" queryTableFieldId="3" dataDxfId="140"/>
    <tableColumn id="4" xr3:uid="{9FFFF03C-A319-42F9-BE40-8C92E451CFFD}" uniqueName="4" name="Target_Audience" queryTableFieldId="4" dataDxfId="139"/>
    <tableColumn id="5" xr3:uid="{AD542FA1-742B-48B2-8ED4-E38B94D44500}" uniqueName="5" name="Duration" queryTableFieldId="5" dataDxfId="138"/>
    <tableColumn id="6" xr3:uid="{9914B706-86B0-4DE1-A055-8E7FFCD81FE6}" uniqueName="6" name="Channel_Used" queryTableFieldId="6" dataDxfId="124"/>
    <tableColumn id="7" xr3:uid="{A5824987-E7FB-4CBA-9466-373B790062FD}" uniqueName="7" name="Conversion_Rate" queryTableFieldId="7" dataDxfId="123"/>
    <tableColumn id="8" xr3:uid="{528451AD-4150-49BE-BEF8-1A03B720B14A}" uniqueName="8" name="Campaign_Cost" queryTableFieldId="8" dataDxfId="122"/>
    <tableColumn id="9" xr3:uid="{7C0F2862-DD89-41ED-998C-9EE337A93842}" uniqueName="9" name="ROI" queryTableFieldId="9"/>
    <tableColumn id="17" xr3:uid="{25779654-7047-4263-9D55-EF3B55BBC55A}" uniqueName="17" name="Customers" queryTableFieldId="18" dataDxfId="118">
      <calculatedColumnFormula>ROUND(Marketing[[#This Row],[Clicks]]*Marketing[[#This Row],[Conversion_Rate]],0)</calculatedColumnFormula>
    </tableColumn>
    <tableColumn id="18" xr3:uid="{B59C55E9-2610-4690-B9F9-9E254F472124}" uniqueName="18" name="CAC" queryTableFieldId="17" dataDxfId="119">
      <calculatedColumnFormula>Marketing[[#This Row],[Campaign_Cost]]/Marketing[[#This Row],[Customers]]</calculatedColumnFormula>
    </tableColumn>
    <tableColumn id="10" xr3:uid="{36C98464-6FB0-420F-B105-7ABC8F0524C3}" uniqueName="10" name="Location" queryTableFieldId="10" dataDxfId="120"/>
    <tableColumn id="11" xr3:uid="{D028E54E-F976-404A-BCEC-D5727AF82093}" uniqueName="11" name="Language" queryTableFieldId="11" dataDxfId="137"/>
    <tableColumn id="12" xr3:uid="{9B5DF40C-417E-409B-8943-2DB8A930225D}" uniqueName="12" name="Clicks" queryTableFieldId="12"/>
    <tableColumn id="13" xr3:uid="{C9DA5DE5-F3BC-49E8-83DF-11B3035F147C}" uniqueName="13" name="Impressions" queryTableFieldId="13"/>
    <tableColumn id="14" xr3:uid="{DADA60A5-7D8B-47C9-AD60-4EDD8C0B7D97}" uniqueName="14" name="Engagement_Score" queryTableFieldId="14"/>
    <tableColumn id="15" xr3:uid="{FAEF692F-27AB-473A-B9C9-74059A57BBCD}" uniqueName="15" name="Customer_Segment" queryTableFieldId="15" dataDxfId="136"/>
    <tableColumn id="16" xr3:uid="{3978E0FF-ABE2-4BBD-85EF-D1C9F9AC01F4}" uniqueName="16" name="Date" queryTableFieldId="16" dataDxfId="135"/>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E750B17-382F-48E1-AF9D-3128E729F3D5}" sourceName="Date">
  <pivotTables>
    <pivotTable tabId="1" name="PivotTable9"/>
    <pivotTable tabId="1" name="PivotTable3"/>
    <pivotTable tabId="1" name="PivotTable4"/>
    <pivotTable tabId="1" name="PivotTable5"/>
    <pivotTable tabId="1" name="PivotTable6"/>
    <pivotTable tabId="1" name="PivotTable7"/>
    <pivotTable tabId="1" name="PivotTable8"/>
  </pivotTables>
  <state minimalRefreshVersion="6" lastRefreshVersion="6" pivotCacheId="318456780"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DFF3FEF-2D44-4D41-B3F8-C3FBA5D87829}" cache="NativeTimeline_Date" caption="Date" level="2" selectionLevel="2" scrollPosition="2021-01-01T00:00:00" style="Timeline Style 1"/>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B274D-6238-4C32-9FF6-3E6B1EA96E89}">
  <sheetPr>
    <tabColor rgb="FF262626"/>
  </sheetPr>
  <dimension ref="A1:T5001"/>
  <sheetViews>
    <sheetView workbookViewId="0">
      <selection activeCell="I1" sqref="I1:I1048576"/>
    </sheetView>
  </sheetViews>
  <sheetFormatPr defaultRowHeight="14.4" x14ac:dyDescent="0.3"/>
  <cols>
    <col min="1" max="2" width="16.44140625" bestFit="1" customWidth="1"/>
    <col min="3" max="3" width="17" bestFit="1" customWidth="1"/>
    <col min="4" max="4" width="10.33203125" bestFit="1" customWidth="1"/>
    <col min="5" max="5" width="15" bestFit="1" customWidth="1"/>
    <col min="6" max="6" width="17.109375" bestFit="1" customWidth="1"/>
    <col min="7" max="7" width="16.33203125" bestFit="1" customWidth="1"/>
    <col min="8" max="8" width="6.21875" bestFit="1" customWidth="1"/>
    <col min="9" max="9" width="11.33203125" style="5" bestFit="1" customWidth="1"/>
    <col min="10" max="10" width="10.109375" style="12" bestFit="1" customWidth="1"/>
    <col min="11" max="11" width="10.44140625" bestFit="1" customWidth="1"/>
    <col min="12" max="12" width="10.88671875" bestFit="1" customWidth="1"/>
    <col min="13" max="13" width="8.44140625" bestFit="1" customWidth="1"/>
    <col min="14" max="14" width="13.44140625" bestFit="1" customWidth="1"/>
    <col min="15" max="15" width="19" bestFit="1" customWidth="1"/>
    <col min="16" max="16" width="19.6640625" bestFit="1" customWidth="1"/>
    <col min="17" max="17" width="10.33203125" style="1" bestFit="1" customWidth="1"/>
    <col min="18" max="18" width="10.33203125" bestFit="1" customWidth="1"/>
  </cols>
  <sheetData>
    <row r="1" spans="1:20" x14ac:dyDescent="0.3">
      <c r="A1" t="s">
        <v>0</v>
      </c>
      <c r="B1" t="s">
        <v>1</v>
      </c>
      <c r="C1" t="s">
        <v>2</v>
      </c>
      <c r="D1" t="s">
        <v>3</v>
      </c>
      <c r="E1" t="s">
        <v>4</v>
      </c>
      <c r="F1" t="s">
        <v>5</v>
      </c>
      <c r="G1" t="s">
        <v>69</v>
      </c>
      <c r="H1" t="s">
        <v>6</v>
      </c>
      <c r="I1" s="5" t="s">
        <v>71</v>
      </c>
      <c r="J1" s="12" t="s">
        <v>70</v>
      </c>
      <c r="K1" t="s">
        <v>7</v>
      </c>
      <c r="L1" t="s">
        <v>8</v>
      </c>
      <c r="M1" t="s">
        <v>9</v>
      </c>
      <c r="N1" t="s">
        <v>10</v>
      </c>
      <c r="O1" t="s">
        <v>11</v>
      </c>
      <c r="P1" t="s">
        <v>12</v>
      </c>
      <c r="Q1" s="1" t="s">
        <v>13</v>
      </c>
    </row>
    <row r="2" spans="1:20" x14ac:dyDescent="0.3">
      <c r="A2" t="s">
        <v>14</v>
      </c>
      <c r="B2" t="s">
        <v>15</v>
      </c>
      <c r="C2" t="s">
        <v>16</v>
      </c>
      <c r="D2" t="s">
        <v>17</v>
      </c>
      <c r="E2" t="s">
        <v>18</v>
      </c>
      <c r="F2" s="9">
        <v>0.04</v>
      </c>
      <c r="G2" s="10">
        <v>16174</v>
      </c>
      <c r="H2">
        <v>6.29</v>
      </c>
      <c r="I2" s="5">
        <f>ROUND(Marketing[[#This Row],[Clicks]]*Marketing[[#This Row],[Conversion_Rate]],0)</f>
        <v>20</v>
      </c>
      <c r="J2" s="12">
        <f>Marketing[[#This Row],[Campaign_Cost]]/Marketing[[#This Row],[Customers]]</f>
        <v>808.7</v>
      </c>
      <c r="K2" t="s">
        <v>19</v>
      </c>
      <c r="L2" t="s">
        <v>20</v>
      </c>
      <c r="M2">
        <v>506</v>
      </c>
      <c r="N2">
        <v>1922</v>
      </c>
      <c r="O2">
        <v>6</v>
      </c>
      <c r="P2" t="s">
        <v>21</v>
      </c>
      <c r="Q2" s="1">
        <v>44197</v>
      </c>
    </row>
    <row r="3" spans="1:20" x14ac:dyDescent="0.3">
      <c r="A3" t="s">
        <v>22</v>
      </c>
      <c r="B3" t="s">
        <v>15</v>
      </c>
      <c r="C3" t="s">
        <v>23</v>
      </c>
      <c r="D3" t="s">
        <v>24</v>
      </c>
      <c r="E3" t="s">
        <v>18</v>
      </c>
      <c r="F3" s="9">
        <v>0.12</v>
      </c>
      <c r="G3" s="10">
        <v>11566</v>
      </c>
      <c r="H3">
        <v>5.61</v>
      </c>
      <c r="I3" s="5">
        <f>ROUND(Marketing[[#This Row],[Clicks]]*Marketing[[#This Row],[Conversion_Rate]],0)</f>
        <v>14</v>
      </c>
      <c r="J3" s="12">
        <f>Marketing[[#This Row],[Campaign_Cost]]/Marketing[[#This Row],[Customers]]</f>
        <v>826.14285714285711</v>
      </c>
      <c r="K3" t="s">
        <v>25</v>
      </c>
      <c r="L3" t="s">
        <v>26</v>
      </c>
      <c r="M3">
        <v>116</v>
      </c>
      <c r="N3">
        <v>7523</v>
      </c>
      <c r="O3">
        <v>7</v>
      </c>
      <c r="P3" t="s">
        <v>27</v>
      </c>
      <c r="Q3" s="1">
        <v>44198</v>
      </c>
    </row>
    <row r="4" spans="1:20" x14ac:dyDescent="0.3">
      <c r="A4" t="s">
        <v>28</v>
      </c>
      <c r="B4" t="s">
        <v>29</v>
      </c>
      <c r="C4" t="s">
        <v>30</v>
      </c>
      <c r="D4" t="s">
        <v>17</v>
      </c>
      <c r="E4" t="s">
        <v>31</v>
      </c>
      <c r="F4" s="9">
        <v>7.0000000000000007E-2</v>
      </c>
      <c r="G4" s="10">
        <v>10200</v>
      </c>
      <c r="H4">
        <v>7.18</v>
      </c>
      <c r="I4" s="5">
        <f>ROUND(Marketing[[#This Row],[Clicks]]*Marketing[[#This Row],[Conversion_Rate]],0)</f>
        <v>41</v>
      </c>
      <c r="J4" s="12">
        <f>Marketing[[#This Row],[Campaign_Cost]]/Marketing[[#This Row],[Customers]]</f>
        <v>248.78048780487805</v>
      </c>
      <c r="K4" t="s">
        <v>32</v>
      </c>
      <c r="L4" t="s">
        <v>33</v>
      </c>
      <c r="M4">
        <v>584</v>
      </c>
      <c r="N4">
        <v>7698</v>
      </c>
      <c r="O4">
        <v>1</v>
      </c>
      <c r="P4" t="s">
        <v>34</v>
      </c>
      <c r="Q4" s="1">
        <v>44199</v>
      </c>
    </row>
    <row r="5" spans="1:20" x14ac:dyDescent="0.3">
      <c r="A5" t="s">
        <v>35</v>
      </c>
      <c r="B5" t="s">
        <v>36</v>
      </c>
      <c r="C5" t="s">
        <v>37</v>
      </c>
      <c r="D5" t="s">
        <v>24</v>
      </c>
      <c r="E5" t="s">
        <v>31</v>
      </c>
      <c r="F5" s="9">
        <v>0.11</v>
      </c>
      <c r="G5" s="10">
        <v>12724</v>
      </c>
      <c r="H5">
        <v>5.55</v>
      </c>
      <c r="I5" s="5">
        <f>ROUND(Marketing[[#This Row],[Clicks]]*Marketing[[#This Row],[Conversion_Rate]],0)</f>
        <v>24</v>
      </c>
      <c r="J5" s="12">
        <f>Marketing[[#This Row],[Campaign_Cost]]/Marketing[[#This Row],[Customers]]</f>
        <v>530.16666666666663</v>
      </c>
      <c r="K5" t="s">
        <v>38</v>
      </c>
      <c r="L5" t="s">
        <v>39</v>
      </c>
      <c r="M5">
        <v>217</v>
      </c>
      <c r="N5">
        <v>1820</v>
      </c>
      <c r="O5">
        <v>7</v>
      </c>
      <c r="P5" t="s">
        <v>21</v>
      </c>
      <c r="Q5" s="1">
        <v>44200</v>
      </c>
    </row>
    <row r="6" spans="1:20" x14ac:dyDescent="0.3">
      <c r="A6" t="s">
        <v>22</v>
      </c>
      <c r="B6" t="s">
        <v>15</v>
      </c>
      <c r="C6" t="s">
        <v>30</v>
      </c>
      <c r="D6" t="s">
        <v>40</v>
      </c>
      <c r="E6" t="s">
        <v>31</v>
      </c>
      <c r="F6" s="9">
        <v>0.05</v>
      </c>
      <c r="G6" s="10">
        <v>16452</v>
      </c>
      <c r="H6">
        <v>6.5</v>
      </c>
      <c r="I6" s="5">
        <f>ROUND(Marketing[[#This Row],[Clicks]]*Marketing[[#This Row],[Conversion_Rate]],0)</f>
        <v>19</v>
      </c>
      <c r="J6" s="12">
        <f>Marketing[[#This Row],[Campaign_Cost]]/Marketing[[#This Row],[Customers]]</f>
        <v>865.89473684210532</v>
      </c>
      <c r="K6" t="s">
        <v>32</v>
      </c>
      <c r="L6" t="s">
        <v>39</v>
      </c>
      <c r="M6">
        <v>379</v>
      </c>
      <c r="N6">
        <v>4201</v>
      </c>
      <c r="O6">
        <v>3</v>
      </c>
      <c r="P6" t="s">
        <v>21</v>
      </c>
      <c r="Q6" s="1">
        <v>44201</v>
      </c>
    </row>
    <row r="7" spans="1:20" x14ac:dyDescent="0.3">
      <c r="A7" t="s">
        <v>35</v>
      </c>
      <c r="B7" t="s">
        <v>36</v>
      </c>
      <c r="C7" t="s">
        <v>37</v>
      </c>
      <c r="D7" t="s">
        <v>40</v>
      </c>
      <c r="E7" t="s">
        <v>41</v>
      </c>
      <c r="F7" s="9">
        <v>7.0000000000000007E-2</v>
      </c>
      <c r="G7" s="10">
        <v>9716</v>
      </c>
      <c r="H7">
        <v>4.3600000000000003</v>
      </c>
      <c r="I7" s="5">
        <f>ROUND(Marketing[[#This Row],[Clicks]]*Marketing[[#This Row],[Conversion_Rate]],0)</f>
        <v>7</v>
      </c>
      <c r="J7" s="12">
        <f>Marketing[[#This Row],[Campaign_Cost]]/Marketing[[#This Row],[Customers]]</f>
        <v>1388</v>
      </c>
      <c r="K7" t="s">
        <v>25</v>
      </c>
      <c r="L7" t="s">
        <v>26</v>
      </c>
      <c r="M7">
        <v>100</v>
      </c>
      <c r="N7">
        <v>1643</v>
      </c>
      <c r="O7">
        <v>1</v>
      </c>
      <c r="P7" t="s">
        <v>42</v>
      </c>
      <c r="Q7" s="1">
        <v>44202</v>
      </c>
      <c r="T7" s="4"/>
    </row>
    <row r="8" spans="1:20" x14ac:dyDescent="0.3">
      <c r="A8" t="s">
        <v>22</v>
      </c>
      <c r="B8" t="s">
        <v>15</v>
      </c>
      <c r="C8" t="s">
        <v>23</v>
      </c>
      <c r="D8" t="s">
        <v>24</v>
      </c>
      <c r="E8" t="s">
        <v>43</v>
      </c>
      <c r="F8" s="9">
        <v>0.13</v>
      </c>
      <c r="G8" s="10">
        <v>11067</v>
      </c>
      <c r="H8">
        <v>2.86</v>
      </c>
      <c r="I8" s="5">
        <f>ROUND(Marketing[[#This Row],[Clicks]]*Marketing[[#This Row],[Conversion_Rate]],0)</f>
        <v>106</v>
      </c>
      <c r="J8" s="12">
        <f>Marketing[[#This Row],[Campaign_Cost]]/Marketing[[#This Row],[Customers]]</f>
        <v>104.40566037735849</v>
      </c>
      <c r="K8" t="s">
        <v>32</v>
      </c>
      <c r="L8" t="s">
        <v>20</v>
      </c>
      <c r="M8">
        <v>817</v>
      </c>
      <c r="N8">
        <v>8749</v>
      </c>
      <c r="O8">
        <v>10</v>
      </c>
      <c r="P8" t="s">
        <v>44</v>
      </c>
      <c r="Q8" s="1">
        <v>44203</v>
      </c>
    </row>
    <row r="9" spans="1:20" x14ac:dyDescent="0.3">
      <c r="A9" t="s">
        <v>35</v>
      </c>
      <c r="B9" t="s">
        <v>45</v>
      </c>
      <c r="C9" t="s">
        <v>16</v>
      </c>
      <c r="D9" t="s">
        <v>46</v>
      </c>
      <c r="E9" t="s">
        <v>18</v>
      </c>
      <c r="F9" s="9">
        <v>0.08</v>
      </c>
      <c r="G9" s="10">
        <v>13280</v>
      </c>
      <c r="H9">
        <v>5.55</v>
      </c>
      <c r="I9" s="5">
        <f>ROUND(Marketing[[#This Row],[Clicks]]*Marketing[[#This Row],[Conversion_Rate]],0)</f>
        <v>50</v>
      </c>
      <c r="J9" s="12">
        <f>Marketing[[#This Row],[Campaign_Cost]]/Marketing[[#This Row],[Customers]]</f>
        <v>265.60000000000002</v>
      </c>
      <c r="K9" t="s">
        <v>32</v>
      </c>
      <c r="L9" t="s">
        <v>39</v>
      </c>
      <c r="M9">
        <v>624</v>
      </c>
      <c r="N9">
        <v>7854</v>
      </c>
      <c r="O9">
        <v>7</v>
      </c>
      <c r="P9" t="s">
        <v>34</v>
      </c>
      <c r="Q9" s="1">
        <v>44204</v>
      </c>
    </row>
    <row r="10" spans="1:20" x14ac:dyDescent="0.3">
      <c r="A10" t="s">
        <v>28</v>
      </c>
      <c r="B10" t="s">
        <v>47</v>
      </c>
      <c r="C10" t="s">
        <v>23</v>
      </c>
      <c r="D10" t="s">
        <v>40</v>
      </c>
      <c r="E10" t="s">
        <v>48</v>
      </c>
      <c r="F10" s="9">
        <v>0.09</v>
      </c>
      <c r="G10" s="10">
        <v>18066</v>
      </c>
      <c r="H10">
        <v>6.73</v>
      </c>
      <c r="I10" s="5">
        <f>ROUND(Marketing[[#This Row],[Clicks]]*Marketing[[#This Row],[Conversion_Rate]],0)</f>
        <v>77</v>
      </c>
      <c r="J10" s="12">
        <f>Marketing[[#This Row],[Campaign_Cost]]/Marketing[[#This Row],[Customers]]</f>
        <v>234.62337662337663</v>
      </c>
      <c r="K10" t="s">
        <v>19</v>
      </c>
      <c r="L10" t="s">
        <v>26</v>
      </c>
      <c r="M10">
        <v>861</v>
      </c>
      <c r="N10">
        <v>1754</v>
      </c>
      <c r="O10">
        <v>6</v>
      </c>
      <c r="P10" t="s">
        <v>44</v>
      </c>
      <c r="Q10" s="1">
        <v>44205</v>
      </c>
    </row>
    <row r="11" spans="1:20" x14ac:dyDescent="0.3">
      <c r="A11" t="s">
        <v>49</v>
      </c>
      <c r="B11" t="s">
        <v>15</v>
      </c>
      <c r="C11" t="s">
        <v>23</v>
      </c>
      <c r="D11" t="s">
        <v>40</v>
      </c>
      <c r="E11" t="s">
        <v>41</v>
      </c>
      <c r="F11" s="9">
        <v>0.09</v>
      </c>
      <c r="G11" s="10">
        <v>13766</v>
      </c>
      <c r="H11">
        <v>3.78</v>
      </c>
      <c r="I11" s="5">
        <f>ROUND(Marketing[[#This Row],[Clicks]]*Marketing[[#This Row],[Conversion_Rate]],0)</f>
        <v>58</v>
      </c>
      <c r="J11" s="12">
        <f>Marketing[[#This Row],[Campaign_Cost]]/Marketing[[#This Row],[Customers]]</f>
        <v>237.34482758620689</v>
      </c>
      <c r="K11" t="s">
        <v>32</v>
      </c>
      <c r="L11" t="s">
        <v>50</v>
      </c>
      <c r="M11">
        <v>642</v>
      </c>
      <c r="N11">
        <v>3856</v>
      </c>
      <c r="O11">
        <v>3</v>
      </c>
      <c r="P11" t="s">
        <v>44</v>
      </c>
      <c r="Q11" s="1">
        <v>44206</v>
      </c>
    </row>
    <row r="12" spans="1:20" x14ac:dyDescent="0.3">
      <c r="A12" t="s">
        <v>22</v>
      </c>
      <c r="B12" t="s">
        <v>36</v>
      </c>
      <c r="C12" t="s">
        <v>30</v>
      </c>
      <c r="D12" t="s">
        <v>46</v>
      </c>
      <c r="E12" t="s">
        <v>15</v>
      </c>
      <c r="F12" s="9">
        <v>0.12</v>
      </c>
      <c r="G12" s="10">
        <v>8590</v>
      </c>
      <c r="H12">
        <v>3.49</v>
      </c>
      <c r="I12" s="5">
        <f>ROUND(Marketing[[#This Row],[Clicks]]*Marketing[[#This Row],[Conversion_Rate]],0)</f>
        <v>39</v>
      </c>
      <c r="J12" s="12">
        <f>Marketing[[#This Row],[Campaign_Cost]]/Marketing[[#This Row],[Customers]]</f>
        <v>220.25641025641025</v>
      </c>
      <c r="K12" t="s">
        <v>25</v>
      </c>
      <c r="L12" t="s">
        <v>20</v>
      </c>
      <c r="M12">
        <v>321</v>
      </c>
      <c r="N12">
        <v>6628</v>
      </c>
      <c r="O12">
        <v>10</v>
      </c>
      <c r="P12" t="s">
        <v>44</v>
      </c>
      <c r="Q12" s="1">
        <v>44207</v>
      </c>
    </row>
    <row r="13" spans="1:20" x14ac:dyDescent="0.3">
      <c r="A13" t="s">
        <v>14</v>
      </c>
      <c r="B13" t="s">
        <v>29</v>
      </c>
      <c r="C13" t="s">
        <v>30</v>
      </c>
      <c r="D13" t="s">
        <v>24</v>
      </c>
      <c r="E13" t="s">
        <v>18</v>
      </c>
      <c r="F13" s="9">
        <v>0.05</v>
      </c>
      <c r="G13" s="10">
        <v>17502</v>
      </c>
      <c r="H13">
        <v>3.59</v>
      </c>
      <c r="I13" s="5">
        <f>ROUND(Marketing[[#This Row],[Clicks]]*Marketing[[#This Row],[Conversion_Rate]],0)</f>
        <v>33</v>
      </c>
      <c r="J13" s="12">
        <f>Marketing[[#This Row],[Campaign_Cost]]/Marketing[[#This Row],[Customers]]</f>
        <v>530.36363636363637</v>
      </c>
      <c r="K13" t="s">
        <v>32</v>
      </c>
      <c r="L13" t="s">
        <v>39</v>
      </c>
      <c r="M13">
        <v>659</v>
      </c>
      <c r="N13">
        <v>8948</v>
      </c>
      <c r="O13">
        <v>1</v>
      </c>
      <c r="P13" t="s">
        <v>42</v>
      </c>
      <c r="Q13" s="1">
        <v>44208</v>
      </c>
    </row>
    <row r="14" spans="1:20" x14ac:dyDescent="0.3">
      <c r="A14" t="s">
        <v>49</v>
      </c>
      <c r="B14" t="s">
        <v>47</v>
      </c>
      <c r="C14" t="s">
        <v>30</v>
      </c>
      <c r="D14" t="s">
        <v>24</v>
      </c>
      <c r="E14" t="s">
        <v>48</v>
      </c>
      <c r="F14" s="9">
        <v>0.09</v>
      </c>
      <c r="G14" s="10">
        <v>17189</v>
      </c>
      <c r="H14">
        <v>4.91</v>
      </c>
      <c r="I14" s="5">
        <f>ROUND(Marketing[[#This Row],[Clicks]]*Marketing[[#This Row],[Conversion_Rate]],0)</f>
        <v>61</v>
      </c>
      <c r="J14" s="12">
        <f>Marketing[[#This Row],[Campaign_Cost]]/Marketing[[#This Row],[Customers]]</f>
        <v>281.78688524590166</v>
      </c>
      <c r="K14" t="s">
        <v>19</v>
      </c>
      <c r="L14" t="s">
        <v>39</v>
      </c>
      <c r="M14">
        <v>677</v>
      </c>
      <c r="N14">
        <v>8817</v>
      </c>
      <c r="O14">
        <v>10</v>
      </c>
      <c r="P14" t="s">
        <v>44</v>
      </c>
      <c r="Q14" s="1">
        <v>44209</v>
      </c>
    </row>
    <row r="15" spans="1:20" x14ac:dyDescent="0.3">
      <c r="A15" t="s">
        <v>49</v>
      </c>
      <c r="B15" t="s">
        <v>15</v>
      </c>
      <c r="C15" t="s">
        <v>30</v>
      </c>
      <c r="D15" t="s">
        <v>46</v>
      </c>
      <c r="E15" t="s">
        <v>41</v>
      </c>
      <c r="F15" s="9">
        <v>0.14000000000000001</v>
      </c>
      <c r="G15" s="10">
        <v>9975</v>
      </c>
      <c r="H15">
        <v>7.06</v>
      </c>
      <c r="I15" s="5">
        <f>ROUND(Marketing[[#This Row],[Clicks]]*Marketing[[#This Row],[Conversion_Rate]],0)</f>
        <v>139</v>
      </c>
      <c r="J15" s="12">
        <f>Marketing[[#This Row],[Campaign_Cost]]/Marketing[[#This Row],[Customers]]</f>
        <v>71.762589928057551</v>
      </c>
      <c r="K15" t="s">
        <v>25</v>
      </c>
      <c r="L15" t="s">
        <v>26</v>
      </c>
      <c r="M15">
        <v>994</v>
      </c>
      <c r="N15">
        <v>2201</v>
      </c>
      <c r="O15">
        <v>4</v>
      </c>
      <c r="P15" t="s">
        <v>21</v>
      </c>
      <c r="Q15" s="1">
        <v>44210</v>
      </c>
    </row>
    <row r="16" spans="1:20" x14ac:dyDescent="0.3">
      <c r="A16" t="s">
        <v>49</v>
      </c>
      <c r="B16" t="s">
        <v>36</v>
      </c>
      <c r="C16" t="s">
        <v>37</v>
      </c>
      <c r="D16" t="s">
        <v>46</v>
      </c>
      <c r="E16" t="s">
        <v>43</v>
      </c>
      <c r="F16" s="9">
        <v>0.04</v>
      </c>
      <c r="G16" s="10">
        <v>11346</v>
      </c>
      <c r="H16">
        <v>5.28</v>
      </c>
      <c r="I16" s="5">
        <f>ROUND(Marketing[[#This Row],[Clicks]]*Marketing[[#This Row],[Conversion_Rate]],0)</f>
        <v>19</v>
      </c>
      <c r="J16" s="12">
        <f>Marketing[[#This Row],[Campaign_Cost]]/Marketing[[#This Row],[Customers]]</f>
        <v>597.15789473684208</v>
      </c>
      <c r="K16" t="s">
        <v>19</v>
      </c>
      <c r="L16" t="s">
        <v>20</v>
      </c>
      <c r="M16">
        <v>482</v>
      </c>
      <c r="N16">
        <v>8470</v>
      </c>
      <c r="O16">
        <v>1</v>
      </c>
      <c r="P16" t="s">
        <v>34</v>
      </c>
      <c r="Q16" s="1">
        <v>44211</v>
      </c>
    </row>
    <row r="17" spans="1:17" x14ac:dyDescent="0.3">
      <c r="A17" t="s">
        <v>14</v>
      </c>
      <c r="B17" t="s">
        <v>47</v>
      </c>
      <c r="C17" t="s">
        <v>23</v>
      </c>
      <c r="D17" t="s">
        <v>24</v>
      </c>
      <c r="E17" t="s">
        <v>31</v>
      </c>
      <c r="F17" s="9">
        <v>0.11</v>
      </c>
      <c r="G17" s="10">
        <v>9407</v>
      </c>
      <c r="H17">
        <v>2.91</v>
      </c>
      <c r="I17" s="5">
        <f>ROUND(Marketing[[#This Row],[Clicks]]*Marketing[[#This Row],[Conversion_Rate]],0)</f>
        <v>33</v>
      </c>
      <c r="J17" s="12">
        <f>Marketing[[#This Row],[Campaign_Cost]]/Marketing[[#This Row],[Customers]]</f>
        <v>285.06060606060606</v>
      </c>
      <c r="K17" t="s">
        <v>25</v>
      </c>
      <c r="L17" t="s">
        <v>26</v>
      </c>
      <c r="M17">
        <v>299</v>
      </c>
      <c r="N17">
        <v>1512</v>
      </c>
      <c r="O17">
        <v>5</v>
      </c>
      <c r="P17" t="s">
        <v>21</v>
      </c>
      <c r="Q17" s="1">
        <v>44212</v>
      </c>
    </row>
    <row r="18" spans="1:17" x14ac:dyDescent="0.3">
      <c r="A18" t="s">
        <v>14</v>
      </c>
      <c r="B18" t="s">
        <v>36</v>
      </c>
      <c r="C18" t="s">
        <v>23</v>
      </c>
      <c r="D18" t="s">
        <v>46</v>
      </c>
      <c r="E18" t="s">
        <v>43</v>
      </c>
      <c r="F18" s="9">
        <v>0.08</v>
      </c>
      <c r="G18" s="10">
        <v>5478</v>
      </c>
      <c r="H18">
        <v>4.53</v>
      </c>
      <c r="I18" s="5">
        <f>ROUND(Marketing[[#This Row],[Clicks]]*Marketing[[#This Row],[Conversion_Rate]],0)</f>
        <v>74</v>
      </c>
      <c r="J18" s="12">
        <f>Marketing[[#This Row],[Campaign_Cost]]/Marketing[[#This Row],[Customers]]</f>
        <v>74.027027027027032</v>
      </c>
      <c r="K18" t="s">
        <v>51</v>
      </c>
      <c r="L18" t="s">
        <v>50</v>
      </c>
      <c r="M18">
        <v>931</v>
      </c>
      <c r="N18">
        <v>2488</v>
      </c>
      <c r="O18">
        <v>3</v>
      </c>
      <c r="P18" t="s">
        <v>27</v>
      </c>
      <c r="Q18" s="1">
        <v>44213</v>
      </c>
    </row>
    <row r="19" spans="1:17" x14ac:dyDescent="0.3">
      <c r="A19" t="s">
        <v>28</v>
      </c>
      <c r="B19" t="s">
        <v>29</v>
      </c>
      <c r="C19" t="s">
        <v>16</v>
      </c>
      <c r="D19" t="s">
        <v>40</v>
      </c>
      <c r="E19" t="s">
        <v>41</v>
      </c>
      <c r="F19" s="9">
        <v>0.14000000000000001</v>
      </c>
      <c r="G19" s="10">
        <v>9485</v>
      </c>
      <c r="H19">
        <v>4.4800000000000004</v>
      </c>
      <c r="I19" s="5">
        <f>ROUND(Marketing[[#This Row],[Clicks]]*Marketing[[#This Row],[Conversion_Rate]],0)</f>
        <v>31</v>
      </c>
      <c r="J19" s="12">
        <f>Marketing[[#This Row],[Campaign_Cost]]/Marketing[[#This Row],[Customers]]</f>
        <v>305.96774193548384</v>
      </c>
      <c r="K19" t="s">
        <v>38</v>
      </c>
      <c r="L19" t="s">
        <v>33</v>
      </c>
      <c r="M19">
        <v>218</v>
      </c>
      <c r="N19">
        <v>9264</v>
      </c>
      <c r="O19">
        <v>9</v>
      </c>
      <c r="P19" t="s">
        <v>21</v>
      </c>
      <c r="Q19" s="1">
        <v>44214</v>
      </c>
    </row>
    <row r="20" spans="1:17" x14ac:dyDescent="0.3">
      <c r="A20" t="s">
        <v>28</v>
      </c>
      <c r="B20" t="s">
        <v>47</v>
      </c>
      <c r="C20" t="s">
        <v>30</v>
      </c>
      <c r="D20" t="s">
        <v>24</v>
      </c>
      <c r="E20" t="s">
        <v>18</v>
      </c>
      <c r="F20" s="9">
        <v>7.0000000000000007E-2</v>
      </c>
      <c r="G20" s="10">
        <v>19224</v>
      </c>
      <c r="H20">
        <v>6.08</v>
      </c>
      <c r="I20" s="5">
        <f>ROUND(Marketing[[#This Row],[Clicks]]*Marketing[[#This Row],[Conversion_Rate]],0)</f>
        <v>13</v>
      </c>
      <c r="J20" s="12">
        <f>Marketing[[#This Row],[Campaign_Cost]]/Marketing[[#This Row],[Customers]]</f>
        <v>1478.7692307692307</v>
      </c>
      <c r="K20" t="s">
        <v>25</v>
      </c>
      <c r="L20" t="s">
        <v>33</v>
      </c>
      <c r="M20">
        <v>182</v>
      </c>
      <c r="N20">
        <v>5798</v>
      </c>
      <c r="O20">
        <v>1</v>
      </c>
      <c r="P20" t="s">
        <v>42</v>
      </c>
      <c r="Q20" s="1">
        <v>44215</v>
      </c>
    </row>
    <row r="21" spans="1:17" x14ac:dyDescent="0.3">
      <c r="A21" t="s">
        <v>35</v>
      </c>
      <c r="B21" t="s">
        <v>29</v>
      </c>
      <c r="C21" t="s">
        <v>30</v>
      </c>
      <c r="D21" t="s">
        <v>40</v>
      </c>
      <c r="E21" t="s">
        <v>18</v>
      </c>
      <c r="F21" s="9">
        <v>0.09</v>
      </c>
      <c r="G21" s="10">
        <v>10258</v>
      </c>
      <c r="H21">
        <v>3.83</v>
      </c>
      <c r="I21" s="5">
        <f>ROUND(Marketing[[#This Row],[Clicks]]*Marketing[[#This Row],[Conversion_Rate]],0)</f>
        <v>17</v>
      </c>
      <c r="J21" s="12">
        <f>Marketing[[#This Row],[Campaign_Cost]]/Marketing[[#This Row],[Customers]]</f>
        <v>603.41176470588232</v>
      </c>
      <c r="K21" t="s">
        <v>38</v>
      </c>
      <c r="L21" t="s">
        <v>33</v>
      </c>
      <c r="M21">
        <v>193</v>
      </c>
      <c r="N21">
        <v>3677</v>
      </c>
      <c r="O21">
        <v>1</v>
      </c>
      <c r="P21" t="s">
        <v>44</v>
      </c>
      <c r="Q21" s="1">
        <v>44216</v>
      </c>
    </row>
    <row r="22" spans="1:17" x14ac:dyDescent="0.3">
      <c r="A22" t="s">
        <v>35</v>
      </c>
      <c r="B22" t="s">
        <v>45</v>
      </c>
      <c r="C22" t="s">
        <v>52</v>
      </c>
      <c r="D22" t="s">
        <v>40</v>
      </c>
      <c r="E22" t="s">
        <v>15</v>
      </c>
      <c r="F22" s="9">
        <v>0.04</v>
      </c>
      <c r="G22" s="10">
        <v>16580</v>
      </c>
      <c r="H22">
        <v>7.99</v>
      </c>
      <c r="I22" s="5">
        <f>ROUND(Marketing[[#This Row],[Clicks]]*Marketing[[#This Row],[Conversion_Rate]],0)</f>
        <v>39</v>
      </c>
      <c r="J22" s="12">
        <f>Marketing[[#This Row],[Campaign_Cost]]/Marketing[[#This Row],[Customers]]</f>
        <v>425.12820512820514</v>
      </c>
      <c r="K22" t="s">
        <v>25</v>
      </c>
      <c r="L22" t="s">
        <v>20</v>
      </c>
      <c r="M22">
        <v>975</v>
      </c>
      <c r="N22">
        <v>1561</v>
      </c>
      <c r="O22">
        <v>3</v>
      </c>
      <c r="P22" t="s">
        <v>34</v>
      </c>
      <c r="Q22" s="1">
        <v>44217</v>
      </c>
    </row>
    <row r="23" spans="1:17" x14ac:dyDescent="0.3">
      <c r="A23" t="s">
        <v>49</v>
      </c>
      <c r="B23" t="s">
        <v>29</v>
      </c>
      <c r="C23" t="s">
        <v>37</v>
      </c>
      <c r="D23" t="s">
        <v>17</v>
      </c>
      <c r="E23" t="s">
        <v>48</v>
      </c>
      <c r="F23" s="9">
        <v>0.02</v>
      </c>
      <c r="G23" s="10">
        <v>12824</v>
      </c>
      <c r="H23">
        <v>6.21</v>
      </c>
      <c r="I23" s="5">
        <f>ROUND(Marketing[[#This Row],[Clicks]]*Marketing[[#This Row],[Conversion_Rate]],0)</f>
        <v>6</v>
      </c>
      <c r="J23" s="12">
        <f>Marketing[[#This Row],[Campaign_Cost]]/Marketing[[#This Row],[Customers]]</f>
        <v>2137.3333333333335</v>
      </c>
      <c r="K23" t="s">
        <v>25</v>
      </c>
      <c r="L23" t="s">
        <v>33</v>
      </c>
      <c r="M23">
        <v>319</v>
      </c>
      <c r="N23">
        <v>8586</v>
      </c>
      <c r="O23">
        <v>2</v>
      </c>
      <c r="P23" t="s">
        <v>42</v>
      </c>
      <c r="Q23" s="1">
        <v>44218</v>
      </c>
    </row>
    <row r="24" spans="1:17" x14ac:dyDescent="0.3">
      <c r="A24" t="s">
        <v>22</v>
      </c>
      <c r="B24" t="s">
        <v>47</v>
      </c>
      <c r="C24" t="s">
        <v>23</v>
      </c>
      <c r="D24" t="s">
        <v>40</v>
      </c>
      <c r="E24" t="s">
        <v>31</v>
      </c>
      <c r="F24" s="9">
        <v>0.13</v>
      </c>
      <c r="G24" s="10">
        <v>8699</v>
      </c>
      <c r="H24">
        <v>2.12</v>
      </c>
      <c r="I24" s="5">
        <f>ROUND(Marketing[[#This Row],[Clicks]]*Marketing[[#This Row],[Conversion_Rate]],0)</f>
        <v>84</v>
      </c>
      <c r="J24" s="12">
        <f>Marketing[[#This Row],[Campaign_Cost]]/Marketing[[#This Row],[Customers]]</f>
        <v>103.55952380952381</v>
      </c>
      <c r="K24" t="s">
        <v>38</v>
      </c>
      <c r="L24" t="s">
        <v>33</v>
      </c>
      <c r="M24">
        <v>646</v>
      </c>
      <c r="N24">
        <v>3841</v>
      </c>
      <c r="O24">
        <v>5</v>
      </c>
      <c r="P24" t="s">
        <v>21</v>
      </c>
      <c r="Q24" s="1">
        <v>44219</v>
      </c>
    </row>
    <row r="25" spans="1:17" x14ac:dyDescent="0.3">
      <c r="A25" t="s">
        <v>14</v>
      </c>
      <c r="B25" t="s">
        <v>15</v>
      </c>
      <c r="C25" t="s">
        <v>52</v>
      </c>
      <c r="D25" t="s">
        <v>40</v>
      </c>
      <c r="E25" t="s">
        <v>48</v>
      </c>
      <c r="F25" s="9">
        <v>0.04</v>
      </c>
      <c r="G25" s="10">
        <v>17608</v>
      </c>
      <c r="H25">
        <v>7.31</v>
      </c>
      <c r="I25" s="5">
        <f>ROUND(Marketing[[#This Row],[Clicks]]*Marketing[[#This Row],[Conversion_Rate]],0)</f>
        <v>31</v>
      </c>
      <c r="J25" s="12">
        <f>Marketing[[#This Row],[Campaign_Cost]]/Marketing[[#This Row],[Customers]]</f>
        <v>568</v>
      </c>
      <c r="K25" t="s">
        <v>38</v>
      </c>
      <c r="L25" t="s">
        <v>20</v>
      </c>
      <c r="M25">
        <v>764</v>
      </c>
      <c r="N25">
        <v>2157</v>
      </c>
      <c r="O25">
        <v>8</v>
      </c>
      <c r="P25" t="s">
        <v>21</v>
      </c>
      <c r="Q25" s="1">
        <v>44220</v>
      </c>
    </row>
    <row r="26" spans="1:17" x14ac:dyDescent="0.3">
      <c r="A26" t="s">
        <v>22</v>
      </c>
      <c r="B26" t="s">
        <v>47</v>
      </c>
      <c r="C26" t="s">
        <v>16</v>
      </c>
      <c r="D26" t="s">
        <v>24</v>
      </c>
      <c r="E26" t="s">
        <v>31</v>
      </c>
      <c r="F26" s="9">
        <v>7.0000000000000007E-2</v>
      </c>
      <c r="G26" s="10">
        <v>8773</v>
      </c>
      <c r="H26">
        <v>6.03</v>
      </c>
      <c r="I26" s="5">
        <f>ROUND(Marketing[[#This Row],[Clicks]]*Marketing[[#This Row],[Conversion_Rate]],0)</f>
        <v>37</v>
      </c>
      <c r="J26" s="12">
        <f>Marketing[[#This Row],[Campaign_Cost]]/Marketing[[#This Row],[Customers]]</f>
        <v>237.1081081081081</v>
      </c>
      <c r="K26" t="s">
        <v>38</v>
      </c>
      <c r="L26" t="s">
        <v>39</v>
      </c>
      <c r="M26">
        <v>527</v>
      </c>
      <c r="N26">
        <v>1733</v>
      </c>
      <c r="O26">
        <v>1</v>
      </c>
      <c r="P26" t="s">
        <v>27</v>
      </c>
      <c r="Q26" s="1">
        <v>44221</v>
      </c>
    </row>
    <row r="27" spans="1:17" x14ac:dyDescent="0.3">
      <c r="A27" t="s">
        <v>22</v>
      </c>
      <c r="B27" t="s">
        <v>45</v>
      </c>
      <c r="C27" t="s">
        <v>52</v>
      </c>
      <c r="D27" t="s">
        <v>46</v>
      </c>
      <c r="E27" t="s">
        <v>41</v>
      </c>
      <c r="F27" s="9">
        <v>0.04</v>
      </c>
      <c r="G27" s="10">
        <v>14756</v>
      </c>
      <c r="H27">
        <v>6.23</v>
      </c>
      <c r="I27" s="5">
        <f>ROUND(Marketing[[#This Row],[Clicks]]*Marketing[[#This Row],[Conversion_Rate]],0)</f>
        <v>32</v>
      </c>
      <c r="J27" s="12">
        <f>Marketing[[#This Row],[Campaign_Cost]]/Marketing[[#This Row],[Customers]]</f>
        <v>461.125</v>
      </c>
      <c r="K27" t="s">
        <v>51</v>
      </c>
      <c r="L27" t="s">
        <v>50</v>
      </c>
      <c r="M27">
        <v>809</v>
      </c>
      <c r="N27">
        <v>8236</v>
      </c>
      <c r="O27">
        <v>10</v>
      </c>
      <c r="P27" t="s">
        <v>21</v>
      </c>
      <c r="Q27" s="1">
        <v>44222</v>
      </c>
    </row>
    <row r="28" spans="1:17" x14ac:dyDescent="0.3">
      <c r="A28" t="s">
        <v>28</v>
      </c>
      <c r="B28" t="s">
        <v>15</v>
      </c>
      <c r="C28" t="s">
        <v>52</v>
      </c>
      <c r="D28" t="s">
        <v>46</v>
      </c>
      <c r="E28" t="s">
        <v>48</v>
      </c>
      <c r="F28" s="9">
        <v>0.09</v>
      </c>
      <c r="G28" s="10">
        <v>9182</v>
      </c>
      <c r="H28">
        <v>6.03</v>
      </c>
      <c r="I28" s="5">
        <f>ROUND(Marketing[[#This Row],[Clicks]]*Marketing[[#This Row],[Conversion_Rate]],0)</f>
        <v>86</v>
      </c>
      <c r="J28" s="12">
        <f>Marketing[[#This Row],[Campaign_Cost]]/Marketing[[#This Row],[Customers]]</f>
        <v>106.76744186046511</v>
      </c>
      <c r="K28" t="s">
        <v>51</v>
      </c>
      <c r="L28" t="s">
        <v>50</v>
      </c>
      <c r="M28">
        <v>953</v>
      </c>
      <c r="N28">
        <v>6916</v>
      </c>
      <c r="O28">
        <v>5</v>
      </c>
      <c r="P28" t="s">
        <v>27</v>
      </c>
      <c r="Q28" s="1">
        <v>44223</v>
      </c>
    </row>
    <row r="29" spans="1:17" x14ac:dyDescent="0.3">
      <c r="A29" t="s">
        <v>49</v>
      </c>
      <c r="B29" t="s">
        <v>15</v>
      </c>
      <c r="C29" t="s">
        <v>30</v>
      </c>
      <c r="D29" t="s">
        <v>17</v>
      </c>
      <c r="E29" t="s">
        <v>31</v>
      </c>
      <c r="F29" s="9">
        <v>7.0000000000000007E-2</v>
      </c>
      <c r="G29" s="10">
        <v>6601</v>
      </c>
      <c r="H29">
        <v>3.29</v>
      </c>
      <c r="I29" s="5">
        <f>ROUND(Marketing[[#This Row],[Clicks]]*Marketing[[#This Row],[Conversion_Rate]],0)</f>
        <v>42</v>
      </c>
      <c r="J29" s="12">
        <f>Marketing[[#This Row],[Campaign_Cost]]/Marketing[[#This Row],[Customers]]</f>
        <v>157.16666666666666</v>
      </c>
      <c r="K29" t="s">
        <v>25</v>
      </c>
      <c r="L29" t="s">
        <v>20</v>
      </c>
      <c r="M29">
        <v>604</v>
      </c>
      <c r="N29">
        <v>2420</v>
      </c>
      <c r="O29">
        <v>3</v>
      </c>
      <c r="P29" t="s">
        <v>42</v>
      </c>
      <c r="Q29" s="1">
        <v>44224</v>
      </c>
    </row>
    <row r="30" spans="1:17" x14ac:dyDescent="0.3">
      <c r="A30" t="s">
        <v>49</v>
      </c>
      <c r="B30" t="s">
        <v>29</v>
      </c>
      <c r="C30" t="s">
        <v>16</v>
      </c>
      <c r="D30" t="s">
        <v>24</v>
      </c>
      <c r="E30" t="s">
        <v>15</v>
      </c>
      <c r="F30" s="9">
        <v>0.09</v>
      </c>
      <c r="G30" s="10">
        <v>11552</v>
      </c>
      <c r="H30">
        <v>7.12</v>
      </c>
      <c r="I30" s="5">
        <f>ROUND(Marketing[[#This Row],[Clicks]]*Marketing[[#This Row],[Conversion_Rate]],0)</f>
        <v>35</v>
      </c>
      <c r="J30" s="12">
        <f>Marketing[[#This Row],[Campaign_Cost]]/Marketing[[#This Row],[Customers]]</f>
        <v>330.05714285714288</v>
      </c>
      <c r="K30" t="s">
        <v>19</v>
      </c>
      <c r="L30" t="s">
        <v>20</v>
      </c>
      <c r="M30">
        <v>384</v>
      </c>
      <c r="N30">
        <v>7620</v>
      </c>
      <c r="O30">
        <v>7</v>
      </c>
      <c r="P30" t="s">
        <v>44</v>
      </c>
      <c r="Q30" s="1">
        <v>44225</v>
      </c>
    </row>
    <row r="31" spans="1:17" x14ac:dyDescent="0.3">
      <c r="A31" t="s">
        <v>49</v>
      </c>
      <c r="B31" t="s">
        <v>47</v>
      </c>
      <c r="C31" t="s">
        <v>52</v>
      </c>
      <c r="D31" t="s">
        <v>17</v>
      </c>
      <c r="E31" t="s">
        <v>15</v>
      </c>
      <c r="F31" s="9">
        <v>0.09</v>
      </c>
      <c r="G31" s="10">
        <v>11608</v>
      </c>
      <c r="H31">
        <v>3.61</v>
      </c>
      <c r="I31" s="5">
        <f>ROUND(Marketing[[#This Row],[Clicks]]*Marketing[[#This Row],[Conversion_Rate]],0)</f>
        <v>86</v>
      </c>
      <c r="J31" s="12">
        <f>Marketing[[#This Row],[Campaign_Cost]]/Marketing[[#This Row],[Customers]]</f>
        <v>134.97674418604652</v>
      </c>
      <c r="K31" t="s">
        <v>32</v>
      </c>
      <c r="L31" t="s">
        <v>20</v>
      </c>
      <c r="M31">
        <v>952</v>
      </c>
      <c r="N31">
        <v>4055</v>
      </c>
      <c r="O31">
        <v>1</v>
      </c>
      <c r="P31" t="s">
        <v>44</v>
      </c>
      <c r="Q31" s="1">
        <v>44226</v>
      </c>
    </row>
    <row r="32" spans="1:17" x14ac:dyDescent="0.3">
      <c r="A32" t="s">
        <v>14</v>
      </c>
      <c r="B32" t="s">
        <v>45</v>
      </c>
      <c r="C32" t="s">
        <v>30</v>
      </c>
      <c r="D32" t="s">
        <v>46</v>
      </c>
      <c r="E32" t="s">
        <v>41</v>
      </c>
      <c r="F32" s="9">
        <v>7.0000000000000007E-2</v>
      </c>
      <c r="G32" s="10">
        <v>13124</v>
      </c>
      <c r="H32">
        <v>2.77</v>
      </c>
      <c r="I32" s="5">
        <f>ROUND(Marketing[[#This Row],[Clicks]]*Marketing[[#This Row],[Conversion_Rate]],0)</f>
        <v>36</v>
      </c>
      <c r="J32" s="12">
        <f>Marketing[[#This Row],[Campaign_Cost]]/Marketing[[#This Row],[Customers]]</f>
        <v>364.55555555555554</v>
      </c>
      <c r="K32" t="s">
        <v>51</v>
      </c>
      <c r="L32" t="s">
        <v>39</v>
      </c>
      <c r="M32">
        <v>512</v>
      </c>
      <c r="N32">
        <v>4837</v>
      </c>
      <c r="O32">
        <v>4</v>
      </c>
      <c r="P32" t="s">
        <v>44</v>
      </c>
      <c r="Q32" s="1">
        <v>44227</v>
      </c>
    </row>
    <row r="33" spans="1:17" x14ac:dyDescent="0.3">
      <c r="A33" t="s">
        <v>22</v>
      </c>
      <c r="B33" t="s">
        <v>29</v>
      </c>
      <c r="C33" t="s">
        <v>37</v>
      </c>
      <c r="D33" t="s">
        <v>46</v>
      </c>
      <c r="E33" t="s">
        <v>31</v>
      </c>
      <c r="F33" s="9">
        <v>7.0000000000000007E-2</v>
      </c>
      <c r="G33" s="10">
        <v>13245</v>
      </c>
      <c r="H33">
        <v>6.83</v>
      </c>
      <c r="I33" s="5">
        <f>ROUND(Marketing[[#This Row],[Clicks]]*Marketing[[#This Row],[Conversion_Rate]],0)</f>
        <v>22</v>
      </c>
      <c r="J33" s="12">
        <f>Marketing[[#This Row],[Campaign_Cost]]/Marketing[[#This Row],[Customers]]</f>
        <v>602.0454545454545</v>
      </c>
      <c r="K33" t="s">
        <v>25</v>
      </c>
      <c r="L33" t="s">
        <v>50</v>
      </c>
      <c r="M33">
        <v>309</v>
      </c>
      <c r="N33">
        <v>2885</v>
      </c>
      <c r="O33">
        <v>7</v>
      </c>
      <c r="P33" t="s">
        <v>42</v>
      </c>
      <c r="Q33" s="1">
        <v>44228</v>
      </c>
    </row>
    <row r="34" spans="1:17" x14ac:dyDescent="0.3">
      <c r="A34" t="s">
        <v>22</v>
      </c>
      <c r="B34" t="s">
        <v>36</v>
      </c>
      <c r="C34" t="s">
        <v>23</v>
      </c>
      <c r="D34" t="s">
        <v>46</v>
      </c>
      <c r="E34" t="s">
        <v>15</v>
      </c>
      <c r="F34" s="9">
        <v>0.06</v>
      </c>
      <c r="G34" s="10">
        <v>5796</v>
      </c>
      <c r="H34">
        <v>4.42</v>
      </c>
      <c r="I34" s="5">
        <f>ROUND(Marketing[[#This Row],[Clicks]]*Marketing[[#This Row],[Conversion_Rate]],0)</f>
        <v>22</v>
      </c>
      <c r="J34" s="12">
        <f>Marketing[[#This Row],[Campaign_Cost]]/Marketing[[#This Row],[Customers]]</f>
        <v>263.45454545454544</v>
      </c>
      <c r="K34" t="s">
        <v>25</v>
      </c>
      <c r="L34" t="s">
        <v>20</v>
      </c>
      <c r="M34">
        <v>367</v>
      </c>
      <c r="N34">
        <v>3218</v>
      </c>
      <c r="O34">
        <v>9</v>
      </c>
      <c r="P34" t="s">
        <v>42</v>
      </c>
      <c r="Q34" s="1">
        <v>44229</v>
      </c>
    </row>
    <row r="35" spans="1:17" x14ac:dyDescent="0.3">
      <c r="A35" t="s">
        <v>28</v>
      </c>
      <c r="B35" t="s">
        <v>29</v>
      </c>
      <c r="C35" t="s">
        <v>52</v>
      </c>
      <c r="D35" t="s">
        <v>46</v>
      </c>
      <c r="E35" t="s">
        <v>18</v>
      </c>
      <c r="F35" s="9">
        <v>0.14000000000000001</v>
      </c>
      <c r="G35" s="10">
        <v>15082</v>
      </c>
      <c r="H35">
        <v>2.71</v>
      </c>
      <c r="I35" s="5">
        <f>ROUND(Marketing[[#This Row],[Clicks]]*Marketing[[#This Row],[Conversion_Rate]],0)</f>
        <v>34</v>
      </c>
      <c r="J35" s="12">
        <f>Marketing[[#This Row],[Campaign_Cost]]/Marketing[[#This Row],[Customers]]</f>
        <v>443.58823529411762</v>
      </c>
      <c r="K35" t="s">
        <v>32</v>
      </c>
      <c r="L35" t="s">
        <v>26</v>
      </c>
      <c r="M35">
        <v>243</v>
      </c>
      <c r="N35">
        <v>5724</v>
      </c>
      <c r="O35">
        <v>4</v>
      </c>
      <c r="P35" t="s">
        <v>21</v>
      </c>
      <c r="Q35" s="1">
        <v>44230</v>
      </c>
    </row>
    <row r="36" spans="1:17" x14ac:dyDescent="0.3">
      <c r="A36" t="s">
        <v>22</v>
      </c>
      <c r="B36" t="s">
        <v>29</v>
      </c>
      <c r="C36" t="s">
        <v>16</v>
      </c>
      <c r="D36" t="s">
        <v>17</v>
      </c>
      <c r="E36" t="s">
        <v>31</v>
      </c>
      <c r="F36" s="9">
        <v>7.0000000000000007E-2</v>
      </c>
      <c r="G36" s="10">
        <v>18332</v>
      </c>
      <c r="H36">
        <v>7.81</v>
      </c>
      <c r="I36" s="5">
        <f>ROUND(Marketing[[#This Row],[Clicks]]*Marketing[[#This Row],[Conversion_Rate]],0)</f>
        <v>25</v>
      </c>
      <c r="J36" s="12">
        <f>Marketing[[#This Row],[Campaign_Cost]]/Marketing[[#This Row],[Customers]]</f>
        <v>733.28</v>
      </c>
      <c r="K36" t="s">
        <v>51</v>
      </c>
      <c r="L36" t="s">
        <v>20</v>
      </c>
      <c r="M36">
        <v>360</v>
      </c>
      <c r="N36">
        <v>5349</v>
      </c>
      <c r="O36">
        <v>6</v>
      </c>
      <c r="P36" t="s">
        <v>27</v>
      </c>
      <c r="Q36" s="1">
        <v>44231</v>
      </c>
    </row>
    <row r="37" spans="1:17" x14ac:dyDescent="0.3">
      <c r="A37" t="s">
        <v>49</v>
      </c>
      <c r="B37" t="s">
        <v>36</v>
      </c>
      <c r="C37" t="s">
        <v>30</v>
      </c>
      <c r="D37" t="s">
        <v>24</v>
      </c>
      <c r="E37" t="s">
        <v>41</v>
      </c>
      <c r="F37" s="9">
        <v>0.09</v>
      </c>
      <c r="G37" s="10">
        <v>13256</v>
      </c>
      <c r="H37">
        <v>2.5099999999999998</v>
      </c>
      <c r="I37" s="5">
        <f>ROUND(Marketing[[#This Row],[Clicks]]*Marketing[[#This Row],[Conversion_Rate]],0)</f>
        <v>23</v>
      </c>
      <c r="J37" s="12">
        <f>Marketing[[#This Row],[Campaign_Cost]]/Marketing[[#This Row],[Customers]]</f>
        <v>576.3478260869565</v>
      </c>
      <c r="K37" t="s">
        <v>38</v>
      </c>
      <c r="L37" t="s">
        <v>26</v>
      </c>
      <c r="M37">
        <v>250</v>
      </c>
      <c r="N37">
        <v>7373</v>
      </c>
      <c r="O37">
        <v>3</v>
      </c>
      <c r="P37" t="s">
        <v>21</v>
      </c>
      <c r="Q37" s="1">
        <v>44232</v>
      </c>
    </row>
    <row r="38" spans="1:17" x14ac:dyDescent="0.3">
      <c r="A38" t="s">
        <v>35</v>
      </c>
      <c r="B38" t="s">
        <v>36</v>
      </c>
      <c r="C38" t="s">
        <v>37</v>
      </c>
      <c r="D38" t="s">
        <v>46</v>
      </c>
      <c r="E38" t="s">
        <v>15</v>
      </c>
      <c r="F38" s="9">
        <v>0.04</v>
      </c>
      <c r="G38" s="10">
        <v>15779</v>
      </c>
      <c r="H38">
        <v>7.24</v>
      </c>
      <c r="I38" s="5">
        <f>ROUND(Marketing[[#This Row],[Clicks]]*Marketing[[#This Row],[Conversion_Rate]],0)</f>
        <v>33</v>
      </c>
      <c r="J38" s="12">
        <f>Marketing[[#This Row],[Campaign_Cost]]/Marketing[[#This Row],[Customers]]</f>
        <v>478.15151515151513</v>
      </c>
      <c r="K38" t="s">
        <v>25</v>
      </c>
      <c r="L38" t="s">
        <v>20</v>
      </c>
      <c r="M38">
        <v>822</v>
      </c>
      <c r="N38">
        <v>7152</v>
      </c>
      <c r="O38">
        <v>1</v>
      </c>
      <c r="P38" t="s">
        <v>42</v>
      </c>
      <c r="Q38" s="1">
        <v>44233</v>
      </c>
    </row>
    <row r="39" spans="1:17" x14ac:dyDescent="0.3">
      <c r="A39" t="s">
        <v>14</v>
      </c>
      <c r="B39" t="s">
        <v>29</v>
      </c>
      <c r="C39" t="s">
        <v>16</v>
      </c>
      <c r="D39" t="s">
        <v>24</v>
      </c>
      <c r="E39" t="s">
        <v>48</v>
      </c>
      <c r="F39" s="9">
        <v>0.06</v>
      </c>
      <c r="G39" s="10">
        <v>7683</v>
      </c>
      <c r="H39">
        <v>2.62</v>
      </c>
      <c r="I39" s="5">
        <f>ROUND(Marketing[[#This Row],[Clicks]]*Marketing[[#This Row],[Conversion_Rate]],0)</f>
        <v>50</v>
      </c>
      <c r="J39" s="12">
        <f>Marketing[[#This Row],[Campaign_Cost]]/Marketing[[#This Row],[Customers]]</f>
        <v>153.66</v>
      </c>
      <c r="K39" t="s">
        <v>51</v>
      </c>
      <c r="L39" t="s">
        <v>33</v>
      </c>
      <c r="M39">
        <v>833</v>
      </c>
      <c r="N39">
        <v>9772</v>
      </c>
      <c r="O39">
        <v>8</v>
      </c>
      <c r="P39" t="s">
        <v>44</v>
      </c>
      <c r="Q39" s="1">
        <v>44234</v>
      </c>
    </row>
    <row r="40" spans="1:17" x14ac:dyDescent="0.3">
      <c r="A40" t="s">
        <v>14</v>
      </c>
      <c r="B40" t="s">
        <v>45</v>
      </c>
      <c r="C40" t="s">
        <v>30</v>
      </c>
      <c r="D40" t="s">
        <v>17</v>
      </c>
      <c r="E40" t="s">
        <v>41</v>
      </c>
      <c r="F40" s="9">
        <v>0.11</v>
      </c>
      <c r="G40" s="10">
        <v>14742</v>
      </c>
      <c r="H40">
        <v>2.21</v>
      </c>
      <c r="I40" s="5">
        <f>ROUND(Marketing[[#This Row],[Clicks]]*Marketing[[#This Row],[Conversion_Rate]],0)</f>
        <v>73</v>
      </c>
      <c r="J40" s="12">
        <f>Marketing[[#This Row],[Campaign_Cost]]/Marketing[[#This Row],[Customers]]</f>
        <v>201.94520547945206</v>
      </c>
      <c r="K40" t="s">
        <v>19</v>
      </c>
      <c r="L40" t="s">
        <v>20</v>
      </c>
      <c r="M40">
        <v>663</v>
      </c>
      <c r="N40">
        <v>9473</v>
      </c>
      <c r="O40">
        <v>10</v>
      </c>
      <c r="P40" t="s">
        <v>44</v>
      </c>
      <c r="Q40" s="1">
        <v>44235</v>
      </c>
    </row>
    <row r="41" spans="1:17" x14ac:dyDescent="0.3">
      <c r="A41" t="s">
        <v>14</v>
      </c>
      <c r="B41" t="s">
        <v>45</v>
      </c>
      <c r="C41" t="s">
        <v>16</v>
      </c>
      <c r="D41" t="s">
        <v>46</v>
      </c>
      <c r="E41" t="s">
        <v>18</v>
      </c>
      <c r="F41" s="9">
        <v>0.08</v>
      </c>
      <c r="G41" s="10">
        <v>15495</v>
      </c>
      <c r="H41">
        <v>6.97</v>
      </c>
      <c r="I41" s="5">
        <f>ROUND(Marketing[[#This Row],[Clicks]]*Marketing[[#This Row],[Conversion_Rate]],0)</f>
        <v>21</v>
      </c>
      <c r="J41" s="12">
        <f>Marketing[[#This Row],[Campaign_Cost]]/Marketing[[#This Row],[Customers]]</f>
        <v>737.85714285714289</v>
      </c>
      <c r="K41" t="s">
        <v>19</v>
      </c>
      <c r="L41" t="s">
        <v>26</v>
      </c>
      <c r="M41">
        <v>268</v>
      </c>
      <c r="N41">
        <v>5495</v>
      </c>
      <c r="O41">
        <v>6</v>
      </c>
      <c r="P41" t="s">
        <v>27</v>
      </c>
      <c r="Q41" s="1">
        <v>44236</v>
      </c>
    </row>
    <row r="42" spans="1:17" x14ac:dyDescent="0.3">
      <c r="A42" t="s">
        <v>35</v>
      </c>
      <c r="B42" t="s">
        <v>47</v>
      </c>
      <c r="C42" t="s">
        <v>37</v>
      </c>
      <c r="D42" t="s">
        <v>17</v>
      </c>
      <c r="E42" t="s">
        <v>43</v>
      </c>
      <c r="F42" s="9">
        <v>0.04</v>
      </c>
      <c r="G42" s="10">
        <v>18684</v>
      </c>
      <c r="H42">
        <v>4.57</v>
      </c>
      <c r="I42" s="5">
        <f>ROUND(Marketing[[#This Row],[Clicks]]*Marketing[[#This Row],[Conversion_Rate]],0)</f>
        <v>8</v>
      </c>
      <c r="J42" s="12">
        <f>Marketing[[#This Row],[Campaign_Cost]]/Marketing[[#This Row],[Customers]]</f>
        <v>2335.5</v>
      </c>
      <c r="K42" t="s">
        <v>25</v>
      </c>
      <c r="L42" t="s">
        <v>33</v>
      </c>
      <c r="M42">
        <v>212</v>
      </c>
      <c r="N42">
        <v>4718</v>
      </c>
      <c r="O42">
        <v>4</v>
      </c>
      <c r="P42" t="s">
        <v>42</v>
      </c>
      <c r="Q42" s="1">
        <v>44237</v>
      </c>
    </row>
    <row r="43" spans="1:17" x14ac:dyDescent="0.3">
      <c r="A43" t="s">
        <v>28</v>
      </c>
      <c r="B43" t="s">
        <v>45</v>
      </c>
      <c r="C43" t="s">
        <v>30</v>
      </c>
      <c r="D43" t="s">
        <v>46</v>
      </c>
      <c r="E43" t="s">
        <v>15</v>
      </c>
      <c r="F43" s="9">
        <v>0.01</v>
      </c>
      <c r="G43" s="10">
        <v>13096</v>
      </c>
      <c r="H43">
        <v>3.44</v>
      </c>
      <c r="I43" s="5">
        <f>ROUND(Marketing[[#This Row],[Clicks]]*Marketing[[#This Row],[Conversion_Rate]],0)</f>
        <v>4</v>
      </c>
      <c r="J43" s="12">
        <f>Marketing[[#This Row],[Campaign_Cost]]/Marketing[[#This Row],[Customers]]</f>
        <v>3274</v>
      </c>
      <c r="K43" t="s">
        <v>32</v>
      </c>
      <c r="L43" t="s">
        <v>33</v>
      </c>
      <c r="M43">
        <v>360</v>
      </c>
      <c r="N43">
        <v>2776</v>
      </c>
      <c r="O43">
        <v>1</v>
      </c>
      <c r="P43" t="s">
        <v>42</v>
      </c>
      <c r="Q43" s="1">
        <v>44238</v>
      </c>
    </row>
    <row r="44" spans="1:17" x14ac:dyDescent="0.3">
      <c r="A44" t="s">
        <v>14</v>
      </c>
      <c r="B44" t="s">
        <v>36</v>
      </c>
      <c r="C44" t="s">
        <v>30</v>
      </c>
      <c r="D44" t="s">
        <v>24</v>
      </c>
      <c r="E44" t="s">
        <v>41</v>
      </c>
      <c r="F44" s="9">
        <v>0.09</v>
      </c>
      <c r="G44" s="10">
        <v>7818</v>
      </c>
      <c r="H44">
        <v>5.6</v>
      </c>
      <c r="I44" s="5">
        <f>ROUND(Marketing[[#This Row],[Clicks]]*Marketing[[#This Row],[Conversion_Rate]],0)</f>
        <v>54</v>
      </c>
      <c r="J44" s="12">
        <f>Marketing[[#This Row],[Campaign_Cost]]/Marketing[[#This Row],[Customers]]</f>
        <v>144.77777777777777</v>
      </c>
      <c r="K44" t="s">
        <v>51</v>
      </c>
      <c r="L44" t="s">
        <v>33</v>
      </c>
      <c r="M44">
        <v>598</v>
      </c>
      <c r="N44">
        <v>8637</v>
      </c>
      <c r="O44">
        <v>5</v>
      </c>
      <c r="P44" t="s">
        <v>27</v>
      </c>
      <c r="Q44" s="1">
        <v>44239</v>
      </c>
    </row>
    <row r="45" spans="1:17" x14ac:dyDescent="0.3">
      <c r="A45" t="s">
        <v>14</v>
      </c>
      <c r="B45" t="s">
        <v>36</v>
      </c>
      <c r="C45" t="s">
        <v>37</v>
      </c>
      <c r="D45" t="s">
        <v>17</v>
      </c>
      <c r="E45" t="s">
        <v>41</v>
      </c>
      <c r="F45" s="9">
        <v>0.09</v>
      </c>
      <c r="G45" s="10">
        <v>8214</v>
      </c>
      <c r="H45">
        <v>4.7699999999999996</v>
      </c>
      <c r="I45" s="5">
        <f>ROUND(Marketing[[#This Row],[Clicks]]*Marketing[[#This Row],[Conversion_Rate]],0)</f>
        <v>89</v>
      </c>
      <c r="J45" s="12">
        <f>Marketing[[#This Row],[Campaign_Cost]]/Marketing[[#This Row],[Customers]]</f>
        <v>92.292134831460672</v>
      </c>
      <c r="K45" t="s">
        <v>19</v>
      </c>
      <c r="L45" t="s">
        <v>50</v>
      </c>
      <c r="M45">
        <v>988</v>
      </c>
      <c r="N45">
        <v>1612</v>
      </c>
      <c r="O45">
        <v>5</v>
      </c>
      <c r="P45" t="s">
        <v>27</v>
      </c>
      <c r="Q45" s="1">
        <v>44240</v>
      </c>
    </row>
    <row r="46" spans="1:17" x14ac:dyDescent="0.3">
      <c r="A46" t="s">
        <v>35</v>
      </c>
      <c r="B46" t="s">
        <v>15</v>
      </c>
      <c r="C46" t="s">
        <v>16</v>
      </c>
      <c r="D46" t="s">
        <v>46</v>
      </c>
      <c r="E46" t="s">
        <v>18</v>
      </c>
      <c r="F46" s="9">
        <v>0.04</v>
      </c>
      <c r="G46" s="10">
        <v>6882</v>
      </c>
      <c r="H46">
        <v>3.31</v>
      </c>
      <c r="I46" s="5">
        <f>ROUND(Marketing[[#This Row],[Clicks]]*Marketing[[#This Row],[Conversion_Rate]],0)</f>
        <v>11</v>
      </c>
      <c r="J46" s="12">
        <f>Marketing[[#This Row],[Campaign_Cost]]/Marketing[[#This Row],[Customers]]</f>
        <v>625.63636363636363</v>
      </c>
      <c r="K46" t="s">
        <v>38</v>
      </c>
      <c r="L46" t="s">
        <v>50</v>
      </c>
      <c r="M46">
        <v>282</v>
      </c>
      <c r="N46">
        <v>8038</v>
      </c>
      <c r="O46">
        <v>7</v>
      </c>
      <c r="P46" t="s">
        <v>44</v>
      </c>
      <c r="Q46" s="1">
        <v>44241</v>
      </c>
    </row>
    <row r="47" spans="1:17" x14ac:dyDescent="0.3">
      <c r="A47" t="s">
        <v>22</v>
      </c>
      <c r="B47" t="s">
        <v>36</v>
      </c>
      <c r="C47" t="s">
        <v>23</v>
      </c>
      <c r="D47" t="s">
        <v>24</v>
      </c>
      <c r="E47" t="s">
        <v>18</v>
      </c>
      <c r="F47" s="9">
        <v>0.03</v>
      </c>
      <c r="G47" s="10">
        <v>13470</v>
      </c>
      <c r="H47">
        <v>6.8</v>
      </c>
      <c r="I47" s="5">
        <f>ROUND(Marketing[[#This Row],[Clicks]]*Marketing[[#This Row],[Conversion_Rate]],0)</f>
        <v>30</v>
      </c>
      <c r="J47" s="12">
        <f>Marketing[[#This Row],[Campaign_Cost]]/Marketing[[#This Row],[Customers]]</f>
        <v>449</v>
      </c>
      <c r="K47" t="s">
        <v>38</v>
      </c>
      <c r="L47" t="s">
        <v>50</v>
      </c>
      <c r="M47">
        <v>992</v>
      </c>
      <c r="N47">
        <v>8036</v>
      </c>
      <c r="O47">
        <v>8</v>
      </c>
      <c r="P47" t="s">
        <v>21</v>
      </c>
      <c r="Q47" s="1">
        <v>44242</v>
      </c>
    </row>
    <row r="48" spans="1:17" x14ac:dyDescent="0.3">
      <c r="A48" t="s">
        <v>35</v>
      </c>
      <c r="B48" t="s">
        <v>45</v>
      </c>
      <c r="C48" t="s">
        <v>30</v>
      </c>
      <c r="D48" t="s">
        <v>24</v>
      </c>
      <c r="E48" t="s">
        <v>31</v>
      </c>
      <c r="F48" s="9">
        <v>0.06</v>
      </c>
      <c r="G48" s="10">
        <v>14948</v>
      </c>
      <c r="H48">
        <v>7.4</v>
      </c>
      <c r="I48" s="5">
        <f>ROUND(Marketing[[#This Row],[Clicks]]*Marketing[[#This Row],[Conversion_Rate]],0)</f>
        <v>54</v>
      </c>
      <c r="J48" s="12">
        <f>Marketing[[#This Row],[Campaign_Cost]]/Marketing[[#This Row],[Customers]]</f>
        <v>276.81481481481484</v>
      </c>
      <c r="K48" t="s">
        <v>25</v>
      </c>
      <c r="L48" t="s">
        <v>33</v>
      </c>
      <c r="M48">
        <v>903</v>
      </c>
      <c r="N48">
        <v>3940</v>
      </c>
      <c r="O48">
        <v>3</v>
      </c>
      <c r="P48" t="s">
        <v>42</v>
      </c>
      <c r="Q48" s="1">
        <v>44243</v>
      </c>
    </row>
    <row r="49" spans="1:17" x14ac:dyDescent="0.3">
      <c r="A49" t="s">
        <v>14</v>
      </c>
      <c r="B49" t="s">
        <v>47</v>
      </c>
      <c r="C49" t="s">
        <v>16</v>
      </c>
      <c r="D49" t="s">
        <v>24</v>
      </c>
      <c r="E49" t="s">
        <v>41</v>
      </c>
      <c r="F49" s="9">
        <v>0.04</v>
      </c>
      <c r="G49" s="10">
        <v>15255</v>
      </c>
      <c r="H49">
        <v>3.8</v>
      </c>
      <c r="I49" s="5">
        <f>ROUND(Marketing[[#This Row],[Clicks]]*Marketing[[#This Row],[Conversion_Rate]],0)</f>
        <v>25</v>
      </c>
      <c r="J49" s="12">
        <f>Marketing[[#This Row],[Campaign_Cost]]/Marketing[[#This Row],[Customers]]</f>
        <v>610.20000000000005</v>
      </c>
      <c r="K49" t="s">
        <v>19</v>
      </c>
      <c r="L49" t="s">
        <v>33</v>
      </c>
      <c r="M49">
        <v>629</v>
      </c>
      <c r="N49">
        <v>1824</v>
      </c>
      <c r="O49">
        <v>3</v>
      </c>
      <c r="P49" t="s">
        <v>21</v>
      </c>
      <c r="Q49" s="1">
        <v>44244</v>
      </c>
    </row>
    <row r="50" spans="1:17" x14ac:dyDescent="0.3">
      <c r="A50" t="s">
        <v>49</v>
      </c>
      <c r="B50" t="s">
        <v>36</v>
      </c>
      <c r="C50" t="s">
        <v>37</v>
      </c>
      <c r="D50" t="s">
        <v>24</v>
      </c>
      <c r="E50" t="s">
        <v>48</v>
      </c>
      <c r="F50" s="9">
        <v>0.1</v>
      </c>
      <c r="G50" s="10">
        <v>9510</v>
      </c>
      <c r="H50">
        <v>5.25</v>
      </c>
      <c r="I50" s="5">
        <f>ROUND(Marketing[[#This Row],[Clicks]]*Marketing[[#This Row],[Conversion_Rate]],0)</f>
        <v>19</v>
      </c>
      <c r="J50" s="12">
        <f>Marketing[[#This Row],[Campaign_Cost]]/Marketing[[#This Row],[Customers]]</f>
        <v>500.5263157894737</v>
      </c>
      <c r="K50" t="s">
        <v>51</v>
      </c>
      <c r="L50" t="s">
        <v>33</v>
      </c>
      <c r="M50">
        <v>190</v>
      </c>
      <c r="N50">
        <v>2071</v>
      </c>
      <c r="O50">
        <v>4</v>
      </c>
      <c r="P50" t="s">
        <v>44</v>
      </c>
      <c r="Q50" s="1">
        <v>44245</v>
      </c>
    </row>
    <row r="51" spans="1:17" x14ac:dyDescent="0.3">
      <c r="A51" t="s">
        <v>49</v>
      </c>
      <c r="B51" t="s">
        <v>47</v>
      </c>
      <c r="C51" t="s">
        <v>52</v>
      </c>
      <c r="D51" t="s">
        <v>46</v>
      </c>
      <c r="E51" t="s">
        <v>15</v>
      </c>
      <c r="F51" s="9">
        <v>0.11</v>
      </c>
      <c r="G51" s="10">
        <v>7521</v>
      </c>
      <c r="H51">
        <v>3.98</v>
      </c>
      <c r="I51" s="5">
        <f>ROUND(Marketing[[#This Row],[Clicks]]*Marketing[[#This Row],[Conversion_Rate]],0)</f>
        <v>17</v>
      </c>
      <c r="J51" s="12">
        <f>Marketing[[#This Row],[Campaign_Cost]]/Marketing[[#This Row],[Customers]]</f>
        <v>442.41176470588238</v>
      </c>
      <c r="K51" t="s">
        <v>32</v>
      </c>
      <c r="L51" t="s">
        <v>26</v>
      </c>
      <c r="M51">
        <v>150</v>
      </c>
      <c r="N51">
        <v>7377</v>
      </c>
      <c r="O51">
        <v>8</v>
      </c>
      <c r="P51" t="s">
        <v>44</v>
      </c>
      <c r="Q51" s="1">
        <v>44246</v>
      </c>
    </row>
    <row r="52" spans="1:17" x14ac:dyDescent="0.3">
      <c r="A52" t="s">
        <v>22</v>
      </c>
      <c r="B52" t="s">
        <v>45</v>
      </c>
      <c r="C52" t="s">
        <v>30</v>
      </c>
      <c r="D52" t="s">
        <v>24</v>
      </c>
      <c r="E52" t="s">
        <v>48</v>
      </c>
      <c r="F52" s="9">
        <v>0.12</v>
      </c>
      <c r="G52" s="10">
        <v>10405</v>
      </c>
      <c r="H52">
        <v>5.79</v>
      </c>
      <c r="I52" s="5">
        <f>ROUND(Marketing[[#This Row],[Clicks]]*Marketing[[#This Row],[Conversion_Rate]],0)</f>
        <v>16</v>
      </c>
      <c r="J52" s="12">
        <f>Marketing[[#This Row],[Campaign_Cost]]/Marketing[[#This Row],[Customers]]</f>
        <v>650.3125</v>
      </c>
      <c r="K52" t="s">
        <v>32</v>
      </c>
      <c r="L52" t="s">
        <v>33</v>
      </c>
      <c r="M52">
        <v>134</v>
      </c>
      <c r="N52">
        <v>8463</v>
      </c>
      <c r="O52">
        <v>9</v>
      </c>
      <c r="P52" t="s">
        <v>42</v>
      </c>
      <c r="Q52" s="1">
        <v>44247</v>
      </c>
    </row>
    <row r="53" spans="1:17" x14ac:dyDescent="0.3">
      <c r="A53" t="s">
        <v>22</v>
      </c>
      <c r="B53" t="s">
        <v>45</v>
      </c>
      <c r="C53" t="s">
        <v>30</v>
      </c>
      <c r="D53" t="s">
        <v>40</v>
      </c>
      <c r="E53" t="s">
        <v>43</v>
      </c>
      <c r="F53" s="9">
        <v>0.1</v>
      </c>
      <c r="G53" s="10">
        <v>15955</v>
      </c>
      <c r="H53">
        <v>6.48</v>
      </c>
      <c r="I53" s="5">
        <f>ROUND(Marketing[[#This Row],[Clicks]]*Marketing[[#This Row],[Conversion_Rate]],0)</f>
        <v>66</v>
      </c>
      <c r="J53" s="12">
        <f>Marketing[[#This Row],[Campaign_Cost]]/Marketing[[#This Row],[Customers]]</f>
        <v>241.74242424242425</v>
      </c>
      <c r="K53" t="s">
        <v>51</v>
      </c>
      <c r="L53" t="s">
        <v>33</v>
      </c>
      <c r="M53">
        <v>657</v>
      </c>
      <c r="N53">
        <v>9831</v>
      </c>
      <c r="O53">
        <v>7</v>
      </c>
      <c r="P53" t="s">
        <v>42</v>
      </c>
      <c r="Q53" s="1">
        <v>44248</v>
      </c>
    </row>
    <row r="54" spans="1:17" x14ac:dyDescent="0.3">
      <c r="A54" t="s">
        <v>49</v>
      </c>
      <c r="B54" t="s">
        <v>15</v>
      </c>
      <c r="C54" t="s">
        <v>16</v>
      </c>
      <c r="D54" t="s">
        <v>17</v>
      </c>
      <c r="E54" t="s">
        <v>48</v>
      </c>
      <c r="F54" s="9">
        <v>0.13</v>
      </c>
      <c r="G54" s="10">
        <v>15428</v>
      </c>
      <c r="H54">
        <v>7.62</v>
      </c>
      <c r="I54" s="5">
        <f>ROUND(Marketing[[#This Row],[Clicks]]*Marketing[[#This Row],[Conversion_Rate]],0)</f>
        <v>50</v>
      </c>
      <c r="J54" s="12">
        <f>Marketing[[#This Row],[Campaign_Cost]]/Marketing[[#This Row],[Customers]]</f>
        <v>308.56</v>
      </c>
      <c r="K54" t="s">
        <v>51</v>
      </c>
      <c r="L54" t="s">
        <v>33</v>
      </c>
      <c r="M54">
        <v>385</v>
      </c>
      <c r="N54">
        <v>4937</v>
      </c>
      <c r="O54">
        <v>6</v>
      </c>
      <c r="P54" t="s">
        <v>44</v>
      </c>
      <c r="Q54" s="1">
        <v>44249</v>
      </c>
    </row>
    <row r="55" spans="1:17" x14ac:dyDescent="0.3">
      <c r="A55" t="s">
        <v>22</v>
      </c>
      <c r="B55" t="s">
        <v>36</v>
      </c>
      <c r="C55" t="s">
        <v>23</v>
      </c>
      <c r="D55" t="s">
        <v>46</v>
      </c>
      <c r="E55" t="s">
        <v>31</v>
      </c>
      <c r="F55" s="9">
        <v>0.02</v>
      </c>
      <c r="G55" s="10">
        <v>19832</v>
      </c>
      <c r="H55">
        <v>3.35</v>
      </c>
      <c r="I55" s="5">
        <f>ROUND(Marketing[[#This Row],[Clicks]]*Marketing[[#This Row],[Conversion_Rate]],0)</f>
        <v>11</v>
      </c>
      <c r="J55" s="12">
        <f>Marketing[[#This Row],[Campaign_Cost]]/Marketing[[#This Row],[Customers]]</f>
        <v>1802.909090909091</v>
      </c>
      <c r="K55" t="s">
        <v>25</v>
      </c>
      <c r="L55" t="s">
        <v>50</v>
      </c>
      <c r="M55">
        <v>537</v>
      </c>
      <c r="N55">
        <v>4739</v>
      </c>
      <c r="O55">
        <v>9</v>
      </c>
      <c r="P55" t="s">
        <v>34</v>
      </c>
      <c r="Q55" s="1">
        <v>44250</v>
      </c>
    </row>
    <row r="56" spans="1:17" x14ac:dyDescent="0.3">
      <c r="A56" t="s">
        <v>22</v>
      </c>
      <c r="B56" t="s">
        <v>47</v>
      </c>
      <c r="C56" t="s">
        <v>16</v>
      </c>
      <c r="D56" t="s">
        <v>17</v>
      </c>
      <c r="E56" t="s">
        <v>31</v>
      </c>
      <c r="F56" s="9">
        <v>0.05</v>
      </c>
      <c r="G56" s="10">
        <v>17375</v>
      </c>
      <c r="H56">
        <v>6.15</v>
      </c>
      <c r="I56" s="5">
        <f>ROUND(Marketing[[#This Row],[Clicks]]*Marketing[[#This Row],[Conversion_Rate]],0)</f>
        <v>23</v>
      </c>
      <c r="J56" s="12">
        <f>Marketing[[#This Row],[Campaign_Cost]]/Marketing[[#This Row],[Customers]]</f>
        <v>755.43478260869563</v>
      </c>
      <c r="K56" t="s">
        <v>38</v>
      </c>
      <c r="L56" t="s">
        <v>20</v>
      </c>
      <c r="M56">
        <v>450</v>
      </c>
      <c r="N56">
        <v>6012</v>
      </c>
      <c r="O56">
        <v>7</v>
      </c>
      <c r="P56" t="s">
        <v>42</v>
      </c>
      <c r="Q56" s="1">
        <v>44251</v>
      </c>
    </row>
    <row r="57" spans="1:17" x14ac:dyDescent="0.3">
      <c r="A57" t="s">
        <v>22</v>
      </c>
      <c r="B57" t="s">
        <v>36</v>
      </c>
      <c r="C57" t="s">
        <v>30</v>
      </c>
      <c r="D57" t="s">
        <v>40</v>
      </c>
      <c r="E57" t="s">
        <v>43</v>
      </c>
      <c r="F57" s="9">
        <v>0.13</v>
      </c>
      <c r="G57" s="10">
        <v>8903</v>
      </c>
      <c r="H57">
        <v>3.7</v>
      </c>
      <c r="I57" s="5">
        <f>ROUND(Marketing[[#This Row],[Clicks]]*Marketing[[#This Row],[Conversion_Rate]],0)</f>
        <v>23</v>
      </c>
      <c r="J57" s="12">
        <f>Marketing[[#This Row],[Campaign_Cost]]/Marketing[[#This Row],[Customers]]</f>
        <v>387.08695652173913</v>
      </c>
      <c r="K57" t="s">
        <v>38</v>
      </c>
      <c r="L57" t="s">
        <v>50</v>
      </c>
      <c r="M57">
        <v>178</v>
      </c>
      <c r="N57">
        <v>8529</v>
      </c>
      <c r="O57">
        <v>9</v>
      </c>
      <c r="P57" t="s">
        <v>21</v>
      </c>
      <c r="Q57" s="1">
        <v>44252</v>
      </c>
    </row>
    <row r="58" spans="1:17" x14ac:dyDescent="0.3">
      <c r="A58" t="s">
        <v>22</v>
      </c>
      <c r="B58" t="s">
        <v>15</v>
      </c>
      <c r="C58" t="s">
        <v>23</v>
      </c>
      <c r="D58" t="s">
        <v>40</v>
      </c>
      <c r="E58" t="s">
        <v>43</v>
      </c>
      <c r="F58" s="9">
        <v>0.04</v>
      </c>
      <c r="G58" s="10">
        <v>14511</v>
      </c>
      <c r="H58">
        <v>6.66</v>
      </c>
      <c r="I58" s="5">
        <f>ROUND(Marketing[[#This Row],[Clicks]]*Marketing[[#This Row],[Conversion_Rate]],0)</f>
        <v>7</v>
      </c>
      <c r="J58" s="12">
        <f>Marketing[[#This Row],[Campaign_Cost]]/Marketing[[#This Row],[Customers]]</f>
        <v>2073</v>
      </c>
      <c r="K58" t="s">
        <v>19</v>
      </c>
      <c r="L58" t="s">
        <v>50</v>
      </c>
      <c r="M58">
        <v>164</v>
      </c>
      <c r="N58">
        <v>2122</v>
      </c>
      <c r="O58">
        <v>8</v>
      </c>
      <c r="P58" t="s">
        <v>42</v>
      </c>
      <c r="Q58" s="1">
        <v>44253</v>
      </c>
    </row>
    <row r="59" spans="1:17" x14ac:dyDescent="0.3">
      <c r="A59" t="s">
        <v>14</v>
      </c>
      <c r="B59" t="s">
        <v>15</v>
      </c>
      <c r="C59" t="s">
        <v>16</v>
      </c>
      <c r="D59" t="s">
        <v>24</v>
      </c>
      <c r="E59" t="s">
        <v>15</v>
      </c>
      <c r="F59" s="9">
        <v>0.06</v>
      </c>
      <c r="G59" s="10">
        <v>17305</v>
      </c>
      <c r="H59">
        <v>2.7</v>
      </c>
      <c r="I59" s="5">
        <f>ROUND(Marketing[[#This Row],[Clicks]]*Marketing[[#This Row],[Conversion_Rate]],0)</f>
        <v>34</v>
      </c>
      <c r="J59" s="12">
        <f>Marketing[[#This Row],[Campaign_Cost]]/Marketing[[#This Row],[Customers]]</f>
        <v>508.97058823529414</v>
      </c>
      <c r="K59" t="s">
        <v>25</v>
      </c>
      <c r="L59" t="s">
        <v>33</v>
      </c>
      <c r="M59">
        <v>569</v>
      </c>
      <c r="N59">
        <v>1850</v>
      </c>
      <c r="O59">
        <v>2</v>
      </c>
      <c r="P59" t="s">
        <v>27</v>
      </c>
      <c r="Q59" s="1">
        <v>44254</v>
      </c>
    </row>
    <row r="60" spans="1:17" x14ac:dyDescent="0.3">
      <c r="A60" t="s">
        <v>28</v>
      </c>
      <c r="B60" t="s">
        <v>15</v>
      </c>
      <c r="C60" t="s">
        <v>52</v>
      </c>
      <c r="D60" t="s">
        <v>46</v>
      </c>
      <c r="E60" t="s">
        <v>15</v>
      </c>
      <c r="F60" s="9">
        <v>0.04</v>
      </c>
      <c r="G60" s="10">
        <v>18063</v>
      </c>
      <c r="H60">
        <v>4.93</v>
      </c>
      <c r="I60" s="5">
        <f>ROUND(Marketing[[#This Row],[Clicks]]*Marketing[[#This Row],[Conversion_Rate]],0)</f>
        <v>13</v>
      </c>
      <c r="J60" s="12">
        <f>Marketing[[#This Row],[Campaign_Cost]]/Marketing[[#This Row],[Customers]]</f>
        <v>1389.4615384615386</v>
      </c>
      <c r="K60" t="s">
        <v>19</v>
      </c>
      <c r="L60" t="s">
        <v>50</v>
      </c>
      <c r="M60">
        <v>330</v>
      </c>
      <c r="N60">
        <v>6920</v>
      </c>
      <c r="O60">
        <v>6</v>
      </c>
      <c r="P60" t="s">
        <v>42</v>
      </c>
      <c r="Q60" s="1">
        <v>44255</v>
      </c>
    </row>
    <row r="61" spans="1:17" x14ac:dyDescent="0.3">
      <c r="A61" t="s">
        <v>14</v>
      </c>
      <c r="B61" t="s">
        <v>36</v>
      </c>
      <c r="C61" t="s">
        <v>30</v>
      </c>
      <c r="D61" t="s">
        <v>40</v>
      </c>
      <c r="E61" t="s">
        <v>15</v>
      </c>
      <c r="F61" s="9">
        <v>0.05</v>
      </c>
      <c r="G61" s="10">
        <v>10293</v>
      </c>
      <c r="H61">
        <v>6.8</v>
      </c>
      <c r="I61" s="5">
        <f>ROUND(Marketing[[#This Row],[Clicks]]*Marketing[[#This Row],[Conversion_Rate]],0)</f>
        <v>13</v>
      </c>
      <c r="J61" s="12">
        <f>Marketing[[#This Row],[Campaign_Cost]]/Marketing[[#This Row],[Customers]]</f>
        <v>791.76923076923072</v>
      </c>
      <c r="K61" t="s">
        <v>38</v>
      </c>
      <c r="L61" t="s">
        <v>33</v>
      </c>
      <c r="M61">
        <v>256</v>
      </c>
      <c r="N61">
        <v>3421</v>
      </c>
      <c r="O61">
        <v>9</v>
      </c>
      <c r="P61" t="s">
        <v>21</v>
      </c>
      <c r="Q61" s="1">
        <v>44256</v>
      </c>
    </row>
    <row r="62" spans="1:17" x14ac:dyDescent="0.3">
      <c r="A62" t="s">
        <v>35</v>
      </c>
      <c r="B62" t="s">
        <v>15</v>
      </c>
      <c r="C62" t="s">
        <v>30</v>
      </c>
      <c r="D62" t="s">
        <v>46</v>
      </c>
      <c r="E62" t="s">
        <v>15</v>
      </c>
      <c r="F62" s="9">
        <v>0.05</v>
      </c>
      <c r="G62" s="10">
        <v>8785</v>
      </c>
      <c r="H62">
        <v>2.27</v>
      </c>
      <c r="I62" s="5">
        <f>ROUND(Marketing[[#This Row],[Clicks]]*Marketing[[#This Row],[Conversion_Rate]],0)</f>
        <v>42</v>
      </c>
      <c r="J62" s="12">
        <f>Marketing[[#This Row],[Campaign_Cost]]/Marketing[[#This Row],[Customers]]</f>
        <v>209.16666666666666</v>
      </c>
      <c r="K62" t="s">
        <v>25</v>
      </c>
      <c r="L62" t="s">
        <v>26</v>
      </c>
      <c r="M62">
        <v>849</v>
      </c>
      <c r="N62">
        <v>9217</v>
      </c>
      <c r="O62">
        <v>5</v>
      </c>
      <c r="P62" t="s">
        <v>27</v>
      </c>
      <c r="Q62" s="1">
        <v>44257</v>
      </c>
    </row>
    <row r="63" spans="1:17" x14ac:dyDescent="0.3">
      <c r="A63" t="s">
        <v>49</v>
      </c>
      <c r="B63" t="s">
        <v>15</v>
      </c>
      <c r="C63" t="s">
        <v>30</v>
      </c>
      <c r="D63" t="s">
        <v>17</v>
      </c>
      <c r="E63" t="s">
        <v>15</v>
      </c>
      <c r="F63" s="9">
        <v>0.09</v>
      </c>
      <c r="G63" s="10">
        <v>13848</v>
      </c>
      <c r="H63">
        <v>5.32</v>
      </c>
      <c r="I63" s="5">
        <f>ROUND(Marketing[[#This Row],[Clicks]]*Marketing[[#This Row],[Conversion_Rate]],0)</f>
        <v>23</v>
      </c>
      <c r="J63" s="12">
        <f>Marketing[[#This Row],[Campaign_Cost]]/Marketing[[#This Row],[Customers]]</f>
        <v>602.08695652173913</v>
      </c>
      <c r="K63" t="s">
        <v>32</v>
      </c>
      <c r="L63" t="s">
        <v>33</v>
      </c>
      <c r="M63">
        <v>261</v>
      </c>
      <c r="N63">
        <v>1958</v>
      </c>
      <c r="O63">
        <v>2</v>
      </c>
      <c r="P63" t="s">
        <v>44</v>
      </c>
      <c r="Q63" s="1">
        <v>44258</v>
      </c>
    </row>
    <row r="64" spans="1:17" x14ac:dyDescent="0.3">
      <c r="A64" t="s">
        <v>14</v>
      </c>
      <c r="B64" t="s">
        <v>29</v>
      </c>
      <c r="C64" t="s">
        <v>23</v>
      </c>
      <c r="D64" t="s">
        <v>24</v>
      </c>
      <c r="E64" t="s">
        <v>15</v>
      </c>
      <c r="F64" s="9">
        <v>0.01</v>
      </c>
      <c r="G64" s="10">
        <v>14435</v>
      </c>
      <c r="H64">
        <v>7.04</v>
      </c>
      <c r="I64" s="5">
        <f>ROUND(Marketing[[#This Row],[Clicks]]*Marketing[[#This Row],[Conversion_Rate]],0)</f>
        <v>6</v>
      </c>
      <c r="J64" s="12">
        <f>Marketing[[#This Row],[Campaign_Cost]]/Marketing[[#This Row],[Customers]]</f>
        <v>2405.8333333333335</v>
      </c>
      <c r="K64" t="s">
        <v>51</v>
      </c>
      <c r="L64" t="s">
        <v>39</v>
      </c>
      <c r="M64">
        <v>592</v>
      </c>
      <c r="N64">
        <v>3596</v>
      </c>
      <c r="O64">
        <v>4</v>
      </c>
      <c r="P64" t="s">
        <v>42</v>
      </c>
      <c r="Q64" s="1">
        <v>44259</v>
      </c>
    </row>
    <row r="65" spans="1:17" x14ac:dyDescent="0.3">
      <c r="A65" t="s">
        <v>22</v>
      </c>
      <c r="B65" t="s">
        <v>45</v>
      </c>
      <c r="C65" t="s">
        <v>16</v>
      </c>
      <c r="D65" t="s">
        <v>17</v>
      </c>
      <c r="E65" t="s">
        <v>48</v>
      </c>
      <c r="F65" s="9">
        <v>0.02</v>
      </c>
      <c r="G65" s="10">
        <v>14001</v>
      </c>
      <c r="H65">
        <v>3.71</v>
      </c>
      <c r="I65" s="5">
        <f>ROUND(Marketing[[#This Row],[Clicks]]*Marketing[[#This Row],[Conversion_Rate]],0)</f>
        <v>4</v>
      </c>
      <c r="J65" s="12">
        <f>Marketing[[#This Row],[Campaign_Cost]]/Marketing[[#This Row],[Customers]]</f>
        <v>3500.25</v>
      </c>
      <c r="K65" t="s">
        <v>19</v>
      </c>
      <c r="L65" t="s">
        <v>50</v>
      </c>
      <c r="M65">
        <v>201</v>
      </c>
      <c r="N65">
        <v>8702</v>
      </c>
      <c r="O65">
        <v>10</v>
      </c>
      <c r="P65" t="s">
        <v>34</v>
      </c>
      <c r="Q65" s="1">
        <v>44260</v>
      </c>
    </row>
    <row r="66" spans="1:17" x14ac:dyDescent="0.3">
      <c r="A66" t="s">
        <v>35</v>
      </c>
      <c r="B66" t="s">
        <v>36</v>
      </c>
      <c r="C66" t="s">
        <v>37</v>
      </c>
      <c r="D66" t="s">
        <v>46</v>
      </c>
      <c r="E66" t="s">
        <v>43</v>
      </c>
      <c r="F66" s="9">
        <v>0.11</v>
      </c>
      <c r="G66" s="10">
        <v>8841</v>
      </c>
      <c r="H66">
        <v>7.43</v>
      </c>
      <c r="I66" s="5">
        <f>ROUND(Marketing[[#This Row],[Clicks]]*Marketing[[#This Row],[Conversion_Rate]],0)</f>
        <v>71</v>
      </c>
      <c r="J66" s="12">
        <f>Marketing[[#This Row],[Campaign_Cost]]/Marketing[[#This Row],[Customers]]</f>
        <v>124.52112676056338</v>
      </c>
      <c r="K66" t="s">
        <v>51</v>
      </c>
      <c r="L66" t="s">
        <v>33</v>
      </c>
      <c r="M66">
        <v>648</v>
      </c>
      <c r="N66">
        <v>9122</v>
      </c>
      <c r="O66">
        <v>9</v>
      </c>
      <c r="P66" t="s">
        <v>27</v>
      </c>
      <c r="Q66" s="1">
        <v>44261</v>
      </c>
    </row>
    <row r="67" spans="1:17" x14ac:dyDescent="0.3">
      <c r="A67" t="s">
        <v>22</v>
      </c>
      <c r="B67" t="s">
        <v>45</v>
      </c>
      <c r="C67" t="s">
        <v>37</v>
      </c>
      <c r="D67" t="s">
        <v>24</v>
      </c>
      <c r="E67" t="s">
        <v>31</v>
      </c>
      <c r="F67" s="9">
        <v>0.04</v>
      </c>
      <c r="G67" s="10">
        <v>11366</v>
      </c>
      <c r="H67">
        <v>7.28</v>
      </c>
      <c r="I67" s="5">
        <f>ROUND(Marketing[[#This Row],[Clicks]]*Marketing[[#This Row],[Conversion_Rate]],0)</f>
        <v>7</v>
      </c>
      <c r="J67" s="12">
        <f>Marketing[[#This Row],[Campaign_Cost]]/Marketing[[#This Row],[Customers]]</f>
        <v>1623.7142857142858</v>
      </c>
      <c r="K67" t="s">
        <v>32</v>
      </c>
      <c r="L67" t="s">
        <v>39</v>
      </c>
      <c r="M67">
        <v>187</v>
      </c>
      <c r="N67">
        <v>5048</v>
      </c>
      <c r="O67">
        <v>8</v>
      </c>
      <c r="P67" t="s">
        <v>21</v>
      </c>
      <c r="Q67" s="1">
        <v>44262</v>
      </c>
    </row>
    <row r="68" spans="1:17" x14ac:dyDescent="0.3">
      <c r="A68" t="s">
        <v>28</v>
      </c>
      <c r="B68" t="s">
        <v>36</v>
      </c>
      <c r="C68" t="s">
        <v>52</v>
      </c>
      <c r="D68" t="s">
        <v>17</v>
      </c>
      <c r="E68" t="s">
        <v>31</v>
      </c>
      <c r="F68" s="9">
        <v>7.0000000000000007E-2</v>
      </c>
      <c r="G68" s="10">
        <v>12910</v>
      </c>
      <c r="H68">
        <v>6.33</v>
      </c>
      <c r="I68" s="5">
        <f>ROUND(Marketing[[#This Row],[Clicks]]*Marketing[[#This Row],[Conversion_Rate]],0)</f>
        <v>59</v>
      </c>
      <c r="J68" s="12">
        <f>Marketing[[#This Row],[Campaign_Cost]]/Marketing[[#This Row],[Customers]]</f>
        <v>218.81355932203391</v>
      </c>
      <c r="K68" t="s">
        <v>38</v>
      </c>
      <c r="L68" t="s">
        <v>20</v>
      </c>
      <c r="M68">
        <v>839</v>
      </c>
      <c r="N68">
        <v>5569</v>
      </c>
      <c r="O68">
        <v>7</v>
      </c>
      <c r="P68" t="s">
        <v>42</v>
      </c>
      <c r="Q68" s="1">
        <v>44263</v>
      </c>
    </row>
    <row r="69" spans="1:17" x14ac:dyDescent="0.3">
      <c r="A69" t="s">
        <v>49</v>
      </c>
      <c r="B69" t="s">
        <v>45</v>
      </c>
      <c r="C69" t="s">
        <v>52</v>
      </c>
      <c r="D69" t="s">
        <v>24</v>
      </c>
      <c r="E69" t="s">
        <v>31</v>
      </c>
      <c r="F69" s="9">
        <v>0.12</v>
      </c>
      <c r="G69" s="10">
        <v>7823</v>
      </c>
      <c r="H69">
        <v>2.72</v>
      </c>
      <c r="I69" s="5">
        <f>ROUND(Marketing[[#This Row],[Clicks]]*Marketing[[#This Row],[Conversion_Rate]],0)</f>
        <v>29</v>
      </c>
      <c r="J69" s="12">
        <f>Marketing[[#This Row],[Campaign_Cost]]/Marketing[[#This Row],[Customers]]</f>
        <v>269.75862068965517</v>
      </c>
      <c r="K69" t="s">
        <v>25</v>
      </c>
      <c r="L69" t="s">
        <v>39</v>
      </c>
      <c r="M69">
        <v>240</v>
      </c>
      <c r="N69">
        <v>2512</v>
      </c>
      <c r="O69">
        <v>6</v>
      </c>
      <c r="P69" t="s">
        <v>44</v>
      </c>
      <c r="Q69" s="1">
        <v>44264</v>
      </c>
    </row>
    <row r="70" spans="1:17" x14ac:dyDescent="0.3">
      <c r="A70" t="s">
        <v>49</v>
      </c>
      <c r="B70" t="s">
        <v>36</v>
      </c>
      <c r="C70" t="s">
        <v>37</v>
      </c>
      <c r="D70" t="s">
        <v>40</v>
      </c>
      <c r="E70" t="s">
        <v>48</v>
      </c>
      <c r="F70" s="9">
        <v>0.03</v>
      </c>
      <c r="G70" s="10">
        <v>11864</v>
      </c>
      <c r="H70">
        <v>7.98</v>
      </c>
      <c r="I70" s="5">
        <f>ROUND(Marketing[[#This Row],[Clicks]]*Marketing[[#This Row],[Conversion_Rate]],0)</f>
        <v>28</v>
      </c>
      <c r="J70" s="12">
        <f>Marketing[[#This Row],[Campaign_Cost]]/Marketing[[#This Row],[Customers]]</f>
        <v>423.71428571428572</v>
      </c>
      <c r="K70" t="s">
        <v>19</v>
      </c>
      <c r="L70" t="s">
        <v>33</v>
      </c>
      <c r="M70">
        <v>932</v>
      </c>
      <c r="N70">
        <v>9973</v>
      </c>
      <c r="O70">
        <v>9</v>
      </c>
      <c r="P70" t="s">
        <v>44</v>
      </c>
      <c r="Q70" s="1">
        <v>44265</v>
      </c>
    </row>
    <row r="71" spans="1:17" x14ac:dyDescent="0.3">
      <c r="A71" t="s">
        <v>14</v>
      </c>
      <c r="B71" t="s">
        <v>15</v>
      </c>
      <c r="C71" t="s">
        <v>37</v>
      </c>
      <c r="D71" t="s">
        <v>40</v>
      </c>
      <c r="E71" t="s">
        <v>48</v>
      </c>
      <c r="F71" s="9">
        <v>0.1</v>
      </c>
      <c r="G71" s="10">
        <v>17414</v>
      </c>
      <c r="H71">
        <v>4.74</v>
      </c>
      <c r="I71" s="5">
        <f>ROUND(Marketing[[#This Row],[Clicks]]*Marketing[[#This Row],[Conversion_Rate]],0)</f>
        <v>69</v>
      </c>
      <c r="J71" s="12">
        <f>Marketing[[#This Row],[Campaign_Cost]]/Marketing[[#This Row],[Customers]]</f>
        <v>252.37681159420291</v>
      </c>
      <c r="K71" t="s">
        <v>32</v>
      </c>
      <c r="L71" t="s">
        <v>26</v>
      </c>
      <c r="M71">
        <v>694</v>
      </c>
      <c r="N71">
        <v>2836</v>
      </c>
      <c r="O71">
        <v>2</v>
      </c>
      <c r="P71" t="s">
        <v>42</v>
      </c>
      <c r="Q71" s="1">
        <v>44266</v>
      </c>
    </row>
    <row r="72" spans="1:17" x14ac:dyDescent="0.3">
      <c r="A72" t="s">
        <v>28</v>
      </c>
      <c r="B72" t="s">
        <v>45</v>
      </c>
      <c r="C72" t="s">
        <v>30</v>
      </c>
      <c r="D72" t="s">
        <v>17</v>
      </c>
      <c r="E72" t="s">
        <v>43</v>
      </c>
      <c r="F72" s="9">
        <v>0.13</v>
      </c>
      <c r="G72" s="10">
        <v>18201</v>
      </c>
      <c r="H72">
        <v>5.58</v>
      </c>
      <c r="I72" s="5">
        <f>ROUND(Marketing[[#This Row],[Clicks]]*Marketing[[#This Row],[Conversion_Rate]],0)</f>
        <v>26</v>
      </c>
      <c r="J72" s="12">
        <f>Marketing[[#This Row],[Campaign_Cost]]/Marketing[[#This Row],[Customers]]</f>
        <v>700.03846153846155</v>
      </c>
      <c r="K72" t="s">
        <v>25</v>
      </c>
      <c r="L72" t="s">
        <v>26</v>
      </c>
      <c r="M72">
        <v>202</v>
      </c>
      <c r="N72">
        <v>6745</v>
      </c>
      <c r="O72">
        <v>8</v>
      </c>
      <c r="P72" t="s">
        <v>44</v>
      </c>
      <c r="Q72" s="1">
        <v>44267</v>
      </c>
    </row>
    <row r="73" spans="1:17" x14ac:dyDescent="0.3">
      <c r="A73" t="s">
        <v>28</v>
      </c>
      <c r="B73" t="s">
        <v>47</v>
      </c>
      <c r="C73" t="s">
        <v>37</v>
      </c>
      <c r="D73" t="s">
        <v>40</v>
      </c>
      <c r="E73" t="s">
        <v>15</v>
      </c>
      <c r="F73" s="9">
        <v>0.03</v>
      </c>
      <c r="G73" s="10">
        <v>9549</v>
      </c>
      <c r="H73">
        <v>5.61</v>
      </c>
      <c r="I73" s="5">
        <f>ROUND(Marketing[[#This Row],[Clicks]]*Marketing[[#This Row],[Conversion_Rate]],0)</f>
        <v>12</v>
      </c>
      <c r="J73" s="12">
        <f>Marketing[[#This Row],[Campaign_Cost]]/Marketing[[#This Row],[Customers]]</f>
        <v>795.75</v>
      </c>
      <c r="K73" t="s">
        <v>19</v>
      </c>
      <c r="L73" t="s">
        <v>33</v>
      </c>
      <c r="M73">
        <v>416</v>
      </c>
      <c r="N73">
        <v>9187</v>
      </c>
      <c r="O73">
        <v>7</v>
      </c>
      <c r="P73" t="s">
        <v>21</v>
      </c>
      <c r="Q73" s="1">
        <v>44268</v>
      </c>
    </row>
    <row r="74" spans="1:17" x14ac:dyDescent="0.3">
      <c r="A74" t="s">
        <v>49</v>
      </c>
      <c r="B74" t="s">
        <v>47</v>
      </c>
      <c r="C74" t="s">
        <v>23</v>
      </c>
      <c r="D74" t="s">
        <v>40</v>
      </c>
      <c r="E74" t="s">
        <v>31</v>
      </c>
      <c r="F74" s="9">
        <v>0.13</v>
      </c>
      <c r="G74" s="10">
        <v>16635</v>
      </c>
      <c r="H74">
        <v>7.46</v>
      </c>
      <c r="I74" s="5">
        <f>ROUND(Marketing[[#This Row],[Clicks]]*Marketing[[#This Row],[Conversion_Rate]],0)</f>
        <v>75</v>
      </c>
      <c r="J74" s="12">
        <f>Marketing[[#This Row],[Campaign_Cost]]/Marketing[[#This Row],[Customers]]</f>
        <v>221.8</v>
      </c>
      <c r="K74" t="s">
        <v>38</v>
      </c>
      <c r="L74" t="s">
        <v>50</v>
      </c>
      <c r="M74">
        <v>576</v>
      </c>
      <c r="N74">
        <v>9999</v>
      </c>
      <c r="O74">
        <v>10</v>
      </c>
      <c r="P74" t="s">
        <v>21</v>
      </c>
      <c r="Q74" s="1">
        <v>44269</v>
      </c>
    </row>
    <row r="75" spans="1:17" x14ac:dyDescent="0.3">
      <c r="A75" t="s">
        <v>22</v>
      </c>
      <c r="B75" t="s">
        <v>29</v>
      </c>
      <c r="C75" t="s">
        <v>37</v>
      </c>
      <c r="D75" t="s">
        <v>46</v>
      </c>
      <c r="E75" t="s">
        <v>48</v>
      </c>
      <c r="F75" s="9">
        <v>0.1</v>
      </c>
      <c r="G75" s="10">
        <v>9310</v>
      </c>
      <c r="H75">
        <v>5.63</v>
      </c>
      <c r="I75" s="5">
        <f>ROUND(Marketing[[#This Row],[Clicks]]*Marketing[[#This Row],[Conversion_Rate]],0)</f>
        <v>30</v>
      </c>
      <c r="J75" s="12">
        <f>Marketing[[#This Row],[Campaign_Cost]]/Marketing[[#This Row],[Customers]]</f>
        <v>310.33333333333331</v>
      </c>
      <c r="K75" t="s">
        <v>25</v>
      </c>
      <c r="L75" t="s">
        <v>26</v>
      </c>
      <c r="M75">
        <v>300</v>
      </c>
      <c r="N75">
        <v>3687</v>
      </c>
      <c r="O75">
        <v>9</v>
      </c>
      <c r="P75" t="s">
        <v>42</v>
      </c>
      <c r="Q75" s="1">
        <v>44270</v>
      </c>
    </row>
    <row r="76" spans="1:17" x14ac:dyDescent="0.3">
      <c r="A76" t="s">
        <v>22</v>
      </c>
      <c r="B76" t="s">
        <v>36</v>
      </c>
      <c r="C76" t="s">
        <v>37</v>
      </c>
      <c r="D76" t="s">
        <v>40</v>
      </c>
      <c r="E76" t="s">
        <v>31</v>
      </c>
      <c r="F76" s="9">
        <v>0.11</v>
      </c>
      <c r="G76" s="10">
        <v>5158</v>
      </c>
      <c r="H76">
        <v>6.67</v>
      </c>
      <c r="I76" s="5">
        <f>ROUND(Marketing[[#This Row],[Clicks]]*Marketing[[#This Row],[Conversion_Rate]],0)</f>
        <v>85</v>
      </c>
      <c r="J76" s="12">
        <f>Marketing[[#This Row],[Campaign_Cost]]/Marketing[[#This Row],[Customers]]</f>
        <v>60.682352941176468</v>
      </c>
      <c r="K76" t="s">
        <v>19</v>
      </c>
      <c r="L76" t="s">
        <v>26</v>
      </c>
      <c r="M76">
        <v>776</v>
      </c>
      <c r="N76">
        <v>4238</v>
      </c>
      <c r="O76">
        <v>3</v>
      </c>
      <c r="P76" t="s">
        <v>21</v>
      </c>
      <c r="Q76" s="1">
        <v>44271</v>
      </c>
    </row>
    <row r="77" spans="1:17" x14ac:dyDescent="0.3">
      <c r="A77" t="s">
        <v>14</v>
      </c>
      <c r="B77" t="s">
        <v>45</v>
      </c>
      <c r="C77" t="s">
        <v>30</v>
      </c>
      <c r="D77" t="s">
        <v>17</v>
      </c>
      <c r="E77" t="s">
        <v>41</v>
      </c>
      <c r="F77" s="9">
        <v>0.04</v>
      </c>
      <c r="G77" s="10">
        <v>15182</v>
      </c>
      <c r="H77">
        <v>2.0299999999999998</v>
      </c>
      <c r="I77" s="5">
        <f>ROUND(Marketing[[#This Row],[Clicks]]*Marketing[[#This Row],[Conversion_Rate]],0)</f>
        <v>20</v>
      </c>
      <c r="J77" s="12">
        <f>Marketing[[#This Row],[Campaign_Cost]]/Marketing[[#This Row],[Customers]]</f>
        <v>759.1</v>
      </c>
      <c r="K77" t="s">
        <v>51</v>
      </c>
      <c r="L77" t="s">
        <v>50</v>
      </c>
      <c r="M77">
        <v>492</v>
      </c>
      <c r="N77">
        <v>7364</v>
      </c>
      <c r="O77">
        <v>2</v>
      </c>
      <c r="P77" t="s">
        <v>27</v>
      </c>
      <c r="Q77" s="1">
        <v>44272</v>
      </c>
    </row>
    <row r="78" spans="1:17" x14ac:dyDescent="0.3">
      <c r="A78" t="s">
        <v>14</v>
      </c>
      <c r="B78" t="s">
        <v>36</v>
      </c>
      <c r="C78" t="s">
        <v>16</v>
      </c>
      <c r="D78" t="s">
        <v>46</v>
      </c>
      <c r="E78" t="s">
        <v>18</v>
      </c>
      <c r="F78" s="9">
        <v>0.08</v>
      </c>
      <c r="G78" s="10">
        <v>5703</v>
      </c>
      <c r="H78">
        <v>3.23</v>
      </c>
      <c r="I78" s="5">
        <f>ROUND(Marketing[[#This Row],[Clicks]]*Marketing[[#This Row],[Conversion_Rate]],0)</f>
        <v>61</v>
      </c>
      <c r="J78" s="12">
        <f>Marketing[[#This Row],[Campaign_Cost]]/Marketing[[#This Row],[Customers]]</f>
        <v>93.491803278688522</v>
      </c>
      <c r="K78" t="s">
        <v>19</v>
      </c>
      <c r="L78" t="s">
        <v>26</v>
      </c>
      <c r="M78">
        <v>763</v>
      </c>
      <c r="N78">
        <v>8501</v>
      </c>
      <c r="O78">
        <v>10</v>
      </c>
      <c r="P78" t="s">
        <v>42</v>
      </c>
      <c r="Q78" s="1">
        <v>44273</v>
      </c>
    </row>
    <row r="79" spans="1:17" x14ac:dyDescent="0.3">
      <c r="A79" t="s">
        <v>14</v>
      </c>
      <c r="B79" t="s">
        <v>45</v>
      </c>
      <c r="C79" t="s">
        <v>23</v>
      </c>
      <c r="D79" t="s">
        <v>24</v>
      </c>
      <c r="E79" t="s">
        <v>18</v>
      </c>
      <c r="F79" s="9">
        <v>0.02</v>
      </c>
      <c r="G79" s="10">
        <v>12008</v>
      </c>
      <c r="H79">
        <v>4.82</v>
      </c>
      <c r="I79" s="5">
        <f>ROUND(Marketing[[#This Row],[Clicks]]*Marketing[[#This Row],[Conversion_Rate]],0)</f>
        <v>16</v>
      </c>
      <c r="J79" s="12">
        <f>Marketing[[#This Row],[Campaign_Cost]]/Marketing[[#This Row],[Customers]]</f>
        <v>750.5</v>
      </c>
      <c r="K79" t="s">
        <v>38</v>
      </c>
      <c r="L79" t="s">
        <v>20</v>
      </c>
      <c r="M79">
        <v>817</v>
      </c>
      <c r="N79">
        <v>7892</v>
      </c>
      <c r="O79">
        <v>2</v>
      </c>
      <c r="P79" t="s">
        <v>21</v>
      </c>
      <c r="Q79" s="1">
        <v>44274</v>
      </c>
    </row>
    <row r="80" spans="1:17" x14ac:dyDescent="0.3">
      <c r="A80" t="s">
        <v>22</v>
      </c>
      <c r="B80" t="s">
        <v>36</v>
      </c>
      <c r="C80" t="s">
        <v>23</v>
      </c>
      <c r="D80" t="s">
        <v>46</v>
      </c>
      <c r="E80" t="s">
        <v>18</v>
      </c>
      <c r="F80" s="9">
        <v>0.13</v>
      </c>
      <c r="G80" s="10">
        <v>15850</v>
      </c>
      <c r="H80">
        <v>7.74</v>
      </c>
      <c r="I80" s="5">
        <f>ROUND(Marketing[[#This Row],[Clicks]]*Marketing[[#This Row],[Conversion_Rate]],0)</f>
        <v>103</v>
      </c>
      <c r="J80" s="12">
        <f>Marketing[[#This Row],[Campaign_Cost]]/Marketing[[#This Row],[Customers]]</f>
        <v>153.88349514563106</v>
      </c>
      <c r="K80" t="s">
        <v>25</v>
      </c>
      <c r="L80" t="s">
        <v>20</v>
      </c>
      <c r="M80">
        <v>791</v>
      </c>
      <c r="N80">
        <v>3594</v>
      </c>
      <c r="O80">
        <v>4</v>
      </c>
      <c r="P80" t="s">
        <v>34</v>
      </c>
      <c r="Q80" s="1">
        <v>44275</v>
      </c>
    </row>
    <row r="81" spans="1:17" x14ac:dyDescent="0.3">
      <c r="A81" t="s">
        <v>28</v>
      </c>
      <c r="B81" t="s">
        <v>29</v>
      </c>
      <c r="C81" t="s">
        <v>52</v>
      </c>
      <c r="D81" t="s">
        <v>17</v>
      </c>
      <c r="E81" t="s">
        <v>15</v>
      </c>
      <c r="F81" s="9">
        <v>0.1</v>
      </c>
      <c r="G81" s="10">
        <v>9813</v>
      </c>
      <c r="H81">
        <v>6.57</v>
      </c>
      <c r="I81" s="5">
        <f>ROUND(Marketing[[#This Row],[Clicks]]*Marketing[[#This Row],[Conversion_Rate]],0)</f>
        <v>74</v>
      </c>
      <c r="J81" s="12">
        <f>Marketing[[#This Row],[Campaign_Cost]]/Marketing[[#This Row],[Customers]]</f>
        <v>132.6081081081081</v>
      </c>
      <c r="K81" t="s">
        <v>38</v>
      </c>
      <c r="L81" t="s">
        <v>33</v>
      </c>
      <c r="M81">
        <v>737</v>
      </c>
      <c r="N81">
        <v>9941</v>
      </c>
      <c r="O81">
        <v>6</v>
      </c>
      <c r="P81" t="s">
        <v>27</v>
      </c>
      <c r="Q81" s="1">
        <v>44276</v>
      </c>
    </row>
    <row r="82" spans="1:17" x14ac:dyDescent="0.3">
      <c r="A82" t="s">
        <v>14</v>
      </c>
      <c r="B82" t="s">
        <v>29</v>
      </c>
      <c r="C82" t="s">
        <v>23</v>
      </c>
      <c r="D82" t="s">
        <v>24</v>
      </c>
      <c r="E82" t="s">
        <v>18</v>
      </c>
      <c r="F82" s="9">
        <v>0.14000000000000001</v>
      </c>
      <c r="G82" s="10">
        <v>19300</v>
      </c>
      <c r="H82">
        <v>7.62</v>
      </c>
      <c r="I82" s="5">
        <f>ROUND(Marketing[[#This Row],[Clicks]]*Marketing[[#This Row],[Conversion_Rate]],0)</f>
        <v>22</v>
      </c>
      <c r="J82" s="12">
        <f>Marketing[[#This Row],[Campaign_Cost]]/Marketing[[#This Row],[Customers]]</f>
        <v>877.27272727272725</v>
      </c>
      <c r="K82" t="s">
        <v>38</v>
      </c>
      <c r="L82" t="s">
        <v>39</v>
      </c>
      <c r="M82">
        <v>159</v>
      </c>
      <c r="N82">
        <v>3643</v>
      </c>
      <c r="O82">
        <v>1</v>
      </c>
      <c r="P82" t="s">
        <v>34</v>
      </c>
      <c r="Q82" s="1">
        <v>44277</v>
      </c>
    </row>
    <row r="83" spans="1:17" x14ac:dyDescent="0.3">
      <c r="A83" t="s">
        <v>22</v>
      </c>
      <c r="B83" t="s">
        <v>47</v>
      </c>
      <c r="C83" t="s">
        <v>52</v>
      </c>
      <c r="D83" t="s">
        <v>46</v>
      </c>
      <c r="E83" t="s">
        <v>31</v>
      </c>
      <c r="F83" s="9">
        <v>0.12</v>
      </c>
      <c r="G83" s="10">
        <v>17772</v>
      </c>
      <c r="H83">
        <v>6.33</v>
      </c>
      <c r="I83" s="5">
        <f>ROUND(Marketing[[#This Row],[Clicks]]*Marketing[[#This Row],[Conversion_Rate]],0)</f>
        <v>110</v>
      </c>
      <c r="J83" s="12">
        <f>Marketing[[#This Row],[Campaign_Cost]]/Marketing[[#This Row],[Customers]]</f>
        <v>161.56363636363636</v>
      </c>
      <c r="K83" t="s">
        <v>25</v>
      </c>
      <c r="L83" t="s">
        <v>50</v>
      </c>
      <c r="M83">
        <v>913</v>
      </c>
      <c r="N83">
        <v>1921</v>
      </c>
      <c r="O83">
        <v>5</v>
      </c>
      <c r="P83" t="s">
        <v>42</v>
      </c>
      <c r="Q83" s="1">
        <v>44278</v>
      </c>
    </row>
    <row r="84" spans="1:17" x14ac:dyDescent="0.3">
      <c r="A84" t="s">
        <v>14</v>
      </c>
      <c r="B84" t="s">
        <v>29</v>
      </c>
      <c r="C84" t="s">
        <v>52</v>
      </c>
      <c r="D84" t="s">
        <v>24</v>
      </c>
      <c r="E84" t="s">
        <v>48</v>
      </c>
      <c r="F84" s="9">
        <v>0.1</v>
      </c>
      <c r="G84" s="10">
        <v>17293</v>
      </c>
      <c r="H84">
        <v>3.74</v>
      </c>
      <c r="I84" s="5">
        <f>ROUND(Marketing[[#This Row],[Clicks]]*Marketing[[#This Row],[Conversion_Rate]],0)</f>
        <v>24</v>
      </c>
      <c r="J84" s="12">
        <f>Marketing[[#This Row],[Campaign_Cost]]/Marketing[[#This Row],[Customers]]</f>
        <v>720.54166666666663</v>
      </c>
      <c r="K84" t="s">
        <v>51</v>
      </c>
      <c r="L84" t="s">
        <v>20</v>
      </c>
      <c r="M84">
        <v>238</v>
      </c>
      <c r="N84">
        <v>8969</v>
      </c>
      <c r="O84">
        <v>6</v>
      </c>
      <c r="P84" t="s">
        <v>34</v>
      </c>
      <c r="Q84" s="1">
        <v>44279</v>
      </c>
    </row>
    <row r="85" spans="1:17" x14ac:dyDescent="0.3">
      <c r="A85" t="s">
        <v>22</v>
      </c>
      <c r="B85" t="s">
        <v>45</v>
      </c>
      <c r="C85" t="s">
        <v>37</v>
      </c>
      <c r="D85" t="s">
        <v>24</v>
      </c>
      <c r="E85" t="s">
        <v>31</v>
      </c>
      <c r="F85" s="9">
        <v>0.08</v>
      </c>
      <c r="G85" s="10">
        <v>8398</v>
      </c>
      <c r="H85">
        <v>3.99</v>
      </c>
      <c r="I85" s="5">
        <f>ROUND(Marketing[[#This Row],[Clicks]]*Marketing[[#This Row],[Conversion_Rate]],0)</f>
        <v>11</v>
      </c>
      <c r="J85" s="12">
        <f>Marketing[[#This Row],[Campaign_Cost]]/Marketing[[#This Row],[Customers]]</f>
        <v>763.4545454545455</v>
      </c>
      <c r="K85" t="s">
        <v>38</v>
      </c>
      <c r="L85" t="s">
        <v>50</v>
      </c>
      <c r="M85">
        <v>134</v>
      </c>
      <c r="N85">
        <v>3108</v>
      </c>
      <c r="O85">
        <v>1</v>
      </c>
      <c r="P85" t="s">
        <v>21</v>
      </c>
      <c r="Q85" s="1">
        <v>44280</v>
      </c>
    </row>
    <row r="86" spans="1:17" x14ac:dyDescent="0.3">
      <c r="A86" t="s">
        <v>28</v>
      </c>
      <c r="B86" t="s">
        <v>29</v>
      </c>
      <c r="C86" t="s">
        <v>23</v>
      </c>
      <c r="D86" t="s">
        <v>24</v>
      </c>
      <c r="E86" t="s">
        <v>15</v>
      </c>
      <c r="F86" s="9">
        <v>0.15</v>
      </c>
      <c r="G86" s="10">
        <v>15866</v>
      </c>
      <c r="H86">
        <v>2.2999999999999998</v>
      </c>
      <c r="I86" s="5">
        <f>ROUND(Marketing[[#This Row],[Clicks]]*Marketing[[#This Row],[Conversion_Rate]],0)</f>
        <v>24</v>
      </c>
      <c r="J86" s="12">
        <f>Marketing[[#This Row],[Campaign_Cost]]/Marketing[[#This Row],[Customers]]</f>
        <v>661.08333333333337</v>
      </c>
      <c r="K86" t="s">
        <v>51</v>
      </c>
      <c r="L86" t="s">
        <v>33</v>
      </c>
      <c r="M86">
        <v>159</v>
      </c>
      <c r="N86">
        <v>2139</v>
      </c>
      <c r="O86">
        <v>10</v>
      </c>
      <c r="P86" t="s">
        <v>21</v>
      </c>
      <c r="Q86" s="1">
        <v>44281</v>
      </c>
    </row>
    <row r="87" spans="1:17" x14ac:dyDescent="0.3">
      <c r="A87" t="s">
        <v>49</v>
      </c>
      <c r="B87" t="s">
        <v>47</v>
      </c>
      <c r="C87" t="s">
        <v>37</v>
      </c>
      <c r="D87" t="s">
        <v>17</v>
      </c>
      <c r="E87" t="s">
        <v>31</v>
      </c>
      <c r="F87" s="9">
        <v>0.13</v>
      </c>
      <c r="G87" s="10">
        <v>7515</v>
      </c>
      <c r="H87">
        <v>7.38</v>
      </c>
      <c r="I87" s="5">
        <f>ROUND(Marketing[[#This Row],[Clicks]]*Marketing[[#This Row],[Conversion_Rate]],0)</f>
        <v>83</v>
      </c>
      <c r="J87" s="12">
        <f>Marketing[[#This Row],[Campaign_Cost]]/Marketing[[#This Row],[Customers]]</f>
        <v>90.5421686746988</v>
      </c>
      <c r="K87" t="s">
        <v>51</v>
      </c>
      <c r="L87" t="s">
        <v>39</v>
      </c>
      <c r="M87">
        <v>635</v>
      </c>
      <c r="N87">
        <v>8489</v>
      </c>
      <c r="O87">
        <v>3</v>
      </c>
      <c r="P87" t="s">
        <v>42</v>
      </c>
      <c r="Q87" s="1">
        <v>44282</v>
      </c>
    </row>
    <row r="88" spans="1:17" x14ac:dyDescent="0.3">
      <c r="A88" t="s">
        <v>35</v>
      </c>
      <c r="B88" t="s">
        <v>15</v>
      </c>
      <c r="C88" t="s">
        <v>52</v>
      </c>
      <c r="D88" t="s">
        <v>40</v>
      </c>
      <c r="E88" t="s">
        <v>31</v>
      </c>
      <c r="F88" s="9">
        <v>0.15</v>
      </c>
      <c r="G88" s="10">
        <v>19026</v>
      </c>
      <c r="H88">
        <v>2.2200000000000002</v>
      </c>
      <c r="I88" s="5">
        <f>ROUND(Marketing[[#This Row],[Clicks]]*Marketing[[#This Row],[Conversion_Rate]],0)</f>
        <v>28</v>
      </c>
      <c r="J88" s="12">
        <f>Marketing[[#This Row],[Campaign_Cost]]/Marketing[[#This Row],[Customers]]</f>
        <v>679.5</v>
      </c>
      <c r="K88" t="s">
        <v>38</v>
      </c>
      <c r="L88" t="s">
        <v>39</v>
      </c>
      <c r="M88">
        <v>187</v>
      </c>
      <c r="N88">
        <v>2573</v>
      </c>
      <c r="O88">
        <v>10</v>
      </c>
      <c r="P88" t="s">
        <v>27</v>
      </c>
      <c r="Q88" s="1">
        <v>44283</v>
      </c>
    </row>
    <row r="89" spans="1:17" x14ac:dyDescent="0.3">
      <c r="A89" t="s">
        <v>49</v>
      </c>
      <c r="B89" t="s">
        <v>45</v>
      </c>
      <c r="C89" t="s">
        <v>16</v>
      </c>
      <c r="D89" t="s">
        <v>24</v>
      </c>
      <c r="E89" t="s">
        <v>48</v>
      </c>
      <c r="F89" s="9">
        <v>0.14000000000000001</v>
      </c>
      <c r="G89" s="10">
        <v>8280</v>
      </c>
      <c r="H89">
        <v>7.89</v>
      </c>
      <c r="I89" s="5">
        <f>ROUND(Marketing[[#This Row],[Clicks]]*Marketing[[#This Row],[Conversion_Rate]],0)</f>
        <v>75</v>
      </c>
      <c r="J89" s="12">
        <f>Marketing[[#This Row],[Campaign_Cost]]/Marketing[[#This Row],[Customers]]</f>
        <v>110.4</v>
      </c>
      <c r="K89" t="s">
        <v>25</v>
      </c>
      <c r="L89" t="s">
        <v>26</v>
      </c>
      <c r="M89">
        <v>537</v>
      </c>
      <c r="N89">
        <v>3042</v>
      </c>
      <c r="O89">
        <v>1</v>
      </c>
      <c r="P89" t="s">
        <v>34</v>
      </c>
      <c r="Q89" s="1">
        <v>44284</v>
      </c>
    </row>
    <row r="90" spans="1:17" x14ac:dyDescent="0.3">
      <c r="A90" t="s">
        <v>28</v>
      </c>
      <c r="B90" t="s">
        <v>36</v>
      </c>
      <c r="C90" t="s">
        <v>52</v>
      </c>
      <c r="D90" t="s">
        <v>17</v>
      </c>
      <c r="E90" t="s">
        <v>18</v>
      </c>
      <c r="F90" s="9">
        <v>0.1</v>
      </c>
      <c r="G90" s="10">
        <v>18251</v>
      </c>
      <c r="H90">
        <v>4.41</v>
      </c>
      <c r="I90" s="5">
        <f>ROUND(Marketing[[#This Row],[Clicks]]*Marketing[[#This Row],[Conversion_Rate]],0)</f>
        <v>60</v>
      </c>
      <c r="J90" s="12">
        <f>Marketing[[#This Row],[Campaign_Cost]]/Marketing[[#This Row],[Customers]]</f>
        <v>304.18333333333334</v>
      </c>
      <c r="K90" t="s">
        <v>25</v>
      </c>
      <c r="L90" t="s">
        <v>20</v>
      </c>
      <c r="M90">
        <v>597</v>
      </c>
      <c r="N90">
        <v>8117</v>
      </c>
      <c r="O90">
        <v>6</v>
      </c>
      <c r="P90" t="s">
        <v>44</v>
      </c>
      <c r="Q90" s="1">
        <v>44285</v>
      </c>
    </row>
    <row r="91" spans="1:17" x14ac:dyDescent="0.3">
      <c r="A91" t="s">
        <v>35</v>
      </c>
      <c r="B91" t="s">
        <v>36</v>
      </c>
      <c r="C91" t="s">
        <v>37</v>
      </c>
      <c r="D91" t="s">
        <v>40</v>
      </c>
      <c r="E91" t="s">
        <v>41</v>
      </c>
      <c r="F91" s="9">
        <v>7.0000000000000007E-2</v>
      </c>
      <c r="G91" s="10">
        <v>13108</v>
      </c>
      <c r="H91">
        <v>2.0099999999999998</v>
      </c>
      <c r="I91" s="5">
        <f>ROUND(Marketing[[#This Row],[Clicks]]*Marketing[[#This Row],[Conversion_Rate]],0)</f>
        <v>39</v>
      </c>
      <c r="J91" s="12">
        <f>Marketing[[#This Row],[Campaign_Cost]]/Marketing[[#This Row],[Customers]]</f>
        <v>336.10256410256409</v>
      </c>
      <c r="K91" t="s">
        <v>51</v>
      </c>
      <c r="L91" t="s">
        <v>26</v>
      </c>
      <c r="M91">
        <v>550</v>
      </c>
      <c r="N91">
        <v>3839</v>
      </c>
      <c r="O91">
        <v>7</v>
      </c>
      <c r="P91" t="s">
        <v>44</v>
      </c>
      <c r="Q91" s="1">
        <v>44286</v>
      </c>
    </row>
    <row r="92" spans="1:17" x14ac:dyDescent="0.3">
      <c r="A92" t="s">
        <v>22</v>
      </c>
      <c r="B92" t="s">
        <v>29</v>
      </c>
      <c r="C92" t="s">
        <v>23</v>
      </c>
      <c r="D92" t="s">
        <v>40</v>
      </c>
      <c r="E92" t="s">
        <v>31</v>
      </c>
      <c r="F92" s="9">
        <v>0.09</v>
      </c>
      <c r="G92" s="10">
        <v>15477</v>
      </c>
      <c r="H92">
        <v>6.98</v>
      </c>
      <c r="I92" s="5">
        <f>ROUND(Marketing[[#This Row],[Clicks]]*Marketing[[#This Row],[Conversion_Rate]],0)</f>
        <v>86</v>
      </c>
      <c r="J92" s="12">
        <f>Marketing[[#This Row],[Campaign_Cost]]/Marketing[[#This Row],[Customers]]</f>
        <v>179.96511627906978</v>
      </c>
      <c r="K92" t="s">
        <v>51</v>
      </c>
      <c r="L92" t="s">
        <v>50</v>
      </c>
      <c r="M92">
        <v>956</v>
      </c>
      <c r="N92">
        <v>9087</v>
      </c>
      <c r="O92">
        <v>3</v>
      </c>
      <c r="P92" t="s">
        <v>42</v>
      </c>
      <c r="Q92" s="1">
        <v>44287</v>
      </c>
    </row>
    <row r="93" spans="1:17" x14ac:dyDescent="0.3">
      <c r="A93" t="s">
        <v>49</v>
      </c>
      <c r="B93" t="s">
        <v>15</v>
      </c>
      <c r="C93" t="s">
        <v>30</v>
      </c>
      <c r="D93" t="s">
        <v>46</v>
      </c>
      <c r="E93" t="s">
        <v>15</v>
      </c>
      <c r="F93" s="9">
        <v>0.09</v>
      </c>
      <c r="G93" s="10">
        <v>17705</v>
      </c>
      <c r="H93">
        <v>7</v>
      </c>
      <c r="I93" s="5">
        <f>ROUND(Marketing[[#This Row],[Clicks]]*Marketing[[#This Row],[Conversion_Rate]],0)</f>
        <v>57</v>
      </c>
      <c r="J93" s="12">
        <f>Marketing[[#This Row],[Campaign_Cost]]/Marketing[[#This Row],[Customers]]</f>
        <v>310.61403508771929</v>
      </c>
      <c r="K93" t="s">
        <v>25</v>
      </c>
      <c r="L93" t="s">
        <v>20</v>
      </c>
      <c r="M93">
        <v>628</v>
      </c>
      <c r="N93">
        <v>9545</v>
      </c>
      <c r="O93">
        <v>4</v>
      </c>
      <c r="P93" t="s">
        <v>34</v>
      </c>
      <c r="Q93" s="1">
        <v>44288</v>
      </c>
    </row>
    <row r="94" spans="1:17" x14ac:dyDescent="0.3">
      <c r="A94" t="s">
        <v>14</v>
      </c>
      <c r="B94" t="s">
        <v>36</v>
      </c>
      <c r="C94" t="s">
        <v>23</v>
      </c>
      <c r="D94" t="s">
        <v>40</v>
      </c>
      <c r="E94" t="s">
        <v>41</v>
      </c>
      <c r="F94" s="9">
        <v>0.05</v>
      </c>
      <c r="G94" s="10">
        <v>18470</v>
      </c>
      <c r="H94">
        <v>2.57</v>
      </c>
      <c r="I94" s="5">
        <f>ROUND(Marketing[[#This Row],[Clicks]]*Marketing[[#This Row],[Conversion_Rate]],0)</f>
        <v>47</v>
      </c>
      <c r="J94" s="12">
        <f>Marketing[[#This Row],[Campaign_Cost]]/Marketing[[#This Row],[Customers]]</f>
        <v>392.97872340425533</v>
      </c>
      <c r="K94" t="s">
        <v>19</v>
      </c>
      <c r="L94" t="s">
        <v>50</v>
      </c>
      <c r="M94">
        <v>938</v>
      </c>
      <c r="N94">
        <v>7879</v>
      </c>
      <c r="O94">
        <v>10</v>
      </c>
      <c r="P94" t="s">
        <v>27</v>
      </c>
      <c r="Q94" s="1">
        <v>44289</v>
      </c>
    </row>
    <row r="95" spans="1:17" x14ac:dyDescent="0.3">
      <c r="A95" t="s">
        <v>22</v>
      </c>
      <c r="B95" t="s">
        <v>36</v>
      </c>
      <c r="C95" t="s">
        <v>30</v>
      </c>
      <c r="D95" t="s">
        <v>46</v>
      </c>
      <c r="E95" t="s">
        <v>41</v>
      </c>
      <c r="F95" s="9">
        <v>0.01</v>
      </c>
      <c r="G95" s="10">
        <v>14438</v>
      </c>
      <c r="H95">
        <v>7.19</v>
      </c>
      <c r="I95" s="5">
        <f>ROUND(Marketing[[#This Row],[Clicks]]*Marketing[[#This Row],[Conversion_Rate]],0)</f>
        <v>1</v>
      </c>
      <c r="J95" s="12">
        <f>Marketing[[#This Row],[Campaign_Cost]]/Marketing[[#This Row],[Customers]]</f>
        <v>14438</v>
      </c>
      <c r="K95" t="s">
        <v>25</v>
      </c>
      <c r="L95" t="s">
        <v>33</v>
      </c>
      <c r="M95">
        <v>147</v>
      </c>
      <c r="N95">
        <v>6497</v>
      </c>
      <c r="O95">
        <v>10</v>
      </c>
      <c r="P95" t="s">
        <v>21</v>
      </c>
      <c r="Q95" s="1">
        <v>44290</v>
      </c>
    </row>
    <row r="96" spans="1:17" x14ac:dyDescent="0.3">
      <c r="A96" t="s">
        <v>22</v>
      </c>
      <c r="B96" t="s">
        <v>45</v>
      </c>
      <c r="C96" t="s">
        <v>16</v>
      </c>
      <c r="D96" t="s">
        <v>46</v>
      </c>
      <c r="E96" t="s">
        <v>48</v>
      </c>
      <c r="F96" s="9">
        <v>0.08</v>
      </c>
      <c r="G96" s="10">
        <v>6278</v>
      </c>
      <c r="H96">
        <v>4.93</v>
      </c>
      <c r="I96" s="5">
        <f>ROUND(Marketing[[#This Row],[Clicks]]*Marketing[[#This Row],[Conversion_Rate]],0)</f>
        <v>62</v>
      </c>
      <c r="J96" s="12">
        <f>Marketing[[#This Row],[Campaign_Cost]]/Marketing[[#This Row],[Customers]]</f>
        <v>101.25806451612904</v>
      </c>
      <c r="K96" t="s">
        <v>38</v>
      </c>
      <c r="L96" t="s">
        <v>26</v>
      </c>
      <c r="M96">
        <v>776</v>
      </c>
      <c r="N96">
        <v>4289</v>
      </c>
      <c r="O96">
        <v>8</v>
      </c>
      <c r="P96" t="s">
        <v>42</v>
      </c>
      <c r="Q96" s="1">
        <v>44291</v>
      </c>
    </row>
    <row r="97" spans="1:17" x14ac:dyDescent="0.3">
      <c r="A97" t="s">
        <v>49</v>
      </c>
      <c r="B97" t="s">
        <v>47</v>
      </c>
      <c r="C97" t="s">
        <v>37</v>
      </c>
      <c r="D97" t="s">
        <v>40</v>
      </c>
      <c r="E97" t="s">
        <v>15</v>
      </c>
      <c r="F97" s="9">
        <v>0.08</v>
      </c>
      <c r="G97" s="10">
        <v>5185</v>
      </c>
      <c r="H97">
        <v>4.6100000000000003</v>
      </c>
      <c r="I97" s="5">
        <f>ROUND(Marketing[[#This Row],[Clicks]]*Marketing[[#This Row],[Conversion_Rate]],0)</f>
        <v>9</v>
      </c>
      <c r="J97" s="12">
        <f>Marketing[[#This Row],[Campaign_Cost]]/Marketing[[#This Row],[Customers]]</f>
        <v>576.11111111111109</v>
      </c>
      <c r="K97" t="s">
        <v>25</v>
      </c>
      <c r="L97" t="s">
        <v>33</v>
      </c>
      <c r="M97">
        <v>108</v>
      </c>
      <c r="N97">
        <v>9532</v>
      </c>
      <c r="O97">
        <v>1</v>
      </c>
      <c r="P97" t="s">
        <v>44</v>
      </c>
      <c r="Q97" s="1">
        <v>44292</v>
      </c>
    </row>
    <row r="98" spans="1:17" x14ac:dyDescent="0.3">
      <c r="A98" t="s">
        <v>14</v>
      </c>
      <c r="B98" t="s">
        <v>15</v>
      </c>
      <c r="C98" t="s">
        <v>52</v>
      </c>
      <c r="D98" t="s">
        <v>40</v>
      </c>
      <c r="E98" t="s">
        <v>41</v>
      </c>
      <c r="F98" s="9">
        <v>0.14000000000000001</v>
      </c>
      <c r="G98" s="10">
        <v>18799</v>
      </c>
      <c r="H98">
        <v>3.69</v>
      </c>
      <c r="I98" s="5">
        <f>ROUND(Marketing[[#This Row],[Clicks]]*Marketing[[#This Row],[Conversion_Rate]],0)</f>
        <v>55</v>
      </c>
      <c r="J98" s="12">
        <f>Marketing[[#This Row],[Campaign_Cost]]/Marketing[[#This Row],[Customers]]</f>
        <v>341.8</v>
      </c>
      <c r="K98" t="s">
        <v>38</v>
      </c>
      <c r="L98" t="s">
        <v>33</v>
      </c>
      <c r="M98">
        <v>395</v>
      </c>
      <c r="N98">
        <v>6079</v>
      </c>
      <c r="O98">
        <v>8</v>
      </c>
      <c r="P98" t="s">
        <v>21</v>
      </c>
      <c r="Q98" s="1">
        <v>44293</v>
      </c>
    </row>
    <row r="99" spans="1:17" x14ac:dyDescent="0.3">
      <c r="A99" t="s">
        <v>28</v>
      </c>
      <c r="B99" t="s">
        <v>45</v>
      </c>
      <c r="C99" t="s">
        <v>37</v>
      </c>
      <c r="D99" t="s">
        <v>24</v>
      </c>
      <c r="E99" t="s">
        <v>48</v>
      </c>
      <c r="F99" s="9">
        <v>0.04</v>
      </c>
      <c r="G99" s="10">
        <v>7365</v>
      </c>
      <c r="H99">
        <v>7.96</v>
      </c>
      <c r="I99" s="5">
        <f>ROUND(Marketing[[#This Row],[Clicks]]*Marketing[[#This Row],[Conversion_Rate]],0)</f>
        <v>17</v>
      </c>
      <c r="J99" s="12">
        <f>Marketing[[#This Row],[Campaign_Cost]]/Marketing[[#This Row],[Customers]]</f>
        <v>433.23529411764707</v>
      </c>
      <c r="K99" t="s">
        <v>25</v>
      </c>
      <c r="L99" t="s">
        <v>33</v>
      </c>
      <c r="M99">
        <v>419</v>
      </c>
      <c r="N99">
        <v>4484</v>
      </c>
      <c r="O99">
        <v>1</v>
      </c>
      <c r="P99" t="s">
        <v>27</v>
      </c>
      <c r="Q99" s="1">
        <v>44294</v>
      </c>
    </row>
    <row r="100" spans="1:17" x14ac:dyDescent="0.3">
      <c r="A100" t="s">
        <v>28</v>
      </c>
      <c r="B100" t="s">
        <v>45</v>
      </c>
      <c r="C100" t="s">
        <v>37</v>
      </c>
      <c r="D100" t="s">
        <v>24</v>
      </c>
      <c r="E100" t="s">
        <v>41</v>
      </c>
      <c r="F100" s="9">
        <v>0.02</v>
      </c>
      <c r="G100" s="10">
        <v>6565</v>
      </c>
      <c r="H100">
        <v>3.12</v>
      </c>
      <c r="I100" s="5">
        <f>ROUND(Marketing[[#This Row],[Clicks]]*Marketing[[#This Row],[Conversion_Rate]],0)</f>
        <v>9</v>
      </c>
      <c r="J100" s="12">
        <f>Marketing[[#This Row],[Campaign_Cost]]/Marketing[[#This Row],[Customers]]</f>
        <v>729.44444444444446</v>
      </c>
      <c r="K100" t="s">
        <v>25</v>
      </c>
      <c r="L100" t="s">
        <v>33</v>
      </c>
      <c r="M100">
        <v>463</v>
      </c>
      <c r="N100">
        <v>6061</v>
      </c>
      <c r="O100">
        <v>8</v>
      </c>
      <c r="P100" t="s">
        <v>42</v>
      </c>
      <c r="Q100" s="1">
        <v>44295</v>
      </c>
    </row>
    <row r="101" spans="1:17" x14ac:dyDescent="0.3">
      <c r="A101" t="s">
        <v>49</v>
      </c>
      <c r="B101" t="s">
        <v>36</v>
      </c>
      <c r="C101" t="s">
        <v>37</v>
      </c>
      <c r="D101" t="s">
        <v>24</v>
      </c>
      <c r="E101" t="s">
        <v>48</v>
      </c>
      <c r="F101" s="9">
        <v>0.09</v>
      </c>
      <c r="G101" s="10">
        <v>9022</v>
      </c>
      <c r="H101">
        <v>5.58</v>
      </c>
      <c r="I101" s="5">
        <f>ROUND(Marketing[[#This Row],[Clicks]]*Marketing[[#This Row],[Conversion_Rate]],0)</f>
        <v>47</v>
      </c>
      <c r="J101" s="12">
        <f>Marketing[[#This Row],[Campaign_Cost]]/Marketing[[#This Row],[Customers]]</f>
        <v>191.95744680851064</v>
      </c>
      <c r="K101" t="s">
        <v>38</v>
      </c>
      <c r="L101" t="s">
        <v>20</v>
      </c>
      <c r="M101">
        <v>521</v>
      </c>
      <c r="N101">
        <v>2572</v>
      </c>
      <c r="O101">
        <v>4</v>
      </c>
      <c r="P101" t="s">
        <v>44</v>
      </c>
      <c r="Q101" s="1">
        <v>44296</v>
      </c>
    </row>
    <row r="102" spans="1:17" x14ac:dyDescent="0.3">
      <c r="A102" t="s">
        <v>22</v>
      </c>
      <c r="B102" t="s">
        <v>45</v>
      </c>
      <c r="C102" t="s">
        <v>30</v>
      </c>
      <c r="D102" t="s">
        <v>46</v>
      </c>
      <c r="E102" t="s">
        <v>31</v>
      </c>
      <c r="F102" s="9">
        <v>7.0000000000000007E-2</v>
      </c>
      <c r="G102" s="10">
        <v>18735</v>
      </c>
      <c r="H102">
        <v>4.8600000000000003</v>
      </c>
      <c r="I102" s="5">
        <f>ROUND(Marketing[[#This Row],[Clicks]]*Marketing[[#This Row],[Conversion_Rate]],0)</f>
        <v>49</v>
      </c>
      <c r="J102" s="12">
        <f>Marketing[[#This Row],[Campaign_Cost]]/Marketing[[#This Row],[Customers]]</f>
        <v>382.34693877551018</v>
      </c>
      <c r="K102" t="s">
        <v>32</v>
      </c>
      <c r="L102" t="s">
        <v>20</v>
      </c>
      <c r="M102">
        <v>706</v>
      </c>
      <c r="N102">
        <v>8715</v>
      </c>
      <c r="O102">
        <v>6</v>
      </c>
      <c r="P102" t="s">
        <v>42</v>
      </c>
      <c r="Q102" s="1">
        <v>44297</v>
      </c>
    </row>
    <row r="103" spans="1:17" x14ac:dyDescent="0.3">
      <c r="A103" t="s">
        <v>49</v>
      </c>
      <c r="B103" t="s">
        <v>45</v>
      </c>
      <c r="C103" t="s">
        <v>16</v>
      </c>
      <c r="D103" t="s">
        <v>46</v>
      </c>
      <c r="E103" t="s">
        <v>31</v>
      </c>
      <c r="F103" s="9">
        <v>0.09</v>
      </c>
      <c r="G103" s="10">
        <v>9941</v>
      </c>
      <c r="H103">
        <v>4.54</v>
      </c>
      <c r="I103" s="5">
        <f>ROUND(Marketing[[#This Row],[Clicks]]*Marketing[[#This Row],[Conversion_Rate]],0)</f>
        <v>19</v>
      </c>
      <c r="J103" s="12">
        <f>Marketing[[#This Row],[Campaign_Cost]]/Marketing[[#This Row],[Customers]]</f>
        <v>523.21052631578948</v>
      </c>
      <c r="K103" t="s">
        <v>19</v>
      </c>
      <c r="L103" t="s">
        <v>50</v>
      </c>
      <c r="M103">
        <v>207</v>
      </c>
      <c r="N103">
        <v>8334</v>
      </c>
      <c r="O103">
        <v>4</v>
      </c>
      <c r="P103" t="s">
        <v>44</v>
      </c>
      <c r="Q103" s="1">
        <v>44298</v>
      </c>
    </row>
    <row r="104" spans="1:17" x14ac:dyDescent="0.3">
      <c r="A104" t="s">
        <v>35</v>
      </c>
      <c r="B104" t="s">
        <v>29</v>
      </c>
      <c r="C104" t="s">
        <v>16</v>
      </c>
      <c r="D104" t="s">
        <v>24</v>
      </c>
      <c r="E104" t="s">
        <v>43</v>
      </c>
      <c r="F104" s="9">
        <v>0.08</v>
      </c>
      <c r="G104" s="10">
        <v>10113</v>
      </c>
      <c r="H104">
        <v>6.87</v>
      </c>
      <c r="I104" s="5">
        <f>ROUND(Marketing[[#This Row],[Clicks]]*Marketing[[#This Row],[Conversion_Rate]],0)</f>
        <v>47</v>
      </c>
      <c r="J104" s="12">
        <f>Marketing[[#This Row],[Campaign_Cost]]/Marketing[[#This Row],[Customers]]</f>
        <v>215.17021276595744</v>
      </c>
      <c r="K104" t="s">
        <v>51</v>
      </c>
      <c r="L104" t="s">
        <v>50</v>
      </c>
      <c r="M104">
        <v>583</v>
      </c>
      <c r="N104">
        <v>1005</v>
      </c>
      <c r="O104">
        <v>3</v>
      </c>
      <c r="P104" t="s">
        <v>21</v>
      </c>
      <c r="Q104" s="1">
        <v>44299</v>
      </c>
    </row>
    <row r="105" spans="1:17" x14ac:dyDescent="0.3">
      <c r="A105" t="s">
        <v>35</v>
      </c>
      <c r="B105" t="s">
        <v>47</v>
      </c>
      <c r="C105" t="s">
        <v>16</v>
      </c>
      <c r="D105" t="s">
        <v>40</v>
      </c>
      <c r="E105" t="s">
        <v>48</v>
      </c>
      <c r="F105" s="9">
        <v>0.1</v>
      </c>
      <c r="G105" s="10">
        <v>8310</v>
      </c>
      <c r="H105">
        <v>7.17</v>
      </c>
      <c r="I105" s="5">
        <f>ROUND(Marketing[[#This Row],[Clicks]]*Marketing[[#This Row],[Conversion_Rate]],0)</f>
        <v>86</v>
      </c>
      <c r="J105" s="12">
        <f>Marketing[[#This Row],[Campaign_Cost]]/Marketing[[#This Row],[Customers]]</f>
        <v>96.627906976744185</v>
      </c>
      <c r="K105" t="s">
        <v>19</v>
      </c>
      <c r="L105" t="s">
        <v>20</v>
      </c>
      <c r="M105">
        <v>864</v>
      </c>
      <c r="N105">
        <v>6841</v>
      </c>
      <c r="O105">
        <v>3</v>
      </c>
      <c r="P105" t="s">
        <v>44</v>
      </c>
      <c r="Q105" s="1">
        <v>44300</v>
      </c>
    </row>
    <row r="106" spans="1:17" x14ac:dyDescent="0.3">
      <c r="A106" t="s">
        <v>35</v>
      </c>
      <c r="B106" t="s">
        <v>29</v>
      </c>
      <c r="C106" t="s">
        <v>16</v>
      </c>
      <c r="D106" t="s">
        <v>17</v>
      </c>
      <c r="E106" t="s">
        <v>18</v>
      </c>
      <c r="F106" s="9">
        <v>0.06</v>
      </c>
      <c r="G106" s="10">
        <v>15073</v>
      </c>
      <c r="H106">
        <v>2.17</v>
      </c>
      <c r="I106" s="5">
        <f>ROUND(Marketing[[#This Row],[Clicks]]*Marketing[[#This Row],[Conversion_Rate]],0)</f>
        <v>23</v>
      </c>
      <c r="J106" s="12">
        <f>Marketing[[#This Row],[Campaign_Cost]]/Marketing[[#This Row],[Customers]]</f>
        <v>655.3478260869565</v>
      </c>
      <c r="K106" t="s">
        <v>32</v>
      </c>
      <c r="L106" t="s">
        <v>50</v>
      </c>
      <c r="M106">
        <v>387</v>
      </c>
      <c r="N106">
        <v>8035</v>
      </c>
      <c r="O106">
        <v>2</v>
      </c>
      <c r="P106" t="s">
        <v>21</v>
      </c>
      <c r="Q106" s="1">
        <v>44301</v>
      </c>
    </row>
    <row r="107" spans="1:17" x14ac:dyDescent="0.3">
      <c r="A107" t="s">
        <v>14</v>
      </c>
      <c r="B107" t="s">
        <v>47</v>
      </c>
      <c r="C107" t="s">
        <v>52</v>
      </c>
      <c r="D107" t="s">
        <v>17</v>
      </c>
      <c r="E107" t="s">
        <v>15</v>
      </c>
      <c r="F107" s="9">
        <v>0.09</v>
      </c>
      <c r="G107" s="10">
        <v>7541</v>
      </c>
      <c r="H107">
        <v>3.35</v>
      </c>
      <c r="I107" s="5">
        <f>ROUND(Marketing[[#This Row],[Clicks]]*Marketing[[#This Row],[Conversion_Rate]],0)</f>
        <v>50</v>
      </c>
      <c r="J107" s="12">
        <f>Marketing[[#This Row],[Campaign_Cost]]/Marketing[[#This Row],[Customers]]</f>
        <v>150.82</v>
      </c>
      <c r="K107" t="s">
        <v>19</v>
      </c>
      <c r="L107" t="s">
        <v>20</v>
      </c>
      <c r="M107">
        <v>560</v>
      </c>
      <c r="N107">
        <v>3439</v>
      </c>
      <c r="O107">
        <v>7</v>
      </c>
      <c r="P107" t="s">
        <v>27</v>
      </c>
      <c r="Q107" s="1">
        <v>44302</v>
      </c>
    </row>
    <row r="108" spans="1:17" x14ac:dyDescent="0.3">
      <c r="A108" t="s">
        <v>49</v>
      </c>
      <c r="B108" t="s">
        <v>29</v>
      </c>
      <c r="C108" t="s">
        <v>30</v>
      </c>
      <c r="D108" t="s">
        <v>46</v>
      </c>
      <c r="E108" t="s">
        <v>18</v>
      </c>
      <c r="F108" s="9">
        <v>0.11</v>
      </c>
      <c r="G108" s="10">
        <v>14875</v>
      </c>
      <c r="H108">
        <v>6.5</v>
      </c>
      <c r="I108" s="5">
        <f>ROUND(Marketing[[#This Row],[Clicks]]*Marketing[[#This Row],[Conversion_Rate]],0)</f>
        <v>34</v>
      </c>
      <c r="J108" s="12">
        <f>Marketing[[#This Row],[Campaign_Cost]]/Marketing[[#This Row],[Customers]]</f>
        <v>437.5</v>
      </c>
      <c r="K108" t="s">
        <v>25</v>
      </c>
      <c r="L108" t="s">
        <v>26</v>
      </c>
      <c r="M108">
        <v>306</v>
      </c>
      <c r="N108">
        <v>1560</v>
      </c>
      <c r="O108">
        <v>3</v>
      </c>
      <c r="P108" t="s">
        <v>21</v>
      </c>
      <c r="Q108" s="1">
        <v>44303</v>
      </c>
    </row>
    <row r="109" spans="1:17" x14ac:dyDescent="0.3">
      <c r="A109" t="s">
        <v>49</v>
      </c>
      <c r="B109" t="s">
        <v>15</v>
      </c>
      <c r="C109" t="s">
        <v>37</v>
      </c>
      <c r="D109" t="s">
        <v>46</v>
      </c>
      <c r="E109" t="s">
        <v>15</v>
      </c>
      <c r="F109" s="9">
        <v>0.06</v>
      </c>
      <c r="G109" s="10">
        <v>5514</v>
      </c>
      <c r="H109">
        <v>7.32</v>
      </c>
      <c r="I109" s="5">
        <f>ROUND(Marketing[[#This Row],[Clicks]]*Marketing[[#This Row],[Conversion_Rate]],0)</f>
        <v>44</v>
      </c>
      <c r="J109" s="12">
        <f>Marketing[[#This Row],[Campaign_Cost]]/Marketing[[#This Row],[Customers]]</f>
        <v>125.31818181818181</v>
      </c>
      <c r="K109" t="s">
        <v>38</v>
      </c>
      <c r="L109" t="s">
        <v>26</v>
      </c>
      <c r="M109">
        <v>740</v>
      </c>
      <c r="N109">
        <v>4550</v>
      </c>
      <c r="O109">
        <v>1</v>
      </c>
      <c r="P109" t="s">
        <v>34</v>
      </c>
      <c r="Q109" s="1">
        <v>44304</v>
      </c>
    </row>
    <row r="110" spans="1:17" x14ac:dyDescent="0.3">
      <c r="A110" t="s">
        <v>14</v>
      </c>
      <c r="B110" t="s">
        <v>45</v>
      </c>
      <c r="C110" t="s">
        <v>30</v>
      </c>
      <c r="D110" t="s">
        <v>17</v>
      </c>
      <c r="E110" t="s">
        <v>41</v>
      </c>
      <c r="F110" s="9">
        <v>0.05</v>
      </c>
      <c r="G110" s="10">
        <v>15107</v>
      </c>
      <c r="H110">
        <v>4.79</v>
      </c>
      <c r="I110" s="5">
        <f>ROUND(Marketing[[#This Row],[Clicks]]*Marketing[[#This Row],[Conversion_Rate]],0)</f>
        <v>6</v>
      </c>
      <c r="J110" s="12">
        <f>Marketing[[#This Row],[Campaign_Cost]]/Marketing[[#This Row],[Customers]]</f>
        <v>2517.8333333333335</v>
      </c>
      <c r="K110" t="s">
        <v>51</v>
      </c>
      <c r="L110" t="s">
        <v>20</v>
      </c>
      <c r="M110">
        <v>115</v>
      </c>
      <c r="N110">
        <v>1475</v>
      </c>
      <c r="O110">
        <v>10</v>
      </c>
      <c r="P110" t="s">
        <v>27</v>
      </c>
      <c r="Q110" s="1">
        <v>44305</v>
      </c>
    </row>
    <row r="111" spans="1:17" x14ac:dyDescent="0.3">
      <c r="A111" t="s">
        <v>14</v>
      </c>
      <c r="B111" t="s">
        <v>47</v>
      </c>
      <c r="C111" t="s">
        <v>52</v>
      </c>
      <c r="D111" t="s">
        <v>40</v>
      </c>
      <c r="E111" t="s">
        <v>31</v>
      </c>
      <c r="F111" s="9">
        <v>0.1</v>
      </c>
      <c r="G111" s="10">
        <v>13712</v>
      </c>
      <c r="H111">
        <v>6.4</v>
      </c>
      <c r="I111" s="5">
        <f>ROUND(Marketing[[#This Row],[Clicks]]*Marketing[[#This Row],[Conversion_Rate]],0)</f>
        <v>37</v>
      </c>
      <c r="J111" s="12">
        <f>Marketing[[#This Row],[Campaign_Cost]]/Marketing[[#This Row],[Customers]]</f>
        <v>370.59459459459458</v>
      </c>
      <c r="K111" t="s">
        <v>19</v>
      </c>
      <c r="L111" t="s">
        <v>50</v>
      </c>
      <c r="M111">
        <v>366</v>
      </c>
      <c r="N111">
        <v>3843</v>
      </c>
      <c r="O111">
        <v>3</v>
      </c>
      <c r="P111" t="s">
        <v>27</v>
      </c>
      <c r="Q111" s="1">
        <v>44306</v>
      </c>
    </row>
    <row r="112" spans="1:17" x14ac:dyDescent="0.3">
      <c r="A112" t="s">
        <v>28</v>
      </c>
      <c r="B112" t="s">
        <v>29</v>
      </c>
      <c r="C112" t="s">
        <v>37</v>
      </c>
      <c r="D112" t="s">
        <v>24</v>
      </c>
      <c r="E112" t="s">
        <v>48</v>
      </c>
      <c r="F112" s="9">
        <v>0.05</v>
      </c>
      <c r="G112" s="10">
        <v>11789</v>
      </c>
      <c r="H112">
        <v>5.39</v>
      </c>
      <c r="I112" s="5">
        <f>ROUND(Marketing[[#This Row],[Clicks]]*Marketing[[#This Row],[Conversion_Rate]],0)</f>
        <v>33</v>
      </c>
      <c r="J112" s="12">
        <f>Marketing[[#This Row],[Campaign_Cost]]/Marketing[[#This Row],[Customers]]</f>
        <v>357.24242424242425</v>
      </c>
      <c r="K112" t="s">
        <v>51</v>
      </c>
      <c r="L112" t="s">
        <v>26</v>
      </c>
      <c r="M112">
        <v>659</v>
      </c>
      <c r="N112">
        <v>3670</v>
      </c>
      <c r="O112">
        <v>9</v>
      </c>
      <c r="P112" t="s">
        <v>34</v>
      </c>
      <c r="Q112" s="1">
        <v>44307</v>
      </c>
    </row>
    <row r="113" spans="1:17" x14ac:dyDescent="0.3">
      <c r="A113" t="s">
        <v>35</v>
      </c>
      <c r="B113" t="s">
        <v>15</v>
      </c>
      <c r="C113" t="s">
        <v>37</v>
      </c>
      <c r="D113" t="s">
        <v>17</v>
      </c>
      <c r="E113" t="s">
        <v>43</v>
      </c>
      <c r="F113" s="9">
        <v>0.13</v>
      </c>
      <c r="G113" s="10">
        <v>18335</v>
      </c>
      <c r="H113">
        <v>7.58</v>
      </c>
      <c r="I113" s="5">
        <f>ROUND(Marketing[[#This Row],[Clicks]]*Marketing[[#This Row],[Conversion_Rate]],0)</f>
        <v>72</v>
      </c>
      <c r="J113" s="12">
        <f>Marketing[[#This Row],[Campaign_Cost]]/Marketing[[#This Row],[Customers]]</f>
        <v>254.65277777777777</v>
      </c>
      <c r="K113" t="s">
        <v>32</v>
      </c>
      <c r="L113" t="s">
        <v>39</v>
      </c>
      <c r="M113">
        <v>552</v>
      </c>
      <c r="N113">
        <v>3464</v>
      </c>
      <c r="O113">
        <v>5</v>
      </c>
      <c r="P113" t="s">
        <v>21</v>
      </c>
      <c r="Q113" s="1">
        <v>44308</v>
      </c>
    </row>
    <row r="114" spans="1:17" x14ac:dyDescent="0.3">
      <c r="A114" t="s">
        <v>49</v>
      </c>
      <c r="B114" t="s">
        <v>36</v>
      </c>
      <c r="C114" t="s">
        <v>23</v>
      </c>
      <c r="D114" t="s">
        <v>17</v>
      </c>
      <c r="E114" t="s">
        <v>18</v>
      </c>
      <c r="F114" s="9">
        <v>0.02</v>
      </c>
      <c r="G114" s="10">
        <v>19035</v>
      </c>
      <c r="H114">
        <v>2.0099999999999998</v>
      </c>
      <c r="I114" s="5">
        <f>ROUND(Marketing[[#This Row],[Clicks]]*Marketing[[#This Row],[Conversion_Rate]],0)</f>
        <v>11</v>
      </c>
      <c r="J114" s="12">
        <f>Marketing[[#This Row],[Campaign_Cost]]/Marketing[[#This Row],[Customers]]</f>
        <v>1730.4545454545455</v>
      </c>
      <c r="K114" t="s">
        <v>38</v>
      </c>
      <c r="L114" t="s">
        <v>39</v>
      </c>
      <c r="M114">
        <v>560</v>
      </c>
      <c r="N114">
        <v>6945</v>
      </c>
      <c r="O114">
        <v>7</v>
      </c>
      <c r="P114" t="s">
        <v>21</v>
      </c>
      <c r="Q114" s="1">
        <v>44309</v>
      </c>
    </row>
    <row r="115" spans="1:17" x14ac:dyDescent="0.3">
      <c r="A115" t="s">
        <v>35</v>
      </c>
      <c r="B115" t="s">
        <v>15</v>
      </c>
      <c r="C115" t="s">
        <v>52</v>
      </c>
      <c r="D115" t="s">
        <v>40</v>
      </c>
      <c r="E115" t="s">
        <v>31</v>
      </c>
      <c r="F115" s="9">
        <v>0.11</v>
      </c>
      <c r="G115" s="10">
        <v>17655</v>
      </c>
      <c r="H115">
        <v>4.04</v>
      </c>
      <c r="I115" s="5">
        <f>ROUND(Marketing[[#This Row],[Clicks]]*Marketing[[#This Row],[Conversion_Rate]],0)</f>
        <v>41</v>
      </c>
      <c r="J115" s="12">
        <f>Marketing[[#This Row],[Campaign_Cost]]/Marketing[[#This Row],[Customers]]</f>
        <v>430.60975609756099</v>
      </c>
      <c r="K115" t="s">
        <v>32</v>
      </c>
      <c r="L115" t="s">
        <v>50</v>
      </c>
      <c r="M115">
        <v>369</v>
      </c>
      <c r="N115">
        <v>8912</v>
      </c>
      <c r="O115">
        <v>4</v>
      </c>
      <c r="P115" t="s">
        <v>21</v>
      </c>
      <c r="Q115" s="1">
        <v>44310</v>
      </c>
    </row>
    <row r="116" spans="1:17" x14ac:dyDescent="0.3">
      <c r="A116" t="s">
        <v>22</v>
      </c>
      <c r="B116" t="s">
        <v>15</v>
      </c>
      <c r="C116" t="s">
        <v>52</v>
      </c>
      <c r="D116" t="s">
        <v>46</v>
      </c>
      <c r="E116" t="s">
        <v>18</v>
      </c>
      <c r="F116" s="9">
        <v>0.11</v>
      </c>
      <c r="G116" s="10">
        <v>6710</v>
      </c>
      <c r="H116">
        <v>2.72</v>
      </c>
      <c r="I116" s="5">
        <f>ROUND(Marketing[[#This Row],[Clicks]]*Marketing[[#This Row],[Conversion_Rate]],0)</f>
        <v>97</v>
      </c>
      <c r="J116" s="12">
        <f>Marketing[[#This Row],[Campaign_Cost]]/Marketing[[#This Row],[Customers]]</f>
        <v>69.175257731958766</v>
      </c>
      <c r="K116" t="s">
        <v>51</v>
      </c>
      <c r="L116" t="s">
        <v>26</v>
      </c>
      <c r="M116">
        <v>886</v>
      </c>
      <c r="N116">
        <v>6158</v>
      </c>
      <c r="O116">
        <v>7</v>
      </c>
      <c r="P116" t="s">
        <v>27</v>
      </c>
      <c r="Q116" s="1">
        <v>44311</v>
      </c>
    </row>
    <row r="117" spans="1:17" x14ac:dyDescent="0.3">
      <c r="A117" t="s">
        <v>22</v>
      </c>
      <c r="B117" t="s">
        <v>47</v>
      </c>
      <c r="C117" t="s">
        <v>52</v>
      </c>
      <c r="D117" t="s">
        <v>40</v>
      </c>
      <c r="E117" t="s">
        <v>48</v>
      </c>
      <c r="F117" s="9">
        <v>0.09</v>
      </c>
      <c r="G117" s="10">
        <v>9899</v>
      </c>
      <c r="H117">
        <v>3.7</v>
      </c>
      <c r="I117" s="5">
        <f>ROUND(Marketing[[#This Row],[Clicks]]*Marketing[[#This Row],[Conversion_Rate]],0)</f>
        <v>40</v>
      </c>
      <c r="J117" s="12">
        <f>Marketing[[#This Row],[Campaign_Cost]]/Marketing[[#This Row],[Customers]]</f>
        <v>247.47499999999999</v>
      </c>
      <c r="K117" t="s">
        <v>32</v>
      </c>
      <c r="L117" t="s">
        <v>26</v>
      </c>
      <c r="M117">
        <v>447</v>
      </c>
      <c r="N117">
        <v>4878</v>
      </c>
      <c r="O117">
        <v>8</v>
      </c>
      <c r="P117" t="s">
        <v>44</v>
      </c>
      <c r="Q117" s="1">
        <v>44312</v>
      </c>
    </row>
    <row r="118" spans="1:17" x14ac:dyDescent="0.3">
      <c r="A118" t="s">
        <v>14</v>
      </c>
      <c r="B118" t="s">
        <v>15</v>
      </c>
      <c r="C118" t="s">
        <v>37</v>
      </c>
      <c r="D118" t="s">
        <v>17</v>
      </c>
      <c r="E118" t="s">
        <v>41</v>
      </c>
      <c r="F118" s="9">
        <v>0.14000000000000001</v>
      </c>
      <c r="G118" s="10">
        <v>7032</v>
      </c>
      <c r="H118">
        <v>7.86</v>
      </c>
      <c r="I118" s="5">
        <f>ROUND(Marketing[[#This Row],[Clicks]]*Marketing[[#This Row],[Conversion_Rate]],0)</f>
        <v>83</v>
      </c>
      <c r="J118" s="12">
        <f>Marketing[[#This Row],[Campaign_Cost]]/Marketing[[#This Row],[Customers]]</f>
        <v>84.722891566265062</v>
      </c>
      <c r="K118" t="s">
        <v>19</v>
      </c>
      <c r="L118" t="s">
        <v>20</v>
      </c>
      <c r="M118">
        <v>595</v>
      </c>
      <c r="N118">
        <v>1555</v>
      </c>
      <c r="O118">
        <v>4</v>
      </c>
      <c r="P118" t="s">
        <v>21</v>
      </c>
      <c r="Q118" s="1">
        <v>44313</v>
      </c>
    </row>
    <row r="119" spans="1:17" x14ac:dyDescent="0.3">
      <c r="A119" t="s">
        <v>49</v>
      </c>
      <c r="B119" t="s">
        <v>47</v>
      </c>
      <c r="C119" t="s">
        <v>37</v>
      </c>
      <c r="D119" t="s">
        <v>46</v>
      </c>
      <c r="E119" t="s">
        <v>43</v>
      </c>
      <c r="F119" s="9">
        <v>0.05</v>
      </c>
      <c r="G119" s="10">
        <v>5174</v>
      </c>
      <c r="H119">
        <v>4.9800000000000004</v>
      </c>
      <c r="I119" s="5">
        <f>ROUND(Marketing[[#This Row],[Clicks]]*Marketing[[#This Row],[Conversion_Rate]],0)</f>
        <v>22</v>
      </c>
      <c r="J119" s="12">
        <f>Marketing[[#This Row],[Campaign_Cost]]/Marketing[[#This Row],[Customers]]</f>
        <v>235.18181818181819</v>
      </c>
      <c r="K119" t="s">
        <v>51</v>
      </c>
      <c r="L119" t="s">
        <v>26</v>
      </c>
      <c r="M119">
        <v>438</v>
      </c>
      <c r="N119">
        <v>9741</v>
      </c>
      <c r="O119">
        <v>1</v>
      </c>
      <c r="P119" t="s">
        <v>44</v>
      </c>
      <c r="Q119" s="1">
        <v>44314</v>
      </c>
    </row>
    <row r="120" spans="1:17" x14ac:dyDescent="0.3">
      <c r="A120" t="s">
        <v>14</v>
      </c>
      <c r="B120" t="s">
        <v>36</v>
      </c>
      <c r="C120" t="s">
        <v>23</v>
      </c>
      <c r="D120" t="s">
        <v>40</v>
      </c>
      <c r="E120" t="s">
        <v>31</v>
      </c>
      <c r="F120" s="9">
        <v>0.14000000000000001</v>
      </c>
      <c r="G120" s="10">
        <v>15679</v>
      </c>
      <c r="H120">
        <v>3.71</v>
      </c>
      <c r="I120" s="5">
        <f>ROUND(Marketing[[#This Row],[Clicks]]*Marketing[[#This Row],[Conversion_Rate]],0)</f>
        <v>91</v>
      </c>
      <c r="J120" s="12">
        <f>Marketing[[#This Row],[Campaign_Cost]]/Marketing[[#This Row],[Customers]]</f>
        <v>172.2967032967033</v>
      </c>
      <c r="K120" t="s">
        <v>32</v>
      </c>
      <c r="L120" t="s">
        <v>26</v>
      </c>
      <c r="M120">
        <v>652</v>
      </c>
      <c r="N120">
        <v>3884</v>
      </c>
      <c r="O120">
        <v>7</v>
      </c>
      <c r="P120" t="s">
        <v>42</v>
      </c>
      <c r="Q120" s="1">
        <v>44315</v>
      </c>
    </row>
    <row r="121" spans="1:17" x14ac:dyDescent="0.3">
      <c r="A121" t="s">
        <v>22</v>
      </c>
      <c r="B121" t="s">
        <v>36</v>
      </c>
      <c r="C121" t="s">
        <v>37</v>
      </c>
      <c r="D121" t="s">
        <v>46</v>
      </c>
      <c r="E121" t="s">
        <v>31</v>
      </c>
      <c r="F121" s="9">
        <v>7.0000000000000007E-2</v>
      </c>
      <c r="G121" s="10">
        <v>12143</v>
      </c>
      <c r="H121">
        <v>7.65</v>
      </c>
      <c r="I121" s="5">
        <f>ROUND(Marketing[[#This Row],[Clicks]]*Marketing[[#This Row],[Conversion_Rate]],0)</f>
        <v>56</v>
      </c>
      <c r="J121" s="12">
        <f>Marketing[[#This Row],[Campaign_Cost]]/Marketing[[#This Row],[Customers]]</f>
        <v>216.83928571428572</v>
      </c>
      <c r="K121" t="s">
        <v>38</v>
      </c>
      <c r="L121" t="s">
        <v>39</v>
      </c>
      <c r="M121">
        <v>802</v>
      </c>
      <c r="N121">
        <v>8897</v>
      </c>
      <c r="O121">
        <v>10</v>
      </c>
      <c r="P121" t="s">
        <v>44</v>
      </c>
      <c r="Q121" s="1">
        <v>44316</v>
      </c>
    </row>
    <row r="122" spans="1:17" x14ac:dyDescent="0.3">
      <c r="A122" t="s">
        <v>14</v>
      </c>
      <c r="B122" t="s">
        <v>15</v>
      </c>
      <c r="C122" t="s">
        <v>23</v>
      </c>
      <c r="D122" t="s">
        <v>46</v>
      </c>
      <c r="E122" t="s">
        <v>48</v>
      </c>
      <c r="F122" s="9">
        <v>0.02</v>
      </c>
      <c r="G122" s="10">
        <v>19329</v>
      </c>
      <c r="H122">
        <v>7.58</v>
      </c>
      <c r="I122" s="5">
        <f>ROUND(Marketing[[#This Row],[Clicks]]*Marketing[[#This Row],[Conversion_Rate]],0)</f>
        <v>17</v>
      </c>
      <c r="J122" s="12">
        <f>Marketing[[#This Row],[Campaign_Cost]]/Marketing[[#This Row],[Customers]]</f>
        <v>1137</v>
      </c>
      <c r="K122" t="s">
        <v>51</v>
      </c>
      <c r="L122" t="s">
        <v>50</v>
      </c>
      <c r="M122">
        <v>841</v>
      </c>
      <c r="N122">
        <v>4536</v>
      </c>
      <c r="O122">
        <v>8</v>
      </c>
      <c r="P122" t="s">
        <v>34</v>
      </c>
      <c r="Q122" s="1">
        <v>44317</v>
      </c>
    </row>
    <row r="123" spans="1:17" x14ac:dyDescent="0.3">
      <c r="A123" t="s">
        <v>14</v>
      </c>
      <c r="B123" t="s">
        <v>45</v>
      </c>
      <c r="C123" t="s">
        <v>37</v>
      </c>
      <c r="D123" t="s">
        <v>24</v>
      </c>
      <c r="E123" t="s">
        <v>15</v>
      </c>
      <c r="F123" s="9">
        <v>0.09</v>
      </c>
      <c r="G123" s="10">
        <v>8854</v>
      </c>
      <c r="H123">
        <v>6.78</v>
      </c>
      <c r="I123" s="5">
        <f>ROUND(Marketing[[#This Row],[Clicks]]*Marketing[[#This Row],[Conversion_Rate]],0)</f>
        <v>12</v>
      </c>
      <c r="J123" s="12">
        <f>Marketing[[#This Row],[Campaign_Cost]]/Marketing[[#This Row],[Customers]]</f>
        <v>737.83333333333337</v>
      </c>
      <c r="K123" t="s">
        <v>19</v>
      </c>
      <c r="L123" t="s">
        <v>26</v>
      </c>
      <c r="M123">
        <v>137</v>
      </c>
      <c r="N123">
        <v>4002</v>
      </c>
      <c r="O123">
        <v>6</v>
      </c>
      <c r="P123" t="s">
        <v>44</v>
      </c>
      <c r="Q123" s="1">
        <v>44318</v>
      </c>
    </row>
    <row r="124" spans="1:17" x14ac:dyDescent="0.3">
      <c r="A124" t="s">
        <v>28</v>
      </c>
      <c r="B124" t="s">
        <v>29</v>
      </c>
      <c r="C124" t="s">
        <v>23</v>
      </c>
      <c r="D124" t="s">
        <v>46</v>
      </c>
      <c r="E124" t="s">
        <v>31</v>
      </c>
      <c r="F124" s="9">
        <v>0.04</v>
      </c>
      <c r="G124" s="10">
        <v>5232</v>
      </c>
      <c r="H124">
        <v>7.61</v>
      </c>
      <c r="I124" s="5">
        <f>ROUND(Marketing[[#This Row],[Clicks]]*Marketing[[#This Row],[Conversion_Rate]],0)</f>
        <v>34</v>
      </c>
      <c r="J124" s="12">
        <f>Marketing[[#This Row],[Campaign_Cost]]/Marketing[[#This Row],[Customers]]</f>
        <v>153.88235294117646</v>
      </c>
      <c r="K124" t="s">
        <v>25</v>
      </c>
      <c r="L124" t="s">
        <v>26</v>
      </c>
      <c r="M124">
        <v>850</v>
      </c>
      <c r="N124">
        <v>6515</v>
      </c>
      <c r="O124">
        <v>5</v>
      </c>
      <c r="P124" t="s">
        <v>42</v>
      </c>
      <c r="Q124" s="1">
        <v>44319</v>
      </c>
    </row>
    <row r="125" spans="1:17" x14ac:dyDescent="0.3">
      <c r="A125" t="s">
        <v>22</v>
      </c>
      <c r="B125" t="s">
        <v>36</v>
      </c>
      <c r="C125" t="s">
        <v>30</v>
      </c>
      <c r="D125" t="s">
        <v>17</v>
      </c>
      <c r="E125" t="s">
        <v>41</v>
      </c>
      <c r="F125" s="9">
        <v>0.02</v>
      </c>
      <c r="G125" s="10">
        <v>13006</v>
      </c>
      <c r="H125">
        <v>3.7</v>
      </c>
      <c r="I125" s="5">
        <f>ROUND(Marketing[[#This Row],[Clicks]]*Marketing[[#This Row],[Conversion_Rate]],0)</f>
        <v>15</v>
      </c>
      <c r="J125" s="12">
        <f>Marketing[[#This Row],[Campaign_Cost]]/Marketing[[#This Row],[Customers]]</f>
        <v>867.06666666666672</v>
      </c>
      <c r="K125" t="s">
        <v>19</v>
      </c>
      <c r="L125" t="s">
        <v>20</v>
      </c>
      <c r="M125">
        <v>727</v>
      </c>
      <c r="N125">
        <v>2863</v>
      </c>
      <c r="O125">
        <v>1</v>
      </c>
      <c r="P125" t="s">
        <v>27</v>
      </c>
      <c r="Q125" s="1">
        <v>44320</v>
      </c>
    </row>
    <row r="126" spans="1:17" x14ac:dyDescent="0.3">
      <c r="A126" t="s">
        <v>35</v>
      </c>
      <c r="B126" t="s">
        <v>15</v>
      </c>
      <c r="C126" t="s">
        <v>16</v>
      </c>
      <c r="D126" t="s">
        <v>46</v>
      </c>
      <c r="E126" t="s">
        <v>43</v>
      </c>
      <c r="F126" s="9">
        <v>0.13</v>
      </c>
      <c r="G126" s="10">
        <v>5653</v>
      </c>
      <c r="H126">
        <v>6.08</v>
      </c>
      <c r="I126" s="5">
        <f>ROUND(Marketing[[#This Row],[Clicks]]*Marketing[[#This Row],[Conversion_Rate]],0)</f>
        <v>128</v>
      </c>
      <c r="J126" s="12">
        <f>Marketing[[#This Row],[Campaign_Cost]]/Marketing[[#This Row],[Customers]]</f>
        <v>44.1640625</v>
      </c>
      <c r="K126" t="s">
        <v>19</v>
      </c>
      <c r="L126" t="s">
        <v>39</v>
      </c>
      <c r="M126">
        <v>986</v>
      </c>
      <c r="N126">
        <v>4477</v>
      </c>
      <c r="O126">
        <v>10</v>
      </c>
      <c r="P126" t="s">
        <v>42</v>
      </c>
      <c r="Q126" s="1">
        <v>44321</v>
      </c>
    </row>
    <row r="127" spans="1:17" x14ac:dyDescent="0.3">
      <c r="A127" t="s">
        <v>35</v>
      </c>
      <c r="B127" t="s">
        <v>15</v>
      </c>
      <c r="C127" t="s">
        <v>30</v>
      </c>
      <c r="D127" t="s">
        <v>46</v>
      </c>
      <c r="E127" t="s">
        <v>18</v>
      </c>
      <c r="F127" s="9">
        <v>0.02</v>
      </c>
      <c r="G127" s="10">
        <v>18169</v>
      </c>
      <c r="H127">
        <v>5.5</v>
      </c>
      <c r="I127" s="5">
        <f>ROUND(Marketing[[#This Row],[Clicks]]*Marketing[[#This Row],[Conversion_Rate]],0)</f>
        <v>5</v>
      </c>
      <c r="J127" s="12">
        <f>Marketing[[#This Row],[Campaign_Cost]]/Marketing[[#This Row],[Customers]]</f>
        <v>3633.8</v>
      </c>
      <c r="K127" t="s">
        <v>38</v>
      </c>
      <c r="L127" t="s">
        <v>50</v>
      </c>
      <c r="M127">
        <v>259</v>
      </c>
      <c r="N127">
        <v>3941</v>
      </c>
      <c r="O127">
        <v>7</v>
      </c>
      <c r="P127" t="s">
        <v>34</v>
      </c>
      <c r="Q127" s="1">
        <v>44322</v>
      </c>
    </row>
    <row r="128" spans="1:17" x14ac:dyDescent="0.3">
      <c r="A128" t="s">
        <v>35</v>
      </c>
      <c r="B128" t="s">
        <v>47</v>
      </c>
      <c r="C128" t="s">
        <v>30</v>
      </c>
      <c r="D128" t="s">
        <v>46</v>
      </c>
      <c r="E128" t="s">
        <v>15</v>
      </c>
      <c r="F128" s="9">
        <v>0.08</v>
      </c>
      <c r="G128" s="10">
        <v>13316</v>
      </c>
      <c r="H128">
        <v>6.15</v>
      </c>
      <c r="I128" s="5">
        <f>ROUND(Marketing[[#This Row],[Clicks]]*Marketing[[#This Row],[Conversion_Rate]],0)</f>
        <v>26</v>
      </c>
      <c r="J128" s="12">
        <f>Marketing[[#This Row],[Campaign_Cost]]/Marketing[[#This Row],[Customers]]</f>
        <v>512.15384615384619</v>
      </c>
      <c r="K128" t="s">
        <v>32</v>
      </c>
      <c r="L128" t="s">
        <v>20</v>
      </c>
      <c r="M128">
        <v>321</v>
      </c>
      <c r="N128">
        <v>7186</v>
      </c>
      <c r="O128">
        <v>2</v>
      </c>
      <c r="P128" t="s">
        <v>27</v>
      </c>
      <c r="Q128" s="1">
        <v>44323</v>
      </c>
    </row>
    <row r="129" spans="1:17" x14ac:dyDescent="0.3">
      <c r="A129" t="s">
        <v>22</v>
      </c>
      <c r="B129" t="s">
        <v>15</v>
      </c>
      <c r="C129" t="s">
        <v>37</v>
      </c>
      <c r="D129" t="s">
        <v>40</v>
      </c>
      <c r="E129" t="s">
        <v>15</v>
      </c>
      <c r="F129" s="9">
        <v>0.08</v>
      </c>
      <c r="G129" s="10">
        <v>17847</v>
      </c>
      <c r="H129">
        <v>6.68</v>
      </c>
      <c r="I129" s="5">
        <f>ROUND(Marketing[[#This Row],[Clicks]]*Marketing[[#This Row],[Conversion_Rate]],0)</f>
        <v>75</v>
      </c>
      <c r="J129" s="12">
        <f>Marketing[[#This Row],[Campaign_Cost]]/Marketing[[#This Row],[Customers]]</f>
        <v>237.96</v>
      </c>
      <c r="K129" t="s">
        <v>51</v>
      </c>
      <c r="L129" t="s">
        <v>20</v>
      </c>
      <c r="M129">
        <v>942</v>
      </c>
      <c r="N129">
        <v>9066</v>
      </c>
      <c r="O129">
        <v>3</v>
      </c>
      <c r="P129" t="s">
        <v>34</v>
      </c>
      <c r="Q129" s="1">
        <v>44324</v>
      </c>
    </row>
    <row r="130" spans="1:17" x14ac:dyDescent="0.3">
      <c r="A130" t="s">
        <v>28</v>
      </c>
      <c r="B130" t="s">
        <v>15</v>
      </c>
      <c r="C130" t="s">
        <v>16</v>
      </c>
      <c r="D130" t="s">
        <v>46</v>
      </c>
      <c r="E130" t="s">
        <v>41</v>
      </c>
      <c r="F130" s="9">
        <v>0.06</v>
      </c>
      <c r="G130" s="10">
        <v>10639</v>
      </c>
      <c r="H130">
        <v>4.32</v>
      </c>
      <c r="I130" s="5">
        <f>ROUND(Marketing[[#This Row],[Clicks]]*Marketing[[#This Row],[Conversion_Rate]],0)</f>
        <v>10</v>
      </c>
      <c r="J130" s="12">
        <f>Marketing[[#This Row],[Campaign_Cost]]/Marketing[[#This Row],[Customers]]</f>
        <v>1063.9000000000001</v>
      </c>
      <c r="K130" t="s">
        <v>25</v>
      </c>
      <c r="L130" t="s">
        <v>20</v>
      </c>
      <c r="M130">
        <v>166</v>
      </c>
      <c r="N130">
        <v>5735</v>
      </c>
      <c r="O130">
        <v>10</v>
      </c>
      <c r="P130" t="s">
        <v>21</v>
      </c>
      <c r="Q130" s="1">
        <v>44325</v>
      </c>
    </row>
    <row r="131" spans="1:17" x14ac:dyDescent="0.3">
      <c r="A131" t="s">
        <v>14</v>
      </c>
      <c r="B131" t="s">
        <v>36</v>
      </c>
      <c r="C131" t="s">
        <v>30</v>
      </c>
      <c r="D131" t="s">
        <v>40</v>
      </c>
      <c r="E131" t="s">
        <v>31</v>
      </c>
      <c r="F131" s="9">
        <v>0.03</v>
      </c>
      <c r="G131" s="10">
        <v>10945</v>
      </c>
      <c r="H131">
        <v>3.16</v>
      </c>
      <c r="I131" s="5">
        <f>ROUND(Marketing[[#This Row],[Clicks]]*Marketing[[#This Row],[Conversion_Rate]],0)</f>
        <v>15</v>
      </c>
      <c r="J131" s="12">
        <f>Marketing[[#This Row],[Campaign_Cost]]/Marketing[[#This Row],[Customers]]</f>
        <v>729.66666666666663</v>
      </c>
      <c r="K131" t="s">
        <v>19</v>
      </c>
      <c r="L131" t="s">
        <v>20</v>
      </c>
      <c r="M131">
        <v>508</v>
      </c>
      <c r="N131">
        <v>8054</v>
      </c>
      <c r="O131">
        <v>6</v>
      </c>
      <c r="P131" t="s">
        <v>27</v>
      </c>
      <c r="Q131" s="1">
        <v>44326</v>
      </c>
    </row>
    <row r="132" spans="1:17" x14ac:dyDescent="0.3">
      <c r="A132" t="s">
        <v>22</v>
      </c>
      <c r="B132" t="s">
        <v>15</v>
      </c>
      <c r="C132" t="s">
        <v>16</v>
      </c>
      <c r="D132" t="s">
        <v>40</v>
      </c>
      <c r="E132" t="s">
        <v>41</v>
      </c>
      <c r="F132" s="9">
        <v>0.11</v>
      </c>
      <c r="G132" s="10">
        <v>5167</v>
      </c>
      <c r="H132">
        <v>6.63</v>
      </c>
      <c r="I132" s="5">
        <f>ROUND(Marketing[[#This Row],[Clicks]]*Marketing[[#This Row],[Conversion_Rate]],0)</f>
        <v>97</v>
      </c>
      <c r="J132" s="12">
        <f>Marketing[[#This Row],[Campaign_Cost]]/Marketing[[#This Row],[Customers]]</f>
        <v>53.268041237113401</v>
      </c>
      <c r="K132" t="s">
        <v>25</v>
      </c>
      <c r="L132" t="s">
        <v>20</v>
      </c>
      <c r="M132">
        <v>885</v>
      </c>
      <c r="N132">
        <v>1932</v>
      </c>
      <c r="O132">
        <v>7</v>
      </c>
      <c r="P132" t="s">
        <v>27</v>
      </c>
      <c r="Q132" s="1">
        <v>44327</v>
      </c>
    </row>
    <row r="133" spans="1:17" x14ac:dyDescent="0.3">
      <c r="A133" t="s">
        <v>35</v>
      </c>
      <c r="B133" t="s">
        <v>29</v>
      </c>
      <c r="C133" t="s">
        <v>30</v>
      </c>
      <c r="D133" t="s">
        <v>24</v>
      </c>
      <c r="E133" t="s">
        <v>18</v>
      </c>
      <c r="F133" s="9">
        <v>0.15</v>
      </c>
      <c r="G133" s="10">
        <v>8300</v>
      </c>
      <c r="H133">
        <v>6.65</v>
      </c>
      <c r="I133" s="5">
        <f>ROUND(Marketing[[#This Row],[Clicks]]*Marketing[[#This Row],[Conversion_Rate]],0)</f>
        <v>24</v>
      </c>
      <c r="J133" s="12">
        <f>Marketing[[#This Row],[Campaign_Cost]]/Marketing[[#This Row],[Customers]]</f>
        <v>345.83333333333331</v>
      </c>
      <c r="K133" t="s">
        <v>19</v>
      </c>
      <c r="L133" t="s">
        <v>20</v>
      </c>
      <c r="M133">
        <v>158</v>
      </c>
      <c r="N133">
        <v>4842</v>
      </c>
      <c r="O133">
        <v>4</v>
      </c>
      <c r="P133" t="s">
        <v>34</v>
      </c>
      <c r="Q133" s="1">
        <v>44328</v>
      </c>
    </row>
    <row r="134" spans="1:17" x14ac:dyDescent="0.3">
      <c r="A134" t="s">
        <v>14</v>
      </c>
      <c r="B134" t="s">
        <v>47</v>
      </c>
      <c r="C134" t="s">
        <v>30</v>
      </c>
      <c r="D134" t="s">
        <v>40</v>
      </c>
      <c r="E134" t="s">
        <v>41</v>
      </c>
      <c r="F134" s="9">
        <v>0.14000000000000001</v>
      </c>
      <c r="G134" s="10">
        <v>13469</v>
      </c>
      <c r="H134">
        <v>7.54</v>
      </c>
      <c r="I134" s="5">
        <f>ROUND(Marketing[[#This Row],[Clicks]]*Marketing[[#This Row],[Conversion_Rate]],0)</f>
        <v>120</v>
      </c>
      <c r="J134" s="12">
        <f>Marketing[[#This Row],[Campaign_Cost]]/Marketing[[#This Row],[Customers]]</f>
        <v>112.24166666666666</v>
      </c>
      <c r="K134" t="s">
        <v>51</v>
      </c>
      <c r="L134" t="s">
        <v>26</v>
      </c>
      <c r="M134">
        <v>857</v>
      </c>
      <c r="N134">
        <v>4028</v>
      </c>
      <c r="O134">
        <v>8</v>
      </c>
      <c r="P134" t="s">
        <v>27</v>
      </c>
      <c r="Q134" s="1">
        <v>44329</v>
      </c>
    </row>
    <row r="135" spans="1:17" x14ac:dyDescent="0.3">
      <c r="A135" t="s">
        <v>49</v>
      </c>
      <c r="B135" t="s">
        <v>45</v>
      </c>
      <c r="C135" t="s">
        <v>30</v>
      </c>
      <c r="D135" t="s">
        <v>17</v>
      </c>
      <c r="E135" t="s">
        <v>48</v>
      </c>
      <c r="F135" s="9">
        <v>0.1</v>
      </c>
      <c r="G135" s="10">
        <v>19254</v>
      </c>
      <c r="H135">
        <v>2.41</v>
      </c>
      <c r="I135" s="5">
        <f>ROUND(Marketing[[#This Row],[Clicks]]*Marketing[[#This Row],[Conversion_Rate]],0)</f>
        <v>48</v>
      </c>
      <c r="J135" s="12">
        <f>Marketing[[#This Row],[Campaign_Cost]]/Marketing[[#This Row],[Customers]]</f>
        <v>401.125</v>
      </c>
      <c r="K135" t="s">
        <v>38</v>
      </c>
      <c r="L135" t="s">
        <v>50</v>
      </c>
      <c r="M135">
        <v>481</v>
      </c>
      <c r="N135">
        <v>1876</v>
      </c>
      <c r="O135">
        <v>7</v>
      </c>
      <c r="P135" t="s">
        <v>42</v>
      </c>
      <c r="Q135" s="1">
        <v>44330</v>
      </c>
    </row>
    <row r="136" spans="1:17" x14ac:dyDescent="0.3">
      <c r="A136" t="s">
        <v>35</v>
      </c>
      <c r="B136" t="s">
        <v>36</v>
      </c>
      <c r="C136" t="s">
        <v>37</v>
      </c>
      <c r="D136" t="s">
        <v>24</v>
      </c>
      <c r="E136" t="s">
        <v>18</v>
      </c>
      <c r="F136" s="9">
        <v>0.04</v>
      </c>
      <c r="G136" s="10">
        <v>10704</v>
      </c>
      <c r="H136">
        <v>6.46</v>
      </c>
      <c r="I136" s="5">
        <f>ROUND(Marketing[[#This Row],[Clicks]]*Marketing[[#This Row],[Conversion_Rate]],0)</f>
        <v>40</v>
      </c>
      <c r="J136" s="12">
        <f>Marketing[[#This Row],[Campaign_Cost]]/Marketing[[#This Row],[Customers]]</f>
        <v>267.60000000000002</v>
      </c>
      <c r="K136" t="s">
        <v>19</v>
      </c>
      <c r="L136" t="s">
        <v>33</v>
      </c>
      <c r="M136">
        <v>999</v>
      </c>
      <c r="N136">
        <v>7543</v>
      </c>
      <c r="O136">
        <v>8</v>
      </c>
      <c r="P136" t="s">
        <v>44</v>
      </c>
      <c r="Q136" s="1">
        <v>44331</v>
      </c>
    </row>
    <row r="137" spans="1:17" x14ac:dyDescent="0.3">
      <c r="A137" t="s">
        <v>22</v>
      </c>
      <c r="B137" t="s">
        <v>15</v>
      </c>
      <c r="C137" t="s">
        <v>16</v>
      </c>
      <c r="D137" t="s">
        <v>17</v>
      </c>
      <c r="E137" t="s">
        <v>15</v>
      </c>
      <c r="F137" s="9">
        <v>0.15</v>
      </c>
      <c r="G137" s="10">
        <v>9229</v>
      </c>
      <c r="H137">
        <v>3.56</v>
      </c>
      <c r="I137" s="5">
        <f>ROUND(Marketing[[#This Row],[Clicks]]*Marketing[[#This Row],[Conversion_Rate]],0)</f>
        <v>141</v>
      </c>
      <c r="J137" s="12">
        <f>Marketing[[#This Row],[Campaign_Cost]]/Marketing[[#This Row],[Customers]]</f>
        <v>65.453900709219852</v>
      </c>
      <c r="K137" t="s">
        <v>25</v>
      </c>
      <c r="L137" t="s">
        <v>20</v>
      </c>
      <c r="M137">
        <v>939</v>
      </c>
      <c r="N137">
        <v>5999</v>
      </c>
      <c r="O137">
        <v>8</v>
      </c>
      <c r="P137" t="s">
        <v>44</v>
      </c>
      <c r="Q137" s="1">
        <v>44332</v>
      </c>
    </row>
    <row r="138" spans="1:17" x14ac:dyDescent="0.3">
      <c r="A138" t="s">
        <v>28</v>
      </c>
      <c r="B138" t="s">
        <v>47</v>
      </c>
      <c r="C138" t="s">
        <v>23</v>
      </c>
      <c r="D138" t="s">
        <v>24</v>
      </c>
      <c r="E138" t="s">
        <v>41</v>
      </c>
      <c r="F138" s="9">
        <v>0.1</v>
      </c>
      <c r="G138" s="10">
        <v>14125</v>
      </c>
      <c r="H138">
        <v>4.9000000000000004</v>
      </c>
      <c r="I138" s="5">
        <f>ROUND(Marketing[[#This Row],[Clicks]]*Marketing[[#This Row],[Conversion_Rate]],0)</f>
        <v>89</v>
      </c>
      <c r="J138" s="12">
        <f>Marketing[[#This Row],[Campaign_Cost]]/Marketing[[#This Row],[Customers]]</f>
        <v>158.70786516853931</v>
      </c>
      <c r="K138" t="s">
        <v>51</v>
      </c>
      <c r="L138" t="s">
        <v>20</v>
      </c>
      <c r="M138">
        <v>885</v>
      </c>
      <c r="N138">
        <v>7833</v>
      </c>
      <c r="O138">
        <v>5</v>
      </c>
      <c r="P138" t="s">
        <v>27</v>
      </c>
      <c r="Q138" s="1">
        <v>44333</v>
      </c>
    </row>
    <row r="139" spans="1:17" x14ac:dyDescent="0.3">
      <c r="A139" t="s">
        <v>35</v>
      </c>
      <c r="B139" t="s">
        <v>29</v>
      </c>
      <c r="C139" t="s">
        <v>37</v>
      </c>
      <c r="D139" t="s">
        <v>24</v>
      </c>
      <c r="E139" t="s">
        <v>41</v>
      </c>
      <c r="F139" s="9">
        <v>0.04</v>
      </c>
      <c r="G139" s="10">
        <v>8222</v>
      </c>
      <c r="H139">
        <v>6.17</v>
      </c>
      <c r="I139" s="5">
        <f>ROUND(Marketing[[#This Row],[Clicks]]*Marketing[[#This Row],[Conversion_Rate]],0)</f>
        <v>27</v>
      </c>
      <c r="J139" s="12">
        <f>Marketing[[#This Row],[Campaign_Cost]]/Marketing[[#This Row],[Customers]]</f>
        <v>304.51851851851853</v>
      </c>
      <c r="K139" t="s">
        <v>51</v>
      </c>
      <c r="L139" t="s">
        <v>39</v>
      </c>
      <c r="M139">
        <v>666</v>
      </c>
      <c r="N139">
        <v>1435</v>
      </c>
      <c r="O139">
        <v>4</v>
      </c>
      <c r="P139" t="s">
        <v>42</v>
      </c>
      <c r="Q139" s="1">
        <v>44334</v>
      </c>
    </row>
    <row r="140" spans="1:17" x14ac:dyDescent="0.3">
      <c r="A140" t="s">
        <v>22</v>
      </c>
      <c r="B140" t="s">
        <v>15</v>
      </c>
      <c r="C140" t="s">
        <v>16</v>
      </c>
      <c r="D140" t="s">
        <v>46</v>
      </c>
      <c r="E140" t="s">
        <v>43</v>
      </c>
      <c r="F140" s="9">
        <v>7.0000000000000007E-2</v>
      </c>
      <c r="G140" s="10">
        <v>14226</v>
      </c>
      <c r="H140">
        <v>3.77</v>
      </c>
      <c r="I140" s="5">
        <f>ROUND(Marketing[[#This Row],[Clicks]]*Marketing[[#This Row],[Conversion_Rate]],0)</f>
        <v>25</v>
      </c>
      <c r="J140" s="12">
        <f>Marketing[[#This Row],[Campaign_Cost]]/Marketing[[#This Row],[Customers]]</f>
        <v>569.04</v>
      </c>
      <c r="K140" t="s">
        <v>19</v>
      </c>
      <c r="L140" t="s">
        <v>26</v>
      </c>
      <c r="M140">
        <v>359</v>
      </c>
      <c r="N140">
        <v>9440</v>
      </c>
      <c r="O140">
        <v>8</v>
      </c>
      <c r="P140" t="s">
        <v>34</v>
      </c>
      <c r="Q140" s="1">
        <v>44335</v>
      </c>
    </row>
    <row r="141" spans="1:17" x14ac:dyDescent="0.3">
      <c r="A141" t="s">
        <v>35</v>
      </c>
      <c r="B141" t="s">
        <v>15</v>
      </c>
      <c r="C141" t="s">
        <v>16</v>
      </c>
      <c r="D141" t="s">
        <v>24</v>
      </c>
      <c r="E141" t="s">
        <v>43</v>
      </c>
      <c r="F141" s="9">
        <v>0.06</v>
      </c>
      <c r="G141" s="10">
        <v>18985</v>
      </c>
      <c r="H141">
        <v>4.6100000000000003</v>
      </c>
      <c r="I141" s="5">
        <f>ROUND(Marketing[[#This Row],[Clicks]]*Marketing[[#This Row],[Conversion_Rate]],0)</f>
        <v>20</v>
      </c>
      <c r="J141" s="12">
        <f>Marketing[[#This Row],[Campaign_Cost]]/Marketing[[#This Row],[Customers]]</f>
        <v>949.25</v>
      </c>
      <c r="K141" t="s">
        <v>38</v>
      </c>
      <c r="L141" t="s">
        <v>50</v>
      </c>
      <c r="M141">
        <v>328</v>
      </c>
      <c r="N141">
        <v>8840</v>
      </c>
      <c r="O141">
        <v>5</v>
      </c>
      <c r="P141" t="s">
        <v>27</v>
      </c>
      <c r="Q141" s="1">
        <v>44336</v>
      </c>
    </row>
    <row r="142" spans="1:17" x14ac:dyDescent="0.3">
      <c r="A142" t="s">
        <v>22</v>
      </c>
      <c r="B142" t="s">
        <v>15</v>
      </c>
      <c r="C142" t="s">
        <v>52</v>
      </c>
      <c r="D142" t="s">
        <v>40</v>
      </c>
      <c r="E142" t="s">
        <v>15</v>
      </c>
      <c r="F142" s="9">
        <v>0.08</v>
      </c>
      <c r="G142" s="10">
        <v>5599</v>
      </c>
      <c r="H142">
        <v>3.43</v>
      </c>
      <c r="I142" s="5">
        <f>ROUND(Marketing[[#This Row],[Clicks]]*Marketing[[#This Row],[Conversion_Rate]],0)</f>
        <v>46</v>
      </c>
      <c r="J142" s="12">
        <f>Marketing[[#This Row],[Campaign_Cost]]/Marketing[[#This Row],[Customers]]</f>
        <v>121.71739130434783</v>
      </c>
      <c r="K142" t="s">
        <v>51</v>
      </c>
      <c r="L142" t="s">
        <v>50</v>
      </c>
      <c r="M142">
        <v>571</v>
      </c>
      <c r="N142">
        <v>2404</v>
      </c>
      <c r="O142">
        <v>3</v>
      </c>
      <c r="P142" t="s">
        <v>27</v>
      </c>
      <c r="Q142" s="1">
        <v>44337</v>
      </c>
    </row>
    <row r="143" spans="1:17" x14ac:dyDescent="0.3">
      <c r="A143" t="s">
        <v>14</v>
      </c>
      <c r="B143" t="s">
        <v>29</v>
      </c>
      <c r="C143" t="s">
        <v>37</v>
      </c>
      <c r="D143" t="s">
        <v>46</v>
      </c>
      <c r="E143" t="s">
        <v>18</v>
      </c>
      <c r="F143" s="9">
        <v>0.08</v>
      </c>
      <c r="G143" s="10">
        <v>11952</v>
      </c>
      <c r="H143">
        <v>3.48</v>
      </c>
      <c r="I143" s="5">
        <f>ROUND(Marketing[[#This Row],[Clicks]]*Marketing[[#This Row],[Conversion_Rate]],0)</f>
        <v>68</v>
      </c>
      <c r="J143" s="12">
        <f>Marketing[[#This Row],[Campaign_Cost]]/Marketing[[#This Row],[Customers]]</f>
        <v>175.76470588235293</v>
      </c>
      <c r="K143" t="s">
        <v>51</v>
      </c>
      <c r="L143" t="s">
        <v>50</v>
      </c>
      <c r="M143">
        <v>845</v>
      </c>
      <c r="N143">
        <v>5702</v>
      </c>
      <c r="O143">
        <v>8</v>
      </c>
      <c r="P143" t="s">
        <v>21</v>
      </c>
      <c r="Q143" s="1">
        <v>44338</v>
      </c>
    </row>
    <row r="144" spans="1:17" x14ac:dyDescent="0.3">
      <c r="A144" t="s">
        <v>14</v>
      </c>
      <c r="B144" t="s">
        <v>36</v>
      </c>
      <c r="C144" t="s">
        <v>23</v>
      </c>
      <c r="D144" t="s">
        <v>40</v>
      </c>
      <c r="E144" t="s">
        <v>48</v>
      </c>
      <c r="F144" s="9">
        <v>0.05</v>
      </c>
      <c r="G144" s="10">
        <v>14503</v>
      </c>
      <c r="H144">
        <v>3.8</v>
      </c>
      <c r="I144" s="5">
        <f>ROUND(Marketing[[#This Row],[Clicks]]*Marketing[[#This Row],[Conversion_Rate]],0)</f>
        <v>29</v>
      </c>
      <c r="J144" s="12">
        <f>Marketing[[#This Row],[Campaign_Cost]]/Marketing[[#This Row],[Customers]]</f>
        <v>500.10344827586209</v>
      </c>
      <c r="K144" t="s">
        <v>38</v>
      </c>
      <c r="L144" t="s">
        <v>39</v>
      </c>
      <c r="M144">
        <v>585</v>
      </c>
      <c r="N144">
        <v>9150</v>
      </c>
      <c r="O144">
        <v>3</v>
      </c>
      <c r="P144" t="s">
        <v>44</v>
      </c>
      <c r="Q144" s="1">
        <v>44339</v>
      </c>
    </row>
    <row r="145" spans="1:17" x14ac:dyDescent="0.3">
      <c r="A145" t="s">
        <v>35</v>
      </c>
      <c r="B145" t="s">
        <v>45</v>
      </c>
      <c r="C145" t="s">
        <v>30</v>
      </c>
      <c r="D145" t="s">
        <v>46</v>
      </c>
      <c r="E145" t="s">
        <v>41</v>
      </c>
      <c r="F145" s="9">
        <v>0.11</v>
      </c>
      <c r="G145" s="10">
        <v>10404</v>
      </c>
      <c r="H145">
        <v>2.41</v>
      </c>
      <c r="I145" s="5">
        <f>ROUND(Marketing[[#This Row],[Clicks]]*Marketing[[#This Row],[Conversion_Rate]],0)</f>
        <v>46</v>
      </c>
      <c r="J145" s="12">
        <f>Marketing[[#This Row],[Campaign_Cost]]/Marketing[[#This Row],[Customers]]</f>
        <v>226.17391304347825</v>
      </c>
      <c r="K145" t="s">
        <v>25</v>
      </c>
      <c r="L145" t="s">
        <v>26</v>
      </c>
      <c r="M145">
        <v>418</v>
      </c>
      <c r="N145">
        <v>3556</v>
      </c>
      <c r="O145">
        <v>2</v>
      </c>
      <c r="P145" t="s">
        <v>44</v>
      </c>
      <c r="Q145" s="1">
        <v>44340</v>
      </c>
    </row>
    <row r="146" spans="1:17" x14ac:dyDescent="0.3">
      <c r="A146" t="s">
        <v>49</v>
      </c>
      <c r="B146" t="s">
        <v>47</v>
      </c>
      <c r="C146" t="s">
        <v>16</v>
      </c>
      <c r="D146" t="s">
        <v>17</v>
      </c>
      <c r="E146" t="s">
        <v>15</v>
      </c>
      <c r="F146" s="9">
        <v>0.12</v>
      </c>
      <c r="G146" s="10">
        <v>7484</v>
      </c>
      <c r="H146">
        <v>5.86</v>
      </c>
      <c r="I146" s="5">
        <f>ROUND(Marketing[[#This Row],[Clicks]]*Marketing[[#This Row],[Conversion_Rate]],0)</f>
        <v>25</v>
      </c>
      <c r="J146" s="12">
        <f>Marketing[[#This Row],[Campaign_Cost]]/Marketing[[#This Row],[Customers]]</f>
        <v>299.36</v>
      </c>
      <c r="K146" t="s">
        <v>51</v>
      </c>
      <c r="L146" t="s">
        <v>50</v>
      </c>
      <c r="M146">
        <v>208</v>
      </c>
      <c r="N146">
        <v>8730</v>
      </c>
      <c r="O146">
        <v>2</v>
      </c>
      <c r="P146" t="s">
        <v>34</v>
      </c>
      <c r="Q146" s="1">
        <v>44341</v>
      </c>
    </row>
    <row r="147" spans="1:17" x14ac:dyDescent="0.3">
      <c r="A147" t="s">
        <v>49</v>
      </c>
      <c r="B147" t="s">
        <v>45</v>
      </c>
      <c r="C147" t="s">
        <v>30</v>
      </c>
      <c r="D147" t="s">
        <v>24</v>
      </c>
      <c r="E147" t="s">
        <v>18</v>
      </c>
      <c r="F147" s="9">
        <v>0.03</v>
      </c>
      <c r="G147" s="10">
        <v>7428</v>
      </c>
      <c r="H147">
        <v>4.72</v>
      </c>
      <c r="I147" s="5">
        <f>ROUND(Marketing[[#This Row],[Clicks]]*Marketing[[#This Row],[Conversion_Rate]],0)</f>
        <v>17</v>
      </c>
      <c r="J147" s="12">
        <f>Marketing[[#This Row],[Campaign_Cost]]/Marketing[[#This Row],[Customers]]</f>
        <v>436.94117647058823</v>
      </c>
      <c r="K147" t="s">
        <v>51</v>
      </c>
      <c r="L147" t="s">
        <v>39</v>
      </c>
      <c r="M147">
        <v>556</v>
      </c>
      <c r="N147">
        <v>5179</v>
      </c>
      <c r="O147">
        <v>4</v>
      </c>
      <c r="P147" t="s">
        <v>44</v>
      </c>
      <c r="Q147" s="1">
        <v>44342</v>
      </c>
    </row>
    <row r="148" spans="1:17" x14ac:dyDescent="0.3">
      <c r="A148" t="s">
        <v>49</v>
      </c>
      <c r="B148" t="s">
        <v>29</v>
      </c>
      <c r="C148" t="s">
        <v>30</v>
      </c>
      <c r="D148" t="s">
        <v>40</v>
      </c>
      <c r="E148" t="s">
        <v>48</v>
      </c>
      <c r="F148" s="9">
        <v>0.1</v>
      </c>
      <c r="G148" s="10">
        <v>11495</v>
      </c>
      <c r="H148">
        <v>5.13</v>
      </c>
      <c r="I148" s="5">
        <f>ROUND(Marketing[[#This Row],[Clicks]]*Marketing[[#This Row],[Conversion_Rate]],0)</f>
        <v>73</v>
      </c>
      <c r="J148" s="12">
        <f>Marketing[[#This Row],[Campaign_Cost]]/Marketing[[#This Row],[Customers]]</f>
        <v>157.46575342465752</v>
      </c>
      <c r="K148" t="s">
        <v>32</v>
      </c>
      <c r="L148" t="s">
        <v>33</v>
      </c>
      <c r="M148">
        <v>734</v>
      </c>
      <c r="N148">
        <v>2612</v>
      </c>
      <c r="O148">
        <v>5</v>
      </c>
      <c r="P148" t="s">
        <v>21</v>
      </c>
      <c r="Q148" s="1">
        <v>44343</v>
      </c>
    </row>
    <row r="149" spans="1:17" x14ac:dyDescent="0.3">
      <c r="A149" t="s">
        <v>49</v>
      </c>
      <c r="B149" t="s">
        <v>29</v>
      </c>
      <c r="C149" t="s">
        <v>37</v>
      </c>
      <c r="D149" t="s">
        <v>17</v>
      </c>
      <c r="E149" t="s">
        <v>48</v>
      </c>
      <c r="F149" s="9">
        <v>0.13</v>
      </c>
      <c r="G149" s="10">
        <v>18957</v>
      </c>
      <c r="H149">
        <v>2.83</v>
      </c>
      <c r="I149" s="5">
        <f>ROUND(Marketing[[#This Row],[Clicks]]*Marketing[[#This Row],[Conversion_Rate]],0)</f>
        <v>84</v>
      </c>
      <c r="J149" s="12">
        <f>Marketing[[#This Row],[Campaign_Cost]]/Marketing[[#This Row],[Customers]]</f>
        <v>225.67857142857142</v>
      </c>
      <c r="K149" t="s">
        <v>32</v>
      </c>
      <c r="L149" t="s">
        <v>20</v>
      </c>
      <c r="M149">
        <v>643</v>
      </c>
      <c r="N149">
        <v>2939</v>
      </c>
      <c r="O149">
        <v>4</v>
      </c>
      <c r="P149" t="s">
        <v>44</v>
      </c>
      <c r="Q149" s="1">
        <v>44344</v>
      </c>
    </row>
    <row r="150" spans="1:17" x14ac:dyDescent="0.3">
      <c r="A150" t="s">
        <v>22</v>
      </c>
      <c r="B150" t="s">
        <v>36</v>
      </c>
      <c r="C150" t="s">
        <v>16</v>
      </c>
      <c r="D150" t="s">
        <v>46</v>
      </c>
      <c r="E150" t="s">
        <v>41</v>
      </c>
      <c r="F150" s="9">
        <v>0.06</v>
      </c>
      <c r="G150" s="10">
        <v>10772</v>
      </c>
      <c r="H150">
        <v>2.94</v>
      </c>
      <c r="I150" s="5">
        <f>ROUND(Marketing[[#This Row],[Clicks]]*Marketing[[#This Row],[Conversion_Rate]],0)</f>
        <v>10</v>
      </c>
      <c r="J150" s="12">
        <f>Marketing[[#This Row],[Campaign_Cost]]/Marketing[[#This Row],[Customers]]</f>
        <v>1077.2</v>
      </c>
      <c r="K150" t="s">
        <v>19</v>
      </c>
      <c r="L150" t="s">
        <v>50</v>
      </c>
      <c r="M150">
        <v>165</v>
      </c>
      <c r="N150">
        <v>1496</v>
      </c>
      <c r="O150">
        <v>6</v>
      </c>
      <c r="P150" t="s">
        <v>21</v>
      </c>
      <c r="Q150" s="1">
        <v>44345</v>
      </c>
    </row>
    <row r="151" spans="1:17" x14ac:dyDescent="0.3">
      <c r="A151" t="s">
        <v>49</v>
      </c>
      <c r="B151" t="s">
        <v>45</v>
      </c>
      <c r="C151" t="s">
        <v>23</v>
      </c>
      <c r="D151" t="s">
        <v>24</v>
      </c>
      <c r="E151" t="s">
        <v>41</v>
      </c>
      <c r="F151" s="9">
        <v>0.14000000000000001</v>
      </c>
      <c r="G151" s="10">
        <v>6896</v>
      </c>
      <c r="H151">
        <v>2.15</v>
      </c>
      <c r="I151" s="5">
        <f>ROUND(Marketing[[#This Row],[Clicks]]*Marketing[[#This Row],[Conversion_Rate]],0)</f>
        <v>97</v>
      </c>
      <c r="J151" s="12">
        <f>Marketing[[#This Row],[Campaign_Cost]]/Marketing[[#This Row],[Customers]]</f>
        <v>71.092783505154642</v>
      </c>
      <c r="K151" t="s">
        <v>51</v>
      </c>
      <c r="L151" t="s">
        <v>26</v>
      </c>
      <c r="M151">
        <v>693</v>
      </c>
      <c r="N151">
        <v>1290</v>
      </c>
      <c r="O151">
        <v>1</v>
      </c>
      <c r="P151" t="s">
        <v>42</v>
      </c>
      <c r="Q151" s="1">
        <v>44346</v>
      </c>
    </row>
    <row r="152" spans="1:17" x14ac:dyDescent="0.3">
      <c r="A152" t="s">
        <v>22</v>
      </c>
      <c r="B152" t="s">
        <v>45</v>
      </c>
      <c r="C152" t="s">
        <v>16</v>
      </c>
      <c r="D152" t="s">
        <v>24</v>
      </c>
      <c r="E152" t="s">
        <v>48</v>
      </c>
      <c r="F152" s="9">
        <v>0.13</v>
      </c>
      <c r="G152" s="10">
        <v>13318</v>
      </c>
      <c r="H152">
        <v>2.98</v>
      </c>
      <c r="I152" s="5">
        <f>ROUND(Marketing[[#This Row],[Clicks]]*Marketing[[#This Row],[Conversion_Rate]],0)</f>
        <v>34</v>
      </c>
      <c r="J152" s="12">
        <f>Marketing[[#This Row],[Campaign_Cost]]/Marketing[[#This Row],[Customers]]</f>
        <v>391.70588235294116</v>
      </c>
      <c r="K152" t="s">
        <v>25</v>
      </c>
      <c r="L152" t="s">
        <v>26</v>
      </c>
      <c r="M152">
        <v>261</v>
      </c>
      <c r="N152">
        <v>1415</v>
      </c>
      <c r="O152">
        <v>6</v>
      </c>
      <c r="P152" t="s">
        <v>42</v>
      </c>
      <c r="Q152" s="1">
        <v>44347</v>
      </c>
    </row>
    <row r="153" spans="1:17" x14ac:dyDescent="0.3">
      <c r="A153" t="s">
        <v>49</v>
      </c>
      <c r="B153" t="s">
        <v>29</v>
      </c>
      <c r="C153" t="s">
        <v>23</v>
      </c>
      <c r="D153" t="s">
        <v>24</v>
      </c>
      <c r="E153" t="s">
        <v>43</v>
      </c>
      <c r="F153" s="9">
        <v>0.06</v>
      </c>
      <c r="G153" s="10">
        <v>7031</v>
      </c>
      <c r="H153">
        <v>5.67</v>
      </c>
      <c r="I153" s="5">
        <f>ROUND(Marketing[[#This Row],[Clicks]]*Marketing[[#This Row],[Conversion_Rate]],0)</f>
        <v>24</v>
      </c>
      <c r="J153" s="12">
        <f>Marketing[[#This Row],[Campaign_Cost]]/Marketing[[#This Row],[Customers]]</f>
        <v>292.95833333333331</v>
      </c>
      <c r="K153" t="s">
        <v>51</v>
      </c>
      <c r="L153" t="s">
        <v>33</v>
      </c>
      <c r="M153">
        <v>404</v>
      </c>
      <c r="N153">
        <v>8033</v>
      </c>
      <c r="O153">
        <v>6</v>
      </c>
      <c r="P153" t="s">
        <v>44</v>
      </c>
      <c r="Q153" s="1">
        <v>44348</v>
      </c>
    </row>
    <row r="154" spans="1:17" x14ac:dyDescent="0.3">
      <c r="A154" t="s">
        <v>28</v>
      </c>
      <c r="B154" t="s">
        <v>36</v>
      </c>
      <c r="C154" t="s">
        <v>23</v>
      </c>
      <c r="D154" t="s">
        <v>40</v>
      </c>
      <c r="E154" t="s">
        <v>41</v>
      </c>
      <c r="F154" s="9">
        <v>0.06</v>
      </c>
      <c r="G154" s="10">
        <v>5466</v>
      </c>
      <c r="H154">
        <v>2.66</v>
      </c>
      <c r="I154" s="5">
        <f>ROUND(Marketing[[#This Row],[Clicks]]*Marketing[[#This Row],[Conversion_Rate]],0)</f>
        <v>15</v>
      </c>
      <c r="J154" s="12">
        <f>Marketing[[#This Row],[Campaign_Cost]]/Marketing[[#This Row],[Customers]]</f>
        <v>364.4</v>
      </c>
      <c r="K154" t="s">
        <v>51</v>
      </c>
      <c r="L154" t="s">
        <v>50</v>
      </c>
      <c r="M154">
        <v>257</v>
      </c>
      <c r="N154">
        <v>5756</v>
      </c>
      <c r="O154">
        <v>2</v>
      </c>
      <c r="P154" t="s">
        <v>44</v>
      </c>
      <c r="Q154" s="1">
        <v>44349</v>
      </c>
    </row>
    <row r="155" spans="1:17" x14ac:dyDescent="0.3">
      <c r="A155" t="s">
        <v>14</v>
      </c>
      <c r="B155" t="s">
        <v>29</v>
      </c>
      <c r="C155" t="s">
        <v>37</v>
      </c>
      <c r="D155" t="s">
        <v>17</v>
      </c>
      <c r="E155" t="s">
        <v>41</v>
      </c>
      <c r="F155" s="9">
        <v>0.11</v>
      </c>
      <c r="G155" s="10">
        <v>15303</v>
      </c>
      <c r="H155">
        <v>7.41</v>
      </c>
      <c r="I155" s="5">
        <f>ROUND(Marketing[[#This Row],[Clicks]]*Marketing[[#This Row],[Conversion_Rate]],0)</f>
        <v>99</v>
      </c>
      <c r="J155" s="12">
        <f>Marketing[[#This Row],[Campaign_Cost]]/Marketing[[#This Row],[Customers]]</f>
        <v>154.57575757575756</v>
      </c>
      <c r="K155" t="s">
        <v>19</v>
      </c>
      <c r="L155" t="s">
        <v>20</v>
      </c>
      <c r="M155">
        <v>901</v>
      </c>
      <c r="N155">
        <v>8712</v>
      </c>
      <c r="O155">
        <v>2</v>
      </c>
      <c r="P155" t="s">
        <v>42</v>
      </c>
      <c r="Q155" s="1">
        <v>44350</v>
      </c>
    </row>
    <row r="156" spans="1:17" x14ac:dyDescent="0.3">
      <c r="A156" t="s">
        <v>49</v>
      </c>
      <c r="B156" t="s">
        <v>47</v>
      </c>
      <c r="C156" t="s">
        <v>23</v>
      </c>
      <c r="D156" t="s">
        <v>17</v>
      </c>
      <c r="E156" t="s">
        <v>41</v>
      </c>
      <c r="F156" s="9">
        <v>0.13</v>
      </c>
      <c r="G156" s="10">
        <v>13157</v>
      </c>
      <c r="H156">
        <v>4.41</v>
      </c>
      <c r="I156" s="5">
        <f>ROUND(Marketing[[#This Row],[Clicks]]*Marketing[[#This Row],[Conversion_Rate]],0)</f>
        <v>94</v>
      </c>
      <c r="J156" s="12">
        <f>Marketing[[#This Row],[Campaign_Cost]]/Marketing[[#This Row],[Customers]]</f>
        <v>139.96808510638297</v>
      </c>
      <c r="K156" t="s">
        <v>25</v>
      </c>
      <c r="L156" t="s">
        <v>26</v>
      </c>
      <c r="M156">
        <v>724</v>
      </c>
      <c r="N156">
        <v>9573</v>
      </c>
      <c r="O156">
        <v>6</v>
      </c>
      <c r="P156" t="s">
        <v>27</v>
      </c>
      <c r="Q156" s="1">
        <v>44351</v>
      </c>
    </row>
    <row r="157" spans="1:17" x14ac:dyDescent="0.3">
      <c r="A157" t="s">
        <v>14</v>
      </c>
      <c r="B157" t="s">
        <v>29</v>
      </c>
      <c r="C157" t="s">
        <v>37</v>
      </c>
      <c r="D157" t="s">
        <v>40</v>
      </c>
      <c r="E157" t="s">
        <v>41</v>
      </c>
      <c r="F157" s="9">
        <v>7.0000000000000007E-2</v>
      </c>
      <c r="G157" s="10">
        <v>13197</v>
      </c>
      <c r="H157">
        <v>3.31</v>
      </c>
      <c r="I157" s="5">
        <f>ROUND(Marketing[[#This Row],[Clicks]]*Marketing[[#This Row],[Conversion_Rate]],0)</f>
        <v>47</v>
      </c>
      <c r="J157" s="12">
        <f>Marketing[[#This Row],[Campaign_Cost]]/Marketing[[#This Row],[Customers]]</f>
        <v>280.78723404255317</v>
      </c>
      <c r="K157" t="s">
        <v>32</v>
      </c>
      <c r="L157" t="s">
        <v>33</v>
      </c>
      <c r="M157">
        <v>672</v>
      </c>
      <c r="N157">
        <v>8765</v>
      </c>
      <c r="O157">
        <v>9</v>
      </c>
      <c r="P157" t="s">
        <v>44</v>
      </c>
      <c r="Q157" s="1">
        <v>44352</v>
      </c>
    </row>
    <row r="158" spans="1:17" x14ac:dyDescent="0.3">
      <c r="A158" t="s">
        <v>28</v>
      </c>
      <c r="B158" t="s">
        <v>36</v>
      </c>
      <c r="C158" t="s">
        <v>30</v>
      </c>
      <c r="D158" t="s">
        <v>17</v>
      </c>
      <c r="E158" t="s">
        <v>48</v>
      </c>
      <c r="F158" s="9">
        <v>0.09</v>
      </c>
      <c r="G158" s="10">
        <v>19723</v>
      </c>
      <c r="H158">
        <v>4.74</v>
      </c>
      <c r="I158" s="5">
        <f>ROUND(Marketing[[#This Row],[Clicks]]*Marketing[[#This Row],[Conversion_Rate]],0)</f>
        <v>13</v>
      </c>
      <c r="J158" s="12">
        <f>Marketing[[#This Row],[Campaign_Cost]]/Marketing[[#This Row],[Customers]]</f>
        <v>1517.1538461538462</v>
      </c>
      <c r="K158" t="s">
        <v>51</v>
      </c>
      <c r="L158" t="s">
        <v>39</v>
      </c>
      <c r="M158">
        <v>148</v>
      </c>
      <c r="N158">
        <v>2746</v>
      </c>
      <c r="O158">
        <v>8</v>
      </c>
      <c r="P158" t="s">
        <v>34</v>
      </c>
      <c r="Q158" s="1">
        <v>44353</v>
      </c>
    </row>
    <row r="159" spans="1:17" x14ac:dyDescent="0.3">
      <c r="A159" t="s">
        <v>22</v>
      </c>
      <c r="B159" t="s">
        <v>36</v>
      </c>
      <c r="C159" t="s">
        <v>16</v>
      </c>
      <c r="D159" t="s">
        <v>24</v>
      </c>
      <c r="E159" t="s">
        <v>18</v>
      </c>
      <c r="F159" s="9">
        <v>0.12</v>
      </c>
      <c r="G159" s="10">
        <v>18903</v>
      </c>
      <c r="H159">
        <v>7.24</v>
      </c>
      <c r="I159" s="5">
        <f>ROUND(Marketing[[#This Row],[Clicks]]*Marketing[[#This Row],[Conversion_Rate]],0)</f>
        <v>59</v>
      </c>
      <c r="J159" s="12">
        <f>Marketing[[#This Row],[Campaign_Cost]]/Marketing[[#This Row],[Customers]]</f>
        <v>320.38983050847457</v>
      </c>
      <c r="K159" t="s">
        <v>38</v>
      </c>
      <c r="L159" t="s">
        <v>33</v>
      </c>
      <c r="M159">
        <v>488</v>
      </c>
      <c r="N159">
        <v>4253</v>
      </c>
      <c r="O159">
        <v>1</v>
      </c>
      <c r="P159" t="s">
        <v>44</v>
      </c>
      <c r="Q159" s="1">
        <v>44354</v>
      </c>
    </row>
    <row r="160" spans="1:17" x14ac:dyDescent="0.3">
      <c r="A160" t="s">
        <v>28</v>
      </c>
      <c r="B160" t="s">
        <v>36</v>
      </c>
      <c r="C160" t="s">
        <v>23</v>
      </c>
      <c r="D160" t="s">
        <v>24</v>
      </c>
      <c r="E160" t="s">
        <v>43</v>
      </c>
      <c r="F160" s="9">
        <v>0.06</v>
      </c>
      <c r="G160" s="10">
        <v>17737</v>
      </c>
      <c r="H160">
        <v>4.2300000000000004</v>
      </c>
      <c r="I160" s="5">
        <f>ROUND(Marketing[[#This Row],[Clicks]]*Marketing[[#This Row],[Conversion_Rate]],0)</f>
        <v>25</v>
      </c>
      <c r="J160" s="12">
        <f>Marketing[[#This Row],[Campaign_Cost]]/Marketing[[#This Row],[Customers]]</f>
        <v>709.48</v>
      </c>
      <c r="K160" t="s">
        <v>51</v>
      </c>
      <c r="L160" t="s">
        <v>20</v>
      </c>
      <c r="M160">
        <v>420</v>
      </c>
      <c r="N160">
        <v>8196</v>
      </c>
      <c r="O160">
        <v>4</v>
      </c>
      <c r="P160" t="s">
        <v>42</v>
      </c>
      <c r="Q160" s="1">
        <v>44355</v>
      </c>
    </row>
    <row r="161" spans="1:17" x14ac:dyDescent="0.3">
      <c r="A161" t="s">
        <v>35</v>
      </c>
      <c r="B161" t="s">
        <v>47</v>
      </c>
      <c r="C161" t="s">
        <v>52</v>
      </c>
      <c r="D161" t="s">
        <v>17</v>
      </c>
      <c r="E161" t="s">
        <v>41</v>
      </c>
      <c r="F161" s="9">
        <v>0.08</v>
      </c>
      <c r="G161" s="10">
        <v>16981</v>
      </c>
      <c r="H161">
        <v>5.74</v>
      </c>
      <c r="I161" s="5">
        <f>ROUND(Marketing[[#This Row],[Clicks]]*Marketing[[#This Row],[Conversion_Rate]],0)</f>
        <v>32</v>
      </c>
      <c r="J161" s="12">
        <f>Marketing[[#This Row],[Campaign_Cost]]/Marketing[[#This Row],[Customers]]</f>
        <v>530.65625</v>
      </c>
      <c r="K161" t="s">
        <v>38</v>
      </c>
      <c r="L161" t="s">
        <v>33</v>
      </c>
      <c r="M161">
        <v>395</v>
      </c>
      <c r="N161">
        <v>7469</v>
      </c>
      <c r="O161">
        <v>6</v>
      </c>
      <c r="P161" t="s">
        <v>42</v>
      </c>
      <c r="Q161" s="1">
        <v>44356</v>
      </c>
    </row>
    <row r="162" spans="1:17" x14ac:dyDescent="0.3">
      <c r="A162" t="s">
        <v>49</v>
      </c>
      <c r="B162" t="s">
        <v>45</v>
      </c>
      <c r="C162" t="s">
        <v>37</v>
      </c>
      <c r="D162" t="s">
        <v>46</v>
      </c>
      <c r="E162" t="s">
        <v>43</v>
      </c>
      <c r="F162" s="9">
        <v>0.05</v>
      </c>
      <c r="G162" s="10">
        <v>15993</v>
      </c>
      <c r="H162">
        <v>6.55</v>
      </c>
      <c r="I162" s="5">
        <f>ROUND(Marketing[[#This Row],[Clicks]]*Marketing[[#This Row],[Conversion_Rate]],0)</f>
        <v>31</v>
      </c>
      <c r="J162" s="12">
        <f>Marketing[[#This Row],[Campaign_Cost]]/Marketing[[#This Row],[Customers]]</f>
        <v>515.90322580645159</v>
      </c>
      <c r="K162" t="s">
        <v>38</v>
      </c>
      <c r="L162" t="s">
        <v>50</v>
      </c>
      <c r="M162">
        <v>616</v>
      </c>
      <c r="N162">
        <v>9536</v>
      </c>
      <c r="O162">
        <v>8</v>
      </c>
      <c r="P162" t="s">
        <v>27</v>
      </c>
      <c r="Q162" s="1">
        <v>44357</v>
      </c>
    </row>
    <row r="163" spans="1:17" x14ac:dyDescent="0.3">
      <c r="A163" t="s">
        <v>35</v>
      </c>
      <c r="B163" t="s">
        <v>47</v>
      </c>
      <c r="C163" t="s">
        <v>16</v>
      </c>
      <c r="D163" t="s">
        <v>17</v>
      </c>
      <c r="E163" t="s">
        <v>31</v>
      </c>
      <c r="F163" s="9">
        <v>7.0000000000000007E-2</v>
      </c>
      <c r="G163" s="10">
        <v>7893</v>
      </c>
      <c r="H163">
        <v>5.28</v>
      </c>
      <c r="I163" s="5">
        <f>ROUND(Marketing[[#This Row],[Clicks]]*Marketing[[#This Row],[Conversion_Rate]],0)</f>
        <v>12</v>
      </c>
      <c r="J163" s="12">
        <f>Marketing[[#This Row],[Campaign_Cost]]/Marketing[[#This Row],[Customers]]</f>
        <v>657.75</v>
      </c>
      <c r="K163" t="s">
        <v>19</v>
      </c>
      <c r="L163" t="s">
        <v>26</v>
      </c>
      <c r="M163">
        <v>170</v>
      </c>
      <c r="N163">
        <v>6306</v>
      </c>
      <c r="O163">
        <v>9</v>
      </c>
      <c r="P163" t="s">
        <v>42</v>
      </c>
      <c r="Q163" s="1">
        <v>44358</v>
      </c>
    </row>
    <row r="164" spans="1:17" x14ac:dyDescent="0.3">
      <c r="A164" t="s">
        <v>49</v>
      </c>
      <c r="B164" t="s">
        <v>15</v>
      </c>
      <c r="C164" t="s">
        <v>52</v>
      </c>
      <c r="D164" t="s">
        <v>40</v>
      </c>
      <c r="E164" t="s">
        <v>18</v>
      </c>
      <c r="F164" s="9">
        <v>0.04</v>
      </c>
      <c r="G164" s="10">
        <v>9858</v>
      </c>
      <c r="H164">
        <v>3.09</v>
      </c>
      <c r="I164" s="5">
        <f>ROUND(Marketing[[#This Row],[Clicks]]*Marketing[[#This Row],[Conversion_Rate]],0)</f>
        <v>38</v>
      </c>
      <c r="J164" s="12">
        <f>Marketing[[#This Row],[Campaign_Cost]]/Marketing[[#This Row],[Customers]]</f>
        <v>259.42105263157896</v>
      </c>
      <c r="K164" t="s">
        <v>32</v>
      </c>
      <c r="L164" t="s">
        <v>20</v>
      </c>
      <c r="M164">
        <v>957</v>
      </c>
      <c r="N164">
        <v>4396</v>
      </c>
      <c r="O164">
        <v>9</v>
      </c>
      <c r="P164" t="s">
        <v>44</v>
      </c>
      <c r="Q164" s="1">
        <v>44359</v>
      </c>
    </row>
    <row r="165" spans="1:17" x14ac:dyDescent="0.3">
      <c r="A165" t="s">
        <v>22</v>
      </c>
      <c r="B165" t="s">
        <v>29</v>
      </c>
      <c r="C165" t="s">
        <v>23</v>
      </c>
      <c r="D165" t="s">
        <v>17</v>
      </c>
      <c r="E165" t="s">
        <v>15</v>
      </c>
      <c r="F165" s="9">
        <v>0.09</v>
      </c>
      <c r="G165" s="10">
        <v>6885</v>
      </c>
      <c r="H165">
        <v>7.65</v>
      </c>
      <c r="I165" s="5">
        <f>ROUND(Marketing[[#This Row],[Clicks]]*Marketing[[#This Row],[Conversion_Rate]],0)</f>
        <v>78</v>
      </c>
      <c r="J165" s="12">
        <f>Marketing[[#This Row],[Campaign_Cost]]/Marketing[[#This Row],[Customers]]</f>
        <v>88.269230769230774</v>
      </c>
      <c r="K165" t="s">
        <v>51</v>
      </c>
      <c r="L165" t="s">
        <v>20</v>
      </c>
      <c r="M165">
        <v>872</v>
      </c>
      <c r="N165">
        <v>3269</v>
      </c>
      <c r="O165">
        <v>1</v>
      </c>
      <c r="P165" t="s">
        <v>44</v>
      </c>
      <c r="Q165" s="1">
        <v>44360</v>
      </c>
    </row>
    <row r="166" spans="1:17" x14ac:dyDescent="0.3">
      <c r="A166" t="s">
        <v>49</v>
      </c>
      <c r="B166" t="s">
        <v>15</v>
      </c>
      <c r="C166" t="s">
        <v>30</v>
      </c>
      <c r="D166" t="s">
        <v>17</v>
      </c>
      <c r="E166" t="s">
        <v>15</v>
      </c>
      <c r="F166" s="9">
        <v>7.0000000000000007E-2</v>
      </c>
      <c r="G166" s="10">
        <v>11587</v>
      </c>
      <c r="H166">
        <v>3.17</v>
      </c>
      <c r="I166" s="5">
        <f>ROUND(Marketing[[#This Row],[Clicks]]*Marketing[[#This Row],[Conversion_Rate]],0)</f>
        <v>50</v>
      </c>
      <c r="J166" s="12">
        <f>Marketing[[#This Row],[Campaign_Cost]]/Marketing[[#This Row],[Customers]]</f>
        <v>231.74</v>
      </c>
      <c r="K166" t="s">
        <v>51</v>
      </c>
      <c r="L166" t="s">
        <v>50</v>
      </c>
      <c r="M166">
        <v>716</v>
      </c>
      <c r="N166">
        <v>2676</v>
      </c>
      <c r="O166">
        <v>9</v>
      </c>
      <c r="P166" t="s">
        <v>42</v>
      </c>
      <c r="Q166" s="1">
        <v>44361</v>
      </c>
    </row>
    <row r="167" spans="1:17" x14ac:dyDescent="0.3">
      <c r="A167" t="s">
        <v>22</v>
      </c>
      <c r="B167" t="s">
        <v>15</v>
      </c>
      <c r="C167" t="s">
        <v>37</v>
      </c>
      <c r="D167" t="s">
        <v>17</v>
      </c>
      <c r="E167" t="s">
        <v>48</v>
      </c>
      <c r="F167" s="9">
        <v>0.15</v>
      </c>
      <c r="G167" s="10">
        <v>5202</v>
      </c>
      <c r="H167">
        <v>5.94</v>
      </c>
      <c r="I167" s="5">
        <f>ROUND(Marketing[[#This Row],[Clicks]]*Marketing[[#This Row],[Conversion_Rate]],0)</f>
        <v>150</v>
      </c>
      <c r="J167" s="12">
        <f>Marketing[[#This Row],[Campaign_Cost]]/Marketing[[#This Row],[Customers]]</f>
        <v>34.68</v>
      </c>
      <c r="K167" t="s">
        <v>25</v>
      </c>
      <c r="L167" t="s">
        <v>26</v>
      </c>
      <c r="M167">
        <v>998</v>
      </c>
      <c r="N167">
        <v>5108</v>
      </c>
      <c r="O167">
        <v>3</v>
      </c>
      <c r="P167" t="s">
        <v>27</v>
      </c>
      <c r="Q167" s="1">
        <v>44362</v>
      </c>
    </row>
    <row r="168" spans="1:17" x14ac:dyDescent="0.3">
      <c r="A168" t="s">
        <v>14</v>
      </c>
      <c r="B168" t="s">
        <v>45</v>
      </c>
      <c r="C168" t="s">
        <v>16</v>
      </c>
      <c r="D168" t="s">
        <v>40</v>
      </c>
      <c r="E168" t="s">
        <v>41</v>
      </c>
      <c r="F168" s="9">
        <v>0.08</v>
      </c>
      <c r="G168" s="10">
        <v>15651</v>
      </c>
      <c r="H168">
        <v>7.24</v>
      </c>
      <c r="I168" s="5">
        <f>ROUND(Marketing[[#This Row],[Clicks]]*Marketing[[#This Row],[Conversion_Rate]],0)</f>
        <v>38</v>
      </c>
      <c r="J168" s="12">
        <f>Marketing[[#This Row],[Campaign_Cost]]/Marketing[[#This Row],[Customers]]</f>
        <v>411.86842105263156</v>
      </c>
      <c r="K168" t="s">
        <v>32</v>
      </c>
      <c r="L168" t="s">
        <v>50</v>
      </c>
      <c r="M168">
        <v>481</v>
      </c>
      <c r="N168">
        <v>4165</v>
      </c>
      <c r="O168">
        <v>7</v>
      </c>
      <c r="P168" t="s">
        <v>44</v>
      </c>
      <c r="Q168" s="1">
        <v>44363</v>
      </c>
    </row>
    <row r="169" spans="1:17" x14ac:dyDescent="0.3">
      <c r="A169" t="s">
        <v>22</v>
      </c>
      <c r="B169" t="s">
        <v>36</v>
      </c>
      <c r="C169" t="s">
        <v>37</v>
      </c>
      <c r="D169" t="s">
        <v>17</v>
      </c>
      <c r="E169" t="s">
        <v>43</v>
      </c>
      <c r="F169" s="9">
        <v>0.12</v>
      </c>
      <c r="G169" s="10">
        <v>11879</v>
      </c>
      <c r="H169">
        <v>8</v>
      </c>
      <c r="I169" s="5">
        <f>ROUND(Marketing[[#This Row],[Clicks]]*Marketing[[#This Row],[Conversion_Rate]],0)</f>
        <v>68</v>
      </c>
      <c r="J169" s="12">
        <f>Marketing[[#This Row],[Campaign_Cost]]/Marketing[[#This Row],[Customers]]</f>
        <v>174.69117647058823</v>
      </c>
      <c r="K169" t="s">
        <v>25</v>
      </c>
      <c r="L169" t="s">
        <v>20</v>
      </c>
      <c r="M169">
        <v>568</v>
      </c>
      <c r="N169">
        <v>4997</v>
      </c>
      <c r="O169">
        <v>6</v>
      </c>
      <c r="P169" t="s">
        <v>34</v>
      </c>
      <c r="Q169" s="1">
        <v>44364</v>
      </c>
    </row>
    <row r="170" spans="1:17" x14ac:dyDescent="0.3">
      <c r="A170" t="s">
        <v>49</v>
      </c>
      <c r="B170" t="s">
        <v>29</v>
      </c>
      <c r="C170" t="s">
        <v>52</v>
      </c>
      <c r="D170" t="s">
        <v>24</v>
      </c>
      <c r="E170" t="s">
        <v>15</v>
      </c>
      <c r="F170" s="9">
        <v>0.03</v>
      </c>
      <c r="G170" s="10">
        <v>12183</v>
      </c>
      <c r="H170">
        <v>4.3600000000000003</v>
      </c>
      <c r="I170" s="5">
        <f>ROUND(Marketing[[#This Row],[Clicks]]*Marketing[[#This Row],[Conversion_Rate]],0)</f>
        <v>13</v>
      </c>
      <c r="J170" s="12">
        <f>Marketing[[#This Row],[Campaign_Cost]]/Marketing[[#This Row],[Customers]]</f>
        <v>937.15384615384619</v>
      </c>
      <c r="K170" t="s">
        <v>32</v>
      </c>
      <c r="L170" t="s">
        <v>50</v>
      </c>
      <c r="M170">
        <v>421</v>
      </c>
      <c r="N170">
        <v>6087</v>
      </c>
      <c r="O170">
        <v>10</v>
      </c>
      <c r="P170" t="s">
        <v>44</v>
      </c>
      <c r="Q170" s="1">
        <v>44365</v>
      </c>
    </row>
    <row r="171" spans="1:17" x14ac:dyDescent="0.3">
      <c r="A171" t="s">
        <v>49</v>
      </c>
      <c r="B171" t="s">
        <v>45</v>
      </c>
      <c r="C171" t="s">
        <v>37</v>
      </c>
      <c r="D171" t="s">
        <v>17</v>
      </c>
      <c r="E171" t="s">
        <v>18</v>
      </c>
      <c r="F171" s="9">
        <v>7.0000000000000007E-2</v>
      </c>
      <c r="G171" s="10">
        <v>10690</v>
      </c>
      <c r="H171">
        <v>5.41</v>
      </c>
      <c r="I171" s="5">
        <f>ROUND(Marketing[[#This Row],[Clicks]]*Marketing[[#This Row],[Conversion_Rate]],0)</f>
        <v>56</v>
      </c>
      <c r="J171" s="12">
        <f>Marketing[[#This Row],[Campaign_Cost]]/Marketing[[#This Row],[Customers]]</f>
        <v>190.89285714285714</v>
      </c>
      <c r="K171" t="s">
        <v>32</v>
      </c>
      <c r="L171" t="s">
        <v>50</v>
      </c>
      <c r="M171">
        <v>797</v>
      </c>
      <c r="N171">
        <v>1306</v>
      </c>
      <c r="O171">
        <v>9</v>
      </c>
      <c r="P171" t="s">
        <v>42</v>
      </c>
      <c r="Q171" s="1">
        <v>44366</v>
      </c>
    </row>
    <row r="172" spans="1:17" x14ac:dyDescent="0.3">
      <c r="A172" t="s">
        <v>49</v>
      </c>
      <c r="B172" t="s">
        <v>47</v>
      </c>
      <c r="C172" t="s">
        <v>30</v>
      </c>
      <c r="D172" t="s">
        <v>17</v>
      </c>
      <c r="E172" t="s">
        <v>43</v>
      </c>
      <c r="F172" s="9">
        <v>0.06</v>
      </c>
      <c r="G172" s="10">
        <v>12886</v>
      </c>
      <c r="H172">
        <v>4.62</v>
      </c>
      <c r="I172" s="5">
        <f>ROUND(Marketing[[#This Row],[Clicks]]*Marketing[[#This Row],[Conversion_Rate]],0)</f>
        <v>40</v>
      </c>
      <c r="J172" s="12">
        <f>Marketing[[#This Row],[Campaign_Cost]]/Marketing[[#This Row],[Customers]]</f>
        <v>322.14999999999998</v>
      </c>
      <c r="K172" t="s">
        <v>38</v>
      </c>
      <c r="L172" t="s">
        <v>39</v>
      </c>
      <c r="M172">
        <v>668</v>
      </c>
      <c r="N172">
        <v>2507</v>
      </c>
      <c r="O172">
        <v>8</v>
      </c>
      <c r="P172" t="s">
        <v>42</v>
      </c>
      <c r="Q172" s="1">
        <v>44367</v>
      </c>
    </row>
    <row r="173" spans="1:17" x14ac:dyDescent="0.3">
      <c r="A173" t="s">
        <v>14</v>
      </c>
      <c r="B173" t="s">
        <v>29</v>
      </c>
      <c r="C173" t="s">
        <v>30</v>
      </c>
      <c r="D173" t="s">
        <v>40</v>
      </c>
      <c r="E173" t="s">
        <v>18</v>
      </c>
      <c r="F173" s="9">
        <v>0.09</v>
      </c>
      <c r="G173" s="10">
        <v>10854</v>
      </c>
      <c r="H173">
        <v>6.1</v>
      </c>
      <c r="I173" s="5">
        <f>ROUND(Marketing[[#This Row],[Clicks]]*Marketing[[#This Row],[Conversion_Rate]],0)</f>
        <v>27</v>
      </c>
      <c r="J173" s="12">
        <f>Marketing[[#This Row],[Campaign_Cost]]/Marketing[[#This Row],[Customers]]</f>
        <v>402</v>
      </c>
      <c r="K173" t="s">
        <v>51</v>
      </c>
      <c r="L173" t="s">
        <v>50</v>
      </c>
      <c r="M173">
        <v>303</v>
      </c>
      <c r="N173">
        <v>9453</v>
      </c>
      <c r="O173">
        <v>2</v>
      </c>
      <c r="P173" t="s">
        <v>21</v>
      </c>
      <c r="Q173" s="1">
        <v>44368</v>
      </c>
    </row>
    <row r="174" spans="1:17" x14ac:dyDescent="0.3">
      <c r="A174" t="s">
        <v>35</v>
      </c>
      <c r="B174" t="s">
        <v>29</v>
      </c>
      <c r="C174" t="s">
        <v>37</v>
      </c>
      <c r="D174" t="s">
        <v>40</v>
      </c>
      <c r="E174" t="s">
        <v>31</v>
      </c>
      <c r="F174" s="9">
        <v>0.11</v>
      </c>
      <c r="G174" s="10">
        <v>7170</v>
      </c>
      <c r="H174">
        <v>3.76</v>
      </c>
      <c r="I174" s="5">
        <f>ROUND(Marketing[[#This Row],[Clicks]]*Marketing[[#This Row],[Conversion_Rate]],0)</f>
        <v>59</v>
      </c>
      <c r="J174" s="12">
        <f>Marketing[[#This Row],[Campaign_Cost]]/Marketing[[#This Row],[Customers]]</f>
        <v>121.52542372881356</v>
      </c>
      <c r="K174" t="s">
        <v>32</v>
      </c>
      <c r="L174" t="s">
        <v>26</v>
      </c>
      <c r="M174">
        <v>540</v>
      </c>
      <c r="N174">
        <v>6422</v>
      </c>
      <c r="O174">
        <v>8</v>
      </c>
      <c r="P174" t="s">
        <v>42</v>
      </c>
      <c r="Q174" s="1">
        <v>44369</v>
      </c>
    </row>
    <row r="175" spans="1:17" x14ac:dyDescent="0.3">
      <c r="A175" t="s">
        <v>14</v>
      </c>
      <c r="B175" t="s">
        <v>36</v>
      </c>
      <c r="C175" t="s">
        <v>30</v>
      </c>
      <c r="D175" t="s">
        <v>46</v>
      </c>
      <c r="E175" t="s">
        <v>18</v>
      </c>
      <c r="F175" s="9">
        <v>0.15</v>
      </c>
      <c r="G175" s="10">
        <v>17414</v>
      </c>
      <c r="H175">
        <v>6.9</v>
      </c>
      <c r="I175" s="5">
        <f>ROUND(Marketing[[#This Row],[Clicks]]*Marketing[[#This Row],[Conversion_Rate]],0)</f>
        <v>120</v>
      </c>
      <c r="J175" s="12">
        <f>Marketing[[#This Row],[Campaign_Cost]]/Marketing[[#This Row],[Customers]]</f>
        <v>145.11666666666667</v>
      </c>
      <c r="K175" t="s">
        <v>32</v>
      </c>
      <c r="L175" t="s">
        <v>33</v>
      </c>
      <c r="M175">
        <v>801</v>
      </c>
      <c r="N175">
        <v>8439</v>
      </c>
      <c r="O175">
        <v>5</v>
      </c>
      <c r="P175" t="s">
        <v>42</v>
      </c>
      <c r="Q175" s="1">
        <v>44370</v>
      </c>
    </row>
    <row r="176" spans="1:17" x14ac:dyDescent="0.3">
      <c r="A176" t="s">
        <v>14</v>
      </c>
      <c r="B176" t="s">
        <v>45</v>
      </c>
      <c r="C176" t="s">
        <v>16</v>
      </c>
      <c r="D176" t="s">
        <v>40</v>
      </c>
      <c r="E176" t="s">
        <v>41</v>
      </c>
      <c r="F176" s="9">
        <v>0.1</v>
      </c>
      <c r="G176" s="10">
        <v>12272</v>
      </c>
      <c r="H176">
        <v>5.29</v>
      </c>
      <c r="I176" s="5">
        <f>ROUND(Marketing[[#This Row],[Clicks]]*Marketing[[#This Row],[Conversion_Rate]],0)</f>
        <v>44</v>
      </c>
      <c r="J176" s="12">
        <f>Marketing[[#This Row],[Campaign_Cost]]/Marketing[[#This Row],[Customers]]</f>
        <v>278.90909090909093</v>
      </c>
      <c r="K176" t="s">
        <v>32</v>
      </c>
      <c r="L176" t="s">
        <v>33</v>
      </c>
      <c r="M176">
        <v>436</v>
      </c>
      <c r="N176">
        <v>7817</v>
      </c>
      <c r="O176">
        <v>7</v>
      </c>
      <c r="P176" t="s">
        <v>34</v>
      </c>
      <c r="Q176" s="1">
        <v>44371</v>
      </c>
    </row>
    <row r="177" spans="1:17" x14ac:dyDescent="0.3">
      <c r="A177" t="s">
        <v>14</v>
      </c>
      <c r="B177" t="s">
        <v>47</v>
      </c>
      <c r="C177" t="s">
        <v>37</v>
      </c>
      <c r="D177" t="s">
        <v>40</v>
      </c>
      <c r="E177" t="s">
        <v>43</v>
      </c>
      <c r="F177" s="9">
        <v>0.09</v>
      </c>
      <c r="G177" s="10">
        <v>6489</v>
      </c>
      <c r="H177">
        <v>2.2200000000000002</v>
      </c>
      <c r="I177" s="5">
        <f>ROUND(Marketing[[#This Row],[Clicks]]*Marketing[[#This Row],[Conversion_Rate]],0)</f>
        <v>61</v>
      </c>
      <c r="J177" s="12">
        <f>Marketing[[#This Row],[Campaign_Cost]]/Marketing[[#This Row],[Customers]]</f>
        <v>106.37704918032787</v>
      </c>
      <c r="K177" t="s">
        <v>19</v>
      </c>
      <c r="L177" t="s">
        <v>50</v>
      </c>
      <c r="M177">
        <v>683</v>
      </c>
      <c r="N177">
        <v>9143</v>
      </c>
      <c r="O177">
        <v>6</v>
      </c>
      <c r="P177" t="s">
        <v>42</v>
      </c>
      <c r="Q177" s="1">
        <v>44372</v>
      </c>
    </row>
    <row r="178" spans="1:17" x14ac:dyDescent="0.3">
      <c r="A178" t="s">
        <v>14</v>
      </c>
      <c r="B178" t="s">
        <v>36</v>
      </c>
      <c r="C178" t="s">
        <v>23</v>
      </c>
      <c r="D178" t="s">
        <v>24</v>
      </c>
      <c r="E178" t="s">
        <v>31</v>
      </c>
      <c r="F178" s="9">
        <v>0.08</v>
      </c>
      <c r="G178" s="10">
        <v>19732</v>
      </c>
      <c r="H178">
        <v>6.06</v>
      </c>
      <c r="I178" s="5">
        <f>ROUND(Marketing[[#This Row],[Clicks]]*Marketing[[#This Row],[Conversion_Rate]],0)</f>
        <v>69</v>
      </c>
      <c r="J178" s="12">
        <f>Marketing[[#This Row],[Campaign_Cost]]/Marketing[[#This Row],[Customers]]</f>
        <v>285.97101449275362</v>
      </c>
      <c r="K178" t="s">
        <v>19</v>
      </c>
      <c r="L178" t="s">
        <v>50</v>
      </c>
      <c r="M178">
        <v>862</v>
      </c>
      <c r="N178">
        <v>6773</v>
      </c>
      <c r="O178">
        <v>1</v>
      </c>
      <c r="P178" t="s">
        <v>44</v>
      </c>
      <c r="Q178" s="1">
        <v>44373</v>
      </c>
    </row>
    <row r="179" spans="1:17" x14ac:dyDescent="0.3">
      <c r="A179" t="s">
        <v>28</v>
      </c>
      <c r="B179" t="s">
        <v>47</v>
      </c>
      <c r="C179" t="s">
        <v>37</v>
      </c>
      <c r="D179" t="s">
        <v>46</v>
      </c>
      <c r="E179" t="s">
        <v>31</v>
      </c>
      <c r="F179" s="9">
        <v>0.09</v>
      </c>
      <c r="G179" s="10">
        <v>17837</v>
      </c>
      <c r="H179">
        <v>3.84</v>
      </c>
      <c r="I179" s="5">
        <f>ROUND(Marketing[[#This Row],[Clicks]]*Marketing[[#This Row],[Conversion_Rate]],0)</f>
        <v>85</v>
      </c>
      <c r="J179" s="12">
        <f>Marketing[[#This Row],[Campaign_Cost]]/Marketing[[#This Row],[Customers]]</f>
        <v>209.84705882352941</v>
      </c>
      <c r="K179" t="s">
        <v>51</v>
      </c>
      <c r="L179" t="s">
        <v>50</v>
      </c>
      <c r="M179">
        <v>944</v>
      </c>
      <c r="N179">
        <v>9536</v>
      </c>
      <c r="O179">
        <v>6</v>
      </c>
      <c r="P179" t="s">
        <v>42</v>
      </c>
      <c r="Q179" s="1">
        <v>44374</v>
      </c>
    </row>
    <row r="180" spans="1:17" x14ac:dyDescent="0.3">
      <c r="A180" t="s">
        <v>14</v>
      </c>
      <c r="B180" t="s">
        <v>36</v>
      </c>
      <c r="C180" t="s">
        <v>37</v>
      </c>
      <c r="D180" t="s">
        <v>46</v>
      </c>
      <c r="E180" t="s">
        <v>15</v>
      </c>
      <c r="F180" s="9">
        <v>0.13</v>
      </c>
      <c r="G180" s="10">
        <v>11954</v>
      </c>
      <c r="H180">
        <v>4.91</v>
      </c>
      <c r="I180" s="5">
        <f>ROUND(Marketing[[#This Row],[Clicks]]*Marketing[[#This Row],[Conversion_Rate]],0)</f>
        <v>31</v>
      </c>
      <c r="J180" s="12">
        <f>Marketing[[#This Row],[Campaign_Cost]]/Marketing[[#This Row],[Customers]]</f>
        <v>385.61290322580646</v>
      </c>
      <c r="K180" t="s">
        <v>38</v>
      </c>
      <c r="L180" t="s">
        <v>39</v>
      </c>
      <c r="M180">
        <v>241</v>
      </c>
      <c r="N180">
        <v>9184</v>
      </c>
      <c r="O180">
        <v>8</v>
      </c>
      <c r="P180" t="s">
        <v>42</v>
      </c>
      <c r="Q180" s="1">
        <v>44375</v>
      </c>
    </row>
    <row r="181" spans="1:17" x14ac:dyDescent="0.3">
      <c r="A181" t="s">
        <v>28</v>
      </c>
      <c r="B181" t="s">
        <v>36</v>
      </c>
      <c r="C181" t="s">
        <v>23</v>
      </c>
      <c r="D181" t="s">
        <v>17</v>
      </c>
      <c r="E181" t="s">
        <v>18</v>
      </c>
      <c r="F181" s="9">
        <v>0.01</v>
      </c>
      <c r="G181" s="10">
        <v>16862</v>
      </c>
      <c r="H181">
        <v>6.29</v>
      </c>
      <c r="I181" s="5">
        <f>ROUND(Marketing[[#This Row],[Clicks]]*Marketing[[#This Row],[Conversion_Rate]],0)</f>
        <v>2</v>
      </c>
      <c r="J181" s="12">
        <f>Marketing[[#This Row],[Campaign_Cost]]/Marketing[[#This Row],[Customers]]</f>
        <v>8431</v>
      </c>
      <c r="K181" t="s">
        <v>19</v>
      </c>
      <c r="L181" t="s">
        <v>20</v>
      </c>
      <c r="M181">
        <v>200</v>
      </c>
      <c r="N181">
        <v>1513</v>
      </c>
      <c r="O181">
        <v>9</v>
      </c>
      <c r="P181" t="s">
        <v>44</v>
      </c>
      <c r="Q181" s="1">
        <v>44376</v>
      </c>
    </row>
    <row r="182" spans="1:17" x14ac:dyDescent="0.3">
      <c r="A182" t="s">
        <v>49</v>
      </c>
      <c r="B182" t="s">
        <v>36</v>
      </c>
      <c r="C182" t="s">
        <v>37</v>
      </c>
      <c r="D182" t="s">
        <v>46</v>
      </c>
      <c r="E182" t="s">
        <v>15</v>
      </c>
      <c r="F182" s="9">
        <v>7.0000000000000007E-2</v>
      </c>
      <c r="G182" s="10">
        <v>8076</v>
      </c>
      <c r="H182">
        <v>4.29</v>
      </c>
      <c r="I182" s="5">
        <f>ROUND(Marketing[[#This Row],[Clicks]]*Marketing[[#This Row],[Conversion_Rate]],0)</f>
        <v>62</v>
      </c>
      <c r="J182" s="12">
        <f>Marketing[[#This Row],[Campaign_Cost]]/Marketing[[#This Row],[Customers]]</f>
        <v>130.25806451612902</v>
      </c>
      <c r="K182" t="s">
        <v>25</v>
      </c>
      <c r="L182" t="s">
        <v>39</v>
      </c>
      <c r="M182">
        <v>883</v>
      </c>
      <c r="N182">
        <v>3400</v>
      </c>
      <c r="O182">
        <v>8</v>
      </c>
      <c r="P182" t="s">
        <v>27</v>
      </c>
      <c r="Q182" s="1">
        <v>44377</v>
      </c>
    </row>
    <row r="183" spans="1:17" x14ac:dyDescent="0.3">
      <c r="A183" t="s">
        <v>35</v>
      </c>
      <c r="B183" t="s">
        <v>29</v>
      </c>
      <c r="C183" t="s">
        <v>23</v>
      </c>
      <c r="D183" t="s">
        <v>40</v>
      </c>
      <c r="E183" t="s">
        <v>48</v>
      </c>
      <c r="F183" s="9">
        <v>0.06</v>
      </c>
      <c r="G183" s="10">
        <v>19143</v>
      </c>
      <c r="H183">
        <v>2.58</v>
      </c>
      <c r="I183" s="5">
        <f>ROUND(Marketing[[#This Row],[Clicks]]*Marketing[[#This Row],[Conversion_Rate]],0)</f>
        <v>41</v>
      </c>
      <c r="J183" s="12">
        <f>Marketing[[#This Row],[Campaign_Cost]]/Marketing[[#This Row],[Customers]]</f>
        <v>466.90243902439022</v>
      </c>
      <c r="K183" t="s">
        <v>32</v>
      </c>
      <c r="L183" t="s">
        <v>20</v>
      </c>
      <c r="M183">
        <v>690</v>
      </c>
      <c r="N183">
        <v>1087</v>
      </c>
      <c r="O183">
        <v>7</v>
      </c>
      <c r="P183" t="s">
        <v>44</v>
      </c>
      <c r="Q183" s="1">
        <v>44378</v>
      </c>
    </row>
    <row r="184" spans="1:17" x14ac:dyDescent="0.3">
      <c r="A184" t="s">
        <v>49</v>
      </c>
      <c r="B184" t="s">
        <v>29</v>
      </c>
      <c r="C184" t="s">
        <v>23</v>
      </c>
      <c r="D184" t="s">
        <v>40</v>
      </c>
      <c r="E184" t="s">
        <v>41</v>
      </c>
      <c r="F184" s="9">
        <v>0.06</v>
      </c>
      <c r="G184" s="10">
        <v>18350</v>
      </c>
      <c r="H184">
        <v>3.2</v>
      </c>
      <c r="I184" s="5">
        <f>ROUND(Marketing[[#This Row],[Clicks]]*Marketing[[#This Row],[Conversion_Rate]],0)</f>
        <v>22</v>
      </c>
      <c r="J184" s="12">
        <f>Marketing[[#This Row],[Campaign_Cost]]/Marketing[[#This Row],[Customers]]</f>
        <v>834.09090909090912</v>
      </c>
      <c r="K184" t="s">
        <v>25</v>
      </c>
      <c r="L184" t="s">
        <v>20</v>
      </c>
      <c r="M184">
        <v>372</v>
      </c>
      <c r="N184">
        <v>3266</v>
      </c>
      <c r="O184">
        <v>4</v>
      </c>
      <c r="P184" t="s">
        <v>21</v>
      </c>
      <c r="Q184" s="1">
        <v>44379</v>
      </c>
    </row>
    <row r="185" spans="1:17" x14ac:dyDescent="0.3">
      <c r="A185" t="s">
        <v>35</v>
      </c>
      <c r="B185" t="s">
        <v>47</v>
      </c>
      <c r="C185" t="s">
        <v>16</v>
      </c>
      <c r="D185" t="s">
        <v>46</v>
      </c>
      <c r="E185" t="s">
        <v>15</v>
      </c>
      <c r="F185" s="9">
        <v>0.06</v>
      </c>
      <c r="G185" s="10">
        <v>12315</v>
      </c>
      <c r="H185">
        <v>3.97</v>
      </c>
      <c r="I185" s="5">
        <f>ROUND(Marketing[[#This Row],[Clicks]]*Marketing[[#This Row],[Conversion_Rate]],0)</f>
        <v>30</v>
      </c>
      <c r="J185" s="12">
        <f>Marketing[[#This Row],[Campaign_Cost]]/Marketing[[#This Row],[Customers]]</f>
        <v>410.5</v>
      </c>
      <c r="K185" t="s">
        <v>19</v>
      </c>
      <c r="L185" t="s">
        <v>20</v>
      </c>
      <c r="M185">
        <v>505</v>
      </c>
      <c r="N185">
        <v>4099</v>
      </c>
      <c r="O185">
        <v>7</v>
      </c>
      <c r="P185" t="s">
        <v>27</v>
      </c>
      <c r="Q185" s="1">
        <v>44380</v>
      </c>
    </row>
    <row r="186" spans="1:17" x14ac:dyDescent="0.3">
      <c r="A186" t="s">
        <v>22</v>
      </c>
      <c r="B186" t="s">
        <v>29</v>
      </c>
      <c r="C186" t="s">
        <v>30</v>
      </c>
      <c r="D186" t="s">
        <v>40</v>
      </c>
      <c r="E186" t="s">
        <v>41</v>
      </c>
      <c r="F186" s="9">
        <v>0.14000000000000001</v>
      </c>
      <c r="G186" s="10">
        <v>17598</v>
      </c>
      <c r="H186">
        <v>7.27</v>
      </c>
      <c r="I186" s="5">
        <f>ROUND(Marketing[[#This Row],[Clicks]]*Marketing[[#This Row],[Conversion_Rate]],0)</f>
        <v>135</v>
      </c>
      <c r="J186" s="12">
        <f>Marketing[[#This Row],[Campaign_Cost]]/Marketing[[#This Row],[Customers]]</f>
        <v>130.35555555555555</v>
      </c>
      <c r="K186" t="s">
        <v>19</v>
      </c>
      <c r="L186" t="s">
        <v>39</v>
      </c>
      <c r="M186">
        <v>961</v>
      </c>
      <c r="N186">
        <v>8475</v>
      </c>
      <c r="O186">
        <v>7</v>
      </c>
      <c r="P186" t="s">
        <v>34</v>
      </c>
      <c r="Q186" s="1">
        <v>44381</v>
      </c>
    </row>
    <row r="187" spans="1:17" x14ac:dyDescent="0.3">
      <c r="A187" t="s">
        <v>49</v>
      </c>
      <c r="B187" t="s">
        <v>15</v>
      </c>
      <c r="C187" t="s">
        <v>23</v>
      </c>
      <c r="D187" t="s">
        <v>17</v>
      </c>
      <c r="E187" t="s">
        <v>41</v>
      </c>
      <c r="F187" s="9">
        <v>0.05</v>
      </c>
      <c r="G187" s="10">
        <v>19545</v>
      </c>
      <c r="H187">
        <v>2.57</v>
      </c>
      <c r="I187" s="5">
        <f>ROUND(Marketing[[#This Row],[Clicks]]*Marketing[[#This Row],[Conversion_Rate]],0)</f>
        <v>10</v>
      </c>
      <c r="J187" s="12">
        <f>Marketing[[#This Row],[Campaign_Cost]]/Marketing[[#This Row],[Customers]]</f>
        <v>1954.5</v>
      </c>
      <c r="K187" t="s">
        <v>51</v>
      </c>
      <c r="L187" t="s">
        <v>26</v>
      </c>
      <c r="M187">
        <v>209</v>
      </c>
      <c r="N187">
        <v>1917</v>
      </c>
      <c r="O187">
        <v>1</v>
      </c>
      <c r="P187" t="s">
        <v>21</v>
      </c>
      <c r="Q187" s="1">
        <v>44382</v>
      </c>
    </row>
    <row r="188" spans="1:17" x14ac:dyDescent="0.3">
      <c r="A188" t="s">
        <v>22</v>
      </c>
      <c r="B188" t="s">
        <v>15</v>
      </c>
      <c r="C188" t="s">
        <v>30</v>
      </c>
      <c r="D188" t="s">
        <v>24</v>
      </c>
      <c r="E188" t="s">
        <v>15</v>
      </c>
      <c r="F188" s="9">
        <v>0.13</v>
      </c>
      <c r="G188" s="10">
        <v>14231</v>
      </c>
      <c r="H188">
        <v>6.28</v>
      </c>
      <c r="I188" s="5">
        <f>ROUND(Marketing[[#This Row],[Clicks]]*Marketing[[#This Row],[Conversion_Rate]],0)</f>
        <v>41</v>
      </c>
      <c r="J188" s="12">
        <f>Marketing[[#This Row],[Campaign_Cost]]/Marketing[[#This Row],[Customers]]</f>
        <v>347.09756097560978</v>
      </c>
      <c r="K188" t="s">
        <v>19</v>
      </c>
      <c r="L188" t="s">
        <v>39</v>
      </c>
      <c r="M188">
        <v>312</v>
      </c>
      <c r="N188">
        <v>8509</v>
      </c>
      <c r="O188">
        <v>3</v>
      </c>
      <c r="P188" t="s">
        <v>21</v>
      </c>
      <c r="Q188" s="1">
        <v>44383</v>
      </c>
    </row>
    <row r="189" spans="1:17" x14ac:dyDescent="0.3">
      <c r="A189" t="s">
        <v>28</v>
      </c>
      <c r="B189" t="s">
        <v>29</v>
      </c>
      <c r="C189" t="s">
        <v>52</v>
      </c>
      <c r="D189" t="s">
        <v>17</v>
      </c>
      <c r="E189" t="s">
        <v>41</v>
      </c>
      <c r="F189" s="9">
        <v>0.11</v>
      </c>
      <c r="G189" s="10">
        <v>15162</v>
      </c>
      <c r="H189">
        <v>7.8</v>
      </c>
      <c r="I189" s="5">
        <f>ROUND(Marketing[[#This Row],[Clicks]]*Marketing[[#This Row],[Conversion_Rate]],0)</f>
        <v>40</v>
      </c>
      <c r="J189" s="12">
        <f>Marketing[[#This Row],[Campaign_Cost]]/Marketing[[#This Row],[Customers]]</f>
        <v>379.05</v>
      </c>
      <c r="K189" t="s">
        <v>19</v>
      </c>
      <c r="L189" t="s">
        <v>26</v>
      </c>
      <c r="M189">
        <v>360</v>
      </c>
      <c r="N189">
        <v>6030</v>
      </c>
      <c r="O189">
        <v>8</v>
      </c>
      <c r="P189" t="s">
        <v>44</v>
      </c>
      <c r="Q189" s="1">
        <v>44384</v>
      </c>
    </row>
    <row r="190" spans="1:17" x14ac:dyDescent="0.3">
      <c r="A190" t="s">
        <v>35</v>
      </c>
      <c r="B190" t="s">
        <v>47</v>
      </c>
      <c r="C190" t="s">
        <v>52</v>
      </c>
      <c r="D190" t="s">
        <v>40</v>
      </c>
      <c r="E190" t="s">
        <v>15</v>
      </c>
      <c r="F190" s="9">
        <v>0.12</v>
      </c>
      <c r="G190" s="10">
        <v>15403</v>
      </c>
      <c r="H190">
        <v>6.21</v>
      </c>
      <c r="I190" s="5">
        <f>ROUND(Marketing[[#This Row],[Clicks]]*Marketing[[#This Row],[Conversion_Rate]],0)</f>
        <v>65</v>
      </c>
      <c r="J190" s="12">
        <f>Marketing[[#This Row],[Campaign_Cost]]/Marketing[[#This Row],[Customers]]</f>
        <v>236.96923076923076</v>
      </c>
      <c r="K190" t="s">
        <v>51</v>
      </c>
      <c r="L190" t="s">
        <v>50</v>
      </c>
      <c r="M190">
        <v>542</v>
      </c>
      <c r="N190">
        <v>6792</v>
      </c>
      <c r="O190">
        <v>6</v>
      </c>
      <c r="P190" t="s">
        <v>42</v>
      </c>
      <c r="Q190" s="1">
        <v>44385</v>
      </c>
    </row>
    <row r="191" spans="1:17" x14ac:dyDescent="0.3">
      <c r="A191" t="s">
        <v>14</v>
      </c>
      <c r="B191" t="s">
        <v>29</v>
      </c>
      <c r="C191" t="s">
        <v>37</v>
      </c>
      <c r="D191" t="s">
        <v>40</v>
      </c>
      <c r="E191" t="s">
        <v>15</v>
      </c>
      <c r="F191" s="9">
        <v>0.06</v>
      </c>
      <c r="G191" s="10">
        <v>5363</v>
      </c>
      <c r="H191">
        <v>5.46</v>
      </c>
      <c r="I191" s="5">
        <f>ROUND(Marketing[[#This Row],[Clicks]]*Marketing[[#This Row],[Conversion_Rate]],0)</f>
        <v>22</v>
      </c>
      <c r="J191" s="12">
        <f>Marketing[[#This Row],[Campaign_Cost]]/Marketing[[#This Row],[Customers]]</f>
        <v>243.77272727272728</v>
      </c>
      <c r="K191" t="s">
        <v>19</v>
      </c>
      <c r="L191" t="s">
        <v>26</v>
      </c>
      <c r="M191">
        <v>369</v>
      </c>
      <c r="N191">
        <v>8511</v>
      </c>
      <c r="O191">
        <v>8</v>
      </c>
      <c r="P191" t="s">
        <v>44</v>
      </c>
      <c r="Q191" s="1">
        <v>44386</v>
      </c>
    </row>
    <row r="192" spans="1:17" x14ac:dyDescent="0.3">
      <c r="A192" t="s">
        <v>35</v>
      </c>
      <c r="B192" t="s">
        <v>47</v>
      </c>
      <c r="C192" t="s">
        <v>23</v>
      </c>
      <c r="D192" t="s">
        <v>24</v>
      </c>
      <c r="E192" t="s">
        <v>43</v>
      </c>
      <c r="F192" s="9">
        <v>0.12</v>
      </c>
      <c r="G192" s="10">
        <v>13903</v>
      </c>
      <c r="H192">
        <v>2.46</v>
      </c>
      <c r="I192" s="5">
        <f>ROUND(Marketing[[#This Row],[Clicks]]*Marketing[[#This Row],[Conversion_Rate]],0)</f>
        <v>55</v>
      </c>
      <c r="J192" s="12">
        <f>Marketing[[#This Row],[Campaign_Cost]]/Marketing[[#This Row],[Customers]]</f>
        <v>252.78181818181818</v>
      </c>
      <c r="K192" t="s">
        <v>19</v>
      </c>
      <c r="L192" t="s">
        <v>26</v>
      </c>
      <c r="M192">
        <v>461</v>
      </c>
      <c r="N192">
        <v>9733</v>
      </c>
      <c r="O192">
        <v>9</v>
      </c>
      <c r="P192" t="s">
        <v>44</v>
      </c>
      <c r="Q192" s="1">
        <v>44387</v>
      </c>
    </row>
    <row r="193" spans="1:17" x14ac:dyDescent="0.3">
      <c r="A193" t="s">
        <v>49</v>
      </c>
      <c r="B193" t="s">
        <v>29</v>
      </c>
      <c r="C193" t="s">
        <v>30</v>
      </c>
      <c r="D193" t="s">
        <v>46</v>
      </c>
      <c r="E193" t="s">
        <v>48</v>
      </c>
      <c r="F193" s="9">
        <v>0.12</v>
      </c>
      <c r="G193" s="10">
        <v>14271</v>
      </c>
      <c r="H193">
        <v>5.64</v>
      </c>
      <c r="I193" s="5">
        <f>ROUND(Marketing[[#This Row],[Clicks]]*Marketing[[#This Row],[Conversion_Rate]],0)</f>
        <v>101</v>
      </c>
      <c r="J193" s="12">
        <f>Marketing[[#This Row],[Campaign_Cost]]/Marketing[[#This Row],[Customers]]</f>
        <v>141.29702970297029</v>
      </c>
      <c r="K193" t="s">
        <v>25</v>
      </c>
      <c r="L193" t="s">
        <v>39</v>
      </c>
      <c r="M193">
        <v>842</v>
      </c>
      <c r="N193">
        <v>2301</v>
      </c>
      <c r="O193">
        <v>1</v>
      </c>
      <c r="P193" t="s">
        <v>21</v>
      </c>
      <c r="Q193" s="1">
        <v>44388</v>
      </c>
    </row>
    <row r="194" spans="1:17" x14ac:dyDescent="0.3">
      <c r="A194" t="s">
        <v>35</v>
      </c>
      <c r="B194" t="s">
        <v>47</v>
      </c>
      <c r="C194" t="s">
        <v>30</v>
      </c>
      <c r="D194" t="s">
        <v>17</v>
      </c>
      <c r="E194" t="s">
        <v>18</v>
      </c>
      <c r="F194" s="9">
        <v>0.05</v>
      </c>
      <c r="G194" s="10">
        <v>13744</v>
      </c>
      <c r="H194">
        <v>4.7</v>
      </c>
      <c r="I194" s="5">
        <f>ROUND(Marketing[[#This Row],[Clicks]]*Marketing[[#This Row],[Conversion_Rate]],0)</f>
        <v>37</v>
      </c>
      <c r="J194" s="12">
        <f>Marketing[[#This Row],[Campaign_Cost]]/Marketing[[#This Row],[Customers]]</f>
        <v>371.45945945945948</v>
      </c>
      <c r="K194" t="s">
        <v>38</v>
      </c>
      <c r="L194" t="s">
        <v>26</v>
      </c>
      <c r="M194">
        <v>743</v>
      </c>
      <c r="N194">
        <v>5155</v>
      </c>
      <c r="O194">
        <v>5</v>
      </c>
      <c r="P194" t="s">
        <v>27</v>
      </c>
      <c r="Q194" s="1">
        <v>44389</v>
      </c>
    </row>
    <row r="195" spans="1:17" x14ac:dyDescent="0.3">
      <c r="A195" t="s">
        <v>22</v>
      </c>
      <c r="B195" t="s">
        <v>15</v>
      </c>
      <c r="C195" t="s">
        <v>37</v>
      </c>
      <c r="D195" t="s">
        <v>40</v>
      </c>
      <c r="E195" t="s">
        <v>18</v>
      </c>
      <c r="F195" s="9">
        <v>0.1</v>
      </c>
      <c r="G195" s="10">
        <v>6093</v>
      </c>
      <c r="H195">
        <v>4.28</v>
      </c>
      <c r="I195" s="5">
        <f>ROUND(Marketing[[#This Row],[Clicks]]*Marketing[[#This Row],[Conversion_Rate]],0)</f>
        <v>42</v>
      </c>
      <c r="J195" s="12">
        <f>Marketing[[#This Row],[Campaign_Cost]]/Marketing[[#This Row],[Customers]]</f>
        <v>145.07142857142858</v>
      </c>
      <c r="K195" t="s">
        <v>25</v>
      </c>
      <c r="L195" t="s">
        <v>39</v>
      </c>
      <c r="M195">
        <v>423</v>
      </c>
      <c r="N195">
        <v>1340</v>
      </c>
      <c r="O195">
        <v>7</v>
      </c>
      <c r="P195" t="s">
        <v>42</v>
      </c>
      <c r="Q195" s="1">
        <v>44390</v>
      </c>
    </row>
    <row r="196" spans="1:17" x14ac:dyDescent="0.3">
      <c r="A196" t="s">
        <v>35</v>
      </c>
      <c r="B196" t="s">
        <v>15</v>
      </c>
      <c r="C196" t="s">
        <v>37</v>
      </c>
      <c r="D196" t="s">
        <v>46</v>
      </c>
      <c r="E196" t="s">
        <v>15</v>
      </c>
      <c r="F196" s="9">
        <v>7.0000000000000007E-2</v>
      </c>
      <c r="G196" s="10">
        <v>5272</v>
      </c>
      <c r="H196">
        <v>3.62</v>
      </c>
      <c r="I196" s="5">
        <f>ROUND(Marketing[[#This Row],[Clicks]]*Marketing[[#This Row],[Conversion_Rate]],0)</f>
        <v>66</v>
      </c>
      <c r="J196" s="12">
        <f>Marketing[[#This Row],[Campaign_Cost]]/Marketing[[#This Row],[Customers]]</f>
        <v>79.878787878787875</v>
      </c>
      <c r="K196" t="s">
        <v>19</v>
      </c>
      <c r="L196" t="s">
        <v>20</v>
      </c>
      <c r="M196">
        <v>939</v>
      </c>
      <c r="N196">
        <v>9590</v>
      </c>
      <c r="O196">
        <v>9</v>
      </c>
      <c r="P196" t="s">
        <v>42</v>
      </c>
      <c r="Q196" s="1">
        <v>44391</v>
      </c>
    </row>
    <row r="197" spans="1:17" x14ac:dyDescent="0.3">
      <c r="A197" t="s">
        <v>35</v>
      </c>
      <c r="B197" t="s">
        <v>36</v>
      </c>
      <c r="C197" t="s">
        <v>23</v>
      </c>
      <c r="D197" t="s">
        <v>17</v>
      </c>
      <c r="E197" t="s">
        <v>31</v>
      </c>
      <c r="F197" s="9">
        <v>0.02</v>
      </c>
      <c r="G197" s="10">
        <v>6208</v>
      </c>
      <c r="H197">
        <v>7.31</v>
      </c>
      <c r="I197" s="5">
        <f>ROUND(Marketing[[#This Row],[Clicks]]*Marketing[[#This Row],[Conversion_Rate]],0)</f>
        <v>5</v>
      </c>
      <c r="J197" s="12">
        <f>Marketing[[#This Row],[Campaign_Cost]]/Marketing[[#This Row],[Customers]]</f>
        <v>1241.5999999999999</v>
      </c>
      <c r="K197" t="s">
        <v>51</v>
      </c>
      <c r="L197" t="s">
        <v>39</v>
      </c>
      <c r="M197">
        <v>257</v>
      </c>
      <c r="N197">
        <v>9939</v>
      </c>
      <c r="O197">
        <v>8</v>
      </c>
      <c r="P197" t="s">
        <v>21</v>
      </c>
      <c r="Q197" s="1">
        <v>44392</v>
      </c>
    </row>
    <row r="198" spans="1:17" x14ac:dyDescent="0.3">
      <c r="A198" t="s">
        <v>14</v>
      </c>
      <c r="B198" t="s">
        <v>29</v>
      </c>
      <c r="C198" t="s">
        <v>52</v>
      </c>
      <c r="D198" t="s">
        <v>46</v>
      </c>
      <c r="E198" t="s">
        <v>15</v>
      </c>
      <c r="F198" s="9">
        <v>0.1</v>
      </c>
      <c r="G198" s="10">
        <v>15437</v>
      </c>
      <c r="H198">
        <v>3.72</v>
      </c>
      <c r="I198" s="5">
        <f>ROUND(Marketing[[#This Row],[Clicks]]*Marketing[[#This Row],[Conversion_Rate]],0)</f>
        <v>68</v>
      </c>
      <c r="J198" s="12">
        <f>Marketing[[#This Row],[Campaign_Cost]]/Marketing[[#This Row],[Customers]]</f>
        <v>227.01470588235293</v>
      </c>
      <c r="K198" t="s">
        <v>32</v>
      </c>
      <c r="L198" t="s">
        <v>50</v>
      </c>
      <c r="M198">
        <v>683</v>
      </c>
      <c r="N198">
        <v>4212</v>
      </c>
      <c r="O198">
        <v>6</v>
      </c>
      <c r="P198" t="s">
        <v>44</v>
      </c>
      <c r="Q198" s="1">
        <v>44393</v>
      </c>
    </row>
    <row r="199" spans="1:17" x14ac:dyDescent="0.3">
      <c r="A199" t="s">
        <v>35</v>
      </c>
      <c r="B199" t="s">
        <v>36</v>
      </c>
      <c r="C199" t="s">
        <v>16</v>
      </c>
      <c r="D199" t="s">
        <v>40</v>
      </c>
      <c r="E199" t="s">
        <v>41</v>
      </c>
      <c r="F199" s="9">
        <v>0.01</v>
      </c>
      <c r="G199" s="10">
        <v>16368</v>
      </c>
      <c r="H199">
        <v>4.37</v>
      </c>
      <c r="I199" s="5">
        <f>ROUND(Marketing[[#This Row],[Clicks]]*Marketing[[#This Row],[Conversion_Rate]],0)</f>
        <v>4</v>
      </c>
      <c r="J199" s="12">
        <f>Marketing[[#This Row],[Campaign_Cost]]/Marketing[[#This Row],[Customers]]</f>
        <v>4092</v>
      </c>
      <c r="K199" t="s">
        <v>32</v>
      </c>
      <c r="L199" t="s">
        <v>39</v>
      </c>
      <c r="M199">
        <v>433</v>
      </c>
      <c r="N199">
        <v>8942</v>
      </c>
      <c r="O199">
        <v>5</v>
      </c>
      <c r="P199" t="s">
        <v>44</v>
      </c>
      <c r="Q199" s="1">
        <v>44394</v>
      </c>
    </row>
    <row r="200" spans="1:17" x14ac:dyDescent="0.3">
      <c r="A200" t="s">
        <v>14</v>
      </c>
      <c r="B200" t="s">
        <v>29</v>
      </c>
      <c r="C200" t="s">
        <v>16</v>
      </c>
      <c r="D200" t="s">
        <v>46</v>
      </c>
      <c r="E200" t="s">
        <v>15</v>
      </c>
      <c r="F200" s="9">
        <v>0.14000000000000001</v>
      </c>
      <c r="G200" s="10">
        <v>10939</v>
      </c>
      <c r="H200">
        <v>4.79</v>
      </c>
      <c r="I200" s="5">
        <f>ROUND(Marketing[[#This Row],[Clicks]]*Marketing[[#This Row],[Conversion_Rate]],0)</f>
        <v>20</v>
      </c>
      <c r="J200" s="12">
        <f>Marketing[[#This Row],[Campaign_Cost]]/Marketing[[#This Row],[Customers]]</f>
        <v>546.95000000000005</v>
      </c>
      <c r="K200" t="s">
        <v>38</v>
      </c>
      <c r="L200" t="s">
        <v>20</v>
      </c>
      <c r="M200">
        <v>146</v>
      </c>
      <c r="N200">
        <v>1404</v>
      </c>
      <c r="O200">
        <v>3</v>
      </c>
      <c r="P200" t="s">
        <v>34</v>
      </c>
      <c r="Q200" s="1">
        <v>44395</v>
      </c>
    </row>
    <row r="201" spans="1:17" x14ac:dyDescent="0.3">
      <c r="A201" t="s">
        <v>49</v>
      </c>
      <c r="B201" t="s">
        <v>29</v>
      </c>
      <c r="C201" t="s">
        <v>30</v>
      </c>
      <c r="D201" t="s">
        <v>17</v>
      </c>
      <c r="E201" t="s">
        <v>18</v>
      </c>
      <c r="F201" s="9">
        <v>0.02</v>
      </c>
      <c r="G201" s="10">
        <v>16312</v>
      </c>
      <c r="H201">
        <v>2.63</v>
      </c>
      <c r="I201" s="5">
        <f>ROUND(Marketing[[#This Row],[Clicks]]*Marketing[[#This Row],[Conversion_Rate]],0)</f>
        <v>2</v>
      </c>
      <c r="J201" s="12">
        <f>Marketing[[#This Row],[Campaign_Cost]]/Marketing[[#This Row],[Customers]]</f>
        <v>8156</v>
      </c>
      <c r="K201" t="s">
        <v>19</v>
      </c>
      <c r="L201" t="s">
        <v>50</v>
      </c>
      <c r="M201">
        <v>117</v>
      </c>
      <c r="N201">
        <v>4406</v>
      </c>
      <c r="O201">
        <v>7</v>
      </c>
      <c r="P201" t="s">
        <v>34</v>
      </c>
      <c r="Q201" s="1">
        <v>44396</v>
      </c>
    </row>
    <row r="202" spans="1:17" x14ac:dyDescent="0.3">
      <c r="A202" t="s">
        <v>14</v>
      </c>
      <c r="B202" t="s">
        <v>45</v>
      </c>
      <c r="C202" t="s">
        <v>23</v>
      </c>
      <c r="D202" t="s">
        <v>24</v>
      </c>
      <c r="E202" t="s">
        <v>48</v>
      </c>
      <c r="F202" s="9">
        <v>0.09</v>
      </c>
      <c r="G202" s="10">
        <v>9518</v>
      </c>
      <c r="H202">
        <v>4.22</v>
      </c>
      <c r="I202" s="5">
        <f>ROUND(Marketing[[#This Row],[Clicks]]*Marketing[[#This Row],[Conversion_Rate]],0)</f>
        <v>29</v>
      </c>
      <c r="J202" s="12">
        <f>Marketing[[#This Row],[Campaign_Cost]]/Marketing[[#This Row],[Customers]]</f>
        <v>328.20689655172413</v>
      </c>
      <c r="K202" t="s">
        <v>51</v>
      </c>
      <c r="L202" t="s">
        <v>26</v>
      </c>
      <c r="M202">
        <v>324</v>
      </c>
      <c r="N202">
        <v>8445</v>
      </c>
      <c r="O202">
        <v>6</v>
      </c>
      <c r="P202" t="s">
        <v>44</v>
      </c>
      <c r="Q202" s="1">
        <v>44397</v>
      </c>
    </row>
    <row r="203" spans="1:17" x14ac:dyDescent="0.3">
      <c r="A203" t="s">
        <v>35</v>
      </c>
      <c r="B203" t="s">
        <v>29</v>
      </c>
      <c r="C203" t="s">
        <v>23</v>
      </c>
      <c r="D203" t="s">
        <v>46</v>
      </c>
      <c r="E203" t="s">
        <v>41</v>
      </c>
      <c r="F203" s="9">
        <v>0.13</v>
      </c>
      <c r="G203" s="10">
        <v>16258</v>
      </c>
      <c r="H203">
        <v>5.83</v>
      </c>
      <c r="I203" s="5">
        <f>ROUND(Marketing[[#This Row],[Clicks]]*Marketing[[#This Row],[Conversion_Rate]],0)</f>
        <v>41</v>
      </c>
      <c r="J203" s="12">
        <f>Marketing[[#This Row],[Campaign_Cost]]/Marketing[[#This Row],[Customers]]</f>
        <v>396.53658536585368</v>
      </c>
      <c r="K203" t="s">
        <v>19</v>
      </c>
      <c r="L203" t="s">
        <v>33</v>
      </c>
      <c r="M203">
        <v>317</v>
      </c>
      <c r="N203">
        <v>2305</v>
      </c>
      <c r="O203">
        <v>10</v>
      </c>
      <c r="P203" t="s">
        <v>42</v>
      </c>
      <c r="Q203" s="1">
        <v>44398</v>
      </c>
    </row>
    <row r="204" spans="1:17" x14ac:dyDescent="0.3">
      <c r="A204" t="s">
        <v>35</v>
      </c>
      <c r="B204" t="s">
        <v>36</v>
      </c>
      <c r="C204" t="s">
        <v>37</v>
      </c>
      <c r="D204" t="s">
        <v>17</v>
      </c>
      <c r="E204" t="s">
        <v>15</v>
      </c>
      <c r="F204" s="9">
        <v>0.1</v>
      </c>
      <c r="G204" s="10">
        <v>7176</v>
      </c>
      <c r="H204">
        <v>7.27</v>
      </c>
      <c r="I204" s="5">
        <f>ROUND(Marketing[[#This Row],[Clicks]]*Marketing[[#This Row],[Conversion_Rate]],0)</f>
        <v>47</v>
      </c>
      <c r="J204" s="12">
        <f>Marketing[[#This Row],[Campaign_Cost]]/Marketing[[#This Row],[Customers]]</f>
        <v>152.68085106382978</v>
      </c>
      <c r="K204" t="s">
        <v>32</v>
      </c>
      <c r="L204" t="s">
        <v>20</v>
      </c>
      <c r="M204">
        <v>472</v>
      </c>
      <c r="N204">
        <v>7157</v>
      </c>
      <c r="O204">
        <v>10</v>
      </c>
      <c r="P204" t="s">
        <v>44</v>
      </c>
      <c r="Q204" s="1">
        <v>44399</v>
      </c>
    </row>
    <row r="205" spans="1:17" x14ac:dyDescent="0.3">
      <c r="A205" t="s">
        <v>49</v>
      </c>
      <c r="B205" t="s">
        <v>29</v>
      </c>
      <c r="C205" t="s">
        <v>16</v>
      </c>
      <c r="D205" t="s">
        <v>46</v>
      </c>
      <c r="E205" t="s">
        <v>18</v>
      </c>
      <c r="F205" s="9">
        <v>0.15</v>
      </c>
      <c r="G205" s="10">
        <v>14405</v>
      </c>
      <c r="H205">
        <v>7.51</v>
      </c>
      <c r="I205" s="5">
        <f>ROUND(Marketing[[#This Row],[Clicks]]*Marketing[[#This Row],[Conversion_Rate]],0)</f>
        <v>134</v>
      </c>
      <c r="J205" s="12">
        <f>Marketing[[#This Row],[Campaign_Cost]]/Marketing[[#This Row],[Customers]]</f>
        <v>107.5</v>
      </c>
      <c r="K205" t="s">
        <v>32</v>
      </c>
      <c r="L205" t="s">
        <v>33</v>
      </c>
      <c r="M205">
        <v>896</v>
      </c>
      <c r="N205">
        <v>7502</v>
      </c>
      <c r="O205">
        <v>9</v>
      </c>
      <c r="P205" t="s">
        <v>42</v>
      </c>
      <c r="Q205" s="1">
        <v>44400</v>
      </c>
    </row>
    <row r="206" spans="1:17" x14ac:dyDescent="0.3">
      <c r="A206" t="s">
        <v>35</v>
      </c>
      <c r="B206" t="s">
        <v>29</v>
      </c>
      <c r="C206" t="s">
        <v>23</v>
      </c>
      <c r="D206" t="s">
        <v>46</v>
      </c>
      <c r="E206" t="s">
        <v>15</v>
      </c>
      <c r="F206" s="9">
        <v>0.11</v>
      </c>
      <c r="G206" s="10">
        <v>13293</v>
      </c>
      <c r="H206">
        <v>7.49</v>
      </c>
      <c r="I206" s="5">
        <f>ROUND(Marketing[[#This Row],[Clicks]]*Marketing[[#This Row],[Conversion_Rate]],0)</f>
        <v>15</v>
      </c>
      <c r="J206" s="12">
        <f>Marketing[[#This Row],[Campaign_Cost]]/Marketing[[#This Row],[Customers]]</f>
        <v>886.2</v>
      </c>
      <c r="K206" t="s">
        <v>19</v>
      </c>
      <c r="L206" t="s">
        <v>39</v>
      </c>
      <c r="M206">
        <v>132</v>
      </c>
      <c r="N206">
        <v>1159</v>
      </c>
      <c r="O206">
        <v>10</v>
      </c>
      <c r="P206" t="s">
        <v>42</v>
      </c>
      <c r="Q206" s="1">
        <v>44401</v>
      </c>
    </row>
    <row r="207" spans="1:17" x14ac:dyDescent="0.3">
      <c r="A207" t="s">
        <v>14</v>
      </c>
      <c r="B207" t="s">
        <v>15</v>
      </c>
      <c r="C207" t="s">
        <v>16</v>
      </c>
      <c r="D207" t="s">
        <v>40</v>
      </c>
      <c r="E207" t="s">
        <v>43</v>
      </c>
      <c r="F207" s="9">
        <v>0.12</v>
      </c>
      <c r="G207" s="10">
        <v>14318</v>
      </c>
      <c r="H207">
        <v>3.69</v>
      </c>
      <c r="I207" s="5">
        <f>ROUND(Marketing[[#This Row],[Clicks]]*Marketing[[#This Row],[Conversion_Rate]],0)</f>
        <v>25</v>
      </c>
      <c r="J207" s="12">
        <f>Marketing[[#This Row],[Campaign_Cost]]/Marketing[[#This Row],[Customers]]</f>
        <v>572.72</v>
      </c>
      <c r="K207" t="s">
        <v>38</v>
      </c>
      <c r="L207" t="s">
        <v>20</v>
      </c>
      <c r="M207">
        <v>210</v>
      </c>
      <c r="N207">
        <v>2135</v>
      </c>
      <c r="O207">
        <v>3</v>
      </c>
      <c r="P207" t="s">
        <v>44</v>
      </c>
      <c r="Q207" s="1">
        <v>44402</v>
      </c>
    </row>
    <row r="208" spans="1:17" x14ac:dyDescent="0.3">
      <c r="A208" t="s">
        <v>49</v>
      </c>
      <c r="B208" t="s">
        <v>47</v>
      </c>
      <c r="C208" t="s">
        <v>52</v>
      </c>
      <c r="D208" t="s">
        <v>24</v>
      </c>
      <c r="E208" t="s">
        <v>41</v>
      </c>
      <c r="F208" s="9">
        <v>0.05</v>
      </c>
      <c r="G208" s="10">
        <v>8772</v>
      </c>
      <c r="H208">
        <v>6.29</v>
      </c>
      <c r="I208" s="5">
        <f>ROUND(Marketing[[#This Row],[Clicks]]*Marketing[[#This Row],[Conversion_Rate]],0)</f>
        <v>10</v>
      </c>
      <c r="J208" s="12">
        <f>Marketing[[#This Row],[Campaign_Cost]]/Marketing[[#This Row],[Customers]]</f>
        <v>877.2</v>
      </c>
      <c r="K208" t="s">
        <v>25</v>
      </c>
      <c r="L208" t="s">
        <v>50</v>
      </c>
      <c r="M208">
        <v>209</v>
      </c>
      <c r="N208">
        <v>6176</v>
      </c>
      <c r="O208">
        <v>6</v>
      </c>
      <c r="P208" t="s">
        <v>21</v>
      </c>
      <c r="Q208" s="1">
        <v>44403</v>
      </c>
    </row>
    <row r="209" spans="1:17" x14ac:dyDescent="0.3">
      <c r="A209" t="s">
        <v>35</v>
      </c>
      <c r="B209" t="s">
        <v>36</v>
      </c>
      <c r="C209" t="s">
        <v>52</v>
      </c>
      <c r="D209" t="s">
        <v>46</v>
      </c>
      <c r="E209" t="s">
        <v>18</v>
      </c>
      <c r="F209" s="9">
        <v>0.11</v>
      </c>
      <c r="G209" s="10">
        <v>12864</v>
      </c>
      <c r="H209">
        <v>2.87</v>
      </c>
      <c r="I209" s="5">
        <f>ROUND(Marketing[[#This Row],[Clicks]]*Marketing[[#This Row],[Conversion_Rate]],0)</f>
        <v>31</v>
      </c>
      <c r="J209" s="12">
        <f>Marketing[[#This Row],[Campaign_Cost]]/Marketing[[#This Row],[Customers]]</f>
        <v>414.96774193548384</v>
      </c>
      <c r="K209" t="s">
        <v>32</v>
      </c>
      <c r="L209" t="s">
        <v>50</v>
      </c>
      <c r="M209">
        <v>280</v>
      </c>
      <c r="N209">
        <v>2676</v>
      </c>
      <c r="O209">
        <v>7</v>
      </c>
      <c r="P209" t="s">
        <v>21</v>
      </c>
      <c r="Q209" s="1">
        <v>44404</v>
      </c>
    </row>
    <row r="210" spans="1:17" x14ac:dyDescent="0.3">
      <c r="A210" t="s">
        <v>22</v>
      </c>
      <c r="B210" t="s">
        <v>36</v>
      </c>
      <c r="C210" t="s">
        <v>37</v>
      </c>
      <c r="D210" t="s">
        <v>40</v>
      </c>
      <c r="E210" t="s">
        <v>18</v>
      </c>
      <c r="F210" s="9">
        <v>0.11</v>
      </c>
      <c r="G210" s="10">
        <v>17562</v>
      </c>
      <c r="H210">
        <v>3.66</v>
      </c>
      <c r="I210" s="5">
        <f>ROUND(Marketing[[#This Row],[Clicks]]*Marketing[[#This Row],[Conversion_Rate]],0)</f>
        <v>34</v>
      </c>
      <c r="J210" s="12">
        <f>Marketing[[#This Row],[Campaign_Cost]]/Marketing[[#This Row],[Customers]]</f>
        <v>516.52941176470586</v>
      </c>
      <c r="K210" t="s">
        <v>19</v>
      </c>
      <c r="L210" t="s">
        <v>50</v>
      </c>
      <c r="M210">
        <v>308</v>
      </c>
      <c r="N210">
        <v>6903</v>
      </c>
      <c r="O210">
        <v>7</v>
      </c>
      <c r="P210" t="s">
        <v>21</v>
      </c>
      <c r="Q210" s="1">
        <v>44405</v>
      </c>
    </row>
    <row r="211" spans="1:17" x14ac:dyDescent="0.3">
      <c r="A211" t="s">
        <v>14</v>
      </c>
      <c r="B211" t="s">
        <v>36</v>
      </c>
      <c r="C211" t="s">
        <v>37</v>
      </c>
      <c r="D211" t="s">
        <v>46</v>
      </c>
      <c r="E211" t="s">
        <v>15</v>
      </c>
      <c r="F211" s="9">
        <v>0.08</v>
      </c>
      <c r="G211" s="10">
        <v>17461</v>
      </c>
      <c r="H211">
        <v>2.81</v>
      </c>
      <c r="I211" s="5">
        <f>ROUND(Marketing[[#This Row],[Clicks]]*Marketing[[#This Row],[Conversion_Rate]],0)</f>
        <v>44</v>
      </c>
      <c r="J211" s="12">
        <f>Marketing[[#This Row],[Campaign_Cost]]/Marketing[[#This Row],[Customers]]</f>
        <v>396.84090909090907</v>
      </c>
      <c r="K211" t="s">
        <v>32</v>
      </c>
      <c r="L211" t="s">
        <v>39</v>
      </c>
      <c r="M211">
        <v>554</v>
      </c>
      <c r="N211">
        <v>8096</v>
      </c>
      <c r="O211">
        <v>10</v>
      </c>
      <c r="P211" t="s">
        <v>21</v>
      </c>
      <c r="Q211" s="1">
        <v>44406</v>
      </c>
    </row>
    <row r="212" spans="1:17" x14ac:dyDescent="0.3">
      <c r="A212" t="s">
        <v>35</v>
      </c>
      <c r="B212" t="s">
        <v>45</v>
      </c>
      <c r="C212" t="s">
        <v>23</v>
      </c>
      <c r="D212" t="s">
        <v>17</v>
      </c>
      <c r="E212" t="s">
        <v>43</v>
      </c>
      <c r="F212" s="9">
        <v>0.08</v>
      </c>
      <c r="G212" s="10">
        <v>19366</v>
      </c>
      <c r="H212">
        <v>7.94</v>
      </c>
      <c r="I212" s="5">
        <f>ROUND(Marketing[[#This Row],[Clicks]]*Marketing[[#This Row],[Conversion_Rate]],0)</f>
        <v>69</v>
      </c>
      <c r="J212" s="12">
        <f>Marketing[[#This Row],[Campaign_Cost]]/Marketing[[#This Row],[Customers]]</f>
        <v>280.66666666666669</v>
      </c>
      <c r="K212" t="s">
        <v>19</v>
      </c>
      <c r="L212" t="s">
        <v>20</v>
      </c>
      <c r="M212">
        <v>868</v>
      </c>
      <c r="N212">
        <v>8919</v>
      </c>
      <c r="O212">
        <v>10</v>
      </c>
      <c r="P212" t="s">
        <v>21</v>
      </c>
      <c r="Q212" s="1">
        <v>44407</v>
      </c>
    </row>
    <row r="213" spans="1:17" x14ac:dyDescent="0.3">
      <c r="A213" t="s">
        <v>22</v>
      </c>
      <c r="B213" t="s">
        <v>47</v>
      </c>
      <c r="C213" t="s">
        <v>37</v>
      </c>
      <c r="D213" t="s">
        <v>17</v>
      </c>
      <c r="E213" t="s">
        <v>41</v>
      </c>
      <c r="F213" s="9">
        <v>0.02</v>
      </c>
      <c r="G213" s="10">
        <v>6907</v>
      </c>
      <c r="H213">
        <v>2.39</v>
      </c>
      <c r="I213" s="5">
        <f>ROUND(Marketing[[#This Row],[Clicks]]*Marketing[[#This Row],[Conversion_Rate]],0)</f>
        <v>8</v>
      </c>
      <c r="J213" s="12">
        <f>Marketing[[#This Row],[Campaign_Cost]]/Marketing[[#This Row],[Customers]]</f>
        <v>863.375</v>
      </c>
      <c r="K213" t="s">
        <v>51</v>
      </c>
      <c r="L213" t="s">
        <v>33</v>
      </c>
      <c r="M213">
        <v>376</v>
      </c>
      <c r="N213">
        <v>1503</v>
      </c>
      <c r="O213">
        <v>5</v>
      </c>
      <c r="P213" t="s">
        <v>42</v>
      </c>
      <c r="Q213" s="1">
        <v>44408</v>
      </c>
    </row>
    <row r="214" spans="1:17" x14ac:dyDescent="0.3">
      <c r="A214" t="s">
        <v>35</v>
      </c>
      <c r="B214" t="s">
        <v>47</v>
      </c>
      <c r="C214" t="s">
        <v>52</v>
      </c>
      <c r="D214" t="s">
        <v>46</v>
      </c>
      <c r="E214" t="s">
        <v>15</v>
      </c>
      <c r="F214" s="9">
        <v>0.15</v>
      </c>
      <c r="G214" s="10">
        <v>16540</v>
      </c>
      <c r="H214">
        <v>2.72</v>
      </c>
      <c r="I214" s="5">
        <f>ROUND(Marketing[[#This Row],[Clicks]]*Marketing[[#This Row],[Conversion_Rate]],0)</f>
        <v>40</v>
      </c>
      <c r="J214" s="12">
        <f>Marketing[[#This Row],[Campaign_Cost]]/Marketing[[#This Row],[Customers]]</f>
        <v>413.5</v>
      </c>
      <c r="K214" t="s">
        <v>51</v>
      </c>
      <c r="L214" t="s">
        <v>39</v>
      </c>
      <c r="M214">
        <v>264</v>
      </c>
      <c r="N214">
        <v>3516</v>
      </c>
      <c r="O214">
        <v>2</v>
      </c>
      <c r="P214" t="s">
        <v>42</v>
      </c>
      <c r="Q214" s="1">
        <v>44409</v>
      </c>
    </row>
    <row r="215" spans="1:17" x14ac:dyDescent="0.3">
      <c r="A215" t="s">
        <v>49</v>
      </c>
      <c r="B215" t="s">
        <v>36</v>
      </c>
      <c r="C215" t="s">
        <v>37</v>
      </c>
      <c r="D215" t="s">
        <v>24</v>
      </c>
      <c r="E215" t="s">
        <v>15</v>
      </c>
      <c r="F215" s="9">
        <v>0.05</v>
      </c>
      <c r="G215" s="10">
        <v>5020</v>
      </c>
      <c r="H215">
        <v>7.67</v>
      </c>
      <c r="I215" s="5">
        <f>ROUND(Marketing[[#This Row],[Clicks]]*Marketing[[#This Row],[Conversion_Rate]],0)</f>
        <v>39</v>
      </c>
      <c r="J215" s="12">
        <f>Marketing[[#This Row],[Campaign_Cost]]/Marketing[[#This Row],[Customers]]</f>
        <v>128.71794871794873</v>
      </c>
      <c r="K215" t="s">
        <v>19</v>
      </c>
      <c r="L215" t="s">
        <v>20</v>
      </c>
      <c r="M215">
        <v>773</v>
      </c>
      <c r="N215">
        <v>3130</v>
      </c>
      <c r="O215">
        <v>5</v>
      </c>
      <c r="P215" t="s">
        <v>21</v>
      </c>
      <c r="Q215" s="1">
        <v>44410</v>
      </c>
    </row>
    <row r="216" spans="1:17" x14ac:dyDescent="0.3">
      <c r="A216" t="s">
        <v>28</v>
      </c>
      <c r="B216" t="s">
        <v>29</v>
      </c>
      <c r="C216" t="s">
        <v>52</v>
      </c>
      <c r="D216" t="s">
        <v>46</v>
      </c>
      <c r="E216" t="s">
        <v>31</v>
      </c>
      <c r="F216" s="9">
        <v>0.06</v>
      </c>
      <c r="G216" s="10">
        <v>13697</v>
      </c>
      <c r="H216">
        <v>2.79</v>
      </c>
      <c r="I216" s="5">
        <f>ROUND(Marketing[[#This Row],[Clicks]]*Marketing[[#This Row],[Conversion_Rate]],0)</f>
        <v>60</v>
      </c>
      <c r="J216" s="12">
        <f>Marketing[[#This Row],[Campaign_Cost]]/Marketing[[#This Row],[Customers]]</f>
        <v>228.28333333333333</v>
      </c>
      <c r="K216" t="s">
        <v>32</v>
      </c>
      <c r="L216" t="s">
        <v>20</v>
      </c>
      <c r="M216">
        <v>999</v>
      </c>
      <c r="N216">
        <v>2557</v>
      </c>
      <c r="O216">
        <v>3</v>
      </c>
      <c r="P216" t="s">
        <v>21</v>
      </c>
      <c r="Q216" s="1">
        <v>44411</v>
      </c>
    </row>
    <row r="217" spans="1:17" x14ac:dyDescent="0.3">
      <c r="A217" t="s">
        <v>28</v>
      </c>
      <c r="B217" t="s">
        <v>47</v>
      </c>
      <c r="C217" t="s">
        <v>52</v>
      </c>
      <c r="D217" t="s">
        <v>17</v>
      </c>
      <c r="E217" t="s">
        <v>15</v>
      </c>
      <c r="F217" s="9">
        <v>0.14000000000000001</v>
      </c>
      <c r="G217" s="10">
        <v>19308</v>
      </c>
      <c r="H217">
        <v>4.3899999999999997</v>
      </c>
      <c r="I217" s="5">
        <f>ROUND(Marketing[[#This Row],[Clicks]]*Marketing[[#This Row],[Conversion_Rate]],0)</f>
        <v>102</v>
      </c>
      <c r="J217" s="12">
        <f>Marketing[[#This Row],[Campaign_Cost]]/Marketing[[#This Row],[Customers]]</f>
        <v>189.29411764705881</v>
      </c>
      <c r="K217" t="s">
        <v>25</v>
      </c>
      <c r="L217" t="s">
        <v>39</v>
      </c>
      <c r="M217">
        <v>726</v>
      </c>
      <c r="N217">
        <v>6296</v>
      </c>
      <c r="O217">
        <v>5</v>
      </c>
      <c r="P217" t="s">
        <v>21</v>
      </c>
      <c r="Q217" s="1">
        <v>44412</v>
      </c>
    </row>
    <row r="218" spans="1:17" x14ac:dyDescent="0.3">
      <c r="A218" t="s">
        <v>22</v>
      </c>
      <c r="B218" t="s">
        <v>45</v>
      </c>
      <c r="C218" t="s">
        <v>23</v>
      </c>
      <c r="D218" t="s">
        <v>17</v>
      </c>
      <c r="E218" t="s">
        <v>18</v>
      </c>
      <c r="F218" s="9">
        <v>0.11</v>
      </c>
      <c r="G218" s="10">
        <v>13185</v>
      </c>
      <c r="H218">
        <v>6.06</v>
      </c>
      <c r="I218" s="5">
        <f>ROUND(Marketing[[#This Row],[Clicks]]*Marketing[[#This Row],[Conversion_Rate]],0)</f>
        <v>68</v>
      </c>
      <c r="J218" s="12">
        <f>Marketing[[#This Row],[Campaign_Cost]]/Marketing[[#This Row],[Customers]]</f>
        <v>193.89705882352942</v>
      </c>
      <c r="K218" t="s">
        <v>51</v>
      </c>
      <c r="L218" t="s">
        <v>50</v>
      </c>
      <c r="M218">
        <v>614</v>
      </c>
      <c r="N218">
        <v>9971</v>
      </c>
      <c r="O218">
        <v>10</v>
      </c>
      <c r="P218" t="s">
        <v>27</v>
      </c>
      <c r="Q218" s="1">
        <v>44413</v>
      </c>
    </row>
    <row r="219" spans="1:17" x14ac:dyDescent="0.3">
      <c r="A219" t="s">
        <v>35</v>
      </c>
      <c r="B219" t="s">
        <v>15</v>
      </c>
      <c r="C219" t="s">
        <v>16</v>
      </c>
      <c r="D219" t="s">
        <v>40</v>
      </c>
      <c r="E219" t="s">
        <v>41</v>
      </c>
      <c r="F219" s="9">
        <v>0.05</v>
      </c>
      <c r="G219" s="10">
        <v>15880</v>
      </c>
      <c r="H219">
        <v>5.85</v>
      </c>
      <c r="I219" s="5">
        <f>ROUND(Marketing[[#This Row],[Clicks]]*Marketing[[#This Row],[Conversion_Rate]],0)</f>
        <v>48</v>
      </c>
      <c r="J219" s="12">
        <f>Marketing[[#This Row],[Campaign_Cost]]/Marketing[[#This Row],[Customers]]</f>
        <v>330.83333333333331</v>
      </c>
      <c r="K219" t="s">
        <v>32</v>
      </c>
      <c r="L219" t="s">
        <v>20</v>
      </c>
      <c r="M219">
        <v>967</v>
      </c>
      <c r="N219">
        <v>9549</v>
      </c>
      <c r="O219">
        <v>5</v>
      </c>
      <c r="P219" t="s">
        <v>44</v>
      </c>
      <c r="Q219" s="1">
        <v>44414</v>
      </c>
    </row>
    <row r="220" spans="1:17" x14ac:dyDescent="0.3">
      <c r="A220" t="s">
        <v>49</v>
      </c>
      <c r="B220" t="s">
        <v>45</v>
      </c>
      <c r="C220" t="s">
        <v>52</v>
      </c>
      <c r="D220" t="s">
        <v>40</v>
      </c>
      <c r="E220" t="s">
        <v>15</v>
      </c>
      <c r="F220" s="9">
        <v>0.08</v>
      </c>
      <c r="G220" s="10">
        <v>13524</v>
      </c>
      <c r="H220">
        <v>3.91</v>
      </c>
      <c r="I220" s="5">
        <f>ROUND(Marketing[[#This Row],[Clicks]]*Marketing[[#This Row],[Conversion_Rate]],0)</f>
        <v>13</v>
      </c>
      <c r="J220" s="12">
        <f>Marketing[[#This Row],[Campaign_Cost]]/Marketing[[#This Row],[Customers]]</f>
        <v>1040.3076923076924</v>
      </c>
      <c r="K220" t="s">
        <v>32</v>
      </c>
      <c r="L220" t="s">
        <v>20</v>
      </c>
      <c r="M220">
        <v>167</v>
      </c>
      <c r="N220">
        <v>9596</v>
      </c>
      <c r="O220">
        <v>10</v>
      </c>
      <c r="P220" t="s">
        <v>42</v>
      </c>
      <c r="Q220" s="1">
        <v>44415</v>
      </c>
    </row>
    <row r="221" spans="1:17" x14ac:dyDescent="0.3">
      <c r="A221" t="s">
        <v>14</v>
      </c>
      <c r="B221" t="s">
        <v>29</v>
      </c>
      <c r="C221" t="s">
        <v>37</v>
      </c>
      <c r="D221" t="s">
        <v>40</v>
      </c>
      <c r="E221" t="s">
        <v>15</v>
      </c>
      <c r="F221" s="9">
        <v>0.03</v>
      </c>
      <c r="G221" s="10">
        <v>10536</v>
      </c>
      <c r="H221">
        <v>8</v>
      </c>
      <c r="I221" s="5">
        <f>ROUND(Marketing[[#This Row],[Clicks]]*Marketing[[#This Row],[Conversion_Rate]],0)</f>
        <v>28</v>
      </c>
      <c r="J221" s="12">
        <f>Marketing[[#This Row],[Campaign_Cost]]/Marketing[[#This Row],[Customers]]</f>
        <v>376.28571428571428</v>
      </c>
      <c r="K221" t="s">
        <v>25</v>
      </c>
      <c r="L221" t="s">
        <v>39</v>
      </c>
      <c r="M221">
        <v>924</v>
      </c>
      <c r="N221">
        <v>3584</v>
      </c>
      <c r="O221">
        <v>10</v>
      </c>
      <c r="P221" t="s">
        <v>27</v>
      </c>
      <c r="Q221" s="1">
        <v>44416</v>
      </c>
    </row>
    <row r="222" spans="1:17" x14ac:dyDescent="0.3">
      <c r="A222" t="s">
        <v>28</v>
      </c>
      <c r="B222" t="s">
        <v>15</v>
      </c>
      <c r="C222" t="s">
        <v>16</v>
      </c>
      <c r="D222" t="s">
        <v>40</v>
      </c>
      <c r="E222" t="s">
        <v>15</v>
      </c>
      <c r="F222" s="9">
        <v>0.02</v>
      </c>
      <c r="G222" s="10">
        <v>5941</v>
      </c>
      <c r="H222">
        <v>6.73</v>
      </c>
      <c r="I222" s="5">
        <f>ROUND(Marketing[[#This Row],[Clicks]]*Marketing[[#This Row],[Conversion_Rate]],0)</f>
        <v>14</v>
      </c>
      <c r="J222" s="12">
        <f>Marketing[[#This Row],[Campaign_Cost]]/Marketing[[#This Row],[Customers]]</f>
        <v>424.35714285714283</v>
      </c>
      <c r="K222" t="s">
        <v>38</v>
      </c>
      <c r="L222" t="s">
        <v>33</v>
      </c>
      <c r="M222">
        <v>715</v>
      </c>
      <c r="N222">
        <v>8580</v>
      </c>
      <c r="O222">
        <v>2</v>
      </c>
      <c r="P222" t="s">
        <v>44</v>
      </c>
      <c r="Q222" s="1">
        <v>44417</v>
      </c>
    </row>
    <row r="223" spans="1:17" x14ac:dyDescent="0.3">
      <c r="A223" t="s">
        <v>28</v>
      </c>
      <c r="B223" t="s">
        <v>15</v>
      </c>
      <c r="C223" t="s">
        <v>30</v>
      </c>
      <c r="D223" t="s">
        <v>40</v>
      </c>
      <c r="E223" t="s">
        <v>41</v>
      </c>
      <c r="F223" s="9">
        <v>0.09</v>
      </c>
      <c r="G223" s="10">
        <v>12239</v>
      </c>
      <c r="H223">
        <v>2.98</v>
      </c>
      <c r="I223" s="5">
        <f>ROUND(Marketing[[#This Row],[Clicks]]*Marketing[[#This Row],[Conversion_Rate]],0)</f>
        <v>18</v>
      </c>
      <c r="J223" s="12">
        <f>Marketing[[#This Row],[Campaign_Cost]]/Marketing[[#This Row],[Customers]]</f>
        <v>679.94444444444446</v>
      </c>
      <c r="K223" t="s">
        <v>32</v>
      </c>
      <c r="L223" t="s">
        <v>39</v>
      </c>
      <c r="M223">
        <v>198</v>
      </c>
      <c r="N223">
        <v>8847</v>
      </c>
      <c r="O223">
        <v>2</v>
      </c>
      <c r="P223" t="s">
        <v>42</v>
      </c>
      <c r="Q223" s="1">
        <v>44418</v>
      </c>
    </row>
    <row r="224" spans="1:17" x14ac:dyDescent="0.3">
      <c r="A224" t="s">
        <v>35</v>
      </c>
      <c r="B224" t="s">
        <v>45</v>
      </c>
      <c r="C224" t="s">
        <v>52</v>
      </c>
      <c r="D224" t="s">
        <v>17</v>
      </c>
      <c r="E224" t="s">
        <v>48</v>
      </c>
      <c r="F224" s="9">
        <v>0.04</v>
      </c>
      <c r="G224" s="10">
        <v>11973</v>
      </c>
      <c r="H224">
        <v>5.36</v>
      </c>
      <c r="I224" s="5">
        <f>ROUND(Marketing[[#This Row],[Clicks]]*Marketing[[#This Row],[Conversion_Rate]],0)</f>
        <v>10</v>
      </c>
      <c r="J224" s="12">
        <f>Marketing[[#This Row],[Campaign_Cost]]/Marketing[[#This Row],[Customers]]</f>
        <v>1197.3</v>
      </c>
      <c r="K224" t="s">
        <v>32</v>
      </c>
      <c r="L224" t="s">
        <v>20</v>
      </c>
      <c r="M224">
        <v>240</v>
      </c>
      <c r="N224">
        <v>5611</v>
      </c>
      <c r="O224">
        <v>6</v>
      </c>
      <c r="P224" t="s">
        <v>27</v>
      </c>
      <c r="Q224" s="1">
        <v>44419</v>
      </c>
    </row>
    <row r="225" spans="1:17" x14ac:dyDescent="0.3">
      <c r="A225" t="s">
        <v>49</v>
      </c>
      <c r="B225" t="s">
        <v>36</v>
      </c>
      <c r="C225" t="s">
        <v>23</v>
      </c>
      <c r="D225" t="s">
        <v>40</v>
      </c>
      <c r="E225" t="s">
        <v>18</v>
      </c>
      <c r="F225" s="9">
        <v>0.1</v>
      </c>
      <c r="G225" s="10">
        <v>5697</v>
      </c>
      <c r="H225">
        <v>7.76</v>
      </c>
      <c r="I225" s="5">
        <f>ROUND(Marketing[[#This Row],[Clicks]]*Marketing[[#This Row],[Conversion_Rate]],0)</f>
        <v>29</v>
      </c>
      <c r="J225" s="12">
        <f>Marketing[[#This Row],[Campaign_Cost]]/Marketing[[#This Row],[Customers]]</f>
        <v>196.44827586206895</v>
      </c>
      <c r="K225" t="s">
        <v>38</v>
      </c>
      <c r="L225" t="s">
        <v>26</v>
      </c>
      <c r="M225">
        <v>285</v>
      </c>
      <c r="N225">
        <v>3131</v>
      </c>
      <c r="O225">
        <v>1</v>
      </c>
      <c r="P225" t="s">
        <v>42</v>
      </c>
      <c r="Q225" s="1">
        <v>44420</v>
      </c>
    </row>
    <row r="226" spans="1:17" x14ac:dyDescent="0.3">
      <c r="A226" t="s">
        <v>35</v>
      </c>
      <c r="B226" t="s">
        <v>15</v>
      </c>
      <c r="C226" t="s">
        <v>30</v>
      </c>
      <c r="D226" t="s">
        <v>17</v>
      </c>
      <c r="E226" t="s">
        <v>41</v>
      </c>
      <c r="F226" s="9">
        <v>0.12</v>
      </c>
      <c r="G226" s="10">
        <v>6388</v>
      </c>
      <c r="H226">
        <v>6.8</v>
      </c>
      <c r="I226" s="5">
        <f>ROUND(Marketing[[#This Row],[Clicks]]*Marketing[[#This Row],[Conversion_Rate]],0)</f>
        <v>19</v>
      </c>
      <c r="J226" s="12">
        <f>Marketing[[#This Row],[Campaign_Cost]]/Marketing[[#This Row],[Customers]]</f>
        <v>336.21052631578948</v>
      </c>
      <c r="K226" t="s">
        <v>51</v>
      </c>
      <c r="L226" t="s">
        <v>50</v>
      </c>
      <c r="M226">
        <v>159</v>
      </c>
      <c r="N226">
        <v>4073</v>
      </c>
      <c r="O226">
        <v>7</v>
      </c>
      <c r="P226" t="s">
        <v>34</v>
      </c>
      <c r="Q226" s="1">
        <v>44421</v>
      </c>
    </row>
    <row r="227" spans="1:17" x14ac:dyDescent="0.3">
      <c r="A227" t="s">
        <v>22</v>
      </c>
      <c r="B227" t="s">
        <v>29</v>
      </c>
      <c r="C227" t="s">
        <v>23</v>
      </c>
      <c r="D227" t="s">
        <v>24</v>
      </c>
      <c r="E227" t="s">
        <v>48</v>
      </c>
      <c r="F227" s="9">
        <v>0.15</v>
      </c>
      <c r="G227" s="10">
        <v>10330</v>
      </c>
      <c r="H227">
        <v>2.83</v>
      </c>
      <c r="I227" s="5">
        <f>ROUND(Marketing[[#This Row],[Clicks]]*Marketing[[#This Row],[Conversion_Rate]],0)</f>
        <v>23</v>
      </c>
      <c r="J227" s="12">
        <f>Marketing[[#This Row],[Campaign_Cost]]/Marketing[[#This Row],[Customers]]</f>
        <v>449.13043478260869</v>
      </c>
      <c r="K227" t="s">
        <v>51</v>
      </c>
      <c r="L227" t="s">
        <v>33</v>
      </c>
      <c r="M227">
        <v>153</v>
      </c>
      <c r="N227">
        <v>5056</v>
      </c>
      <c r="O227">
        <v>1</v>
      </c>
      <c r="P227" t="s">
        <v>42</v>
      </c>
      <c r="Q227" s="1">
        <v>44422</v>
      </c>
    </row>
    <row r="228" spans="1:17" x14ac:dyDescent="0.3">
      <c r="A228" t="s">
        <v>14</v>
      </c>
      <c r="B228" t="s">
        <v>15</v>
      </c>
      <c r="C228" t="s">
        <v>16</v>
      </c>
      <c r="D228" t="s">
        <v>46</v>
      </c>
      <c r="E228" t="s">
        <v>41</v>
      </c>
      <c r="F228" s="9">
        <v>0.08</v>
      </c>
      <c r="G228" s="10">
        <v>5429</v>
      </c>
      <c r="H228">
        <v>6.93</v>
      </c>
      <c r="I228" s="5">
        <f>ROUND(Marketing[[#This Row],[Clicks]]*Marketing[[#This Row],[Conversion_Rate]],0)</f>
        <v>34</v>
      </c>
      <c r="J228" s="12">
        <f>Marketing[[#This Row],[Campaign_Cost]]/Marketing[[#This Row],[Customers]]</f>
        <v>159.6764705882353</v>
      </c>
      <c r="K228" t="s">
        <v>32</v>
      </c>
      <c r="L228" t="s">
        <v>50</v>
      </c>
      <c r="M228">
        <v>423</v>
      </c>
      <c r="N228">
        <v>7289</v>
      </c>
      <c r="O228">
        <v>1</v>
      </c>
      <c r="P228" t="s">
        <v>42</v>
      </c>
      <c r="Q228" s="1">
        <v>44423</v>
      </c>
    </row>
    <row r="229" spans="1:17" x14ac:dyDescent="0.3">
      <c r="A229" t="s">
        <v>49</v>
      </c>
      <c r="B229" t="s">
        <v>29</v>
      </c>
      <c r="C229" t="s">
        <v>30</v>
      </c>
      <c r="D229" t="s">
        <v>46</v>
      </c>
      <c r="E229" t="s">
        <v>18</v>
      </c>
      <c r="F229" s="9">
        <v>0.15</v>
      </c>
      <c r="G229" s="10">
        <v>16318</v>
      </c>
      <c r="H229">
        <v>5.39</v>
      </c>
      <c r="I229" s="5">
        <f>ROUND(Marketing[[#This Row],[Clicks]]*Marketing[[#This Row],[Conversion_Rate]],0)</f>
        <v>99</v>
      </c>
      <c r="J229" s="12">
        <f>Marketing[[#This Row],[Campaign_Cost]]/Marketing[[#This Row],[Customers]]</f>
        <v>164.82828282828282</v>
      </c>
      <c r="K229" t="s">
        <v>19</v>
      </c>
      <c r="L229" t="s">
        <v>26</v>
      </c>
      <c r="M229">
        <v>660</v>
      </c>
      <c r="N229">
        <v>1268</v>
      </c>
      <c r="O229">
        <v>1</v>
      </c>
      <c r="P229" t="s">
        <v>21</v>
      </c>
      <c r="Q229" s="1">
        <v>44424</v>
      </c>
    </row>
    <row r="230" spans="1:17" x14ac:dyDescent="0.3">
      <c r="A230" t="s">
        <v>14</v>
      </c>
      <c r="B230" t="s">
        <v>45</v>
      </c>
      <c r="C230" t="s">
        <v>30</v>
      </c>
      <c r="D230" t="s">
        <v>24</v>
      </c>
      <c r="E230" t="s">
        <v>43</v>
      </c>
      <c r="F230" s="9">
        <v>0.08</v>
      </c>
      <c r="G230" s="10">
        <v>10475</v>
      </c>
      <c r="H230">
        <v>6.46</v>
      </c>
      <c r="I230" s="5">
        <f>ROUND(Marketing[[#This Row],[Clicks]]*Marketing[[#This Row],[Conversion_Rate]],0)</f>
        <v>9</v>
      </c>
      <c r="J230" s="12">
        <f>Marketing[[#This Row],[Campaign_Cost]]/Marketing[[#This Row],[Customers]]</f>
        <v>1163.8888888888889</v>
      </c>
      <c r="K230" t="s">
        <v>32</v>
      </c>
      <c r="L230" t="s">
        <v>39</v>
      </c>
      <c r="M230">
        <v>111</v>
      </c>
      <c r="N230">
        <v>8357</v>
      </c>
      <c r="O230">
        <v>6</v>
      </c>
      <c r="P230" t="s">
        <v>44</v>
      </c>
      <c r="Q230" s="1">
        <v>44425</v>
      </c>
    </row>
    <row r="231" spans="1:17" x14ac:dyDescent="0.3">
      <c r="A231" t="s">
        <v>28</v>
      </c>
      <c r="B231" t="s">
        <v>45</v>
      </c>
      <c r="C231" t="s">
        <v>23</v>
      </c>
      <c r="D231" t="s">
        <v>17</v>
      </c>
      <c r="E231" t="s">
        <v>41</v>
      </c>
      <c r="F231" s="9">
        <v>0.02</v>
      </c>
      <c r="G231" s="10">
        <v>14610</v>
      </c>
      <c r="H231">
        <v>5.38</v>
      </c>
      <c r="I231" s="5">
        <f>ROUND(Marketing[[#This Row],[Clicks]]*Marketing[[#This Row],[Conversion_Rate]],0)</f>
        <v>16</v>
      </c>
      <c r="J231" s="12">
        <f>Marketing[[#This Row],[Campaign_Cost]]/Marketing[[#This Row],[Customers]]</f>
        <v>913.125</v>
      </c>
      <c r="K231" t="s">
        <v>32</v>
      </c>
      <c r="L231" t="s">
        <v>33</v>
      </c>
      <c r="M231">
        <v>820</v>
      </c>
      <c r="N231">
        <v>5111</v>
      </c>
      <c r="O231">
        <v>4</v>
      </c>
      <c r="P231" t="s">
        <v>27</v>
      </c>
      <c r="Q231" s="1">
        <v>44426</v>
      </c>
    </row>
    <row r="232" spans="1:17" x14ac:dyDescent="0.3">
      <c r="A232" t="s">
        <v>35</v>
      </c>
      <c r="B232" t="s">
        <v>15</v>
      </c>
      <c r="C232" t="s">
        <v>23</v>
      </c>
      <c r="D232" t="s">
        <v>40</v>
      </c>
      <c r="E232" t="s">
        <v>48</v>
      </c>
      <c r="F232" s="9">
        <v>0.1</v>
      </c>
      <c r="G232" s="10">
        <v>9636</v>
      </c>
      <c r="H232">
        <v>5.08</v>
      </c>
      <c r="I232" s="5">
        <f>ROUND(Marketing[[#This Row],[Clicks]]*Marketing[[#This Row],[Conversion_Rate]],0)</f>
        <v>94</v>
      </c>
      <c r="J232" s="12">
        <f>Marketing[[#This Row],[Campaign_Cost]]/Marketing[[#This Row],[Customers]]</f>
        <v>102.51063829787235</v>
      </c>
      <c r="K232" t="s">
        <v>25</v>
      </c>
      <c r="L232" t="s">
        <v>26</v>
      </c>
      <c r="M232">
        <v>935</v>
      </c>
      <c r="N232">
        <v>6946</v>
      </c>
      <c r="O232">
        <v>2</v>
      </c>
      <c r="P232" t="s">
        <v>27</v>
      </c>
      <c r="Q232" s="1">
        <v>44427</v>
      </c>
    </row>
    <row r="233" spans="1:17" x14ac:dyDescent="0.3">
      <c r="A233" t="s">
        <v>22</v>
      </c>
      <c r="B233" t="s">
        <v>15</v>
      </c>
      <c r="C233" t="s">
        <v>52</v>
      </c>
      <c r="D233" t="s">
        <v>24</v>
      </c>
      <c r="E233" t="s">
        <v>18</v>
      </c>
      <c r="F233" s="9">
        <v>0.05</v>
      </c>
      <c r="G233" s="10">
        <v>11450</v>
      </c>
      <c r="H233">
        <v>2.89</v>
      </c>
      <c r="I233" s="5">
        <f>ROUND(Marketing[[#This Row],[Clicks]]*Marketing[[#This Row],[Conversion_Rate]],0)</f>
        <v>34</v>
      </c>
      <c r="J233" s="12">
        <f>Marketing[[#This Row],[Campaign_Cost]]/Marketing[[#This Row],[Customers]]</f>
        <v>336.76470588235293</v>
      </c>
      <c r="K233" t="s">
        <v>25</v>
      </c>
      <c r="L233" t="s">
        <v>20</v>
      </c>
      <c r="M233">
        <v>685</v>
      </c>
      <c r="N233">
        <v>7667</v>
      </c>
      <c r="O233">
        <v>6</v>
      </c>
      <c r="P233" t="s">
        <v>27</v>
      </c>
      <c r="Q233" s="1">
        <v>44428</v>
      </c>
    </row>
    <row r="234" spans="1:17" x14ac:dyDescent="0.3">
      <c r="A234" t="s">
        <v>35</v>
      </c>
      <c r="B234" t="s">
        <v>15</v>
      </c>
      <c r="C234" t="s">
        <v>23</v>
      </c>
      <c r="D234" t="s">
        <v>24</v>
      </c>
      <c r="E234" t="s">
        <v>48</v>
      </c>
      <c r="F234" s="9">
        <v>0.02</v>
      </c>
      <c r="G234" s="10">
        <v>14372</v>
      </c>
      <c r="H234">
        <v>4.26</v>
      </c>
      <c r="I234" s="5">
        <f>ROUND(Marketing[[#This Row],[Clicks]]*Marketing[[#This Row],[Conversion_Rate]],0)</f>
        <v>14</v>
      </c>
      <c r="J234" s="12">
        <f>Marketing[[#This Row],[Campaign_Cost]]/Marketing[[#This Row],[Customers]]</f>
        <v>1026.5714285714287</v>
      </c>
      <c r="K234" t="s">
        <v>51</v>
      </c>
      <c r="L234" t="s">
        <v>20</v>
      </c>
      <c r="M234">
        <v>703</v>
      </c>
      <c r="N234">
        <v>6178</v>
      </c>
      <c r="O234">
        <v>2</v>
      </c>
      <c r="P234" t="s">
        <v>44</v>
      </c>
      <c r="Q234" s="1">
        <v>44429</v>
      </c>
    </row>
    <row r="235" spans="1:17" x14ac:dyDescent="0.3">
      <c r="A235" t="s">
        <v>14</v>
      </c>
      <c r="B235" t="s">
        <v>45</v>
      </c>
      <c r="C235" t="s">
        <v>30</v>
      </c>
      <c r="D235" t="s">
        <v>24</v>
      </c>
      <c r="E235" t="s">
        <v>43</v>
      </c>
      <c r="F235" s="9">
        <v>0.04</v>
      </c>
      <c r="G235" s="10">
        <v>15105</v>
      </c>
      <c r="H235">
        <v>5.61</v>
      </c>
      <c r="I235" s="5">
        <f>ROUND(Marketing[[#This Row],[Clicks]]*Marketing[[#This Row],[Conversion_Rate]],0)</f>
        <v>15</v>
      </c>
      <c r="J235" s="12">
        <f>Marketing[[#This Row],[Campaign_Cost]]/Marketing[[#This Row],[Customers]]</f>
        <v>1007</v>
      </c>
      <c r="K235" t="s">
        <v>19</v>
      </c>
      <c r="L235" t="s">
        <v>26</v>
      </c>
      <c r="M235">
        <v>366</v>
      </c>
      <c r="N235">
        <v>8306</v>
      </c>
      <c r="O235">
        <v>1</v>
      </c>
      <c r="P235" t="s">
        <v>27</v>
      </c>
      <c r="Q235" s="1">
        <v>44430</v>
      </c>
    </row>
    <row r="236" spans="1:17" x14ac:dyDescent="0.3">
      <c r="A236" t="s">
        <v>28</v>
      </c>
      <c r="B236" t="s">
        <v>36</v>
      </c>
      <c r="C236" t="s">
        <v>30</v>
      </c>
      <c r="D236" t="s">
        <v>40</v>
      </c>
      <c r="E236" t="s">
        <v>48</v>
      </c>
      <c r="F236" s="9">
        <v>7.0000000000000007E-2</v>
      </c>
      <c r="G236" s="10">
        <v>10319</v>
      </c>
      <c r="H236">
        <v>7.47</v>
      </c>
      <c r="I236" s="5">
        <f>ROUND(Marketing[[#This Row],[Clicks]]*Marketing[[#This Row],[Conversion_Rate]],0)</f>
        <v>29</v>
      </c>
      <c r="J236" s="12">
        <f>Marketing[[#This Row],[Campaign_Cost]]/Marketing[[#This Row],[Customers]]</f>
        <v>355.82758620689657</v>
      </c>
      <c r="K236" t="s">
        <v>19</v>
      </c>
      <c r="L236" t="s">
        <v>26</v>
      </c>
      <c r="M236">
        <v>409</v>
      </c>
      <c r="N236">
        <v>4851</v>
      </c>
      <c r="O236">
        <v>6</v>
      </c>
      <c r="P236" t="s">
        <v>34</v>
      </c>
      <c r="Q236" s="1">
        <v>44431</v>
      </c>
    </row>
    <row r="237" spans="1:17" x14ac:dyDescent="0.3">
      <c r="A237" t="s">
        <v>49</v>
      </c>
      <c r="B237" t="s">
        <v>45</v>
      </c>
      <c r="C237" t="s">
        <v>52</v>
      </c>
      <c r="D237" t="s">
        <v>46</v>
      </c>
      <c r="E237" t="s">
        <v>18</v>
      </c>
      <c r="F237" s="9">
        <v>0.04</v>
      </c>
      <c r="G237" s="10">
        <v>5220</v>
      </c>
      <c r="H237">
        <v>4.79</v>
      </c>
      <c r="I237" s="5">
        <f>ROUND(Marketing[[#This Row],[Clicks]]*Marketing[[#This Row],[Conversion_Rate]],0)</f>
        <v>26</v>
      </c>
      <c r="J237" s="12">
        <f>Marketing[[#This Row],[Campaign_Cost]]/Marketing[[#This Row],[Customers]]</f>
        <v>200.76923076923077</v>
      </c>
      <c r="K237" t="s">
        <v>25</v>
      </c>
      <c r="L237" t="s">
        <v>33</v>
      </c>
      <c r="M237">
        <v>662</v>
      </c>
      <c r="N237">
        <v>8586</v>
      </c>
      <c r="O237">
        <v>2</v>
      </c>
      <c r="P237" t="s">
        <v>27</v>
      </c>
      <c r="Q237" s="1">
        <v>44432</v>
      </c>
    </row>
    <row r="238" spans="1:17" x14ac:dyDescent="0.3">
      <c r="A238" t="s">
        <v>22</v>
      </c>
      <c r="B238" t="s">
        <v>45</v>
      </c>
      <c r="C238" t="s">
        <v>16</v>
      </c>
      <c r="D238" t="s">
        <v>17</v>
      </c>
      <c r="E238" t="s">
        <v>15</v>
      </c>
      <c r="F238" s="9">
        <v>0.14000000000000001</v>
      </c>
      <c r="G238" s="10">
        <v>15820</v>
      </c>
      <c r="H238">
        <v>5.12</v>
      </c>
      <c r="I238" s="5">
        <f>ROUND(Marketing[[#This Row],[Clicks]]*Marketing[[#This Row],[Conversion_Rate]],0)</f>
        <v>34</v>
      </c>
      <c r="J238" s="12">
        <f>Marketing[[#This Row],[Campaign_Cost]]/Marketing[[#This Row],[Customers]]</f>
        <v>465.29411764705884</v>
      </c>
      <c r="K238" t="s">
        <v>19</v>
      </c>
      <c r="L238" t="s">
        <v>26</v>
      </c>
      <c r="M238">
        <v>240</v>
      </c>
      <c r="N238">
        <v>6283</v>
      </c>
      <c r="O238">
        <v>9</v>
      </c>
      <c r="P238" t="s">
        <v>21</v>
      </c>
      <c r="Q238" s="1">
        <v>44433</v>
      </c>
    </row>
    <row r="239" spans="1:17" x14ac:dyDescent="0.3">
      <c r="A239" t="s">
        <v>14</v>
      </c>
      <c r="B239" t="s">
        <v>36</v>
      </c>
      <c r="C239" t="s">
        <v>16</v>
      </c>
      <c r="D239" t="s">
        <v>24</v>
      </c>
      <c r="E239" t="s">
        <v>43</v>
      </c>
      <c r="F239" s="9">
        <v>0.01</v>
      </c>
      <c r="G239" s="10">
        <v>18076</v>
      </c>
      <c r="H239">
        <v>3.13</v>
      </c>
      <c r="I239" s="5">
        <f>ROUND(Marketing[[#This Row],[Clicks]]*Marketing[[#This Row],[Conversion_Rate]],0)</f>
        <v>3</v>
      </c>
      <c r="J239" s="12">
        <f>Marketing[[#This Row],[Campaign_Cost]]/Marketing[[#This Row],[Customers]]</f>
        <v>6025.333333333333</v>
      </c>
      <c r="K239" t="s">
        <v>25</v>
      </c>
      <c r="L239" t="s">
        <v>50</v>
      </c>
      <c r="M239">
        <v>320</v>
      </c>
      <c r="N239">
        <v>5064</v>
      </c>
      <c r="O239">
        <v>6</v>
      </c>
      <c r="P239" t="s">
        <v>27</v>
      </c>
      <c r="Q239" s="1">
        <v>44434</v>
      </c>
    </row>
    <row r="240" spans="1:17" x14ac:dyDescent="0.3">
      <c r="A240" t="s">
        <v>14</v>
      </c>
      <c r="B240" t="s">
        <v>47</v>
      </c>
      <c r="C240" t="s">
        <v>52</v>
      </c>
      <c r="D240" t="s">
        <v>24</v>
      </c>
      <c r="E240" t="s">
        <v>15</v>
      </c>
      <c r="F240" s="9">
        <v>0.08</v>
      </c>
      <c r="G240" s="10">
        <v>18074</v>
      </c>
      <c r="H240">
        <v>5.99</v>
      </c>
      <c r="I240" s="5">
        <f>ROUND(Marketing[[#This Row],[Clicks]]*Marketing[[#This Row],[Conversion_Rate]],0)</f>
        <v>47</v>
      </c>
      <c r="J240" s="12">
        <f>Marketing[[#This Row],[Campaign_Cost]]/Marketing[[#This Row],[Customers]]</f>
        <v>384.55319148936172</v>
      </c>
      <c r="K240" t="s">
        <v>19</v>
      </c>
      <c r="L240" t="s">
        <v>26</v>
      </c>
      <c r="M240">
        <v>587</v>
      </c>
      <c r="N240">
        <v>4909</v>
      </c>
      <c r="O240">
        <v>5</v>
      </c>
      <c r="P240" t="s">
        <v>34</v>
      </c>
      <c r="Q240" s="1">
        <v>44435</v>
      </c>
    </row>
    <row r="241" spans="1:17" x14ac:dyDescent="0.3">
      <c r="A241" t="s">
        <v>28</v>
      </c>
      <c r="B241" t="s">
        <v>15</v>
      </c>
      <c r="C241" t="s">
        <v>23</v>
      </c>
      <c r="D241" t="s">
        <v>24</v>
      </c>
      <c r="E241" t="s">
        <v>18</v>
      </c>
      <c r="F241" s="9">
        <v>0.1</v>
      </c>
      <c r="G241" s="10">
        <v>6676</v>
      </c>
      <c r="H241">
        <v>5.75</v>
      </c>
      <c r="I241" s="5">
        <f>ROUND(Marketing[[#This Row],[Clicks]]*Marketing[[#This Row],[Conversion_Rate]],0)</f>
        <v>12</v>
      </c>
      <c r="J241" s="12">
        <f>Marketing[[#This Row],[Campaign_Cost]]/Marketing[[#This Row],[Customers]]</f>
        <v>556.33333333333337</v>
      </c>
      <c r="K241" t="s">
        <v>32</v>
      </c>
      <c r="L241" t="s">
        <v>20</v>
      </c>
      <c r="M241">
        <v>119</v>
      </c>
      <c r="N241">
        <v>6702</v>
      </c>
      <c r="O241">
        <v>7</v>
      </c>
      <c r="P241" t="s">
        <v>44</v>
      </c>
      <c r="Q241" s="1">
        <v>44436</v>
      </c>
    </row>
    <row r="242" spans="1:17" x14ac:dyDescent="0.3">
      <c r="A242" t="s">
        <v>14</v>
      </c>
      <c r="B242" t="s">
        <v>36</v>
      </c>
      <c r="C242" t="s">
        <v>52</v>
      </c>
      <c r="D242" t="s">
        <v>46</v>
      </c>
      <c r="E242" t="s">
        <v>15</v>
      </c>
      <c r="F242" s="9">
        <v>0.06</v>
      </c>
      <c r="G242" s="10">
        <v>19928</v>
      </c>
      <c r="H242">
        <v>4.24</v>
      </c>
      <c r="I242" s="5">
        <f>ROUND(Marketing[[#This Row],[Clicks]]*Marketing[[#This Row],[Conversion_Rate]],0)</f>
        <v>7</v>
      </c>
      <c r="J242" s="12">
        <f>Marketing[[#This Row],[Campaign_Cost]]/Marketing[[#This Row],[Customers]]</f>
        <v>2846.8571428571427</v>
      </c>
      <c r="K242" t="s">
        <v>38</v>
      </c>
      <c r="L242" t="s">
        <v>33</v>
      </c>
      <c r="M242">
        <v>116</v>
      </c>
      <c r="N242">
        <v>3794</v>
      </c>
      <c r="O242">
        <v>4</v>
      </c>
      <c r="P242" t="s">
        <v>42</v>
      </c>
      <c r="Q242" s="1">
        <v>44437</v>
      </c>
    </row>
    <row r="243" spans="1:17" x14ac:dyDescent="0.3">
      <c r="A243" t="s">
        <v>22</v>
      </c>
      <c r="B243" t="s">
        <v>45</v>
      </c>
      <c r="C243" t="s">
        <v>52</v>
      </c>
      <c r="D243" t="s">
        <v>24</v>
      </c>
      <c r="E243" t="s">
        <v>18</v>
      </c>
      <c r="F243" s="9">
        <v>0.11</v>
      </c>
      <c r="G243" s="10">
        <v>14322</v>
      </c>
      <c r="H243">
        <v>5.66</v>
      </c>
      <c r="I243" s="5">
        <f>ROUND(Marketing[[#This Row],[Clicks]]*Marketing[[#This Row],[Conversion_Rate]],0)</f>
        <v>96</v>
      </c>
      <c r="J243" s="12">
        <f>Marketing[[#This Row],[Campaign_Cost]]/Marketing[[#This Row],[Customers]]</f>
        <v>149.1875</v>
      </c>
      <c r="K243" t="s">
        <v>25</v>
      </c>
      <c r="L243" t="s">
        <v>20</v>
      </c>
      <c r="M243">
        <v>872</v>
      </c>
      <c r="N243">
        <v>8759</v>
      </c>
      <c r="O243">
        <v>2</v>
      </c>
      <c r="P243" t="s">
        <v>27</v>
      </c>
      <c r="Q243" s="1">
        <v>44438</v>
      </c>
    </row>
    <row r="244" spans="1:17" x14ac:dyDescent="0.3">
      <c r="A244" t="s">
        <v>28</v>
      </c>
      <c r="B244" t="s">
        <v>29</v>
      </c>
      <c r="C244" t="s">
        <v>16</v>
      </c>
      <c r="D244" t="s">
        <v>24</v>
      </c>
      <c r="E244" t="s">
        <v>43</v>
      </c>
      <c r="F244" s="9">
        <v>0.1</v>
      </c>
      <c r="G244" s="10">
        <v>19463</v>
      </c>
      <c r="H244">
        <v>3.02</v>
      </c>
      <c r="I244" s="5">
        <f>ROUND(Marketing[[#This Row],[Clicks]]*Marketing[[#This Row],[Conversion_Rate]],0)</f>
        <v>97</v>
      </c>
      <c r="J244" s="12">
        <f>Marketing[[#This Row],[Campaign_Cost]]/Marketing[[#This Row],[Customers]]</f>
        <v>200.64948453608247</v>
      </c>
      <c r="K244" t="s">
        <v>38</v>
      </c>
      <c r="L244" t="s">
        <v>39</v>
      </c>
      <c r="M244">
        <v>970</v>
      </c>
      <c r="N244">
        <v>8060</v>
      </c>
      <c r="O244">
        <v>3</v>
      </c>
      <c r="P244" t="s">
        <v>44</v>
      </c>
      <c r="Q244" s="1">
        <v>44439</v>
      </c>
    </row>
    <row r="245" spans="1:17" x14ac:dyDescent="0.3">
      <c r="A245" t="s">
        <v>28</v>
      </c>
      <c r="B245" t="s">
        <v>29</v>
      </c>
      <c r="C245" t="s">
        <v>30</v>
      </c>
      <c r="D245" t="s">
        <v>46</v>
      </c>
      <c r="E245" t="s">
        <v>18</v>
      </c>
      <c r="F245" s="9">
        <v>0.13</v>
      </c>
      <c r="G245" s="10">
        <v>12616</v>
      </c>
      <c r="H245">
        <v>5.23</v>
      </c>
      <c r="I245" s="5">
        <f>ROUND(Marketing[[#This Row],[Clicks]]*Marketing[[#This Row],[Conversion_Rate]],0)</f>
        <v>112</v>
      </c>
      <c r="J245" s="12">
        <f>Marketing[[#This Row],[Campaign_Cost]]/Marketing[[#This Row],[Customers]]</f>
        <v>112.64285714285714</v>
      </c>
      <c r="K245" t="s">
        <v>25</v>
      </c>
      <c r="L245" t="s">
        <v>26</v>
      </c>
      <c r="M245">
        <v>864</v>
      </c>
      <c r="N245">
        <v>1054</v>
      </c>
      <c r="O245">
        <v>6</v>
      </c>
      <c r="P245" t="s">
        <v>27</v>
      </c>
      <c r="Q245" s="1">
        <v>44440</v>
      </c>
    </row>
    <row r="246" spans="1:17" x14ac:dyDescent="0.3">
      <c r="A246" t="s">
        <v>35</v>
      </c>
      <c r="B246" t="s">
        <v>29</v>
      </c>
      <c r="C246" t="s">
        <v>52</v>
      </c>
      <c r="D246" t="s">
        <v>17</v>
      </c>
      <c r="E246" t="s">
        <v>43</v>
      </c>
      <c r="F246" s="9">
        <v>0.12</v>
      </c>
      <c r="G246" s="10">
        <v>14856</v>
      </c>
      <c r="H246">
        <v>2.0499999999999998</v>
      </c>
      <c r="I246" s="5">
        <f>ROUND(Marketing[[#This Row],[Clicks]]*Marketing[[#This Row],[Conversion_Rate]],0)</f>
        <v>72</v>
      </c>
      <c r="J246" s="12">
        <f>Marketing[[#This Row],[Campaign_Cost]]/Marketing[[#This Row],[Customers]]</f>
        <v>206.33333333333334</v>
      </c>
      <c r="K246" t="s">
        <v>19</v>
      </c>
      <c r="L246" t="s">
        <v>39</v>
      </c>
      <c r="M246">
        <v>597</v>
      </c>
      <c r="N246">
        <v>2672</v>
      </c>
      <c r="O246">
        <v>3</v>
      </c>
      <c r="P246" t="s">
        <v>27</v>
      </c>
      <c r="Q246" s="1">
        <v>44441</v>
      </c>
    </row>
    <row r="247" spans="1:17" x14ac:dyDescent="0.3">
      <c r="A247" t="s">
        <v>35</v>
      </c>
      <c r="B247" t="s">
        <v>36</v>
      </c>
      <c r="C247" t="s">
        <v>16</v>
      </c>
      <c r="D247" t="s">
        <v>40</v>
      </c>
      <c r="E247" t="s">
        <v>41</v>
      </c>
      <c r="F247" s="9">
        <v>0.14000000000000001</v>
      </c>
      <c r="G247" s="10">
        <v>19347</v>
      </c>
      <c r="H247">
        <v>3.49</v>
      </c>
      <c r="I247" s="5">
        <f>ROUND(Marketing[[#This Row],[Clicks]]*Marketing[[#This Row],[Conversion_Rate]],0)</f>
        <v>139</v>
      </c>
      <c r="J247" s="12">
        <f>Marketing[[#This Row],[Campaign_Cost]]/Marketing[[#This Row],[Customers]]</f>
        <v>139.18705035971223</v>
      </c>
      <c r="K247" t="s">
        <v>51</v>
      </c>
      <c r="L247" t="s">
        <v>33</v>
      </c>
      <c r="M247">
        <v>993</v>
      </c>
      <c r="N247">
        <v>5113</v>
      </c>
      <c r="O247">
        <v>2</v>
      </c>
      <c r="P247" t="s">
        <v>44</v>
      </c>
      <c r="Q247" s="1">
        <v>44442</v>
      </c>
    </row>
    <row r="248" spans="1:17" x14ac:dyDescent="0.3">
      <c r="A248" t="s">
        <v>35</v>
      </c>
      <c r="B248" t="s">
        <v>47</v>
      </c>
      <c r="C248" t="s">
        <v>30</v>
      </c>
      <c r="D248" t="s">
        <v>40</v>
      </c>
      <c r="E248" t="s">
        <v>18</v>
      </c>
      <c r="F248" s="9">
        <v>0.15</v>
      </c>
      <c r="G248" s="10">
        <v>14124</v>
      </c>
      <c r="H248">
        <v>6.53</v>
      </c>
      <c r="I248" s="5">
        <f>ROUND(Marketing[[#This Row],[Clicks]]*Marketing[[#This Row],[Conversion_Rate]],0)</f>
        <v>145</v>
      </c>
      <c r="J248" s="12">
        <f>Marketing[[#This Row],[Campaign_Cost]]/Marketing[[#This Row],[Customers]]</f>
        <v>97.406896551724131</v>
      </c>
      <c r="K248" t="s">
        <v>25</v>
      </c>
      <c r="L248" t="s">
        <v>20</v>
      </c>
      <c r="M248">
        <v>967</v>
      </c>
      <c r="N248">
        <v>4832</v>
      </c>
      <c r="O248">
        <v>8</v>
      </c>
      <c r="P248" t="s">
        <v>21</v>
      </c>
      <c r="Q248" s="1">
        <v>44443</v>
      </c>
    </row>
    <row r="249" spans="1:17" x14ac:dyDescent="0.3">
      <c r="A249" t="s">
        <v>35</v>
      </c>
      <c r="B249" t="s">
        <v>47</v>
      </c>
      <c r="C249" t="s">
        <v>52</v>
      </c>
      <c r="D249" t="s">
        <v>46</v>
      </c>
      <c r="E249" t="s">
        <v>18</v>
      </c>
      <c r="F249" s="9">
        <v>0.15</v>
      </c>
      <c r="G249" s="10">
        <v>9761</v>
      </c>
      <c r="H249">
        <v>3.26</v>
      </c>
      <c r="I249" s="5">
        <f>ROUND(Marketing[[#This Row],[Clicks]]*Marketing[[#This Row],[Conversion_Rate]],0)</f>
        <v>53</v>
      </c>
      <c r="J249" s="12">
        <f>Marketing[[#This Row],[Campaign_Cost]]/Marketing[[#This Row],[Customers]]</f>
        <v>184.16981132075472</v>
      </c>
      <c r="K249" t="s">
        <v>19</v>
      </c>
      <c r="L249" t="s">
        <v>39</v>
      </c>
      <c r="M249">
        <v>350</v>
      </c>
      <c r="N249">
        <v>4327</v>
      </c>
      <c r="O249">
        <v>10</v>
      </c>
      <c r="P249" t="s">
        <v>34</v>
      </c>
      <c r="Q249" s="1">
        <v>44444</v>
      </c>
    </row>
    <row r="250" spans="1:17" x14ac:dyDescent="0.3">
      <c r="A250" t="s">
        <v>35</v>
      </c>
      <c r="B250" t="s">
        <v>47</v>
      </c>
      <c r="C250" t="s">
        <v>23</v>
      </c>
      <c r="D250" t="s">
        <v>17</v>
      </c>
      <c r="E250" t="s">
        <v>18</v>
      </c>
      <c r="F250" s="9">
        <v>0.1</v>
      </c>
      <c r="G250" s="10">
        <v>5575</v>
      </c>
      <c r="H250">
        <v>3.42</v>
      </c>
      <c r="I250" s="5">
        <f>ROUND(Marketing[[#This Row],[Clicks]]*Marketing[[#This Row],[Conversion_Rate]],0)</f>
        <v>32</v>
      </c>
      <c r="J250" s="12">
        <f>Marketing[[#This Row],[Campaign_Cost]]/Marketing[[#This Row],[Customers]]</f>
        <v>174.21875</v>
      </c>
      <c r="K250" t="s">
        <v>51</v>
      </c>
      <c r="L250" t="s">
        <v>50</v>
      </c>
      <c r="M250">
        <v>324</v>
      </c>
      <c r="N250">
        <v>2310</v>
      </c>
      <c r="O250">
        <v>6</v>
      </c>
      <c r="P250" t="s">
        <v>42</v>
      </c>
      <c r="Q250" s="1">
        <v>44445</v>
      </c>
    </row>
    <row r="251" spans="1:17" x14ac:dyDescent="0.3">
      <c r="A251" t="s">
        <v>28</v>
      </c>
      <c r="B251" t="s">
        <v>36</v>
      </c>
      <c r="C251" t="s">
        <v>37</v>
      </c>
      <c r="D251" t="s">
        <v>40</v>
      </c>
      <c r="E251" t="s">
        <v>15</v>
      </c>
      <c r="F251" s="9">
        <v>0.13</v>
      </c>
      <c r="G251" s="10">
        <v>15120</v>
      </c>
      <c r="H251">
        <v>5.25</v>
      </c>
      <c r="I251" s="5">
        <f>ROUND(Marketing[[#This Row],[Clicks]]*Marketing[[#This Row],[Conversion_Rate]],0)</f>
        <v>117</v>
      </c>
      <c r="J251" s="12">
        <f>Marketing[[#This Row],[Campaign_Cost]]/Marketing[[#This Row],[Customers]]</f>
        <v>129.23076923076923</v>
      </c>
      <c r="K251" t="s">
        <v>19</v>
      </c>
      <c r="L251" t="s">
        <v>39</v>
      </c>
      <c r="M251">
        <v>897</v>
      </c>
      <c r="N251">
        <v>1928</v>
      </c>
      <c r="O251">
        <v>7</v>
      </c>
      <c r="P251" t="s">
        <v>27</v>
      </c>
      <c r="Q251" s="1">
        <v>44446</v>
      </c>
    </row>
    <row r="252" spans="1:17" x14ac:dyDescent="0.3">
      <c r="A252" t="s">
        <v>14</v>
      </c>
      <c r="B252" t="s">
        <v>36</v>
      </c>
      <c r="C252" t="s">
        <v>52</v>
      </c>
      <c r="D252" t="s">
        <v>46</v>
      </c>
      <c r="E252" t="s">
        <v>43</v>
      </c>
      <c r="F252" s="9">
        <v>0.1</v>
      </c>
      <c r="G252" s="10">
        <v>16108</v>
      </c>
      <c r="H252">
        <v>2.15</v>
      </c>
      <c r="I252" s="5">
        <f>ROUND(Marketing[[#This Row],[Clicks]]*Marketing[[#This Row],[Conversion_Rate]],0)</f>
        <v>16</v>
      </c>
      <c r="J252" s="12">
        <f>Marketing[[#This Row],[Campaign_Cost]]/Marketing[[#This Row],[Customers]]</f>
        <v>1006.75</v>
      </c>
      <c r="K252" t="s">
        <v>25</v>
      </c>
      <c r="L252" t="s">
        <v>33</v>
      </c>
      <c r="M252">
        <v>162</v>
      </c>
      <c r="N252">
        <v>7983</v>
      </c>
      <c r="O252">
        <v>7</v>
      </c>
      <c r="P252" t="s">
        <v>27</v>
      </c>
      <c r="Q252" s="1">
        <v>44447</v>
      </c>
    </row>
    <row r="253" spans="1:17" x14ac:dyDescent="0.3">
      <c r="A253" t="s">
        <v>14</v>
      </c>
      <c r="B253" t="s">
        <v>36</v>
      </c>
      <c r="C253" t="s">
        <v>16</v>
      </c>
      <c r="D253" t="s">
        <v>24</v>
      </c>
      <c r="E253" t="s">
        <v>15</v>
      </c>
      <c r="F253" s="9">
        <v>0.03</v>
      </c>
      <c r="G253" s="10">
        <v>6459</v>
      </c>
      <c r="H253">
        <v>5.33</v>
      </c>
      <c r="I253" s="5">
        <f>ROUND(Marketing[[#This Row],[Clicks]]*Marketing[[#This Row],[Conversion_Rate]],0)</f>
        <v>28</v>
      </c>
      <c r="J253" s="12">
        <f>Marketing[[#This Row],[Campaign_Cost]]/Marketing[[#This Row],[Customers]]</f>
        <v>230.67857142857142</v>
      </c>
      <c r="K253" t="s">
        <v>51</v>
      </c>
      <c r="L253" t="s">
        <v>39</v>
      </c>
      <c r="M253">
        <v>949</v>
      </c>
      <c r="N253">
        <v>7441</v>
      </c>
      <c r="O253">
        <v>4</v>
      </c>
      <c r="P253" t="s">
        <v>34</v>
      </c>
      <c r="Q253" s="1">
        <v>44448</v>
      </c>
    </row>
    <row r="254" spans="1:17" x14ac:dyDescent="0.3">
      <c r="A254" t="s">
        <v>28</v>
      </c>
      <c r="B254" t="s">
        <v>45</v>
      </c>
      <c r="C254" t="s">
        <v>37</v>
      </c>
      <c r="D254" t="s">
        <v>17</v>
      </c>
      <c r="E254" t="s">
        <v>15</v>
      </c>
      <c r="F254" s="9">
        <v>0.08</v>
      </c>
      <c r="G254" s="10">
        <v>16937</v>
      </c>
      <c r="H254">
        <v>4.24</v>
      </c>
      <c r="I254" s="5">
        <f>ROUND(Marketing[[#This Row],[Clicks]]*Marketing[[#This Row],[Conversion_Rate]],0)</f>
        <v>12</v>
      </c>
      <c r="J254" s="12">
        <f>Marketing[[#This Row],[Campaign_Cost]]/Marketing[[#This Row],[Customers]]</f>
        <v>1411.4166666666667</v>
      </c>
      <c r="K254" t="s">
        <v>51</v>
      </c>
      <c r="L254" t="s">
        <v>33</v>
      </c>
      <c r="M254">
        <v>154</v>
      </c>
      <c r="N254">
        <v>7455</v>
      </c>
      <c r="O254">
        <v>9</v>
      </c>
      <c r="P254" t="s">
        <v>44</v>
      </c>
      <c r="Q254" s="1">
        <v>44449</v>
      </c>
    </row>
    <row r="255" spans="1:17" x14ac:dyDescent="0.3">
      <c r="A255" t="s">
        <v>14</v>
      </c>
      <c r="B255" t="s">
        <v>29</v>
      </c>
      <c r="C255" t="s">
        <v>23</v>
      </c>
      <c r="D255" t="s">
        <v>24</v>
      </c>
      <c r="E255" t="s">
        <v>48</v>
      </c>
      <c r="F255" s="9">
        <v>7.0000000000000007E-2</v>
      </c>
      <c r="G255" s="10">
        <v>11092</v>
      </c>
      <c r="H255">
        <v>4.55</v>
      </c>
      <c r="I255" s="5">
        <f>ROUND(Marketing[[#This Row],[Clicks]]*Marketing[[#This Row],[Conversion_Rate]],0)</f>
        <v>51</v>
      </c>
      <c r="J255" s="12">
        <f>Marketing[[#This Row],[Campaign_Cost]]/Marketing[[#This Row],[Customers]]</f>
        <v>217.49019607843138</v>
      </c>
      <c r="K255" t="s">
        <v>32</v>
      </c>
      <c r="L255" t="s">
        <v>50</v>
      </c>
      <c r="M255">
        <v>735</v>
      </c>
      <c r="N255">
        <v>7035</v>
      </c>
      <c r="O255">
        <v>7</v>
      </c>
      <c r="P255" t="s">
        <v>42</v>
      </c>
      <c r="Q255" s="1">
        <v>44450</v>
      </c>
    </row>
    <row r="256" spans="1:17" x14ac:dyDescent="0.3">
      <c r="A256" t="s">
        <v>14</v>
      </c>
      <c r="B256" t="s">
        <v>47</v>
      </c>
      <c r="C256" t="s">
        <v>23</v>
      </c>
      <c r="D256" t="s">
        <v>17</v>
      </c>
      <c r="E256" t="s">
        <v>48</v>
      </c>
      <c r="F256" s="9">
        <v>0.05</v>
      </c>
      <c r="G256" s="10">
        <v>6772</v>
      </c>
      <c r="H256">
        <v>5.55</v>
      </c>
      <c r="I256" s="5">
        <f>ROUND(Marketing[[#This Row],[Clicks]]*Marketing[[#This Row],[Conversion_Rate]],0)</f>
        <v>17</v>
      </c>
      <c r="J256" s="12">
        <f>Marketing[[#This Row],[Campaign_Cost]]/Marketing[[#This Row],[Customers]]</f>
        <v>398.35294117647061</v>
      </c>
      <c r="K256" t="s">
        <v>25</v>
      </c>
      <c r="L256" t="s">
        <v>20</v>
      </c>
      <c r="M256">
        <v>341</v>
      </c>
      <c r="N256">
        <v>9370</v>
      </c>
      <c r="O256">
        <v>2</v>
      </c>
      <c r="P256" t="s">
        <v>27</v>
      </c>
      <c r="Q256" s="1">
        <v>44451</v>
      </c>
    </row>
    <row r="257" spans="1:17" x14ac:dyDescent="0.3">
      <c r="A257" t="s">
        <v>22</v>
      </c>
      <c r="B257" t="s">
        <v>29</v>
      </c>
      <c r="C257" t="s">
        <v>30</v>
      </c>
      <c r="D257" t="s">
        <v>17</v>
      </c>
      <c r="E257" t="s">
        <v>31</v>
      </c>
      <c r="F257" s="9">
        <v>0.08</v>
      </c>
      <c r="G257" s="10">
        <v>7331</v>
      </c>
      <c r="H257">
        <v>2.27</v>
      </c>
      <c r="I257" s="5">
        <f>ROUND(Marketing[[#This Row],[Clicks]]*Marketing[[#This Row],[Conversion_Rate]],0)</f>
        <v>18</v>
      </c>
      <c r="J257" s="12">
        <f>Marketing[[#This Row],[Campaign_Cost]]/Marketing[[#This Row],[Customers]]</f>
        <v>407.27777777777777</v>
      </c>
      <c r="K257" t="s">
        <v>38</v>
      </c>
      <c r="L257" t="s">
        <v>20</v>
      </c>
      <c r="M257">
        <v>222</v>
      </c>
      <c r="N257">
        <v>7421</v>
      </c>
      <c r="O257">
        <v>7</v>
      </c>
      <c r="P257" t="s">
        <v>21</v>
      </c>
      <c r="Q257" s="1">
        <v>44452</v>
      </c>
    </row>
    <row r="258" spans="1:17" x14ac:dyDescent="0.3">
      <c r="A258" t="s">
        <v>14</v>
      </c>
      <c r="B258" t="s">
        <v>36</v>
      </c>
      <c r="C258" t="s">
        <v>30</v>
      </c>
      <c r="D258" t="s">
        <v>46</v>
      </c>
      <c r="E258" t="s">
        <v>31</v>
      </c>
      <c r="F258" s="9">
        <v>0.02</v>
      </c>
      <c r="G258" s="10">
        <v>16189</v>
      </c>
      <c r="H258">
        <v>6.92</v>
      </c>
      <c r="I258" s="5">
        <f>ROUND(Marketing[[#This Row],[Clicks]]*Marketing[[#This Row],[Conversion_Rate]],0)</f>
        <v>17</v>
      </c>
      <c r="J258" s="12">
        <f>Marketing[[#This Row],[Campaign_Cost]]/Marketing[[#This Row],[Customers]]</f>
        <v>952.29411764705878</v>
      </c>
      <c r="K258" t="s">
        <v>25</v>
      </c>
      <c r="L258" t="s">
        <v>26</v>
      </c>
      <c r="M258">
        <v>841</v>
      </c>
      <c r="N258">
        <v>9783</v>
      </c>
      <c r="O258">
        <v>7</v>
      </c>
      <c r="P258" t="s">
        <v>42</v>
      </c>
      <c r="Q258" s="1">
        <v>44453</v>
      </c>
    </row>
    <row r="259" spans="1:17" x14ac:dyDescent="0.3">
      <c r="A259" t="s">
        <v>14</v>
      </c>
      <c r="B259" t="s">
        <v>36</v>
      </c>
      <c r="C259" t="s">
        <v>23</v>
      </c>
      <c r="D259" t="s">
        <v>17</v>
      </c>
      <c r="E259" t="s">
        <v>41</v>
      </c>
      <c r="F259" s="9">
        <v>0.06</v>
      </c>
      <c r="G259" s="10">
        <v>11003</v>
      </c>
      <c r="H259">
        <v>7.63</v>
      </c>
      <c r="I259" s="5">
        <f>ROUND(Marketing[[#This Row],[Clicks]]*Marketing[[#This Row],[Conversion_Rate]],0)</f>
        <v>59</v>
      </c>
      <c r="J259" s="12">
        <f>Marketing[[#This Row],[Campaign_Cost]]/Marketing[[#This Row],[Customers]]</f>
        <v>186.4915254237288</v>
      </c>
      <c r="K259" t="s">
        <v>38</v>
      </c>
      <c r="L259" t="s">
        <v>39</v>
      </c>
      <c r="M259">
        <v>986</v>
      </c>
      <c r="N259">
        <v>6349</v>
      </c>
      <c r="O259">
        <v>3</v>
      </c>
      <c r="P259" t="s">
        <v>27</v>
      </c>
      <c r="Q259" s="1">
        <v>44454</v>
      </c>
    </row>
    <row r="260" spans="1:17" x14ac:dyDescent="0.3">
      <c r="A260" t="s">
        <v>22</v>
      </c>
      <c r="B260" t="s">
        <v>47</v>
      </c>
      <c r="C260" t="s">
        <v>30</v>
      </c>
      <c r="D260" t="s">
        <v>40</v>
      </c>
      <c r="E260" t="s">
        <v>18</v>
      </c>
      <c r="F260" s="9">
        <v>7.0000000000000007E-2</v>
      </c>
      <c r="G260" s="10">
        <v>7726</v>
      </c>
      <c r="H260">
        <v>7.64</v>
      </c>
      <c r="I260" s="5">
        <f>ROUND(Marketing[[#This Row],[Clicks]]*Marketing[[#This Row],[Conversion_Rate]],0)</f>
        <v>22</v>
      </c>
      <c r="J260" s="12">
        <f>Marketing[[#This Row],[Campaign_Cost]]/Marketing[[#This Row],[Customers]]</f>
        <v>351.18181818181819</v>
      </c>
      <c r="K260" t="s">
        <v>51</v>
      </c>
      <c r="L260" t="s">
        <v>26</v>
      </c>
      <c r="M260">
        <v>314</v>
      </c>
      <c r="N260">
        <v>4021</v>
      </c>
      <c r="O260">
        <v>4</v>
      </c>
      <c r="P260" t="s">
        <v>44</v>
      </c>
      <c r="Q260" s="1">
        <v>44455</v>
      </c>
    </row>
    <row r="261" spans="1:17" x14ac:dyDescent="0.3">
      <c r="A261" t="s">
        <v>14</v>
      </c>
      <c r="B261" t="s">
        <v>45</v>
      </c>
      <c r="C261" t="s">
        <v>30</v>
      </c>
      <c r="D261" t="s">
        <v>17</v>
      </c>
      <c r="E261" t="s">
        <v>43</v>
      </c>
      <c r="F261" s="9">
        <v>0.03</v>
      </c>
      <c r="G261" s="10">
        <v>15424</v>
      </c>
      <c r="H261">
        <v>2.56</v>
      </c>
      <c r="I261" s="5">
        <f>ROUND(Marketing[[#This Row],[Clicks]]*Marketing[[#This Row],[Conversion_Rate]],0)</f>
        <v>25</v>
      </c>
      <c r="J261" s="12">
        <f>Marketing[[#This Row],[Campaign_Cost]]/Marketing[[#This Row],[Customers]]</f>
        <v>616.96</v>
      </c>
      <c r="K261" t="s">
        <v>25</v>
      </c>
      <c r="L261" t="s">
        <v>50</v>
      </c>
      <c r="M261">
        <v>838</v>
      </c>
      <c r="N261">
        <v>9611</v>
      </c>
      <c r="O261">
        <v>6</v>
      </c>
      <c r="P261" t="s">
        <v>44</v>
      </c>
      <c r="Q261" s="1">
        <v>44456</v>
      </c>
    </row>
    <row r="262" spans="1:17" x14ac:dyDescent="0.3">
      <c r="A262" t="s">
        <v>28</v>
      </c>
      <c r="B262" t="s">
        <v>36</v>
      </c>
      <c r="C262" t="s">
        <v>16</v>
      </c>
      <c r="D262" t="s">
        <v>46</v>
      </c>
      <c r="E262" t="s">
        <v>41</v>
      </c>
      <c r="F262" s="9">
        <v>0.04</v>
      </c>
      <c r="G262" s="10">
        <v>13154</v>
      </c>
      <c r="H262">
        <v>5.69</v>
      </c>
      <c r="I262" s="5">
        <f>ROUND(Marketing[[#This Row],[Clicks]]*Marketing[[#This Row],[Conversion_Rate]],0)</f>
        <v>16</v>
      </c>
      <c r="J262" s="12">
        <f>Marketing[[#This Row],[Campaign_Cost]]/Marketing[[#This Row],[Customers]]</f>
        <v>822.125</v>
      </c>
      <c r="K262" t="s">
        <v>19</v>
      </c>
      <c r="L262" t="s">
        <v>20</v>
      </c>
      <c r="M262">
        <v>394</v>
      </c>
      <c r="N262">
        <v>7139</v>
      </c>
      <c r="O262">
        <v>2</v>
      </c>
      <c r="P262" t="s">
        <v>21</v>
      </c>
      <c r="Q262" s="1">
        <v>44457</v>
      </c>
    </row>
    <row r="263" spans="1:17" x14ac:dyDescent="0.3">
      <c r="A263" t="s">
        <v>28</v>
      </c>
      <c r="B263" t="s">
        <v>15</v>
      </c>
      <c r="C263" t="s">
        <v>16</v>
      </c>
      <c r="D263" t="s">
        <v>24</v>
      </c>
      <c r="E263" t="s">
        <v>18</v>
      </c>
      <c r="F263" s="9">
        <v>0.04</v>
      </c>
      <c r="G263" s="10">
        <v>9005</v>
      </c>
      <c r="H263">
        <v>3.35</v>
      </c>
      <c r="I263" s="5">
        <f>ROUND(Marketing[[#This Row],[Clicks]]*Marketing[[#This Row],[Conversion_Rate]],0)</f>
        <v>21</v>
      </c>
      <c r="J263" s="12">
        <f>Marketing[[#This Row],[Campaign_Cost]]/Marketing[[#This Row],[Customers]]</f>
        <v>428.8095238095238</v>
      </c>
      <c r="K263" t="s">
        <v>32</v>
      </c>
      <c r="L263" t="s">
        <v>39</v>
      </c>
      <c r="M263">
        <v>536</v>
      </c>
      <c r="N263">
        <v>7663</v>
      </c>
      <c r="O263">
        <v>4</v>
      </c>
      <c r="P263" t="s">
        <v>42</v>
      </c>
      <c r="Q263" s="1">
        <v>44458</v>
      </c>
    </row>
    <row r="264" spans="1:17" x14ac:dyDescent="0.3">
      <c r="A264" t="s">
        <v>49</v>
      </c>
      <c r="B264" t="s">
        <v>45</v>
      </c>
      <c r="C264" t="s">
        <v>37</v>
      </c>
      <c r="D264" t="s">
        <v>17</v>
      </c>
      <c r="E264" t="s">
        <v>18</v>
      </c>
      <c r="F264" s="9">
        <v>0.12</v>
      </c>
      <c r="G264" s="10">
        <v>13481</v>
      </c>
      <c r="H264">
        <v>6.44</v>
      </c>
      <c r="I264" s="5">
        <f>ROUND(Marketing[[#This Row],[Clicks]]*Marketing[[#This Row],[Conversion_Rate]],0)</f>
        <v>17</v>
      </c>
      <c r="J264" s="12">
        <f>Marketing[[#This Row],[Campaign_Cost]]/Marketing[[#This Row],[Customers]]</f>
        <v>793</v>
      </c>
      <c r="K264" t="s">
        <v>19</v>
      </c>
      <c r="L264" t="s">
        <v>39</v>
      </c>
      <c r="M264">
        <v>143</v>
      </c>
      <c r="N264">
        <v>5377</v>
      </c>
      <c r="O264">
        <v>8</v>
      </c>
      <c r="P264" t="s">
        <v>44</v>
      </c>
      <c r="Q264" s="1">
        <v>44459</v>
      </c>
    </row>
    <row r="265" spans="1:17" x14ac:dyDescent="0.3">
      <c r="A265" t="s">
        <v>49</v>
      </c>
      <c r="B265" t="s">
        <v>47</v>
      </c>
      <c r="C265" t="s">
        <v>16</v>
      </c>
      <c r="D265" t="s">
        <v>46</v>
      </c>
      <c r="E265" t="s">
        <v>15</v>
      </c>
      <c r="F265" s="9">
        <v>0.05</v>
      </c>
      <c r="G265" s="10">
        <v>9957</v>
      </c>
      <c r="H265">
        <v>3.16</v>
      </c>
      <c r="I265" s="5">
        <f>ROUND(Marketing[[#This Row],[Clicks]]*Marketing[[#This Row],[Conversion_Rate]],0)</f>
        <v>21</v>
      </c>
      <c r="J265" s="12">
        <f>Marketing[[#This Row],[Campaign_Cost]]/Marketing[[#This Row],[Customers]]</f>
        <v>474.14285714285717</v>
      </c>
      <c r="K265" t="s">
        <v>51</v>
      </c>
      <c r="L265" t="s">
        <v>33</v>
      </c>
      <c r="M265">
        <v>426</v>
      </c>
      <c r="N265">
        <v>4894</v>
      </c>
      <c r="O265">
        <v>10</v>
      </c>
      <c r="P265" t="s">
        <v>21</v>
      </c>
      <c r="Q265" s="1">
        <v>44460</v>
      </c>
    </row>
    <row r="266" spans="1:17" x14ac:dyDescent="0.3">
      <c r="A266" t="s">
        <v>35</v>
      </c>
      <c r="B266" t="s">
        <v>47</v>
      </c>
      <c r="C266" t="s">
        <v>52</v>
      </c>
      <c r="D266" t="s">
        <v>46</v>
      </c>
      <c r="E266" t="s">
        <v>48</v>
      </c>
      <c r="F266" s="9">
        <v>7.0000000000000007E-2</v>
      </c>
      <c r="G266" s="10">
        <v>12840</v>
      </c>
      <c r="H266">
        <v>3.29</v>
      </c>
      <c r="I266" s="5">
        <f>ROUND(Marketing[[#This Row],[Clicks]]*Marketing[[#This Row],[Conversion_Rate]],0)</f>
        <v>21</v>
      </c>
      <c r="J266" s="12">
        <f>Marketing[[#This Row],[Campaign_Cost]]/Marketing[[#This Row],[Customers]]</f>
        <v>611.42857142857144</v>
      </c>
      <c r="K266" t="s">
        <v>51</v>
      </c>
      <c r="L266" t="s">
        <v>33</v>
      </c>
      <c r="M266">
        <v>295</v>
      </c>
      <c r="N266">
        <v>9944</v>
      </c>
      <c r="O266">
        <v>9</v>
      </c>
      <c r="P266" t="s">
        <v>42</v>
      </c>
      <c r="Q266" s="1">
        <v>44461</v>
      </c>
    </row>
    <row r="267" spans="1:17" x14ac:dyDescent="0.3">
      <c r="A267" t="s">
        <v>28</v>
      </c>
      <c r="B267" t="s">
        <v>36</v>
      </c>
      <c r="C267" t="s">
        <v>37</v>
      </c>
      <c r="D267" t="s">
        <v>17</v>
      </c>
      <c r="E267" t="s">
        <v>43</v>
      </c>
      <c r="F267" s="9">
        <v>7.0000000000000007E-2</v>
      </c>
      <c r="G267" s="10">
        <v>18572</v>
      </c>
      <c r="H267">
        <v>7.1</v>
      </c>
      <c r="I267" s="5">
        <f>ROUND(Marketing[[#This Row],[Clicks]]*Marketing[[#This Row],[Conversion_Rate]],0)</f>
        <v>46</v>
      </c>
      <c r="J267" s="12">
        <f>Marketing[[#This Row],[Campaign_Cost]]/Marketing[[#This Row],[Customers]]</f>
        <v>403.73913043478262</v>
      </c>
      <c r="K267" t="s">
        <v>19</v>
      </c>
      <c r="L267" t="s">
        <v>33</v>
      </c>
      <c r="M267">
        <v>661</v>
      </c>
      <c r="N267">
        <v>8775</v>
      </c>
      <c r="O267">
        <v>2</v>
      </c>
      <c r="P267" t="s">
        <v>42</v>
      </c>
      <c r="Q267" s="1">
        <v>44462</v>
      </c>
    </row>
    <row r="268" spans="1:17" x14ac:dyDescent="0.3">
      <c r="A268" t="s">
        <v>22</v>
      </c>
      <c r="B268" t="s">
        <v>47</v>
      </c>
      <c r="C268" t="s">
        <v>16</v>
      </c>
      <c r="D268" t="s">
        <v>40</v>
      </c>
      <c r="E268" t="s">
        <v>43</v>
      </c>
      <c r="F268" s="9">
        <v>7.0000000000000007E-2</v>
      </c>
      <c r="G268" s="10">
        <v>7981</v>
      </c>
      <c r="H268">
        <v>4.5199999999999996</v>
      </c>
      <c r="I268" s="5">
        <f>ROUND(Marketing[[#This Row],[Clicks]]*Marketing[[#This Row],[Conversion_Rate]],0)</f>
        <v>31</v>
      </c>
      <c r="J268" s="12">
        <f>Marketing[[#This Row],[Campaign_Cost]]/Marketing[[#This Row],[Customers]]</f>
        <v>257.45161290322579</v>
      </c>
      <c r="K268" t="s">
        <v>51</v>
      </c>
      <c r="L268" t="s">
        <v>26</v>
      </c>
      <c r="M268">
        <v>441</v>
      </c>
      <c r="N268">
        <v>9476</v>
      </c>
      <c r="O268">
        <v>7</v>
      </c>
      <c r="P268" t="s">
        <v>34</v>
      </c>
      <c r="Q268" s="1">
        <v>44463</v>
      </c>
    </row>
    <row r="269" spans="1:17" x14ac:dyDescent="0.3">
      <c r="A269" t="s">
        <v>49</v>
      </c>
      <c r="B269" t="s">
        <v>45</v>
      </c>
      <c r="C269" t="s">
        <v>52</v>
      </c>
      <c r="D269" t="s">
        <v>17</v>
      </c>
      <c r="E269" t="s">
        <v>18</v>
      </c>
      <c r="F269" s="9">
        <v>0.03</v>
      </c>
      <c r="G269" s="10">
        <v>13134</v>
      </c>
      <c r="H269">
        <v>7.66</v>
      </c>
      <c r="I269" s="5">
        <f>ROUND(Marketing[[#This Row],[Clicks]]*Marketing[[#This Row],[Conversion_Rate]],0)</f>
        <v>29</v>
      </c>
      <c r="J269" s="12">
        <f>Marketing[[#This Row],[Campaign_Cost]]/Marketing[[#This Row],[Customers]]</f>
        <v>452.89655172413791</v>
      </c>
      <c r="K269" t="s">
        <v>51</v>
      </c>
      <c r="L269" t="s">
        <v>39</v>
      </c>
      <c r="M269">
        <v>983</v>
      </c>
      <c r="N269">
        <v>3980</v>
      </c>
      <c r="O269">
        <v>4</v>
      </c>
      <c r="P269" t="s">
        <v>34</v>
      </c>
      <c r="Q269" s="1">
        <v>44464</v>
      </c>
    </row>
    <row r="270" spans="1:17" x14ac:dyDescent="0.3">
      <c r="A270" t="s">
        <v>28</v>
      </c>
      <c r="B270" t="s">
        <v>15</v>
      </c>
      <c r="C270" t="s">
        <v>52</v>
      </c>
      <c r="D270" t="s">
        <v>46</v>
      </c>
      <c r="E270" t="s">
        <v>15</v>
      </c>
      <c r="F270" s="9">
        <v>0.09</v>
      </c>
      <c r="G270" s="10">
        <v>17232</v>
      </c>
      <c r="H270">
        <v>3.77</v>
      </c>
      <c r="I270" s="5">
        <f>ROUND(Marketing[[#This Row],[Clicks]]*Marketing[[#This Row],[Conversion_Rate]],0)</f>
        <v>32</v>
      </c>
      <c r="J270" s="12">
        <f>Marketing[[#This Row],[Campaign_Cost]]/Marketing[[#This Row],[Customers]]</f>
        <v>538.5</v>
      </c>
      <c r="K270" t="s">
        <v>51</v>
      </c>
      <c r="L270" t="s">
        <v>33</v>
      </c>
      <c r="M270">
        <v>354</v>
      </c>
      <c r="N270">
        <v>9225</v>
      </c>
      <c r="O270">
        <v>3</v>
      </c>
      <c r="P270" t="s">
        <v>21</v>
      </c>
      <c r="Q270" s="1">
        <v>44465</v>
      </c>
    </row>
    <row r="271" spans="1:17" x14ac:dyDescent="0.3">
      <c r="A271" t="s">
        <v>28</v>
      </c>
      <c r="B271" t="s">
        <v>47</v>
      </c>
      <c r="C271" t="s">
        <v>16</v>
      </c>
      <c r="D271" t="s">
        <v>46</v>
      </c>
      <c r="E271" t="s">
        <v>18</v>
      </c>
      <c r="F271" s="9">
        <v>0.03</v>
      </c>
      <c r="G271" s="10">
        <v>18883</v>
      </c>
      <c r="H271">
        <v>3.54</v>
      </c>
      <c r="I271" s="5">
        <f>ROUND(Marketing[[#This Row],[Clicks]]*Marketing[[#This Row],[Conversion_Rate]],0)</f>
        <v>17</v>
      </c>
      <c r="J271" s="12">
        <f>Marketing[[#This Row],[Campaign_Cost]]/Marketing[[#This Row],[Customers]]</f>
        <v>1110.7647058823529</v>
      </c>
      <c r="K271" t="s">
        <v>25</v>
      </c>
      <c r="L271" t="s">
        <v>39</v>
      </c>
      <c r="M271">
        <v>570</v>
      </c>
      <c r="N271">
        <v>9730</v>
      </c>
      <c r="O271">
        <v>9</v>
      </c>
      <c r="P271" t="s">
        <v>27</v>
      </c>
      <c r="Q271" s="1">
        <v>44466</v>
      </c>
    </row>
    <row r="272" spans="1:17" x14ac:dyDescent="0.3">
      <c r="A272" t="s">
        <v>14</v>
      </c>
      <c r="B272" t="s">
        <v>36</v>
      </c>
      <c r="C272" t="s">
        <v>30</v>
      </c>
      <c r="D272" t="s">
        <v>40</v>
      </c>
      <c r="E272" t="s">
        <v>41</v>
      </c>
      <c r="F272" s="9">
        <v>0.03</v>
      </c>
      <c r="G272" s="10">
        <v>14168</v>
      </c>
      <c r="H272">
        <v>3.39</v>
      </c>
      <c r="I272" s="5">
        <f>ROUND(Marketing[[#This Row],[Clicks]]*Marketing[[#This Row],[Conversion_Rate]],0)</f>
        <v>20</v>
      </c>
      <c r="J272" s="12">
        <f>Marketing[[#This Row],[Campaign_Cost]]/Marketing[[#This Row],[Customers]]</f>
        <v>708.4</v>
      </c>
      <c r="K272" t="s">
        <v>25</v>
      </c>
      <c r="L272" t="s">
        <v>50</v>
      </c>
      <c r="M272">
        <v>676</v>
      </c>
      <c r="N272">
        <v>4287</v>
      </c>
      <c r="O272">
        <v>1</v>
      </c>
      <c r="P272" t="s">
        <v>21</v>
      </c>
      <c r="Q272" s="1">
        <v>44467</v>
      </c>
    </row>
    <row r="273" spans="1:17" x14ac:dyDescent="0.3">
      <c r="A273" t="s">
        <v>14</v>
      </c>
      <c r="B273" t="s">
        <v>45</v>
      </c>
      <c r="C273" t="s">
        <v>30</v>
      </c>
      <c r="D273" t="s">
        <v>17</v>
      </c>
      <c r="E273" t="s">
        <v>15</v>
      </c>
      <c r="F273" s="9">
        <v>0.09</v>
      </c>
      <c r="G273" s="10">
        <v>8078</v>
      </c>
      <c r="H273">
        <v>4.6500000000000004</v>
      </c>
      <c r="I273" s="5">
        <f>ROUND(Marketing[[#This Row],[Clicks]]*Marketing[[#This Row],[Conversion_Rate]],0)</f>
        <v>67</v>
      </c>
      <c r="J273" s="12">
        <f>Marketing[[#This Row],[Campaign_Cost]]/Marketing[[#This Row],[Customers]]</f>
        <v>120.56716417910448</v>
      </c>
      <c r="K273" t="s">
        <v>38</v>
      </c>
      <c r="L273" t="s">
        <v>20</v>
      </c>
      <c r="M273">
        <v>741</v>
      </c>
      <c r="N273">
        <v>5040</v>
      </c>
      <c r="O273">
        <v>2</v>
      </c>
      <c r="P273" t="s">
        <v>42</v>
      </c>
      <c r="Q273" s="1">
        <v>44468</v>
      </c>
    </row>
    <row r="274" spans="1:17" x14ac:dyDescent="0.3">
      <c r="A274" t="s">
        <v>49</v>
      </c>
      <c r="B274" t="s">
        <v>45</v>
      </c>
      <c r="C274" t="s">
        <v>23</v>
      </c>
      <c r="D274" t="s">
        <v>40</v>
      </c>
      <c r="E274" t="s">
        <v>41</v>
      </c>
      <c r="F274" s="9">
        <v>0.06</v>
      </c>
      <c r="G274" s="10">
        <v>19023</v>
      </c>
      <c r="H274">
        <v>7.62</v>
      </c>
      <c r="I274" s="5">
        <f>ROUND(Marketing[[#This Row],[Clicks]]*Marketing[[#This Row],[Conversion_Rate]],0)</f>
        <v>16</v>
      </c>
      <c r="J274" s="12">
        <f>Marketing[[#This Row],[Campaign_Cost]]/Marketing[[#This Row],[Customers]]</f>
        <v>1188.9375</v>
      </c>
      <c r="K274" t="s">
        <v>32</v>
      </c>
      <c r="L274" t="s">
        <v>26</v>
      </c>
      <c r="M274">
        <v>274</v>
      </c>
      <c r="N274">
        <v>4451</v>
      </c>
      <c r="O274">
        <v>7</v>
      </c>
      <c r="P274" t="s">
        <v>44</v>
      </c>
      <c r="Q274" s="1">
        <v>44469</v>
      </c>
    </row>
    <row r="275" spans="1:17" x14ac:dyDescent="0.3">
      <c r="A275" t="s">
        <v>35</v>
      </c>
      <c r="B275" t="s">
        <v>47</v>
      </c>
      <c r="C275" t="s">
        <v>37</v>
      </c>
      <c r="D275" t="s">
        <v>46</v>
      </c>
      <c r="E275" t="s">
        <v>48</v>
      </c>
      <c r="F275" s="9">
        <v>0.08</v>
      </c>
      <c r="G275" s="10">
        <v>12970</v>
      </c>
      <c r="H275">
        <v>7.25</v>
      </c>
      <c r="I275" s="5">
        <f>ROUND(Marketing[[#This Row],[Clicks]]*Marketing[[#This Row],[Conversion_Rate]],0)</f>
        <v>69</v>
      </c>
      <c r="J275" s="12">
        <f>Marketing[[#This Row],[Campaign_Cost]]/Marketing[[#This Row],[Customers]]</f>
        <v>187.97101449275362</v>
      </c>
      <c r="K275" t="s">
        <v>32</v>
      </c>
      <c r="L275" t="s">
        <v>33</v>
      </c>
      <c r="M275">
        <v>860</v>
      </c>
      <c r="N275">
        <v>6750</v>
      </c>
      <c r="O275">
        <v>6</v>
      </c>
      <c r="P275" t="s">
        <v>42</v>
      </c>
      <c r="Q275" s="1">
        <v>44470</v>
      </c>
    </row>
    <row r="276" spans="1:17" x14ac:dyDescent="0.3">
      <c r="A276" t="s">
        <v>28</v>
      </c>
      <c r="B276" t="s">
        <v>29</v>
      </c>
      <c r="C276" t="s">
        <v>23</v>
      </c>
      <c r="D276" t="s">
        <v>24</v>
      </c>
      <c r="E276" t="s">
        <v>15</v>
      </c>
      <c r="F276" s="9">
        <v>0.06</v>
      </c>
      <c r="G276" s="10">
        <v>8786</v>
      </c>
      <c r="H276">
        <v>7.56</v>
      </c>
      <c r="I276" s="5">
        <f>ROUND(Marketing[[#This Row],[Clicks]]*Marketing[[#This Row],[Conversion_Rate]],0)</f>
        <v>24</v>
      </c>
      <c r="J276" s="12">
        <f>Marketing[[#This Row],[Campaign_Cost]]/Marketing[[#This Row],[Customers]]</f>
        <v>366.08333333333331</v>
      </c>
      <c r="K276" t="s">
        <v>51</v>
      </c>
      <c r="L276" t="s">
        <v>39</v>
      </c>
      <c r="M276">
        <v>397</v>
      </c>
      <c r="N276">
        <v>6102</v>
      </c>
      <c r="O276">
        <v>8</v>
      </c>
      <c r="P276" t="s">
        <v>42</v>
      </c>
      <c r="Q276" s="1">
        <v>44471</v>
      </c>
    </row>
    <row r="277" spans="1:17" x14ac:dyDescent="0.3">
      <c r="A277" t="s">
        <v>22</v>
      </c>
      <c r="B277" t="s">
        <v>29</v>
      </c>
      <c r="C277" t="s">
        <v>37</v>
      </c>
      <c r="D277" t="s">
        <v>24</v>
      </c>
      <c r="E277" t="s">
        <v>18</v>
      </c>
      <c r="F277" s="9">
        <v>7.0000000000000007E-2</v>
      </c>
      <c r="G277" s="10">
        <v>14623</v>
      </c>
      <c r="H277">
        <v>3.05</v>
      </c>
      <c r="I277" s="5">
        <f>ROUND(Marketing[[#This Row],[Clicks]]*Marketing[[#This Row],[Conversion_Rate]],0)</f>
        <v>31</v>
      </c>
      <c r="J277" s="12">
        <f>Marketing[[#This Row],[Campaign_Cost]]/Marketing[[#This Row],[Customers]]</f>
        <v>471.70967741935482</v>
      </c>
      <c r="K277" t="s">
        <v>32</v>
      </c>
      <c r="L277" t="s">
        <v>50</v>
      </c>
      <c r="M277">
        <v>449</v>
      </c>
      <c r="N277">
        <v>7339</v>
      </c>
      <c r="O277">
        <v>1</v>
      </c>
      <c r="P277" t="s">
        <v>27</v>
      </c>
      <c r="Q277" s="1">
        <v>44472</v>
      </c>
    </row>
    <row r="278" spans="1:17" x14ac:dyDescent="0.3">
      <c r="A278" t="s">
        <v>35</v>
      </c>
      <c r="B278" t="s">
        <v>15</v>
      </c>
      <c r="C278" t="s">
        <v>30</v>
      </c>
      <c r="D278" t="s">
        <v>40</v>
      </c>
      <c r="E278" t="s">
        <v>41</v>
      </c>
      <c r="F278" s="9">
        <v>0.08</v>
      </c>
      <c r="G278" s="10">
        <v>6326</v>
      </c>
      <c r="H278">
        <v>5.2</v>
      </c>
      <c r="I278" s="5">
        <f>ROUND(Marketing[[#This Row],[Clicks]]*Marketing[[#This Row],[Conversion_Rate]],0)</f>
        <v>37</v>
      </c>
      <c r="J278" s="12">
        <f>Marketing[[#This Row],[Campaign_Cost]]/Marketing[[#This Row],[Customers]]</f>
        <v>170.97297297297297</v>
      </c>
      <c r="K278" t="s">
        <v>38</v>
      </c>
      <c r="L278" t="s">
        <v>33</v>
      </c>
      <c r="M278">
        <v>461</v>
      </c>
      <c r="N278">
        <v>7818</v>
      </c>
      <c r="O278">
        <v>2</v>
      </c>
      <c r="P278" t="s">
        <v>21</v>
      </c>
      <c r="Q278" s="1">
        <v>44473</v>
      </c>
    </row>
    <row r="279" spans="1:17" x14ac:dyDescent="0.3">
      <c r="A279" t="s">
        <v>35</v>
      </c>
      <c r="B279" t="s">
        <v>15</v>
      </c>
      <c r="C279" t="s">
        <v>37</v>
      </c>
      <c r="D279" t="s">
        <v>17</v>
      </c>
      <c r="E279" t="s">
        <v>43</v>
      </c>
      <c r="F279" s="9">
        <v>0.03</v>
      </c>
      <c r="G279" s="10">
        <v>18728</v>
      </c>
      <c r="H279">
        <v>5.48</v>
      </c>
      <c r="I279" s="5">
        <f>ROUND(Marketing[[#This Row],[Clicks]]*Marketing[[#This Row],[Conversion_Rate]],0)</f>
        <v>25</v>
      </c>
      <c r="J279" s="12">
        <f>Marketing[[#This Row],[Campaign_Cost]]/Marketing[[#This Row],[Customers]]</f>
        <v>749.12</v>
      </c>
      <c r="K279" t="s">
        <v>51</v>
      </c>
      <c r="L279" t="s">
        <v>39</v>
      </c>
      <c r="M279">
        <v>831</v>
      </c>
      <c r="N279">
        <v>9026</v>
      </c>
      <c r="O279">
        <v>10</v>
      </c>
      <c r="P279" t="s">
        <v>21</v>
      </c>
      <c r="Q279" s="1">
        <v>44474</v>
      </c>
    </row>
    <row r="280" spans="1:17" x14ac:dyDescent="0.3">
      <c r="A280" t="s">
        <v>35</v>
      </c>
      <c r="B280" t="s">
        <v>15</v>
      </c>
      <c r="C280" t="s">
        <v>16</v>
      </c>
      <c r="D280" t="s">
        <v>17</v>
      </c>
      <c r="E280" t="s">
        <v>15</v>
      </c>
      <c r="F280" s="9">
        <v>0.14000000000000001</v>
      </c>
      <c r="G280" s="10">
        <v>12494</v>
      </c>
      <c r="H280">
        <v>7.56</v>
      </c>
      <c r="I280" s="5">
        <f>ROUND(Marketing[[#This Row],[Clicks]]*Marketing[[#This Row],[Conversion_Rate]],0)</f>
        <v>88</v>
      </c>
      <c r="J280" s="12">
        <f>Marketing[[#This Row],[Campaign_Cost]]/Marketing[[#This Row],[Customers]]</f>
        <v>141.97727272727272</v>
      </c>
      <c r="K280" t="s">
        <v>38</v>
      </c>
      <c r="L280" t="s">
        <v>26</v>
      </c>
      <c r="M280">
        <v>631</v>
      </c>
      <c r="N280">
        <v>9863</v>
      </c>
      <c r="O280">
        <v>10</v>
      </c>
      <c r="P280" t="s">
        <v>27</v>
      </c>
      <c r="Q280" s="1">
        <v>44475</v>
      </c>
    </row>
    <row r="281" spans="1:17" x14ac:dyDescent="0.3">
      <c r="A281" t="s">
        <v>22</v>
      </c>
      <c r="B281" t="s">
        <v>36</v>
      </c>
      <c r="C281" t="s">
        <v>30</v>
      </c>
      <c r="D281" t="s">
        <v>24</v>
      </c>
      <c r="E281" t="s">
        <v>41</v>
      </c>
      <c r="F281" s="9">
        <v>0.02</v>
      </c>
      <c r="G281" s="10">
        <v>11640</v>
      </c>
      <c r="H281">
        <v>6.62</v>
      </c>
      <c r="I281" s="5">
        <f>ROUND(Marketing[[#This Row],[Clicks]]*Marketing[[#This Row],[Conversion_Rate]],0)</f>
        <v>11</v>
      </c>
      <c r="J281" s="12">
        <f>Marketing[[#This Row],[Campaign_Cost]]/Marketing[[#This Row],[Customers]]</f>
        <v>1058.1818181818182</v>
      </c>
      <c r="K281" t="s">
        <v>32</v>
      </c>
      <c r="L281" t="s">
        <v>26</v>
      </c>
      <c r="M281">
        <v>560</v>
      </c>
      <c r="N281">
        <v>1229</v>
      </c>
      <c r="O281">
        <v>8</v>
      </c>
      <c r="P281" t="s">
        <v>21</v>
      </c>
      <c r="Q281" s="1">
        <v>44476</v>
      </c>
    </row>
    <row r="282" spans="1:17" x14ac:dyDescent="0.3">
      <c r="A282" t="s">
        <v>22</v>
      </c>
      <c r="B282" t="s">
        <v>45</v>
      </c>
      <c r="C282" t="s">
        <v>52</v>
      </c>
      <c r="D282" t="s">
        <v>24</v>
      </c>
      <c r="E282" t="s">
        <v>41</v>
      </c>
      <c r="F282" s="9">
        <v>0.01</v>
      </c>
      <c r="G282" s="10">
        <v>8340</v>
      </c>
      <c r="H282">
        <v>3.9</v>
      </c>
      <c r="I282" s="5">
        <f>ROUND(Marketing[[#This Row],[Clicks]]*Marketing[[#This Row],[Conversion_Rate]],0)</f>
        <v>6</v>
      </c>
      <c r="J282" s="12">
        <f>Marketing[[#This Row],[Campaign_Cost]]/Marketing[[#This Row],[Customers]]</f>
        <v>1390</v>
      </c>
      <c r="K282" t="s">
        <v>51</v>
      </c>
      <c r="L282" t="s">
        <v>39</v>
      </c>
      <c r="M282">
        <v>570</v>
      </c>
      <c r="N282">
        <v>8066</v>
      </c>
      <c r="O282">
        <v>5</v>
      </c>
      <c r="P282" t="s">
        <v>21</v>
      </c>
      <c r="Q282" s="1">
        <v>44477</v>
      </c>
    </row>
    <row r="283" spans="1:17" x14ac:dyDescent="0.3">
      <c r="A283" t="s">
        <v>28</v>
      </c>
      <c r="B283" t="s">
        <v>36</v>
      </c>
      <c r="C283" t="s">
        <v>52</v>
      </c>
      <c r="D283" t="s">
        <v>24</v>
      </c>
      <c r="E283" t="s">
        <v>15</v>
      </c>
      <c r="F283" s="9">
        <v>0.11</v>
      </c>
      <c r="G283" s="10">
        <v>10909</v>
      </c>
      <c r="H283">
        <v>6.21</v>
      </c>
      <c r="I283" s="5">
        <f>ROUND(Marketing[[#This Row],[Clicks]]*Marketing[[#This Row],[Conversion_Rate]],0)</f>
        <v>101</v>
      </c>
      <c r="J283" s="12">
        <f>Marketing[[#This Row],[Campaign_Cost]]/Marketing[[#This Row],[Customers]]</f>
        <v>108.00990099009901</v>
      </c>
      <c r="K283" t="s">
        <v>32</v>
      </c>
      <c r="L283" t="s">
        <v>33</v>
      </c>
      <c r="M283">
        <v>921</v>
      </c>
      <c r="N283">
        <v>2726</v>
      </c>
      <c r="O283">
        <v>2</v>
      </c>
      <c r="P283" t="s">
        <v>34</v>
      </c>
      <c r="Q283" s="1">
        <v>44478</v>
      </c>
    </row>
    <row r="284" spans="1:17" x14ac:dyDescent="0.3">
      <c r="A284" t="s">
        <v>35</v>
      </c>
      <c r="B284" t="s">
        <v>15</v>
      </c>
      <c r="C284" t="s">
        <v>37</v>
      </c>
      <c r="D284" t="s">
        <v>24</v>
      </c>
      <c r="E284" t="s">
        <v>31</v>
      </c>
      <c r="F284" s="9">
        <v>0.05</v>
      </c>
      <c r="G284" s="10">
        <v>12008</v>
      </c>
      <c r="H284">
        <v>3.01</v>
      </c>
      <c r="I284" s="5">
        <f>ROUND(Marketing[[#This Row],[Clicks]]*Marketing[[#This Row],[Conversion_Rate]],0)</f>
        <v>13</v>
      </c>
      <c r="J284" s="12">
        <f>Marketing[[#This Row],[Campaign_Cost]]/Marketing[[#This Row],[Customers]]</f>
        <v>923.69230769230774</v>
      </c>
      <c r="K284" t="s">
        <v>25</v>
      </c>
      <c r="L284" t="s">
        <v>39</v>
      </c>
      <c r="M284">
        <v>262</v>
      </c>
      <c r="N284">
        <v>8773</v>
      </c>
      <c r="O284">
        <v>5</v>
      </c>
      <c r="P284" t="s">
        <v>44</v>
      </c>
      <c r="Q284" s="1">
        <v>44479</v>
      </c>
    </row>
    <row r="285" spans="1:17" x14ac:dyDescent="0.3">
      <c r="A285" t="s">
        <v>22</v>
      </c>
      <c r="B285" t="s">
        <v>15</v>
      </c>
      <c r="C285" t="s">
        <v>52</v>
      </c>
      <c r="D285" t="s">
        <v>46</v>
      </c>
      <c r="E285" t="s">
        <v>41</v>
      </c>
      <c r="F285" s="9">
        <v>0.15</v>
      </c>
      <c r="G285" s="10">
        <v>15178</v>
      </c>
      <c r="H285">
        <v>7.68</v>
      </c>
      <c r="I285" s="5">
        <f>ROUND(Marketing[[#This Row],[Clicks]]*Marketing[[#This Row],[Conversion_Rate]],0)</f>
        <v>44</v>
      </c>
      <c r="J285" s="12">
        <f>Marketing[[#This Row],[Campaign_Cost]]/Marketing[[#This Row],[Customers]]</f>
        <v>344.95454545454544</v>
      </c>
      <c r="K285" t="s">
        <v>19</v>
      </c>
      <c r="L285" t="s">
        <v>50</v>
      </c>
      <c r="M285">
        <v>294</v>
      </c>
      <c r="N285">
        <v>9365</v>
      </c>
      <c r="O285">
        <v>4</v>
      </c>
      <c r="P285" t="s">
        <v>21</v>
      </c>
      <c r="Q285" s="1">
        <v>44480</v>
      </c>
    </row>
    <row r="286" spans="1:17" x14ac:dyDescent="0.3">
      <c r="A286" t="s">
        <v>14</v>
      </c>
      <c r="B286" t="s">
        <v>45</v>
      </c>
      <c r="C286" t="s">
        <v>23</v>
      </c>
      <c r="D286" t="s">
        <v>17</v>
      </c>
      <c r="E286" t="s">
        <v>31</v>
      </c>
      <c r="F286" s="9">
        <v>0.02</v>
      </c>
      <c r="G286" s="10">
        <v>8493</v>
      </c>
      <c r="H286">
        <v>6.92</v>
      </c>
      <c r="I286" s="5">
        <f>ROUND(Marketing[[#This Row],[Clicks]]*Marketing[[#This Row],[Conversion_Rate]],0)</f>
        <v>5</v>
      </c>
      <c r="J286" s="12">
        <f>Marketing[[#This Row],[Campaign_Cost]]/Marketing[[#This Row],[Customers]]</f>
        <v>1698.6</v>
      </c>
      <c r="K286" t="s">
        <v>51</v>
      </c>
      <c r="L286" t="s">
        <v>20</v>
      </c>
      <c r="M286">
        <v>257</v>
      </c>
      <c r="N286">
        <v>7802</v>
      </c>
      <c r="O286">
        <v>1</v>
      </c>
      <c r="P286" t="s">
        <v>21</v>
      </c>
      <c r="Q286" s="1">
        <v>44481</v>
      </c>
    </row>
    <row r="287" spans="1:17" x14ac:dyDescent="0.3">
      <c r="A287" t="s">
        <v>49</v>
      </c>
      <c r="B287" t="s">
        <v>15</v>
      </c>
      <c r="C287" t="s">
        <v>23</v>
      </c>
      <c r="D287" t="s">
        <v>46</v>
      </c>
      <c r="E287" t="s">
        <v>31</v>
      </c>
      <c r="F287" s="9">
        <v>0.06</v>
      </c>
      <c r="G287" s="10">
        <v>11813</v>
      </c>
      <c r="H287">
        <v>6.03</v>
      </c>
      <c r="I287" s="5">
        <f>ROUND(Marketing[[#This Row],[Clicks]]*Marketing[[#This Row],[Conversion_Rate]],0)</f>
        <v>26</v>
      </c>
      <c r="J287" s="12">
        <f>Marketing[[#This Row],[Campaign_Cost]]/Marketing[[#This Row],[Customers]]</f>
        <v>454.34615384615387</v>
      </c>
      <c r="K287" t="s">
        <v>38</v>
      </c>
      <c r="L287" t="s">
        <v>26</v>
      </c>
      <c r="M287">
        <v>441</v>
      </c>
      <c r="N287">
        <v>6520</v>
      </c>
      <c r="O287">
        <v>6</v>
      </c>
      <c r="P287" t="s">
        <v>27</v>
      </c>
      <c r="Q287" s="1">
        <v>44482</v>
      </c>
    </row>
    <row r="288" spans="1:17" x14ac:dyDescent="0.3">
      <c r="A288" t="s">
        <v>28</v>
      </c>
      <c r="B288" t="s">
        <v>29</v>
      </c>
      <c r="C288" t="s">
        <v>37</v>
      </c>
      <c r="D288" t="s">
        <v>46</v>
      </c>
      <c r="E288" t="s">
        <v>41</v>
      </c>
      <c r="F288" s="9">
        <v>0.14000000000000001</v>
      </c>
      <c r="G288" s="10">
        <v>11491</v>
      </c>
      <c r="H288">
        <v>7.08</v>
      </c>
      <c r="I288" s="5">
        <f>ROUND(Marketing[[#This Row],[Clicks]]*Marketing[[#This Row],[Conversion_Rate]],0)</f>
        <v>61</v>
      </c>
      <c r="J288" s="12">
        <f>Marketing[[#This Row],[Campaign_Cost]]/Marketing[[#This Row],[Customers]]</f>
        <v>188.37704918032787</v>
      </c>
      <c r="K288" t="s">
        <v>19</v>
      </c>
      <c r="L288" t="s">
        <v>20</v>
      </c>
      <c r="M288">
        <v>433</v>
      </c>
      <c r="N288">
        <v>8276</v>
      </c>
      <c r="O288">
        <v>7</v>
      </c>
      <c r="P288" t="s">
        <v>34</v>
      </c>
      <c r="Q288" s="1">
        <v>44483</v>
      </c>
    </row>
    <row r="289" spans="1:17" x14ac:dyDescent="0.3">
      <c r="A289" t="s">
        <v>14</v>
      </c>
      <c r="B289" t="s">
        <v>15</v>
      </c>
      <c r="C289" t="s">
        <v>16</v>
      </c>
      <c r="D289" t="s">
        <v>24</v>
      </c>
      <c r="E289" t="s">
        <v>18</v>
      </c>
      <c r="F289" s="9">
        <v>0.05</v>
      </c>
      <c r="G289" s="10">
        <v>13976</v>
      </c>
      <c r="H289">
        <v>5.28</v>
      </c>
      <c r="I289" s="5">
        <f>ROUND(Marketing[[#This Row],[Clicks]]*Marketing[[#This Row],[Conversion_Rate]],0)</f>
        <v>28</v>
      </c>
      <c r="J289" s="12">
        <f>Marketing[[#This Row],[Campaign_Cost]]/Marketing[[#This Row],[Customers]]</f>
        <v>499.14285714285717</v>
      </c>
      <c r="K289" t="s">
        <v>19</v>
      </c>
      <c r="L289" t="s">
        <v>26</v>
      </c>
      <c r="M289">
        <v>554</v>
      </c>
      <c r="N289">
        <v>8163</v>
      </c>
      <c r="O289">
        <v>4</v>
      </c>
      <c r="P289" t="s">
        <v>34</v>
      </c>
      <c r="Q289" s="1">
        <v>44484</v>
      </c>
    </row>
    <row r="290" spans="1:17" x14ac:dyDescent="0.3">
      <c r="A290" t="s">
        <v>28</v>
      </c>
      <c r="B290" t="s">
        <v>45</v>
      </c>
      <c r="C290" t="s">
        <v>30</v>
      </c>
      <c r="D290" t="s">
        <v>17</v>
      </c>
      <c r="E290" t="s">
        <v>18</v>
      </c>
      <c r="F290" s="9">
        <v>0.02</v>
      </c>
      <c r="G290" s="10">
        <v>6300</v>
      </c>
      <c r="H290">
        <v>4.47</v>
      </c>
      <c r="I290" s="5">
        <f>ROUND(Marketing[[#This Row],[Clicks]]*Marketing[[#This Row],[Conversion_Rate]],0)</f>
        <v>14</v>
      </c>
      <c r="J290" s="12">
        <f>Marketing[[#This Row],[Campaign_Cost]]/Marketing[[#This Row],[Customers]]</f>
        <v>450</v>
      </c>
      <c r="K290" t="s">
        <v>51</v>
      </c>
      <c r="L290" t="s">
        <v>33</v>
      </c>
      <c r="M290">
        <v>704</v>
      </c>
      <c r="N290">
        <v>4780</v>
      </c>
      <c r="O290">
        <v>4</v>
      </c>
      <c r="P290" t="s">
        <v>34</v>
      </c>
      <c r="Q290" s="1">
        <v>44485</v>
      </c>
    </row>
    <row r="291" spans="1:17" x14ac:dyDescent="0.3">
      <c r="A291" t="s">
        <v>49</v>
      </c>
      <c r="B291" t="s">
        <v>45</v>
      </c>
      <c r="C291" t="s">
        <v>23</v>
      </c>
      <c r="D291" t="s">
        <v>24</v>
      </c>
      <c r="E291" t="s">
        <v>41</v>
      </c>
      <c r="F291" s="9">
        <v>0.04</v>
      </c>
      <c r="G291" s="10">
        <v>9263</v>
      </c>
      <c r="H291">
        <v>5.88</v>
      </c>
      <c r="I291" s="5">
        <f>ROUND(Marketing[[#This Row],[Clicks]]*Marketing[[#This Row],[Conversion_Rate]],0)</f>
        <v>16</v>
      </c>
      <c r="J291" s="12">
        <f>Marketing[[#This Row],[Campaign_Cost]]/Marketing[[#This Row],[Customers]]</f>
        <v>578.9375</v>
      </c>
      <c r="K291" t="s">
        <v>51</v>
      </c>
      <c r="L291" t="s">
        <v>20</v>
      </c>
      <c r="M291">
        <v>399</v>
      </c>
      <c r="N291">
        <v>8595</v>
      </c>
      <c r="O291">
        <v>4</v>
      </c>
      <c r="P291" t="s">
        <v>21</v>
      </c>
      <c r="Q291" s="1">
        <v>44486</v>
      </c>
    </row>
    <row r="292" spans="1:17" x14ac:dyDescent="0.3">
      <c r="A292" t="s">
        <v>35</v>
      </c>
      <c r="B292" t="s">
        <v>36</v>
      </c>
      <c r="C292" t="s">
        <v>30</v>
      </c>
      <c r="D292" t="s">
        <v>40</v>
      </c>
      <c r="E292" t="s">
        <v>48</v>
      </c>
      <c r="F292" s="9">
        <v>0.05</v>
      </c>
      <c r="G292" s="10">
        <v>6609</v>
      </c>
      <c r="H292">
        <v>2.27</v>
      </c>
      <c r="I292" s="5">
        <f>ROUND(Marketing[[#This Row],[Clicks]]*Marketing[[#This Row],[Conversion_Rate]],0)</f>
        <v>33</v>
      </c>
      <c r="J292" s="12">
        <f>Marketing[[#This Row],[Campaign_Cost]]/Marketing[[#This Row],[Customers]]</f>
        <v>200.27272727272728</v>
      </c>
      <c r="K292" t="s">
        <v>25</v>
      </c>
      <c r="L292" t="s">
        <v>26</v>
      </c>
      <c r="M292">
        <v>664</v>
      </c>
      <c r="N292">
        <v>4193</v>
      </c>
      <c r="O292">
        <v>4</v>
      </c>
      <c r="P292" t="s">
        <v>42</v>
      </c>
      <c r="Q292" s="1">
        <v>44487</v>
      </c>
    </row>
    <row r="293" spans="1:17" x14ac:dyDescent="0.3">
      <c r="A293" t="s">
        <v>14</v>
      </c>
      <c r="B293" t="s">
        <v>45</v>
      </c>
      <c r="C293" t="s">
        <v>23</v>
      </c>
      <c r="D293" t="s">
        <v>24</v>
      </c>
      <c r="E293" t="s">
        <v>43</v>
      </c>
      <c r="F293" s="9">
        <v>0.04</v>
      </c>
      <c r="G293" s="10">
        <v>5037</v>
      </c>
      <c r="H293">
        <v>4.3</v>
      </c>
      <c r="I293" s="5">
        <f>ROUND(Marketing[[#This Row],[Clicks]]*Marketing[[#This Row],[Conversion_Rate]],0)</f>
        <v>31</v>
      </c>
      <c r="J293" s="12">
        <f>Marketing[[#This Row],[Campaign_Cost]]/Marketing[[#This Row],[Customers]]</f>
        <v>162.48387096774192</v>
      </c>
      <c r="K293" t="s">
        <v>32</v>
      </c>
      <c r="L293" t="s">
        <v>50</v>
      </c>
      <c r="M293">
        <v>784</v>
      </c>
      <c r="N293">
        <v>9745</v>
      </c>
      <c r="O293">
        <v>1</v>
      </c>
      <c r="P293" t="s">
        <v>44</v>
      </c>
      <c r="Q293" s="1">
        <v>44488</v>
      </c>
    </row>
    <row r="294" spans="1:17" x14ac:dyDescent="0.3">
      <c r="A294" t="s">
        <v>14</v>
      </c>
      <c r="B294" t="s">
        <v>15</v>
      </c>
      <c r="C294" t="s">
        <v>30</v>
      </c>
      <c r="D294" t="s">
        <v>40</v>
      </c>
      <c r="E294" t="s">
        <v>48</v>
      </c>
      <c r="F294" s="9">
        <v>0.04</v>
      </c>
      <c r="G294" s="10">
        <v>18537</v>
      </c>
      <c r="H294">
        <v>2.25</v>
      </c>
      <c r="I294" s="5">
        <f>ROUND(Marketing[[#This Row],[Clicks]]*Marketing[[#This Row],[Conversion_Rate]],0)</f>
        <v>28</v>
      </c>
      <c r="J294" s="12">
        <f>Marketing[[#This Row],[Campaign_Cost]]/Marketing[[#This Row],[Customers]]</f>
        <v>662.03571428571433</v>
      </c>
      <c r="K294" t="s">
        <v>19</v>
      </c>
      <c r="L294" t="s">
        <v>39</v>
      </c>
      <c r="M294">
        <v>697</v>
      </c>
      <c r="N294">
        <v>5523</v>
      </c>
      <c r="O294">
        <v>6</v>
      </c>
      <c r="P294" t="s">
        <v>34</v>
      </c>
      <c r="Q294" s="1">
        <v>44489</v>
      </c>
    </row>
    <row r="295" spans="1:17" x14ac:dyDescent="0.3">
      <c r="A295" t="s">
        <v>49</v>
      </c>
      <c r="B295" t="s">
        <v>47</v>
      </c>
      <c r="C295" t="s">
        <v>52</v>
      </c>
      <c r="D295" t="s">
        <v>17</v>
      </c>
      <c r="E295" t="s">
        <v>43</v>
      </c>
      <c r="F295" s="9">
        <v>0.12</v>
      </c>
      <c r="G295" s="10">
        <v>14238</v>
      </c>
      <c r="H295">
        <v>4.53</v>
      </c>
      <c r="I295" s="5">
        <f>ROUND(Marketing[[#This Row],[Clicks]]*Marketing[[#This Row],[Conversion_Rate]],0)</f>
        <v>66</v>
      </c>
      <c r="J295" s="12">
        <f>Marketing[[#This Row],[Campaign_Cost]]/Marketing[[#This Row],[Customers]]</f>
        <v>215.72727272727272</v>
      </c>
      <c r="K295" t="s">
        <v>25</v>
      </c>
      <c r="L295" t="s">
        <v>50</v>
      </c>
      <c r="M295">
        <v>552</v>
      </c>
      <c r="N295">
        <v>1050</v>
      </c>
      <c r="O295">
        <v>6</v>
      </c>
      <c r="P295" t="s">
        <v>42</v>
      </c>
      <c r="Q295" s="1">
        <v>44490</v>
      </c>
    </row>
    <row r="296" spans="1:17" x14ac:dyDescent="0.3">
      <c r="A296" t="s">
        <v>35</v>
      </c>
      <c r="B296" t="s">
        <v>36</v>
      </c>
      <c r="C296" t="s">
        <v>16</v>
      </c>
      <c r="D296" t="s">
        <v>24</v>
      </c>
      <c r="E296" t="s">
        <v>43</v>
      </c>
      <c r="F296" s="9">
        <v>0.05</v>
      </c>
      <c r="G296" s="10">
        <v>14949</v>
      </c>
      <c r="H296">
        <v>2.09</v>
      </c>
      <c r="I296" s="5">
        <f>ROUND(Marketing[[#This Row],[Clicks]]*Marketing[[#This Row],[Conversion_Rate]],0)</f>
        <v>10</v>
      </c>
      <c r="J296" s="12">
        <f>Marketing[[#This Row],[Campaign_Cost]]/Marketing[[#This Row],[Customers]]</f>
        <v>1494.9</v>
      </c>
      <c r="K296" t="s">
        <v>32</v>
      </c>
      <c r="L296" t="s">
        <v>26</v>
      </c>
      <c r="M296">
        <v>200</v>
      </c>
      <c r="N296">
        <v>2467</v>
      </c>
      <c r="O296">
        <v>8</v>
      </c>
      <c r="P296" t="s">
        <v>44</v>
      </c>
      <c r="Q296" s="1">
        <v>44491</v>
      </c>
    </row>
    <row r="297" spans="1:17" x14ac:dyDescent="0.3">
      <c r="A297" t="s">
        <v>14</v>
      </c>
      <c r="B297" t="s">
        <v>29</v>
      </c>
      <c r="C297" t="s">
        <v>52</v>
      </c>
      <c r="D297" t="s">
        <v>46</v>
      </c>
      <c r="E297" t="s">
        <v>31</v>
      </c>
      <c r="F297" s="9">
        <v>0.06</v>
      </c>
      <c r="G297" s="10">
        <v>6243</v>
      </c>
      <c r="H297">
        <v>5.09</v>
      </c>
      <c r="I297" s="5">
        <f>ROUND(Marketing[[#This Row],[Clicks]]*Marketing[[#This Row],[Conversion_Rate]],0)</f>
        <v>55</v>
      </c>
      <c r="J297" s="12">
        <f>Marketing[[#This Row],[Campaign_Cost]]/Marketing[[#This Row],[Customers]]</f>
        <v>113.50909090909092</v>
      </c>
      <c r="K297" t="s">
        <v>51</v>
      </c>
      <c r="L297" t="s">
        <v>26</v>
      </c>
      <c r="M297">
        <v>924</v>
      </c>
      <c r="N297">
        <v>5798</v>
      </c>
      <c r="O297">
        <v>8</v>
      </c>
      <c r="P297" t="s">
        <v>21</v>
      </c>
      <c r="Q297" s="1">
        <v>44492</v>
      </c>
    </row>
    <row r="298" spans="1:17" x14ac:dyDescent="0.3">
      <c r="A298" t="s">
        <v>28</v>
      </c>
      <c r="B298" t="s">
        <v>36</v>
      </c>
      <c r="C298" t="s">
        <v>37</v>
      </c>
      <c r="D298" t="s">
        <v>17</v>
      </c>
      <c r="E298" t="s">
        <v>41</v>
      </c>
      <c r="F298" s="9">
        <v>0.05</v>
      </c>
      <c r="G298" s="10">
        <v>12470</v>
      </c>
      <c r="H298">
        <v>7.2</v>
      </c>
      <c r="I298" s="5">
        <f>ROUND(Marketing[[#This Row],[Clicks]]*Marketing[[#This Row],[Conversion_Rate]],0)</f>
        <v>12</v>
      </c>
      <c r="J298" s="12">
        <f>Marketing[[#This Row],[Campaign_Cost]]/Marketing[[#This Row],[Customers]]</f>
        <v>1039.1666666666667</v>
      </c>
      <c r="K298" t="s">
        <v>32</v>
      </c>
      <c r="L298" t="s">
        <v>20</v>
      </c>
      <c r="M298">
        <v>247</v>
      </c>
      <c r="N298">
        <v>4962</v>
      </c>
      <c r="O298">
        <v>10</v>
      </c>
      <c r="P298" t="s">
        <v>34</v>
      </c>
      <c r="Q298" s="1">
        <v>44493</v>
      </c>
    </row>
    <row r="299" spans="1:17" x14ac:dyDescent="0.3">
      <c r="A299" t="s">
        <v>49</v>
      </c>
      <c r="B299" t="s">
        <v>36</v>
      </c>
      <c r="C299" t="s">
        <v>30</v>
      </c>
      <c r="D299" t="s">
        <v>40</v>
      </c>
      <c r="E299" t="s">
        <v>18</v>
      </c>
      <c r="F299" s="9">
        <v>0.06</v>
      </c>
      <c r="G299" s="10">
        <v>14236</v>
      </c>
      <c r="H299">
        <v>5.67</v>
      </c>
      <c r="I299" s="5">
        <f>ROUND(Marketing[[#This Row],[Clicks]]*Marketing[[#This Row],[Conversion_Rate]],0)</f>
        <v>48</v>
      </c>
      <c r="J299" s="12">
        <f>Marketing[[#This Row],[Campaign_Cost]]/Marketing[[#This Row],[Customers]]</f>
        <v>296.58333333333331</v>
      </c>
      <c r="K299" t="s">
        <v>19</v>
      </c>
      <c r="L299" t="s">
        <v>50</v>
      </c>
      <c r="M299">
        <v>801</v>
      </c>
      <c r="N299">
        <v>3054</v>
      </c>
      <c r="O299">
        <v>4</v>
      </c>
      <c r="P299" t="s">
        <v>27</v>
      </c>
      <c r="Q299" s="1">
        <v>44494</v>
      </c>
    </row>
    <row r="300" spans="1:17" x14ac:dyDescent="0.3">
      <c r="A300" t="s">
        <v>35</v>
      </c>
      <c r="B300" t="s">
        <v>36</v>
      </c>
      <c r="C300" t="s">
        <v>30</v>
      </c>
      <c r="D300" t="s">
        <v>24</v>
      </c>
      <c r="E300" t="s">
        <v>15</v>
      </c>
      <c r="F300" s="9">
        <v>0.02</v>
      </c>
      <c r="G300" s="10">
        <v>18677</v>
      </c>
      <c r="H300">
        <v>3.71</v>
      </c>
      <c r="I300" s="5">
        <f>ROUND(Marketing[[#This Row],[Clicks]]*Marketing[[#This Row],[Conversion_Rate]],0)</f>
        <v>7</v>
      </c>
      <c r="J300" s="12">
        <f>Marketing[[#This Row],[Campaign_Cost]]/Marketing[[#This Row],[Customers]]</f>
        <v>2668.1428571428573</v>
      </c>
      <c r="K300" t="s">
        <v>32</v>
      </c>
      <c r="L300" t="s">
        <v>39</v>
      </c>
      <c r="M300">
        <v>334</v>
      </c>
      <c r="N300">
        <v>1647</v>
      </c>
      <c r="O300">
        <v>1</v>
      </c>
      <c r="P300" t="s">
        <v>42</v>
      </c>
      <c r="Q300" s="1">
        <v>44495</v>
      </c>
    </row>
    <row r="301" spans="1:17" x14ac:dyDescent="0.3">
      <c r="A301" t="s">
        <v>14</v>
      </c>
      <c r="B301" t="s">
        <v>47</v>
      </c>
      <c r="C301" t="s">
        <v>37</v>
      </c>
      <c r="D301" t="s">
        <v>24</v>
      </c>
      <c r="E301" t="s">
        <v>15</v>
      </c>
      <c r="F301" s="9">
        <v>0.06</v>
      </c>
      <c r="G301" s="10">
        <v>17986</v>
      </c>
      <c r="H301">
        <v>7.99</v>
      </c>
      <c r="I301" s="5">
        <f>ROUND(Marketing[[#This Row],[Clicks]]*Marketing[[#This Row],[Conversion_Rate]],0)</f>
        <v>12</v>
      </c>
      <c r="J301" s="12">
        <f>Marketing[[#This Row],[Campaign_Cost]]/Marketing[[#This Row],[Customers]]</f>
        <v>1498.8333333333333</v>
      </c>
      <c r="K301" t="s">
        <v>19</v>
      </c>
      <c r="L301" t="s">
        <v>26</v>
      </c>
      <c r="M301">
        <v>199</v>
      </c>
      <c r="N301">
        <v>8846</v>
      </c>
      <c r="O301">
        <v>10</v>
      </c>
      <c r="P301" t="s">
        <v>44</v>
      </c>
      <c r="Q301" s="1">
        <v>44496</v>
      </c>
    </row>
    <row r="302" spans="1:17" x14ac:dyDescent="0.3">
      <c r="A302" t="s">
        <v>28</v>
      </c>
      <c r="B302" t="s">
        <v>47</v>
      </c>
      <c r="C302" t="s">
        <v>52</v>
      </c>
      <c r="D302" t="s">
        <v>40</v>
      </c>
      <c r="E302" t="s">
        <v>18</v>
      </c>
      <c r="F302" s="9">
        <v>7.0000000000000007E-2</v>
      </c>
      <c r="G302" s="10">
        <v>11553</v>
      </c>
      <c r="H302">
        <v>6.05</v>
      </c>
      <c r="I302" s="5">
        <f>ROUND(Marketing[[#This Row],[Clicks]]*Marketing[[#This Row],[Conversion_Rate]],0)</f>
        <v>29</v>
      </c>
      <c r="J302" s="12">
        <f>Marketing[[#This Row],[Campaign_Cost]]/Marketing[[#This Row],[Customers]]</f>
        <v>398.37931034482756</v>
      </c>
      <c r="K302" t="s">
        <v>25</v>
      </c>
      <c r="L302" t="s">
        <v>39</v>
      </c>
      <c r="M302">
        <v>420</v>
      </c>
      <c r="N302">
        <v>3838</v>
      </c>
      <c r="O302">
        <v>1</v>
      </c>
      <c r="P302" t="s">
        <v>21</v>
      </c>
      <c r="Q302" s="1">
        <v>44497</v>
      </c>
    </row>
    <row r="303" spans="1:17" x14ac:dyDescent="0.3">
      <c r="A303" t="s">
        <v>28</v>
      </c>
      <c r="B303" t="s">
        <v>36</v>
      </c>
      <c r="C303" t="s">
        <v>52</v>
      </c>
      <c r="D303" t="s">
        <v>24</v>
      </c>
      <c r="E303" t="s">
        <v>43</v>
      </c>
      <c r="F303" s="9">
        <v>0.02</v>
      </c>
      <c r="G303" s="10">
        <v>10856</v>
      </c>
      <c r="H303">
        <v>6.46</v>
      </c>
      <c r="I303" s="5">
        <f>ROUND(Marketing[[#This Row],[Clicks]]*Marketing[[#This Row],[Conversion_Rate]],0)</f>
        <v>8</v>
      </c>
      <c r="J303" s="12">
        <f>Marketing[[#This Row],[Campaign_Cost]]/Marketing[[#This Row],[Customers]]</f>
        <v>1357</v>
      </c>
      <c r="K303" t="s">
        <v>51</v>
      </c>
      <c r="L303" t="s">
        <v>33</v>
      </c>
      <c r="M303">
        <v>406</v>
      </c>
      <c r="N303">
        <v>6117</v>
      </c>
      <c r="O303">
        <v>6</v>
      </c>
      <c r="P303" t="s">
        <v>27</v>
      </c>
      <c r="Q303" s="1">
        <v>44498</v>
      </c>
    </row>
    <row r="304" spans="1:17" x14ac:dyDescent="0.3">
      <c r="A304" t="s">
        <v>14</v>
      </c>
      <c r="B304" t="s">
        <v>15</v>
      </c>
      <c r="C304" t="s">
        <v>16</v>
      </c>
      <c r="D304" t="s">
        <v>17</v>
      </c>
      <c r="E304" t="s">
        <v>18</v>
      </c>
      <c r="F304" s="9">
        <v>0.12</v>
      </c>
      <c r="G304" s="10">
        <v>14564</v>
      </c>
      <c r="H304">
        <v>6.35</v>
      </c>
      <c r="I304" s="5">
        <f>ROUND(Marketing[[#This Row],[Clicks]]*Marketing[[#This Row],[Conversion_Rate]],0)</f>
        <v>93</v>
      </c>
      <c r="J304" s="12">
        <f>Marketing[[#This Row],[Campaign_Cost]]/Marketing[[#This Row],[Customers]]</f>
        <v>156.6021505376344</v>
      </c>
      <c r="K304" t="s">
        <v>51</v>
      </c>
      <c r="L304" t="s">
        <v>39</v>
      </c>
      <c r="M304">
        <v>771</v>
      </c>
      <c r="N304">
        <v>3901</v>
      </c>
      <c r="O304">
        <v>2</v>
      </c>
      <c r="P304" t="s">
        <v>42</v>
      </c>
      <c r="Q304" s="1">
        <v>44499</v>
      </c>
    </row>
    <row r="305" spans="1:17" x14ac:dyDescent="0.3">
      <c r="A305" t="s">
        <v>49</v>
      </c>
      <c r="B305" t="s">
        <v>15</v>
      </c>
      <c r="C305" t="s">
        <v>30</v>
      </c>
      <c r="D305" t="s">
        <v>17</v>
      </c>
      <c r="E305" t="s">
        <v>48</v>
      </c>
      <c r="F305" s="9">
        <v>0.03</v>
      </c>
      <c r="G305" s="10">
        <v>7215</v>
      </c>
      <c r="H305">
        <v>6.82</v>
      </c>
      <c r="I305" s="5">
        <f>ROUND(Marketing[[#This Row],[Clicks]]*Marketing[[#This Row],[Conversion_Rate]],0)</f>
        <v>18</v>
      </c>
      <c r="J305" s="12">
        <f>Marketing[[#This Row],[Campaign_Cost]]/Marketing[[#This Row],[Customers]]</f>
        <v>400.83333333333331</v>
      </c>
      <c r="K305" t="s">
        <v>25</v>
      </c>
      <c r="L305" t="s">
        <v>20</v>
      </c>
      <c r="M305">
        <v>586</v>
      </c>
      <c r="N305">
        <v>7959</v>
      </c>
      <c r="O305">
        <v>2</v>
      </c>
      <c r="P305" t="s">
        <v>21</v>
      </c>
      <c r="Q305" s="1">
        <v>44500</v>
      </c>
    </row>
    <row r="306" spans="1:17" x14ac:dyDescent="0.3">
      <c r="A306" t="s">
        <v>35</v>
      </c>
      <c r="B306" t="s">
        <v>45</v>
      </c>
      <c r="C306" t="s">
        <v>52</v>
      </c>
      <c r="D306" t="s">
        <v>40</v>
      </c>
      <c r="E306" t="s">
        <v>18</v>
      </c>
      <c r="F306" s="9">
        <v>0.1</v>
      </c>
      <c r="G306" s="10">
        <v>14291</v>
      </c>
      <c r="H306">
        <v>2.94</v>
      </c>
      <c r="I306" s="5">
        <f>ROUND(Marketing[[#This Row],[Clicks]]*Marketing[[#This Row],[Conversion_Rate]],0)</f>
        <v>87</v>
      </c>
      <c r="J306" s="12">
        <f>Marketing[[#This Row],[Campaign_Cost]]/Marketing[[#This Row],[Customers]]</f>
        <v>164.26436781609195</v>
      </c>
      <c r="K306" t="s">
        <v>32</v>
      </c>
      <c r="L306" t="s">
        <v>26</v>
      </c>
      <c r="M306">
        <v>872</v>
      </c>
      <c r="N306">
        <v>6875</v>
      </c>
      <c r="O306">
        <v>7</v>
      </c>
      <c r="P306" t="s">
        <v>44</v>
      </c>
      <c r="Q306" s="1">
        <v>44501</v>
      </c>
    </row>
    <row r="307" spans="1:17" x14ac:dyDescent="0.3">
      <c r="A307" t="s">
        <v>35</v>
      </c>
      <c r="B307" t="s">
        <v>36</v>
      </c>
      <c r="C307" t="s">
        <v>16</v>
      </c>
      <c r="D307" t="s">
        <v>40</v>
      </c>
      <c r="E307" t="s">
        <v>31</v>
      </c>
      <c r="F307" s="9">
        <v>0.09</v>
      </c>
      <c r="G307" s="10">
        <v>5189</v>
      </c>
      <c r="H307">
        <v>4.71</v>
      </c>
      <c r="I307" s="5">
        <f>ROUND(Marketing[[#This Row],[Clicks]]*Marketing[[#This Row],[Conversion_Rate]],0)</f>
        <v>76</v>
      </c>
      <c r="J307" s="12">
        <f>Marketing[[#This Row],[Campaign_Cost]]/Marketing[[#This Row],[Customers]]</f>
        <v>68.276315789473685</v>
      </c>
      <c r="K307" t="s">
        <v>38</v>
      </c>
      <c r="L307" t="s">
        <v>50</v>
      </c>
      <c r="M307">
        <v>845</v>
      </c>
      <c r="N307">
        <v>2395</v>
      </c>
      <c r="O307">
        <v>9</v>
      </c>
      <c r="P307" t="s">
        <v>21</v>
      </c>
      <c r="Q307" s="1">
        <v>44502</v>
      </c>
    </row>
    <row r="308" spans="1:17" x14ac:dyDescent="0.3">
      <c r="A308" t="s">
        <v>28</v>
      </c>
      <c r="B308" t="s">
        <v>36</v>
      </c>
      <c r="C308" t="s">
        <v>52</v>
      </c>
      <c r="D308" t="s">
        <v>17</v>
      </c>
      <c r="E308" t="s">
        <v>31</v>
      </c>
      <c r="F308" s="9">
        <v>0.03</v>
      </c>
      <c r="G308" s="10">
        <v>8249</v>
      </c>
      <c r="H308">
        <v>6.02</v>
      </c>
      <c r="I308" s="5">
        <f>ROUND(Marketing[[#This Row],[Clicks]]*Marketing[[#This Row],[Conversion_Rate]],0)</f>
        <v>17</v>
      </c>
      <c r="J308" s="12">
        <f>Marketing[[#This Row],[Campaign_Cost]]/Marketing[[#This Row],[Customers]]</f>
        <v>485.23529411764707</v>
      </c>
      <c r="K308" t="s">
        <v>25</v>
      </c>
      <c r="L308" t="s">
        <v>50</v>
      </c>
      <c r="M308">
        <v>566</v>
      </c>
      <c r="N308">
        <v>9149</v>
      </c>
      <c r="O308">
        <v>10</v>
      </c>
      <c r="P308" t="s">
        <v>44</v>
      </c>
      <c r="Q308" s="1">
        <v>44503</v>
      </c>
    </row>
    <row r="309" spans="1:17" x14ac:dyDescent="0.3">
      <c r="A309" t="s">
        <v>14</v>
      </c>
      <c r="B309" t="s">
        <v>15</v>
      </c>
      <c r="C309" t="s">
        <v>16</v>
      </c>
      <c r="D309" t="s">
        <v>46</v>
      </c>
      <c r="E309" t="s">
        <v>48</v>
      </c>
      <c r="F309" s="9">
        <v>0.14000000000000001</v>
      </c>
      <c r="G309" s="10">
        <v>14830</v>
      </c>
      <c r="H309">
        <v>7.55</v>
      </c>
      <c r="I309" s="5">
        <f>ROUND(Marketing[[#This Row],[Clicks]]*Marketing[[#This Row],[Conversion_Rate]],0)</f>
        <v>120</v>
      </c>
      <c r="J309" s="12">
        <f>Marketing[[#This Row],[Campaign_Cost]]/Marketing[[#This Row],[Customers]]</f>
        <v>123.58333333333333</v>
      </c>
      <c r="K309" t="s">
        <v>32</v>
      </c>
      <c r="L309" t="s">
        <v>20</v>
      </c>
      <c r="M309">
        <v>858</v>
      </c>
      <c r="N309">
        <v>8551</v>
      </c>
      <c r="O309">
        <v>1</v>
      </c>
      <c r="P309" t="s">
        <v>44</v>
      </c>
      <c r="Q309" s="1">
        <v>44504</v>
      </c>
    </row>
    <row r="310" spans="1:17" x14ac:dyDescent="0.3">
      <c r="A310" t="s">
        <v>14</v>
      </c>
      <c r="B310" t="s">
        <v>36</v>
      </c>
      <c r="C310" t="s">
        <v>23</v>
      </c>
      <c r="D310" t="s">
        <v>17</v>
      </c>
      <c r="E310" t="s">
        <v>43</v>
      </c>
      <c r="F310" s="9">
        <v>0.1</v>
      </c>
      <c r="G310" s="10">
        <v>5187</v>
      </c>
      <c r="H310">
        <v>5.4</v>
      </c>
      <c r="I310" s="5">
        <f>ROUND(Marketing[[#This Row],[Clicks]]*Marketing[[#This Row],[Conversion_Rate]],0)</f>
        <v>25</v>
      </c>
      <c r="J310" s="12">
        <f>Marketing[[#This Row],[Campaign_Cost]]/Marketing[[#This Row],[Customers]]</f>
        <v>207.48</v>
      </c>
      <c r="K310" t="s">
        <v>38</v>
      </c>
      <c r="L310" t="s">
        <v>39</v>
      </c>
      <c r="M310">
        <v>254</v>
      </c>
      <c r="N310">
        <v>2409</v>
      </c>
      <c r="O310">
        <v>8</v>
      </c>
      <c r="P310" t="s">
        <v>21</v>
      </c>
      <c r="Q310" s="1">
        <v>44505</v>
      </c>
    </row>
    <row r="311" spans="1:17" x14ac:dyDescent="0.3">
      <c r="A311" t="s">
        <v>22</v>
      </c>
      <c r="B311" t="s">
        <v>36</v>
      </c>
      <c r="C311" t="s">
        <v>37</v>
      </c>
      <c r="D311" t="s">
        <v>17</v>
      </c>
      <c r="E311" t="s">
        <v>43</v>
      </c>
      <c r="F311" s="9">
        <v>0.12</v>
      </c>
      <c r="G311" s="10">
        <v>6813</v>
      </c>
      <c r="H311">
        <v>5.59</v>
      </c>
      <c r="I311" s="5">
        <f>ROUND(Marketing[[#This Row],[Clicks]]*Marketing[[#This Row],[Conversion_Rate]],0)</f>
        <v>96</v>
      </c>
      <c r="J311" s="12">
        <f>Marketing[[#This Row],[Campaign_Cost]]/Marketing[[#This Row],[Customers]]</f>
        <v>70.96875</v>
      </c>
      <c r="K311" t="s">
        <v>51</v>
      </c>
      <c r="L311" t="s">
        <v>20</v>
      </c>
      <c r="M311">
        <v>803</v>
      </c>
      <c r="N311">
        <v>2031</v>
      </c>
      <c r="O311">
        <v>3</v>
      </c>
      <c r="P311" t="s">
        <v>42</v>
      </c>
      <c r="Q311" s="1">
        <v>44506</v>
      </c>
    </row>
    <row r="312" spans="1:17" x14ac:dyDescent="0.3">
      <c r="A312" t="s">
        <v>14</v>
      </c>
      <c r="B312" t="s">
        <v>45</v>
      </c>
      <c r="C312" t="s">
        <v>37</v>
      </c>
      <c r="D312" t="s">
        <v>24</v>
      </c>
      <c r="E312" t="s">
        <v>41</v>
      </c>
      <c r="F312" s="9">
        <v>0.04</v>
      </c>
      <c r="G312" s="10">
        <v>15776</v>
      </c>
      <c r="H312">
        <v>3</v>
      </c>
      <c r="I312" s="5">
        <f>ROUND(Marketing[[#This Row],[Clicks]]*Marketing[[#This Row],[Conversion_Rate]],0)</f>
        <v>13</v>
      </c>
      <c r="J312" s="12">
        <f>Marketing[[#This Row],[Campaign_Cost]]/Marketing[[#This Row],[Customers]]</f>
        <v>1213.5384615384614</v>
      </c>
      <c r="K312" t="s">
        <v>51</v>
      </c>
      <c r="L312" t="s">
        <v>20</v>
      </c>
      <c r="M312">
        <v>325</v>
      </c>
      <c r="N312">
        <v>5452</v>
      </c>
      <c r="O312">
        <v>3</v>
      </c>
      <c r="P312" t="s">
        <v>34</v>
      </c>
      <c r="Q312" s="1">
        <v>44507</v>
      </c>
    </row>
    <row r="313" spans="1:17" x14ac:dyDescent="0.3">
      <c r="A313" t="s">
        <v>14</v>
      </c>
      <c r="B313" t="s">
        <v>47</v>
      </c>
      <c r="C313" t="s">
        <v>16</v>
      </c>
      <c r="D313" t="s">
        <v>40</v>
      </c>
      <c r="E313" t="s">
        <v>41</v>
      </c>
      <c r="F313" s="9">
        <v>0.06</v>
      </c>
      <c r="G313" s="10">
        <v>7059</v>
      </c>
      <c r="H313">
        <v>2.34</v>
      </c>
      <c r="I313" s="5">
        <f>ROUND(Marketing[[#This Row],[Clicks]]*Marketing[[#This Row],[Conversion_Rate]],0)</f>
        <v>42</v>
      </c>
      <c r="J313" s="12">
        <f>Marketing[[#This Row],[Campaign_Cost]]/Marketing[[#This Row],[Customers]]</f>
        <v>168.07142857142858</v>
      </c>
      <c r="K313" t="s">
        <v>32</v>
      </c>
      <c r="L313" t="s">
        <v>39</v>
      </c>
      <c r="M313">
        <v>695</v>
      </c>
      <c r="N313">
        <v>4167</v>
      </c>
      <c r="O313">
        <v>4</v>
      </c>
      <c r="P313" t="s">
        <v>44</v>
      </c>
      <c r="Q313" s="1">
        <v>44508</v>
      </c>
    </row>
    <row r="314" spans="1:17" x14ac:dyDescent="0.3">
      <c r="A314" t="s">
        <v>35</v>
      </c>
      <c r="B314" t="s">
        <v>29</v>
      </c>
      <c r="C314" t="s">
        <v>52</v>
      </c>
      <c r="D314" t="s">
        <v>46</v>
      </c>
      <c r="E314" t="s">
        <v>41</v>
      </c>
      <c r="F314" s="9">
        <v>0.11</v>
      </c>
      <c r="G314" s="10">
        <v>5829</v>
      </c>
      <c r="H314">
        <v>7.9</v>
      </c>
      <c r="I314" s="5">
        <f>ROUND(Marketing[[#This Row],[Clicks]]*Marketing[[#This Row],[Conversion_Rate]],0)</f>
        <v>21</v>
      </c>
      <c r="J314" s="12">
        <f>Marketing[[#This Row],[Campaign_Cost]]/Marketing[[#This Row],[Customers]]</f>
        <v>277.57142857142856</v>
      </c>
      <c r="K314" t="s">
        <v>19</v>
      </c>
      <c r="L314" t="s">
        <v>26</v>
      </c>
      <c r="M314">
        <v>195</v>
      </c>
      <c r="N314">
        <v>8154</v>
      </c>
      <c r="O314">
        <v>9</v>
      </c>
      <c r="P314" t="s">
        <v>44</v>
      </c>
      <c r="Q314" s="1">
        <v>44509</v>
      </c>
    </row>
    <row r="315" spans="1:17" x14ac:dyDescent="0.3">
      <c r="A315" t="s">
        <v>49</v>
      </c>
      <c r="B315" t="s">
        <v>36</v>
      </c>
      <c r="C315" t="s">
        <v>37</v>
      </c>
      <c r="D315" t="s">
        <v>46</v>
      </c>
      <c r="E315" t="s">
        <v>18</v>
      </c>
      <c r="F315" s="9">
        <v>0.09</v>
      </c>
      <c r="G315" s="10">
        <v>8756</v>
      </c>
      <c r="H315">
        <v>4.0199999999999996</v>
      </c>
      <c r="I315" s="5">
        <f>ROUND(Marketing[[#This Row],[Clicks]]*Marketing[[#This Row],[Conversion_Rate]],0)</f>
        <v>46</v>
      </c>
      <c r="J315" s="12">
        <f>Marketing[[#This Row],[Campaign_Cost]]/Marketing[[#This Row],[Customers]]</f>
        <v>190.34782608695653</v>
      </c>
      <c r="K315" t="s">
        <v>51</v>
      </c>
      <c r="L315" t="s">
        <v>33</v>
      </c>
      <c r="M315">
        <v>513</v>
      </c>
      <c r="N315">
        <v>6124</v>
      </c>
      <c r="O315">
        <v>9</v>
      </c>
      <c r="P315" t="s">
        <v>21</v>
      </c>
      <c r="Q315" s="1">
        <v>44510</v>
      </c>
    </row>
    <row r="316" spans="1:17" x14ac:dyDescent="0.3">
      <c r="A316" t="s">
        <v>49</v>
      </c>
      <c r="B316" t="s">
        <v>15</v>
      </c>
      <c r="C316" t="s">
        <v>37</v>
      </c>
      <c r="D316" t="s">
        <v>24</v>
      </c>
      <c r="E316" t="s">
        <v>43</v>
      </c>
      <c r="F316" s="9">
        <v>0.14000000000000001</v>
      </c>
      <c r="G316" s="10">
        <v>13515</v>
      </c>
      <c r="H316">
        <v>5.54</v>
      </c>
      <c r="I316" s="5">
        <f>ROUND(Marketing[[#This Row],[Clicks]]*Marketing[[#This Row],[Conversion_Rate]],0)</f>
        <v>90</v>
      </c>
      <c r="J316" s="12">
        <f>Marketing[[#This Row],[Campaign_Cost]]/Marketing[[#This Row],[Customers]]</f>
        <v>150.16666666666666</v>
      </c>
      <c r="K316" t="s">
        <v>32</v>
      </c>
      <c r="L316" t="s">
        <v>20</v>
      </c>
      <c r="M316">
        <v>645</v>
      </c>
      <c r="N316">
        <v>1813</v>
      </c>
      <c r="O316">
        <v>2</v>
      </c>
      <c r="P316" t="s">
        <v>21</v>
      </c>
      <c r="Q316" s="1">
        <v>44511</v>
      </c>
    </row>
    <row r="317" spans="1:17" x14ac:dyDescent="0.3">
      <c r="A317" t="s">
        <v>22</v>
      </c>
      <c r="B317" t="s">
        <v>47</v>
      </c>
      <c r="C317" t="s">
        <v>23</v>
      </c>
      <c r="D317" t="s">
        <v>24</v>
      </c>
      <c r="E317" t="s">
        <v>43</v>
      </c>
      <c r="F317" s="9">
        <v>0.1</v>
      </c>
      <c r="G317" s="10">
        <v>11573</v>
      </c>
      <c r="H317">
        <v>3.89</v>
      </c>
      <c r="I317" s="5">
        <f>ROUND(Marketing[[#This Row],[Clicks]]*Marketing[[#This Row],[Conversion_Rate]],0)</f>
        <v>44</v>
      </c>
      <c r="J317" s="12">
        <f>Marketing[[#This Row],[Campaign_Cost]]/Marketing[[#This Row],[Customers]]</f>
        <v>263.02272727272725</v>
      </c>
      <c r="K317" t="s">
        <v>19</v>
      </c>
      <c r="L317" t="s">
        <v>26</v>
      </c>
      <c r="M317">
        <v>439</v>
      </c>
      <c r="N317">
        <v>1258</v>
      </c>
      <c r="O317">
        <v>1</v>
      </c>
      <c r="P317" t="s">
        <v>42</v>
      </c>
      <c r="Q317" s="1">
        <v>44512</v>
      </c>
    </row>
    <row r="318" spans="1:17" x14ac:dyDescent="0.3">
      <c r="A318" t="s">
        <v>22</v>
      </c>
      <c r="B318" t="s">
        <v>47</v>
      </c>
      <c r="C318" t="s">
        <v>52</v>
      </c>
      <c r="D318" t="s">
        <v>46</v>
      </c>
      <c r="E318" t="s">
        <v>41</v>
      </c>
      <c r="F318" s="9">
        <v>0.02</v>
      </c>
      <c r="G318" s="10">
        <v>18073</v>
      </c>
      <c r="H318">
        <v>4.0999999999999996</v>
      </c>
      <c r="I318" s="5">
        <f>ROUND(Marketing[[#This Row],[Clicks]]*Marketing[[#This Row],[Conversion_Rate]],0)</f>
        <v>15</v>
      </c>
      <c r="J318" s="12">
        <f>Marketing[[#This Row],[Campaign_Cost]]/Marketing[[#This Row],[Customers]]</f>
        <v>1204.8666666666666</v>
      </c>
      <c r="K318" t="s">
        <v>25</v>
      </c>
      <c r="L318" t="s">
        <v>50</v>
      </c>
      <c r="M318">
        <v>737</v>
      </c>
      <c r="N318">
        <v>7217</v>
      </c>
      <c r="O318">
        <v>5</v>
      </c>
      <c r="P318" t="s">
        <v>34</v>
      </c>
      <c r="Q318" s="1">
        <v>44513</v>
      </c>
    </row>
    <row r="319" spans="1:17" x14ac:dyDescent="0.3">
      <c r="A319" t="s">
        <v>14</v>
      </c>
      <c r="B319" t="s">
        <v>47</v>
      </c>
      <c r="C319" t="s">
        <v>16</v>
      </c>
      <c r="D319" t="s">
        <v>46</v>
      </c>
      <c r="E319" t="s">
        <v>43</v>
      </c>
      <c r="F319" s="9">
        <v>0.06</v>
      </c>
      <c r="G319" s="10">
        <v>10446</v>
      </c>
      <c r="H319">
        <v>2.69</v>
      </c>
      <c r="I319" s="5">
        <f>ROUND(Marketing[[#This Row],[Clicks]]*Marketing[[#This Row],[Conversion_Rate]],0)</f>
        <v>34</v>
      </c>
      <c r="J319" s="12">
        <f>Marketing[[#This Row],[Campaign_Cost]]/Marketing[[#This Row],[Customers]]</f>
        <v>307.23529411764707</v>
      </c>
      <c r="K319" t="s">
        <v>19</v>
      </c>
      <c r="L319" t="s">
        <v>33</v>
      </c>
      <c r="M319">
        <v>568</v>
      </c>
      <c r="N319">
        <v>2153</v>
      </c>
      <c r="O319">
        <v>8</v>
      </c>
      <c r="P319" t="s">
        <v>44</v>
      </c>
      <c r="Q319" s="1">
        <v>44514</v>
      </c>
    </row>
    <row r="320" spans="1:17" x14ac:dyDescent="0.3">
      <c r="A320" t="s">
        <v>14</v>
      </c>
      <c r="B320" t="s">
        <v>29</v>
      </c>
      <c r="C320" t="s">
        <v>52</v>
      </c>
      <c r="D320" t="s">
        <v>46</v>
      </c>
      <c r="E320" t="s">
        <v>15</v>
      </c>
      <c r="F320" s="9">
        <v>0.15</v>
      </c>
      <c r="G320" s="10">
        <v>10042</v>
      </c>
      <c r="H320">
        <v>4.24</v>
      </c>
      <c r="I320" s="5">
        <f>ROUND(Marketing[[#This Row],[Clicks]]*Marketing[[#This Row],[Conversion_Rate]],0)</f>
        <v>69</v>
      </c>
      <c r="J320" s="12">
        <f>Marketing[[#This Row],[Campaign_Cost]]/Marketing[[#This Row],[Customers]]</f>
        <v>145.53623188405797</v>
      </c>
      <c r="K320" t="s">
        <v>32</v>
      </c>
      <c r="L320" t="s">
        <v>50</v>
      </c>
      <c r="M320">
        <v>458</v>
      </c>
      <c r="N320">
        <v>5007</v>
      </c>
      <c r="O320">
        <v>7</v>
      </c>
      <c r="P320" t="s">
        <v>27</v>
      </c>
      <c r="Q320" s="1">
        <v>44515</v>
      </c>
    </row>
    <row r="321" spans="1:17" x14ac:dyDescent="0.3">
      <c r="A321" t="s">
        <v>28</v>
      </c>
      <c r="B321" t="s">
        <v>15</v>
      </c>
      <c r="C321" t="s">
        <v>30</v>
      </c>
      <c r="D321" t="s">
        <v>46</v>
      </c>
      <c r="E321" t="s">
        <v>31</v>
      </c>
      <c r="F321" s="9">
        <v>0.05</v>
      </c>
      <c r="G321" s="10">
        <v>16416</v>
      </c>
      <c r="H321">
        <v>7.45</v>
      </c>
      <c r="I321" s="5">
        <f>ROUND(Marketing[[#This Row],[Clicks]]*Marketing[[#This Row],[Conversion_Rate]],0)</f>
        <v>12</v>
      </c>
      <c r="J321" s="12">
        <f>Marketing[[#This Row],[Campaign_Cost]]/Marketing[[#This Row],[Customers]]</f>
        <v>1368</v>
      </c>
      <c r="K321" t="s">
        <v>25</v>
      </c>
      <c r="L321" t="s">
        <v>33</v>
      </c>
      <c r="M321">
        <v>233</v>
      </c>
      <c r="N321">
        <v>6820</v>
      </c>
      <c r="O321">
        <v>1</v>
      </c>
      <c r="P321" t="s">
        <v>27</v>
      </c>
      <c r="Q321" s="1">
        <v>44516</v>
      </c>
    </row>
    <row r="322" spans="1:17" x14ac:dyDescent="0.3">
      <c r="A322" t="s">
        <v>49</v>
      </c>
      <c r="B322" t="s">
        <v>45</v>
      </c>
      <c r="C322" t="s">
        <v>16</v>
      </c>
      <c r="D322" t="s">
        <v>46</v>
      </c>
      <c r="E322" t="s">
        <v>15</v>
      </c>
      <c r="F322" s="9">
        <v>0.13</v>
      </c>
      <c r="G322" s="10">
        <v>15863</v>
      </c>
      <c r="H322">
        <v>2.46</v>
      </c>
      <c r="I322" s="5">
        <f>ROUND(Marketing[[#This Row],[Clicks]]*Marketing[[#This Row],[Conversion_Rate]],0)</f>
        <v>85</v>
      </c>
      <c r="J322" s="12">
        <f>Marketing[[#This Row],[Campaign_Cost]]/Marketing[[#This Row],[Customers]]</f>
        <v>186.62352941176471</v>
      </c>
      <c r="K322" t="s">
        <v>25</v>
      </c>
      <c r="L322" t="s">
        <v>26</v>
      </c>
      <c r="M322">
        <v>652</v>
      </c>
      <c r="N322">
        <v>3790</v>
      </c>
      <c r="O322">
        <v>8</v>
      </c>
      <c r="P322" t="s">
        <v>21</v>
      </c>
      <c r="Q322" s="1">
        <v>44517</v>
      </c>
    </row>
    <row r="323" spans="1:17" x14ac:dyDescent="0.3">
      <c r="A323" t="s">
        <v>35</v>
      </c>
      <c r="B323" t="s">
        <v>36</v>
      </c>
      <c r="C323" t="s">
        <v>52</v>
      </c>
      <c r="D323" t="s">
        <v>17</v>
      </c>
      <c r="E323" t="s">
        <v>15</v>
      </c>
      <c r="F323" s="9">
        <v>0.02</v>
      </c>
      <c r="G323" s="10">
        <v>5720</v>
      </c>
      <c r="H323">
        <v>3.2</v>
      </c>
      <c r="I323" s="5">
        <f>ROUND(Marketing[[#This Row],[Clicks]]*Marketing[[#This Row],[Conversion_Rate]],0)</f>
        <v>11</v>
      </c>
      <c r="J323" s="12">
        <f>Marketing[[#This Row],[Campaign_Cost]]/Marketing[[#This Row],[Customers]]</f>
        <v>520</v>
      </c>
      <c r="K323" t="s">
        <v>19</v>
      </c>
      <c r="L323" t="s">
        <v>50</v>
      </c>
      <c r="M323">
        <v>568</v>
      </c>
      <c r="N323">
        <v>5613</v>
      </c>
      <c r="O323">
        <v>6</v>
      </c>
      <c r="P323" t="s">
        <v>42</v>
      </c>
      <c r="Q323" s="1">
        <v>44518</v>
      </c>
    </row>
    <row r="324" spans="1:17" x14ac:dyDescent="0.3">
      <c r="A324" t="s">
        <v>49</v>
      </c>
      <c r="B324" t="s">
        <v>15</v>
      </c>
      <c r="C324" t="s">
        <v>16</v>
      </c>
      <c r="D324" t="s">
        <v>17</v>
      </c>
      <c r="E324" t="s">
        <v>43</v>
      </c>
      <c r="F324" s="9">
        <v>0.09</v>
      </c>
      <c r="G324" s="10">
        <v>18371</v>
      </c>
      <c r="H324">
        <v>7.02</v>
      </c>
      <c r="I324" s="5">
        <f>ROUND(Marketing[[#This Row],[Clicks]]*Marketing[[#This Row],[Conversion_Rate]],0)</f>
        <v>46</v>
      </c>
      <c r="J324" s="12">
        <f>Marketing[[#This Row],[Campaign_Cost]]/Marketing[[#This Row],[Customers]]</f>
        <v>399.36956521739131</v>
      </c>
      <c r="K324" t="s">
        <v>19</v>
      </c>
      <c r="L324" t="s">
        <v>20</v>
      </c>
      <c r="M324">
        <v>515</v>
      </c>
      <c r="N324">
        <v>1957</v>
      </c>
      <c r="O324">
        <v>1</v>
      </c>
      <c r="P324" t="s">
        <v>27</v>
      </c>
      <c r="Q324" s="1">
        <v>44519</v>
      </c>
    </row>
    <row r="325" spans="1:17" x14ac:dyDescent="0.3">
      <c r="A325" t="s">
        <v>22</v>
      </c>
      <c r="B325" t="s">
        <v>15</v>
      </c>
      <c r="C325" t="s">
        <v>30</v>
      </c>
      <c r="D325" t="s">
        <v>24</v>
      </c>
      <c r="E325" t="s">
        <v>41</v>
      </c>
      <c r="F325" s="9">
        <v>0.08</v>
      </c>
      <c r="G325" s="10">
        <v>9735</v>
      </c>
      <c r="H325">
        <v>3.15</v>
      </c>
      <c r="I325" s="5">
        <f>ROUND(Marketing[[#This Row],[Clicks]]*Marketing[[#This Row],[Conversion_Rate]],0)</f>
        <v>58</v>
      </c>
      <c r="J325" s="12">
        <f>Marketing[[#This Row],[Campaign_Cost]]/Marketing[[#This Row],[Customers]]</f>
        <v>167.84482758620689</v>
      </c>
      <c r="K325" t="s">
        <v>19</v>
      </c>
      <c r="L325" t="s">
        <v>33</v>
      </c>
      <c r="M325">
        <v>730</v>
      </c>
      <c r="N325">
        <v>1745</v>
      </c>
      <c r="O325">
        <v>5</v>
      </c>
      <c r="P325" t="s">
        <v>34</v>
      </c>
      <c r="Q325" s="1">
        <v>44520</v>
      </c>
    </row>
    <row r="326" spans="1:17" x14ac:dyDescent="0.3">
      <c r="A326" t="s">
        <v>49</v>
      </c>
      <c r="B326" t="s">
        <v>36</v>
      </c>
      <c r="C326" t="s">
        <v>37</v>
      </c>
      <c r="D326" t="s">
        <v>24</v>
      </c>
      <c r="E326" t="s">
        <v>15</v>
      </c>
      <c r="F326" s="9">
        <v>0.06</v>
      </c>
      <c r="G326" s="10">
        <v>14549</v>
      </c>
      <c r="H326">
        <v>3.11</v>
      </c>
      <c r="I326" s="5">
        <f>ROUND(Marketing[[#This Row],[Clicks]]*Marketing[[#This Row],[Conversion_Rate]],0)</f>
        <v>37</v>
      </c>
      <c r="J326" s="12">
        <f>Marketing[[#This Row],[Campaign_Cost]]/Marketing[[#This Row],[Customers]]</f>
        <v>393.2162162162162</v>
      </c>
      <c r="K326" t="s">
        <v>51</v>
      </c>
      <c r="L326" t="s">
        <v>26</v>
      </c>
      <c r="M326">
        <v>619</v>
      </c>
      <c r="N326">
        <v>4159</v>
      </c>
      <c r="O326">
        <v>1</v>
      </c>
      <c r="P326" t="s">
        <v>21</v>
      </c>
      <c r="Q326" s="1">
        <v>44521</v>
      </c>
    </row>
    <row r="327" spans="1:17" x14ac:dyDescent="0.3">
      <c r="A327" t="s">
        <v>14</v>
      </c>
      <c r="B327" t="s">
        <v>29</v>
      </c>
      <c r="C327" t="s">
        <v>52</v>
      </c>
      <c r="D327" t="s">
        <v>40</v>
      </c>
      <c r="E327" t="s">
        <v>15</v>
      </c>
      <c r="F327" s="9">
        <v>0.13</v>
      </c>
      <c r="G327" s="10">
        <v>15540</v>
      </c>
      <c r="H327">
        <v>2.5099999999999998</v>
      </c>
      <c r="I327" s="5">
        <f>ROUND(Marketing[[#This Row],[Clicks]]*Marketing[[#This Row],[Conversion_Rate]],0)</f>
        <v>123</v>
      </c>
      <c r="J327" s="12">
        <f>Marketing[[#This Row],[Campaign_Cost]]/Marketing[[#This Row],[Customers]]</f>
        <v>126.34146341463415</v>
      </c>
      <c r="K327" t="s">
        <v>32</v>
      </c>
      <c r="L327" t="s">
        <v>20</v>
      </c>
      <c r="M327">
        <v>946</v>
      </c>
      <c r="N327">
        <v>5454</v>
      </c>
      <c r="O327">
        <v>2</v>
      </c>
      <c r="P327" t="s">
        <v>42</v>
      </c>
      <c r="Q327" s="1">
        <v>44522</v>
      </c>
    </row>
    <row r="328" spans="1:17" x14ac:dyDescent="0.3">
      <c r="A328" t="s">
        <v>28</v>
      </c>
      <c r="B328" t="s">
        <v>15</v>
      </c>
      <c r="C328" t="s">
        <v>30</v>
      </c>
      <c r="D328" t="s">
        <v>17</v>
      </c>
      <c r="E328" t="s">
        <v>15</v>
      </c>
      <c r="F328" s="9">
        <v>0.03</v>
      </c>
      <c r="G328" s="10">
        <v>6398</v>
      </c>
      <c r="H328">
        <v>6.12</v>
      </c>
      <c r="I328" s="5">
        <f>ROUND(Marketing[[#This Row],[Clicks]]*Marketing[[#This Row],[Conversion_Rate]],0)</f>
        <v>10</v>
      </c>
      <c r="J328" s="12">
        <f>Marketing[[#This Row],[Campaign_Cost]]/Marketing[[#This Row],[Customers]]</f>
        <v>639.79999999999995</v>
      </c>
      <c r="K328" t="s">
        <v>25</v>
      </c>
      <c r="L328" t="s">
        <v>26</v>
      </c>
      <c r="M328">
        <v>326</v>
      </c>
      <c r="N328">
        <v>7358</v>
      </c>
      <c r="O328">
        <v>4</v>
      </c>
      <c r="P328" t="s">
        <v>27</v>
      </c>
      <c r="Q328" s="1">
        <v>44523</v>
      </c>
    </row>
    <row r="329" spans="1:17" x14ac:dyDescent="0.3">
      <c r="A329" t="s">
        <v>49</v>
      </c>
      <c r="B329" t="s">
        <v>29</v>
      </c>
      <c r="C329" t="s">
        <v>30</v>
      </c>
      <c r="D329" t="s">
        <v>17</v>
      </c>
      <c r="E329" t="s">
        <v>31</v>
      </c>
      <c r="F329" s="9">
        <v>0.01</v>
      </c>
      <c r="G329" s="10">
        <v>8212</v>
      </c>
      <c r="H329">
        <v>5.22</v>
      </c>
      <c r="I329" s="5">
        <f>ROUND(Marketing[[#This Row],[Clicks]]*Marketing[[#This Row],[Conversion_Rate]],0)</f>
        <v>8</v>
      </c>
      <c r="J329" s="12">
        <f>Marketing[[#This Row],[Campaign_Cost]]/Marketing[[#This Row],[Customers]]</f>
        <v>1026.5</v>
      </c>
      <c r="K329" t="s">
        <v>38</v>
      </c>
      <c r="L329" t="s">
        <v>26</v>
      </c>
      <c r="M329">
        <v>800</v>
      </c>
      <c r="N329">
        <v>6207</v>
      </c>
      <c r="O329">
        <v>9</v>
      </c>
      <c r="P329" t="s">
        <v>21</v>
      </c>
      <c r="Q329" s="1">
        <v>44524</v>
      </c>
    </row>
    <row r="330" spans="1:17" x14ac:dyDescent="0.3">
      <c r="A330" t="s">
        <v>35</v>
      </c>
      <c r="B330" t="s">
        <v>36</v>
      </c>
      <c r="C330" t="s">
        <v>37</v>
      </c>
      <c r="D330" t="s">
        <v>17</v>
      </c>
      <c r="E330" t="s">
        <v>48</v>
      </c>
      <c r="F330" s="9">
        <v>0.08</v>
      </c>
      <c r="G330" s="10">
        <v>10423</v>
      </c>
      <c r="H330">
        <v>5.32</v>
      </c>
      <c r="I330" s="5">
        <f>ROUND(Marketing[[#This Row],[Clicks]]*Marketing[[#This Row],[Conversion_Rate]],0)</f>
        <v>21</v>
      </c>
      <c r="J330" s="12">
        <f>Marketing[[#This Row],[Campaign_Cost]]/Marketing[[#This Row],[Customers]]</f>
        <v>496.33333333333331</v>
      </c>
      <c r="K330" t="s">
        <v>32</v>
      </c>
      <c r="L330" t="s">
        <v>50</v>
      </c>
      <c r="M330">
        <v>259</v>
      </c>
      <c r="N330">
        <v>7752</v>
      </c>
      <c r="O330">
        <v>7</v>
      </c>
      <c r="P330" t="s">
        <v>27</v>
      </c>
      <c r="Q330" s="1">
        <v>44525</v>
      </c>
    </row>
    <row r="331" spans="1:17" x14ac:dyDescent="0.3">
      <c r="A331" t="s">
        <v>14</v>
      </c>
      <c r="B331" t="s">
        <v>29</v>
      </c>
      <c r="C331" t="s">
        <v>23</v>
      </c>
      <c r="D331" t="s">
        <v>17</v>
      </c>
      <c r="E331" t="s">
        <v>41</v>
      </c>
      <c r="F331" s="9">
        <v>0.1</v>
      </c>
      <c r="G331" s="10">
        <v>6841</v>
      </c>
      <c r="H331">
        <v>6.4</v>
      </c>
      <c r="I331" s="5">
        <f>ROUND(Marketing[[#This Row],[Clicks]]*Marketing[[#This Row],[Conversion_Rate]],0)</f>
        <v>52</v>
      </c>
      <c r="J331" s="12">
        <f>Marketing[[#This Row],[Campaign_Cost]]/Marketing[[#This Row],[Customers]]</f>
        <v>131.55769230769232</v>
      </c>
      <c r="K331" t="s">
        <v>51</v>
      </c>
      <c r="L331" t="s">
        <v>39</v>
      </c>
      <c r="M331">
        <v>517</v>
      </c>
      <c r="N331">
        <v>1438</v>
      </c>
      <c r="O331">
        <v>9</v>
      </c>
      <c r="P331" t="s">
        <v>21</v>
      </c>
      <c r="Q331" s="1">
        <v>44526</v>
      </c>
    </row>
    <row r="332" spans="1:17" x14ac:dyDescent="0.3">
      <c r="A332" t="s">
        <v>14</v>
      </c>
      <c r="B332" t="s">
        <v>45</v>
      </c>
      <c r="C332" t="s">
        <v>23</v>
      </c>
      <c r="D332" t="s">
        <v>17</v>
      </c>
      <c r="E332" t="s">
        <v>15</v>
      </c>
      <c r="F332" s="9">
        <v>0.12</v>
      </c>
      <c r="G332" s="10">
        <v>12716</v>
      </c>
      <c r="H332">
        <v>5.92</v>
      </c>
      <c r="I332" s="5">
        <f>ROUND(Marketing[[#This Row],[Clicks]]*Marketing[[#This Row],[Conversion_Rate]],0)</f>
        <v>16</v>
      </c>
      <c r="J332" s="12">
        <f>Marketing[[#This Row],[Campaign_Cost]]/Marketing[[#This Row],[Customers]]</f>
        <v>794.75</v>
      </c>
      <c r="K332" t="s">
        <v>51</v>
      </c>
      <c r="L332" t="s">
        <v>20</v>
      </c>
      <c r="M332">
        <v>130</v>
      </c>
      <c r="N332">
        <v>3442</v>
      </c>
      <c r="O332">
        <v>1</v>
      </c>
      <c r="P332" t="s">
        <v>42</v>
      </c>
      <c r="Q332" s="1">
        <v>44527</v>
      </c>
    </row>
    <row r="333" spans="1:17" x14ac:dyDescent="0.3">
      <c r="A333" t="s">
        <v>22</v>
      </c>
      <c r="B333" t="s">
        <v>29</v>
      </c>
      <c r="C333" t="s">
        <v>16</v>
      </c>
      <c r="D333" t="s">
        <v>17</v>
      </c>
      <c r="E333" t="s">
        <v>41</v>
      </c>
      <c r="F333" s="9">
        <v>0.06</v>
      </c>
      <c r="G333" s="10">
        <v>7710</v>
      </c>
      <c r="H333">
        <v>2.2799999999999998</v>
      </c>
      <c r="I333" s="5">
        <f>ROUND(Marketing[[#This Row],[Clicks]]*Marketing[[#This Row],[Conversion_Rate]],0)</f>
        <v>36</v>
      </c>
      <c r="J333" s="12">
        <f>Marketing[[#This Row],[Campaign_Cost]]/Marketing[[#This Row],[Customers]]</f>
        <v>214.16666666666666</v>
      </c>
      <c r="K333" t="s">
        <v>19</v>
      </c>
      <c r="L333" t="s">
        <v>50</v>
      </c>
      <c r="M333">
        <v>602</v>
      </c>
      <c r="N333">
        <v>2757</v>
      </c>
      <c r="O333">
        <v>8</v>
      </c>
      <c r="P333" t="s">
        <v>34</v>
      </c>
      <c r="Q333" s="1">
        <v>44528</v>
      </c>
    </row>
    <row r="334" spans="1:17" x14ac:dyDescent="0.3">
      <c r="A334" t="s">
        <v>14</v>
      </c>
      <c r="B334" t="s">
        <v>36</v>
      </c>
      <c r="C334" t="s">
        <v>23</v>
      </c>
      <c r="D334" t="s">
        <v>17</v>
      </c>
      <c r="E334" t="s">
        <v>18</v>
      </c>
      <c r="F334" s="9">
        <v>0.13</v>
      </c>
      <c r="G334" s="10">
        <v>18752</v>
      </c>
      <c r="H334">
        <v>5.27</v>
      </c>
      <c r="I334" s="5">
        <f>ROUND(Marketing[[#This Row],[Clicks]]*Marketing[[#This Row],[Conversion_Rate]],0)</f>
        <v>62</v>
      </c>
      <c r="J334" s="12">
        <f>Marketing[[#This Row],[Campaign_Cost]]/Marketing[[#This Row],[Customers]]</f>
        <v>302.45161290322579</v>
      </c>
      <c r="K334" t="s">
        <v>51</v>
      </c>
      <c r="L334" t="s">
        <v>50</v>
      </c>
      <c r="M334">
        <v>474</v>
      </c>
      <c r="N334">
        <v>8594</v>
      </c>
      <c r="O334">
        <v>7</v>
      </c>
      <c r="P334" t="s">
        <v>42</v>
      </c>
      <c r="Q334" s="1">
        <v>44529</v>
      </c>
    </row>
    <row r="335" spans="1:17" x14ac:dyDescent="0.3">
      <c r="A335" t="s">
        <v>22</v>
      </c>
      <c r="B335" t="s">
        <v>29</v>
      </c>
      <c r="C335" t="s">
        <v>52</v>
      </c>
      <c r="D335" t="s">
        <v>24</v>
      </c>
      <c r="E335" t="s">
        <v>41</v>
      </c>
      <c r="F335" s="9">
        <v>0.04</v>
      </c>
      <c r="G335" s="10">
        <v>11848</v>
      </c>
      <c r="H335">
        <v>4.99</v>
      </c>
      <c r="I335" s="5">
        <f>ROUND(Marketing[[#This Row],[Clicks]]*Marketing[[#This Row],[Conversion_Rate]],0)</f>
        <v>23</v>
      </c>
      <c r="J335" s="12">
        <f>Marketing[[#This Row],[Campaign_Cost]]/Marketing[[#This Row],[Customers]]</f>
        <v>515.13043478260875</v>
      </c>
      <c r="K335" t="s">
        <v>32</v>
      </c>
      <c r="L335" t="s">
        <v>50</v>
      </c>
      <c r="M335">
        <v>563</v>
      </c>
      <c r="N335">
        <v>5704</v>
      </c>
      <c r="O335">
        <v>7</v>
      </c>
      <c r="P335" t="s">
        <v>27</v>
      </c>
      <c r="Q335" s="1">
        <v>44530</v>
      </c>
    </row>
    <row r="336" spans="1:17" x14ac:dyDescent="0.3">
      <c r="A336" t="s">
        <v>14</v>
      </c>
      <c r="B336" t="s">
        <v>45</v>
      </c>
      <c r="C336" t="s">
        <v>23</v>
      </c>
      <c r="D336" t="s">
        <v>40</v>
      </c>
      <c r="E336" t="s">
        <v>31</v>
      </c>
      <c r="F336" s="9">
        <v>0.05</v>
      </c>
      <c r="G336" s="10">
        <v>5040</v>
      </c>
      <c r="H336">
        <v>7.66</v>
      </c>
      <c r="I336" s="5">
        <f>ROUND(Marketing[[#This Row],[Clicks]]*Marketing[[#This Row],[Conversion_Rate]],0)</f>
        <v>14</v>
      </c>
      <c r="J336" s="12">
        <f>Marketing[[#This Row],[Campaign_Cost]]/Marketing[[#This Row],[Customers]]</f>
        <v>360</v>
      </c>
      <c r="K336" t="s">
        <v>25</v>
      </c>
      <c r="L336" t="s">
        <v>50</v>
      </c>
      <c r="M336">
        <v>285</v>
      </c>
      <c r="N336">
        <v>1599</v>
      </c>
      <c r="O336">
        <v>2</v>
      </c>
      <c r="P336" t="s">
        <v>44</v>
      </c>
      <c r="Q336" s="1">
        <v>44531</v>
      </c>
    </row>
    <row r="337" spans="1:17" x14ac:dyDescent="0.3">
      <c r="A337" t="s">
        <v>14</v>
      </c>
      <c r="B337" t="s">
        <v>47</v>
      </c>
      <c r="C337" t="s">
        <v>37</v>
      </c>
      <c r="D337" t="s">
        <v>40</v>
      </c>
      <c r="E337" t="s">
        <v>48</v>
      </c>
      <c r="F337" s="9">
        <v>7.0000000000000007E-2</v>
      </c>
      <c r="G337" s="10">
        <v>19395</v>
      </c>
      <c r="H337">
        <v>4.1399999999999997</v>
      </c>
      <c r="I337" s="5">
        <f>ROUND(Marketing[[#This Row],[Clicks]]*Marketing[[#This Row],[Conversion_Rate]],0)</f>
        <v>20</v>
      </c>
      <c r="J337" s="12">
        <f>Marketing[[#This Row],[Campaign_Cost]]/Marketing[[#This Row],[Customers]]</f>
        <v>969.75</v>
      </c>
      <c r="K337" t="s">
        <v>32</v>
      </c>
      <c r="L337" t="s">
        <v>50</v>
      </c>
      <c r="M337">
        <v>282</v>
      </c>
      <c r="N337">
        <v>6235</v>
      </c>
      <c r="O337">
        <v>9</v>
      </c>
      <c r="P337" t="s">
        <v>42</v>
      </c>
      <c r="Q337" s="1">
        <v>44532</v>
      </c>
    </row>
    <row r="338" spans="1:17" x14ac:dyDescent="0.3">
      <c r="A338" t="s">
        <v>35</v>
      </c>
      <c r="B338" t="s">
        <v>29</v>
      </c>
      <c r="C338" t="s">
        <v>30</v>
      </c>
      <c r="D338" t="s">
        <v>24</v>
      </c>
      <c r="E338" t="s">
        <v>43</v>
      </c>
      <c r="F338" s="9">
        <v>0.02</v>
      </c>
      <c r="G338" s="10">
        <v>6130</v>
      </c>
      <c r="H338">
        <v>3.92</v>
      </c>
      <c r="I338" s="5">
        <f>ROUND(Marketing[[#This Row],[Clicks]]*Marketing[[#This Row],[Conversion_Rate]],0)</f>
        <v>10</v>
      </c>
      <c r="J338" s="12">
        <f>Marketing[[#This Row],[Campaign_Cost]]/Marketing[[#This Row],[Customers]]</f>
        <v>613</v>
      </c>
      <c r="K338" t="s">
        <v>51</v>
      </c>
      <c r="L338" t="s">
        <v>33</v>
      </c>
      <c r="M338">
        <v>497</v>
      </c>
      <c r="N338">
        <v>2308</v>
      </c>
      <c r="O338">
        <v>8</v>
      </c>
      <c r="P338" t="s">
        <v>42</v>
      </c>
      <c r="Q338" s="1">
        <v>44533</v>
      </c>
    </row>
    <row r="339" spans="1:17" x14ac:dyDescent="0.3">
      <c r="A339" t="s">
        <v>28</v>
      </c>
      <c r="B339" t="s">
        <v>47</v>
      </c>
      <c r="C339" t="s">
        <v>23</v>
      </c>
      <c r="D339" t="s">
        <v>40</v>
      </c>
      <c r="E339" t="s">
        <v>15</v>
      </c>
      <c r="F339" s="9">
        <v>0.02</v>
      </c>
      <c r="G339" s="10">
        <v>11045</v>
      </c>
      <c r="H339">
        <v>7.34</v>
      </c>
      <c r="I339" s="5">
        <f>ROUND(Marketing[[#This Row],[Clicks]]*Marketing[[#This Row],[Conversion_Rate]],0)</f>
        <v>12</v>
      </c>
      <c r="J339" s="12">
        <f>Marketing[[#This Row],[Campaign_Cost]]/Marketing[[#This Row],[Customers]]</f>
        <v>920.41666666666663</v>
      </c>
      <c r="K339" t="s">
        <v>25</v>
      </c>
      <c r="L339" t="s">
        <v>33</v>
      </c>
      <c r="M339">
        <v>577</v>
      </c>
      <c r="N339">
        <v>3950</v>
      </c>
      <c r="O339">
        <v>8</v>
      </c>
      <c r="P339" t="s">
        <v>21</v>
      </c>
      <c r="Q339" s="1">
        <v>44534</v>
      </c>
    </row>
    <row r="340" spans="1:17" x14ac:dyDescent="0.3">
      <c r="A340" t="s">
        <v>49</v>
      </c>
      <c r="B340" t="s">
        <v>36</v>
      </c>
      <c r="C340" t="s">
        <v>16</v>
      </c>
      <c r="D340" t="s">
        <v>17</v>
      </c>
      <c r="E340" t="s">
        <v>43</v>
      </c>
      <c r="F340" s="9">
        <v>0.08</v>
      </c>
      <c r="G340" s="10">
        <v>8527</v>
      </c>
      <c r="H340">
        <v>4.3899999999999997</v>
      </c>
      <c r="I340" s="5">
        <f>ROUND(Marketing[[#This Row],[Clicks]]*Marketing[[#This Row],[Conversion_Rate]],0)</f>
        <v>72</v>
      </c>
      <c r="J340" s="12">
        <f>Marketing[[#This Row],[Campaign_Cost]]/Marketing[[#This Row],[Customers]]</f>
        <v>118.43055555555556</v>
      </c>
      <c r="K340" t="s">
        <v>19</v>
      </c>
      <c r="L340" t="s">
        <v>26</v>
      </c>
      <c r="M340">
        <v>902</v>
      </c>
      <c r="N340">
        <v>2391</v>
      </c>
      <c r="O340">
        <v>2</v>
      </c>
      <c r="P340" t="s">
        <v>42</v>
      </c>
      <c r="Q340" s="1">
        <v>44535</v>
      </c>
    </row>
    <row r="341" spans="1:17" x14ac:dyDescent="0.3">
      <c r="A341" t="s">
        <v>35</v>
      </c>
      <c r="B341" t="s">
        <v>36</v>
      </c>
      <c r="C341" t="s">
        <v>52</v>
      </c>
      <c r="D341" t="s">
        <v>17</v>
      </c>
      <c r="E341" t="s">
        <v>43</v>
      </c>
      <c r="F341" s="9">
        <v>0.13</v>
      </c>
      <c r="G341" s="10">
        <v>9037</v>
      </c>
      <c r="H341">
        <v>2.59</v>
      </c>
      <c r="I341" s="5">
        <f>ROUND(Marketing[[#This Row],[Clicks]]*Marketing[[#This Row],[Conversion_Rate]],0)</f>
        <v>58</v>
      </c>
      <c r="J341" s="12">
        <f>Marketing[[#This Row],[Campaign_Cost]]/Marketing[[#This Row],[Customers]]</f>
        <v>155.81034482758622</v>
      </c>
      <c r="K341" t="s">
        <v>38</v>
      </c>
      <c r="L341" t="s">
        <v>20</v>
      </c>
      <c r="M341">
        <v>443</v>
      </c>
      <c r="N341">
        <v>5607</v>
      </c>
      <c r="O341">
        <v>7</v>
      </c>
      <c r="P341" t="s">
        <v>44</v>
      </c>
      <c r="Q341" s="1">
        <v>44536</v>
      </c>
    </row>
    <row r="342" spans="1:17" x14ac:dyDescent="0.3">
      <c r="A342" t="s">
        <v>14</v>
      </c>
      <c r="B342" t="s">
        <v>29</v>
      </c>
      <c r="C342" t="s">
        <v>52</v>
      </c>
      <c r="D342" t="s">
        <v>17</v>
      </c>
      <c r="E342" t="s">
        <v>48</v>
      </c>
      <c r="F342" s="9">
        <v>0.01</v>
      </c>
      <c r="G342" s="10">
        <v>9524</v>
      </c>
      <c r="H342">
        <v>4.16</v>
      </c>
      <c r="I342" s="5">
        <f>ROUND(Marketing[[#This Row],[Clicks]]*Marketing[[#This Row],[Conversion_Rate]],0)</f>
        <v>2</v>
      </c>
      <c r="J342" s="12">
        <f>Marketing[[#This Row],[Campaign_Cost]]/Marketing[[#This Row],[Customers]]</f>
        <v>4762</v>
      </c>
      <c r="K342" t="s">
        <v>19</v>
      </c>
      <c r="L342" t="s">
        <v>26</v>
      </c>
      <c r="M342">
        <v>199</v>
      </c>
      <c r="N342">
        <v>7575</v>
      </c>
      <c r="O342">
        <v>4</v>
      </c>
      <c r="P342" t="s">
        <v>34</v>
      </c>
      <c r="Q342" s="1">
        <v>44537</v>
      </c>
    </row>
    <row r="343" spans="1:17" x14ac:dyDescent="0.3">
      <c r="A343" t="s">
        <v>35</v>
      </c>
      <c r="B343" t="s">
        <v>45</v>
      </c>
      <c r="C343" t="s">
        <v>30</v>
      </c>
      <c r="D343" t="s">
        <v>40</v>
      </c>
      <c r="E343" t="s">
        <v>41</v>
      </c>
      <c r="F343" s="9">
        <v>7.0000000000000007E-2</v>
      </c>
      <c r="G343" s="10">
        <v>5467</v>
      </c>
      <c r="H343">
        <v>4.25</v>
      </c>
      <c r="I343" s="5">
        <f>ROUND(Marketing[[#This Row],[Clicks]]*Marketing[[#This Row],[Conversion_Rate]],0)</f>
        <v>37</v>
      </c>
      <c r="J343" s="12">
        <f>Marketing[[#This Row],[Campaign_Cost]]/Marketing[[#This Row],[Customers]]</f>
        <v>147.75675675675674</v>
      </c>
      <c r="K343" t="s">
        <v>38</v>
      </c>
      <c r="L343" t="s">
        <v>26</v>
      </c>
      <c r="M343">
        <v>531</v>
      </c>
      <c r="N343">
        <v>3279</v>
      </c>
      <c r="O343">
        <v>5</v>
      </c>
      <c r="P343" t="s">
        <v>42</v>
      </c>
      <c r="Q343" s="1">
        <v>44538</v>
      </c>
    </row>
    <row r="344" spans="1:17" x14ac:dyDescent="0.3">
      <c r="A344" t="s">
        <v>35</v>
      </c>
      <c r="B344" t="s">
        <v>47</v>
      </c>
      <c r="C344" t="s">
        <v>23</v>
      </c>
      <c r="D344" t="s">
        <v>17</v>
      </c>
      <c r="E344" t="s">
        <v>15</v>
      </c>
      <c r="F344" s="9">
        <v>0.02</v>
      </c>
      <c r="G344" s="10">
        <v>10894</v>
      </c>
      <c r="H344">
        <v>2.15</v>
      </c>
      <c r="I344" s="5">
        <f>ROUND(Marketing[[#This Row],[Clicks]]*Marketing[[#This Row],[Conversion_Rate]],0)</f>
        <v>16</v>
      </c>
      <c r="J344" s="12">
        <f>Marketing[[#This Row],[Campaign_Cost]]/Marketing[[#This Row],[Customers]]</f>
        <v>680.875</v>
      </c>
      <c r="K344" t="s">
        <v>19</v>
      </c>
      <c r="L344" t="s">
        <v>50</v>
      </c>
      <c r="M344">
        <v>788</v>
      </c>
      <c r="N344">
        <v>2068</v>
      </c>
      <c r="O344">
        <v>6</v>
      </c>
      <c r="P344" t="s">
        <v>21</v>
      </c>
      <c r="Q344" s="1">
        <v>44539</v>
      </c>
    </row>
    <row r="345" spans="1:17" x14ac:dyDescent="0.3">
      <c r="A345" t="s">
        <v>14</v>
      </c>
      <c r="B345" t="s">
        <v>36</v>
      </c>
      <c r="C345" t="s">
        <v>37</v>
      </c>
      <c r="D345" t="s">
        <v>24</v>
      </c>
      <c r="E345" t="s">
        <v>15</v>
      </c>
      <c r="F345" s="9">
        <v>0.02</v>
      </c>
      <c r="G345" s="10">
        <v>8583</v>
      </c>
      <c r="H345">
        <v>5.82</v>
      </c>
      <c r="I345" s="5">
        <f>ROUND(Marketing[[#This Row],[Clicks]]*Marketing[[#This Row],[Conversion_Rate]],0)</f>
        <v>10</v>
      </c>
      <c r="J345" s="12">
        <f>Marketing[[#This Row],[Campaign_Cost]]/Marketing[[#This Row],[Customers]]</f>
        <v>858.3</v>
      </c>
      <c r="K345" t="s">
        <v>32</v>
      </c>
      <c r="L345" t="s">
        <v>26</v>
      </c>
      <c r="M345">
        <v>480</v>
      </c>
      <c r="N345">
        <v>2818</v>
      </c>
      <c r="O345">
        <v>9</v>
      </c>
      <c r="P345" t="s">
        <v>42</v>
      </c>
      <c r="Q345" s="1">
        <v>44540</v>
      </c>
    </row>
    <row r="346" spans="1:17" x14ac:dyDescent="0.3">
      <c r="A346" t="s">
        <v>28</v>
      </c>
      <c r="B346" t="s">
        <v>15</v>
      </c>
      <c r="C346" t="s">
        <v>37</v>
      </c>
      <c r="D346" t="s">
        <v>24</v>
      </c>
      <c r="E346" t="s">
        <v>43</v>
      </c>
      <c r="F346" s="9">
        <v>0.03</v>
      </c>
      <c r="G346" s="10">
        <v>16700</v>
      </c>
      <c r="H346">
        <v>5.59</v>
      </c>
      <c r="I346" s="5">
        <f>ROUND(Marketing[[#This Row],[Clicks]]*Marketing[[#This Row],[Conversion_Rate]],0)</f>
        <v>25</v>
      </c>
      <c r="J346" s="12">
        <f>Marketing[[#This Row],[Campaign_Cost]]/Marketing[[#This Row],[Customers]]</f>
        <v>668</v>
      </c>
      <c r="K346" t="s">
        <v>51</v>
      </c>
      <c r="L346" t="s">
        <v>26</v>
      </c>
      <c r="M346">
        <v>819</v>
      </c>
      <c r="N346">
        <v>8035</v>
      </c>
      <c r="O346">
        <v>1</v>
      </c>
      <c r="P346" t="s">
        <v>34</v>
      </c>
      <c r="Q346" s="1">
        <v>44541</v>
      </c>
    </row>
    <row r="347" spans="1:17" x14ac:dyDescent="0.3">
      <c r="A347" t="s">
        <v>49</v>
      </c>
      <c r="B347" t="s">
        <v>15</v>
      </c>
      <c r="C347" t="s">
        <v>23</v>
      </c>
      <c r="D347" t="s">
        <v>17</v>
      </c>
      <c r="E347" t="s">
        <v>18</v>
      </c>
      <c r="F347" s="9">
        <v>0.13</v>
      </c>
      <c r="G347" s="10">
        <v>16452</v>
      </c>
      <c r="H347">
        <v>6.59</v>
      </c>
      <c r="I347" s="5">
        <f>ROUND(Marketing[[#This Row],[Clicks]]*Marketing[[#This Row],[Conversion_Rate]],0)</f>
        <v>97</v>
      </c>
      <c r="J347" s="12">
        <f>Marketing[[#This Row],[Campaign_Cost]]/Marketing[[#This Row],[Customers]]</f>
        <v>169.60824742268042</v>
      </c>
      <c r="K347" t="s">
        <v>38</v>
      </c>
      <c r="L347" t="s">
        <v>33</v>
      </c>
      <c r="M347">
        <v>747</v>
      </c>
      <c r="N347">
        <v>1720</v>
      </c>
      <c r="O347">
        <v>3</v>
      </c>
      <c r="P347" t="s">
        <v>34</v>
      </c>
      <c r="Q347" s="1">
        <v>44542</v>
      </c>
    </row>
    <row r="348" spans="1:17" x14ac:dyDescent="0.3">
      <c r="A348" t="s">
        <v>14</v>
      </c>
      <c r="B348" t="s">
        <v>15</v>
      </c>
      <c r="C348" t="s">
        <v>37</v>
      </c>
      <c r="D348" t="s">
        <v>17</v>
      </c>
      <c r="E348" t="s">
        <v>31</v>
      </c>
      <c r="F348" s="9">
        <v>0.1</v>
      </c>
      <c r="G348" s="10">
        <v>15069</v>
      </c>
      <c r="H348">
        <v>7.77</v>
      </c>
      <c r="I348" s="5">
        <f>ROUND(Marketing[[#This Row],[Clicks]]*Marketing[[#This Row],[Conversion_Rate]],0)</f>
        <v>47</v>
      </c>
      <c r="J348" s="12">
        <f>Marketing[[#This Row],[Campaign_Cost]]/Marketing[[#This Row],[Customers]]</f>
        <v>320.61702127659572</v>
      </c>
      <c r="K348" t="s">
        <v>32</v>
      </c>
      <c r="L348" t="s">
        <v>33</v>
      </c>
      <c r="M348">
        <v>471</v>
      </c>
      <c r="N348">
        <v>9996</v>
      </c>
      <c r="O348">
        <v>6</v>
      </c>
      <c r="P348" t="s">
        <v>44</v>
      </c>
      <c r="Q348" s="1">
        <v>44543</v>
      </c>
    </row>
    <row r="349" spans="1:17" x14ac:dyDescent="0.3">
      <c r="A349" t="s">
        <v>35</v>
      </c>
      <c r="B349" t="s">
        <v>36</v>
      </c>
      <c r="C349" t="s">
        <v>16</v>
      </c>
      <c r="D349" t="s">
        <v>17</v>
      </c>
      <c r="E349" t="s">
        <v>43</v>
      </c>
      <c r="F349" s="9">
        <v>0.03</v>
      </c>
      <c r="G349" s="10">
        <v>13272</v>
      </c>
      <c r="H349">
        <v>7.41</v>
      </c>
      <c r="I349" s="5">
        <f>ROUND(Marketing[[#This Row],[Clicks]]*Marketing[[#This Row],[Conversion_Rate]],0)</f>
        <v>11</v>
      </c>
      <c r="J349" s="12">
        <f>Marketing[[#This Row],[Campaign_Cost]]/Marketing[[#This Row],[Customers]]</f>
        <v>1206.5454545454545</v>
      </c>
      <c r="K349" t="s">
        <v>38</v>
      </c>
      <c r="L349" t="s">
        <v>33</v>
      </c>
      <c r="M349">
        <v>363</v>
      </c>
      <c r="N349">
        <v>4534</v>
      </c>
      <c r="O349">
        <v>3</v>
      </c>
      <c r="P349" t="s">
        <v>42</v>
      </c>
      <c r="Q349" s="1">
        <v>44544</v>
      </c>
    </row>
    <row r="350" spans="1:17" x14ac:dyDescent="0.3">
      <c r="A350" t="s">
        <v>49</v>
      </c>
      <c r="B350" t="s">
        <v>15</v>
      </c>
      <c r="C350" t="s">
        <v>16</v>
      </c>
      <c r="D350" t="s">
        <v>40</v>
      </c>
      <c r="E350" t="s">
        <v>48</v>
      </c>
      <c r="F350" s="9">
        <v>7.0000000000000007E-2</v>
      </c>
      <c r="G350" s="10">
        <v>19675</v>
      </c>
      <c r="H350">
        <v>4.13</v>
      </c>
      <c r="I350" s="5">
        <f>ROUND(Marketing[[#This Row],[Clicks]]*Marketing[[#This Row],[Conversion_Rate]],0)</f>
        <v>27</v>
      </c>
      <c r="J350" s="12">
        <f>Marketing[[#This Row],[Campaign_Cost]]/Marketing[[#This Row],[Customers]]</f>
        <v>728.7037037037037</v>
      </c>
      <c r="K350" t="s">
        <v>38</v>
      </c>
      <c r="L350" t="s">
        <v>50</v>
      </c>
      <c r="M350">
        <v>388</v>
      </c>
      <c r="N350">
        <v>6982</v>
      </c>
      <c r="O350">
        <v>2</v>
      </c>
      <c r="P350" t="s">
        <v>34</v>
      </c>
      <c r="Q350" s="1">
        <v>44545</v>
      </c>
    </row>
    <row r="351" spans="1:17" x14ac:dyDescent="0.3">
      <c r="A351" t="s">
        <v>49</v>
      </c>
      <c r="B351" t="s">
        <v>15</v>
      </c>
      <c r="C351" t="s">
        <v>16</v>
      </c>
      <c r="D351" t="s">
        <v>24</v>
      </c>
      <c r="E351" t="s">
        <v>43</v>
      </c>
      <c r="F351" s="9">
        <v>0.04</v>
      </c>
      <c r="G351" s="10">
        <v>10541</v>
      </c>
      <c r="H351">
        <v>5.55</v>
      </c>
      <c r="I351" s="5">
        <f>ROUND(Marketing[[#This Row],[Clicks]]*Marketing[[#This Row],[Conversion_Rate]],0)</f>
        <v>20</v>
      </c>
      <c r="J351" s="12">
        <f>Marketing[[#This Row],[Campaign_Cost]]/Marketing[[#This Row],[Customers]]</f>
        <v>527.04999999999995</v>
      </c>
      <c r="K351" t="s">
        <v>19</v>
      </c>
      <c r="L351" t="s">
        <v>50</v>
      </c>
      <c r="M351">
        <v>512</v>
      </c>
      <c r="N351">
        <v>7904</v>
      </c>
      <c r="O351">
        <v>1</v>
      </c>
      <c r="P351" t="s">
        <v>42</v>
      </c>
      <c r="Q351" s="1">
        <v>44546</v>
      </c>
    </row>
    <row r="352" spans="1:17" x14ac:dyDescent="0.3">
      <c r="A352" t="s">
        <v>28</v>
      </c>
      <c r="B352" t="s">
        <v>47</v>
      </c>
      <c r="C352" t="s">
        <v>23</v>
      </c>
      <c r="D352" t="s">
        <v>46</v>
      </c>
      <c r="E352" t="s">
        <v>15</v>
      </c>
      <c r="F352" s="9">
        <v>0.13</v>
      </c>
      <c r="G352" s="10">
        <v>10946</v>
      </c>
      <c r="H352">
        <v>4.63</v>
      </c>
      <c r="I352" s="5">
        <f>ROUND(Marketing[[#This Row],[Clicks]]*Marketing[[#This Row],[Conversion_Rate]],0)</f>
        <v>122</v>
      </c>
      <c r="J352" s="12">
        <f>Marketing[[#This Row],[Campaign_Cost]]/Marketing[[#This Row],[Customers]]</f>
        <v>89.721311475409834</v>
      </c>
      <c r="K352" t="s">
        <v>38</v>
      </c>
      <c r="L352" t="s">
        <v>20</v>
      </c>
      <c r="M352">
        <v>942</v>
      </c>
      <c r="N352">
        <v>1368</v>
      </c>
      <c r="O352">
        <v>6</v>
      </c>
      <c r="P352" t="s">
        <v>27</v>
      </c>
      <c r="Q352" s="1">
        <v>44547</v>
      </c>
    </row>
    <row r="353" spans="1:17" x14ac:dyDescent="0.3">
      <c r="A353" t="s">
        <v>22</v>
      </c>
      <c r="B353" t="s">
        <v>29</v>
      </c>
      <c r="C353" t="s">
        <v>30</v>
      </c>
      <c r="D353" t="s">
        <v>40</v>
      </c>
      <c r="E353" t="s">
        <v>41</v>
      </c>
      <c r="F353" s="9">
        <v>0.08</v>
      </c>
      <c r="G353" s="10">
        <v>8298</v>
      </c>
      <c r="H353">
        <v>7.59</v>
      </c>
      <c r="I353" s="5">
        <f>ROUND(Marketing[[#This Row],[Clicks]]*Marketing[[#This Row],[Conversion_Rate]],0)</f>
        <v>16</v>
      </c>
      <c r="J353" s="12">
        <f>Marketing[[#This Row],[Campaign_Cost]]/Marketing[[#This Row],[Customers]]</f>
        <v>518.625</v>
      </c>
      <c r="K353" t="s">
        <v>32</v>
      </c>
      <c r="L353" t="s">
        <v>50</v>
      </c>
      <c r="M353">
        <v>206</v>
      </c>
      <c r="N353">
        <v>6491</v>
      </c>
      <c r="O353">
        <v>6</v>
      </c>
      <c r="P353" t="s">
        <v>44</v>
      </c>
      <c r="Q353" s="1">
        <v>44548</v>
      </c>
    </row>
    <row r="354" spans="1:17" x14ac:dyDescent="0.3">
      <c r="A354" t="s">
        <v>35</v>
      </c>
      <c r="B354" t="s">
        <v>47</v>
      </c>
      <c r="C354" t="s">
        <v>52</v>
      </c>
      <c r="D354" t="s">
        <v>40</v>
      </c>
      <c r="E354" t="s">
        <v>31</v>
      </c>
      <c r="F354" s="9">
        <v>0.13</v>
      </c>
      <c r="G354" s="10">
        <v>15499</v>
      </c>
      <c r="H354">
        <v>2.4</v>
      </c>
      <c r="I354" s="5">
        <f>ROUND(Marketing[[#This Row],[Clicks]]*Marketing[[#This Row],[Conversion_Rate]],0)</f>
        <v>129</v>
      </c>
      <c r="J354" s="12">
        <f>Marketing[[#This Row],[Campaign_Cost]]/Marketing[[#This Row],[Customers]]</f>
        <v>120.14728682170542</v>
      </c>
      <c r="K354" t="s">
        <v>32</v>
      </c>
      <c r="L354" t="s">
        <v>50</v>
      </c>
      <c r="M354">
        <v>995</v>
      </c>
      <c r="N354">
        <v>9222</v>
      </c>
      <c r="O354">
        <v>10</v>
      </c>
      <c r="P354" t="s">
        <v>21</v>
      </c>
      <c r="Q354" s="1">
        <v>44549</v>
      </c>
    </row>
    <row r="355" spans="1:17" x14ac:dyDescent="0.3">
      <c r="A355" t="s">
        <v>14</v>
      </c>
      <c r="B355" t="s">
        <v>45</v>
      </c>
      <c r="C355" t="s">
        <v>16</v>
      </c>
      <c r="D355" t="s">
        <v>17</v>
      </c>
      <c r="E355" t="s">
        <v>31</v>
      </c>
      <c r="F355" s="9">
        <v>0.03</v>
      </c>
      <c r="G355" s="10">
        <v>16232</v>
      </c>
      <c r="H355">
        <v>3.75</v>
      </c>
      <c r="I355" s="5">
        <f>ROUND(Marketing[[#This Row],[Clicks]]*Marketing[[#This Row],[Conversion_Rate]],0)</f>
        <v>14</v>
      </c>
      <c r="J355" s="12">
        <f>Marketing[[#This Row],[Campaign_Cost]]/Marketing[[#This Row],[Customers]]</f>
        <v>1159.4285714285713</v>
      </c>
      <c r="K355" t="s">
        <v>25</v>
      </c>
      <c r="L355" t="s">
        <v>26</v>
      </c>
      <c r="M355">
        <v>453</v>
      </c>
      <c r="N355">
        <v>8552</v>
      </c>
      <c r="O355">
        <v>5</v>
      </c>
      <c r="P355" t="s">
        <v>34</v>
      </c>
      <c r="Q355" s="1">
        <v>44550</v>
      </c>
    </row>
    <row r="356" spans="1:17" x14ac:dyDescent="0.3">
      <c r="A356" t="s">
        <v>49</v>
      </c>
      <c r="B356" t="s">
        <v>29</v>
      </c>
      <c r="C356" t="s">
        <v>23</v>
      </c>
      <c r="D356" t="s">
        <v>40</v>
      </c>
      <c r="E356" t="s">
        <v>43</v>
      </c>
      <c r="F356" s="9">
        <v>0.04</v>
      </c>
      <c r="G356" s="10">
        <v>7495</v>
      </c>
      <c r="H356">
        <v>5.4</v>
      </c>
      <c r="I356" s="5">
        <f>ROUND(Marketing[[#This Row],[Clicks]]*Marketing[[#This Row],[Conversion_Rate]],0)</f>
        <v>39</v>
      </c>
      <c r="J356" s="12">
        <f>Marketing[[#This Row],[Campaign_Cost]]/Marketing[[#This Row],[Customers]]</f>
        <v>192.17948717948718</v>
      </c>
      <c r="K356" t="s">
        <v>25</v>
      </c>
      <c r="L356" t="s">
        <v>33</v>
      </c>
      <c r="M356">
        <v>978</v>
      </c>
      <c r="N356">
        <v>8369</v>
      </c>
      <c r="O356">
        <v>4</v>
      </c>
      <c r="P356" t="s">
        <v>44</v>
      </c>
      <c r="Q356" s="1">
        <v>44551</v>
      </c>
    </row>
    <row r="357" spans="1:17" x14ac:dyDescent="0.3">
      <c r="A357" t="s">
        <v>22</v>
      </c>
      <c r="B357" t="s">
        <v>15</v>
      </c>
      <c r="C357" t="s">
        <v>52</v>
      </c>
      <c r="D357" t="s">
        <v>46</v>
      </c>
      <c r="E357" t="s">
        <v>48</v>
      </c>
      <c r="F357" s="9">
        <v>0.06</v>
      </c>
      <c r="G357" s="10">
        <v>11373</v>
      </c>
      <c r="H357">
        <v>6.38</v>
      </c>
      <c r="I357" s="5">
        <f>ROUND(Marketing[[#This Row],[Clicks]]*Marketing[[#This Row],[Conversion_Rate]],0)</f>
        <v>59</v>
      </c>
      <c r="J357" s="12">
        <f>Marketing[[#This Row],[Campaign_Cost]]/Marketing[[#This Row],[Customers]]</f>
        <v>192.76271186440678</v>
      </c>
      <c r="K357" t="s">
        <v>51</v>
      </c>
      <c r="L357" t="s">
        <v>33</v>
      </c>
      <c r="M357">
        <v>988</v>
      </c>
      <c r="N357">
        <v>9052</v>
      </c>
      <c r="O357">
        <v>10</v>
      </c>
      <c r="P357" t="s">
        <v>42</v>
      </c>
      <c r="Q357" s="1">
        <v>44552</v>
      </c>
    </row>
    <row r="358" spans="1:17" x14ac:dyDescent="0.3">
      <c r="A358" t="s">
        <v>14</v>
      </c>
      <c r="B358" t="s">
        <v>47</v>
      </c>
      <c r="C358" t="s">
        <v>37</v>
      </c>
      <c r="D358" t="s">
        <v>40</v>
      </c>
      <c r="E358" t="s">
        <v>31</v>
      </c>
      <c r="F358" s="9">
        <v>0.11</v>
      </c>
      <c r="G358" s="10">
        <v>13928</v>
      </c>
      <c r="H358">
        <v>3.44</v>
      </c>
      <c r="I358" s="5">
        <f>ROUND(Marketing[[#This Row],[Clicks]]*Marketing[[#This Row],[Conversion_Rate]],0)</f>
        <v>17</v>
      </c>
      <c r="J358" s="12">
        <f>Marketing[[#This Row],[Campaign_Cost]]/Marketing[[#This Row],[Customers]]</f>
        <v>819.29411764705878</v>
      </c>
      <c r="K358" t="s">
        <v>25</v>
      </c>
      <c r="L358" t="s">
        <v>33</v>
      </c>
      <c r="M358">
        <v>150</v>
      </c>
      <c r="N358">
        <v>5057</v>
      </c>
      <c r="O358">
        <v>9</v>
      </c>
      <c r="P358" t="s">
        <v>42</v>
      </c>
      <c r="Q358" s="1">
        <v>44553</v>
      </c>
    </row>
    <row r="359" spans="1:17" x14ac:dyDescent="0.3">
      <c r="A359" t="s">
        <v>35</v>
      </c>
      <c r="B359" t="s">
        <v>15</v>
      </c>
      <c r="C359" t="s">
        <v>30</v>
      </c>
      <c r="D359" t="s">
        <v>40</v>
      </c>
      <c r="E359" t="s">
        <v>18</v>
      </c>
      <c r="F359" s="9">
        <v>0.12</v>
      </c>
      <c r="G359" s="10">
        <v>13130</v>
      </c>
      <c r="H359">
        <v>3.46</v>
      </c>
      <c r="I359" s="5">
        <f>ROUND(Marketing[[#This Row],[Clicks]]*Marketing[[#This Row],[Conversion_Rate]],0)</f>
        <v>57</v>
      </c>
      <c r="J359" s="12">
        <f>Marketing[[#This Row],[Campaign_Cost]]/Marketing[[#This Row],[Customers]]</f>
        <v>230.35087719298247</v>
      </c>
      <c r="K359" t="s">
        <v>19</v>
      </c>
      <c r="L359" t="s">
        <v>26</v>
      </c>
      <c r="M359">
        <v>474</v>
      </c>
      <c r="N359">
        <v>5089</v>
      </c>
      <c r="O359">
        <v>9</v>
      </c>
      <c r="P359" t="s">
        <v>21</v>
      </c>
      <c r="Q359" s="1">
        <v>44554</v>
      </c>
    </row>
    <row r="360" spans="1:17" x14ac:dyDescent="0.3">
      <c r="A360" t="s">
        <v>22</v>
      </c>
      <c r="B360" t="s">
        <v>15</v>
      </c>
      <c r="C360" t="s">
        <v>37</v>
      </c>
      <c r="D360" t="s">
        <v>24</v>
      </c>
      <c r="E360" t="s">
        <v>41</v>
      </c>
      <c r="F360" s="9">
        <v>0.08</v>
      </c>
      <c r="G360" s="10">
        <v>17853</v>
      </c>
      <c r="H360">
        <v>4.05</v>
      </c>
      <c r="I360" s="5">
        <f>ROUND(Marketing[[#This Row],[Clicks]]*Marketing[[#This Row],[Conversion_Rate]],0)</f>
        <v>51</v>
      </c>
      <c r="J360" s="12">
        <f>Marketing[[#This Row],[Campaign_Cost]]/Marketing[[#This Row],[Customers]]</f>
        <v>350.05882352941177</v>
      </c>
      <c r="K360" t="s">
        <v>32</v>
      </c>
      <c r="L360" t="s">
        <v>20</v>
      </c>
      <c r="M360">
        <v>639</v>
      </c>
      <c r="N360">
        <v>6050</v>
      </c>
      <c r="O360">
        <v>3</v>
      </c>
      <c r="P360" t="s">
        <v>44</v>
      </c>
      <c r="Q360" s="1">
        <v>44555</v>
      </c>
    </row>
    <row r="361" spans="1:17" x14ac:dyDescent="0.3">
      <c r="A361" t="s">
        <v>35</v>
      </c>
      <c r="B361" t="s">
        <v>47</v>
      </c>
      <c r="C361" t="s">
        <v>30</v>
      </c>
      <c r="D361" t="s">
        <v>40</v>
      </c>
      <c r="E361" t="s">
        <v>18</v>
      </c>
      <c r="F361" s="9">
        <v>0.1</v>
      </c>
      <c r="G361" s="10">
        <v>15918</v>
      </c>
      <c r="H361">
        <v>4.28</v>
      </c>
      <c r="I361" s="5">
        <f>ROUND(Marketing[[#This Row],[Clicks]]*Marketing[[#This Row],[Conversion_Rate]],0)</f>
        <v>70</v>
      </c>
      <c r="J361" s="12">
        <f>Marketing[[#This Row],[Campaign_Cost]]/Marketing[[#This Row],[Customers]]</f>
        <v>227.4</v>
      </c>
      <c r="K361" t="s">
        <v>38</v>
      </c>
      <c r="L361" t="s">
        <v>20</v>
      </c>
      <c r="M361">
        <v>699</v>
      </c>
      <c r="N361">
        <v>8981</v>
      </c>
      <c r="O361">
        <v>4</v>
      </c>
      <c r="P361" t="s">
        <v>42</v>
      </c>
      <c r="Q361" s="1">
        <v>44556</v>
      </c>
    </row>
    <row r="362" spans="1:17" x14ac:dyDescent="0.3">
      <c r="A362" t="s">
        <v>35</v>
      </c>
      <c r="B362" t="s">
        <v>45</v>
      </c>
      <c r="C362" t="s">
        <v>52</v>
      </c>
      <c r="D362" t="s">
        <v>46</v>
      </c>
      <c r="E362" t="s">
        <v>41</v>
      </c>
      <c r="F362" s="9">
        <v>0.13</v>
      </c>
      <c r="G362" s="10">
        <v>10476</v>
      </c>
      <c r="H362">
        <v>3</v>
      </c>
      <c r="I362" s="5">
        <f>ROUND(Marketing[[#This Row],[Clicks]]*Marketing[[#This Row],[Conversion_Rate]],0)</f>
        <v>84</v>
      </c>
      <c r="J362" s="12">
        <f>Marketing[[#This Row],[Campaign_Cost]]/Marketing[[#This Row],[Customers]]</f>
        <v>124.71428571428571</v>
      </c>
      <c r="K362" t="s">
        <v>38</v>
      </c>
      <c r="L362" t="s">
        <v>50</v>
      </c>
      <c r="M362">
        <v>647</v>
      </c>
      <c r="N362">
        <v>5774</v>
      </c>
      <c r="O362">
        <v>8</v>
      </c>
      <c r="P362" t="s">
        <v>34</v>
      </c>
      <c r="Q362" s="1">
        <v>44557</v>
      </c>
    </row>
    <row r="363" spans="1:17" x14ac:dyDescent="0.3">
      <c r="A363" t="s">
        <v>49</v>
      </c>
      <c r="B363" t="s">
        <v>29</v>
      </c>
      <c r="C363" t="s">
        <v>30</v>
      </c>
      <c r="D363" t="s">
        <v>24</v>
      </c>
      <c r="E363" t="s">
        <v>48</v>
      </c>
      <c r="F363" s="9">
        <v>0.03</v>
      </c>
      <c r="G363" s="10">
        <v>14552</v>
      </c>
      <c r="H363">
        <v>4.45</v>
      </c>
      <c r="I363" s="5">
        <f>ROUND(Marketing[[#This Row],[Clicks]]*Marketing[[#This Row],[Conversion_Rate]],0)</f>
        <v>5</v>
      </c>
      <c r="J363" s="12">
        <f>Marketing[[#This Row],[Campaign_Cost]]/Marketing[[#This Row],[Customers]]</f>
        <v>2910.4</v>
      </c>
      <c r="K363" t="s">
        <v>32</v>
      </c>
      <c r="L363" t="s">
        <v>50</v>
      </c>
      <c r="M363">
        <v>171</v>
      </c>
      <c r="N363">
        <v>4499</v>
      </c>
      <c r="O363">
        <v>2</v>
      </c>
      <c r="P363" t="s">
        <v>27</v>
      </c>
      <c r="Q363" s="1">
        <v>44558</v>
      </c>
    </row>
    <row r="364" spans="1:17" x14ac:dyDescent="0.3">
      <c r="A364" t="s">
        <v>14</v>
      </c>
      <c r="B364" t="s">
        <v>47</v>
      </c>
      <c r="C364" t="s">
        <v>52</v>
      </c>
      <c r="D364" t="s">
        <v>40</v>
      </c>
      <c r="E364" t="s">
        <v>48</v>
      </c>
      <c r="F364" s="9">
        <v>0.03</v>
      </c>
      <c r="G364" s="10">
        <v>5487</v>
      </c>
      <c r="H364">
        <v>7.73</v>
      </c>
      <c r="I364" s="5">
        <f>ROUND(Marketing[[#This Row],[Clicks]]*Marketing[[#This Row],[Conversion_Rate]],0)</f>
        <v>9</v>
      </c>
      <c r="J364" s="12">
        <f>Marketing[[#This Row],[Campaign_Cost]]/Marketing[[#This Row],[Customers]]</f>
        <v>609.66666666666663</v>
      </c>
      <c r="K364" t="s">
        <v>25</v>
      </c>
      <c r="L364" t="s">
        <v>20</v>
      </c>
      <c r="M364">
        <v>290</v>
      </c>
      <c r="N364">
        <v>6655</v>
      </c>
      <c r="O364">
        <v>5</v>
      </c>
      <c r="P364" t="s">
        <v>42</v>
      </c>
      <c r="Q364" s="1">
        <v>44559</v>
      </c>
    </row>
    <row r="365" spans="1:17" x14ac:dyDescent="0.3">
      <c r="A365" t="s">
        <v>22</v>
      </c>
      <c r="B365" t="s">
        <v>47</v>
      </c>
      <c r="C365" t="s">
        <v>37</v>
      </c>
      <c r="D365" t="s">
        <v>17</v>
      </c>
      <c r="E365" t="s">
        <v>18</v>
      </c>
      <c r="F365" s="9">
        <v>0.08</v>
      </c>
      <c r="G365" s="10">
        <v>19702</v>
      </c>
      <c r="H365">
        <v>7.57</v>
      </c>
      <c r="I365" s="5">
        <f>ROUND(Marketing[[#This Row],[Clicks]]*Marketing[[#This Row],[Conversion_Rate]],0)</f>
        <v>57</v>
      </c>
      <c r="J365" s="12">
        <f>Marketing[[#This Row],[Campaign_Cost]]/Marketing[[#This Row],[Customers]]</f>
        <v>345.64912280701753</v>
      </c>
      <c r="K365" t="s">
        <v>19</v>
      </c>
      <c r="L365" t="s">
        <v>33</v>
      </c>
      <c r="M365">
        <v>710</v>
      </c>
      <c r="N365">
        <v>3708</v>
      </c>
      <c r="O365">
        <v>2</v>
      </c>
      <c r="P365" t="s">
        <v>42</v>
      </c>
      <c r="Q365" s="1">
        <v>44560</v>
      </c>
    </row>
    <row r="366" spans="1:17" x14ac:dyDescent="0.3">
      <c r="A366" t="s">
        <v>35</v>
      </c>
      <c r="B366" t="s">
        <v>47</v>
      </c>
      <c r="C366" t="s">
        <v>52</v>
      </c>
      <c r="D366" t="s">
        <v>24</v>
      </c>
      <c r="E366" t="s">
        <v>15</v>
      </c>
      <c r="F366" s="9">
        <v>0.12</v>
      </c>
      <c r="G366" s="10">
        <v>12050</v>
      </c>
      <c r="H366">
        <v>3.59</v>
      </c>
      <c r="I366" s="5">
        <f>ROUND(Marketing[[#This Row],[Clicks]]*Marketing[[#This Row],[Conversion_Rate]],0)</f>
        <v>81</v>
      </c>
      <c r="J366" s="12">
        <f>Marketing[[#This Row],[Campaign_Cost]]/Marketing[[#This Row],[Customers]]</f>
        <v>148.76543209876544</v>
      </c>
      <c r="K366" t="s">
        <v>51</v>
      </c>
      <c r="L366" t="s">
        <v>50</v>
      </c>
      <c r="M366">
        <v>679</v>
      </c>
      <c r="N366">
        <v>3627</v>
      </c>
      <c r="O366">
        <v>3</v>
      </c>
      <c r="P366" t="s">
        <v>44</v>
      </c>
      <c r="Q366" s="1">
        <v>44561</v>
      </c>
    </row>
    <row r="367" spans="1:17" x14ac:dyDescent="0.3">
      <c r="A367" t="s">
        <v>28</v>
      </c>
      <c r="B367" t="s">
        <v>47</v>
      </c>
      <c r="C367" t="s">
        <v>37</v>
      </c>
      <c r="D367" t="s">
        <v>24</v>
      </c>
      <c r="E367" t="s">
        <v>48</v>
      </c>
      <c r="F367" s="9">
        <v>7.0000000000000007E-2</v>
      </c>
      <c r="G367" s="10">
        <v>15748</v>
      </c>
      <c r="H367">
        <v>7.14</v>
      </c>
      <c r="I367" s="5">
        <f>ROUND(Marketing[[#This Row],[Clicks]]*Marketing[[#This Row],[Conversion_Rate]],0)</f>
        <v>23</v>
      </c>
      <c r="J367" s="12">
        <f>Marketing[[#This Row],[Campaign_Cost]]/Marketing[[#This Row],[Customers]]</f>
        <v>684.695652173913</v>
      </c>
      <c r="K367" t="s">
        <v>25</v>
      </c>
      <c r="L367" t="s">
        <v>39</v>
      </c>
      <c r="M367">
        <v>326</v>
      </c>
      <c r="N367">
        <v>6464</v>
      </c>
      <c r="O367">
        <v>10</v>
      </c>
      <c r="P367" t="s">
        <v>21</v>
      </c>
      <c r="Q367" s="1">
        <v>44197</v>
      </c>
    </row>
    <row r="368" spans="1:17" x14ac:dyDescent="0.3">
      <c r="A368" t="s">
        <v>28</v>
      </c>
      <c r="B368" t="s">
        <v>15</v>
      </c>
      <c r="C368" t="s">
        <v>30</v>
      </c>
      <c r="D368" t="s">
        <v>46</v>
      </c>
      <c r="E368" t="s">
        <v>18</v>
      </c>
      <c r="F368" s="9">
        <v>0.05</v>
      </c>
      <c r="G368" s="10">
        <v>18419</v>
      </c>
      <c r="H368">
        <v>5.13</v>
      </c>
      <c r="I368" s="5">
        <f>ROUND(Marketing[[#This Row],[Clicks]]*Marketing[[#This Row],[Conversion_Rate]],0)</f>
        <v>12</v>
      </c>
      <c r="J368" s="12">
        <f>Marketing[[#This Row],[Campaign_Cost]]/Marketing[[#This Row],[Customers]]</f>
        <v>1534.9166666666667</v>
      </c>
      <c r="K368" t="s">
        <v>51</v>
      </c>
      <c r="L368" t="s">
        <v>39</v>
      </c>
      <c r="M368">
        <v>238</v>
      </c>
      <c r="N368">
        <v>3615</v>
      </c>
      <c r="O368">
        <v>5</v>
      </c>
      <c r="P368" t="s">
        <v>42</v>
      </c>
      <c r="Q368" s="1">
        <v>44198</v>
      </c>
    </row>
    <row r="369" spans="1:17" x14ac:dyDescent="0.3">
      <c r="A369" t="s">
        <v>35</v>
      </c>
      <c r="B369" t="s">
        <v>29</v>
      </c>
      <c r="C369" t="s">
        <v>16</v>
      </c>
      <c r="D369" t="s">
        <v>40</v>
      </c>
      <c r="E369" t="s">
        <v>48</v>
      </c>
      <c r="F369" s="9">
        <v>0.15</v>
      </c>
      <c r="G369" s="10">
        <v>9913</v>
      </c>
      <c r="H369">
        <v>3.57</v>
      </c>
      <c r="I369" s="5">
        <f>ROUND(Marketing[[#This Row],[Clicks]]*Marketing[[#This Row],[Conversion_Rate]],0)</f>
        <v>46</v>
      </c>
      <c r="J369" s="12">
        <f>Marketing[[#This Row],[Campaign_Cost]]/Marketing[[#This Row],[Customers]]</f>
        <v>215.5</v>
      </c>
      <c r="K369" t="s">
        <v>25</v>
      </c>
      <c r="L369" t="s">
        <v>39</v>
      </c>
      <c r="M369">
        <v>309</v>
      </c>
      <c r="N369">
        <v>8560</v>
      </c>
      <c r="O369">
        <v>3</v>
      </c>
      <c r="P369" t="s">
        <v>42</v>
      </c>
      <c r="Q369" s="1">
        <v>44199</v>
      </c>
    </row>
    <row r="370" spans="1:17" x14ac:dyDescent="0.3">
      <c r="A370" t="s">
        <v>14</v>
      </c>
      <c r="B370" t="s">
        <v>29</v>
      </c>
      <c r="C370" t="s">
        <v>16</v>
      </c>
      <c r="D370" t="s">
        <v>46</v>
      </c>
      <c r="E370" t="s">
        <v>41</v>
      </c>
      <c r="F370" s="9">
        <v>0.09</v>
      </c>
      <c r="G370" s="10">
        <v>9187</v>
      </c>
      <c r="H370">
        <v>3.75</v>
      </c>
      <c r="I370" s="5">
        <f>ROUND(Marketing[[#This Row],[Clicks]]*Marketing[[#This Row],[Conversion_Rate]],0)</f>
        <v>87</v>
      </c>
      <c r="J370" s="12">
        <f>Marketing[[#This Row],[Campaign_Cost]]/Marketing[[#This Row],[Customers]]</f>
        <v>105.59770114942529</v>
      </c>
      <c r="K370" t="s">
        <v>51</v>
      </c>
      <c r="L370" t="s">
        <v>20</v>
      </c>
      <c r="M370">
        <v>969</v>
      </c>
      <c r="N370">
        <v>4620</v>
      </c>
      <c r="O370">
        <v>1</v>
      </c>
      <c r="P370" t="s">
        <v>44</v>
      </c>
      <c r="Q370" s="1">
        <v>44200</v>
      </c>
    </row>
    <row r="371" spans="1:17" x14ac:dyDescent="0.3">
      <c r="A371" t="s">
        <v>49</v>
      </c>
      <c r="B371" t="s">
        <v>47</v>
      </c>
      <c r="C371" t="s">
        <v>23</v>
      </c>
      <c r="D371" t="s">
        <v>46</v>
      </c>
      <c r="E371" t="s">
        <v>15</v>
      </c>
      <c r="F371" s="9">
        <v>0.12</v>
      </c>
      <c r="G371" s="10">
        <v>12157</v>
      </c>
      <c r="H371">
        <v>7.61</v>
      </c>
      <c r="I371" s="5">
        <f>ROUND(Marketing[[#This Row],[Clicks]]*Marketing[[#This Row],[Conversion_Rate]],0)</f>
        <v>108</v>
      </c>
      <c r="J371" s="12">
        <f>Marketing[[#This Row],[Campaign_Cost]]/Marketing[[#This Row],[Customers]]</f>
        <v>112.56481481481481</v>
      </c>
      <c r="K371" t="s">
        <v>25</v>
      </c>
      <c r="L371" t="s">
        <v>26</v>
      </c>
      <c r="M371">
        <v>901</v>
      </c>
      <c r="N371">
        <v>7766</v>
      </c>
      <c r="O371">
        <v>9</v>
      </c>
      <c r="P371" t="s">
        <v>27</v>
      </c>
      <c r="Q371" s="1">
        <v>44201</v>
      </c>
    </row>
    <row r="372" spans="1:17" x14ac:dyDescent="0.3">
      <c r="A372" t="s">
        <v>28</v>
      </c>
      <c r="B372" t="s">
        <v>36</v>
      </c>
      <c r="C372" t="s">
        <v>37</v>
      </c>
      <c r="D372" t="s">
        <v>17</v>
      </c>
      <c r="E372" t="s">
        <v>43</v>
      </c>
      <c r="F372" s="9">
        <v>0.08</v>
      </c>
      <c r="G372" s="10">
        <v>7789</v>
      </c>
      <c r="H372">
        <v>3.37</v>
      </c>
      <c r="I372" s="5">
        <f>ROUND(Marketing[[#This Row],[Clicks]]*Marketing[[#This Row],[Conversion_Rate]],0)</f>
        <v>51</v>
      </c>
      <c r="J372" s="12">
        <f>Marketing[[#This Row],[Campaign_Cost]]/Marketing[[#This Row],[Customers]]</f>
        <v>152.72549019607843</v>
      </c>
      <c r="K372" t="s">
        <v>51</v>
      </c>
      <c r="L372" t="s">
        <v>50</v>
      </c>
      <c r="M372">
        <v>636</v>
      </c>
      <c r="N372">
        <v>1287</v>
      </c>
      <c r="O372">
        <v>6</v>
      </c>
      <c r="P372" t="s">
        <v>44</v>
      </c>
      <c r="Q372" s="1">
        <v>44202</v>
      </c>
    </row>
    <row r="373" spans="1:17" x14ac:dyDescent="0.3">
      <c r="A373" t="s">
        <v>49</v>
      </c>
      <c r="B373" t="s">
        <v>15</v>
      </c>
      <c r="C373" t="s">
        <v>30</v>
      </c>
      <c r="D373" t="s">
        <v>17</v>
      </c>
      <c r="E373" t="s">
        <v>15</v>
      </c>
      <c r="F373" s="9">
        <v>0.09</v>
      </c>
      <c r="G373" s="10">
        <v>14392</v>
      </c>
      <c r="H373">
        <v>6.94</v>
      </c>
      <c r="I373" s="5">
        <f>ROUND(Marketing[[#This Row],[Clicks]]*Marketing[[#This Row],[Conversion_Rate]],0)</f>
        <v>76</v>
      </c>
      <c r="J373" s="12">
        <f>Marketing[[#This Row],[Campaign_Cost]]/Marketing[[#This Row],[Customers]]</f>
        <v>189.36842105263159</v>
      </c>
      <c r="K373" t="s">
        <v>19</v>
      </c>
      <c r="L373" t="s">
        <v>26</v>
      </c>
      <c r="M373">
        <v>849</v>
      </c>
      <c r="N373">
        <v>3258</v>
      </c>
      <c r="O373">
        <v>5</v>
      </c>
      <c r="P373" t="s">
        <v>44</v>
      </c>
      <c r="Q373" s="1">
        <v>44203</v>
      </c>
    </row>
    <row r="374" spans="1:17" x14ac:dyDescent="0.3">
      <c r="A374" t="s">
        <v>28</v>
      </c>
      <c r="B374" t="s">
        <v>45</v>
      </c>
      <c r="C374" t="s">
        <v>16</v>
      </c>
      <c r="D374" t="s">
        <v>17</v>
      </c>
      <c r="E374" t="s">
        <v>18</v>
      </c>
      <c r="F374" s="9">
        <v>0.14000000000000001</v>
      </c>
      <c r="G374" s="10">
        <v>14255</v>
      </c>
      <c r="H374">
        <v>3.96</v>
      </c>
      <c r="I374" s="5">
        <f>ROUND(Marketing[[#This Row],[Clicks]]*Marketing[[#This Row],[Conversion_Rate]],0)</f>
        <v>45</v>
      </c>
      <c r="J374" s="12">
        <f>Marketing[[#This Row],[Campaign_Cost]]/Marketing[[#This Row],[Customers]]</f>
        <v>316.77777777777777</v>
      </c>
      <c r="K374" t="s">
        <v>51</v>
      </c>
      <c r="L374" t="s">
        <v>33</v>
      </c>
      <c r="M374">
        <v>318</v>
      </c>
      <c r="N374">
        <v>7567</v>
      </c>
      <c r="O374">
        <v>8</v>
      </c>
      <c r="P374" t="s">
        <v>44</v>
      </c>
      <c r="Q374" s="1">
        <v>44204</v>
      </c>
    </row>
    <row r="375" spans="1:17" x14ac:dyDescent="0.3">
      <c r="A375" t="s">
        <v>28</v>
      </c>
      <c r="B375" t="s">
        <v>45</v>
      </c>
      <c r="C375" t="s">
        <v>52</v>
      </c>
      <c r="D375" t="s">
        <v>17</v>
      </c>
      <c r="E375" t="s">
        <v>15</v>
      </c>
      <c r="F375" s="9">
        <v>0.05</v>
      </c>
      <c r="G375" s="10">
        <v>18926</v>
      </c>
      <c r="H375">
        <v>5.66</v>
      </c>
      <c r="I375" s="5">
        <f>ROUND(Marketing[[#This Row],[Clicks]]*Marketing[[#This Row],[Conversion_Rate]],0)</f>
        <v>42</v>
      </c>
      <c r="J375" s="12">
        <f>Marketing[[#This Row],[Campaign_Cost]]/Marketing[[#This Row],[Customers]]</f>
        <v>450.61904761904759</v>
      </c>
      <c r="K375" t="s">
        <v>25</v>
      </c>
      <c r="L375" t="s">
        <v>33</v>
      </c>
      <c r="M375">
        <v>846</v>
      </c>
      <c r="N375">
        <v>4907</v>
      </c>
      <c r="O375">
        <v>1</v>
      </c>
      <c r="P375" t="s">
        <v>27</v>
      </c>
      <c r="Q375" s="1">
        <v>44205</v>
      </c>
    </row>
    <row r="376" spans="1:17" x14ac:dyDescent="0.3">
      <c r="A376" t="s">
        <v>49</v>
      </c>
      <c r="B376" t="s">
        <v>29</v>
      </c>
      <c r="C376" t="s">
        <v>23</v>
      </c>
      <c r="D376" t="s">
        <v>17</v>
      </c>
      <c r="E376" t="s">
        <v>43</v>
      </c>
      <c r="F376" s="9">
        <v>0.11</v>
      </c>
      <c r="G376" s="10">
        <v>17286</v>
      </c>
      <c r="H376">
        <v>2.1800000000000002</v>
      </c>
      <c r="I376" s="5">
        <f>ROUND(Marketing[[#This Row],[Clicks]]*Marketing[[#This Row],[Conversion_Rate]],0)</f>
        <v>105</v>
      </c>
      <c r="J376" s="12">
        <f>Marketing[[#This Row],[Campaign_Cost]]/Marketing[[#This Row],[Customers]]</f>
        <v>164.62857142857143</v>
      </c>
      <c r="K376" t="s">
        <v>19</v>
      </c>
      <c r="L376" t="s">
        <v>39</v>
      </c>
      <c r="M376">
        <v>957</v>
      </c>
      <c r="N376">
        <v>6429</v>
      </c>
      <c r="O376">
        <v>5</v>
      </c>
      <c r="P376" t="s">
        <v>21</v>
      </c>
      <c r="Q376" s="1">
        <v>44206</v>
      </c>
    </row>
    <row r="377" spans="1:17" x14ac:dyDescent="0.3">
      <c r="A377" t="s">
        <v>22</v>
      </c>
      <c r="B377" t="s">
        <v>47</v>
      </c>
      <c r="C377" t="s">
        <v>52</v>
      </c>
      <c r="D377" t="s">
        <v>17</v>
      </c>
      <c r="E377" t="s">
        <v>48</v>
      </c>
      <c r="F377" s="9">
        <v>0.09</v>
      </c>
      <c r="G377" s="10">
        <v>9309</v>
      </c>
      <c r="H377">
        <v>4.2699999999999996</v>
      </c>
      <c r="I377" s="5">
        <f>ROUND(Marketing[[#This Row],[Clicks]]*Marketing[[#This Row],[Conversion_Rate]],0)</f>
        <v>26</v>
      </c>
      <c r="J377" s="12">
        <f>Marketing[[#This Row],[Campaign_Cost]]/Marketing[[#This Row],[Customers]]</f>
        <v>358.03846153846155</v>
      </c>
      <c r="K377" t="s">
        <v>38</v>
      </c>
      <c r="L377" t="s">
        <v>39</v>
      </c>
      <c r="M377">
        <v>289</v>
      </c>
      <c r="N377">
        <v>9828</v>
      </c>
      <c r="O377">
        <v>1</v>
      </c>
      <c r="P377" t="s">
        <v>44</v>
      </c>
      <c r="Q377" s="1">
        <v>44207</v>
      </c>
    </row>
    <row r="378" spans="1:17" x14ac:dyDescent="0.3">
      <c r="A378" t="s">
        <v>22</v>
      </c>
      <c r="B378" t="s">
        <v>47</v>
      </c>
      <c r="C378" t="s">
        <v>16</v>
      </c>
      <c r="D378" t="s">
        <v>46</v>
      </c>
      <c r="E378" t="s">
        <v>48</v>
      </c>
      <c r="F378" s="9">
        <v>0.11</v>
      </c>
      <c r="G378" s="10">
        <v>5188</v>
      </c>
      <c r="H378">
        <v>4.75</v>
      </c>
      <c r="I378" s="5">
        <f>ROUND(Marketing[[#This Row],[Clicks]]*Marketing[[#This Row],[Conversion_Rate]],0)</f>
        <v>52</v>
      </c>
      <c r="J378" s="12">
        <f>Marketing[[#This Row],[Campaign_Cost]]/Marketing[[#This Row],[Customers]]</f>
        <v>99.769230769230774</v>
      </c>
      <c r="K378" t="s">
        <v>19</v>
      </c>
      <c r="L378" t="s">
        <v>26</v>
      </c>
      <c r="M378">
        <v>471</v>
      </c>
      <c r="N378">
        <v>4732</v>
      </c>
      <c r="O378">
        <v>1</v>
      </c>
      <c r="P378" t="s">
        <v>44</v>
      </c>
      <c r="Q378" s="1">
        <v>44208</v>
      </c>
    </row>
    <row r="379" spans="1:17" x14ac:dyDescent="0.3">
      <c r="A379" t="s">
        <v>22</v>
      </c>
      <c r="B379" t="s">
        <v>47</v>
      </c>
      <c r="C379" t="s">
        <v>52</v>
      </c>
      <c r="D379" t="s">
        <v>24</v>
      </c>
      <c r="E379" t="s">
        <v>18</v>
      </c>
      <c r="F379" s="9">
        <v>0.02</v>
      </c>
      <c r="G379" s="10">
        <v>12282</v>
      </c>
      <c r="H379">
        <v>4.6500000000000004</v>
      </c>
      <c r="I379" s="5">
        <f>ROUND(Marketing[[#This Row],[Clicks]]*Marketing[[#This Row],[Conversion_Rate]],0)</f>
        <v>16</v>
      </c>
      <c r="J379" s="12">
        <f>Marketing[[#This Row],[Campaign_Cost]]/Marketing[[#This Row],[Customers]]</f>
        <v>767.625</v>
      </c>
      <c r="K379" t="s">
        <v>51</v>
      </c>
      <c r="L379" t="s">
        <v>33</v>
      </c>
      <c r="M379">
        <v>791</v>
      </c>
      <c r="N379">
        <v>9225</v>
      </c>
      <c r="O379">
        <v>5</v>
      </c>
      <c r="P379" t="s">
        <v>34</v>
      </c>
      <c r="Q379" s="1">
        <v>44209</v>
      </c>
    </row>
    <row r="380" spans="1:17" x14ac:dyDescent="0.3">
      <c r="A380" t="s">
        <v>22</v>
      </c>
      <c r="B380" t="s">
        <v>15</v>
      </c>
      <c r="C380" t="s">
        <v>23</v>
      </c>
      <c r="D380" t="s">
        <v>46</v>
      </c>
      <c r="E380" t="s">
        <v>18</v>
      </c>
      <c r="F380" s="9">
        <v>0.03</v>
      </c>
      <c r="G380" s="10">
        <v>18162</v>
      </c>
      <c r="H380">
        <v>6.87</v>
      </c>
      <c r="I380" s="5">
        <f>ROUND(Marketing[[#This Row],[Clicks]]*Marketing[[#This Row],[Conversion_Rate]],0)</f>
        <v>27</v>
      </c>
      <c r="J380" s="12">
        <f>Marketing[[#This Row],[Campaign_Cost]]/Marketing[[#This Row],[Customers]]</f>
        <v>672.66666666666663</v>
      </c>
      <c r="K380" t="s">
        <v>38</v>
      </c>
      <c r="L380" t="s">
        <v>39</v>
      </c>
      <c r="M380">
        <v>887</v>
      </c>
      <c r="N380">
        <v>7542</v>
      </c>
      <c r="O380">
        <v>3</v>
      </c>
      <c r="P380" t="s">
        <v>44</v>
      </c>
      <c r="Q380" s="1">
        <v>44210</v>
      </c>
    </row>
    <row r="381" spans="1:17" x14ac:dyDescent="0.3">
      <c r="A381" t="s">
        <v>28</v>
      </c>
      <c r="B381" t="s">
        <v>36</v>
      </c>
      <c r="C381" t="s">
        <v>37</v>
      </c>
      <c r="D381" t="s">
        <v>24</v>
      </c>
      <c r="E381" t="s">
        <v>31</v>
      </c>
      <c r="F381" s="9">
        <v>0.04</v>
      </c>
      <c r="G381" s="10">
        <v>13380</v>
      </c>
      <c r="H381">
        <v>5.75</v>
      </c>
      <c r="I381" s="5">
        <f>ROUND(Marketing[[#This Row],[Clicks]]*Marketing[[#This Row],[Conversion_Rate]],0)</f>
        <v>6</v>
      </c>
      <c r="J381" s="12">
        <f>Marketing[[#This Row],[Campaign_Cost]]/Marketing[[#This Row],[Customers]]</f>
        <v>2230</v>
      </c>
      <c r="K381" t="s">
        <v>25</v>
      </c>
      <c r="L381" t="s">
        <v>26</v>
      </c>
      <c r="M381">
        <v>146</v>
      </c>
      <c r="N381">
        <v>8829</v>
      </c>
      <c r="O381">
        <v>3</v>
      </c>
      <c r="P381" t="s">
        <v>34</v>
      </c>
      <c r="Q381" s="1">
        <v>44211</v>
      </c>
    </row>
    <row r="382" spans="1:17" x14ac:dyDescent="0.3">
      <c r="A382" t="s">
        <v>14</v>
      </c>
      <c r="B382" t="s">
        <v>29</v>
      </c>
      <c r="C382" t="s">
        <v>30</v>
      </c>
      <c r="D382" t="s">
        <v>46</v>
      </c>
      <c r="E382" t="s">
        <v>41</v>
      </c>
      <c r="F382" s="9">
        <v>0.05</v>
      </c>
      <c r="G382" s="10">
        <v>7519</v>
      </c>
      <c r="H382">
        <v>3.42</v>
      </c>
      <c r="I382" s="5">
        <f>ROUND(Marketing[[#This Row],[Clicks]]*Marketing[[#This Row],[Conversion_Rate]],0)</f>
        <v>37</v>
      </c>
      <c r="J382" s="12">
        <f>Marketing[[#This Row],[Campaign_Cost]]/Marketing[[#This Row],[Customers]]</f>
        <v>203.21621621621622</v>
      </c>
      <c r="K382" t="s">
        <v>19</v>
      </c>
      <c r="L382" t="s">
        <v>26</v>
      </c>
      <c r="M382">
        <v>735</v>
      </c>
      <c r="N382">
        <v>7427</v>
      </c>
      <c r="O382">
        <v>9</v>
      </c>
      <c r="P382" t="s">
        <v>27</v>
      </c>
      <c r="Q382" s="1">
        <v>44212</v>
      </c>
    </row>
    <row r="383" spans="1:17" x14ac:dyDescent="0.3">
      <c r="A383" t="s">
        <v>14</v>
      </c>
      <c r="B383" t="s">
        <v>15</v>
      </c>
      <c r="C383" t="s">
        <v>30</v>
      </c>
      <c r="D383" t="s">
        <v>40</v>
      </c>
      <c r="E383" t="s">
        <v>18</v>
      </c>
      <c r="F383" s="9">
        <v>0.1</v>
      </c>
      <c r="G383" s="10">
        <v>8434</v>
      </c>
      <c r="H383">
        <v>3.53</v>
      </c>
      <c r="I383" s="5">
        <f>ROUND(Marketing[[#This Row],[Clicks]]*Marketing[[#This Row],[Conversion_Rate]],0)</f>
        <v>20</v>
      </c>
      <c r="J383" s="12">
        <f>Marketing[[#This Row],[Campaign_Cost]]/Marketing[[#This Row],[Customers]]</f>
        <v>421.7</v>
      </c>
      <c r="K383" t="s">
        <v>32</v>
      </c>
      <c r="L383" t="s">
        <v>50</v>
      </c>
      <c r="M383">
        <v>202</v>
      </c>
      <c r="N383">
        <v>9587</v>
      </c>
      <c r="O383">
        <v>6</v>
      </c>
      <c r="P383" t="s">
        <v>21</v>
      </c>
      <c r="Q383" s="1">
        <v>44213</v>
      </c>
    </row>
    <row r="384" spans="1:17" x14ac:dyDescent="0.3">
      <c r="A384" t="s">
        <v>49</v>
      </c>
      <c r="B384" t="s">
        <v>15</v>
      </c>
      <c r="C384" t="s">
        <v>52</v>
      </c>
      <c r="D384" t="s">
        <v>40</v>
      </c>
      <c r="E384" t="s">
        <v>41</v>
      </c>
      <c r="F384" s="9">
        <v>0.04</v>
      </c>
      <c r="G384" s="10">
        <v>8451</v>
      </c>
      <c r="H384">
        <v>3.44</v>
      </c>
      <c r="I384" s="5">
        <f>ROUND(Marketing[[#This Row],[Clicks]]*Marketing[[#This Row],[Conversion_Rate]],0)</f>
        <v>33</v>
      </c>
      <c r="J384" s="12">
        <f>Marketing[[#This Row],[Campaign_Cost]]/Marketing[[#This Row],[Customers]]</f>
        <v>256.09090909090907</v>
      </c>
      <c r="K384" t="s">
        <v>32</v>
      </c>
      <c r="L384" t="s">
        <v>20</v>
      </c>
      <c r="M384">
        <v>829</v>
      </c>
      <c r="N384">
        <v>6830</v>
      </c>
      <c r="O384">
        <v>8</v>
      </c>
      <c r="P384" t="s">
        <v>42</v>
      </c>
      <c r="Q384" s="1">
        <v>44214</v>
      </c>
    </row>
    <row r="385" spans="1:17" x14ac:dyDescent="0.3">
      <c r="A385" t="s">
        <v>49</v>
      </c>
      <c r="B385" t="s">
        <v>47</v>
      </c>
      <c r="C385" t="s">
        <v>52</v>
      </c>
      <c r="D385" t="s">
        <v>46</v>
      </c>
      <c r="E385" t="s">
        <v>31</v>
      </c>
      <c r="F385" s="9">
        <v>0.04</v>
      </c>
      <c r="G385" s="10">
        <v>17141</v>
      </c>
      <c r="H385">
        <v>6.74</v>
      </c>
      <c r="I385" s="5">
        <f>ROUND(Marketing[[#This Row],[Clicks]]*Marketing[[#This Row],[Conversion_Rate]],0)</f>
        <v>5</v>
      </c>
      <c r="J385" s="12">
        <f>Marketing[[#This Row],[Campaign_Cost]]/Marketing[[#This Row],[Customers]]</f>
        <v>3428.2</v>
      </c>
      <c r="K385" t="s">
        <v>25</v>
      </c>
      <c r="L385" t="s">
        <v>33</v>
      </c>
      <c r="M385">
        <v>134</v>
      </c>
      <c r="N385">
        <v>6143</v>
      </c>
      <c r="O385">
        <v>10</v>
      </c>
      <c r="P385" t="s">
        <v>44</v>
      </c>
      <c r="Q385" s="1">
        <v>44215</v>
      </c>
    </row>
    <row r="386" spans="1:17" x14ac:dyDescent="0.3">
      <c r="A386" t="s">
        <v>49</v>
      </c>
      <c r="B386" t="s">
        <v>29</v>
      </c>
      <c r="C386" t="s">
        <v>30</v>
      </c>
      <c r="D386" t="s">
        <v>24</v>
      </c>
      <c r="E386" t="s">
        <v>48</v>
      </c>
      <c r="F386" s="9">
        <v>0.03</v>
      </c>
      <c r="G386" s="10">
        <v>5287</v>
      </c>
      <c r="H386">
        <v>7.55</v>
      </c>
      <c r="I386" s="5">
        <f>ROUND(Marketing[[#This Row],[Clicks]]*Marketing[[#This Row],[Conversion_Rate]],0)</f>
        <v>10</v>
      </c>
      <c r="J386" s="12">
        <f>Marketing[[#This Row],[Campaign_Cost]]/Marketing[[#This Row],[Customers]]</f>
        <v>528.70000000000005</v>
      </c>
      <c r="K386" t="s">
        <v>25</v>
      </c>
      <c r="L386" t="s">
        <v>39</v>
      </c>
      <c r="M386">
        <v>335</v>
      </c>
      <c r="N386">
        <v>1711</v>
      </c>
      <c r="O386">
        <v>6</v>
      </c>
      <c r="P386" t="s">
        <v>27</v>
      </c>
      <c r="Q386" s="1">
        <v>44216</v>
      </c>
    </row>
    <row r="387" spans="1:17" x14ac:dyDescent="0.3">
      <c r="A387" t="s">
        <v>28</v>
      </c>
      <c r="B387" t="s">
        <v>15</v>
      </c>
      <c r="C387" t="s">
        <v>52</v>
      </c>
      <c r="D387" t="s">
        <v>24</v>
      </c>
      <c r="E387" t="s">
        <v>48</v>
      </c>
      <c r="F387" s="9">
        <v>0.15</v>
      </c>
      <c r="G387" s="10">
        <v>10994</v>
      </c>
      <c r="H387">
        <v>2.27</v>
      </c>
      <c r="I387" s="5">
        <f>ROUND(Marketing[[#This Row],[Clicks]]*Marketing[[#This Row],[Conversion_Rate]],0)</f>
        <v>77</v>
      </c>
      <c r="J387" s="12">
        <f>Marketing[[#This Row],[Campaign_Cost]]/Marketing[[#This Row],[Customers]]</f>
        <v>142.77922077922079</v>
      </c>
      <c r="K387" t="s">
        <v>32</v>
      </c>
      <c r="L387" t="s">
        <v>39</v>
      </c>
      <c r="M387">
        <v>512</v>
      </c>
      <c r="N387">
        <v>2323</v>
      </c>
      <c r="O387">
        <v>4</v>
      </c>
      <c r="P387" t="s">
        <v>42</v>
      </c>
      <c r="Q387" s="1">
        <v>44217</v>
      </c>
    </row>
    <row r="388" spans="1:17" x14ac:dyDescent="0.3">
      <c r="A388" t="s">
        <v>28</v>
      </c>
      <c r="B388" t="s">
        <v>45</v>
      </c>
      <c r="C388" t="s">
        <v>37</v>
      </c>
      <c r="D388" t="s">
        <v>24</v>
      </c>
      <c r="E388" t="s">
        <v>41</v>
      </c>
      <c r="F388" s="9">
        <v>0.08</v>
      </c>
      <c r="G388" s="10">
        <v>5599</v>
      </c>
      <c r="H388">
        <v>2.81</v>
      </c>
      <c r="I388" s="5">
        <f>ROUND(Marketing[[#This Row],[Clicks]]*Marketing[[#This Row],[Conversion_Rate]],0)</f>
        <v>72</v>
      </c>
      <c r="J388" s="12">
        <f>Marketing[[#This Row],[Campaign_Cost]]/Marketing[[#This Row],[Customers]]</f>
        <v>77.763888888888886</v>
      </c>
      <c r="K388" t="s">
        <v>51</v>
      </c>
      <c r="L388" t="s">
        <v>50</v>
      </c>
      <c r="M388">
        <v>896</v>
      </c>
      <c r="N388">
        <v>7009</v>
      </c>
      <c r="O388">
        <v>10</v>
      </c>
      <c r="P388" t="s">
        <v>21</v>
      </c>
      <c r="Q388" s="1">
        <v>44218</v>
      </c>
    </row>
    <row r="389" spans="1:17" x14ac:dyDescent="0.3">
      <c r="A389" t="s">
        <v>14</v>
      </c>
      <c r="B389" t="s">
        <v>45</v>
      </c>
      <c r="C389" t="s">
        <v>37</v>
      </c>
      <c r="D389" t="s">
        <v>24</v>
      </c>
      <c r="E389" t="s">
        <v>41</v>
      </c>
      <c r="F389" s="9">
        <v>0.14000000000000001</v>
      </c>
      <c r="G389" s="10">
        <v>16625</v>
      </c>
      <c r="H389">
        <v>7.76</v>
      </c>
      <c r="I389" s="5">
        <f>ROUND(Marketing[[#This Row],[Clicks]]*Marketing[[#This Row],[Conversion_Rate]],0)</f>
        <v>17</v>
      </c>
      <c r="J389" s="12">
        <f>Marketing[[#This Row],[Campaign_Cost]]/Marketing[[#This Row],[Customers]]</f>
        <v>977.94117647058829</v>
      </c>
      <c r="K389" t="s">
        <v>32</v>
      </c>
      <c r="L389" t="s">
        <v>39</v>
      </c>
      <c r="M389">
        <v>123</v>
      </c>
      <c r="N389">
        <v>3249</v>
      </c>
      <c r="O389">
        <v>7</v>
      </c>
      <c r="P389" t="s">
        <v>21</v>
      </c>
      <c r="Q389" s="1">
        <v>44219</v>
      </c>
    </row>
    <row r="390" spans="1:17" x14ac:dyDescent="0.3">
      <c r="A390" t="s">
        <v>28</v>
      </c>
      <c r="B390" t="s">
        <v>15</v>
      </c>
      <c r="C390" t="s">
        <v>52</v>
      </c>
      <c r="D390" t="s">
        <v>46</v>
      </c>
      <c r="E390" t="s">
        <v>41</v>
      </c>
      <c r="F390" s="9">
        <v>0.02</v>
      </c>
      <c r="G390" s="10">
        <v>12324</v>
      </c>
      <c r="H390">
        <v>6.17</v>
      </c>
      <c r="I390" s="5">
        <f>ROUND(Marketing[[#This Row],[Clicks]]*Marketing[[#This Row],[Conversion_Rate]],0)</f>
        <v>15</v>
      </c>
      <c r="J390" s="12">
        <f>Marketing[[#This Row],[Campaign_Cost]]/Marketing[[#This Row],[Customers]]</f>
        <v>821.6</v>
      </c>
      <c r="K390" t="s">
        <v>25</v>
      </c>
      <c r="L390" t="s">
        <v>33</v>
      </c>
      <c r="M390">
        <v>727</v>
      </c>
      <c r="N390">
        <v>9864</v>
      </c>
      <c r="O390">
        <v>5</v>
      </c>
      <c r="P390" t="s">
        <v>21</v>
      </c>
      <c r="Q390" s="1">
        <v>44220</v>
      </c>
    </row>
    <row r="391" spans="1:17" x14ac:dyDescent="0.3">
      <c r="A391" t="s">
        <v>28</v>
      </c>
      <c r="B391" t="s">
        <v>36</v>
      </c>
      <c r="C391" t="s">
        <v>30</v>
      </c>
      <c r="D391" t="s">
        <v>46</v>
      </c>
      <c r="E391" t="s">
        <v>15</v>
      </c>
      <c r="F391" s="9">
        <v>0.04</v>
      </c>
      <c r="G391" s="10">
        <v>5151</v>
      </c>
      <c r="H391">
        <v>3.98</v>
      </c>
      <c r="I391" s="5">
        <f>ROUND(Marketing[[#This Row],[Clicks]]*Marketing[[#This Row],[Conversion_Rate]],0)</f>
        <v>12</v>
      </c>
      <c r="J391" s="12">
        <f>Marketing[[#This Row],[Campaign_Cost]]/Marketing[[#This Row],[Customers]]</f>
        <v>429.25</v>
      </c>
      <c r="K391" t="s">
        <v>19</v>
      </c>
      <c r="L391" t="s">
        <v>20</v>
      </c>
      <c r="M391">
        <v>294</v>
      </c>
      <c r="N391">
        <v>1846</v>
      </c>
      <c r="O391">
        <v>8</v>
      </c>
      <c r="P391" t="s">
        <v>34</v>
      </c>
      <c r="Q391" s="1">
        <v>44221</v>
      </c>
    </row>
    <row r="392" spans="1:17" x14ac:dyDescent="0.3">
      <c r="A392" t="s">
        <v>35</v>
      </c>
      <c r="B392" t="s">
        <v>47</v>
      </c>
      <c r="C392" t="s">
        <v>30</v>
      </c>
      <c r="D392" t="s">
        <v>17</v>
      </c>
      <c r="E392" t="s">
        <v>41</v>
      </c>
      <c r="F392" s="9">
        <v>0.02</v>
      </c>
      <c r="G392" s="10">
        <v>6405</v>
      </c>
      <c r="H392">
        <v>2.97</v>
      </c>
      <c r="I392" s="5">
        <f>ROUND(Marketing[[#This Row],[Clicks]]*Marketing[[#This Row],[Conversion_Rate]],0)</f>
        <v>9</v>
      </c>
      <c r="J392" s="12">
        <f>Marketing[[#This Row],[Campaign_Cost]]/Marketing[[#This Row],[Customers]]</f>
        <v>711.66666666666663</v>
      </c>
      <c r="K392" t="s">
        <v>38</v>
      </c>
      <c r="L392" t="s">
        <v>26</v>
      </c>
      <c r="M392">
        <v>435</v>
      </c>
      <c r="N392">
        <v>3371</v>
      </c>
      <c r="O392">
        <v>2</v>
      </c>
      <c r="P392" t="s">
        <v>42</v>
      </c>
      <c r="Q392" s="1">
        <v>44222</v>
      </c>
    </row>
    <row r="393" spans="1:17" x14ac:dyDescent="0.3">
      <c r="A393" t="s">
        <v>28</v>
      </c>
      <c r="B393" t="s">
        <v>15</v>
      </c>
      <c r="C393" t="s">
        <v>37</v>
      </c>
      <c r="D393" t="s">
        <v>24</v>
      </c>
      <c r="E393" t="s">
        <v>48</v>
      </c>
      <c r="F393" s="9">
        <v>0.09</v>
      </c>
      <c r="G393" s="10">
        <v>7704</v>
      </c>
      <c r="H393">
        <v>6.26</v>
      </c>
      <c r="I393" s="5">
        <f>ROUND(Marketing[[#This Row],[Clicks]]*Marketing[[#This Row],[Conversion_Rate]],0)</f>
        <v>65</v>
      </c>
      <c r="J393" s="12">
        <f>Marketing[[#This Row],[Campaign_Cost]]/Marketing[[#This Row],[Customers]]</f>
        <v>118.52307692307693</v>
      </c>
      <c r="K393" t="s">
        <v>51</v>
      </c>
      <c r="L393" t="s">
        <v>33</v>
      </c>
      <c r="M393">
        <v>718</v>
      </c>
      <c r="N393">
        <v>2485</v>
      </c>
      <c r="O393">
        <v>5</v>
      </c>
      <c r="P393" t="s">
        <v>27</v>
      </c>
      <c r="Q393" s="1">
        <v>44223</v>
      </c>
    </row>
    <row r="394" spans="1:17" x14ac:dyDescent="0.3">
      <c r="A394" t="s">
        <v>14</v>
      </c>
      <c r="B394" t="s">
        <v>36</v>
      </c>
      <c r="C394" t="s">
        <v>52</v>
      </c>
      <c r="D394" t="s">
        <v>40</v>
      </c>
      <c r="E394" t="s">
        <v>48</v>
      </c>
      <c r="F394" s="9">
        <v>7.0000000000000007E-2</v>
      </c>
      <c r="G394" s="10">
        <v>16130</v>
      </c>
      <c r="H394">
        <v>5.83</v>
      </c>
      <c r="I394" s="5">
        <f>ROUND(Marketing[[#This Row],[Clicks]]*Marketing[[#This Row],[Conversion_Rate]],0)</f>
        <v>51</v>
      </c>
      <c r="J394" s="12">
        <f>Marketing[[#This Row],[Campaign_Cost]]/Marketing[[#This Row],[Customers]]</f>
        <v>316.27450980392155</v>
      </c>
      <c r="K394" t="s">
        <v>38</v>
      </c>
      <c r="L394" t="s">
        <v>50</v>
      </c>
      <c r="M394">
        <v>733</v>
      </c>
      <c r="N394">
        <v>4550</v>
      </c>
      <c r="O394">
        <v>10</v>
      </c>
      <c r="P394" t="s">
        <v>27</v>
      </c>
      <c r="Q394" s="1">
        <v>44224</v>
      </c>
    </row>
    <row r="395" spans="1:17" x14ac:dyDescent="0.3">
      <c r="A395" t="s">
        <v>35</v>
      </c>
      <c r="B395" t="s">
        <v>29</v>
      </c>
      <c r="C395" t="s">
        <v>52</v>
      </c>
      <c r="D395" t="s">
        <v>40</v>
      </c>
      <c r="E395" t="s">
        <v>48</v>
      </c>
      <c r="F395" s="9">
        <v>0.03</v>
      </c>
      <c r="G395" s="10">
        <v>6204</v>
      </c>
      <c r="H395">
        <v>4.0599999999999996</v>
      </c>
      <c r="I395" s="5">
        <f>ROUND(Marketing[[#This Row],[Clicks]]*Marketing[[#This Row],[Conversion_Rate]],0)</f>
        <v>14</v>
      </c>
      <c r="J395" s="12">
        <f>Marketing[[#This Row],[Campaign_Cost]]/Marketing[[#This Row],[Customers]]</f>
        <v>443.14285714285717</v>
      </c>
      <c r="K395" t="s">
        <v>19</v>
      </c>
      <c r="L395" t="s">
        <v>20</v>
      </c>
      <c r="M395">
        <v>454</v>
      </c>
      <c r="N395">
        <v>7764</v>
      </c>
      <c r="O395">
        <v>9</v>
      </c>
      <c r="P395" t="s">
        <v>21</v>
      </c>
      <c r="Q395" s="1">
        <v>44225</v>
      </c>
    </row>
    <row r="396" spans="1:17" x14ac:dyDescent="0.3">
      <c r="A396" t="s">
        <v>14</v>
      </c>
      <c r="B396" t="s">
        <v>36</v>
      </c>
      <c r="C396" t="s">
        <v>23</v>
      </c>
      <c r="D396" t="s">
        <v>46</v>
      </c>
      <c r="E396" t="s">
        <v>31</v>
      </c>
      <c r="F396" s="9">
        <v>0.12</v>
      </c>
      <c r="G396" s="10">
        <v>13813</v>
      </c>
      <c r="H396">
        <v>4.46</v>
      </c>
      <c r="I396" s="5">
        <f>ROUND(Marketing[[#This Row],[Clicks]]*Marketing[[#This Row],[Conversion_Rate]],0)</f>
        <v>97</v>
      </c>
      <c r="J396" s="12">
        <f>Marketing[[#This Row],[Campaign_Cost]]/Marketing[[#This Row],[Customers]]</f>
        <v>142.4020618556701</v>
      </c>
      <c r="K396" t="s">
        <v>38</v>
      </c>
      <c r="L396" t="s">
        <v>33</v>
      </c>
      <c r="M396">
        <v>806</v>
      </c>
      <c r="N396">
        <v>3041</v>
      </c>
      <c r="O396">
        <v>9</v>
      </c>
      <c r="P396" t="s">
        <v>34</v>
      </c>
      <c r="Q396" s="1">
        <v>44226</v>
      </c>
    </row>
    <row r="397" spans="1:17" x14ac:dyDescent="0.3">
      <c r="A397" t="s">
        <v>49</v>
      </c>
      <c r="B397" t="s">
        <v>45</v>
      </c>
      <c r="C397" t="s">
        <v>16</v>
      </c>
      <c r="D397" t="s">
        <v>40</v>
      </c>
      <c r="E397" t="s">
        <v>31</v>
      </c>
      <c r="F397" s="9">
        <v>0.15</v>
      </c>
      <c r="G397" s="10">
        <v>13689</v>
      </c>
      <c r="H397">
        <v>2.6</v>
      </c>
      <c r="I397" s="5">
        <f>ROUND(Marketing[[#This Row],[Clicks]]*Marketing[[#This Row],[Conversion_Rate]],0)</f>
        <v>35</v>
      </c>
      <c r="J397" s="12">
        <f>Marketing[[#This Row],[Campaign_Cost]]/Marketing[[#This Row],[Customers]]</f>
        <v>391.1142857142857</v>
      </c>
      <c r="K397" t="s">
        <v>19</v>
      </c>
      <c r="L397" t="s">
        <v>33</v>
      </c>
      <c r="M397">
        <v>232</v>
      </c>
      <c r="N397">
        <v>8249</v>
      </c>
      <c r="O397">
        <v>5</v>
      </c>
      <c r="P397" t="s">
        <v>44</v>
      </c>
      <c r="Q397" s="1">
        <v>44227</v>
      </c>
    </row>
    <row r="398" spans="1:17" x14ac:dyDescent="0.3">
      <c r="A398" t="s">
        <v>14</v>
      </c>
      <c r="B398" t="s">
        <v>47</v>
      </c>
      <c r="C398" t="s">
        <v>23</v>
      </c>
      <c r="D398" t="s">
        <v>17</v>
      </c>
      <c r="E398" t="s">
        <v>48</v>
      </c>
      <c r="F398" s="9">
        <v>0.13</v>
      </c>
      <c r="G398" s="10">
        <v>17174</v>
      </c>
      <c r="H398">
        <v>7.14</v>
      </c>
      <c r="I398" s="5">
        <f>ROUND(Marketing[[#This Row],[Clicks]]*Marketing[[#This Row],[Conversion_Rate]],0)</f>
        <v>16</v>
      </c>
      <c r="J398" s="12">
        <f>Marketing[[#This Row],[Campaign_Cost]]/Marketing[[#This Row],[Customers]]</f>
        <v>1073.375</v>
      </c>
      <c r="K398" t="s">
        <v>32</v>
      </c>
      <c r="L398" t="s">
        <v>20</v>
      </c>
      <c r="M398">
        <v>125</v>
      </c>
      <c r="N398">
        <v>9618</v>
      </c>
      <c r="O398">
        <v>5</v>
      </c>
      <c r="P398" t="s">
        <v>44</v>
      </c>
      <c r="Q398" s="1">
        <v>44228</v>
      </c>
    </row>
    <row r="399" spans="1:17" x14ac:dyDescent="0.3">
      <c r="A399" t="s">
        <v>35</v>
      </c>
      <c r="B399" t="s">
        <v>29</v>
      </c>
      <c r="C399" t="s">
        <v>52</v>
      </c>
      <c r="D399" t="s">
        <v>17</v>
      </c>
      <c r="E399" t="s">
        <v>15</v>
      </c>
      <c r="F399" s="9">
        <v>0.12</v>
      </c>
      <c r="G399" s="10">
        <v>17974</v>
      </c>
      <c r="H399">
        <v>3.16</v>
      </c>
      <c r="I399" s="5">
        <f>ROUND(Marketing[[#This Row],[Clicks]]*Marketing[[#This Row],[Conversion_Rate]],0)</f>
        <v>80</v>
      </c>
      <c r="J399" s="12">
        <f>Marketing[[#This Row],[Campaign_Cost]]/Marketing[[#This Row],[Customers]]</f>
        <v>224.67500000000001</v>
      </c>
      <c r="K399" t="s">
        <v>19</v>
      </c>
      <c r="L399" t="s">
        <v>50</v>
      </c>
      <c r="M399">
        <v>664</v>
      </c>
      <c r="N399">
        <v>1255</v>
      </c>
      <c r="O399">
        <v>8</v>
      </c>
      <c r="P399" t="s">
        <v>27</v>
      </c>
      <c r="Q399" s="1">
        <v>44229</v>
      </c>
    </row>
    <row r="400" spans="1:17" x14ac:dyDescent="0.3">
      <c r="A400" t="s">
        <v>49</v>
      </c>
      <c r="B400" t="s">
        <v>15</v>
      </c>
      <c r="C400" t="s">
        <v>23</v>
      </c>
      <c r="D400" t="s">
        <v>40</v>
      </c>
      <c r="E400" t="s">
        <v>18</v>
      </c>
      <c r="F400" s="9">
        <v>0.1</v>
      </c>
      <c r="G400" s="10">
        <v>16047</v>
      </c>
      <c r="H400">
        <v>6.47</v>
      </c>
      <c r="I400" s="5">
        <f>ROUND(Marketing[[#This Row],[Clicks]]*Marketing[[#This Row],[Conversion_Rate]],0)</f>
        <v>26</v>
      </c>
      <c r="J400" s="12">
        <f>Marketing[[#This Row],[Campaign_Cost]]/Marketing[[#This Row],[Customers]]</f>
        <v>617.19230769230774</v>
      </c>
      <c r="K400" t="s">
        <v>51</v>
      </c>
      <c r="L400" t="s">
        <v>50</v>
      </c>
      <c r="M400">
        <v>259</v>
      </c>
      <c r="N400">
        <v>1993</v>
      </c>
      <c r="O400">
        <v>2</v>
      </c>
      <c r="P400" t="s">
        <v>34</v>
      </c>
      <c r="Q400" s="1">
        <v>44230</v>
      </c>
    </row>
    <row r="401" spans="1:17" x14ac:dyDescent="0.3">
      <c r="A401" t="s">
        <v>35</v>
      </c>
      <c r="B401" t="s">
        <v>47</v>
      </c>
      <c r="C401" t="s">
        <v>37</v>
      </c>
      <c r="D401" t="s">
        <v>17</v>
      </c>
      <c r="E401" t="s">
        <v>43</v>
      </c>
      <c r="F401" s="9">
        <v>7.0000000000000007E-2</v>
      </c>
      <c r="G401" s="10">
        <v>13468</v>
      </c>
      <c r="H401">
        <v>6.05</v>
      </c>
      <c r="I401" s="5">
        <f>ROUND(Marketing[[#This Row],[Clicks]]*Marketing[[#This Row],[Conversion_Rate]],0)</f>
        <v>61</v>
      </c>
      <c r="J401" s="12">
        <f>Marketing[[#This Row],[Campaign_Cost]]/Marketing[[#This Row],[Customers]]</f>
        <v>220.78688524590163</v>
      </c>
      <c r="K401" t="s">
        <v>32</v>
      </c>
      <c r="L401" t="s">
        <v>20</v>
      </c>
      <c r="M401">
        <v>868</v>
      </c>
      <c r="N401">
        <v>3888</v>
      </c>
      <c r="O401">
        <v>4</v>
      </c>
      <c r="P401" t="s">
        <v>42</v>
      </c>
      <c r="Q401" s="1">
        <v>44231</v>
      </c>
    </row>
    <row r="402" spans="1:17" x14ac:dyDescent="0.3">
      <c r="A402" t="s">
        <v>49</v>
      </c>
      <c r="B402" t="s">
        <v>36</v>
      </c>
      <c r="C402" t="s">
        <v>37</v>
      </c>
      <c r="D402" t="s">
        <v>40</v>
      </c>
      <c r="E402" t="s">
        <v>41</v>
      </c>
      <c r="F402" s="9">
        <v>0.08</v>
      </c>
      <c r="G402" s="10">
        <v>8712</v>
      </c>
      <c r="H402">
        <v>5.55</v>
      </c>
      <c r="I402" s="5">
        <f>ROUND(Marketing[[#This Row],[Clicks]]*Marketing[[#This Row],[Conversion_Rate]],0)</f>
        <v>66</v>
      </c>
      <c r="J402" s="12">
        <f>Marketing[[#This Row],[Campaign_Cost]]/Marketing[[#This Row],[Customers]]</f>
        <v>132</v>
      </c>
      <c r="K402" t="s">
        <v>51</v>
      </c>
      <c r="L402" t="s">
        <v>20</v>
      </c>
      <c r="M402">
        <v>824</v>
      </c>
      <c r="N402">
        <v>6420</v>
      </c>
      <c r="O402">
        <v>7</v>
      </c>
      <c r="P402" t="s">
        <v>21</v>
      </c>
      <c r="Q402" s="1">
        <v>44232</v>
      </c>
    </row>
    <row r="403" spans="1:17" x14ac:dyDescent="0.3">
      <c r="A403" t="s">
        <v>28</v>
      </c>
      <c r="B403" t="s">
        <v>15</v>
      </c>
      <c r="C403" t="s">
        <v>37</v>
      </c>
      <c r="D403" t="s">
        <v>46</v>
      </c>
      <c r="E403" t="s">
        <v>43</v>
      </c>
      <c r="F403" s="9">
        <v>0.03</v>
      </c>
      <c r="G403" s="10">
        <v>17165</v>
      </c>
      <c r="H403">
        <v>2.92</v>
      </c>
      <c r="I403" s="5">
        <f>ROUND(Marketing[[#This Row],[Clicks]]*Marketing[[#This Row],[Conversion_Rate]],0)</f>
        <v>26</v>
      </c>
      <c r="J403" s="12">
        <f>Marketing[[#This Row],[Campaign_Cost]]/Marketing[[#This Row],[Customers]]</f>
        <v>660.19230769230774</v>
      </c>
      <c r="K403" t="s">
        <v>38</v>
      </c>
      <c r="L403" t="s">
        <v>39</v>
      </c>
      <c r="M403">
        <v>881</v>
      </c>
      <c r="N403">
        <v>9282</v>
      </c>
      <c r="O403">
        <v>6</v>
      </c>
      <c r="P403" t="s">
        <v>21</v>
      </c>
      <c r="Q403" s="1">
        <v>44233</v>
      </c>
    </row>
    <row r="404" spans="1:17" x14ac:dyDescent="0.3">
      <c r="A404" t="s">
        <v>14</v>
      </c>
      <c r="B404" t="s">
        <v>45</v>
      </c>
      <c r="C404" t="s">
        <v>37</v>
      </c>
      <c r="D404" t="s">
        <v>24</v>
      </c>
      <c r="E404" t="s">
        <v>43</v>
      </c>
      <c r="F404" s="9">
        <v>0.05</v>
      </c>
      <c r="G404" s="10">
        <v>5918</v>
      </c>
      <c r="H404">
        <v>2.15</v>
      </c>
      <c r="I404" s="5">
        <f>ROUND(Marketing[[#This Row],[Clicks]]*Marketing[[#This Row],[Conversion_Rate]],0)</f>
        <v>19</v>
      </c>
      <c r="J404" s="12">
        <f>Marketing[[#This Row],[Campaign_Cost]]/Marketing[[#This Row],[Customers]]</f>
        <v>311.4736842105263</v>
      </c>
      <c r="K404" t="s">
        <v>32</v>
      </c>
      <c r="L404" t="s">
        <v>33</v>
      </c>
      <c r="M404">
        <v>378</v>
      </c>
      <c r="N404">
        <v>9949</v>
      </c>
      <c r="O404">
        <v>4</v>
      </c>
      <c r="P404" t="s">
        <v>21</v>
      </c>
      <c r="Q404" s="1">
        <v>44234</v>
      </c>
    </row>
    <row r="405" spans="1:17" x14ac:dyDescent="0.3">
      <c r="A405" t="s">
        <v>49</v>
      </c>
      <c r="B405" t="s">
        <v>47</v>
      </c>
      <c r="C405" t="s">
        <v>37</v>
      </c>
      <c r="D405" t="s">
        <v>17</v>
      </c>
      <c r="E405" t="s">
        <v>31</v>
      </c>
      <c r="F405" s="9">
        <v>0.12</v>
      </c>
      <c r="G405" s="10">
        <v>13641</v>
      </c>
      <c r="H405">
        <v>7.69</v>
      </c>
      <c r="I405" s="5">
        <f>ROUND(Marketing[[#This Row],[Clicks]]*Marketing[[#This Row],[Conversion_Rate]],0)</f>
        <v>100</v>
      </c>
      <c r="J405" s="12">
        <f>Marketing[[#This Row],[Campaign_Cost]]/Marketing[[#This Row],[Customers]]</f>
        <v>136.41</v>
      </c>
      <c r="K405" t="s">
        <v>25</v>
      </c>
      <c r="L405" t="s">
        <v>50</v>
      </c>
      <c r="M405">
        <v>834</v>
      </c>
      <c r="N405">
        <v>6836</v>
      </c>
      <c r="O405">
        <v>7</v>
      </c>
      <c r="P405" t="s">
        <v>34</v>
      </c>
      <c r="Q405" s="1">
        <v>44235</v>
      </c>
    </row>
    <row r="406" spans="1:17" x14ac:dyDescent="0.3">
      <c r="A406" t="s">
        <v>35</v>
      </c>
      <c r="B406" t="s">
        <v>36</v>
      </c>
      <c r="C406" t="s">
        <v>16</v>
      </c>
      <c r="D406" t="s">
        <v>24</v>
      </c>
      <c r="E406" t="s">
        <v>41</v>
      </c>
      <c r="F406" s="9">
        <v>0.12</v>
      </c>
      <c r="G406" s="10">
        <v>7388</v>
      </c>
      <c r="H406">
        <v>4.87</v>
      </c>
      <c r="I406" s="5">
        <f>ROUND(Marketing[[#This Row],[Clicks]]*Marketing[[#This Row],[Conversion_Rate]],0)</f>
        <v>85</v>
      </c>
      <c r="J406" s="12">
        <f>Marketing[[#This Row],[Campaign_Cost]]/Marketing[[#This Row],[Customers]]</f>
        <v>86.917647058823533</v>
      </c>
      <c r="K406" t="s">
        <v>38</v>
      </c>
      <c r="L406" t="s">
        <v>26</v>
      </c>
      <c r="M406">
        <v>709</v>
      </c>
      <c r="N406">
        <v>5657</v>
      </c>
      <c r="O406">
        <v>3</v>
      </c>
      <c r="P406" t="s">
        <v>44</v>
      </c>
      <c r="Q406" s="1">
        <v>44236</v>
      </c>
    </row>
    <row r="407" spans="1:17" x14ac:dyDescent="0.3">
      <c r="A407" t="s">
        <v>35</v>
      </c>
      <c r="B407" t="s">
        <v>36</v>
      </c>
      <c r="C407" t="s">
        <v>52</v>
      </c>
      <c r="D407" t="s">
        <v>46</v>
      </c>
      <c r="E407" t="s">
        <v>31</v>
      </c>
      <c r="F407" s="9">
        <v>0.02</v>
      </c>
      <c r="G407" s="10">
        <v>6641</v>
      </c>
      <c r="H407">
        <v>3.14</v>
      </c>
      <c r="I407" s="5">
        <f>ROUND(Marketing[[#This Row],[Clicks]]*Marketing[[#This Row],[Conversion_Rate]],0)</f>
        <v>14</v>
      </c>
      <c r="J407" s="12">
        <f>Marketing[[#This Row],[Campaign_Cost]]/Marketing[[#This Row],[Customers]]</f>
        <v>474.35714285714283</v>
      </c>
      <c r="K407" t="s">
        <v>51</v>
      </c>
      <c r="L407" t="s">
        <v>50</v>
      </c>
      <c r="M407">
        <v>696</v>
      </c>
      <c r="N407">
        <v>5458</v>
      </c>
      <c r="O407">
        <v>5</v>
      </c>
      <c r="P407" t="s">
        <v>27</v>
      </c>
      <c r="Q407" s="1">
        <v>44237</v>
      </c>
    </row>
    <row r="408" spans="1:17" x14ac:dyDescent="0.3">
      <c r="A408" t="s">
        <v>22</v>
      </c>
      <c r="B408" t="s">
        <v>29</v>
      </c>
      <c r="C408" t="s">
        <v>23</v>
      </c>
      <c r="D408" t="s">
        <v>17</v>
      </c>
      <c r="E408" t="s">
        <v>15</v>
      </c>
      <c r="F408" s="9">
        <v>0.13</v>
      </c>
      <c r="G408" s="10">
        <v>19269</v>
      </c>
      <c r="H408">
        <v>2.15</v>
      </c>
      <c r="I408" s="5">
        <f>ROUND(Marketing[[#This Row],[Clicks]]*Marketing[[#This Row],[Conversion_Rate]],0)</f>
        <v>31</v>
      </c>
      <c r="J408" s="12">
        <f>Marketing[[#This Row],[Campaign_Cost]]/Marketing[[#This Row],[Customers]]</f>
        <v>621.58064516129036</v>
      </c>
      <c r="K408" t="s">
        <v>19</v>
      </c>
      <c r="L408" t="s">
        <v>20</v>
      </c>
      <c r="M408">
        <v>239</v>
      </c>
      <c r="N408">
        <v>7346</v>
      </c>
      <c r="O408">
        <v>10</v>
      </c>
      <c r="P408" t="s">
        <v>27</v>
      </c>
      <c r="Q408" s="1">
        <v>44238</v>
      </c>
    </row>
    <row r="409" spans="1:17" x14ac:dyDescent="0.3">
      <c r="A409" t="s">
        <v>35</v>
      </c>
      <c r="B409" t="s">
        <v>45</v>
      </c>
      <c r="C409" t="s">
        <v>23</v>
      </c>
      <c r="D409" t="s">
        <v>17</v>
      </c>
      <c r="E409" t="s">
        <v>31</v>
      </c>
      <c r="F409" s="9">
        <v>0.04</v>
      </c>
      <c r="G409" s="10">
        <v>17299</v>
      </c>
      <c r="H409">
        <v>7.91</v>
      </c>
      <c r="I409" s="5">
        <f>ROUND(Marketing[[#This Row],[Clicks]]*Marketing[[#This Row],[Conversion_Rate]],0)</f>
        <v>36</v>
      </c>
      <c r="J409" s="12">
        <f>Marketing[[#This Row],[Campaign_Cost]]/Marketing[[#This Row],[Customers]]</f>
        <v>480.52777777777777</v>
      </c>
      <c r="K409" t="s">
        <v>51</v>
      </c>
      <c r="L409" t="s">
        <v>26</v>
      </c>
      <c r="M409">
        <v>890</v>
      </c>
      <c r="N409">
        <v>5009</v>
      </c>
      <c r="O409">
        <v>6</v>
      </c>
      <c r="P409" t="s">
        <v>27</v>
      </c>
      <c r="Q409" s="1">
        <v>44239</v>
      </c>
    </row>
    <row r="410" spans="1:17" x14ac:dyDescent="0.3">
      <c r="A410" t="s">
        <v>14</v>
      </c>
      <c r="B410" t="s">
        <v>47</v>
      </c>
      <c r="C410" t="s">
        <v>30</v>
      </c>
      <c r="D410" t="s">
        <v>40</v>
      </c>
      <c r="E410" t="s">
        <v>31</v>
      </c>
      <c r="F410" s="9">
        <v>0.09</v>
      </c>
      <c r="G410" s="10">
        <v>5816</v>
      </c>
      <c r="H410">
        <v>4.6399999999999997</v>
      </c>
      <c r="I410" s="5">
        <f>ROUND(Marketing[[#This Row],[Clicks]]*Marketing[[#This Row],[Conversion_Rate]],0)</f>
        <v>13</v>
      </c>
      <c r="J410" s="12">
        <f>Marketing[[#This Row],[Campaign_Cost]]/Marketing[[#This Row],[Customers]]</f>
        <v>447.38461538461536</v>
      </c>
      <c r="K410" t="s">
        <v>51</v>
      </c>
      <c r="L410" t="s">
        <v>26</v>
      </c>
      <c r="M410">
        <v>147</v>
      </c>
      <c r="N410">
        <v>1629</v>
      </c>
      <c r="O410">
        <v>9</v>
      </c>
      <c r="P410" t="s">
        <v>34</v>
      </c>
      <c r="Q410" s="1">
        <v>44240</v>
      </c>
    </row>
    <row r="411" spans="1:17" x14ac:dyDescent="0.3">
      <c r="A411" t="s">
        <v>35</v>
      </c>
      <c r="B411" t="s">
        <v>45</v>
      </c>
      <c r="C411" t="s">
        <v>52</v>
      </c>
      <c r="D411" t="s">
        <v>46</v>
      </c>
      <c r="E411" t="s">
        <v>43</v>
      </c>
      <c r="F411" s="9">
        <v>0.15</v>
      </c>
      <c r="G411" s="10">
        <v>17201</v>
      </c>
      <c r="H411">
        <v>5.32</v>
      </c>
      <c r="I411" s="5">
        <f>ROUND(Marketing[[#This Row],[Clicks]]*Marketing[[#This Row],[Conversion_Rate]],0)</f>
        <v>127</v>
      </c>
      <c r="J411" s="12">
        <f>Marketing[[#This Row],[Campaign_Cost]]/Marketing[[#This Row],[Customers]]</f>
        <v>135.44094488188978</v>
      </c>
      <c r="K411" t="s">
        <v>51</v>
      </c>
      <c r="L411" t="s">
        <v>39</v>
      </c>
      <c r="M411">
        <v>849</v>
      </c>
      <c r="N411">
        <v>6430</v>
      </c>
      <c r="O411">
        <v>7</v>
      </c>
      <c r="P411" t="s">
        <v>42</v>
      </c>
      <c r="Q411" s="1">
        <v>44241</v>
      </c>
    </row>
    <row r="412" spans="1:17" x14ac:dyDescent="0.3">
      <c r="A412" t="s">
        <v>22</v>
      </c>
      <c r="B412" t="s">
        <v>36</v>
      </c>
      <c r="C412" t="s">
        <v>16</v>
      </c>
      <c r="D412" t="s">
        <v>17</v>
      </c>
      <c r="E412" t="s">
        <v>31</v>
      </c>
      <c r="F412" s="9">
        <v>0.03</v>
      </c>
      <c r="G412" s="10">
        <v>18611</v>
      </c>
      <c r="H412">
        <v>6.78</v>
      </c>
      <c r="I412" s="5">
        <f>ROUND(Marketing[[#This Row],[Clicks]]*Marketing[[#This Row],[Conversion_Rate]],0)</f>
        <v>12</v>
      </c>
      <c r="J412" s="12">
        <f>Marketing[[#This Row],[Campaign_Cost]]/Marketing[[#This Row],[Customers]]</f>
        <v>1550.9166666666667</v>
      </c>
      <c r="K412" t="s">
        <v>32</v>
      </c>
      <c r="L412" t="s">
        <v>20</v>
      </c>
      <c r="M412">
        <v>412</v>
      </c>
      <c r="N412">
        <v>8230</v>
      </c>
      <c r="O412">
        <v>1</v>
      </c>
      <c r="P412" t="s">
        <v>21</v>
      </c>
      <c r="Q412" s="1">
        <v>44242</v>
      </c>
    </row>
    <row r="413" spans="1:17" x14ac:dyDescent="0.3">
      <c r="A413" t="s">
        <v>22</v>
      </c>
      <c r="B413" t="s">
        <v>15</v>
      </c>
      <c r="C413" t="s">
        <v>52</v>
      </c>
      <c r="D413" t="s">
        <v>46</v>
      </c>
      <c r="E413" t="s">
        <v>43</v>
      </c>
      <c r="F413" s="9">
        <v>0.03</v>
      </c>
      <c r="G413" s="10">
        <v>7139</v>
      </c>
      <c r="H413">
        <v>5.68</v>
      </c>
      <c r="I413" s="5">
        <f>ROUND(Marketing[[#This Row],[Clicks]]*Marketing[[#This Row],[Conversion_Rate]],0)</f>
        <v>4</v>
      </c>
      <c r="J413" s="12">
        <f>Marketing[[#This Row],[Campaign_Cost]]/Marketing[[#This Row],[Customers]]</f>
        <v>1784.75</v>
      </c>
      <c r="K413" t="s">
        <v>51</v>
      </c>
      <c r="L413" t="s">
        <v>39</v>
      </c>
      <c r="M413">
        <v>118</v>
      </c>
      <c r="N413">
        <v>6941</v>
      </c>
      <c r="O413">
        <v>1</v>
      </c>
      <c r="P413" t="s">
        <v>42</v>
      </c>
      <c r="Q413" s="1">
        <v>44243</v>
      </c>
    </row>
    <row r="414" spans="1:17" x14ac:dyDescent="0.3">
      <c r="A414" t="s">
        <v>49</v>
      </c>
      <c r="B414" t="s">
        <v>36</v>
      </c>
      <c r="C414" t="s">
        <v>37</v>
      </c>
      <c r="D414" t="s">
        <v>17</v>
      </c>
      <c r="E414" t="s">
        <v>31</v>
      </c>
      <c r="F414" s="9">
        <v>0.01</v>
      </c>
      <c r="G414" s="10">
        <v>10699</v>
      </c>
      <c r="H414">
        <v>6.43</v>
      </c>
      <c r="I414" s="5">
        <f>ROUND(Marketing[[#This Row],[Clicks]]*Marketing[[#This Row],[Conversion_Rate]],0)</f>
        <v>5</v>
      </c>
      <c r="J414" s="12">
        <f>Marketing[[#This Row],[Campaign_Cost]]/Marketing[[#This Row],[Customers]]</f>
        <v>2139.8000000000002</v>
      </c>
      <c r="K414" t="s">
        <v>25</v>
      </c>
      <c r="L414" t="s">
        <v>26</v>
      </c>
      <c r="M414">
        <v>525</v>
      </c>
      <c r="N414">
        <v>2143</v>
      </c>
      <c r="O414">
        <v>9</v>
      </c>
      <c r="P414" t="s">
        <v>27</v>
      </c>
      <c r="Q414" s="1">
        <v>44244</v>
      </c>
    </row>
    <row r="415" spans="1:17" x14ac:dyDescent="0.3">
      <c r="A415" t="s">
        <v>22</v>
      </c>
      <c r="B415" t="s">
        <v>29</v>
      </c>
      <c r="C415" t="s">
        <v>16</v>
      </c>
      <c r="D415" t="s">
        <v>46</v>
      </c>
      <c r="E415" t="s">
        <v>31</v>
      </c>
      <c r="F415" s="9">
        <v>0.06</v>
      </c>
      <c r="G415" s="10">
        <v>19526</v>
      </c>
      <c r="H415">
        <v>7.14</v>
      </c>
      <c r="I415" s="5">
        <f>ROUND(Marketing[[#This Row],[Clicks]]*Marketing[[#This Row],[Conversion_Rate]],0)</f>
        <v>18</v>
      </c>
      <c r="J415" s="12">
        <f>Marketing[[#This Row],[Campaign_Cost]]/Marketing[[#This Row],[Customers]]</f>
        <v>1084.7777777777778</v>
      </c>
      <c r="K415" t="s">
        <v>25</v>
      </c>
      <c r="L415" t="s">
        <v>39</v>
      </c>
      <c r="M415">
        <v>294</v>
      </c>
      <c r="N415">
        <v>6179</v>
      </c>
      <c r="O415">
        <v>6</v>
      </c>
      <c r="P415" t="s">
        <v>27</v>
      </c>
      <c r="Q415" s="1">
        <v>44245</v>
      </c>
    </row>
    <row r="416" spans="1:17" x14ac:dyDescent="0.3">
      <c r="A416" t="s">
        <v>22</v>
      </c>
      <c r="B416" t="s">
        <v>45</v>
      </c>
      <c r="C416" t="s">
        <v>23</v>
      </c>
      <c r="D416" t="s">
        <v>17</v>
      </c>
      <c r="E416" t="s">
        <v>18</v>
      </c>
      <c r="F416" s="9">
        <v>7.0000000000000007E-2</v>
      </c>
      <c r="G416" s="10">
        <v>5576</v>
      </c>
      <c r="H416">
        <v>7.97</v>
      </c>
      <c r="I416" s="5">
        <f>ROUND(Marketing[[#This Row],[Clicks]]*Marketing[[#This Row],[Conversion_Rate]],0)</f>
        <v>43</v>
      </c>
      <c r="J416" s="12">
        <f>Marketing[[#This Row],[Campaign_Cost]]/Marketing[[#This Row],[Customers]]</f>
        <v>129.67441860465115</v>
      </c>
      <c r="K416" t="s">
        <v>19</v>
      </c>
      <c r="L416" t="s">
        <v>39</v>
      </c>
      <c r="M416">
        <v>609</v>
      </c>
      <c r="N416">
        <v>2349</v>
      </c>
      <c r="O416">
        <v>10</v>
      </c>
      <c r="P416" t="s">
        <v>42</v>
      </c>
      <c r="Q416" s="1">
        <v>44246</v>
      </c>
    </row>
    <row r="417" spans="1:17" x14ac:dyDescent="0.3">
      <c r="A417" t="s">
        <v>14</v>
      </c>
      <c r="B417" t="s">
        <v>15</v>
      </c>
      <c r="C417" t="s">
        <v>30</v>
      </c>
      <c r="D417" t="s">
        <v>40</v>
      </c>
      <c r="E417" t="s">
        <v>18</v>
      </c>
      <c r="F417" s="9">
        <v>0.04</v>
      </c>
      <c r="G417" s="10">
        <v>6934</v>
      </c>
      <c r="H417">
        <v>4.9800000000000004</v>
      </c>
      <c r="I417" s="5">
        <f>ROUND(Marketing[[#This Row],[Clicks]]*Marketing[[#This Row],[Conversion_Rate]],0)</f>
        <v>26</v>
      </c>
      <c r="J417" s="12">
        <f>Marketing[[#This Row],[Campaign_Cost]]/Marketing[[#This Row],[Customers]]</f>
        <v>266.69230769230768</v>
      </c>
      <c r="K417" t="s">
        <v>19</v>
      </c>
      <c r="L417" t="s">
        <v>26</v>
      </c>
      <c r="M417">
        <v>649</v>
      </c>
      <c r="N417">
        <v>1416</v>
      </c>
      <c r="O417">
        <v>7</v>
      </c>
      <c r="P417" t="s">
        <v>42</v>
      </c>
      <c r="Q417" s="1">
        <v>44247</v>
      </c>
    </row>
    <row r="418" spans="1:17" x14ac:dyDescent="0.3">
      <c r="A418" t="s">
        <v>49</v>
      </c>
      <c r="B418" t="s">
        <v>29</v>
      </c>
      <c r="C418" t="s">
        <v>16</v>
      </c>
      <c r="D418" t="s">
        <v>24</v>
      </c>
      <c r="E418" t="s">
        <v>15</v>
      </c>
      <c r="F418" s="9">
        <v>0.01</v>
      </c>
      <c r="G418" s="10">
        <v>9077</v>
      </c>
      <c r="H418">
        <v>4.4000000000000004</v>
      </c>
      <c r="I418" s="5">
        <f>ROUND(Marketing[[#This Row],[Clicks]]*Marketing[[#This Row],[Conversion_Rate]],0)</f>
        <v>9</v>
      </c>
      <c r="J418" s="12">
        <f>Marketing[[#This Row],[Campaign_Cost]]/Marketing[[#This Row],[Customers]]</f>
        <v>1008.5555555555555</v>
      </c>
      <c r="K418" t="s">
        <v>32</v>
      </c>
      <c r="L418" t="s">
        <v>39</v>
      </c>
      <c r="M418">
        <v>860</v>
      </c>
      <c r="N418">
        <v>6874</v>
      </c>
      <c r="O418">
        <v>4</v>
      </c>
      <c r="P418" t="s">
        <v>44</v>
      </c>
      <c r="Q418" s="1">
        <v>44248</v>
      </c>
    </row>
    <row r="419" spans="1:17" x14ac:dyDescent="0.3">
      <c r="A419" t="s">
        <v>35</v>
      </c>
      <c r="B419" t="s">
        <v>45</v>
      </c>
      <c r="C419" t="s">
        <v>30</v>
      </c>
      <c r="D419" t="s">
        <v>40</v>
      </c>
      <c r="E419" t="s">
        <v>31</v>
      </c>
      <c r="F419" s="9">
        <v>0.09</v>
      </c>
      <c r="G419" s="10">
        <v>5702</v>
      </c>
      <c r="H419">
        <v>2.3199999999999998</v>
      </c>
      <c r="I419" s="5">
        <f>ROUND(Marketing[[#This Row],[Clicks]]*Marketing[[#This Row],[Conversion_Rate]],0)</f>
        <v>75</v>
      </c>
      <c r="J419" s="12">
        <f>Marketing[[#This Row],[Campaign_Cost]]/Marketing[[#This Row],[Customers]]</f>
        <v>76.026666666666671</v>
      </c>
      <c r="K419" t="s">
        <v>32</v>
      </c>
      <c r="L419" t="s">
        <v>50</v>
      </c>
      <c r="M419">
        <v>833</v>
      </c>
      <c r="N419">
        <v>2831</v>
      </c>
      <c r="O419">
        <v>10</v>
      </c>
      <c r="P419" t="s">
        <v>42</v>
      </c>
      <c r="Q419" s="1">
        <v>44249</v>
      </c>
    </row>
    <row r="420" spans="1:17" x14ac:dyDescent="0.3">
      <c r="A420" t="s">
        <v>14</v>
      </c>
      <c r="B420" t="s">
        <v>47</v>
      </c>
      <c r="C420" t="s">
        <v>23</v>
      </c>
      <c r="D420" t="s">
        <v>46</v>
      </c>
      <c r="E420" t="s">
        <v>48</v>
      </c>
      <c r="F420" s="9">
        <v>0.02</v>
      </c>
      <c r="G420" s="10">
        <v>10459</v>
      </c>
      <c r="H420">
        <v>5.34</v>
      </c>
      <c r="I420" s="5">
        <f>ROUND(Marketing[[#This Row],[Clicks]]*Marketing[[#This Row],[Conversion_Rate]],0)</f>
        <v>13</v>
      </c>
      <c r="J420" s="12">
        <f>Marketing[[#This Row],[Campaign_Cost]]/Marketing[[#This Row],[Customers]]</f>
        <v>804.53846153846155</v>
      </c>
      <c r="K420" t="s">
        <v>32</v>
      </c>
      <c r="L420" t="s">
        <v>50</v>
      </c>
      <c r="M420">
        <v>642</v>
      </c>
      <c r="N420">
        <v>9515</v>
      </c>
      <c r="O420">
        <v>2</v>
      </c>
      <c r="P420" t="s">
        <v>42</v>
      </c>
      <c r="Q420" s="1">
        <v>44250</v>
      </c>
    </row>
    <row r="421" spans="1:17" x14ac:dyDescent="0.3">
      <c r="A421" t="s">
        <v>35</v>
      </c>
      <c r="B421" t="s">
        <v>15</v>
      </c>
      <c r="C421" t="s">
        <v>23</v>
      </c>
      <c r="D421" t="s">
        <v>46</v>
      </c>
      <c r="E421" t="s">
        <v>41</v>
      </c>
      <c r="F421" s="9">
        <v>0.1</v>
      </c>
      <c r="G421" s="10">
        <v>9480</v>
      </c>
      <c r="H421">
        <v>6.55</v>
      </c>
      <c r="I421" s="5">
        <f>ROUND(Marketing[[#This Row],[Clicks]]*Marketing[[#This Row],[Conversion_Rate]],0)</f>
        <v>91</v>
      </c>
      <c r="J421" s="12">
        <f>Marketing[[#This Row],[Campaign_Cost]]/Marketing[[#This Row],[Customers]]</f>
        <v>104.17582417582418</v>
      </c>
      <c r="K421" t="s">
        <v>38</v>
      </c>
      <c r="L421" t="s">
        <v>20</v>
      </c>
      <c r="M421">
        <v>908</v>
      </c>
      <c r="N421">
        <v>6026</v>
      </c>
      <c r="O421">
        <v>2</v>
      </c>
      <c r="P421" t="s">
        <v>42</v>
      </c>
      <c r="Q421" s="1">
        <v>44251</v>
      </c>
    </row>
    <row r="422" spans="1:17" x14ac:dyDescent="0.3">
      <c r="A422" t="s">
        <v>22</v>
      </c>
      <c r="B422" t="s">
        <v>47</v>
      </c>
      <c r="C422" t="s">
        <v>16</v>
      </c>
      <c r="D422" t="s">
        <v>17</v>
      </c>
      <c r="E422" t="s">
        <v>15</v>
      </c>
      <c r="F422" s="9">
        <v>0.14000000000000001</v>
      </c>
      <c r="G422" s="10">
        <v>6041</v>
      </c>
      <c r="H422">
        <v>4.4000000000000004</v>
      </c>
      <c r="I422" s="5">
        <f>ROUND(Marketing[[#This Row],[Clicks]]*Marketing[[#This Row],[Conversion_Rate]],0)</f>
        <v>81</v>
      </c>
      <c r="J422" s="12">
        <f>Marketing[[#This Row],[Campaign_Cost]]/Marketing[[#This Row],[Customers]]</f>
        <v>74.580246913580254</v>
      </c>
      <c r="K422" t="s">
        <v>25</v>
      </c>
      <c r="L422" t="s">
        <v>39</v>
      </c>
      <c r="M422">
        <v>578</v>
      </c>
      <c r="N422">
        <v>6558</v>
      </c>
      <c r="O422">
        <v>6</v>
      </c>
      <c r="P422" t="s">
        <v>42</v>
      </c>
      <c r="Q422" s="1">
        <v>44252</v>
      </c>
    </row>
    <row r="423" spans="1:17" x14ac:dyDescent="0.3">
      <c r="A423" t="s">
        <v>28</v>
      </c>
      <c r="B423" t="s">
        <v>15</v>
      </c>
      <c r="C423" t="s">
        <v>30</v>
      </c>
      <c r="D423" t="s">
        <v>17</v>
      </c>
      <c r="E423" t="s">
        <v>15</v>
      </c>
      <c r="F423" s="9">
        <v>0.1</v>
      </c>
      <c r="G423" s="10">
        <v>9036</v>
      </c>
      <c r="H423">
        <v>2.76</v>
      </c>
      <c r="I423" s="5">
        <f>ROUND(Marketing[[#This Row],[Clicks]]*Marketing[[#This Row],[Conversion_Rate]],0)</f>
        <v>14</v>
      </c>
      <c r="J423" s="12">
        <f>Marketing[[#This Row],[Campaign_Cost]]/Marketing[[#This Row],[Customers]]</f>
        <v>645.42857142857144</v>
      </c>
      <c r="K423" t="s">
        <v>32</v>
      </c>
      <c r="L423" t="s">
        <v>39</v>
      </c>
      <c r="M423">
        <v>140</v>
      </c>
      <c r="N423">
        <v>6245</v>
      </c>
      <c r="O423">
        <v>7</v>
      </c>
      <c r="P423" t="s">
        <v>21</v>
      </c>
      <c r="Q423" s="1">
        <v>44253</v>
      </c>
    </row>
    <row r="424" spans="1:17" x14ac:dyDescent="0.3">
      <c r="A424" t="s">
        <v>35</v>
      </c>
      <c r="B424" t="s">
        <v>36</v>
      </c>
      <c r="C424" t="s">
        <v>30</v>
      </c>
      <c r="D424" t="s">
        <v>17</v>
      </c>
      <c r="E424" t="s">
        <v>48</v>
      </c>
      <c r="F424" s="9">
        <v>0.01</v>
      </c>
      <c r="G424" s="10">
        <v>6772</v>
      </c>
      <c r="H424">
        <v>4.3899999999999997</v>
      </c>
      <c r="I424" s="5">
        <f>ROUND(Marketing[[#This Row],[Clicks]]*Marketing[[#This Row],[Conversion_Rate]],0)</f>
        <v>5</v>
      </c>
      <c r="J424" s="12">
        <f>Marketing[[#This Row],[Campaign_Cost]]/Marketing[[#This Row],[Customers]]</f>
        <v>1354.4</v>
      </c>
      <c r="K424" t="s">
        <v>51</v>
      </c>
      <c r="L424" t="s">
        <v>26</v>
      </c>
      <c r="M424">
        <v>540</v>
      </c>
      <c r="N424">
        <v>2667</v>
      </c>
      <c r="O424">
        <v>7</v>
      </c>
      <c r="P424" t="s">
        <v>21</v>
      </c>
      <c r="Q424" s="1">
        <v>44254</v>
      </c>
    </row>
    <row r="425" spans="1:17" x14ac:dyDescent="0.3">
      <c r="A425" t="s">
        <v>28</v>
      </c>
      <c r="B425" t="s">
        <v>15</v>
      </c>
      <c r="C425" t="s">
        <v>30</v>
      </c>
      <c r="D425" t="s">
        <v>17</v>
      </c>
      <c r="E425" t="s">
        <v>15</v>
      </c>
      <c r="F425" s="9">
        <v>7.0000000000000007E-2</v>
      </c>
      <c r="G425" s="10">
        <v>17735</v>
      </c>
      <c r="H425">
        <v>6.6</v>
      </c>
      <c r="I425" s="5">
        <f>ROUND(Marketing[[#This Row],[Clicks]]*Marketing[[#This Row],[Conversion_Rate]],0)</f>
        <v>9</v>
      </c>
      <c r="J425" s="12">
        <f>Marketing[[#This Row],[Campaign_Cost]]/Marketing[[#This Row],[Customers]]</f>
        <v>1970.5555555555557</v>
      </c>
      <c r="K425" t="s">
        <v>38</v>
      </c>
      <c r="L425" t="s">
        <v>50</v>
      </c>
      <c r="M425">
        <v>124</v>
      </c>
      <c r="N425">
        <v>2072</v>
      </c>
      <c r="O425">
        <v>10</v>
      </c>
      <c r="P425" t="s">
        <v>34</v>
      </c>
      <c r="Q425" s="1">
        <v>44255</v>
      </c>
    </row>
    <row r="426" spans="1:17" x14ac:dyDescent="0.3">
      <c r="A426" t="s">
        <v>49</v>
      </c>
      <c r="B426" t="s">
        <v>45</v>
      </c>
      <c r="C426" t="s">
        <v>16</v>
      </c>
      <c r="D426" t="s">
        <v>17</v>
      </c>
      <c r="E426" t="s">
        <v>18</v>
      </c>
      <c r="F426" s="9">
        <v>0.13</v>
      </c>
      <c r="G426" s="10">
        <v>19742</v>
      </c>
      <c r="H426">
        <v>4.21</v>
      </c>
      <c r="I426" s="5">
        <f>ROUND(Marketing[[#This Row],[Clicks]]*Marketing[[#This Row],[Conversion_Rate]],0)</f>
        <v>122</v>
      </c>
      <c r="J426" s="12">
        <f>Marketing[[#This Row],[Campaign_Cost]]/Marketing[[#This Row],[Customers]]</f>
        <v>161.81967213114754</v>
      </c>
      <c r="K426" t="s">
        <v>51</v>
      </c>
      <c r="L426" t="s">
        <v>39</v>
      </c>
      <c r="M426">
        <v>942</v>
      </c>
      <c r="N426">
        <v>7863</v>
      </c>
      <c r="O426">
        <v>5</v>
      </c>
      <c r="P426" t="s">
        <v>21</v>
      </c>
      <c r="Q426" s="1">
        <v>44256</v>
      </c>
    </row>
    <row r="427" spans="1:17" x14ac:dyDescent="0.3">
      <c r="A427" t="s">
        <v>14</v>
      </c>
      <c r="B427" t="s">
        <v>36</v>
      </c>
      <c r="C427" t="s">
        <v>16</v>
      </c>
      <c r="D427" t="s">
        <v>46</v>
      </c>
      <c r="E427" t="s">
        <v>41</v>
      </c>
      <c r="F427" s="9">
        <v>0.11</v>
      </c>
      <c r="G427" s="10">
        <v>19796</v>
      </c>
      <c r="H427">
        <v>6.99</v>
      </c>
      <c r="I427" s="5">
        <f>ROUND(Marketing[[#This Row],[Clicks]]*Marketing[[#This Row],[Conversion_Rate]],0)</f>
        <v>62</v>
      </c>
      <c r="J427" s="12">
        <f>Marketing[[#This Row],[Campaign_Cost]]/Marketing[[#This Row],[Customers]]</f>
        <v>319.29032258064518</v>
      </c>
      <c r="K427" t="s">
        <v>32</v>
      </c>
      <c r="L427" t="s">
        <v>39</v>
      </c>
      <c r="M427">
        <v>562</v>
      </c>
      <c r="N427">
        <v>2883</v>
      </c>
      <c r="O427">
        <v>1</v>
      </c>
      <c r="P427" t="s">
        <v>27</v>
      </c>
      <c r="Q427" s="1">
        <v>44257</v>
      </c>
    </row>
    <row r="428" spans="1:17" x14ac:dyDescent="0.3">
      <c r="A428" t="s">
        <v>22</v>
      </c>
      <c r="B428" t="s">
        <v>36</v>
      </c>
      <c r="C428" t="s">
        <v>16</v>
      </c>
      <c r="D428" t="s">
        <v>46</v>
      </c>
      <c r="E428" t="s">
        <v>43</v>
      </c>
      <c r="F428" s="9">
        <v>0.02</v>
      </c>
      <c r="G428" s="10">
        <v>16495</v>
      </c>
      <c r="H428">
        <v>5.5</v>
      </c>
      <c r="I428" s="5">
        <f>ROUND(Marketing[[#This Row],[Clicks]]*Marketing[[#This Row],[Conversion_Rate]],0)</f>
        <v>9</v>
      </c>
      <c r="J428" s="12">
        <f>Marketing[[#This Row],[Campaign_Cost]]/Marketing[[#This Row],[Customers]]</f>
        <v>1832.7777777777778</v>
      </c>
      <c r="K428" t="s">
        <v>38</v>
      </c>
      <c r="L428" t="s">
        <v>20</v>
      </c>
      <c r="M428">
        <v>466</v>
      </c>
      <c r="N428">
        <v>6126</v>
      </c>
      <c r="O428">
        <v>8</v>
      </c>
      <c r="P428" t="s">
        <v>34</v>
      </c>
      <c r="Q428" s="1">
        <v>44258</v>
      </c>
    </row>
    <row r="429" spans="1:17" x14ac:dyDescent="0.3">
      <c r="A429" t="s">
        <v>22</v>
      </c>
      <c r="B429" t="s">
        <v>15</v>
      </c>
      <c r="C429" t="s">
        <v>52</v>
      </c>
      <c r="D429" t="s">
        <v>17</v>
      </c>
      <c r="E429" t="s">
        <v>43</v>
      </c>
      <c r="F429" s="9">
        <v>7.0000000000000007E-2</v>
      </c>
      <c r="G429" s="10">
        <v>11648</v>
      </c>
      <c r="H429">
        <v>4.7300000000000004</v>
      </c>
      <c r="I429" s="5">
        <f>ROUND(Marketing[[#This Row],[Clicks]]*Marketing[[#This Row],[Conversion_Rate]],0)</f>
        <v>13</v>
      </c>
      <c r="J429" s="12">
        <f>Marketing[[#This Row],[Campaign_Cost]]/Marketing[[#This Row],[Customers]]</f>
        <v>896</v>
      </c>
      <c r="K429" t="s">
        <v>32</v>
      </c>
      <c r="L429" t="s">
        <v>39</v>
      </c>
      <c r="M429">
        <v>184</v>
      </c>
      <c r="N429">
        <v>9142</v>
      </c>
      <c r="O429">
        <v>8</v>
      </c>
      <c r="P429" t="s">
        <v>27</v>
      </c>
      <c r="Q429" s="1">
        <v>44259</v>
      </c>
    </row>
    <row r="430" spans="1:17" x14ac:dyDescent="0.3">
      <c r="A430" t="s">
        <v>28</v>
      </c>
      <c r="B430" t="s">
        <v>47</v>
      </c>
      <c r="C430" t="s">
        <v>16</v>
      </c>
      <c r="D430" t="s">
        <v>17</v>
      </c>
      <c r="E430" t="s">
        <v>48</v>
      </c>
      <c r="F430" s="9">
        <v>0.15</v>
      </c>
      <c r="G430" s="10">
        <v>14521</v>
      </c>
      <c r="H430">
        <v>2.0499999999999998</v>
      </c>
      <c r="I430" s="5">
        <f>ROUND(Marketing[[#This Row],[Clicks]]*Marketing[[#This Row],[Conversion_Rate]],0)</f>
        <v>149</v>
      </c>
      <c r="J430" s="12">
        <f>Marketing[[#This Row],[Campaign_Cost]]/Marketing[[#This Row],[Customers]]</f>
        <v>97.456375838926178</v>
      </c>
      <c r="K430" t="s">
        <v>25</v>
      </c>
      <c r="L430" t="s">
        <v>26</v>
      </c>
      <c r="M430">
        <v>991</v>
      </c>
      <c r="N430">
        <v>2511</v>
      </c>
      <c r="O430">
        <v>2</v>
      </c>
      <c r="P430" t="s">
        <v>42</v>
      </c>
      <c r="Q430" s="1">
        <v>44260</v>
      </c>
    </row>
    <row r="431" spans="1:17" x14ac:dyDescent="0.3">
      <c r="A431" t="s">
        <v>22</v>
      </c>
      <c r="B431" t="s">
        <v>36</v>
      </c>
      <c r="C431" t="s">
        <v>23</v>
      </c>
      <c r="D431" t="s">
        <v>46</v>
      </c>
      <c r="E431" t="s">
        <v>41</v>
      </c>
      <c r="F431" s="9">
        <v>0.08</v>
      </c>
      <c r="G431" s="10">
        <v>10618</v>
      </c>
      <c r="H431">
        <v>7.34</v>
      </c>
      <c r="I431" s="5">
        <f>ROUND(Marketing[[#This Row],[Clicks]]*Marketing[[#This Row],[Conversion_Rate]],0)</f>
        <v>54</v>
      </c>
      <c r="J431" s="12">
        <f>Marketing[[#This Row],[Campaign_Cost]]/Marketing[[#This Row],[Customers]]</f>
        <v>196.62962962962962</v>
      </c>
      <c r="K431" t="s">
        <v>25</v>
      </c>
      <c r="L431" t="s">
        <v>33</v>
      </c>
      <c r="M431">
        <v>671</v>
      </c>
      <c r="N431">
        <v>8433</v>
      </c>
      <c r="O431">
        <v>10</v>
      </c>
      <c r="P431" t="s">
        <v>21</v>
      </c>
      <c r="Q431" s="1">
        <v>44261</v>
      </c>
    </row>
    <row r="432" spans="1:17" x14ac:dyDescent="0.3">
      <c r="A432" t="s">
        <v>28</v>
      </c>
      <c r="B432" t="s">
        <v>15</v>
      </c>
      <c r="C432" t="s">
        <v>52</v>
      </c>
      <c r="D432" t="s">
        <v>17</v>
      </c>
      <c r="E432" t="s">
        <v>43</v>
      </c>
      <c r="F432" s="9">
        <v>7.0000000000000007E-2</v>
      </c>
      <c r="G432" s="10">
        <v>9482</v>
      </c>
      <c r="H432">
        <v>7.25</v>
      </c>
      <c r="I432" s="5">
        <f>ROUND(Marketing[[#This Row],[Clicks]]*Marketing[[#This Row],[Conversion_Rate]],0)</f>
        <v>22</v>
      </c>
      <c r="J432" s="12">
        <f>Marketing[[#This Row],[Campaign_Cost]]/Marketing[[#This Row],[Customers]]</f>
        <v>431</v>
      </c>
      <c r="K432" t="s">
        <v>32</v>
      </c>
      <c r="L432" t="s">
        <v>26</v>
      </c>
      <c r="M432">
        <v>321</v>
      </c>
      <c r="N432">
        <v>1043</v>
      </c>
      <c r="O432">
        <v>10</v>
      </c>
      <c r="P432" t="s">
        <v>44</v>
      </c>
      <c r="Q432" s="1">
        <v>44262</v>
      </c>
    </row>
    <row r="433" spans="1:17" x14ac:dyDescent="0.3">
      <c r="A433" t="s">
        <v>49</v>
      </c>
      <c r="B433" t="s">
        <v>45</v>
      </c>
      <c r="C433" t="s">
        <v>37</v>
      </c>
      <c r="D433" t="s">
        <v>46</v>
      </c>
      <c r="E433" t="s">
        <v>31</v>
      </c>
      <c r="F433" s="9">
        <v>0.11</v>
      </c>
      <c r="G433" s="10">
        <v>14929</v>
      </c>
      <c r="H433">
        <v>3.46</v>
      </c>
      <c r="I433" s="5">
        <f>ROUND(Marketing[[#This Row],[Clicks]]*Marketing[[#This Row],[Conversion_Rate]],0)</f>
        <v>15</v>
      </c>
      <c r="J433" s="12">
        <f>Marketing[[#This Row],[Campaign_Cost]]/Marketing[[#This Row],[Customers]]</f>
        <v>995.26666666666665</v>
      </c>
      <c r="K433" t="s">
        <v>38</v>
      </c>
      <c r="L433" t="s">
        <v>26</v>
      </c>
      <c r="M433">
        <v>132</v>
      </c>
      <c r="N433">
        <v>4453</v>
      </c>
      <c r="O433">
        <v>1</v>
      </c>
      <c r="P433" t="s">
        <v>34</v>
      </c>
      <c r="Q433" s="1">
        <v>44263</v>
      </c>
    </row>
    <row r="434" spans="1:17" x14ac:dyDescent="0.3">
      <c r="A434" t="s">
        <v>14</v>
      </c>
      <c r="B434" t="s">
        <v>36</v>
      </c>
      <c r="C434" t="s">
        <v>30</v>
      </c>
      <c r="D434" t="s">
        <v>24</v>
      </c>
      <c r="E434" t="s">
        <v>18</v>
      </c>
      <c r="F434" s="9">
        <v>0.01</v>
      </c>
      <c r="G434" s="10">
        <v>7700</v>
      </c>
      <c r="H434">
        <v>3.46</v>
      </c>
      <c r="I434" s="5">
        <f>ROUND(Marketing[[#This Row],[Clicks]]*Marketing[[#This Row],[Conversion_Rate]],0)</f>
        <v>1</v>
      </c>
      <c r="J434" s="12">
        <f>Marketing[[#This Row],[Campaign_Cost]]/Marketing[[#This Row],[Customers]]</f>
        <v>7700</v>
      </c>
      <c r="K434" t="s">
        <v>32</v>
      </c>
      <c r="L434" t="s">
        <v>39</v>
      </c>
      <c r="M434">
        <v>123</v>
      </c>
      <c r="N434">
        <v>9889</v>
      </c>
      <c r="O434">
        <v>8</v>
      </c>
      <c r="P434" t="s">
        <v>42</v>
      </c>
      <c r="Q434" s="1">
        <v>44264</v>
      </c>
    </row>
    <row r="435" spans="1:17" x14ac:dyDescent="0.3">
      <c r="A435" t="s">
        <v>28</v>
      </c>
      <c r="B435" t="s">
        <v>47</v>
      </c>
      <c r="C435" t="s">
        <v>30</v>
      </c>
      <c r="D435" t="s">
        <v>24</v>
      </c>
      <c r="E435" t="s">
        <v>43</v>
      </c>
      <c r="F435" s="9">
        <v>0.08</v>
      </c>
      <c r="G435" s="10">
        <v>9786</v>
      </c>
      <c r="H435">
        <v>6.26</v>
      </c>
      <c r="I435" s="5">
        <f>ROUND(Marketing[[#This Row],[Clicks]]*Marketing[[#This Row],[Conversion_Rate]],0)</f>
        <v>12</v>
      </c>
      <c r="J435" s="12">
        <f>Marketing[[#This Row],[Campaign_Cost]]/Marketing[[#This Row],[Customers]]</f>
        <v>815.5</v>
      </c>
      <c r="K435" t="s">
        <v>25</v>
      </c>
      <c r="L435" t="s">
        <v>26</v>
      </c>
      <c r="M435">
        <v>147</v>
      </c>
      <c r="N435">
        <v>5764</v>
      </c>
      <c r="O435">
        <v>9</v>
      </c>
      <c r="P435" t="s">
        <v>42</v>
      </c>
      <c r="Q435" s="1">
        <v>44265</v>
      </c>
    </row>
    <row r="436" spans="1:17" x14ac:dyDescent="0.3">
      <c r="A436" t="s">
        <v>28</v>
      </c>
      <c r="B436" t="s">
        <v>29</v>
      </c>
      <c r="C436" t="s">
        <v>37</v>
      </c>
      <c r="D436" t="s">
        <v>17</v>
      </c>
      <c r="E436" t="s">
        <v>48</v>
      </c>
      <c r="F436" s="9">
        <v>0.05</v>
      </c>
      <c r="G436" s="10">
        <v>13888</v>
      </c>
      <c r="H436">
        <v>2.63</v>
      </c>
      <c r="I436" s="5">
        <f>ROUND(Marketing[[#This Row],[Clicks]]*Marketing[[#This Row],[Conversion_Rate]],0)</f>
        <v>23</v>
      </c>
      <c r="J436" s="12">
        <f>Marketing[[#This Row],[Campaign_Cost]]/Marketing[[#This Row],[Customers]]</f>
        <v>603.82608695652175</v>
      </c>
      <c r="K436" t="s">
        <v>38</v>
      </c>
      <c r="L436" t="s">
        <v>50</v>
      </c>
      <c r="M436">
        <v>469</v>
      </c>
      <c r="N436">
        <v>9923</v>
      </c>
      <c r="O436">
        <v>2</v>
      </c>
      <c r="P436" t="s">
        <v>27</v>
      </c>
      <c r="Q436" s="1">
        <v>44266</v>
      </c>
    </row>
    <row r="437" spans="1:17" x14ac:dyDescent="0.3">
      <c r="A437" t="s">
        <v>22</v>
      </c>
      <c r="B437" t="s">
        <v>47</v>
      </c>
      <c r="C437" t="s">
        <v>37</v>
      </c>
      <c r="D437" t="s">
        <v>46</v>
      </c>
      <c r="E437" t="s">
        <v>15</v>
      </c>
      <c r="F437" s="9">
        <v>0.09</v>
      </c>
      <c r="G437" s="10">
        <v>12790</v>
      </c>
      <c r="H437">
        <v>5.0599999999999996</v>
      </c>
      <c r="I437" s="5">
        <f>ROUND(Marketing[[#This Row],[Clicks]]*Marketing[[#This Row],[Conversion_Rate]],0)</f>
        <v>26</v>
      </c>
      <c r="J437" s="12">
        <f>Marketing[[#This Row],[Campaign_Cost]]/Marketing[[#This Row],[Customers]]</f>
        <v>491.92307692307691</v>
      </c>
      <c r="K437" t="s">
        <v>32</v>
      </c>
      <c r="L437" t="s">
        <v>26</v>
      </c>
      <c r="M437">
        <v>285</v>
      </c>
      <c r="N437">
        <v>4009</v>
      </c>
      <c r="O437">
        <v>1</v>
      </c>
      <c r="P437" t="s">
        <v>42</v>
      </c>
      <c r="Q437" s="1">
        <v>44267</v>
      </c>
    </row>
    <row r="438" spans="1:17" x14ac:dyDescent="0.3">
      <c r="A438" t="s">
        <v>35</v>
      </c>
      <c r="B438" t="s">
        <v>15</v>
      </c>
      <c r="C438" t="s">
        <v>16</v>
      </c>
      <c r="D438" t="s">
        <v>40</v>
      </c>
      <c r="E438" t="s">
        <v>18</v>
      </c>
      <c r="F438" s="9">
        <v>0.05</v>
      </c>
      <c r="G438" s="10">
        <v>9164</v>
      </c>
      <c r="H438">
        <v>5.7</v>
      </c>
      <c r="I438" s="5">
        <f>ROUND(Marketing[[#This Row],[Clicks]]*Marketing[[#This Row],[Conversion_Rate]],0)</f>
        <v>19</v>
      </c>
      <c r="J438" s="12">
        <f>Marketing[[#This Row],[Campaign_Cost]]/Marketing[[#This Row],[Customers]]</f>
        <v>482.31578947368422</v>
      </c>
      <c r="K438" t="s">
        <v>38</v>
      </c>
      <c r="L438" t="s">
        <v>39</v>
      </c>
      <c r="M438">
        <v>377</v>
      </c>
      <c r="N438">
        <v>1659</v>
      </c>
      <c r="O438">
        <v>5</v>
      </c>
      <c r="P438" t="s">
        <v>21</v>
      </c>
      <c r="Q438" s="1">
        <v>44268</v>
      </c>
    </row>
    <row r="439" spans="1:17" x14ac:dyDescent="0.3">
      <c r="A439" t="s">
        <v>14</v>
      </c>
      <c r="B439" t="s">
        <v>36</v>
      </c>
      <c r="C439" t="s">
        <v>37</v>
      </c>
      <c r="D439" t="s">
        <v>17</v>
      </c>
      <c r="E439" t="s">
        <v>31</v>
      </c>
      <c r="F439" s="9">
        <v>0.06</v>
      </c>
      <c r="G439" s="10">
        <v>12729</v>
      </c>
      <c r="H439">
        <v>3.44</v>
      </c>
      <c r="I439" s="5">
        <f>ROUND(Marketing[[#This Row],[Clicks]]*Marketing[[#This Row],[Conversion_Rate]],0)</f>
        <v>18</v>
      </c>
      <c r="J439" s="12">
        <f>Marketing[[#This Row],[Campaign_Cost]]/Marketing[[#This Row],[Customers]]</f>
        <v>707.16666666666663</v>
      </c>
      <c r="K439" t="s">
        <v>51</v>
      </c>
      <c r="L439" t="s">
        <v>33</v>
      </c>
      <c r="M439">
        <v>299</v>
      </c>
      <c r="N439">
        <v>2099</v>
      </c>
      <c r="O439">
        <v>2</v>
      </c>
      <c r="P439" t="s">
        <v>44</v>
      </c>
      <c r="Q439" s="1">
        <v>44269</v>
      </c>
    </row>
    <row r="440" spans="1:17" x14ac:dyDescent="0.3">
      <c r="A440" t="s">
        <v>22</v>
      </c>
      <c r="B440" t="s">
        <v>47</v>
      </c>
      <c r="C440" t="s">
        <v>52</v>
      </c>
      <c r="D440" t="s">
        <v>24</v>
      </c>
      <c r="E440" t="s">
        <v>43</v>
      </c>
      <c r="F440" s="9">
        <v>0.09</v>
      </c>
      <c r="G440" s="10">
        <v>19698</v>
      </c>
      <c r="H440">
        <v>4.88</v>
      </c>
      <c r="I440" s="5">
        <f>ROUND(Marketing[[#This Row],[Clicks]]*Marketing[[#This Row],[Conversion_Rate]],0)</f>
        <v>87</v>
      </c>
      <c r="J440" s="12">
        <f>Marketing[[#This Row],[Campaign_Cost]]/Marketing[[#This Row],[Customers]]</f>
        <v>226.41379310344828</v>
      </c>
      <c r="K440" t="s">
        <v>32</v>
      </c>
      <c r="L440" t="s">
        <v>20</v>
      </c>
      <c r="M440">
        <v>963</v>
      </c>
      <c r="N440">
        <v>5724</v>
      </c>
      <c r="O440">
        <v>3</v>
      </c>
      <c r="P440" t="s">
        <v>27</v>
      </c>
      <c r="Q440" s="1">
        <v>44270</v>
      </c>
    </row>
    <row r="441" spans="1:17" x14ac:dyDescent="0.3">
      <c r="A441" t="s">
        <v>28</v>
      </c>
      <c r="B441" t="s">
        <v>45</v>
      </c>
      <c r="C441" t="s">
        <v>30</v>
      </c>
      <c r="D441" t="s">
        <v>46</v>
      </c>
      <c r="E441" t="s">
        <v>43</v>
      </c>
      <c r="F441" s="9">
        <v>0.06</v>
      </c>
      <c r="G441" s="10">
        <v>5680</v>
      </c>
      <c r="H441">
        <v>7.68</v>
      </c>
      <c r="I441" s="5">
        <f>ROUND(Marketing[[#This Row],[Clicks]]*Marketing[[#This Row],[Conversion_Rate]],0)</f>
        <v>17</v>
      </c>
      <c r="J441" s="12">
        <f>Marketing[[#This Row],[Campaign_Cost]]/Marketing[[#This Row],[Customers]]</f>
        <v>334.11764705882354</v>
      </c>
      <c r="K441" t="s">
        <v>32</v>
      </c>
      <c r="L441" t="s">
        <v>20</v>
      </c>
      <c r="M441">
        <v>279</v>
      </c>
      <c r="N441">
        <v>6815</v>
      </c>
      <c r="O441">
        <v>6</v>
      </c>
      <c r="P441" t="s">
        <v>34</v>
      </c>
      <c r="Q441" s="1">
        <v>44271</v>
      </c>
    </row>
    <row r="442" spans="1:17" x14ac:dyDescent="0.3">
      <c r="A442" t="s">
        <v>14</v>
      </c>
      <c r="B442" t="s">
        <v>45</v>
      </c>
      <c r="C442" t="s">
        <v>30</v>
      </c>
      <c r="D442" t="s">
        <v>46</v>
      </c>
      <c r="E442" t="s">
        <v>48</v>
      </c>
      <c r="F442" s="9">
        <v>0.11</v>
      </c>
      <c r="G442" s="10">
        <v>12492</v>
      </c>
      <c r="H442">
        <v>2.5499999999999998</v>
      </c>
      <c r="I442" s="5">
        <f>ROUND(Marketing[[#This Row],[Clicks]]*Marketing[[#This Row],[Conversion_Rate]],0)</f>
        <v>72</v>
      </c>
      <c r="J442" s="12">
        <f>Marketing[[#This Row],[Campaign_Cost]]/Marketing[[#This Row],[Customers]]</f>
        <v>173.5</v>
      </c>
      <c r="K442" t="s">
        <v>25</v>
      </c>
      <c r="L442" t="s">
        <v>50</v>
      </c>
      <c r="M442">
        <v>656</v>
      </c>
      <c r="N442">
        <v>2093</v>
      </c>
      <c r="O442">
        <v>6</v>
      </c>
      <c r="P442" t="s">
        <v>27</v>
      </c>
      <c r="Q442" s="1">
        <v>44272</v>
      </c>
    </row>
    <row r="443" spans="1:17" x14ac:dyDescent="0.3">
      <c r="A443" t="s">
        <v>22</v>
      </c>
      <c r="B443" t="s">
        <v>29</v>
      </c>
      <c r="C443" t="s">
        <v>23</v>
      </c>
      <c r="D443" t="s">
        <v>17</v>
      </c>
      <c r="E443" t="s">
        <v>15</v>
      </c>
      <c r="F443" s="9">
        <v>0.15</v>
      </c>
      <c r="G443" s="10">
        <v>6292</v>
      </c>
      <c r="H443">
        <v>2.64</v>
      </c>
      <c r="I443" s="5">
        <f>ROUND(Marketing[[#This Row],[Clicks]]*Marketing[[#This Row],[Conversion_Rate]],0)</f>
        <v>70</v>
      </c>
      <c r="J443" s="12">
        <f>Marketing[[#This Row],[Campaign_Cost]]/Marketing[[#This Row],[Customers]]</f>
        <v>89.885714285714286</v>
      </c>
      <c r="K443" t="s">
        <v>19</v>
      </c>
      <c r="L443" t="s">
        <v>39</v>
      </c>
      <c r="M443">
        <v>466</v>
      </c>
      <c r="N443">
        <v>8207</v>
      </c>
      <c r="O443">
        <v>8</v>
      </c>
      <c r="P443" t="s">
        <v>42</v>
      </c>
      <c r="Q443" s="1">
        <v>44273</v>
      </c>
    </row>
    <row r="444" spans="1:17" x14ac:dyDescent="0.3">
      <c r="A444" t="s">
        <v>49</v>
      </c>
      <c r="B444" t="s">
        <v>29</v>
      </c>
      <c r="C444" t="s">
        <v>16</v>
      </c>
      <c r="D444" t="s">
        <v>17</v>
      </c>
      <c r="E444" t="s">
        <v>48</v>
      </c>
      <c r="F444" s="9">
        <v>7.0000000000000007E-2</v>
      </c>
      <c r="G444" s="10">
        <v>19217</v>
      </c>
      <c r="H444">
        <v>7.39</v>
      </c>
      <c r="I444" s="5">
        <f>ROUND(Marketing[[#This Row],[Clicks]]*Marketing[[#This Row],[Conversion_Rate]],0)</f>
        <v>55</v>
      </c>
      <c r="J444" s="12">
        <f>Marketing[[#This Row],[Campaign_Cost]]/Marketing[[#This Row],[Customers]]</f>
        <v>349.4</v>
      </c>
      <c r="K444" t="s">
        <v>38</v>
      </c>
      <c r="L444" t="s">
        <v>26</v>
      </c>
      <c r="M444">
        <v>789</v>
      </c>
      <c r="N444">
        <v>5994</v>
      </c>
      <c r="O444">
        <v>10</v>
      </c>
      <c r="P444" t="s">
        <v>44</v>
      </c>
      <c r="Q444" s="1">
        <v>44274</v>
      </c>
    </row>
    <row r="445" spans="1:17" x14ac:dyDescent="0.3">
      <c r="A445" t="s">
        <v>22</v>
      </c>
      <c r="B445" t="s">
        <v>29</v>
      </c>
      <c r="C445" t="s">
        <v>52</v>
      </c>
      <c r="D445" t="s">
        <v>46</v>
      </c>
      <c r="E445" t="s">
        <v>15</v>
      </c>
      <c r="F445" s="9">
        <v>0.12</v>
      </c>
      <c r="G445" s="10">
        <v>15432</v>
      </c>
      <c r="H445">
        <v>4.9000000000000004</v>
      </c>
      <c r="I445" s="5">
        <f>ROUND(Marketing[[#This Row],[Clicks]]*Marketing[[#This Row],[Conversion_Rate]],0)</f>
        <v>62</v>
      </c>
      <c r="J445" s="12">
        <f>Marketing[[#This Row],[Campaign_Cost]]/Marketing[[#This Row],[Customers]]</f>
        <v>248.90322580645162</v>
      </c>
      <c r="K445" t="s">
        <v>51</v>
      </c>
      <c r="L445" t="s">
        <v>26</v>
      </c>
      <c r="M445">
        <v>520</v>
      </c>
      <c r="N445">
        <v>5179</v>
      </c>
      <c r="O445">
        <v>2</v>
      </c>
      <c r="P445" t="s">
        <v>27</v>
      </c>
      <c r="Q445" s="1">
        <v>44275</v>
      </c>
    </row>
    <row r="446" spans="1:17" x14ac:dyDescent="0.3">
      <c r="A446" t="s">
        <v>49</v>
      </c>
      <c r="B446" t="s">
        <v>45</v>
      </c>
      <c r="C446" t="s">
        <v>37</v>
      </c>
      <c r="D446" t="s">
        <v>46</v>
      </c>
      <c r="E446" t="s">
        <v>41</v>
      </c>
      <c r="F446" s="9">
        <v>7.0000000000000007E-2</v>
      </c>
      <c r="G446" s="10">
        <v>8593</v>
      </c>
      <c r="H446">
        <v>7.13</v>
      </c>
      <c r="I446" s="5">
        <f>ROUND(Marketing[[#This Row],[Clicks]]*Marketing[[#This Row],[Conversion_Rate]],0)</f>
        <v>14</v>
      </c>
      <c r="J446" s="12">
        <f>Marketing[[#This Row],[Campaign_Cost]]/Marketing[[#This Row],[Customers]]</f>
        <v>613.78571428571433</v>
      </c>
      <c r="K446" t="s">
        <v>25</v>
      </c>
      <c r="L446" t="s">
        <v>50</v>
      </c>
      <c r="M446">
        <v>200</v>
      </c>
      <c r="N446">
        <v>6668</v>
      </c>
      <c r="O446">
        <v>5</v>
      </c>
      <c r="P446" t="s">
        <v>42</v>
      </c>
      <c r="Q446" s="1">
        <v>44276</v>
      </c>
    </row>
    <row r="447" spans="1:17" x14ac:dyDescent="0.3">
      <c r="A447" t="s">
        <v>28</v>
      </c>
      <c r="B447" t="s">
        <v>45</v>
      </c>
      <c r="C447" t="s">
        <v>37</v>
      </c>
      <c r="D447" t="s">
        <v>17</v>
      </c>
      <c r="E447" t="s">
        <v>48</v>
      </c>
      <c r="F447" s="9">
        <v>0.09</v>
      </c>
      <c r="G447" s="10">
        <v>9723</v>
      </c>
      <c r="H447">
        <v>5.0999999999999996</v>
      </c>
      <c r="I447" s="5">
        <f>ROUND(Marketing[[#This Row],[Clicks]]*Marketing[[#This Row],[Conversion_Rate]],0)</f>
        <v>52</v>
      </c>
      <c r="J447" s="12">
        <f>Marketing[[#This Row],[Campaign_Cost]]/Marketing[[#This Row],[Customers]]</f>
        <v>186.98076923076923</v>
      </c>
      <c r="K447" t="s">
        <v>32</v>
      </c>
      <c r="L447" t="s">
        <v>39</v>
      </c>
      <c r="M447">
        <v>577</v>
      </c>
      <c r="N447">
        <v>9201</v>
      </c>
      <c r="O447">
        <v>9</v>
      </c>
      <c r="P447" t="s">
        <v>44</v>
      </c>
      <c r="Q447" s="1">
        <v>44277</v>
      </c>
    </row>
    <row r="448" spans="1:17" x14ac:dyDescent="0.3">
      <c r="A448" t="s">
        <v>28</v>
      </c>
      <c r="B448" t="s">
        <v>15</v>
      </c>
      <c r="C448" t="s">
        <v>37</v>
      </c>
      <c r="D448" t="s">
        <v>40</v>
      </c>
      <c r="E448" t="s">
        <v>18</v>
      </c>
      <c r="F448" s="9">
        <v>0.11</v>
      </c>
      <c r="G448" s="10">
        <v>19974</v>
      </c>
      <c r="H448">
        <v>5.82</v>
      </c>
      <c r="I448" s="5">
        <f>ROUND(Marketing[[#This Row],[Clicks]]*Marketing[[#This Row],[Conversion_Rate]],0)</f>
        <v>64</v>
      </c>
      <c r="J448" s="12">
        <f>Marketing[[#This Row],[Campaign_Cost]]/Marketing[[#This Row],[Customers]]</f>
        <v>312.09375</v>
      </c>
      <c r="K448" t="s">
        <v>51</v>
      </c>
      <c r="L448" t="s">
        <v>20</v>
      </c>
      <c r="M448">
        <v>582</v>
      </c>
      <c r="N448">
        <v>2461</v>
      </c>
      <c r="O448">
        <v>10</v>
      </c>
      <c r="P448" t="s">
        <v>34</v>
      </c>
      <c r="Q448" s="1">
        <v>44278</v>
      </c>
    </row>
    <row r="449" spans="1:17" x14ac:dyDescent="0.3">
      <c r="A449" t="s">
        <v>49</v>
      </c>
      <c r="B449" t="s">
        <v>29</v>
      </c>
      <c r="C449" t="s">
        <v>52</v>
      </c>
      <c r="D449" t="s">
        <v>24</v>
      </c>
      <c r="E449" t="s">
        <v>43</v>
      </c>
      <c r="F449" s="9">
        <v>0.04</v>
      </c>
      <c r="G449" s="10">
        <v>18780</v>
      </c>
      <c r="H449">
        <v>3.56</v>
      </c>
      <c r="I449" s="5">
        <f>ROUND(Marketing[[#This Row],[Clicks]]*Marketing[[#This Row],[Conversion_Rate]],0)</f>
        <v>9</v>
      </c>
      <c r="J449" s="12">
        <f>Marketing[[#This Row],[Campaign_Cost]]/Marketing[[#This Row],[Customers]]</f>
        <v>2086.6666666666665</v>
      </c>
      <c r="K449" t="s">
        <v>38</v>
      </c>
      <c r="L449" t="s">
        <v>39</v>
      </c>
      <c r="M449">
        <v>221</v>
      </c>
      <c r="N449">
        <v>4514</v>
      </c>
      <c r="O449">
        <v>8</v>
      </c>
      <c r="P449" t="s">
        <v>44</v>
      </c>
      <c r="Q449" s="1">
        <v>44279</v>
      </c>
    </row>
    <row r="450" spans="1:17" x14ac:dyDescent="0.3">
      <c r="A450" t="s">
        <v>14</v>
      </c>
      <c r="B450" t="s">
        <v>29</v>
      </c>
      <c r="C450" t="s">
        <v>23</v>
      </c>
      <c r="D450" t="s">
        <v>24</v>
      </c>
      <c r="E450" t="s">
        <v>31</v>
      </c>
      <c r="F450" s="9">
        <v>0.14000000000000001</v>
      </c>
      <c r="G450" s="10">
        <v>16594</v>
      </c>
      <c r="H450">
        <v>4.6900000000000004</v>
      </c>
      <c r="I450" s="5">
        <f>ROUND(Marketing[[#This Row],[Clicks]]*Marketing[[#This Row],[Conversion_Rate]],0)</f>
        <v>108</v>
      </c>
      <c r="J450" s="12">
        <f>Marketing[[#This Row],[Campaign_Cost]]/Marketing[[#This Row],[Customers]]</f>
        <v>153.64814814814815</v>
      </c>
      <c r="K450" t="s">
        <v>38</v>
      </c>
      <c r="L450" t="s">
        <v>39</v>
      </c>
      <c r="M450">
        <v>773</v>
      </c>
      <c r="N450">
        <v>3018</v>
      </c>
      <c r="O450">
        <v>3</v>
      </c>
      <c r="P450" t="s">
        <v>27</v>
      </c>
      <c r="Q450" s="1">
        <v>44280</v>
      </c>
    </row>
    <row r="451" spans="1:17" x14ac:dyDescent="0.3">
      <c r="A451" t="s">
        <v>22</v>
      </c>
      <c r="B451" t="s">
        <v>45</v>
      </c>
      <c r="C451" t="s">
        <v>16</v>
      </c>
      <c r="D451" t="s">
        <v>40</v>
      </c>
      <c r="E451" t="s">
        <v>48</v>
      </c>
      <c r="F451" s="9">
        <v>0.11</v>
      </c>
      <c r="G451" s="10">
        <v>17226</v>
      </c>
      <c r="H451">
        <v>4.09</v>
      </c>
      <c r="I451" s="5">
        <f>ROUND(Marketing[[#This Row],[Clicks]]*Marketing[[#This Row],[Conversion_Rate]],0)</f>
        <v>36</v>
      </c>
      <c r="J451" s="12">
        <f>Marketing[[#This Row],[Campaign_Cost]]/Marketing[[#This Row],[Customers]]</f>
        <v>478.5</v>
      </c>
      <c r="K451" t="s">
        <v>38</v>
      </c>
      <c r="L451" t="s">
        <v>20</v>
      </c>
      <c r="M451">
        <v>331</v>
      </c>
      <c r="N451">
        <v>5699</v>
      </c>
      <c r="O451">
        <v>6</v>
      </c>
      <c r="P451" t="s">
        <v>42</v>
      </c>
      <c r="Q451" s="1">
        <v>44281</v>
      </c>
    </row>
    <row r="452" spans="1:17" x14ac:dyDescent="0.3">
      <c r="A452" t="s">
        <v>28</v>
      </c>
      <c r="B452" t="s">
        <v>47</v>
      </c>
      <c r="C452" t="s">
        <v>16</v>
      </c>
      <c r="D452" t="s">
        <v>40</v>
      </c>
      <c r="E452" t="s">
        <v>41</v>
      </c>
      <c r="F452" s="9">
        <v>0.11</v>
      </c>
      <c r="G452" s="10">
        <v>15664</v>
      </c>
      <c r="H452">
        <v>3.76</v>
      </c>
      <c r="I452" s="5">
        <f>ROUND(Marketing[[#This Row],[Clicks]]*Marketing[[#This Row],[Conversion_Rate]],0)</f>
        <v>35</v>
      </c>
      <c r="J452" s="12">
        <f>Marketing[[#This Row],[Campaign_Cost]]/Marketing[[#This Row],[Customers]]</f>
        <v>447.54285714285714</v>
      </c>
      <c r="K452" t="s">
        <v>19</v>
      </c>
      <c r="L452" t="s">
        <v>26</v>
      </c>
      <c r="M452">
        <v>316</v>
      </c>
      <c r="N452">
        <v>9996</v>
      </c>
      <c r="O452">
        <v>5</v>
      </c>
      <c r="P452" t="s">
        <v>27</v>
      </c>
      <c r="Q452" s="1">
        <v>44282</v>
      </c>
    </row>
    <row r="453" spans="1:17" x14ac:dyDescent="0.3">
      <c r="A453" t="s">
        <v>49</v>
      </c>
      <c r="B453" t="s">
        <v>15</v>
      </c>
      <c r="C453" t="s">
        <v>16</v>
      </c>
      <c r="D453" t="s">
        <v>40</v>
      </c>
      <c r="E453" t="s">
        <v>43</v>
      </c>
      <c r="F453" s="9">
        <v>0.04</v>
      </c>
      <c r="G453" s="10">
        <v>10403</v>
      </c>
      <c r="H453">
        <v>5.87</v>
      </c>
      <c r="I453" s="5">
        <f>ROUND(Marketing[[#This Row],[Clicks]]*Marketing[[#This Row],[Conversion_Rate]],0)</f>
        <v>12</v>
      </c>
      <c r="J453" s="12">
        <f>Marketing[[#This Row],[Campaign_Cost]]/Marketing[[#This Row],[Customers]]</f>
        <v>866.91666666666663</v>
      </c>
      <c r="K453" t="s">
        <v>32</v>
      </c>
      <c r="L453" t="s">
        <v>39</v>
      </c>
      <c r="M453">
        <v>301</v>
      </c>
      <c r="N453">
        <v>5921</v>
      </c>
      <c r="O453">
        <v>8</v>
      </c>
      <c r="P453" t="s">
        <v>21</v>
      </c>
      <c r="Q453" s="1">
        <v>44283</v>
      </c>
    </row>
    <row r="454" spans="1:17" x14ac:dyDescent="0.3">
      <c r="A454" t="s">
        <v>28</v>
      </c>
      <c r="B454" t="s">
        <v>29</v>
      </c>
      <c r="C454" t="s">
        <v>52</v>
      </c>
      <c r="D454" t="s">
        <v>24</v>
      </c>
      <c r="E454" t="s">
        <v>31</v>
      </c>
      <c r="F454" s="9">
        <v>0.02</v>
      </c>
      <c r="G454" s="10">
        <v>9712</v>
      </c>
      <c r="H454">
        <v>4.1900000000000004</v>
      </c>
      <c r="I454" s="5">
        <f>ROUND(Marketing[[#This Row],[Clicks]]*Marketing[[#This Row],[Conversion_Rate]],0)</f>
        <v>2</v>
      </c>
      <c r="J454" s="12">
        <f>Marketing[[#This Row],[Campaign_Cost]]/Marketing[[#This Row],[Customers]]</f>
        <v>4856</v>
      </c>
      <c r="K454" t="s">
        <v>38</v>
      </c>
      <c r="L454" t="s">
        <v>33</v>
      </c>
      <c r="M454">
        <v>116</v>
      </c>
      <c r="N454">
        <v>6836</v>
      </c>
      <c r="O454">
        <v>7</v>
      </c>
      <c r="P454" t="s">
        <v>44</v>
      </c>
      <c r="Q454" s="1">
        <v>44284</v>
      </c>
    </row>
    <row r="455" spans="1:17" x14ac:dyDescent="0.3">
      <c r="A455" t="s">
        <v>28</v>
      </c>
      <c r="B455" t="s">
        <v>47</v>
      </c>
      <c r="C455" t="s">
        <v>23</v>
      </c>
      <c r="D455" t="s">
        <v>40</v>
      </c>
      <c r="E455" t="s">
        <v>18</v>
      </c>
      <c r="F455" s="9">
        <v>0.12</v>
      </c>
      <c r="G455" s="10">
        <v>17117</v>
      </c>
      <c r="H455">
        <v>7.41</v>
      </c>
      <c r="I455" s="5">
        <f>ROUND(Marketing[[#This Row],[Clicks]]*Marketing[[#This Row],[Conversion_Rate]],0)</f>
        <v>118</v>
      </c>
      <c r="J455" s="12">
        <f>Marketing[[#This Row],[Campaign_Cost]]/Marketing[[#This Row],[Customers]]</f>
        <v>145.0593220338983</v>
      </c>
      <c r="K455" t="s">
        <v>51</v>
      </c>
      <c r="L455" t="s">
        <v>50</v>
      </c>
      <c r="M455">
        <v>987</v>
      </c>
      <c r="N455">
        <v>9000</v>
      </c>
      <c r="O455">
        <v>4</v>
      </c>
      <c r="P455" t="s">
        <v>42</v>
      </c>
      <c r="Q455" s="1">
        <v>44285</v>
      </c>
    </row>
    <row r="456" spans="1:17" x14ac:dyDescent="0.3">
      <c r="A456" t="s">
        <v>28</v>
      </c>
      <c r="B456" t="s">
        <v>29</v>
      </c>
      <c r="C456" t="s">
        <v>52</v>
      </c>
      <c r="D456" t="s">
        <v>24</v>
      </c>
      <c r="E456" t="s">
        <v>18</v>
      </c>
      <c r="F456" s="9">
        <v>0.06</v>
      </c>
      <c r="G456" s="10">
        <v>13593</v>
      </c>
      <c r="H456">
        <v>5.72</v>
      </c>
      <c r="I456" s="5">
        <f>ROUND(Marketing[[#This Row],[Clicks]]*Marketing[[#This Row],[Conversion_Rate]],0)</f>
        <v>41</v>
      </c>
      <c r="J456" s="12">
        <f>Marketing[[#This Row],[Campaign_Cost]]/Marketing[[#This Row],[Customers]]</f>
        <v>331.53658536585368</v>
      </c>
      <c r="K456" t="s">
        <v>32</v>
      </c>
      <c r="L456" t="s">
        <v>50</v>
      </c>
      <c r="M456">
        <v>690</v>
      </c>
      <c r="N456">
        <v>1698</v>
      </c>
      <c r="O456">
        <v>3</v>
      </c>
      <c r="P456" t="s">
        <v>42</v>
      </c>
      <c r="Q456" s="1">
        <v>44286</v>
      </c>
    </row>
    <row r="457" spans="1:17" x14ac:dyDescent="0.3">
      <c r="A457" t="s">
        <v>49</v>
      </c>
      <c r="B457" t="s">
        <v>15</v>
      </c>
      <c r="C457" t="s">
        <v>16</v>
      </c>
      <c r="D457" t="s">
        <v>40</v>
      </c>
      <c r="E457" t="s">
        <v>41</v>
      </c>
      <c r="F457" s="9">
        <v>0.05</v>
      </c>
      <c r="G457" s="10">
        <v>18167</v>
      </c>
      <c r="H457">
        <v>3.16</v>
      </c>
      <c r="I457" s="5">
        <f>ROUND(Marketing[[#This Row],[Clicks]]*Marketing[[#This Row],[Conversion_Rate]],0)</f>
        <v>46</v>
      </c>
      <c r="J457" s="12">
        <f>Marketing[[#This Row],[Campaign_Cost]]/Marketing[[#This Row],[Customers]]</f>
        <v>394.93478260869563</v>
      </c>
      <c r="K457" t="s">
        <v>32</v>
      </c>
      <c r="L457" t="s">
        <v>33</v>
      </c>
      <c r="M457">
        <v>917</v>
      </c>
      <c r="N457">
        <v>8122</v>
      </c>
      <c r="O457">
        <v>6</v>
      </c>
      <c r="P457" t="s">
        <v>34</v>
      </c>
      <c r="Q457" s="1">
        <v>44287</v>
      </c>
    </row>
    <row r="458" spans="1:17" x14ac:dyDescent="0.3">
      <c r="A458" t="s">
        <v>28</v>
      </c>
      <c r="B458" t="s">
        <v>45</v>
      </c>
      <c r="C458" t="s">
        <v>16</v>
      </c>
      <c r="D458" t="s">
        <v>24</v>
      </c>
      <c r="E458" t="s">
        <v>48</v>
      </c>
      <c r="F458" s="9">
        <v>0.12</v>
      </c>
      <c r="G458" s="10">
        <v>11054</v>
      </c>
      <c r="H458">
        <v>4.37</v>
      </c>
      <c r="I458" s="5">
        <f>ROUND(Marketing[[#This Row],[Clicks]]*Marketing[[#This Row],[Conversion_Rate]],0)</f>
        <v>27</v>
      </c>
      <c r="J458" s="12">
        <f>Marketing[[#This Row],[Campaign_Cost]]/Marketing[[#This Row],[Customers]]</f>
        <v>409.40740740740739</v>
      </c>
      <c r="K458" t="s">
        <v>19</v>
      </c>
      <c r="L458" t="s">
        <v>26</v>
      </c>
      <c r="M458">
        <v>221</v>
      </c>
      <c r="N458">
        <v>5287</v>
      </c>
      <c r="O458">
        <v>1</v>
      </c>
      <c r="P458" t="s">
        <v>42</v>
      </c>
      <c r="Q458" s="1">
        <v>44288</v>
      </c>
    </row>
    <row r="459" spans="1:17" x14ac:dyDescent="0.3">
      <c r="A459" t="s">
        <v>14</v>
      </c>
      <c r="B459" t="s">
        <v>45</v>
      </c>
      <c r="C459" t="s">
        <v>23</v>
      </c>
      <c r="D459" t="s">
        <v>24</v>
      </c>
      <c r="E459" t="s">
        <v>31</v>
      </c>
      <c r="F459" s="9">
        <v>0.02</v>
      </c>
      <c r="G459" s="10">
        <v>6728</v>
      </c>
      <c r="H459">
        <v>6.29</v>
      </c>
      <c r="I459" s="5">
        <f>ROUND(Marketing[[#This Row],[Clicks]]*Marketing[[#This Row],[Conversion_Rate]],0)</f>
        <v>17</v>
      </c>
      <c r="J459" s="12">
        <f>Marketing[[#This Row],[Campaign_Cost]]/Marketing[[#This Row],[Customers]]</f>
        <v>395.76470588235293</v>
      </c>
      <c r="K459" t="s">
        <v>19</v>
      </c>
      <c r="L459" t="s">
        <v>20</v>
      </c>
      <c r="M459">
        <v>856</v>
      </c>
      <c r="N459">
        <v>7061</v>
      </c>
      <c r="O459">
        <v>8</v>
      </c>
      <c r="P459" t="s">
        <v>34</v>
      </c>
      <c r="Q459" s="1">
        <v>44289</v>
      </c>
    </row>
    <row r="460" spans="1:17" x14ac:dyDescent="0.3">
      <c r="A460" t="s">
        <v>22</v>
      </c>
      <c r="B460" t="s">
        <v>29</v>
      </c>
      <c r="C460" t="s">
        <v>23</v>
      </c>
      <c r="D460" t="s">
        <v>24</v>
      </c>
      <c r="E460" t="s">
        <v>31</v>
      </c>
      <c r="F460" s="9">
        <v>0.03</v>
      </c>
      <c r="G460" s="10">
        <v>10914</v>
      </c>
      <c r="H460">
        <v>3.92</v>
      </c>
      <c r="I460" s="5">
        <f>ROUND(Marketing[[#This Row],[Clicks]]*Marketing[[#This Row],[Conversion_Rate]],0)</f>
        <v>28</v>
      </c>
      <c r="J460" s="12">
        <f>Marketing[[#This Row],[Campaign_Cost]]/Marketing[[#This Row],[Customers]]</f>
        <v>389.78571428571428</v>
      </c>
      <c r="K460" t="s">
        <v>32</v>
      </c>
      <c r="L460" t="s">
        <v>26</v>
      </c>
      <c r="M460">
        <v>933</v>
      </c>
      <c r="N460">
        <v>3982</v>
      </c>
      <c r="O460">
        <v>8</v>
      </c>
      <c r="P460" t="s">
        <v>44</v>
      </c>
      <c r="Q460" s="1">
        <v>44290</v>
      </c>
    </row>
    <row r="461" spans="1:17" x14ac:dyDescent="0.3">
      <c r="A461" t="s">
        <v>35</v>
      </c>
      <c r="B461" t="s">
        <v>15</v>
      </c>
      <c r="C461" t="s">
        <v>23</v>
      </c>
      <c r="D461" t="s">
        <v>40</v>
      </c>
      <c r="E461" t="s">
        <v>18</v>
      </c>
      <c r="F461" s="9">
        <v>0.11</v>
      </c>
      <c r="G461" s="10">
        <v>17313</v>
      </c>
      <c r="H461">
        <v>5.81</v>
      </c>
      <c r="I461" s="5">
        <f>ROUND(Marketing[[#This Row],[Clicks]]*Marketing[[#This Row],[Conversion_Rate]],0)</f>
        <v>11</v>
      </c>
      <c r="J461" s="12">
        <f>Marketing[[#This Row],[Campaign_Cost]]/Marketing[[#This Row],[Customers]]</f>
        <v>1573.909090909091</v>
      </c>
      <c r="K461" t="s">
        <v>51</v>
      </c>
      <c r="L461" t="s">
        <v>33</v>
      </c>
      <c r="M461">
        <v>104</v>
      </c>
      <c r="N461">
        <v>6210</v>
      </c>
      <c r="O461">
        <v>5</v>
      </c>
      <c r="P461" t="s">
        <v>42</v>
      </c>
      <c r="Q461" s="1">
        <v>44291</v>
      </c>
    </row>
    <row r="462" spans="1:17" x14ac:dyDescent="0.3">
      <c r="A462" t="s">
        <v>14</v>
      </c>
      <c r="B462" t="s">
        <v>36</v>
      </c>
      <c r="C462" t="s">
        <v>23</v>
      </c>
      <c r="D462" t="s">
        <v>40</v>
      </c>
      <c r="E462" t="s">
        <v>31</v>
      </c>
      <c r="F462" s="9">
        <v>0.12</v>
      </c>
      <c r="G462" s="10">
        <v>11095</v>
      </c>
      <c r="H462">
        <v>3.59</v>
      </c>
      <c r="I462" s="5">
        <f>ROUND(Marketing[[#This Row],[Clicks]]*Marketing[[#This Row],[Conversion_Rate]],0)</f>
        <v>119</v>
      </c>
      <c r="J462" s="12">
        <f>Marketing[[#This Row],[Campaign_Cost]]/Marketing[[#This Row],[Customers]]</f>
        <v>93.235294117647058</v>
      </c>
      <c r="K462" t="s">
        <v>25</v>
      </c>
      <c r="L462" t="s">
        <v>20</v>
      </c>
      <c r="M462">
        <v>988</v>
      </c>
      <c r="N462">
        <v>1689</v>
      </c>
      <c r="O462">
        <v>5</v>
      </c>
      <c r="P462" t="s">
        <v>34</v>
      </c>
      <c r="Q462" s="1">
        <v>44292</v>
      </c>
    </row>
    <row r="463" spans="1:17" x14ac:dyDescent="0.3">
      <c r="A463" t="s">
        <v>28</v>
      </c>
      <c r="B463" t="s">
        <v>15</v>
      </c>
      <c r="C463" t="s">
        <v>23</v>
      </c>
      <c r="D463" t="s">
        <v>24</v>
      </c>
      <c r="E463" t="s">
        <v>18</v>
      </c>
      <c r="F463" s="9">
        <v>0.13</v>
      </c>
      <c r="G463" s="10">
        <v>5130</v>
      </c>
      <c r="H463">
        <v>5.15</v>
      </c>
      <c r="I463" s="5">
        <f>ROUND(Marketing[[#This Row],[Clicks]]*Marketing[[#This Row],[Conversion_Rate]],0)</f>
        <v>112</v>
      </c>
      <c r="J463" s="12">
        <f>Marketing[[#This Row],[Campaign_Cost]]/Marketing[[#This Row],[Customers]]</f>
        <v>45.803571428571431</v>
      </c>
      <c r="K463" t="s">
        <v>51</v>
      </c>
      <c r="L463" t="s">
        <v>20</v>
      </c>
      <c r="M463">
        <v>860</v>
      </c>
      <c r="N463">
        <v>6784</v>
      </c>
      <c r="O463">
        <v>5</v>
      </c>
      <c r="P463" t="s">
        <v>21</v>
      </c>
      <c r="Q463" s="1">
        <v>44293</v>
      </c>
    </row>
    <row r="464" spans="1:17" x14ac:dyDescent="0.3">
      <c r="A464" t="s">
        <v>49</v>
      </c>
      <c r="B464" t="s">
        <v>47</v>
      </c>
      <c r="C464" t="s">
        <v>30</v>
      </c>
      <c r="D464" t="s">
        <v>24</v>
      </c>
      <c r="E464" t="s">
        <v>31</v>
      </c>
      <c r="F464" s="9">
        <v>0.02</v>
      </c>
      <c r="G464" s="10">
        <v>13482</v>
      </c>
      <c r="H464">
        <v>3.17</v>
      </c>
      <c r="I464" s="5">
        <f>ROUND(Marketing[[#This Row],[Clicks]]*Marketing[[#This Row],[Conversion_Rate]],0)</f>
        <v>16</v>
      </c>
      <c r="J464" s="12">
        <f>Marketing[[#This Row],[Campaign_Cost]]/Marketing[[#This Row],[Customers]]</f>
        <v>842.625</v>
      </c>
      <c r="K464" t="s">
        <v>51</v>
      </c>
      <c r="L464" t="s">
        <v>50</v>
      </c>
      <c r="M464">
        <v>794</v>
      </c>
      <c r="N464">
        <v>7657</v>
      </c>
      <c r="O464">
        <v>6</v>
      </c>
      <c r="P464" t="s">
        <v>44</v>
      </c>
      <c r="Q464" s="1">
        <v>44294</v>
      </c>
    </row>
    <row r="465" spans="1:17" x14ac:dyDescent="0.3">
      <c r="A465" t="s">
        <v>14</v>
      </c>
      <c r="B465" t="s">
        <v>36</v>
      </c>
      <c r="C465" t="s">
        <v>23</v>
      </c>
      <c r="D465" t="s">
        <v>17</v>
      </c>
      <c r="E465" t="s">
        <v>31</v>
      </c>
      <c r="F465" s="9">
        <v>0.01</v>
      </c>
      <c r="G465" s="10">
        <v>18932</v>
      </c>
      <c r="H465">
        <v>2.64</v>
      </c>
      <c r="I465" s="5">
        <f>ROUND(Marketing[[#This Row],[Clicks]]*Marketing[[#This Row],[Conversion_Rate]],0)</f>
        <v>4</v>
      </c>
      <c r="J465" s="12">
        <f>Marketing[[#This Row],[Campaign_Cost]]/Marketing[[#This Row],[Customers]]</f>
        <v>4733</v>
      </c>
      <c r="K465" t="s">
        <v>25</v>
      </c>
      <c r="L465" t="s">
        <v>50</v>
      </c>
      <c r="M465">
        <v>447</v>
      </c>
      <c r="N465">
        <v>9257</v>
      </c>
      <c r="O465">
        <v>3</v>
      </c>
      <c r="P465" t="s">
        <v>21</v>
      </c>
      <c r="Q465" s="1">
        <v>44295</v>
      </c>
    </row>
    <row r="466" spans="1:17" x14ac:dyDescent="0.3">
      <c r="A466" t="s">
        <v>49</v>
      </c>
      <c r="B466" t="s">
        <v>47</v>
      </c>
      <c r="C466" t="s">
        <v>52</v>
      </c>
      <c r="D466" t="s">
        <v>40</v>
      </c>
      <c r="E466" t="s">
        <v>48</v>
      </c>
      <c r="F466" s="9">
        <v>0.05</v>
      </c>
      <c r="G466" s="10">
        <v>16093</v>
      </c>
      <c r="H466">
        <v>6.53</v>
      </c>
      <c r="I466" s="5">
        <f>ROUND(Marketing[[#This Row],[Clicks]]*Marketing[[#This Row],[Conversion_Rate]],0)</f>
        <v>31</v>
      </c>
      <c r="J466" s="12">
        <f>Marketing[[#This Row],[Campaign_Cost]]/Marketing[[#This Row],[Customers]]</f>
        <v>519.12903225806451</v>
      </c>
      <c r="K466" t="s">
        <v>25</v>
      </c>
      <c r="L466" t="s">
        <v>39</v>
      </c>
      <c r="M466">
        <v>610</v>
      </c>
      <c r="N466">
        <v>5628</v>
      </c>
      <c r="O466">
        <v>10</v>
      </c>
      <c r="P466" t="s">
        <v>27</v>
      </c>
      <c r="Q466" s="1">
        <v>44296</v>
      </c>
    </row>
    <row r="467" spans="1:17" x14ac:dyDescent="0.3">
      <c r="A467" t="s">
        <v>28</v>
      </c>
      <c r="B467" t="s">
        <v>29</v>
      </c>
      <c r="C467" t="s">
        <v>52</v>
      </c>
      <c r="D467" t="s">
        <v>17</v>
      </c>
      <c r="E467" t="s">
        <v>48</v>
      </c>
      <c r="F467" s="9">
        <v>0.11</v>
      </c>
      <c r="G467" s="10">
        <v>14899</v>
      </c>
      <c r="H467">
        <v>2.75</v>
      </c>
      <c r="I467" s="5">
        <f>ROUND(Marketing[[#This Row],[Clicks]]*Marketing[[#This Row],[Conversion_Rate]],0)</f>
        <v>73</v>
      </c>
      <c r="J467" s="12">
        <f>Marketing[[#This Row],[Campaign_Cost]]/Marketing[[#This Row],[Customers]]</f>
        <v>204.0958904109589</v>
      </c>
      <c r="K467" t="s">
        <v>25</v>
      </c>
      <c r="L467" t="s">
        <v>33</v>
      </c>
      <c r="M467">
        <v>666</v>
      </c>
      <c r="N467">
        <v>6237</v>
      </c>
      <c r="O467">
        <v>4</v>
      </c>
      <c r="P467" t="s">
        <v>27</v>
      </c>
      <c r="Q467" s="1">
        <v>44297</v>
      </c>
    </row>
    <row r="468" spans="1:17" x14ac:dyDescent="0.3">
      <c r="A468" t="s">
        <v>28</v>
      </c>
      <c r="B468" t="s">
        <v>29</v>
      </c>
      <c r="C468" t="s">
        <v>37</v>
      </c>
      <c r="D468" t="s">
        <v>46</v>
      </c>
      <c r="E468" t="s">
        <v>48</v>
      </c>
      <c r="F468" s="9">
        <v>0.1</v>
      </c>
      <c r="G468" s="10">
        <v>8127</v>
      </c>
      <c r="H468">
        <v>6.95</v>
      </c>
      <c r="I468" s="5">
        <f>ROUND(Marketing[[#This Row],[Clicks]]*Marketing[[#This Row],[Conversion_Rate]],0)</f>
        <v>33</v>
      </c>
      <c r="J468" s="12">
        <f>Marketing[[#This Row],[Campaign_Cost]]/Marketing[[#This Row],[Customers]]</f>
        <v>246.27272727272728</v>
      </c>
      <c r="K468" t="s">
        <v>25</v>
      </c>
      <c r="L468" t="s">
        <v>20</v>
      </c>
      <c r="M468">
        <v>330</v>
      </c>
      <c r="N468">
        <v>1955</v>
      </c>
      <c r="O468">
        <v>7</v>
      </c>
      <c r="P468" t="s">
        <v>27</v>
      </c>
      <c r="Q468" s="1">
        <v>44298</v>
      </c>
    </row>
    <row r="469" spans="1:17" x14ac:dyDescent="0.3">
      <c r="A469" t="s">
        <v>35</v>
      </c>
      <c r="B469" t="s">
        <v>15</v>
      </c>
      <c r="C469" t="s">
        <v>52</v>
      </c>
      <c r="D469" t="s">
        <v>24</v>
      </c>
      <c r="E469" t="s">
        <v>43</v>
      </c>
      <c r="F469" s="9">
        <v>0.12</v>
      </c>
      <c r="G469" s="10">
        <v>10839</v>
      </c>
      <c r="H469">
        <v>6.05</v>
      </c>
      <c r="I469" s="5">
        <f>ROUND(Marketing[[#This Row],[Clicks]]*Marketing[[#This Row],[Conversion_Rate]],0)</f>
        <v>98</v>
      </c>
      <c r="J469" s="12">
        <f>Marketing[[#This Row],[Campaign_Cost]]/Marketing[[#This Row],[Customers]]</f>
        <v>110.60204081632654</v>
      </c>
      <c r="K469" t="s">
        <v>19</v>
      </c>
      <c r="L469" t="s">
        <v>33</v>
      </c>
      <c r="M469">
        <v>816</v>
      </c>
      <c r="N469">
        <v>6414</v>
      </c>
      <c r="O469">
        <v>6</v>
      </c>
      <c r="P469" t="s">
        <v>42</v>
      </c>
      <c r="Q469" s="1">
        <v>44299</v>
      </c>
    </row>
    <row r="470" spans="1:17" x14ac:dyDescent="0.3">
      <c r="A470" t="s">
        <v>49</v>
      </c>
      <c r="B470" t="s">
        <v>47</v>
      </c>
      <c r="C470" t="s">
        <v>52</v>
      </c>
      <c r="D470" t="s">
        <v>24</v>
      </c>
      <c r="E470" t="s">
        <v>31</v>
      </c>
      <c r="F470" s="9">
        <v>0.02</v>
      </c>
      <c r="G470" s="10">
        <v>16218</v>
      </c>
      <c r="H470">
        <v>7.11</v>
      </c>
      <c r="I470" s="5">
        <f>ROUND(Marketing[[#This Row],[Clicks]]*Marketing[[#This Row],[Conversion_Rate]],0)</f>
        <v>4</v>
      </c>
      <c r="J470" s="12">
        <f>Marketing[[#This Row],[Campaign_Cost]]/Marketing[[#This Row],[Customers]]</f>
        <v>4054.5</v>
      </c>
      <c r="K470" t="s">
        <v>25</v>
      </c>
      <c r="L470" t="s">
        <v>26</v>
      </c>
      <c r="M470">
        <v>176</v>
      </c>
      <c r="N470">
        <v>5609</v>
      </c>
      <c r="O470">
        <v>4</v>
      </c>
      <c r="P470" t="s">
        <v>42</v>
      </c>
      <c r="Q470" s="1">
        <v>44300</v>
      </c>
    </row>
    <row r="471" spans="1:17" x14ac:dyDescent="0.3">
      <c r="A471" t="s">
        <v>35</v>
      </c>
      <c r="B471" t="s">
        <v>15</v>
      </c>
      <c r="C471" t="s">
        <v>30</v>
      </c>
      <c r="D471" t="s">
        <v>24</v>
      </c>
      <c r="E471" t="s">
        <v>41</v>
      </c>
      <c r="F471" s="9">
        <v>0.14000000000000001</v>
      </c>
      <c r="G471" s="10">
        <v>7791</v>
      </c>
      <c r="H471">
        <v>2.2599999999999998</v>
      </c>
      <c r="I471" s="5">
        <f>ROUND(Marketing[[#This Row],[Clicks]]*Marketing[[#This Row],[Conversion_Rate]],0)</f>
        <v>32</v>
      </c>
      <c r="J471" s="12">
        <f>Marketing[[#This Row],[Campaign_Cost]]/Marketing[[#This Row],[Customers]]</f>
        <v>243.46875</v>
      </c>
      <c r="K471" t="s">
        <v>38</v>
      </c>
      <c r="L471" t="s">
        <v>39</v>
      </c>
      <c r="M471">
        <v>228</v>
      </c>
      <c r="N471">
        <v>9197</v>
      </c>
      <c r="O471">
        <v>8</v>
      </c>
      <c r="P471" t="s">
        <v>42</v>
      </c>
      <c r="Q471" s="1">
        <v>44301</v>
      </c>
    </row>
    <row r="472" spans="1:17" x14ac:dyDescent="0.3">
      <c r="A472" t="s">
        <v>14</v>
      </c>
      <c r="B472" t="s">
        <v>36</v>
      </c>
      <c r="C472" t="s">
        <v>52</v>
      </c>
      <c r="D472" t="s">
        <v>17</v>
      </c>
      <c r="E472" t="s">
        <v>31</v>
      </c>
      <c r="F472" s="9">
        <v>0.02</v>
      </c>
      <c r="G472" s="10">
        <v>17214</v>
      </c>
      <c r="H472">
        <v>6.81</v>
      </c>
      <c r="I472" s="5">
        <f>ROUND(Marketing[[#This Row],[Clicks]]*Marketing[[#This Row],[Conversion_Rate]],0)</f>
        <v>16</v>
      </c>
      <c r="J472" s="12">
        <f>Marketing[[#This Row],[Campaign_Cost]]/Marketing[[#This Row],[Customers]]</f>
        <v>1075.875</v>
      </c>
      <c r="K472" t="s">
        <v>25</v>
      </c>
      <c r="L472" t="s">
        <v>33</v>
      </c>
      <c r="M472">
        <v>818</v>
      </c>
      <c r="N472">
        <v>2267</v>
      </c>
      <c r="O472">
        <v>1</v>
      </c>
      <c r="P472" t="s">
        <v>34</v>
      </c>
      <c r="Q472" s="1">
        <v>44302</v>
      </c>
    </row>
    <row r="473" spans="1:17" x14ac:dyDescent="0.3">
      <c r="A473" t="s">
        <v>35</v>
      </c>
      <c r="B473" t="s">
        <v>47</v>
      </c>
      <c r="C473" t="s">
        <v>52</v>
      </c>
      <c r="D473" t="s">
        <v>46</v>
      </c>
      <c r="E473" t="s">
        <v>41</v>
      </c>
      <c r="F473" s="9">
        <v>0.12</v>
      </c>
      <c r="G473" s="10">
        <v>12922</v>
      </c>
      <c r="H473">
        <v>7</v>
      </c>
      <c r="I473" s="5">
        <f>ROUND(Marketing[[#This Row],[Clicks]]*Marketing[[#This Row],[Conversion_Rate]],0)</f>
        <v>116</v>
      </c>
      <c r="J473" s="12">
        <f>Marketing[[#This Row],[Campaign_Cost]]/Marketing[[#This Row],[Customers]]</f>
        <v>111.39655172413794</v>
      </c>
      <c r="K473" t="s">
        <v>51</v>
      </c>
      <c r="L473" t="s">
        <v>39</v>
      </c>
      <c r="M473">
        <v>970</v>
      </c>
      <c r="N473">
        <v>3985</v>
      </c>
      <c r="O473">
        <v>3</v>
      </c>
      <c r="P473" t="s">
        <v>44</v>
      </c>
      <c r="Q473" s="1">
        <v>44303</v>
      </c>
    </row>
    <row r="474" spans="1:17" x14ac:dyDescent="0.3">
      <c r="A474" t="s">
        <v>14</v>
      </c>
      <c r="B474" t="s">
        <v>15</v>
      </c>
      <c r="C474" t="s">
        <v>16</v>
      </c>
      <c r="D474" t="s">
        <v>40</v>
      </c>
      <c r="E474" t="s">
        <v>41</v>
      </c>
      <c r="F474" s="9">
        <v>0.15</v>
      </c>
      <c r="G474" s="10">
        <v>14159</v>
      </c>
      <c r="H474">
        <v>4.71</v>
      </c>
      <c r="I474" s="5">
        <f>ROUND(Marketing[[#This Row],[Clicks]]*Marketing[[#This Row],[Conversion_Rate]],0)</f>
        <v>78</v>
      </c>
      <c r="J474" s="12">
        <f>Marketing[[#This Row],[Campaign_Cost]]/Marketing[[#This Row],[Customers]]</f>
        <v>181.52564102564102</v>
      </c>
      <c r="K474" t="s">
        <v>19</v>
      </c>
      <c r="L474" t="s">
        <v>26</v>
      </c>
      <c r="M474">
        <v>518</v>
      </c>
      <c r="N474">
        <v>4366</v>
      </c>
      <c r="O474">
        <v>10</v>
      </c>
      <c r="P474" t="s">
        <v>21</v>
      </c>
      <c r="Q474" s="1">
        <v>44304</v>
      </c>
    </row>
    <row r="475" spans="1:17" x14ac:dyDescent="0.3">
      <c r="A475" t="s">
        <v>49</v>
      </c>
      <c r="B475" t="s">
        <v>15</v>
      </c>
      <c r="C475" t="s">
        <v>30</v>
      </c>
      <c r="D475" t="s">
        <v>24</v>
      </c>
      <c r="E475" t="s">
        <v>41</v>
      </c>
      <c r="F475" s="9">
        <v>0.12</v>
      </c>
      <c r="G475" s="10">
        <v>5428</v>
      </c>
      <c r="H475">
        <v>2.82</v>
      </c>
      <c r="I475" s="5">
        <f>ROUND(Marketing[[#This Row],[Clicks]]*Marketing[[#This Row],[Conversion_Rate]],0)</f>
        <v>35</v>
      </c>
      <c r="J475" s="12">
        <f>Marketing[[#This Row],[Campaign_Cost]]/Marketing[[#This Row],[Customers]]</f>
        <v>155.08571428571429</v>
      </c>
      <c r="K475" t="s">
        <v>51</v>
      </c>
      <c r="L475" t="s">
        <v>50</v>
      </c>
      <c r="M475">
        <v>292</v>
      </c>
      <c r="N475">
        <v>6313</v>
      </c>
      <c r="O475">
        <v>4</v>
      </c>
      <c r="P475" t="s">
        <v>21</v>
      </c>
      <c r="Q475" s="1">
        <v>44305</v>
      </c>
    </row>
    <row r="476" spans="1:17" x14ac:dyDescent="0.3">
      <c r="A476" t="s">
        <v>14</v>
      </c>
      <c r="B476" t="s">
        <v>29</v>
      </c>
      <c r="C476" t="s">
        <v>37</v>
      </c>
      <c r="D476" t="s">
        <v>17</v>
      </c>
      <c r="E476" t="s">
        <v>15</v>
      </c>
      <c r="F476" s="9">
        <v>0.03</v>
      </c>
      <c r="G476" s="10">
        <v>9830</v>
      </c>
      <c r="H476">
        <v>3.83</v>
      </c>
      <c r="I476" s="5">
        <f>ROUND(Marketing[[#This Row],[Clicks]]*Marketing[[#This Row],[Conversion_Rate]],0)</f>
        <v>25</v>
      </c>
      <c r="J476" s="12">
        <f>Marketing[[#This Row],[Campaign_Cost]]/Marketing[[#This Row],[Customers]]</f>
        <v>393.2</v>
      </c>
      <c r="K476" t="s">
        <v>25</v>
      </c>
      <c r="L476" t="s">
        <v>20</v>
      </c>
      <c r="M476">
        <v>826</v>
      </c>
      <c r="N476">
        <v>4248</v>
      </c>
      <c r="O476">
        <v>10</v>
      </c>
      <c r="P476" t="s">
        <v>27</v>
      </c>
      <c r="Q476" s="1">
        <v>44306</v>
      </c>
    </row>
    <row r="477" spans="1:17" x14ac:dyDescent="0.3">
      <c r="A477" t="s">
        <v>14</v>
      </c>
      <c r="B477" t="s">
        <v>45</v>
      </c>
      <c r="C477" t="s">
        <v>23</v>
      </c>
      <c r="D477" t="s">
        <v>46</v>
      </c>
      <c r="E477" t="s">
        <v>31</v>
      </c>
      <c r="F477" s="9">
        <v>0.02</v>
      </c>
      <c r="G477" s="10">
        <v>17467</v>
      </c>
      <c r="H477">
        <v>5.48</v>
      </c>
      <c r="I477" s="5">
        <f>ROUND(Marketing[[#This Row],[Clicks]]*Marketing[[#This Row],[Conversion_Rate]],0)</f>
        <v>2</v>
      </c>
      <c r="J477" s="12">
        <f>Marketing[[#This Row],[Campaign_Cost]]/Marketing[[#This Row],[Customers]]</f>
        <v>8733.5</v>
      </c>
      <c r="K477" t="s">
        <v>51</v>
      </c>
      <c r="L477" t="s">
        <v>39</v>
      </c>
      <c r="M477">
        <v>120</v>
      </c>
      <c r="N477">
        <v>8525</v>
      </c>
      <c r="O477">
        <v>3</v>
      </c>
      <c r="P477" t="s">
        <v>44</v>
      </c>
      <c r="Q477" s="1">
        <v>44307</v>
      </c>
    </row>
    <row r="478" spans="1:17" x14ac:dyDescent="0.3">
      <c r="A478" t="s">
        <v>14</v>
      </c>
      <c r="B478" t="s">
        <v>15</v>
      </c>
      <c r="C478" t="s">
        <v>30</v>
      </c>
      <c r="D478" t="s">
        <v>46</v>
      </c>
      <c r="E478" t="s">
        <v>43</v>
      </c>
      <c r="F478" s="9">
        <v>0.13</v>
      </c>
      <c r="G478" s="10">
        <v>16475</v>
      </c>
      <c r="H478">
        <v>5.56</v>
      </c>
      <c r="I478" s="5">
        <f>ROUND(Marketing[[#This Row],[Clicks]]*Marketing[[#This Row],[Conversion_Rate]],0)</f>
        <v>85</v>
      </c>
      <c r="J478" s="12">
        <f>Marketing[[#This Row],[Campaign_Cost]]/Marketing[[#This Row],[Customers]]</f>
        <v>193.8235294117647</v>
      </c>
      <c r="K478" t="s">
        <v>38</v>
      </c>
      <c r="L478" t="s">
        <v>26</v>
      </c>
      <c r="M478">
        <v>652</v>
      </c>
      <c r="N478">
        <v>2439</v>
      </c>
      <c r="O478">
        <v>4</v>
      </c>
      <c r="P478" t="s">
        <v>42</v>
      </c>
      <c r="Q478" s="1">
        <v>44308</v>
      </c>
    </row>
    <row r="479" spans="1:17" x14ac:dyDescent="0.3">
      <c r="A479" t="s">
        <v>49</v>
      </c>
      <c r="B479" t="s">
        <v>29</v>
      </c>
      <c r="C479" t="s">
        <v>37</v>
      </c>
      <c r="D479" t="s">
        <v>40</v>
      </c>
      <c r="E479" t="s">
        <v>41</v>
      </c>
      <c r="F479" s="9">
        <v>0.06</v>
      </c>
      <c r="G479" s="10">
        <v>15682</v>
      </c>
      <c r="H479">
        <v>4.04</v>
      </c>
      <c r="I479" s="5">
        <f>ROUND(Marketing[[#This Row],[Clicks]]*Marketing[[#This Row],[Conversion_Rate]],0)</f>
        <v>17</v>
      </c>
      <c r="J479" s="12">
        <f>Marketing[[#This Row],[Campaign_Cost]]/Marketing[[#This Row],[Customers]]</f>
        <v>922.47058823529414</v>
      </c>
      <c r="K479" t="s">
        <v>32</v>
      </c>
      <c r="L479" t="s">
        <v>50</v>
      </c>
      <c r="M479">
        <v>275</v>
      </c>
      <c r="N479">
        <v>9717</v>
      </c>
      <c r="O479">
        <v>3</v>
      </c>
      <c r="P479" t="s">
        <v>21</v>
      </c>
      <c r="Q479" s="1">
        <v>44309</v>
      </c>
    </row>
    <row r="480" spans="1:17" x14ac:dyDescent="0.3">
      <c r="A480" t="s">
        <v>14</v>
      </c>
      <c r="B480" t="s">
        <v>29</v>
      </c>
      <c r="C480" t="s">
        <v>52</v>
      </c>
      <c r="D480" t="s">
        <v>46</v>
      </c>
      <c r="E480" t="s">
        <v>41</v>
      </c>
      <c r="F480" s="9">
        <v>0.03</v>
      </c>
      <c r="G480" s="10">
        <v>11186</v>
      </c>
      <c r="H480">
        <v>2.4700000000000002</v>
      </c>
      <c r="I480" s="5">
        <f>ROUND(Marketing[[#This Row],[Clicks]]*Marketing[[#This Row],[Conversion_Rate]],0)</f>
        <v>6</v>
      </c>
      <c r="J480" s="12">
        <f>Marketing[[#This Row],[Campaign_Cost]]/Marketing[[#This Row],[Customers]]</f>
        <v>1864.3333333333333</v>
      </c>
      <c r="K480" t="s">
        <v>38</v>
      </c>
      <c r="L480" t="s">
        <v>39</v>
      </c>
      <c r="M480">
        <v>201</v>
      </c>
      <c r="N480">
        <v>1215</v>
      </c>
      <c r="O480">
        <v>1</v>
      </c>
      <c r="P480" t="s">
        <v>27</v>
      </c>
      <c r="Q480" s="1">
        <v>44310</v>
      </c>
    </row>
    <row r="481" spans="1:17" x14ac:dyDescent="0.3">
      <c r="A481" t="s">
        <v>14</v>
      </c>
      <c r="B481" t="s">
        <v>45</v>
      </c>
      <c r="C481" t="s">
        <v>52</v>
      </c>
      <c r="D481" t="s">
        <v>40</v>
      </c>
      <c r="E481" t="s">
        <v>15</v>
      </c>
      <c r="F481" s="9">
        <v>0.11</v>
      </c>
      <c r="G481" s="10">
        <v>14889</v>
      </c>
      <c r="H481">
        <v>4.6500000000000004</v>
      </c>
      <c r="I481" s="5">
        <f>ROUND(Marketing[[#This Row],[Clicks]]*Marketing[[#This Row],[Conversion_Rate]],0)</f>
        <v>50</v>
      </c>
      <c r="J481" s="12">
        <f>Marketing[[#This Row],[Campaign_Cost]]/Marketing[[#This Row],[Customers]]</f>
        <v>297.77999999999997</v>
      </c>
      <c r="K481" t="s">
        <v>19</v>
      </c>
      <c r="L481" t="s">
        <v>39</v>
      </c>
      <c r="M481">
        <v>455</v>
      </c>
      <c r="N481">
        <v>8222</v>
      </c>
      <c r="O481">
        <v>8</v>
      </c>
      <c r="P481" t="s">
        <v>21</v>
      </c>
      <c r="Q481" s="1">
        <v>44311</v>
      </c>
    </row>
    <row r="482" spans="1:17" x14ac:dyDescent="0.3">
      <c r="A482" t="s">
        <v>14</v>
      </c>
      <c r="B482" t="s">
        <v>29</v>
      </c>
      <c r="C482" t="s">
        <v>23</v>
      </c>
      <c r="D482" t="s">
        <v>24</v>
      </c>
      <c r="E482" t="s">
        <v>41</v>
      </c>
      <c r="F482" s="9">
        <v>0.09</v>
      </c>
      <c r="G482" s="10">
        <v>10706</v>
      </c>
      <c r="H482">
        <v>6.57</v>
      </c>
      <c r="I482" s="5">
        <f>ROUND(Marketing[[#This Row],[Clicks]]*Marketing[[#This Row],[Conversion_Rate]],0)</f>
        <v>22</v>
      </c>
      <c r="J482" s="12">
        <f>Marketing[[#This Row],[Campaign_Cost]]/Marketing[[#This Row],[Customers]]</f>
        <v>486.63636363636363</v>
      </c>
      <c r="K482" t="s">
        <v>19</v>
      </c>
      <c r="L482" t="s">
        <v>39</v>
      </c>
      <c r="M482">
        <v>244</v>
      </c>
      <c r="N482">
        <v>2542</v>
      </c>
      <c r="O482">
        <v>4</v>
      </c>
      <c r="P482" t="s">
        <v>21</v>
      </c>
      <c r="Q482" s="1">
        <v>44312</v>
      </c>
    </row>
    <row r="483" spans="1:17" x14ac:dyDescent="0.3">
      <c r="A483" t="s">
        <v>14</v>
      </c>
      <c r="B483" t="s">
        <v>45</v>
      </c>
      <c r="C483" t="s">
        <v>30</v>
      </c>
      <c r="D483" t="s">
        <v>40</v>
      </c>
      <c r="E483" t="s">
        <v>48</v>
      </c>
      <c r="F483" s="9">
        <v>0.03</v>
      </c>
      <c r="G483" s="10">
        <v>5757</v>
      </c>
      <c r="H483">
        <v>3.1</v>
      </c>
      <c r="I483" s="5">
        <f>ROUND(Marketing[[#This Row],[Clicks]]*Marketing[[#This Row],[Conversion_Rate]],0)</f>
        <v>16</v>
      </c>
      <c r="J483" s="12">
        <f>Marketing[[#This Row],[Campaign_Cost]]/Marketing[[#This Row],[Customers]]</f>
        <v>359.8125</v>
      </c>
      <c r="K483" t="s">
        <v>38</v>
      </c>
      <c r="L483" t="s">
        <v>39</v>
      </c>
      <c r="M483">
        <v>538</v>
      </c>
      <c r="N483">
        <v>5801</v>
      </c>
      <c r="O483">
        <v>1</v>
      </c>
      <c r="P483" t="s">
        <v>34</v>
      </c>
      <c r="Q483" s="1">
        <v>44313</v>
      </c>
    </row>
    <row r="484" spans="1:17" x14ac:dyDescent="0.3">
      <c r="A484" t="s">
        <v>22</v>
      </c>
      <c r="B484" t="s">
        <v>15</v>
      </c>
      <c r="C484" t="s">
        <v>30</v>
      </c>
      <c r="D484" t="s">
        <v>40</v>
      </c>
      <c r="E484" t="s">
        <v>15</v>
      </c>
      <c r="F484" s="9">
        <v>0.09</v>
      </c>
      <c r="G484" s="10">
        <v>18035</v>
      </c>
      <c r="H484">
        <v>7.03</v>
      </c>
      <c r="I484" s="5">
        <f>ROUND(Marketing[[#This Row],[Clicks]]*Marketing[[#This Row],[Conversion_Rate]],0)</f>
        <v>13</v>
      </c>
      <c r="J484" s="12">
        <f>Marketing[[#This Row],[Campaign_Cost]]/Marketing[[#This Row],[Customers]]</f>
        <v>1387.3076923076924</v>
      </c>
      <c r="K484" t="s">
        <v>38</v>
      </c>
      <c r="L484" t="s">
        <v>50</v>
      </c>
      <c r="M484">
        <v>147</v>
      </c>
      <c r="N484">
        <v>6930</v>
      </c>
      <c r="O484">
        <v>4</v>
      </c>
      <c r="P484" t="s">
        <v>44</v>
      </c>
      <c r="Q484" s="1">
        <v>44314</v>
      </c>
    </row>
    <row r="485" spans="1:17" x14ac:dyDescent="0.3">
      <c r="A485" t="s">
        <v>22</v>
      </c>
      <c r="B485" t="s">
        <v>29</v>
      </c>
      <c r="C485" t="s">
        <v>30</v>
      </c>
      <c r="D485" t="s">
        <v>24</v>
      </c>
      <c r="E485" t="s">
        <v>18</v>
      </c>
      <c r="F485" s="9">
        <v>0.03</v>
      </c>
      <c r="G485" s="10">
        <v>5234</v>
      </c>
      <c r="H485">
        <v>6.93</v>
      </c>
      <c r="I485" s="5">
        <f>ROUND(Marketing[[#This Row],[Clicks]]*Marketing[[#This Row],[Conversion_Rate]],0)</f>
        <v>4</v>
      </c>
      <c r="J485" s="12">
        <f>Marketing[[#This Row],[Campaign_Cost]]/Marketing[[#This Row],[Customers]]</f>
        <v>1308.5</v>
      </c>
      <c r="K485" t="s">
        <v>38</v>
      </c>
      <c r="L485" t="s">
        <v>20</v>
      </c>
      <c r="M485">
        <v>149</v>
      </c>
      <c r="N485">
        <v>6815</v>
      </c>
      <c r="O485">
        <v>7</v>
      </c>
      <c r="P485" t="s">
        <v>34</v>
      </c>
      <c r="Q485" s="1">
        <v>44315</v>
      </c>
    </row>
    <row r="486" spans="1:17" x14ac:dyDescent="0.3">
      <c r="A486" t="s">
        <v>22</v>
      </c>
      <c r="B486" t="s">
        <v>45</v>
      </c>
      <c r="C486" t="s">
        <v>16</v>
      </c>
      <c r="D486" t="s">
        <v>24</v>
      </c>
      <c r="E486" t="s">
        <v>31</v>
      </c>
      <c r="F486" s="9">
        <v>0.06</v>
      </c>
      <c r="G486" s="10">
        <v>12495</v>
      </c>
      <c r="H486">
        <v>4.1500000000000004</v>
      </c>
      <c r="I486" s="5">
        <f>ROUND(Marketing[[#This Row],[Clicks]]*Marketing[[#This Row],[Conversion_Rate]],0)</f>
        <v>45</v>
      </c>
      <c r="J486" s="12">
        <f>Marketing[[#This Row],[Campaign_Cost]]/Marketing[[#This Row],[Customers]]</f>
        <v>277.66666666666669</v>
      </c>
      <c r="K486" t="s">
        <v>25</v>
      </c>
      <c r="L486" t="s">
        <v>20</v>
      </c>
      <c r="M486">
        <v>753</v>
      </c>
      <c r="N486">
        <v>8752</v>
      </c>
      <c r="O486">
        <v>10</v>
      </c>
      <c r="P486" t="s">
        <v>21</v>
      </c>
      <c r="Q486" s="1">
        <v>44316</v>
      </c>
    </row>
    <row r="487" spans="1:17" x14ac:dyDescent="0.3">
      <c r="A487" t="s">
        <v>28</v>
      </c>
      <c r="B487" t="s">
        <v>36</v>
      </c>
      <c r="C487" t="s">
        <v>23</v>
      </c>
      <c r="D487" t="s">
        <v>46</v>
      </c>
      <c r="E487" t="s">
        <v>41</v>
      </c>
      <c r="F487" s="9">
        <v>0.08</v>
      </c>
      <c r="G487" s="10">
        <v>8241</v>
      </c>
      <c r="H487">
        <v>7.63</v>
      </c>
      <c r="I487" s="5">
        <f>ROUND(Marketing[[#This Row],[Clicks]]*Marketing[[#This Row],[Conversion_Rate]],0)</f>
        <v>29</v>
      </c>
      <c r="J487" s="12">
        <f>Marketing[[#This Row],[Campaign_Cost]]/Marketing[[#This Row],[Customers]]</f>
        <v>284.17241379310343</v>
      </c>
      <c r="K487" t="s">
        <v>32</v>
      </c>
      <c r="L487" t="s">
        <v>50</v>
      </c>
      <c r="M487">
        <v>368</v>
      </c>
      <c r="N487">
        <v>4360</v>
      </c>
      <c r="O487">
        <v>4</v>
      </c>
      <c r="P487" t="s">
        <v>34</v>
      </c>
      <c r="Q487" s="1">
        <v>44317</v>
      </c>
    </row>
    <row r="488" spans="1:17" x14ac:dyDescent="0.3">
      <c r="A488" t="s">
        <v>35</v>
      </c>
      <c r="B488" t="s">
        <v>15</v>
      </c>
      <c r="C488" t="s">
        <v>16</v>
      </c>
      <c r="D488" t="s">
        <v>40</v>
      </c>
      <c r="E488" t="s">
        <v>15</v>
      </c>
      <c r="F488" s="9">
        <v>0.14000000000000001</v>
      </c>
      <c r="G488" s="10">
        <v>19562</v>
      </c>
      <c r="H488">
        <v>6.35</v>
      </c>
      <c r="I488" s="5">
        <f>ROUND(Marketing[[#This Row],[Clicks]]*Marketing[[#This Row],[Conversion_Rate]],0)</f>
        <v>27</v>
      </c>
      <c r="J488" s="12">
        <f>Marketing[[#This Row],[Campaign_Cost]]/Marketing[[#This Row],[Customers]]</f>
        <v>724.51851851851848</v>
      </c>
      <c r="K488" t="s">
        <v>19</v>
      </c>
      <c r="L488" t="s">
        <v>39</v>
      </c>
      <c r="M488">
        <v>194</v>
      </c>
      <c r="N488">
        <v>9417</v>
      </c>
      <c r="O488">
        <v>10</v>
      </c>
      <c r="P488" t="s">
        <v>42</v>
      </c>
      <c r="Q488" s="1">
        <v>44318</v>
      </c>
    </row>
    <row r="489" spans="1:17" x14ac:dyDescent="0.3">
      <c r="A489" t="s">
        <v>22</v>
      </c>
      <c r="B489" t="s">
        <v>36</v>
      </c>
      <c r="C489" t="s">
        <v>52</v>
      </c>
      <c r="D489" t="s">
        <v>17</v>
      </c>
      <c r="E489" t="s">
        <v>48</v>
      </c>
      <c r="F489" s="9">
        <v>0.05</v>
      </c>
      <c r="G489" s="10">
        <v>19456</v>
      </c>
      <c r="H489">
        <v>7.56</v>
      </c>
      <c r="I489" s="5">
        <f>ROUND(Marketing[[#This Row],[Clicks]]*Marketing[[#This Row],[Conversion_Rate]],0)</f>
        <v>9</v>
      </c>
      <c r="J489" s="12">
        <f>Marketing[[#This Row],[Campaign_Cost]]/Marketing[[#This Row],[Customers]]</f>
        <v>2161.7777777777778</v>
      </c>
      <c r="K489" t="s">
        <v>32</v>
      </c>
      <c r="L489" t="s">
        <v>26</v>
      </c>
      <c r="M489">
        <v>172</v>
      </c>
      <c r="N489">
        <v>2838</v>
      </c>
      <c r="O489">
        <v>10</v>
      </c>
      <c r="P489" t="s">
        <v>21</v>
      </c>
      <c r="Q489" s="1">
        <v>44319</v>
      </c>
    </row>
    <row r="490" spans="1:17" x14ac:dyDescent="0.3">
      <c r="A490" t="s">
        <v>22</v>
      </c>
      <c r="B490" t="s">
        <v>47</v>
      </c>
      <c r="C490" t="s">
        <v>30</v>
      </c>
      <c r="D490" t="s">
        <v>46</v>
      </c>
      <c r="E490" t="s">
        <v>31</v>
      </c>
      <c r="F490" s="9">
        <v>0.13</v>
      </c>
      <c r="G490" s="10">
        <v>10420</v>
      </c>
      <c r="H490">
        <v>3.55</v>
      </c>
      <c r="I490" s="5">
        <f>ROUND(Marketing[[#This Row],[Clicks]]*Marketing[[#This Row],[Conversion_Rate]],0)</f>
        <v>96</v>
      </c>
      <c r="J490" s="12">
        <f>Marketing[[#This Row],[Campaign_Cost]]/Marketing[[#This Row],[Customers]]</f>
        <v>108.54166666666667</v>
      </c>
      <c r="K490" t="s">
        <v>32</v>
      </c>
      <c r="L490" t="s">
        <v>50</v>
      </c>
      <c r="M490">
        <v>740</v>
      </c>
      <c r="N490">
        <v>7051</v>
      </c>
      <c r="O490">
        <v>3</v>
      </c>
      <c r="P490" t="s">
        <v>42</v>
      </c>
      <c r="Q490" s="1">
        <v>44320</v>
      </c>
    </row>
    <row r="491" spans="1:17" x14ac:dyDescent="0.3">
      <c r="A491" t="s">
        <v>49</v>
      </c>
      <c r="B491" t="s">
        <v>47</v>
      </c>
      <c r="C491" t="s">
        <v>52</v>
      </c>
      <c r="D491" t="s">
        <v>17</v>
      </c>
      <c r="E491" t="s">
        <v>43</v>
      </c>
      <c r="F491" s="9">
        <v>0.11</v>
      </c>
      <c r="G491" s="10">
        <v>17493</v>
      </c>
      <c r="H491">
        <v>6.42</v>
      </c>
      <c r="I491" s="5">
        <f>ROUND(Marketing[[#This Row],[Clicks]]*Marketing[[#This Row],[Conversion_Rate]],0)</f>
        <v>64</v>
      </c>
      <c r="J491" s="12">
        <f>Marketing[[#This Row],[Campaign_Cost]]/Marketing[[#This Row],[Customers]]</f>
        <v>273.328125</v>
      </c>
      <c r="K491" t="s">
        <v>32</v>
      </c>
      <c r="L491" t="s">
        <v>33</v>
      </c>
      <c r="M491">
        <v>580</v>
      </c>
      <c r="N491">
        <v>6874</v>
      </c>
      <c r="O491">
        <v>2</v>
      </c>
      <c r="P491" t="s">
        <v>42</v>
      </c>
      <c r="Q491" s="1">
        <v>44321</v>
      </c>
    </row>
    <row r="492" spans="1:17" x14ac:dyDescent="0.3">
      <c r="A492" t="s">
        <v>22</v>
      </c>
      <c r="B492" t="s">
        <v>15</v>
      </c>
      <c r="C492" t="s">
        <v>16</v>
      </c>
      <c r="D492" t="s">
        <v>17</v>
      </c>
      <c r="E492" t="s">
        <v>41</v>
      </c>
      <c r="F492" s="9">
        <v>7.0000000000000007E-2</v>
      </c>
      <c r="G492" s="10">
        <v>18686</v>
      </c>
      <c r="H492">
        <v>4.32</v>
      </c>
      <c r="I492" s="5">
        <f>ROUND(Marketing[[#This Row],[Clicks]]*Marketing[[#This Row],[Conversion_Rate]],0)</f>
        <v>56</v>
      </c>
      <c r="J492" s="12">
        <f>Marketing[[#This Row],[Campaign_Cost]]/Marketing[[#This Row],[Customers]]</f>
        <v>333.67857142857144</v>
      </c>
      <c r="K492" t="s">
        <v>19</v>
      </c>
      <c r="L492" t="s">
        <v>39</v>
      </c>
      <c r="M492">
        <v>798</v>
      </c>
      <c r="N492">
        <v>6218</v>
      </c>
      <c r="O492">
        <v>9</v>
      </c>
      <c r="P492" t="s">
        <v>42</v>
      </c>
      <c r="Q492" s="1">
        <v>44322</v>
      </c>
    </row>
    <row r="493" spans="1:17" x14ac:dyDescent="0.3">
      <c r="A493" t="s">
        <v>49</v>
      </c>
      <c r="B493" t="s">
        <v>47</v>
      </c>
      <c r="C493" t="s">
        <v>16</v>
      </c>
      <c r="D493" t="s">
        <v>17</v>
      </c>
      <c r="E493" t="s">
        <v>31</v>
      </c>
      <c r="F493" s="9">
        <v>0.08</v>
      </c>
      <c r="G493" s="10">
        <v>16765</v>
      </c>
      <c r="H493">
        <v>7.85</v>
      </c>
      <c r="I493" s="5">
        <f>ROUND(Marketing[[#This Row],[Clicks]]*Marketing[[#This Row],[Conversion_Rate]],0)</f>
        <v>75</v>
      </c>
      <c r="J493" s="12">
        <f>Marketing[[#This Row],[Campaign_Cost]]/Marketing[[#This Row],[Customers]]</f>
        <v>223.53333333333333</v>
      </c>
      <c r="K493" t="s">
        <v>38</v>
      </c>
      <c r="L493" t="s">
        <v>20</v>
      </c>
      <c r="M493">
        <v>940</v>
      </c>
      <c r="N493">
        <v>1333</v>
      </c>
      <c r="O493">
        <v>4</v>
      </c>
      <c r="P493" t="s">
        <v>42</v>
      </c>
      <c r="Q493" s="1">
        <v>44323</v>
      </c>
    </row>
    <row r="494" spans="1:17" x14ac:dyDescent="0.3">
      <c r="A494" t="s">
        <v>22</v>
      </c>
      <c r="B494" t="s">
        <v>36</v>
      </c>
      <c r="C494" t="s">
        <v>52</v>
      </c>
      <c r="D494" t="s">
        <v>46</v>
      </c>
      <c r="E494" t="s">
        <v>48</v>
      </c>
      <c r="F494" s="9">
        <v>0.06</v>
      </c>
      <c r="G494" s="10">
        <v>17991</v>
      </c>
      <c r="H494">
        <v>2.35</v>
      </c>
      <c r="I494" s="5">
        <f>ROUND(Marketing[[#This Row],[Clicks]]*Marketing[[#This Row],[Conversion_Rate]],0)</f>
        <v>20</v>
      </c>
      <c r="J494" s="12">
        <f>Marketing[[#This Row],[Campaign_Cost]]/Marketing[[#This Row],[Customers]]</f>
        <v>899.55</v>
      </c>
      <c r="K494" t="s">
        <v>32</v>
      </c>
      <c r="L494" t="s">
        <v>50</v>
      </c>
      <c r="M494">
        <v>325</v>
      </c>
      <c r="N494">
        <v>9848</v>
      </c>
      <c r="O494">
        <v>10</v>
      </c>
      <c r="P494" t="s">
        <v>21</v>
      </c>
      <c r="Q494" s="1">
        <v>44324</v>
      </c>
    </row>
    <row r="495" spans="1:17" x14ac:dyDescent="0.3">
      <c r="A495" t="s">
        <v>35</v>
      </c>
      <c r="B495" t="s">
        <v>36</v>
      </c>
      <c r="C495" t="s">
        <v>30</v>
      </c>
      <c r="D495" t="s">
        <v>46</v>
      </c>
      <c r="E495" t="s">
        <v>48</v>
      </c>
      <c r="F495" s="9">
        <v>0.05</v>
      </c>
      <c r="G495" s="10">
        <v>14481</v>
      </c>
      <c r="H495">
        <v>6.74</v>
      </c>
      <c r="I495" s="5">
        <f>ROUND(Marketing[[#This Row],[Clicks]]*Marketing[[#This Row],[Conversion_Rate]],0)</f>
        <v>32</v>
      </c>
      <c r="J495" s="12">
        <f>Marketing[[#This Row],[Campaign_Cost]]/Marketing[[#This Row],[Customers]]</f>
        <v>452.53125</v>
      </c>
      <c r="K495" t="s">
        <v>38</v>
      </c>
      <c r="L495" t="s">
        <v>39</v>
      </c>
      <c r="M495">
        <v>637</v>
      </c>
      <c r="N495">
        <v>6228</v>
      </c>
      <c r="O495">
        <v>3</v>
      </c>
      <c r="P495" t="s">
        <v>44</v>
      </c>
      <c r="Q495" s="1">
        <v>44325</v>
      </c>
    </row>
    <row r="496" spans="1:17" x14ac:dyDescent="0.3">
      <c r="A496" t="s">
        <v>35</v>
      </c>
      <c r="B496" t="s">
        <v>45</v>
      </c>
      <c r="C496" t="s">
        <v>23</v>
      </c>
      <c r="D496" t="s">
        <v>17</v>
      </c>
      <c r="E496" t="s">
        <v>15</v>
      </c>
      <c r="F496" s="9">
        <v>0.13</v>
      </c>
      <c r="G496" s="10">
        <v>17531</v>
      </c>
      <c r="H496">
        <v>5.04</v>
      </c>
      <c r="I496" s="5">
        <f>ROUND(Marketing[[#This Row],[Clicks]]*Marketing[[#This Row],[Conversion_Rate]],0)</f>
        <v>96</v>
      </c>
      <c r="J496" s="12">
        <f>Marketing[[#This Row],[Campaign_Cost]]/Marketing[[#This Row],[Customers]]</f>
        <v>182.61458333333334</v>
      </c>
      <c r="K496" t="s">
        <v>38</v>
      </c>
      <c r="L496" t="s">
        <v>26</v>
      </c>
      <c r="M496">
        <v>736</v>
      </c>
      <c r="N496">
        <v>5551</v>
      </c>
      <c r="O496">
        <v>2</v>
      </c>
      <c r="P496" t="s">
        <v>21</v>
      </c>
      <c r="Q496" s="1">
        <v>44326</v>
      </c>
    </row>
    <row r="497" spans="1:17" x14ac:dyDescent="0.3">
      <c r="A497" t="s">
        <v>22</v>
      </c>
      <c r="B497" t="s">
        <v>29</v>
      </c>
      <c r="C497" t="s">
        <v>52</v>
      </c>
      <c r="D497" t="s">
        <v>46</v>
      </c>
      <c r="E497" t="s">
        <v>48</v>
      </c>
      <c r="F497" s="9">
        <v>0.1</v>
      </c>
      <c r="G497" s="10">
        <v>15814</v>
      </c>
      <c r="H497">
        <v>6.07</v>
      </c>
      <c r="I497" s="5">
        <f>ROUND(Marketing[[#This Row],[Clicks]]*Marketing[[#This Row],[Conversion_Rate]],0)</f>
        <v>31</v>
      </c>
      <c r="J497" s="12">
        <f>Marketing[[#This Row],[Campaign_Cost]]/Marketing[[#This Row],[Customers]]</f>
        <v>510.12903225806451</v>
      </c>
      <c r="K497" t="s">
        <v>51</v>
      </c>
      <c r="L497" t="s">
        <v>33</v>
      </c>
      <c r="M497">
        <v>305</v>
      </c>
      <c r="N497">
        <v>8942</v>
      </c>
      <c r="O497">
        <v>6</v>
      </c>
      <c r="P497" t="s">
        <v>34</v>
      </c>
      <c r="Q497" s="1">
        <v>44327</v>
      </c>
    </row>
    <row r="498" spans="1:17" x14ac:dyDescent="0.3">
      <c r="A498" t="s">
        <v>35</v>
      </c>
      <c r="B498" t="s">
        <v>36</v>
      </c>
      <c r="C498" t="s">
        <v>37</v>
      </c>
      <c r="D498" t="s">
        <v>17</v>
      </c>
      <c r="E498" t="s">
        <v>43</v>
      </c>
      <c r="F498" s="9">
        <v>0.12</v>
      </c>
      <c r="G498" s="10">
        <v>14037</v>
      </c>
      <c r="H498">
        <v>3.98</v>
      </c>
      <c r="I498" s="5">
        <f>ROUND(Marketing[[#This Row],[Clicks]]*Marketing[[#This Row],[Conversion_Rate]],0)</f>
        <v>61</v>
      </c>
      <c r="J498" s="12">
        <f>Marketing[[#This Row],[Campaign_Cost]]/Marketing[[#This Row],[Customers]]</f>
        <v>230.11475409836066</v>
      </c>
      <c r="K498" t="s">
        <v>51</v>
      </c>
      <c r="L498" t="s">
        <v>33</v>
      </c>
      <c r="M498">
        <v>512</v>
      </c>
      <c r="N498">
        <v>5824</v>
      </c>
      <c r="O498">
        <v>6</v>
      </c>
      <c r="P498" t="s">
        <v>42</v>
      </c>
      <c r="Q498" s="1">
        <v>44328</v>
      </c>
    </row>
    <row r="499" spans="1:17" x14ac:dyDescent="0.3">
      <c r="A499" t="s">
        <v>28</v>
      </c>
      <c r="B499" t="s">
        <v>45</v>
      </c>
      <c r="C499" t="s">
        <v>37</v>
      </c>
      <c r="D499" t="s">
        <v>24</v>
      </c>
      <c r="E499" t="s">
        <v>41</v>
      </c>
      <c r="F499" s="9">
        <v>0.09</v>
      </c>
      <c r="G499" s="10">
        <v>14493</v>
      </c>
      <c r="H499">
        <v>3.22</v>
      </c>
      <c r="I499" s="5">
        <f>ROUND(Marketing[[#This Row],[Clicks]]*Marketing[[#This Row],[Conversion_Rate]],0)</f>
        <v>78</v>
      </c>
      <c r="J499" s="12">
        <f>Marketing[[#This Row],[Campaign_Cost]]/Marketing[[#This Row],[Customers]]</f>
        <v>185.80769230769232</v>
      </c>
      <c r="K499" t="s">
        <v>19</v>
      </c>
      <c r="L499" t="s">
        <v>20</v>
      </c>
      <c r="M499">
        <v>870</v>
      </c>
      <c r="N499">
        <v>6980</v>
      </c>
      <c r="O499">
        <v>4</v>
      </c>
      <c r="P499" t="s">
        <v>27</v>
      </c>
      <c r="Q499" s="1">
        <v>44329</v>
      </c>
    </row>
    <row r="500" spans="1:17" x14ac:dyDescent="0.3">
      <c r="A500" t="s">
        <v>22</v>
      </c>
      <c r="B500" t="s">
        <v>29</v>
      </c>
      <c r="C500" t="s">
        <v>30</v>
      </c>
      <c r="D500" t="s">
        <v>46</v>
      </c>
      <c r="E500" t="s">
        <v>41</v>
      </c>
      <c r="F500" s="9">
        <v>0.03</v>
      </c>
      <c r="G500" s="10">
        <v>19520</v>
      </c>
      <c r="H500">
        <v>5.8</v>
      </c>
      <c r="I500" s="5">
        <f>ROUND(Marketing[[#This Row],[Clicks]]*Marketing[[#This Row],[Conversion_Rate]],0)</f>
        <v>21</v>
      </c>
      <c r="J500" s="12">
        <f>Marketing[[#This Row],[Campaign_Cost]]/Marketing[[#This Row],[Customers]]</f>
        <v>929.52380952380952</v>
      </c>
      <c r="K500" t="s">
        <v>19</v>
      </c>
      <c r="L500" t="s">
        <v>39</v>
      </c>
      <c r="M500">
        <v>702</v>
      </c>
      <c r="N500">
        <v>4794</v>
      </c>
      <c r="O500">
        <v>6</v>
      </c>
      <c r="P500" t="s">
        <v>44</v>
      </c>
      <c r="Q500" s="1">
        <v>44330</v>
      </c>
    </row>
    <row r="501" spans="1:17" x14ac:dyDescent="0.3">
      <c r="A501" t="s">
        <v>49</v>
      </c>
      <c r="B501" t="s">
        <v>47</v>
      </c>
      <c r="C501" t="s">
        <v>23</v>
      </c>
      <c r="D501" t="s">
        <v>24</v>
      </c>
      <c r="E501" t="s">
        <v>15</v>
      </c>
      <c r="F501" s="9">
        <v>0.06</v>
      </c>
      <c r="G501" s="10">
        <v>5538</v>
      </c>
      <c r="H501">
        <v>4.79</v>
      </c>
      <c r="I501" s="5">
        <f>ROUND(Marketing[[#This Row],[Clicks]]*Marketing[[#This Row],[Conversion_Rate]],0)</f>
        <v>31</v>
      </c>
      <c r="J501" s="12">
        <f>Marketing[[#This Row],[Campaign_Cost]]/Marketing[[#This Row],[Customers]]</f>
        <v>178.64516129032259</v>
      </c>
      <c r="K501" t="s">
        <v>51</v>
      </c>
      <c r="L501" t="s">
        <v>50</v>
      </c>
      <c r="M501">
        <v>520</v>
      </c>
      <c r="N501">
        <v>6720</v>
      </c>
      <c r="O501">
        <v>2</v>
      </c>
      <c r="P501" t="s">
        <v>44</v>
      </c>
      <c r="Q501" s="1">
        <v>44331</v>
      </c>
    </row>
    <row r="502" spans="1:17" x14ac:dyDescent="0.3">
      <c r="A502" t="s">
        <v>28</v>
      </c>
      <c r="B502" t="s">
        <v>47</v>
      </c>
      <c r="C502" t="s">
        <v>30</v>
      </c>
      <c r="D502" t="s">
        <v>46</v>
      </c>
      <c r="E502" t="s">
        <v>31</v>
      </c>
      <c r="F502" s="9">
        <v>0.12</v>
      </c>
      <c r="G502" s="10">
        <v>10493</v>
      </c>
      <c r="H502">
        <v>3.49</v>
      </c>
      <c r="I502" s="5">
        <f>ROUND(Marketing[[#This Row],[Clicks]]*Marketing[[#This Row],[Conversion_Rate]],0)</f>
        <v>92</v>
      </c>
      <c r="J502" s="12">
        <f>Marketing[[#This Row],[Campaign_Cost]]/Marketing[[#This Row],[Customers]]</f>
        <v>114.05434782608695</v>
      </c>
      <c r="K502" t="s">
        <v>51</v>
      </c>
      <c r="L502" t="s">
        <v>26</v>
      </c>
      <c r="M502">
        <v>767</v>
      </c>
      <c r="N502">
        <v>5005</v>
      </c>
      <c r="O502">
        <v>2</v>
      </c>
      <c r="P502" t="s">
        <v>34</v>
      </c>
      <c r="Q502" s="1">
        <v>44332</v>
      </c>
    </row>
    <row r="503" spans="1:17" x14ac:dyDescent="0.3">
      <c r="A503" t="s">
        <v>22</v>
      </c>
      <c r="B503" t="s">
        <v>45</v>
      </c>
      <c r="C503" t="s">
        <v>16</v>
      </c>
      <c r="D503" t="s">
        <v>17</v>
      </c>
      <c r="E503" t="s">
        <v>43</v>
      </c>
      <c r="F503" s="9">
        <v>0.06</v>
      </c>
      <c r="G503" s="10">
        <v>16116</v>
      </c>
      <c r="H503">
        <v>7.42</v>
      </c>
      <c r="I503" s="5">
        <f>ROUND(Marketing[[#This Row],[Clicks]]*Marketing[[#This Row],[Conversion_Rate]],0)</f>
        <v>28</v>
      </c>
      <c r="J503" s="12">
        <f>Marketing[[#This Row],[Campaign_Cost]]/Marketing[[#This Row],[Customers]]</f>
        <v>575.57142857142856</v>
      </c>
      <c r="K503" t="s">
        <v>19</v>
      </c>
      <c r="L503" t="s">
        <v>20</v>
      </c>
      <c r="M503">
        <v>471</v>
      </c>
      <c r="N503">
        <v>6621</v>
      </c>
      <c r="O503">
        <v>1</v>
      </c>
      <c r="P503" t="s">
        <v>34</v>
      </c>
      <c r="Q503" s="1">
        <v>44333</v>
      </c>
    </row>
    <row r="504" spans="1:17" x14ac:dyDescent="0.3">
      <c r="A504" t="s">
        <v>35</v>
      </c>
      <c r="B504" t="s">
        <v>15</v>
      </c>
      <c r="C504" t="s">
        <v>30</v>
      </c>
      <c r="D504" t="s">
        <v>40</v>
      </c>
      <c r="E504" t="s">
        <v>31</v>
      </c>
      <c r="F504" s="9">
        <v>0.14000000000000001</v>
      </c>
      <c r="G504" s="10">
        <v>7708</v>
      </c>
      <c r="H504">
        <v>2.56</v>
      </c>
      <c r="I504" s="5">
        <f>ROUND(Marketing[[#This Row],[Clicks]]*Marketing[[#This Row],[Conversion_Rate]],0)</f>
        <v>98</v>
      </c>
      <c r="J504" s="12">
        <f>Marketing[[#This Row],[Campaign_Cost]]/Marketing[[#This Row],[Customers]]</f>
        <v>78.65306122448979</v>
      </c>
      <c r="K504" t="s">
        <v>19</v>
      </c>
      <c r="L504" t="s">
        <v>20</v>
      </c>
      <c r="M504">
        <v>701</v>
      </c>
      <c r="N504">
        <v>5101</v>
      </c>
      <c r="O504">
        <v>9</v>
      </c>
      <c r="P504" t="s">
        <v>27</v>
      </c>
      <c r="Q504" s="1">
        <v>44334</v>
      </c>
    </row>
    <row r="505" spans="1:17" x14ac:dyDescent="0.3">
      <c r="A505" t="s">
        <v>28</v>
      </c>
      <c r="B505" t="s">
        <v>47</v>
      </c>
      <c r="C505" t="s">
        <v>23</v>
      </c>
      <c r="D505" t="s">
        <v>46</v>
      </c>
      <c r="E505" t="s">
        <v>31</v>
      </c>
      <c r="F505" s="9">
        <v>0.06</v>
      </c>
      <c r="G505" s="10">
        <v>5935</v>
      </c>
      <c r="H505">
        <v>5.92</v>
      </c>
      <c r="I505" s="5">
        <f>ROUND(Marketing[[#This Row],[Clicks]]*Marketing[[#This Row],[Conversion_Rate]],0)</f>
        <v>56</v>
      </c>
      <c r="J505" s="12">
        <f>Marketing[[#This Row],[Campaign_Cost]]/Marketing[[#This Row],[Customers]]</f>
        <v>105.98214285714286</v>
      </c>
      <c r="K505" t="s">
        <v>38</v>
      </c>
      <c r="L505" t="s">
        <v>20</v>
      </c>
      <c r="M505">
        <v>935</v>
      </c>
      <c r="N505">
        <v>9752</v>
      </c>
      <c r="O505">
        <v>9</v>
      </c>
      <c r="P505" t="s">
        <v>27</v>
      </c>
      <c r="Q505" s="1">
        <v>44335</v>
      </c>
    </row>
    <row r="506" spans="1:17" x14ac:dyDescent="0.3">
      <c r="A506" t="s">
        <v>22</v>
      </c>
      <c r="B506" t="s">
        <v>15</v>
      </c>
      <c r="C506" t="s">
        <v>30</v>
      </c>
      <c r="D506" t="s">
        <v>24</v>
      </c>
      <c r="E506" t="s">
        <v>31</v>
      </c>
      <c r="F506" s="9">
        <v>0.05</v>
      </c>
      <c r="G506" s="10">
        <v>9290</v>
      </c>
      <c r="H506">
        <v>5.04</v>
      </c>
      <c r="I506" s="5">
        <f>ROUND(Marketing[[#This Row],[Clicks]]*Marketing[[#This Row],[Conversion_Rate]],0)</f>
        <v>45</v>
      </c>
      <c r="J506" s="12">
        <f>Marketing[[#This Row],[Campaign_Cost]]/Marketing[[#This Row],[Customers]]</f>
        <v>206.44444444444446</v>
      </c>
      <c r="K506" t="s">
        <v>32</v>
      </c>
      <c r="L506" t="s">
        <v>20</v>
      </c>
      <c r="M506">
        <v>893</v>
      </c>
      <c r="N506">
        <v>7613</v>
      </c>
      <c r="O506">
        <v>5</v>
      </c>
      <c r="P506" t="s">
        <v>27</v>
      </c>
      <c r="Q506" s="1">
        <v>44336</v>
      </c>
    </row>
    <row r="507" spans="1:17" x14ac:dyDescent="0.3">
      <c r="A507" t="s">
        <v>22</v>
      </c>
      <c r="B507" t="s">
        <v>15</v>
      </c>
      <c r="C507" t="s">
        <v>30</v>
      </c>
      <c r="D507" t="s">
        <v>40</v>
      </c>
      <c r="E507" t="s">
        <v>41</v>
      </c>
      <c r="F507" s="9">
        <v>0.08</v>
      </c>
      <c r="G507" s="10">
        <v>19426</v>
      </c>
      <c r="H507">
        <v>2.5</v>
      </c>
      <c r="I507" s="5">
        <f>ROUND(Marketing[[#This Row],[Clicks]]*Marketing[[#This Row],[Conversion_Rate]],0)</f>
        <v>37</v>
      </c>
      <c r="J507" s="12">
        <f>Marketing[[#This Row],[Campaign_Cost]]/Marketing[[#This Row],[Customers]]</f>
        <v>525.02702702702697</v>
      </c>
      <c r="K507" t="s">
        <v>51</v>
      </c>
      <c r="L507" t="s">
        <v>50</v>
      </c>
      <c r="M507">
        <v>467</v>
      </c>
      <c r="N507">
        <v>2450</v>
      </c>
      <c r="O507">
        <v>3</v>
      </c>
      <c r="P507" t="s">
        <v>44</v>
      </c>
      <c r="Q507" s="1">
        <v>44337</v>
      </c>
    </row>
    <row r="508" spans="1:17" x14ac:dyDescent="0.3">
      <c r="A508" t="s">
        <v>49</v>
      </c>
      <c r="B508" t="s">
        <v>15</v>
      </c>
      <c r="C508" t="s">
        <v>52</v>
      </c>
      <c r="D508" t="s">
        <v>17</v>
      </c>
      <c r="E508" t="s">
        <v>31</v>
      </c>
      <c r="F508" s="9">
        <v>0.14000000000000001</v>
      </c>
      <c r="G508" s="10">
        <v>17183</v>
      </c>
      <c r="H508">
        <v>3.58</v>
      </c>
      <c r="I508" s="5">
        <f>ROUND(Marketing[[#This Row],[Clicks]]*Marketing[[#This Row],[Conversion_Rate]],0)</f>
        <v>43</v>
      </c>
      <c r="J508" s="12">
        <f>Marketing[[#This Row],[Campaign_Cost]]/Marketing[[#This Row],[Customers]]</f>
        <v>399.60465116279067</v>
      </c>
      <c r="K508" t="s">
        <v>32</v>
      </c>
      <c r="L508" t="s">
        <v>26</v>
      </c>
      <c r="M508">
        <v>308</v>
      </c>
      <c r="N508">
        <v>7984</v>
      </c>
      <c r="O508">
        <v>2</v>
      </c>
      <c r="P508" t="s">
        <v>21</v>
      </c>
      <c r="Q508" s="1">
        <v>44338</v>
      </c>
    </row>
    <row r="509" spans="1:17" x14ac:dyDescent="0.3">
      <c r="A509" t="s">
        <v>28</v>
      </c>
      <c r="B509" t="s">
        <v>36</v>
      </c>
      <c r="C509" t="s">
        <v>52</v>
      </c>
      <c r="D509" t="s">
        <v>24</v>
      </c>
      <c r="E509" t="s">
        <v>43</v>
      </c>
      <c r="F509" s="9">
        <v>0.14000000000000001</v>
      </c>
      <c r="G509" s="10">
        <v>15890</v>
      </c>
      <c r="H509">
        <v>2.56</v>
      </c>
      <c r="I509" s="5">
        <f>ROUND(Marketing[[#This Row],[Clicks]]*Marketing[[#This Row],[Conversion_Rate]],0)</f>
        <v>52</v>
      </c>
      <c r="J509" s="12">
        <f>Marketing[[#This Row],[Campaign_Cost]]/Marketing[[#This Row],[Customers]]</f>
        <v>305.57692307692309</v>
      </c>
      <c r="K509" t="s">
        <v>51</v>
      </c>
      <c r="L509" t="s">
        <v>20</v>
      </c>
      <c r="M509">
        <v>374</v>
      </c>
      <c r="N509">
        <v>2539</v>
      </c>
      <c r="O509">
        <v>7</v>
      </c>
      <c r="P509" t="s">
        <v>21</v>
      </c>
      <c r="Q509" s="1">
        <v>44339</v>
      </c>
    </row>
    <row r="510" spans="1:17" x14ac:dyDescent="0.3">
      <c r="A510" t="s">
        <v>35</v>
      </c>
      <c r="B510" t="s">
        <v>47</v>
      </c>
      <c r="C510" t="s">
        <v>30</v>
      </c>
      <c r="D510" t="s">
        <v>17</v>
      </c>
      <c r="E510" t="s">
        <v>18</v>
      </c>
      <c r="F510" s="9">
        <v>0.11</v>
      </c>
      <c r="G510" s="10">
        <v>6341</v>
      </c>
      <c r="H510">
        <v>7.07</v>
      </c>
      <c r="I510" s="5">
        <f>ROUND(Marketing[[#This Row],[Clicks]]*Marketing[[#This Row],[Conversion_Rate]],0)</f>
        <v>74</v>
      </c>
      <c r="J510" s="12">
        <f>Marketing[[#This Row],[Campaign_Cost]]/Marketing[[#This Row],[Customers]]</f>
        <v>85.689189189189193</v>
      </c>
      <c r="K510" t="s">
        <v>38</v>
      </c>
      <c r="L510" t="s">
        <v>26</v>
      </c>
      <c r="M510">
        <v>676</v>
      </c>
      <c r="N510">
        <v>5334</v>
      </c>
      <c r="O510">
        <v>9</v>
      </c>
      <c r="P510" t="s">
        <v>27</v>
      </c>
      <c r="Q510" s="1">
        <v>44340</v>
      </c>
    </row>
    <row r="511" spans="1:17" x14ac:dyDescent="0.3">
      <c r="A511" t="s">
        <v>22</v>
      </c>
      <c r="B511" t="s">
        <v>36</v>
      </c>
      <c r="C511" t="s">
        <v>52</v>
      </c>
      <c r="D511" t="s">
        <v>46</v>
      </c>
      <c r="E511" t="s">
        <v>15</v>
      </c>
      <c r="F511" s="9">
        <v>0.12</v>
      </c>
      <c r="G511" s="10">
        <v>16615</v>
      </c>
      <c r="H511">
        <v>7.92</v>
      </c>
      <c r="I511" s="5">
        <f>ROUND(Marketing[[#This Row],[Clicks]]*Marketing[[#This Row],[Conversion_Rate]],0)</f>
        <v>36</v>
      </c>
      <c r="J511" s="12">
        <f>Marketing[[#This Row],[Campaign_Cost]]/Marketing[[#This Row],[Customers]]</f>
        <v>461.52777777777777</v>
      </c>
      <c r="K511" t="s">
        <v>32</v>
      </c>
      <c r="L511" t="s">
        <v>50</v>
      </c>
      <c r="M511">
        <v>301</v>
      </c>
      <c r="N511">
        <v>3473</v>
      </c>
      <c r="O511">
        <v>5</v>
      </c>
      <c r="P511" t="s">
        <v>21</v>
      </c>
      <c r="Q511" s="1">
        <v>44341</v>
      </c>
    </row>
    <row r="512" spans="1:17" x14ac:dyDescent="0.3">
      <c r="A512" t="s">
        <v>49</v>
      </c>
      <c r="B512" t="s">
        <v>15</v>
      </c>
      <c r="C512" t="s">
        <v>23</v>
      </c>
      <c r="D512" t="s">
        <v>46</v>
      </c>
      <c r="E512" t="s">
        <v>43</v>
      </c>
      <c r="F512" s="9">
        <v>7.0000000000000007E-2</v>
      </c>
      <c r="G512" s="10">
        <v>18822</v>
      </c>
      <c r="H512">
        <v>7.77</v>
      </c>
      <c r="I512" s="5">
        <f>ROUND(Marketing[[#This Row],[Clicks]]*Marketing[[#This Row],[Conversion_Rate]],0)</f>
        <v>33</v>
      </c>
      <c r="J512" s="12">
        <f>Marketing[[#This Row],[Campaign_Cost]]/Marketing[[#This Row],[Customers]]</f>
        <v>570.36363636363637</v>
      </c>
      <c r="K512" t="s">
        <v>25</v>
      </c>
      <c r="L512" t="s">
        <v>39</v>
      </c>
      <c r="M512">
        <v>471</v>
      </c>
      <c r="N512">
        <v>9465</v>
      </c>
      <c r="O512">
        <v>10</v>
      </c>
      <c r="P512" t="s">
        <v>44</v>
      </c>
      <c r="Q512" s="1">
        <v>44342</v>
      </c>
    </row>
    <row r="513" spans="1:17" x14ac:dyDescent="0.3">
      <c r="A513" t="s">
        <v>35</v>
      </c>
      <c r="B513" t="s">
        <v>45</v>
      </c>
      <c r="C513" t="s">
        <v>37</v>
      </c>
      <c r="D513" t="s">
        <v>17</v>
      </c>
      <c r="E513" t="s">
        <v>48</v>
      </c>
      <c r="F513" s="9">
        <v>7.0000000000000007E-2</v>
      </c>
      <c r="G513" s="10">
        <v>15713</v>
      </c>
      <c r="H513">
        <v>7.67</v>
      </c>
      <c r="I513" s="5">
        <f>ROUND(Marketing[[#This Row],[Clicks]]*Marketing[[#This Row],[Conversion_Rate]],0)</f>
        <v>12</v>
      </c>
      <c r="J513" s="12">
        <f>Marketing[[#This Row],[Campaign_Cost]]/Marketing[[#This Row],[Customers]]</f>
        <v>1309.4166666666667</v>
      </c>
      <c r="K513" t="s">
        <v>32</v>
      </c>
      <c r="L513" t="s">
        <v>50</v>
      </c>
      <c r="M513">
        <v>167</v>
      </c>
      <c r="N513">
        <v>5803</v>
      </c>
      <c r="O513">
        <v>9</v>
      </c>
      <c r="P513" t="s">
        <v>42</v>
      </c>
      <c r="Q513" s="1">
        <v>44343</v>
      </c>
    </row>
    <row r="514" spans="1:17" x14ac:dyDescent="0.3">
      <c r="A514" t="s">
        <v>49</v>
      </c>
      <c r="B514" t="s">
        <v>29</v>
      </c>
      <c r="C514" t="s">
        <v>52</v>
      </c>
      <c r="D514" t="s">
        <v>24</v>
      </c>
      <c r="E514" t="s">
        <v>18</v>
      </c>
      <c r="F514" s="9">
        <v>0.12</v>
      </c>
      <c r="G514" s="10">
        <v>19754</v>
      </c>
      <c r="H514">
        <v>3.85</v>
      </c>
      <c r="I514" s="5">
        <f>ROUND(Marketing[[#This Row],[Clicks]]*Marketing[[#This Row],[Conversion_Rate]],0)</f>
        <v>48</v>
      </c>
      <c r="J514" s="12">
        <f>Marketing[[#This Row],[Campaign_Cost]]/Marketing[[#This Row],[Customers]]</f>
        <v>411.54166666666669</v>
      </c>
      <c r="K514" t="s">
        <v>25</v>
      </c>
      <c r="L514" t="s">
        <v>20</v>
      </c>
      <c r="M514">
        <v>397</v>
      </c>
      <c r="N514">
        <v>9308</v>
      </c>
      <c r="O514">
        <v>7</v>
      </c>
      <c r="P514" t="s">
        <v>21</v>
      </c>
      <c r="Q514" s="1">
        <v>44344</v>
      </c>
    </row>
    <row r="515" spans="1:17" x14ac:dyDescent="0.3">
      <c r="A515" t="s">
        <v>28</v>
      </c>
      <c r="B515" t="s">
        <v>47</v>
      </c>
      <c r="C515" t="s">
        <v>16</v>
      </c>
      <c r="D515" t="s">
        <v>17</v>
      </c>
      <c r="E515" t="s">
        <v>48</v>
      </c>
      <c r="F515" s="9">
        <v>0.03</v>
      </c>
      <c r="G515" s="10">
        <v>16073</v>
      </c>
      <c r="H515">
        <v>5.97</v>
      </c>
      <c r="I515" s="5">
        <f>ROUND(Marketing[[#This Row],[Clicks]]*Marketing[[#This Row],[Conversion_Rate]],0)</f>
        <v>8</v>
      </c>
      <c r="J515" s="12">
        <f>Marketing[[#This Row],[Campaign_Cost]]/Marketing[[#This Row],[Customers]]</f>
        <v>2009.125</v>
      </c>
      <c r="K515" t="s">
        <v>38</v>
      </c>
      <c r="L515" t="s">
        <v>33</v>
      </c>
      <c r="M515">
        <v>260</v>
      </c>
      <c r="N515">
        <v>7086</v>
      </c>
      <c r="O515">
        <v>9</v>
      </c>
      <c r="P515" t="s">
        <v>27</v>
      </c>
      <c r="Q515" s="1">
        <v>44345</v>
      </c>
    </row>
    <row r="516" spans="1:17" x14ac:dyDescent="0.3">
      <c r="A516" t="s">
        <v>22</v>
      </c>
      <c r="B516" t="s">
        <v>45</v>
      </c>
      <c r="C516" t="s">
        <v>30</v>
      </c>
      <c r="D516" t="s">
        <v>46</v>
      </c>
      <c r="E516" t="s">
        <v>41</v>
      </c>
      <c r="F516" s="9">
        <v>0.13</v>
      </c>
      <c r="G516" s="10">
        <v>13716</v>
      </c>
      <c r="H516">
        <v>6.03</v>
      </c>
      <c r="I516" s="5">
        <f>ROUND(Marketing[[#This Row],[Clicks]]*Marketing[[#This Row],[Conversion_Rate]],0)</f>
        <v>88</v>
      </c>
      <c r="J516" s="12">
        <f>Marketing[[#This Row],[Campaign_Cost]]/Marketing[[#This Row],[Customers]]</f>
        <v>155.86363636363637</v>
      </c>
      <c r="K516" t="s">
        <v>51</v>
      </c>
      <c r="L516" t="s">
        <v>20</v>
      </c>
      <c r="M516">
        <v>676</v>
      </c>
      <c r="N516">
        <v>6304</v>
      </c>
      <c r="O516">
        <v>9</v>
      </c>
      <c r="P516" t="s">
        <v>42</v>
      </c>
      <c r="Q516" s="1">
        <v>44346</v>
      </c>
    </row>
    <row r="517" spans="1:17" x14ac:dyDescent="0.3">
      <c r="A517" t="s">
        <v>22</v>
      </c>
      <c r="B517" t="s">
        <v>36</v>
      </c>
      <c r="C517" t="s">
        <v>37</v>
      </c>
      <c r="D517" t="s">
        <v>40</v>
      </c>
      <c r="E517" t="s">
        <v>48</v>
      </c>
      <c r="F517" s="9">
        <v>0.08</v>
      </c>
      <c r="G517" s="10">
        <v>12341</v>
      </c>
      <c r="H517">
        <v>4.97</v>
      </c>
      <c r="I517" s="5">
        <f>ROUND(Marketing[[#This Row],[Clicks]]*Marketing[[#This Row],[Conversion_Rate]],0)</f>
        <v>41</v>
      </c>
      <c r="J517" s="12">
        <f>Marketing[[#This Row],[Campaign_Cost]]/Marketing[[#This Row],[Customers]]</f>
        <v>301</v>
      </c>
      <c r="K517" t="s">
        <v>51</v>
      </c>
      <c r="L517" t="s">
        <v>50</v>
      </c>
      <c r="M517">
        <v>508</v>
      </c>
      <c r="N517">
        <v>6150</v>
      </c>
      <c r="O517">
        <v>3</v>
      </c>
      <c r="P517" t="s">
        <v>21</v>
      </c>
      <c r="Q517" s="1">
        <v>44347</v>
      </c>
    </row>
    <row r="518" spans="1:17" x14ac:dyDescent="0.3">
      <c r="A518" t="s">
        <v>14</v>
      </c>
      <c r="B518" t="s">
        <v>47</v>
      </c>
      <c r="C518" t="s">
        <v>16</v>
      </c>
      <c r="D518" t="s">
        <v>40</v>
      </c>
      <c r="E518" t="s">
        <v>31</v>
      </c>
      <c r="F518" s="9">
        <v>0.02</v>
      </c>
      <c r="G518" s="10">
        <v>13702</v>
      </c>
      <c r="H518">
        <v>4.91</v>
      </c>
      <c r="I518" s="5">
        <f>ROUND(Marketing[[#This Row],[Clicks]]*Marketing[[#This Row],[Conversion_Rate]],0)</f>
        <v>7</v>
      </c>
      <c r="J518" s="12">
        <f>Marketing[[#This Row],[Campaign_Cost]]/Marketing[[#This Row],[Customers]]</f>
        <v>1957.4285714285713</v>
      </c>
      <c r="K518" t="s">
        <v>38</v>
      </c>
      <c r="L518" t="s">
        <v>39</v>
      </c>
      <c r="M518">
        <v>353</v>
      </c>
      <c r="N518">
        <v>8771</v>
      </c>
      <c r="O518">
        <v>9</v>
      </c>
      <c r="P518" t="s">
        <v>42</v>
      </c>
      <c r="Q518" s="1">
        <v>44348</v>
      </c>
    </row>
    <row r="519" spans="1:17" x14ac:dyDescent="0.3">
      <c r="A519" t="s">
        <v>28</v>
      </c>
      <c r="B519" t="s">
        <v>47</v>
      </c>
      <c r="C519" t="s">
        <v>52</v>
      </c>
      <c r="D519" t="s">
        <v>46</v>
      </c>
      <c r="E519" t="s">
        <v>48</v>
      </c>
      <c r="F519" s="9">
        <v>0.04</v>
      </c>
      <c r="G519" s="10">
        <v>18224</v>
      </c>
      <c r="H519">
        <v>7.31</v>
      </c>
      <c r="I519" s="5">
        <f>ROUND(Marketing[[#This Row],[Clicks]]*Marketing[[#This Row],[Conversion_Rate]],0)</f>
        <v>27</v>
      </c>
      <c r="J519" s="12">
        <f>Marketing[[#This Row],[Campaign_Cost]]/Marketing[[#This Row],[Customers]]</f>
        <v>674.96296296296293</v>
      </c>
      <c r="K519" t="s">
        <v>32</v>
      </c>
      <c r="L519" t="s">
        <v>50</v>
      </c>
      <c r="M519">
        <v>682</v>
      </c>
      <c r="N519">
        <v>4781</v>
      </c>
      <c r="O519">
        <v>10</v>
      </c>
      <c r="P519" t="s">
        <v>27</v>
      </c>
      <c r="Q519" s="1">
        <v>44349</v>
      </c>
    </row>
    <row r="520" spans="1:17" x14ac:dyDescent="0.3">
      <c r="A520" t="s">
        <v>28</v>
      </c>
      <c r="B520" t="s">
        <v>29</v>
      </c>
      <c r="C520" t="s">
        <v>30</v>
      </c>
      <c r="D520" t="s">
        <v>40</v>
      </c>
      <c r="E520" t="s">
        <v>43</v>
      </c>
      <c r="F520" s="9">
        <v>0.05</v>
      </c>
      <c r="G520" s="10">
        <v>15530</v>
      </c>
      <c r="H520">
        <v>6.81</v>
      </c>
      <c r="I520" s="5">
        <f>ROUND(Marketing[[#This Row],[Clicks]]*Marketing[[#This Row],[Conversion_Rate]],0)</f>
        <v>42</v>
      </c>
      <c r="J520" s="12">
        <f>Marketing[[#This Row],[Campaign_Cost]]/Marketing[[#This Row],[Customers]]</f>
        <v>369.76190476190476</v>
      </c>
      <c r="K520" t="s">
        <v>19</v>
      </c>
      <c r="L520" t="s">
        <v>50</v>
      </c>
      <c r="M520">
        <v>830</v>
      </c>
      <c r="N520">
        <v>7660</v>
      </c>
      <c r="O520">
        <v>8</v>
      </c>
      <c r="P520" t="s">
        <v>34</v>
      </c>
      <c r="Q520" s="1">
        <v>44350</v>
      </c>
    </row>
    <row r="521" spans="1:17" x14ac:dyDescent="0.3">
      <c r="A521" t="s">
        <v>35</v>
      </c>
      <c r="B521" t="s">
        <v>36</v>
      </c>
      <c r="C521" t="s">
        <v>16</v>
      </c>
      <c r="D521" t="s">
        <v>17</v>
      </c>
      <c r="E521" t="s">
        <v>43</v>
      </c>
      <c r="F521" s="9">
        <v>0.14000000000000001</v>
      </c>
      <c r="G521" s="10">
        <v>19102</v>
      </c>
      <c r="H521">
        <v>4.9800000000000004</v>
      </c>
      <c r="I521" s="5">
        <f>ROUND(Marketing[[#This Row],[Clicks]]*Marketing[[#This Row],[Conversion_Rate]],0)</f>
        <v>103</v>
      </c>
      <c r="J521" s="12">
        <f>Marketing[[#This Row],[Campaign_Cost]]/Marketing[[#This Row],[Customers]]</f>
        <v>185.45631067961165</v>
      </c>
      <c r="K521" t="s">
        <v>38</v>
      </c>
      <c r="L521" t="s">
        <v>39</v>
      </c>
      <c r="M521">
        <v>736</v>
      </c>
      <c r="N521">
        <v>2811</v>
      </c>
      <c r="O521">
        <v>5</v>
      </c>
      <c r="P521" t="s">
        <v>34</v>
      </c>
      <c r="Q521" s="1">
        <v>44351</v>
      </c>
    </row>
    <row r="522" spans="1:17" x14ac:dyDescent="0.3">
      <c r="A522" t="s">
        <v>22</v>
      </c>
      <c r="B522" t="s">
        <v>45</v>
      </c>
      <c r="C522" t="s">
        <v>23</v>
      </c>
      <c r="D522" t="s">
        <v>24</v>
      </c>
      <c r="E522" t="s">
        <v>41</v>
      </c>
      <c r="F522" s="9">
        <v>0.14000000000000001</v>
      </c>
      <c r="G522" s="10">
        <v>17123</v>
      </c>
      <c r="H522">
        <v>3.31</v>
      </c>
      <c r="I522" s="5">
        <f>ROUND(Marketing[[#This Row],[Clicks]]*Marketing[[#This Row],[Conversion_Rate]],0)</f>
        <v>134</v>
      </c>
      <c r="J522" s="12">
        <f>Marketing[[#This Row],[Campaign_Cost]]/Marketing[[#This Row],[Customers]]</f>
        <v>127.78358208955224</v>
      </c>
      <c r="K522" t="s">
        <v>19</v>
      </c>
      <c r="L522" t="s">
        <v>33</v>
      </c>
      <c r="M522">
        <v>955</v>
      </c>
      <c r="N522">
        <v>5738</v>
      </c>
      <c r="O522">
        <v>7</v>
      </c>
      <c r="P522" t="s">
        <v>42</v>
      </c>
      <c r="Q522" s="1">
        <v>44352</v>
      </c>
    </row>
    <row r="523" spans="1:17" x14ac:dyDescent="0.3">
      <c r="A523" t="s">
        <v>22</v>
      </c>
      <c r="B523" t="s">
        <v>45</v>
      </c>
      <c r="C523" t="s">
        <v>52</v>
      </c>
      <c r="D523" t="s">
        <v>40</v>
      </c>
      <c r="E523" t="s">
        <v>31</v>
      </c>
      <c r="F523" s="9">
        <v>0.02</v>
      </c>
      <c r="G523" s="10">
        <v>8103</v>
      </c>
      <c r="H523">
        <v>5.85</v>
      </c>
      <c r="I523" s="5">
        <f>ROUND(Marketing[[#This Row],[Clicks]]*Marketing[[#This Row],[Conversion_Rate]],0)</f>
        <v>5</v>
      </c>
      <c r="J523" s="12">
        <f>Marketing[[#This Row],[Campaign_Cost]]/Marketing[[#This Row],[Customers]]</f>
        <v>1620.6</v>
      </c>
      <c r="K523" t="s">
        <v>25</v>
      </c>
      <c r="L523" t="s">
        <v>20</v>
      </c>
      <c r="M523">
        <v>262</v>
      </c>
      <c r="N523">
        <v>9494</v>
      </c>
      <c r="O523">
        <v>10</v>
      </c>
      <c r="P523" t="s">
        <v>34</v>
      </c>
      <c r="Q523" s="1">
        <v>44353</v>
      </c>
    </row>
    <row r="524" spans="1:17" x14ac:dyDescent="0.3">
      <c r="A524" t="s">
        <v>22</v>
      </c>
      <c r="B524" t="s">
        <v>36</v>
      </c>
      <c r="C524" t="s">
        <v>30</v>
      </c>
      <c r="D524" t="s">
        <v>24</v>
      </c>
      <c r="E524" t="s">
        <v>48</v>
      </c>
      <c r="F524" s="9">
        <v>0.12</v>
      </c>
      <c r="G524" s="10">
        <v>6787</v>
      </c>
      <c r="H524">
        <v>7.17</v>
      </c>
      <c r="I524" s="5">
        <f>ROUND(Marketing[[#This Row],[Clicks]]*Marketing[[#This Row],[Conversion_Rate]],0)</f>
        <v>93</v>
      </c>
      <c r="J524" s="12">
        <f>Marketing[[#This Row],[Campaign_Cost]]/Marketing[[#This Row],[Customers]]</f>
        <v>72.978494623655919</v>
      </c>
      <c r="K524" t="s">
        <v>32</v>
      </c>
      <c r="L524" t="s">
        <v>50</v>
      </c>
      <c r="M524">
        <v>776</v>
      </c>
      <c r="N524">
        <v>3071</v>
      </c>
      <c r="O524">
        <v>6</v>
      </c>
      <c r="P524" t="s">
        <v>42</v>
      </c>
      <c r="Q524" s="1">
        <v>44354</v>
      </c>
    </row>
    <row r="525" spans="1:17" x14ac:dyDescent="0.3">
      <c r="A525" t="s">
        <v>14</v>
      </c>
      <c r="B525" t="s">
        <v>47</v>
      </c>
      <c r="C525" t="s">
        <v>16</v>
      </c>
      <c r="D525" t="s">
        <v>17</v>
      </c>
      <c r="E525" t="s">
        <v>41</v>
      </c>
      <c r="F525" s="9">
        <v>0.09</v>
      </c>
      <c r="G525" s="10">
        <v>18464</v>
      </c>
      <c r="H525">
        <v>7.86</v>
      </c>
      <c r="I525" s="5">
        <f>ROUND(Marketing[[#This Row],[Clicks]]*Marketing[[#This Row],[Conversion_Rate]],0)</f>
        <v>79</v>
      </c>
      <c r="J525" s="12">
        <f>Marketing[[#This Row],[Campaign_Cost]]/Marketing[[#This Row],[Customers]]</f>
        <v>233.72151898734177</v>
      </c>
      <c r="K525" t="s">
        <v>32</v>
      </c>
      <c r="L525" t="s">
        <v>50</v>
      </c>
      <c r="M525">
        <v>883</v>
      </c>
      <c r="N525">
        <v>7234</v>
      </c>
      <c r="O525">
        <v>4</v>
      </c>
      <c r="P525" t="s">
        <v>44</v>
      </c>
      <c r="Q525" s="1">
        <v>44355</v>
      </c>
    </row>
    <row r="526" spans="1:17" x14ac:dyDescent="0.3">
      <c r="A526" t="s">
        <v>14</v>
      </c>
      <c r="B526" t="s">
        <v>45</v>
      </c>
      <c r="C526" t="s">
        <v>23</v>
      </c>
      <c r="D526" t="s">
        <v>17</v>
      </c>
      <c r="E526" t="s">
        <v>31</v>
      </c>
      <c r="F526" s="9">
        <v>0.08</v>
      </c>
      <c r="G526" s="10">
        <v>5214</v>
      </c>
      <c r="H526">
        <v>5.41</v>
      </c>
      <c r="I526" s="5">
        <f>ROUND(Marketing[[#This Row],[Clicks]]*Marketing[[#This Row],[Conversion_Rate]],0)</f>
        <v>79</v>
      </c>
      <c r="J526" s="12">
        <f>Marketing[[#This Row],[Campaign_Cost]]/Marketing[[#This Row],[Customers]]</f>
        <v>66</v>
      </c>
      <c r="K526" t="s">
        <v>25</v>
      </c>
      <c r="L526" t="s">
        <v>20</v>
      </c>
      <c r="M526">
        <v>986</v>
      </c>
      <c r="N526">
        <v>5047</v>
      </c>
      <c r="O526">
        <v>3</v>
      </c>
      <c r="P526" t="s">
        <v>27</v>
      </c>
      <c r="Q526" s="1">
        <v>44356</v>
      </c>
    </row>
    <row r="527" spans="1:17" x14ac:dyDescent="0.3">
      <c r="A527" t="s">
        <v>49</v>
      </c>
      <c r="B527" t="s">
        <v>29</v>
      </c>
      <c r="C527" t="s">
        <v>16</v>
      </c>
      <c r="D527" t="s">
        <v>17</v>
      </c>
      <c r="E527" t="s">
        <v>15</v>
      </c>
      <c r="F527" s="9">
        <v>7.0000000000000007E-2</v>
      </c>
      <c r="G527" s="10">
        <v>17678</v>
      </c>
      <c r="H527">
        <v>4.7699999999999996</v>
      </c>
      <c r="I527" s="5">
        <f>ROUND(Marketing[[#This Row],[Clicks]]*Marketing[[#This Row],[Conversion_Rate]],0)</f>
        <v>15</v>
      </c>
      <c r="J527" s="12">
        <f>Marketing[[#This Row],[Campaign_Cost]]/Marketing[[#This Row],[Customers]]</f>
        <v>1178.5333333333333</v>
      </c>
      <c r="K527" t="s">
        <v>51</v>
      </c>
      <c r="L527" t="s">
        <v>26</v>
      </c>
      <c r="M527">
        <v>215</v>
      </c>
      <c r="N527">
        <v>6302</v>
      </c>
      <c r="O527">
        <v>10</v>
      </c>
      <c r="P527" t="s">
        <v>42</v>
      </c>
      <c r="Q527" s="1">
        <v>44357</v>
      </c>
    </row>
    <row r="528" spans="1:17" x14ac:dyDescent="0.3">
      <c r="A528" t="s">
        <v>22</v>
      </c>
      <c r="B528" t="s">
        <v>47</v>
      </c>
      <c r="C528" t="s">
        <v>37</v>
      </c>
      <c r="D528" t="s">
        <v>17</v>
      </c>
      <c r="E528" t="s">
        <v>43</v>
      </c>
      <c r="F528" s="9">
        <v>0.14000000000000001</v>
      </c>
      <c r="G528" s="10">
        <v>10365</v>
      </c>
      <c r="H528">
        <v>3.23</v>
      </c>
      <c r="I528" s="5">
        <f>ROUND(Marketing[[#This Row],[Clicks]]*Marketing[[#This Row],[Conversion_Rate]],0)</f>
        <v>135</v>
      </c>
      <c r="J528" s="12">
        <f>Marketing[[#This Row],[Campaign_Cost]]/Marketing[[#This Row],[Customers]]</f>
        <v>76.777777777777771</v>
      </c>
      <c r="K528" t="s">
        <v>38</v>
      </c>
      <c r="L528" t="s">
        <v>20</v>
      </c>
      <c r="M528">
        <v>965</v>
      </c>
      <c r="N528">
        <v>1167</v>
      </c>
      <c r="O528">
        <v>8</v>
      </c>
      <c r="P528" t="s">
        <v>34</v>
      </c>
      <c r="Q528" s="1">
        <v>44358</v>
      </c>
    </row>
    <row r="529" spans="1:17" x14ac:dyDescent="0.3">
      <c r="A529" t="s">
        <v>22</v>
      </c>
      <c r="B529" t="s">
        <v>15</v>
      </c>
      <c r="C529" t="s">
        <v>37</v>
      </c>
      <c r="D529" t="s">
        <v>24</v>
      </c>
      <c r="E529" t="s">
        <v>41</v>
      </c>
      <c r="F529" s="9">
        <v>0.09</v>
      </c>
      <c r="G529" s="10">
        <v>11139</v>
      </c>
      <c r="H529">
        <v>7.54</v>
      </c>
      <c r="I529" s="5">
        <f>ROUND(Marketing[[#This Row],[Clicks]]*Marketing[[#This Row],[Conversion_Rate]],0)</f>
        <v>58</v>
      </c>
      <c r="J529" s="12">
        <f>Marketing[[#This Row],[Campaign_Cost]]/Marketing[[#This Row],[Customers]]</f>
        <v>192.05172413793105</v>
      </c>
      <c r="K529" t="s">
        <v>32</v>
      </c>
      <c r="L529" t="s">
        <v>39</v>
      </c>
      <c r="M529">
        <v>640</v>
      </c>
      <c r="N529">
        <v>1144</v>
      </c>
      <c r="O529">
        <v>7</v>
      </c>
      <c r="P529" t="s">
        <v>44</v>
      </c>
      <c r="Q529" s="1">
        <v>44359</v>
      </c>
    </row>
    <row r="530" spans="1:17" x14ac:dyDescent="0.3">
      <c r="A530" t="s">
        <v>35</v>
      </c>
      <c r="B530" t="s">
        <v>45</v>
      </c>
      <c r="C530" t="s">
        <v>16</v>
      </c>
      <c r="D530" t="s">
        <v>46</v>
      </c>
      <c r="E530" t="s">
        <v>41</v>
      </c>
      <c r="F530" s="9">
        <v>0.1</v>
      </c>
      <c r="G530" s="10">
        <v>18407</v>
      </c>
      <c r="H530">
        <v>2.2400000000000002</v>
      </c>
      <c r="I530" s="5">
        <f>ROUND(Marketing[[#This Row],[Clicks]]*Marketing[[#This Row],[Conversion_Rate]],0)</f>
        <v>39</v>
      </c>
      <c r="J530" s="12">
        <f>Marketing[[#This Row],[Campaign_Cost]]/Marketing[[#This Row],[Customers]]</f>
        <v>471.97435897435895</v>
      </c>
      <c r="K530" t="s">
        <v>19</v>
      </c>
      <c r="L530" t="s">
        <v>26</v>
      </c>
      <c r="M530">
        <v>388</v>
      </c>
      <c r="N530">
        <v>2697</v>
      </c>
      <c r="O530">
        <v>10</v>
      </c>
      <c r="P530" t="s">
        <v>44</v>
      </c>
      <c r="Q530" s="1">
        <v>44360</v>
      </c>
    </row>
    <row r="531" spans="1:17" x14ac:dyDescent="0.3">
      <c r="A531" t="s">
        <v>49</v>
      </c>
      <c r="B531" t="s">
        <v>29</v>
      </c>
      <c r="C531" t="s">
        <v>16</v>
      </c>
      <c r="D531" t="s">
        <v>24</v>
      </c>
      <c r="E531" t="s">
        <v>41</v>
      </c>
      <c r="F531" s="9">
        <v>7.0000000000000007E-2</v>
      </c>
      <c r="G531" s="10">
        <v>10863</v>
      </c>
      <c r="H531">
        <v>5.21</v>
      </c>
      <c r="I531" s="5">
        <f>ROUND(Marketing[[#This Row],[Clicks]]*Marketing[[#This Row],[Conversion_Rate]],0)</f>
        <v>35</v>
      </c>
      <c r="J531" s="12">
        <f>Marketing[[#This Row],[Campaign_Cost]]/Marketing[[#This Row],[Customers]]</f>
        <v>310.37142857142857</v>
      </c>
      <c r="K531" t="s">
        <v>38</v>
      </c>
      <c r="L531" t="s">
        <v>20</v>
      </c>
      <c r="M531">
        <v>494</v>
      </c>
      <c r="N531">
        <v>5354</v>
      </c>
      <c r="O531">
        <v>10</v>
      </c>
      <c r="P531" t="s">
        <v>42</v>
      </c>
      <c r="Q531" s="1">
        <v>44361</v>
      </c>
    </row>
    <row r="532" spans="1:17" x14ac:dyDescent="0.3">
      <c r="A532" t="s">
        <v>28</v>
      </c>
      <c r="B532" t="s">
        <v>45</v>
      </c>
      <c r="C532" t="s">
        <v>23</v>
      </c>
      <c r="D532" t="s">
        <v>46</v>
      </c>
      <c r="E532" t="s">
        <v>41</v>
      </c>
      <c r="F532" s="9">
        <v>0.09</v>
      </c>
      <c r="G532" s="10">
        <v>11535</v>
      </c>
      <c r="H532">
        <v>6.44</v>
      </c>
      <c r="I532" s="5">
        <f>ROUND(Marketing[[#This Row],[Clicks]]*Marketing[[#This Row],[Conversion_Rate]],0)</f>
        <v>39</v>
      </c>
      <c r="J532" s="12">
        <f>Marketing[[#This Row],[Campaign_Cost]]/Marketing[[#This Row],[Customers]]</f>
        <v>295.76923076923077</v>
      </c>
      <c r="K532" t="s">
        <v>19</v>
      </c>
      <c r="L532" t="s">
        <v>20</v>
      </c>
      <c r="M532">
        <v>432</v>
      </c>
      <c r="N532">
        <v>8524</v>
      </c>
      <c r="O532">
        <v>6</v>
      </c>
      <c r="P532" t="s">
        <v>44</v>
      </c>
      <c r="Q532" s="1">
        <v>44362</v>
      </c>
    </row>
    <row r="533" spans="1:17" x14ac:dyDescent="0.3">
      <c r="A533" t="s">
        <v>28</v>
      </c>
      <c r="B533" t="s">
        <v>45</v>
      </c>
      <c r="C533" t="s">
        <v>16</v>
      </c>
      <c r="D533" t="s">
        <v>40</v>
      </c>
      <c r="E533" t="s">
        <v>31</v>
      </c>
      <c r="F533" s="9">
        <v>0.03</v>
      </c>
      <c r="G533" s="10">
        <v>16117</v>
      </c>
      <c r="H533">
        <v>6.68</v>
      </c>
      <c r="I533" s="5">
        <f>ROUND(Marketing[[#This Row],[Clicks]]*Marketing[[#This Row],[Conversion_Rate]],0)</f>
        <v>7</v>
      </c>
      <c r="J533" s="12">
        <f>Marketing[[#This Row],[Campaign_Cost]]/Marketing[[#This Row],[Customers]]</f>
        <v>2302.4285714285716</v>
      </c>
      <c r="K533" t="s">
        <v>32</v>
      </c>
      <c r="L533" t="s">
        <v>20</v>
      </c>
      <c r="M533">
        <v>237</v>
      </c>
      <c r="N533">
        <v>7706</v>
      </c>
      <c r="O533">
        <v>3</v>
      </c>
      <c r="P533" t="s">
        <v>44</v>
      </c>
      <c r="Q533" s="1">
        <v>44363</v>
      </c>
    </row>
    <row r="534" spans="1:17" x14ac:dyDescent="0.3">
      <c r="A534" t="s">
        <v>49</v>
      </c>
      <c r="B534" t="s">
        <v>15</v>
      </c>
      <c r="C534" t="s">
        <v>16</v>
      </c>
      <c r="D534" t="s">
        <v>24</v>
      </c>
      <c r="E534" t="s">
        <v>48</v>
      </c>
      <c r="F534" s="9">
        <v>0.05</v>
      </c>
      <c r="G534" s="10">
        <v>7641</v>
      </c>
      <c r="H534">
        <v>5.05</v>
      </c>
      <c r="I534" s="5">
        <f>ROUND(Marketing[[#This Row],[Clicks]]*Marketing[[#This Row],[Conversion_Rate]],0)</f>
        <v>12</v>
      </c>
      <c r="J534" s="12">
        <f>Marketing[[#This Row],[Campaign_Cost]]/Marketing[[#This Row],[Customers]]</f>
        <v>636.75</v>
      </c>
      <c r="K534" t="s">
        <v>32</v>
      </c>
      <c r="L534" t="s">
        <v>33</v>
      </c>
      <c r="M534">
        <v>247</v>
      </c>
      <c r="N534">
        <v>6859</v>
      </c>
      <c r="O534">
        <v>10</v>
      </c>
      <c r="P534" t="s">
        <v>34</v>
      </c>
      <c r="Q534" s="1">
        <v>44364</v>
      </c>
    </row>
    <row r="535" spans="1:17" x14ac:dyDescent="0.3">
      <c r="A535" t="s">
        <v>28</v>
      </c>
      <c r="B535" t="s">
        <v>45</v>
      </c>
      <c r="C535" t="s">
        <v>16</v>
      </c>
      <c r="D535" t="s">
        <v>40</v>
      </c>
      <c r="E535" t="s">
        <v>43</v>
      </c>
      <c r="F535" s="9">
        <v>7.0000000000000007E-2</v>
      </c>
      <c r="G535" s="10">
        <v>19122</v>
      </c>
      <c r="H535">
        <v>5.86</v>
      </c>
      <c r="I535" s="5">
        <f>ROUND(Marketing[[#This Row],[Clicks]]*Marketing[[#This Row],[Conversion_Rate]],0)</f>
        <v>59</v>
      </c>
      <c r="J535" s="12">
        <f>Marketing[[#This Row],[Campaign_Cost]]/Marketing[[#This Row],[Customers]]</f>
        <v>324.10169491525426</v>
      </c>
      <c r="K535" t="s">
        <v>32</v>
      </c>
      <c r="L535" t="s">
        <v>33</v>
      </c>
      <c r="M535">
        <v>849</v>
      </c>
      <c r="N535">
        <v>4127</v>
      </c>
      <c r="O535">
        <v>8</v>
      </c>
      <c r="P535" t="s">
        <v>27</v>
      </c>
      <c r="Q535" s="1">
        <v>44365</v>
      </c>
    </row>
    <row r="536" spans="1:17" x14ac:dyDescent="0.3">
      <c r="A536" t="s">
        <v>28</v>
      </c>
      <c r="B536" t="s">
        <v>29</v>
      </c>
      <c r="C536" t="s">
        <v>16</v>
      </c>
      <c r="D536" t="s">
        <v>46</v>
      </c>
      <c r="E536" t="s">
        <v>18</v>
      </c>
      <c r="F536" s="9">
        <v>7.0000000000000007E-2</v>
      </c>
      <c r="G536" s="10">
        <v>19905</v>
      </c>
      <c r="H536">
        <v>3.28</v>
      </c>
      <c r="I536" s="5">
        <f>ROUND(Marketing[[#This Row],[Clicks]]*Marketing[[#This Row],[Conversion_Rate]],0)</f>
        <v>29</v>
      </c>
      <c r="J536" s="12">
        <f>Marketing[[#This Row],[Campaign_Cost]]/Marketing[[#This Row],[Customers]]</f>
        <v>686.37931034482756</v>
      </c>
      <c r="K536" t="s">
        <v>25</v>
      </c>
      <c r="L536" t="s">
        <v>33</v>
      </c>
      <c r="M536">
        <v>421</v>
      </c>
      <c r="N536">
        <v>9220</v>
      </c>
      <c r="O536">
        <v>1</v>
      </c>
      <c r="P536" t="s">
        <v>21</v>
      </c>
      <c r="Q536" s="1">
        <v>44366</v>
      </c>
    </row>
    <row r="537" spans="1:17" x14ac:dyDescent="0.3">
      <c r="A537" t="s">
        <v>22</v>
      </c>
      <c r="B537" t="s">
        <v>45</v>
      </c>
      <c r="C537" t="s">
        <v>16</v>
      </c>
      <c r="D537" t="s">
        <v>17</v>
      </c>
      <c r="E537" t="s">
        <v>31</v>
      </c>
      <c r="F537" s="9">
        <v>0.03</v>
      </c>
      <c r="G537" s="10">
        <v>9710</v>
      </c>
      <c r="H537">
        <v>6.11</v>
      </c>
      <c r="I537" s="5">
        <f>ROUND(Marketing[[#This Row],[Clicks]]*Marketing[[#This Row],[Conversion_Rate]],0)</f>
        <v>23</v>
      </c>
      <c r="J537" s="12">
        <f>Marketing[[#This Row],[Campaign_Cost]]/Marketing[[#This Row],[Customers]]</f>
        <v>422.17391304347825</v>
      </c>
      <c r="K537" t="s">
        <v>19</v>
      </c>
      <c r="L537" t="s">
        <v>33</v>
      </c>
      <c r="M537">
        <v>775</v>
      </c>
      <c r="N537">
        <v>1378</v>
      </c>
      <c r="O537">
        <v>6</v>
      </c>
      <c r="P537" t="s">
        <v>42</v>
      </c>
      <c r="Q537" s="1">
        <v>44367</v>
      </c>
    </row>
    <row r="538" spans="1:17" x14ac:dyDescent="0.3">
      <c r="A538" t="s">
        <v>35</v>
      </c>
      <c r="B538" t="s">
        <v>36</v>
      </c>
      <c r="C538" t="s">
        <v>23</v>
      </c>
      <c r="D538" t="s">
        <v>17</v>
      </c>
      <c r="E538" t="s">
        <v>48</v>
      </c>
      <c r="F538" s="9">
        <v>0.06</v>
      </c>
      <c r="G538" s="10">
        <v>11135</v>
      </c>
      <c r="H538">
        <v>5.55</v>
      </c>
      <c r="I538" s="5">
        <f>ROUND(Marketing[[#This Row],[Clicks]]*Marketing[[#This Row],[Conversion_Rate]],0)</f>
        <v>9</v>
      </c>
      <c r="J538" s="12">
        <f>Marketing[[#This Row],[Campaign_Cost]]/Marketing[[#This Row],[Customers]]</f>
        <v>1237.2222222222222</v>
      </c>
      <c r="K538" t="s">
        <v>32</v>
      </c>
      <c r="L538" t="s">
        <v>26</v>
      </c>
      <c r="M538">
        <v>158</v>
      </c>
      <c r="N538">
        <v>9372</v>
      </c>
      <c r="O538">
        <v>5</v>
      </c>
      <c r="P538" t="s">
        <v>44</v>
      </c>
      <c r="Q538" s="1">
        <v>44368</v>
      </c>
    </row>
    <row r="539" spans="1:17" x14ac:dyDescent="0.3">
      <c r="A539" t="s">
        <v>14</v>
      </c>
      <c r="B539" t="s">
        <v>45</v>
      </c>
      <c r="C539" t="s">
        <v>37</v>
      </c>
      <c r="D539" t="s">
        <v>40</v>
      </c>
      <c r="E539" t="s">
        <v>31</v>
      </c>
      <c r="F539" s="9">
        <v>0.02</v>
      </c>
      <c r="G539" s="10">
        <v>18860</v>
      </c>
      <c r="H539">
        <v>5.67</v>
      </c>
      <c r="I539" s="5">
        <f>ROUND(Marketing[[#This Row],[Clicks]]*Marketing[[#This Row],[Conversion_Rate]],0)</f>
        <v>12</v>
      </c>
      <c r="J539" s="12">
        <f>Marketing[[#This Row],[Campaign_Cost]]/Marketing[[#This Row],[Customers]]</f>
        <v>1571.6666666666667</v>
      </c>
      <c r="K539" t="s">
        <v>38</v>
      </c>
      <c r="L539" t="s">
        <v>20</v>
      </c>
      <c r="M539">
        <v>581</v>
      </c>
      <c r="N539">
        <v>1624</v>
      </c>
      <c r="O539">
        <v>9</v>
      </c>
      <c r="P539" t="s">
        <v>21</v>
      </c>
      <c r="Q539" s="1">
        <v>44369</v>
      </c>
    </row>
    <row r="540" spans="1:17" x14ac:dyDescent="0.3">
      <c r="A540" t="s">
        <v>22</v>
      </c>
      <c r="B540" t="s">
        <v>29</v>
      </c>
      <c r="C540" t="s">
        <v>23</v>
      </c>
      <c r="D540" t="s">
        <v>24</v>
      </c>
      <c r="E540" t="s">
        <v>18</v>
      </c>
      <c r="F540" s="9">
        <v>0.13</v>
      </c>
      <c r="G540" s="10">
        <v>9642</v>
      </c>
      <c r="H540">
        <v>5.04</v>
      </c>
      <c r="I540" s="5">
        <f>ROUND(Marketing[[#This Row],[Clicks]]*Marketing[[#This Row],[Conversion_Rate]],0)</f>
        <v>97</v>
      </c>
      <c r="J540" s="12">
        <f>Marketing[[#This Row],[Campaign_Cost]]/Marketing[[#This Row],[Customers]]</f>
        <v>99.402061855670098</v>
      </c>
      <c r="K540" t="s">
        <v>32</v>
      </c>
      <c r="L540" t="s">
        <v>33</v>
      </c>
      <c r="M540">
        <v>745</v>
      </c>
      <c r="N540">
        <v>1803</v>
      </c>
      <c r="O540">
        <v>8</v>
      </c>
      <c r="P540" t="s">
        <v>34</v>
      </c>
      <c r="Q540" s="1">
        <v>44370</v>
      </c>
    </row>
    <row r="541" spans="1:17" x14ac:dyDescent="0.3">
      <c r="A541" t="s">
        <v>22</v>
      </c>
      <c r="B541" t="s">
        <v>47</v>
      </c>
      <c r="C541" t="s">
        <v>30</v>
      </c>
      <c r="D541" t="s">
        <v>40</v>
      </c>
      <c r="E541" t="s">
        <v>41</v>
      </c>
      <c r="F541" s="9">
        <v>7.0000000000000007E-2</v>
      </c>
      <c r="G541" s="10">
        <v>9225</v>
      </c>
      <c r="H541">
        <v>7.88</v>
      </c>
      <c r="I541" s="5">
        <f>ROUND(Marketing[[#This Row],[Clicks]]*Marketing[[#This Row],[Conversion_Rate]],0)</f>
        <v>59</v>
      </c>
      <c r="J541" s="12">
        <f>Marketing[[#This Row],[Campaign_Cost]]/Marketing[[#This Row],[Customers]]</f>
        <v>156.35593220338984</v>
      </c>
      <c r="K541" t="s">
        <v>32</v>
      </c>
      <c r="L541" t="s">
        <v>39</v>
      </c>
      <c r="M541">
        <v>837</v>
      </c>
      <c r="N541">
        <v>1454</v>
      </c>
      <c r="O541">
        <v>4</v>
      </c>
      <c r="P541" t="s">
        <v>44</v>
      </c>
      <c r="Q541" s="1">
        <v>44371</v>
      </c>
    </row>
    <row r="542" spans="1:17" x14ac:dyDescent="0.3">
      <c r="A542" t="s">
        <v>35</v>
      </c>
      <c r="B542" t="s">
        <v>45</v>
      </c>
      <c r="C542" t="s">
        <v>52</v>
      </c>
      <c r="D542" t="s">
        <v>17</v>
      </c>
      <c r="E542" t="s">
        <v>18</v>
      </c>
      <c r="F542" s="9">
        <v>7.0000000000000007E-2</v>
      </c>
      <c r="G542" s="10">
        <v>12493</v>
      </c>
      <c r="H542">
        <v>6.26</v>
      </c>
      <c r="I542" s="5">
        <f>ROUND(Marketing[[#This Row],[Clicks]]*Marketing[[#This Row],[Conversion_Rate]],0)</f>
        <v>19</v>
      </c>
      <c r="J542" s="12">
        <f>Marketing[[#This Row],[Campaign_Cost]]/Marketing[[#This Row],[Customers]]</f>
        <v>657.52631578947364</v>
      </c>
      <c r="K542" t="s">
        <v>19</v>
      </c>
      <c r="L542" t="s">
        <v>39</v>
      </c>
      <c r="M542">
        <v>265</v>
      </c>
      <c r="N542">
        <v>1716</v>
      </c>
      <c r="O542">
        <v>1</v>
      </c>
      <c r="P542" t="s">
        <v>42</v>
      </c>
      <c r="Q542" s="1">
        <v>44372</v>
      </c>
    </row>
    <row r="543" spans="1:17" x14ac:dyDescent="0.3">
      <c r="A543" t="s">
        <v>35</v>
      </c>
      <c r="B543" t="s">
        <v>15</v>
      </c>
      <c r="C543" t="s">
        <v>52</v>
      </c>
      <c r="D543" t="s">
        <v>46</v>
      </c>
      <c r="E543" t="s">
        <v>15</v>
      </c>
      <c r="F543" s="9">
        <v>0.12</v>
      </c>
      <c r="G543" s="10">
        <v>14740</v>
      </c>
      <c r="H543">
        <v>2.29</v>
      </c>
      <c r="I543" s="5">
        <f>ROUND(Marketing[[#This Row],[Clicks]]*Marketing[[#This Row],[Conversion_Rate]],0)</f>
        <v>113</v>
      </c>
      <c r="J543" s="12">
        <f>Marketing[[#This Row],[Campaign_Cost]]/Marketing[[#This Row],[Customers]]</f>
        <v>130.44247787610618</v>
      </c>
      <c r="K543" t="s">
        <v>19</v>
      </c>
      <c r="L543" t="s">
        <v>20</v>
      </c>
      <c r="M543">
        <v>941</v>
      </c>
      <c r="N543">
        <v>4716</v>
      </c>
      <c r="O543">
        <v>2</v>
      </c>
      <c r="P543" t="s">
        <v>27</v>
      </c>
      <c r="Q543" s="1">
        <v>44373</v>
      </c>
    </row>
    <row r="544" spans="1:17" x14ac:dyDescent="0.3">
      <c r="A544" t="s">
        <v>49</v>
      </c>
      <c r="B544" t="s">
        <v>45</v>
      </c>
      <c r="C544" t="s">
        <v>37</v>
      </c>
      <c r="D544" t="s">
        <v>24</v>
      </c>
      <c r="E544" t="s">
        <v>31</v>
      </c>
      <c r="F544" s="9">
        <v>0.05</v>
      </c>
      <c r="G544" s="10">
        <v>17300</v>
      </c>
      <c r="H544">
        <v>6.46</v>
      </c>
      <c r="I544" s="5">
        <f>ROUND(Marketing[[#This Row],[Clicks]]*Marketing[[#This Row],[Conversion_Rate]],0)</f>
        <v>26</v>
      </c>
      <c r="J544" s="12">
        <f>Marketing[[#This Row],[Campaign_Cost]]/Marketing[[#This Row],[Customers]]</f>
        <v>665.38461538461536</v>
      </c>
      <c r="K544" t="s">
        <v>25</v>
      </c>
      <c r="L544" t="s">
        <v>26</v>
      </c>
      <c r="M544">
        <v>517</v>
      </c>
      <c r="N544">
        <v>4930</v>
      </c>
      <c r="O544">
        <v>1</v>
      </c>
      <c r="P544" t="s">
        <v>21</v>
      </c>
      <c r="Q544" s="1">
        <v>44374</v>
      </c>
    </row>
    <row r="545" spans="1:17" x14ac:dyDescent="0.3">
      <c r="A545" t="s">
        <v>49</v>
      </c>
      <c r="B545" t="s">
        <v>15</v>
      </c>
      <c r="C545" t="s">
        <v>30</v>
      </c>
      <c r="D545" t="s">
        <v>17</v>
      </c>
      <c r="E545" t="s">
        <v>41</v>
      </c>
      <c r="F545" s="9">
        <v>0.13</v>
      </c>
      <c r="G545" s="10">
        <v>7787</v>
      </c>
      <c r="H545">
        <v>2.79</v>
      </c>
      <c r="I545" s="5">
        <f>ROUND(Marketing[[#This Row],[Clicks]]*Marketing[[#This Row],[Conversion_Rate]],0)</f>
        <v>52</v>
      </c>
      <c r="J545" s="12">
        <f>Marketing[[#This Row],[Campaign_Cost]]/Marketing[[#This Row],[Customers]]</f>
        <v>149.75</v>
      </c>
      <c r="K545" t="s">
        <v>25</v>
      </c>
      <c r="L545" t="s">
        <v>20</v>
      </c>
      <c r="M545">
        <v>403</v>
      </c>
      <c r="N545">
        <v>9196</v>
      </c>
      <c r="O545">
        <v>5</v>
      </c>
      <c r="P545" t="s">
        <v>21</v>
      </c>
      <c r="Q545" s="1">
        <v>44375</v>
      </c>
    </row>
    <row r="546" spans="1:17" x14ac:dyDescent="0.3">
      <c r="A546" t="s">
        <v>22</v>
      </c>
      <c r="B546" t="s">
        <v>36</v>
      </c>
      <c r="C546" t="s">
        <v>16</v>
      </c>
      <c r="D546" t="s">
        <v>24</v>
      </c>
      <c r="E546" t="s">
        <v>15</v>
      </c>
      <c r="F546" s="9">
        <v>0.06</v>
      </c>
      <c r="G546" s="10">
        <v>7865</v>
      </c>
      <c r="H546">
        <v>3.61</v>
      </c>
      <c r="I546" s="5">
        <f>ROUND(Marketing[[#This Row],[Clicks]]*Marketing[[#This Row],[Conversion_Rate]],0)</f>
        <v>54</v>
      </c>
      <c r="J546" s="12">
        <f>Marketing[[#This Row],[Campaign_Cost]]/Marketing[[#This Row],[Customers]]</f>
        <v>145.64814814814815</v>
      </c>
      <c r="K546" t="s">
        <v>51</v>
      </c>
      <c r="L546" t="s">
        <v>39</v>
      </c>
      <c r="M546">
        <v>905</v>
      </c>
      <c r="N546">
        <v>8601</v>
      </c>
      <c r="O546">
        <v>5</v>
      </c>
      <c r="P546" t="s">
        <v>42</v>
      </c>
      <c r="Q546" s="1">
        <v>44376</v>
      </c>
    </row>
    <row r="547" spans="1:17" x14ac:dyDescent="0.3">
      <c r="A547" t="s">
        <v>49</v>
      </c>
      <c r="B547" t="s">
        <v>15</v>
      </c>
      <c r="C547" t="s">
        <v>16</v>
      </c>
      <c r="D547" t="s">
        <v>40</v>
      </c>
      <c r="E547" t="s">
        <v>31</v>
      </c>
      <c r="F547" s="9">
        <v>0.13</v>
      </c>
      <c r="G547" s="10">
        <v>14184</v>
      </c>
      <c r="H547">
        <v>2.02</v>
      </c>
      <c r="I547" s="5">
        <f>ROUND(Marketing[[#This Row],[Clicks]]*Marketing[[#This Row],[Conversion_Rate]],0)</f>
        <v>99</v>
      </c>
      <c r="J547" s="12">
        <f>Marketing[[#This Row],[Campaign_Cost]]/Marketing[[#This Row],[Customers]]</f>
        <v>143.27272727272728</v>
      </c>
      <c r="K547" t="s">
        <v>25</v>
      </c>
      <c r="L547" t="s">
        <v>39</v>
      </c>
      <c r="M547">
        <v>761</v>
      </c>
      <c r="N547">
        <v>3562</v>
      </c>
      <c r="O547">
        <v>4</v>
      </c>
      <c r="P547" t="s">
        <v>21</v>
      </c>
      <c r="Q547" s="1">
        <v>44377</v>
      </c>
    </row>
    <row r="548" spans="1:17" x14ac:dyDescent="0.3">
      <c r="A548" t="s">
        <v>22</v>
      </c>
      <c r="B548" t="s">
        <v>29</v>
      </c>
      <c r="C548" t="s">
        <v>16</v>
      </c>
      <c r="D548" t="s">
        <v>24</v>
      </c>
      <c r="E548" t="s">
        <v>18</v>
      </c>
      <c r="F548" s="9">
        <v>7.0000000000000007E-2</v>
      </c>
      <c r="G548" s="10">
        <v>10088</v>
      </c>
      <c r="H548">
        <v>5.79</v>
      </c>
      <c r="I548" s="5">
        <f>ROUND(Marketing[[#This Row],[Clicks]]*Marketing[[#This Row],[Conversion_Rate]],0)</f>
        <v>64</v>
      </c>
      <c r="J548" s="12">
        <f>Marketing[[#This Row],[Campaign_Cost]]/Marketing[[#This Row],[Customers]]</f>
        <v>157.625</v>
      </c>
      <c r="K548" t="s">
        <v>25</v>
      </c>
      <c r="L548" t="s">
        <v>39</v>
      </c>
      <c r="M548">
        <v>921</v>
      </c>
      <c r="N548">
        <v>9943</v>
      </c>
      <c r="O548">
        <v>10</v>
      </c>
      <c r="P548" t="s">
        <v>27</v>
      </c>
      <c r="Q548" s="1">
        <v>44378</v>
      </c>
    </row>
    <row r="549" spans="1:17" x14ac:dyDescent="0.3">
      <c r="A549" t="s">
        <v>22</v>
      </c>
      <c r="B549" t="s">
        <v>45</v>
      </c>
      <c r="C549" t="s">
        <v>37</v>
      </c>
      <c r="D549" t="s">
        <v>40</v>
      </c>
      <c r="E549" t="s">
        <v>41</v>
      </c>
      <c r="F549" s="9">
        <v>0.14000000000000001</v>
      </c>
      <c r="G549" s="10">
        <v>6341</v>
      </c>
      <c r="H549">
        <v>7.89</v>
      </c>
      <c r="I549" s="5">
        <f>ROUND(Marketing[[#This Row],[Clicks]]*Marketing[[#This Row],[Conversion_Rate]],0)</f>
        <v>64</v>
      </c>
      <c r="J549" s="12">
        <f>Marketing[[#This Row],[Campaign_Cost]]/Marketing[[#This Row],[Customers]]</f>
        <v>99.078125</v>
      </c>
      <c r="K549" t="s">
        <v>25</v>
      </c>
      <c r="L549" t="s">
        <v>33</v>
      </c>
      <c r="M549">
        <v>457</v>
      </c>
      <c r="N549">
        <v>2621</v>
      </c>
      <c r="O549">
        <v>3</v>
      </c>
      <c r="P549" t="s">
        <v>42</v>
      </c>
      <c r="Q549" s="1">
        <v>44379</v>
      </c>
    </row>
    <row r="550" spans="1:17" x14ac:dyDescent="0.3">
      <c r="A550" t="s">
        <v>49</v>
      </c>
      <c r="B550" t="s">
        <v>29</v>
      </c>
      <c r="C550" t="s">
        <v>23</v>
      </c>
      <c r="D550" t="s">
        <v>17</v>
      </c>
      <c r="E550" t="s">
        <v>15</v>
      </c>
      <c r="F550" s="9">
        <v>0.11</v>
      </c>
      <c r="G550" s="10">
        <v>16691</v>
      </c>
      <c r="H550">
        <v>6.12</v>
      </c>
      <c r="I550" s="5">
        <f>ROUND(Marketing[[#This Row],[Clicks]]*Marketing[[#This Row],[Conversion_Rate]],0)</f>
        <v>47</v>
      </c>
      <c r="J550" s="12">
        <f>Marketing[[#This Row],[Campaign_Cost]]/Marketing[[#This Row],[Customers]]</f>
        <v>355.12765957446811</v>
      </c>
      <c r="K550" t="s">
        <v>38</v>
      </c>
      <c r="L550" t="s">
        <v>50</v>
      </c>
      <c r="M550">
        <v>430</v>
      </c>
      <c r="N550">
        <v>5430</v>
      </c>
      <c r="O550">
        <v>7</v>
      </c>
      <c r="P550" t="s">
        <v>44</v>
      </c>
      <c r="Q550" s="1">
        <v>44380</v>
      </c>
    </row>
    <row r="551" spans="1:17" x14ac:dyDescent="0.3">
      <c r="A551" t="s">
        <v>22</v>
      </c>
      <c r="B551" t="s">
        <v>15</v>
      </c>
      <c r="C551" t="s">
        <v>23</v>
      </c>
      <c r="D551" t="s">
        <v>40</v>
      </c>
      <c r="E551" t="s">
        <v>43</v>
      </c>
      <c r="F551" s="9">
        <v>0.05</v>
      </c>
      <c r="G551" s="10">
        <v>5279</v>
      </c>
      <c r="H551">
        <v>7.26</v>
      </c>
      <c r="I551" s="5">
        <f>ROUND(Marketing[[#This Row],[Clicks]]*Marketing[[#This Row],[Conversion_Rate]],0)</f>
        <v>49</v>
      </c>
      <c r="J551" s="12">
        <f>Marketing[[#This Row],[Campaign_Cost]]/Marketing[[#This Row],[Customers]]</f>
        <v>107.73469387755102</v>
      </c>
      <c r="K551" t="s">
        <v>32</v>
      </c>
      <c r="L551" t="s">
        <v>50</v>
      </c>
      <c r="M551">
        <v>973</v>
      </c>
      <c r="N551">
        <v>1947</v>
      </c>
      <c r="O551">
        <v>2</v>
      </c>
      <c r="P551" t="s">
        <v>34</v>
      </c>
      <c r="Q551" s="1">
        <v>44381</v>
      </c>
    </row>
    <row r="552" spans="1:17" x14ac:dyDescent="0.3">
      <c r="A552" t="s">
        <v>22</v>
      </c>
      <c r="B552" t="s">
        <v>15</v>
      </c>
      <c r="C552" t="s">
        <v>52</v>
      </c>
      <c r="D552" t="s">
        <v>17</v>
      </c>
      <c r="E552" t="s">
        <v>43</v>
      </c>
      <c r="F552" s="9">
        <v>0.14000000000000001</v>
      </c>
      <c r="G552" s="10">
        <v>13778</v>
      </c>
      <c r="H552">
        <v>3.57</v>
      </c>
      <c r="I552" s="5">
        <f>ROUND(Marketing[[#This Row],[Clicks]]*Marketing[[#This Row],[Conversion_Rate]],0)</f>
        <v>18</v>
      </c>
      <c r="J552" s="12">
        <f>Marketing[[#This Row],[Campaign_Cost]]/Marketing[[#This Row],[Customers]]</f>
        <v>765.44444444444446</v>
      </c>
      <c r="K552" t="s">
        <v>51</v>
      </c>
      <c r="L552" t="s">
        <v>39</v>
      </c>
      <c r="M552">
        <v>129</v>
      </c>
      <c r="N552">
        <v>2538</v>
      </c>
      <c r="O552">
        <v>4</v>
      </c>
      <c r="P552" t="s">
        <v>44</v>
      </c>
      <c r="Q552" s="1">
        <v>44382</v>
      </c>
    </row>
    <row r="553" spans="1:17" x14ac:dyDescent="0.3">
      <c r="A553" t="s">
        <v>28</v>
      </c>
      <c r="B553" t="s">
        <v>29</v>
      </c>
      <c r="C553" t="s">
        <v>30</v>
      </c>
      <c r="D553" t="s">
        <v>24</v>
      </c>
      <c r="E553" t="s">
        <v>15</v>
      </c>
      <c r="F553" s="9">
        <v>0.1</v>
      </c>
      <c r="G553" s="10">
        <v>16094</v>
      </c>
      <c r="H553">
        <v>5.65</v>
      </c>
      <c r="I553" s="5">
        <f>ROUND(Marketing[[#This Row],[Clicks]]*Marketing[[#This Row],[Conversion_Rate]],0)</f>
        <v>70</v>
      </c>
      <c r="J553" s="12">
        <f>Marketing[[#This Row],[Campaign_Cost]]/Marketing[[#This Row],[Customers]]</f>
        <v>229.91428571428571</v>
      </c>
      <c r="K553" t="s">
        <v>19</v>
      </c>
      <c r="L553" t="s">
        <v>20</v>
      </c>
      <c r="M553">
        <v>698</v>
      </c>
      <c r="N553">
        <v>2868</v>
      </c>
      <c r="O553">
        <v>3</v>
      </c>
      <c r="P553" t="s">
        <v>27</v>
      </c>
      <c r="Q553" s="1">
        <v>44383</v>
      </c>
    </row>
    <row r="554" spans="1:17" x14ac:dyDescent="0.3">
      <c r="A554" t="s">
        <v>14</v>
      </c>
      <c r="B554" t="s">
        <v>15</v>
      </c>
      <c r="C554" t="s">
        <v>52</v>
      </c>
      <c r="D554" t="s">
        <v>17</v>
      </c>
      <c r="E554" t="s">
        <v>15</v>
      </c>
      <c r="F554" s="9">
        <v>0.04</v>
      </c>
      <c r="G554" s="10">
        <v>16512</v>
      </c>
      <c r="H554">
        <v>2.81</v>
      </c>
      <c r="I554" s="5">
        <f>ROUND(Marketing[[#This Row],[Clicks]]*Marketing[[#This Row],[Conversion_Rate]],0)</f>
        <v>24</v>
      </c>
      <c r="J554" s="12">
        <f>Marketing[[#This Row],[Campaign_Cost]]/Marketing[[#This Row],[Customers]]</f>
        <v>688</v>
      </c>
      <c r="K554" t="s">
        <v>19</v>
      </c>
      <c r="L554" t="s">
        <v>50</v>
      </c>
      <c r="M554">
        <v>588</v>
      </c>
      <c r="N554">
        <v>4161</v>
      </c>
      <c r="O554">
        <v>10</v>
      </c>
      <c r="P554" t="s">
        <v>27</v>
      </c>
      <c r="Q554" s="1">
        <v>44384</v>
      </c>
    </row>
    <row r="555" spans="1:17" x14ac:dyDescent="0.3">
      <c r="A555" t="s">
        <v>28</v>
      </c>
      <c r="B555" t="s">
        <v>15</v>
      </c>
      <c r="C555" t="s">
        <v>16</v>
      </c>
      <c r="D555" t="s">
        <v>17</v>
      </c>
      <c r="E555" t="s">
        <v>18</v>
      </c>
      <c r="F555" s="9">
        <v>0.05</v>
      </c>
      <c r="G555" s="10">
        <v>7247</v>
      </c>
      <c r="H555">
        <v>7.85</v>
      </c>
      <c r="I555" s="5">
        <f>ROUND(Marketing[[#This Row],[Clicks]]*Marketing[[#This Row],[Conversion_Rate]],0)</f>
        <v>7</v>
      </c>
      <c r="J555" s="12">
        <f>Marketing[[#This Row],[Campaign_Cost]]/Marketing[[#This Row],[Customers]]</f>
        <v>1035.2857142857142</v>
      </c>
      <c r="K555" t="s">
        <v>19</v>
      </c>
      <c r="L555" t="s">
        <v>26</v>
      </c>
      <c r="M555">
        <v>141</v>
      </c>
      <c r="N555">
        <v>6235</v>
      </c>
      <c r="O555">
        <v>4</v>
      </c>
      <c r="P555" t="s">
        <v>27</v>
      </c>
      <c r="Q555" s="1">
        <v>44385</v>
      </c>
    </row>
    <row r="556" spans="1:17" x14ac:dyDescent="0.3">
      <c r="A556" t="s">
        <v>22</v>
      </c>
      <c r="B556" t="s">
        <v>29</v>
      </c>
      <c r="C556" t="s">
        <v>37</v>
      </c>
      <c r="D556" t="s">
        <v>40</v>
      </c>
      <c r="E556" t="s">
        <v>15</v>
      </c>
      <c r="F556" s="9">
        <v>0.02</v>
      </c>
      <c r="G556" s="10">
        <v>5244</v>
      </c>
      <c r="H556">
        <v>5.29</v>
      </c>
      <c r="I556" s="5">
        <f>ROUND(Marketing[[#This Row],[Clicks]]*Marketing[[#This Row],[Conversion_Rate]],0)</f>
        <v>8</v>
      </c>
      <c r="J556" s="12">
        <f>Marketing[[#This Row],[Campaign_Cost]]/Marketing[[#This Row],[Customers]]</f>
        <v>655.5</v>
      </c>
      <c r="K556" t="s">
        <v>19</v>
      </c>
      <c r="L556" t="s">
        <v>26</v>
      </c>
      <c r="M556">
        <v>416</v>
      </c>
      <c r="N556">
        <v>3785</v>
      </c>
      <c r="O556">
        <v>9</v>
      </c>
      <c r="P556" t="s">
        <v>44</v>
      </c>
      <c r="Q556" s="1">
        <v>44386</v>
      </c>
    </row>
    <row r="557" spans="1:17" x14ac:dyDescent="0.3">
      <c r="A557" t="s">
        <v>14</v>
      </c>
      <c r="B557" t="s">
        <v>15</v>
      </c>
      <c r="C557" t="s">
        <v>23</v>
      </c>
      <c r="D557" t="s">
        <v>17</v>
      </c>
      <c r="E557" t="s">
        <v>48</v>
      </c>
      <c r="F557" s="9">
        <v>0.15</v>
      </c>
      <c r="G557" s="10">
        <v>14082</v>
      </c>
      <c r="H557">
        <v>7.44</v>
      </c>
      <c r="I557" s="5">
        <f>ROUND(Marketing[[#This Row],[Clicks]]*Marketing[[#This Row],[Conversion_Rate]],0)</f>
        <v>98</v>
      </c>
      <c r="J557" s="12">
        <f>Marketing[[#This Row],[Campaign_Cost]]/Marketing[[#This Row],[Customers]]</f>
        <v>143.69387755102042</v>
      </c>
      <c r="K557" t="s">
        <v>38</v>
      </c>
      <c r="L557" t="s">
        <v>20</v>
      </c>
      <c r="M557">
        <v>655</v>
      </c>
      <c r="N557">
        <v>9066</v>
      </c>
      <c r="O557">
        <v>2</v>
      </c>
      <c r="P557" t="s">
        <v>34</v>
      </c>
      <c r="Q557" s="1">
        <v>44387</v>
      </c>
    </row>
    <row r="558" spans="1:17" x14ac:dyDescent="0.3">
      <c r="A558" t="s">
        <v>49</v>
      </c>
      <c r="B558" t="s">
        <v>47</v>
      </c>
      <c r="C558" t="s">
        <v>16</v>
      </c>
      <c r="D558" t="s">
        <v>24</v>
      </c>
      <c r="E558" t="s">
        <v>15</v>
      </c>
      <c r="F558" s="9">
        <v>0.11</v>
      </c>
      <c r="G558" s="10">
        <v>17786</v>
      </c>
      <c r="H558">
        <v>5.89</v>
      </c>
      <c r="I558" s="5">
        <f>ROUND(Marketing[[#This Row],[Clicks]]*Marketing[[#This Row],[Conversion_Rate]],0)</f>
        <v>61</v>
      </c>
      <c r="J558" s="12">
        <f>Marketing[[#This Row],[Campaign_Cost]]/Marketing[[#This Row],[Customers]]</f>
        <v>291.57377049180326</v>
      </c>
      <c r="K558" t="s">
        <v>32</v>
      </c>
      <c r="L558" t="s">
        <v>50</v>
      </c>
      <c r="M558">
        <v>557</v>
      </c>
      <c r="N558">
        <v>9866</v>
      </c>
      <c r="O558">
        <v>5</v>
      </c>
      <c r="P558" t="s">
        <v>42</v>
      </c>
      <c r="Q558" s="1">
        <v>44388</v>
      </c>
    </row>
    <row r="559" spans="1:17" x14ac:dyDescent="0.3">
      <c r="A559" t="s">
        <v>14</v>
      </c>
      <c r="B559" t="s">
        <v>29</v>
      </c>
      <c r="C559" t="s">
        <v>16</v>
      </c>
      <c r="D559" t="s">
        <v>40</v>
      </c>
      <c r="E559" t="s">
        <v>48</v>
      </c>
      <c r="F559" s="9">
        <v>0.08</v>
      </c>
      <c r="G559" s="10">
        <v>19714</v>
      </c>
      <c r="H559">
        <v>3.57</v>
      </c>
      <c r="I559" s="5">
        <f>ROUND(Marketing[[#This Row],[Clicks]]*Marketing[[#This Row],[Conversion_Rate]],0)</f>
        <v>33</v>
      </c>
      <c r="J559" s="12">
        <f>Marketing[[#This Row],[Campaign_Cost]]/Marketing[[#This Row],[Customers]]</f>
        <v>597.39393939393938</v>
      </c>
      <c r="K559" t="s">
        <v>38</v>
      </c>
      <c r="L559" t="s">
        <v>20</v>
      </c>
      <c r="M559">
        <v>411</v>
      </c>
      <c r="N559">
        <v>2211</v>
      </c>
      <c r="O559">
        <v>3</v>
      </c>
      <c r="P559" t="s">
        <v>42</v>
      </c>
      <c r="Q559" s="1">
        <v>44389</v>
      </c>
    </row>
    <row r="560" spans="1:17" x14ac:dyDescent="0.3">
      <c r="A560" t="s">
        <v>14</v>
      </c>
      <c r="B560" t="s">
        <v>36</v>
      </c>
      <c r="C560" t="s">
        <v>30</v>
      </c>
      <c r="D560" t="s">
        <v>24</v>
      </c>
      <c r="E560" t="s">
        <v>41</v>
      </c>
      <c r="F560" s="9">
        <v>0.03</v>
      </c>
      <c r="G560" s="10">
        <v>6582</v>
      </c>
      <c r="H560">
        <v>3.1</v>
      </c>
      <c r="I560" s="5">
        <f>ROUND(Marketing[[#This Row],[Clicks]]*Marketing[[#This Row],[Conversion_Rate]],0)</f>
        <v>23</v>
      </c>
      <c r="J560" s="12">
        <f>Marketing[[#This Row],[Campaign_Cost]]/Marketing[[#This Row],[Customers]]</f>
        <v>286.17391304347825</v>
      </c>
      <c r="K560" t="s">
        <v>19</v>
      </c>
      <c r="L560" t="s">
        <v>26</v>
      </c>
      <c r="M560">
        <v>750</v>
      </c>
      <c r="N560">
        <v>5588</v>
      </c>
      <c r="O560">
        <v>7</v>
      </c>
      <c r="P560" t="s">
        <v>21</v>
      </c>
      <c r="Q560" s="1">
        <v>44390</v>
      </c>
    </row>
    <row r="561" spans="1:17" x14ac:dyDescent="0.3">
      <c r="A561" t="s">
        <v>14</v>
      </c>
      <c r="B561" t="s">
        <v>15</v>
      </c>
      <c r="C561" t="s">
        <v>37</v>
      </c>
      <c r="D561" t="s">
        <v>24</v>
      </c>
      <c r="E561" t="s">
        <v>18</v>
      </c>
      <c r="F561" s="9">
        <v>0.1</v>
      </c>
      <c r="G561" s="10">
        <v>16574</v>
      </c>
      <c r="H561">
        <v>4.82</v>
      </c>
      <c r="I561" s="5">
        <f>ROUND(Marketing[[#This Row],[Clicks]]*Marketing[[#This Row],[Conversion_Rate]],0)</f>
        <v>26</v>
      </c>
      <c r="J561" s="12">
        <f>Marketing[[#This Row],[Campaign_Cost]]/Marketing[[#This Row],[Customers]]</f>
        <v>637.46153846153845</v>
      </c>
      <c r="K561" t="s">
        <v>38</v>
      </c>
      <c r="L561" t="s">
        <v>50</v>
      </c>
      <c r="M561">
        <v>260</v>
      </c>
      <c r="N561">
        <v>2996</v>
      </c>
      <c r="O561">
        <v>10</v>
      </c>
      <c r="P561" t="s">
        <v>27</v>
      </c>
      <c r="Q561" s="1">
        <v>44391</v>
      </c>
    </row>
    <row r="562" spans="1:17" x14ac:dyDescent="0.3">
      <c r="A562" t="s">
        <v>49</v>
      </c>
      <c r="B562" t="s">
        <v>15</v>
      </c>
      <c r="C562" t="s">
        <v>37</v>
      </c>
      <c r="D562" t="s">
        <v>24</v>
      </c>
      <c r="E562" t="s">
        <v>15</v>
      </c>
      <c r="F562" s="9">
        <v>0.1</v>
      </c>
      <c r="G562" s="10">
        <v>18996</v>
      </c>
      <c r="H562">
        <v>3.12</v>
      </c>
      <c r="I562" s="5">
        <f>ROUND(Marketing[[#This Row],[Clicks]]*Marketing[[#This Row],[Conversion_Rate]],0)</f>
        <v>89</v>
      </c>
      <c r="J562" s="12">
        <f>Marketing[[#This Row],[Campaign_Cost]]/Marketing[[#This Row],[Customers]]</f>
        <v>213.43820224719101</v>
      </c>
      <c r="K562" t="s">
        <v>32</v>
      </c>
      <c r="L562" t="s">
        <v>20</v>
      </c>
      <c r="M562">
        <v>890</v>
      </c>
      <c r="N562">
        <v>8676</v>
      </c>
      <c r="O562">
        <v>4</v>
      </c>
      <c r="P562" t="s">
        <v>21</v>
      </c>
      <c r="Q562" s="1">
        <v>44392</v>
      </c>
    </row>
    <row r="563" spans="1:17" x14ac:dyDescent="0.3">
      <c r="A563" t="s">
        <v>28</v>
      </c>
      <c r="B563" t="s">
        <v>29</v>
      </c>
      <c r="C563" t="s">
        <v>52</v>
      </c>
      <c r="D563" t="s">
        <v>17</v>
      </c>
      <c r="E563" t="s">
        <v>41</v>
      </c>
      <c r="F563" s="9">
        <v>0.12</v>
      </c>
      <c r="G563" s="10">
        <v>13107</v>
      </c>
      <c r="H563">
        <v>4.87</v>
      </c>
      <c r="I563" s="5">
        <f>ROUND(Marketing[[#This Row],[Clicks]]*Marketing[[#This Row],[Conversion_Rate]],0)</f>
        <v>41</v>
      </c>
      <c r="J563" s="12">
        <f>Marketing[[#This Row],[Campaign_Cost]]/Marketing[[#This Row],[Customers]]</f>
        <v>319.6829268292683</v>
      </c>
      <c r="K563" t="s">
        <v>38</v>
      </c>
      <c r="L563" t="s">
        <v>26</v>
      </c>
      <c r="M563">
        <v>340</v>
      </c>
      <c r="N563">
        <v>6394</v>
      </c>
      <c r="O563">
        <v>2</v>
      </c>
      <c r="P563" t="s">
        <v>44</v>
      </c>
      <c r="Q563" s="1">
        <v>44393</v>
      </c>
    </row>
    <row r="564" spans="1:17" x14ac:dyDescent="0.3">
      <c r="A564" t="s">
        <v>28</v>
      </c>
      <c r="B564" t="s">
        <v>29</v>
      </c>
      <c r="C564" t="s">
        <v>30</v>
      </c>
      <c r="D564" t="s">
        <v>40</v>
      </c>
      <c r="E564" t="s">
        <v>43</v>
      </c>
      <c r="F564" s="9">
        <v>0.09</v>
      </c>
      <c r="G564" s="10">
        <v>5801</v>
      </c>
      <c r="H564">
        <v>7.42</v>
      </c>
      <c r="I564" s="5">
        <f>ROUND(Marketing[[#This Row],[Clicks]]*Marketing[[#This Row],[Conversion_Rate]],0)</f>
        <v>64</v>
      </c>
      <c r="J564" s="12">
        <f>Marketing[[#This Row],[Campaign_Cost]]/Marketing[[#This Row],[Customers]]</f>
        <v>90.640625</v>
      </c>
      <c r="K564" t="s">
        <v>25</v>
      </c>
      <c r="L564" t="s">
        <v>33</v>
      </c>
      <c r="M564">
        <v>714</v>
      </c>
      <c r="N564">
        <v>2288</v>
      </c>
      <c r="O564">
        <v>2</v>
      </c>
      <c r="P564" t="s">
        <v>21</v>
      </c>
      <c r="Q564" s="1">
        <v>44394</v>
      </c>
    </row>
    <row r="565" spans="1:17" x14ac:dyDescent="0.3">
      <c r="A565" t="s">
        <v>49</v>
      </c>
      <c r="B565" t="s">
        <v>29</v>
      </c>
      <c r="C565" t="s">
        <v>16</v>
      </c>
      <c r="D565" t="s">
        <v>40</v>
      </c>
      <c r="E565" t="s">
        <v>18</v>
      </c>
      <c r="F565" s="9">
        <v>0.09</v>
      </c>
      <c r="G565" s="10">
        <v>8660</v>
      </c>
      <c r="H565">
        <v>6.38</v>
      </c>
      <c r="I565" s="5">
        <f>ROUND(Marketing[[#This Row],[Clicks]]*Marketing[[#This Row],[Conversion_Rate]],0)</f>
        <v>15</v>
      </c>
      <c r="J565" s="12">
        <f>Marketing[[#This Row],[Campaign_Cost]]/Marketing[[#This Row],[Customers]]</f>
        <v>577.33333333333337</v>
      </c>
      <c r="K565" t="s">
        <v>32</v>
      </c>
      <c r="L565" t="s">
        <v>20</v>
      </c>
      <c r="M565">
        <v>172</v>
      </c>
      <c r="N565">
        <v>9548</v>
      </c>
      <c r="O565">
        <v>2</v>
      </c>
      <c r="P565" t="s">
        <v>34</v>
      </c>
      <c r="Q565" s="1">
        <v>44395</v>
      </c>
    </row>
    <row r="566" spans="1:17" x14ac:dyDescent="0.3">
      <c r="A566" t="s">
        <v>14</v>
      </c>
      <c r="B566" t="s">
        <v>36</v>
      </c>
      <c r="C566" t="s">
        <v>23</v>
      </c>
      <c r="D566" t="s">
        <v>17</v>
      </c>
      <c r="E566" t="s">
        <v>43</v>
      </c>
      <c r="F566" s="9">
        <v>0.13</v>
      </c>
      <c r="G566" s="10">
        <v>9283</v>
      </c>
      <c r="H566">
        <v>2.1800000000000002</v>
      </c>
      <c r="I566" s="5">
        <f>ROUND(Marketing[[#This Row],[Clicks]]*Marketing[[#This Row],[Conversion_Rate]],0)</f>
        <v>47</v>
      </c>
      <c r="J566" s="12">
        <f>Marketing[[#This Row],[Campaign_Cost]]/Marketing[[#This Row],[Customers]]</f>
        <v>197.51063829787233</v>
      </c>
      <c r="K566" t="s">
        <v>51</v>
      </c>
      <c r="L566" t="s">
        <v>20</v>
      </c>
      <c r="M566">
        <v>363</v>
      </c>
      <c r="N566">
        <v>6711</v>
      </c>
      <c r="O566">
        <v>1</v>
      </c>
      <c r="P566" t="s">
        <v>21</v>
      </c>
      <c r="Q566" s="1">
        <v>44396</v>
      </c>
    </row>
    <row r="567" spans="1:17" x14ac:dyDescent="0.3">
      <c r="A567" t="s">
        <v>28</v>
      </c>
      <c r="B567" t="s">
        <v>29</v>
      </c>
      <c r="C567" t="s">
        <v>37</v>
      </c>
      <c r="D567" t="s">
        <v>24</v>
      </c>
      <c r="E567" t="s">
        <v>41</v>
      </c>
      <c r="F567" s="9">
        <v>0.1</v>
      </c>
      <c r="G567" s="10">
        <v>12002</v>
      </c>
      <c r="H567">
        <v>6.53</v>
      </c>
      <c r="I567" s="5">
        <f>ROUND(Marketing[[#This Row],[Clicks]]*Marketing[[#This Row],[Conversion_Rate]],0)</f>
        <v>88</v>
      </c>
      <c r="J567" s="12">
        <f>Marketing[[#This Row],[Campaign_Cost]]/Marketing[[#This Row],[Customers]]</f>
        <v>136.38636363636363</v>
      </c>
      <c r="K567" t="s">
        <v>51</v>
      </c>
      <c r="L567" t="s">
        <v>26</v>
      </c>
      <c r="M567">
        <v>876</v>
      </c>
      <c r="N567">
        <v>6554</v>
      </c>
      <c r="O567">
        <v>7</v>
      </c>
      <c r="P567" t="s">
        <v>21</v>
      </c>
      <c r="Q567" s="1">
        <v>44397</v>
      </c>
    </row>
    <row r="568" spans="1:17" x14ac:dyDescent="0.3">
      <c r="A568" t="s">
        <v>22</v>
      </c>
      <c r="B568" t="s">
        <v>36</v>
      </c>
      <c r="C568" t="s">
        <v>37</v>
      </c>
      <c r="D568" t="s">
        <v>40</v>
      </c>
      <c r="E568" t="s">
        <v>43</v>
      </c>
      <c r="F568" s="9">
        <v>0.08</v>
      </c>
      <c r="G568" s="10">
        <v>12929</v>
      </c>
      <c r="H568">
        <v>4.6399999999999997</v>
      </c>
      <c r="I568" s="5">
        <f>ROUND(Marketing[[#This Row],[Clicks]]*Marketing[[#This Row],[Conversion_Rate]],0)</f>
        <v>48</v>
      </c>
      <c r="J568" s="12">
        <f>Marketing[[#This Row],[Campaign_Cost]]/Marketing[[#This Row],[Customers]]</f>
        <v>269.35416666666669</v>
      </c>
      <c r="K568" t="s">
        <v>32</v>
      </c>
      <c r="L568" t="s">
        <v>20</v>
      </c>
      <c r="M568">
        <v>605</v>
      </c>
      <c r="N568">
        <v>4566</v>
      </c>
      <c r="O568">
        <v>7</v>
      </c>
      <c r="P568" t="s">
        <v>44</v>
      </c>
      <c r="Q568" s="1">
        <v>44398</v>
      </c>
    </row>
    <row r="569" spans="1:17" x14ac:dyDescent="0.3">
      <c r="A569" t="s">
        <v>49</v>
      </c>
      <c r="B569" t="s">
        <v>45</v>
      </c>
      <c r="C569" t="s">
        <v>30</v>
      </c>
      <c r="D569" t="s">
        <v>46</v>
      </c>
      <c r="E569" t="s">
        <v>18</v>
      </c>
      <c r="F569" s="9">
        <v>0.12</v>
      </c>
      <c r="G569" s="10">
        <v>16013</v>
      </c>
      <c r="H569">
        <v>4.75</v>
      </c>
      <c r="I569" s="5">
        <f>ROUND(Marketing[[#This Row],[Clicks]]*Marketing[[#This Row],[Conversion_Rate]],0)</f>
        <v>87</v>
      </c>
      <c r="J569" s="12">
        <f>Marketing[[#This Row],[Campaign_Cost]]/Marketing[[#This Row],[Customers]]</f>
        <v>184.05747126436782</v>
      </c>
      <c r="K569" t="s">
        <v>19</v>
      </c>
      <c r="L569" t="s">
        <v>26</v>
      </c>
      <c r="M569">
        <v>727</v>
      </c>
      <c r="N569">
        <v>1353</v>
      </c>
      <c r="O569">
        <v>9</v>
      </c>
      <c r="P569" t="s">
        <v>34</v>
      </c>
      <c r="Q569" s="1">
        <v>44399</v>
      </c>
    </row>
    <row r="570" spans="1:17" x14ac:dyDescent="0.3">
      <c r="A570" t="s">
        <v>28</v>
      </c>
      <c r="B570" t="s">
        <v>45</v>
      </c>
      <c r="C570" t="s">
        <v>37</v>
      </c>
      <c r="D570" t="s">
        <v>40</v>
      </c>
      <c r="E570" t="s">
        <v>18</v>
      </c>
      <c r="F570" s="9">
        <v>0.08</v>
      </c>
      <c r="G570" s="10">
        <v>6640</v>
      </c>
      <c r="H570">
        <v>4.53</v>
      </c>
      <c r="I570" s="5">
        <f>ROUND(Marketing[[#This Row],[Clicks]]*Marketing[[#This Row],[Conversion_Rate]],0)</f>
        <v>41</v>
      </c>
      <c r="J570" s="12">
        <f>Marketing[[#This Row],[Campaign_Cost]]/Marketing[[#This Row],[Customers]]</f>
        <v>161.95121951219511</v>
      </c>
      <c r="K570" t="s">
        <v>38</v>
      </c>
      <c r="L570" t="s">
        <v>50</v>
      </c>
      <c r="M570">
        <v>508</v>
      </c>
      <c r="N570">
        <v>2900</v>
      </c>
      <c r="O570">
        <v>6</v>
      </c>
      <c r="P570" t="s">
        <v>34</v>
      </c>
      <c r="Q570" s="1">
        <v>44400</v>
      </c>
    </row>
    <row r="571" spans="1:17" x14ac:dyDescent="0.3">
      <c r="A571" t="s">
        <v>35</v>
      </c>
      <c r="B571" t="s">
        <v>15</v>
      </c>
      <c r="C571" t="s">
        <v>30</v>
      </c>
      <c r="D571" t="s">
        <v>24</v>
      </c>
      <c r="E571" t="s">
        <v>41</v>
      </c>
      <c r="F571" s="9">
        <v>0.05</v>
      </c>
      <c r="G571" s="10">
        <v>12075</v>
      </c>
      <c r="H571">
        <v>2.84</v>
      </c>
      <c r="I571" s="5">
        <f>ROUND(Marketing[[#This Row],[Clicks]]*Marketing[[#This Row],[Conversion_Rate]],0)</f>
        <v>13</v>
      </c>
      <c r="J571" s="12">
        <f>Marketing[[#This Row],[Campaign_Cost]]/Marketing[[#This Row],[Customers]]</f>
        <v>928.84615384615381</v>
      </c>
      <c r="K571" t="s">
        <v>51</v>
      </c>
      <c r="L571" t="s">
        <v>39</v>
      </c>
      <c r="M571">
        <v>261</v>
      </c>
      <c r="N571">
        <v>8859</v>
      </c>
      <c r="O571">
        <v>3</v>
      </c>
      <c r="P571" t="s">
        <v>34</v>
      </c>
      <c r="Q571" s="1">
        <v>44401</v>
      </c>
    </row>
    <row r="572" spans="1:17" x14ac:dyDescent="0.3">
      <c r="A572" t="s">
        <v>28</v>
      </c>
      <c r="B572" t="s">
        <v>15</v>
      </c>
      <c r="C572" t="s">
        <v>37</v>
      </c>
      <c r="D572" t="s">
        <v>24</v>
      </c>
      <c r="E572" t="s">
        <v>18</v>
      </c>
      <c r="F572" s="9">
        <v>0.12</v>
      </c>
      <c r="G572" s="10">
        <v>5236</v>
      </c>
      <c r="H572">
        <v>6.38</v>
      </c>
      <c r="I572" s="5">
        <f>ROUND(Marketing[[#This Row],[Clicks]]*Marketing[[#This Row],[Conversion_Rate]],0)</f>
        <v>53</v>
      </c>
      <c r="J572" s="12">
        <f>Marketing[[#This Row],[Campaign_Cost]]/Marketing[[#This Row],[Customers]]</f>
        <v>98.79245283018868</v>
      </c>
      <c r="K572" t="s">
        <v>38</v>
      </c>
      <c r="L572" t="s">
        <v>20</v>
      </c>
      <c r="M572">
        <v>444</v>
      </c>
      <c r="N572">
        <v>4623</v>
      </c>
      <c r="O572">
        <v>10</v>
      </c>
      <c r="P572" t="s">
        <v>42</v>
      </c>
      <c r="Q572" s="1">
        <v>44402</v>
      </c>
    </row>
    <row r="573" spans="1:17" x14ac:dyDescent="0.3">
      <c r="A573" t="s">
        <v>22</v>
      </c>
      <c r="B573" t="s">
        <v>47</v>
      </c>
      <c r="C573" t="s">
        <v>37</v>
      </c>
      <c r="D573" t="s">
        <v>46</v>
      </c>
      <c r="E573" t="s">
        <v>18</v>
      </c>
      <c r="F573" s="9">
        <v>0.13</v>
      </c>
      <c r="G573" s="10">
        <v>18195</v>
      </c>
      <c r="H573">
        <v>6.35</v>
      </c>
      <c r="I573" s="5">
        <f>ROUND(Marketing[[#This Row],[Clicks]]*Marketing[[#This Row],[Conversion_Rate]],0)</f>
        <v>82</v>
      </c>
      <c r="J573" s="12">
        <f>Marketing[[#This Row],[Campaign_Cost]]/Marketing[[#This Row],[Customers]]</f>
        <v>221.89024390243901</v>
      </c>
      <c r="K573" t="s">
        <v>19</v>
      </c>
      <c r="L573" t="s">
        <v>50</v>
      </c>
      <c r="M573">
        <v>629</v>
      </c>
      <c r="N573">
        <v>2473</v>
      </c>
      <c r="O573">
        <v>10</v>
      </c>
      <c r="P573" t="s">
        <v>21</v>
      </c>
      <c r="Q573" s="1">
        <v>44403</v>
      </c>
    </row>
    <row r="574" spans="1:17" x14ac:dyDescent="0.3">
      <c r="A574" t="s">
        <v>35</v>
      </c>
      <c r="B574" t="s">
        <v>47</v>
      </c>
      <c r="C574" t="s">
        <v>23</v>
      </c>
      <c r="D574" t="s">
        <v>24</v>
      </c>
      <c r="E574" t="s">
        <v>31</v>
      </c>
      <c r="F574" s="9">
        <v>0.06</v>
      </c>
      <c r="G574" s="10">
        <v>12557</v>
      </c>
      <c r="H574">
        <v>6.76</v>
      </c>
      <c r="I574" s="5">
        <f>ROUND(Marketing[[#This Row],[Clicks]]*Marketing[[#This Row],[Conversion_Rate]],0)</f>
        <v>21</v>
      </c>
      <c r="J574" s="12">
        <f>Marketing[[#This Row],[Campaign_Cost]]/Marketing[[#This Row],[Customers]]</f>
        <v>597.95238095238096</v>
      </c>
      <c r="K574" t="s">
        <v>51</v>
      </c>
      <c r="L574" t="s">
        <v>50</v>
      </c>
      <c r="M574">
        <v>348</v>
      </c>
      <c r="N574">
        <v>5800</v>
      </c>
      <c r="O574">
        <v>6</v>
      </c>
      <c r="P574" t="s">
        <v>21</v>
      </c>
      <c r="Q574" s="1">
        <v>44404</v>
      </c>
    </row>
    <row r="575" spans="1:17" x14ac:dyDescent="0.3">
      <c r="A575" t="s">
        <v>49</v>
      </c>
      <c r="B575" t="s">
        <v>47</v>
      </c>
      <c r="C575" t="s">
        <v>23</v>
      </c>
      <c r="D575" t="s">
        <v>17</v>
      </c>
      <c r="E575" t="s">
        <v>15</v>
      </c>
      <c r="F575" s="9">
        <v>0.04</v>
      </c>
      <c r="G575" s="10">
        <v>12024</v>
      </c>
      <c r="H575">
        <v>7.03</v>
      </c>
      <c r="I575" s="5">
        <f>ROUND(Marketing[[#This Row],[Clicks]]*Marketing[[#This Row],[Conversion_Rate]],0)</f>
        <v>39</v>
      </c>
      <c r="J575" s="12">
        <f>Marketing[[#This Row],[Campaign_Cost]]/Marketing[[#This Row],[Customers]]</f>
        <v>308.30769230769232</v>
      </c>
      <c r="K575" t="s">
        <v>38</v>
      </c>
      <c r="L575" t="s">
        <v>50</v>
      </c>
      <c r="M575">
        <v>971</v>
      </c>
      <c r="N575">
        <v>7660</v>
      </c>
      <c r="O575">
        <v>3</v>
      </c>
      <c r="P575" t="s">
        <v>21</v>
      </c>
      <c r="Q575" s="1">
        <v>44405</v>
      </c>
    </row>
    <row r="576" spans="1:17" x14ac:dyDescent="0.3">
      <c r="A576" t="s">
        <v>22</v>
      </c>
      <c r="B576" t="s">
        <v>29</v>
      </c>
      <c r="C576" t="s">
        <v>30</v>
      </c>
      <c r="D576" t="s">
        <v>40</v>
      </c>
      <c r="E576" t="s">
        <v>48</v>
      </c>
      <c r="F576" s="9">
        <v>0.08</v>
      </c>
      <c r="G576" s="10">
        <v>13831</v>
      </c>
      <c r="H576">
        <v>5.76</v>
      </c>
      <c r="I576" s="5">
        <f>ROUND(Marketing[[#This Row],[Clicks]]*Marketing[[#This Row],[Conversion_Rate]],0)</f>
        <v>11</v>
      </c>
      <c r="J576" s="12">
        <f>Marketing[[#This Row],[Campaign_Cost]]/Marketing[[#This Row],[Customers]]</f>
        <v>1257.3636363636363</v>
      </c>
      <c r="K576" t="s">
        <v>32</v>
      </c>
      <c r="L576" t="s">
        <v>33</v>
      </c>
      <c r="M576">
        <v>133</v>
      </c>
      <c r="N576">
        <v>2508</v>
      </c>
      <c r="O576">
        <v>6</v>
      </c>
      <c r="P576" t="s">
        <v>27</v>
      </c>
      <c r="Q576" s="1">
        <v>44406</v>
      </c>
    </row>
    <row r="577" spans="1:17" x14ac:dyDescent="0.3">
      <c r="A577" t="s">
        <v>22</v>
      </c>
      <c r="B577" t="s">
        <v>36</v>
      </c>
      <c r="C577" t="s">
        <v>37</v>
      </c>
      <c r="D577" t="s">
        <v>40</v>
      </c>
      <c r="E577" t="s">
        <v>41</v>
      </c>
      <c r="F577" s="9">
        <v>0.04</v>
      </c>
      <c r="G577" s="10">
        <v>14207</v>
      </c>
      <c r="H577">
        <v>2.87</v>
      </c>
      <c r="I577" s="5">
        <f>ROUND(Marketing[[#This Row],[Clicks]]*Marketing[[#This Row],[Conversion_Rate]],0)</f>
        <v>38</v>
      </c>
      <c r="J577" s="12">
        <f>Marketing[[#This Row],[Campaign_Cost]]/Marketing[[#This Row],[Customers]]</f>
        <v>373.86842105263156</v>
      </c>
      <c r="K577" t="s">
        <v>51</v>
      </c>
      <c r="L577" t="s">
        <v>50</v>
      </c>
      <c r="M577">
        <v>952</v>
      </c>
      <c r="N577">
        <v>7391</v>
      </c>
      <c r="O577">
        <v>10</v>
      </c>
      <c r="P577" t="s">
        <v>34</v>
      </c>
      <c r="Q577" s="1">
        <v>44407</v>
      </c>
    </row>
    <row r="578" spans="1:17" x14ac:dyDescent="0.3">
      <c r="A578" t="s">
        <v>14</v>
      </c>
      <c r="B578" t="s">
        <v>15</v>
      </c>
      <c r="C578" t="s">
        <v>16</v>
      </c>
      <c r="D578" t="s">
        <v>46</v>
      </c>
      <c r="E578" t="s">
        <v>41</v>
      </c>
      <c r="F578" s="9">
        <v>0.14000000000000001</v>
      </c>
      <c r="G578" s="10">
        <v>10698</v>
      </c>
      <c r="H578">
        <v>5.45</v>
      </c>
      <c r="I578" s="5">
        <f>ROUND(Marketing[[#This Row],[Clicks]]*Marketing[[#This Row],[Conversion_Rate]],0)</f>
        <v>83</v>
      </c>
      <c r="J578" s="12">
        <f>Marketing[[#This Row],[Campaign_Cost]]/Marketing[[#This Row],[Customers]]</f>
        <v>128.89156626506025</v>
      </c>
      <c r="K578" t="s">
        <v>51</v>
      </c>
      <c r="L578" t="s">
        <v>20</v>
      </c>
      <c r="M578">
        <v>593</v>
      </c>
      <c r="N578">
        <v>8788</v>
      </c>
      <c r="O578">
        <v>8</v>
      </c>
      <c r="P578" t="s">
        <v>44</v>
      </c>
      <c r="Q578" s="1">
        <v>44408</v>
      </c>
    </row>
    <row r="579" spans="1:17" x14ac:dyDescent="0.3">
      <c r="A579" t="s">
        <v>22</v>
      </c>
      <c r="B579" t="s">
        <v>36</v>
      </c>
      <c r="C579" t="s">
        <v>37</v>
      </c>
      <c r="D579" t="s">
        <v>24</v>
      </c>
      <c r="E579" t="s">
        <v>18</v>
      </c>
      <c r="F579" s="9">
        <v>0.02</v>
      </c>
      <c r="G579" s="10">
        <v>7321</v>
      </c>
      <c r="H579">
        <v>2.21</v>
      </c>
      <c r="I579" s="5">
        <f>ROUND(Marketing[[#This Row],[Clicks]]*Marketing[[#This Row],[Conversion_Rate]],0)</f>
        <v>18</v>
      </c>
      <c r="J579" s="12">
        <f>Marketing[[#This Row],[Campaign_Cost]]/Marketing[[#This Row],[Customers]]</f>
        <v>406.72222222222223</v>
      </c>
      <c r="K579" t="s">
        <v>19</v>
      </c>
      <c r="L579" t="s">
        <v>50</v>
      </c>
      <c r="M579">
        <v>897</v>
      </c>
      <c r="N579">
        <v>5065</v>
      </c>
      <c r="O579">
        <v>9</v>
      </c>
      <c r="P579" t="s">
        <v>21</v>
      </c>
      <c r="Q579" s="1">
        <v>44409</v>
      </c>
    </row>
    <row r="580" spans="1:17" x14ac:dyDescent="0.3">
      <c r="A580" t="s">
        <v>49</v>
      </c>
      <c r="B580" t="s">
        <v>15</v>
      </c>
      <c r="C580" t="s">
        <v>52</v>
      </c>
      <c r="D580" t="s">
        <v>17</v>
      </c>
      <c r="E580" t="s">
        <v>15</v>
      </c>
      <c r="F580" s="9">
        <v>0.12</v>
      </c>
      <c r="G580" s="10">
        <v>5070</v>
      </c>
      <c r="H580">
        <v>3.7</v>
      </c>
      <c r="I580" s="5">
        <f>ROUND(Marketing[[#This Row],[Clicks]]*Marketing[[#This Row],[Conversion_Rate]],0)</f>
        <v>112</v>
      </c>
      <c r="J580" s="12">
        <f>Marketing[[#This Row],[Campaign_Cost]]/Marketing[[#This Row],[Customers]]</f>
        <v>45.267857142857146</v>
      </c>
      <c r="K580" t="s">
        <v>25</v>
      </c>
      <c r="L580" t="s">
        <v>26</v>
      </c>
      <c r="M580">
        <v>934</v>
      </c>
      <c r="N580">
        <v>3769</v>
      </c>
      <c r="O580">
        <v>4</v>
      </c>
      <c r="P580" t="s">
        <v>44</v>
      </c>
      <c r="Q580" s="1">
        <v>44410</v>
      </c>
    </row>
    <row r="581" spans="1:17" x14ac:dyDescent="0.3">
      <c r="A581" t="s">
        <v>14</v>
      </c>
      <c r="B581" t="s">
        <v>15</v>
      </c>
      <c r="C581" t="s">
        <v>30</v>
      </c>
      <c r="D581" t="s">
        <v>46</v>
      </c>
      <c r="E581" t="s">
        <v>43</v>
      </c>
      <c r="F581" s="9">
        <v>0.09</v>
      </c>
      <c r="G581" s="10">
        <v>8417</v>
      </c>
      <c r="H581">
        <v>7.54</v>
      </c>
      <c r="I581" s="5">
        <f>ROUND(Marketing[[#This Row],[Clicks]]*Marketing[[#This Row],[Conversion_Rate]],0)</f>
        <v>53</v>
      </c>
      <c r="J581" s="12">
        <f>Marketing[[#This Row],[Campaign_Cost]]/Marketing[[#This Row],[Customers]]</f>
        <v>158.81132075471697</v>
      </c>
      <c r="K581" t="s">
        <v>38</v>
      </c>
      <c r="L581" t="s">
        <v>50</v>
      </c>
      <c r="M581">
        <v>594</v>
      </c>
      <c r="N581">
        <v>8142</v>
      </c>
      <c r="O581">
        <v>3</v>
      </c>
      <c r="P581" t="s">
        <v>21</v>
      </c>
      <c r="Q581" s="1">
        <v>44411</v>
      </c>
    </row>
    <row r="582" spans="1:17" x14ac:dyDescent="0.3">
      <c r="A582" t="s">
        <v>35</v>
      </c>
      <c r="B582" t="s">
        <v>47</v>
      </c>
      <c r="C582" t="s">
        <v>16</v>
      </c>
      <c r="D582" t="s">
        <v>40</v>
      </c>
      <c r="E582" t="s">
        <v>15</v>
      </c>
      <c r="F582" s="9">
        <v>0.09</v>
      </c>
      <c r="G582" s="10">
        <v>12149</v>
      </c>
      <c r="H582">
        <v>7.66</v>
      </c>
      <c r="I582" s="5">
        <f>ROUND(Marketing[[#This Row],[Clicks]]*Marketing[[#This Row],[Conversion_Rate]],0)</f>
        <v>14</v>
      </c>
      <c r="J582" s="12">
        <f>Marketing[[#This Row],[Campaign_Cost]]/Marketing[[#This Row],[Customers]]</f>
        <v>867.78571428571433</v>
      </c>
      <c r="K582" t="s">
        <v>19</v>
      </c>
      <c r="L582" t="s">
        <v>39</v>
      </c>
      <c r="M582">
        <v>155</v>
      </c>
      <c r="N582">
        <v>1790</v>
      </c>
      <c r="O582">
        <v>2</v>
      </c>
      <c r="P582" t="s">
        <v>34</v>
      </c>
      <c r="Q582" s="1">
        <v>44412</v>
      </c>
    </row>
    <row r="583" spans="1:17" x14ac:dyDescent="0.3">
      <c r="A583" t="s">
        <v>28</v>
      </c>
      <c r="B583" t="s">
        <v>29</v>
      </c>
      <c r="C583" t="s">
        <v>30</v>
      </c>
      <c r="D583" t="s">
        <v>24</v>
      </c>
      <c r="E583" t="s">
        <v>41</v>
      </c>
      <c r="F583" s="9">
        <v>0.05</v>
      </c>
      <c r="G583" s="10">
        <v>18733</v>
      </c>
      <c r="H583">
        <v>2.5499999999999998</v>
      </c>
      <c r="I583" s="5">
        <f>ROUND(Marketing[[#This Row],[Clicks]]*Marketing[[#This Row],[Conversion_Rate]],0)</f>
        <v>11</v>
      </c>
      <c r="J583" s="12">
        <f>Marketing[[#This Row],[Campaign_Cost]]/Marketing[[#This Row],[Customers]]</f>
        <v>1703</v>
      </c>
      <c r="K583" t="s">
        <v>32</v>
      </c>
      <c r="L583" t="s">
        <v>33</v>
      </c>
      <c r="M583">
        <v>213</v>
      </c>
      <c r="N583">
        <v>4768</v>
      </c>
      <c r="O583">
        <v>3</v>
      </c>
      <c r="P583" t="s">
        <v>34</v>
      </c>
      <c r="Q583" s="1">
        <v>44413</v>
      </c>
    </row>
    <row r="584" spans="1:17" x14ac:dyDescent="0.3">
      <c r="A584" t="s">
        <v>49</v>
      </c>
      <c r="B584" t="s">
        <v>29</v>
      </c>
      <c r="C584" t="s">
        <v>30</v>
      </c>
      <c r="D584" t="s">
        <v>46</v>
      </c>
      <c r="E584" t="s">
        <v>18</v>
      </c>
      <c r="F584" s="9">
        <v>0.13</v>
      </c>
      <c r="G584" s="10">
        <v>13282</v>
      </c>
      <c r="H584">
        <v>5.03</v>
      </c>
      <c r="I584" s="5">
        <f>ROUND(Marketing[[#This Row],[Clicks]]*Marketing[[#This Row],[Conversion_Rate]],0)</f>
        <v>56</v>
      </c>
      <c r="J584" s="12">
        <f>Marketing[[#This Row],[Campaign_Cost]]/Marketing[[#This Row],[Customers]]</f>
        <v>237.17857142857142</v>
      </c>
      <c r="K584" t="s">
        <v>32</v>
      </c>
      <c r="L584" t="s">
        <v>50</v>
      </c>
      <c r="M584">
        <v>433</v>
      </c>
      <c r="N584">
        <v>6849</v>
      </c>
      <c r="O584">
        <v>9</v>
      </c>
      <c r="P584" t="s">
        <v>21</v>
      </c>
      <c r="Q584" s="1">
        <v>44414</v>
      </c>
    </row>
    <row r="585" spans="1:17" x14ac:dyDescent="0.3">
      <c r="A585" t="s">
        <v>49</v>
      </c>
      <c r="B585" t="s">
        <v>45</v>
      </c>
      <c r="C585" t="s">
        <v>52</v>
      </c>
      <c r="D585" t="s">
        <v>40</v>
      </c>
      <c r="E585" t="s">
        <v>43</v>
      </c>
      <c r="F585" s="9">
        <v>7.0000000000000007E-2</v>
      </c>
      <c r="G585" s="10">
        <v>5027</v>
      </c>
      <c r="H585">
        <v>6.02</v>
      </c>
      <c r="I585" s="5">
        <f>ROUND(Marketing[[#This Row],[Clicks]]*Marketing[[#This Row],[Conversion_Rate]],0)</f>
        <v>67</v>
      </c>
      <c r="J585" s="12">
        <f>Marketing[[#This Row],[Campaign_Cost]]/Marketing[[#This Row],[Customers]]</f>
        <v>75.02985074626865</v>
      </c>
      <c r="K585" t="s">
        <v>32</v>
      </c>
      <c r="L585" t="s">
        <v>39</v>
      </c>
      <c r="M585">
        <v>956</v>
      </c>
      <c r="N585">
        <v>3644</v>
      </c>
      <c r="O585">
        <v>9</v>
      </c>
      <c r="P585" t="s">
        <v>44</v>
      </c>
      <c r="Q585" s="1">
        <v>44415</v>
      </c>
    </row>
    <row r="586" spans="1:17" x14ac:dyDescent="0.3">
      <c r="A586" t="s">
        <v>35</v>
      </c>
      <c r="B586" t="s">
        <v>47</v>
      </c>
      <c r="C586" t="s">
        <v>16</v>
      </c>
      <c r="D586" t="s">
        <v>40</v>
      </c>
      <c r="E586" t="s">
        <v>48</v>
      </c>
      <c r="F586" s="9">
        <v>0.14000000000000001</v>
      </c>
      <c r="G586" s="10">
        <v>14540</v>
      </c>
      <c r="H586">
        <v>5.97</v>
      </c>
      <c r="I586" s="5">
        <f>ROUND(Marketing[[#This Row],[Clicks]]*Marketing[[#This Row],[Conversion_Rate]],0)</f>
        <v>64</v>
      </c>
      <c r="J586" s="12">
        <f>Marketing[[#This Row],[Campaign_Cost]]/Marketing[[#This Row],[Customers]]</f>
        <v>227.1875</v>
      </c>
      <c r="K586" t="s">
        <v>19</v>
      </c>
      <c r="L586" t="s">
        <v>20</v>
      </c>
      <c r="M586">
        <v>454</v>
      </c>
      <c r="N586">
        <v>4981</v>
      </c>
      <c r="O586">
        <v>6</v>
      </c>
      <c r="P586" t="s">
        <v>44</v>
      </c>
      <c r="Q586" s="1">
        <v>44416</v>
      </c>
    </row>
    <row r="587" spans="1:17" x14ac:dyDescent="0.3">
      <c r="A587" t="s">
        <v>35</v>
      </c>
      <c r="B587" t="s">
        <v>45</v>
      </c>
      <c r="C587" t="s">
        <v>37</v>
      </c>
      <c r="D587" t="s">
        <v>40</v>
      </c>
      <c r="E587" t="s">
        <v>15</v>
      </c>
      <c r="F587" s="9">
        <v>0.08</v>
      </c>
      <c r="G587" s="10">
        <v>10905</v>
      </c>
      <c r="H587">
        <v>3.97</v>
      </c>
      <c r="I587" s="5">
        <f>ROUND(Marketing[[#This Row],[Clicks]]*Marketing[[#This Row],[Conversion_Rate]],0)</f>
        <v>31</v>
      </c>
      <c r="J587" s="12">
        <f>Marketing[[#This Row],[Campaign_Cost]]/Marketing[[#This Row],[Customers]]</f>
        <v>351.77419354838707</v>
      </c>
      <c r="K587" t="s">
        <v>32</v>
      </c>
      <c r="L587" t="s">
        <v>50</v>
      </c>
      <c r="M587">
        <v>392</v>
      </c>
      <c r="N587">
        <v>8196</v>
      </c>
      <c r="O587">
        <v>1</v>
      </c>
      <c r="P587" t="s">
        <v>21</v>
      </c>
      <c r="Q587" s="1">
        <v>44417</v>
      </c>
    </row>
    <row r="588" spans="1:17" x14ac:dyDescent="0.3">
      <c r="A588" t="s">
        <v>35</v>
      </c>
      <c r="B588" t="s">
        <v>36</v>
      </c>
      <c r="C588" t="s">
        <v>52</v>
      </c>
      <c r="D588" t="s">
        <v>24</v>
      </c>
      <c r="E588" t="s">
        <v>43</v>
      </c>
      <c r="F588" s="9">
        <v>0.06</v>
      </c>
      <c r="G588" s="10">
        <v>16970</v>
      </c>
      <c r="H588">
        <v>7.05</v>
      </c>
      <c r="I588" s="5">
        <f>ROUND(Marketing[[#This Row],[Clicks]]*Marketing[[#This Row],[Conversion_Rate]],0)</f>
        <v>18</v>
      </c>
      <c r="J588" s="12">
        <f>Marketing[[#This Row],[Campaign_Cost]]/Marketing[[#This Row],[Customers]]</f>
        <v>942.77777777777783</v>
      </c>
      <c r="K588" t="s">
        <v>51</v>
      </c>
      <c r="L588" t="s">
        <v>50</v>
      </c>
      <c r="M588">
        <v>305</v>
      </c>
      <c r="N588">
        <v>6899</v>
      </c>
      <c r="O588">
        <v>3</v>
      </c>
      <c r="P588" t="s">
        <v>21</v>
      </c>
      <c r="Q588" s="1">
        <v>44418</v>
      </c>
    </row>
    <row r="589" spans="1:17" x14ac:dyDescent="0.3">
      <c r="A589" t="s">
        <v>35</v>
      </c>
      <c r="B589" t="s">
        <v>15</v>
      </c>
      <c r="C589" t="s">
        <v>30</v>
      </c>
      <c r="D589" t="s">
        <v>24</v>
      </c>
      <c r="E589" t="s">
        <v>18</v>
      </c>
      <c r="F589" s="9">
        <v>0.05</v>
      </c>
      <c r="G589" s="10">
        <v>14910</v>
      </c>
      <c r="H589">
        <v>5.27</v>
      </c>
      <c r="I589" s="5">
        <f>ROUND(Marketing[[#This Row],[Clicks]]*Marketing[[#This Row],[Conversion_Rate]],0)</f>
        <v>9</v>
      </c>
      <c r="J589" s="12">
        <f>Marketing[[#This Row],[Campaign_Cost]]/Marketing[[#This Row],[Customers]]</f>
        <v>1656.6666666666667</v>
      </c>
      <c r="K589" t="s">
        <v>19</v>
      </c>
      <c r="L589" t="s">
        <v>20</v>
      </c>
      <c r="M589">
        <v>187</v>
      </c>
      <c r="N589">
        <v>8782</v>
      </c>
      <c r="O589">
        <v>2</v>
      </c>
      <c r="P589" t="s">
        <v>34</v>
      </c>
      <c r="Q589" s="1">
        <v>44419</v>
      </c>
    </row>
    <row r="590" spans="1:17" x14ac:dyDescent="0.3">
      <c r="A590" t="s">
        <v>49</v>
      </c>
      <c r="B590" t="s">
        <v>15</v>
      </c>
      <c r="C590" t="s">
        <v>37</v>
      </c>
      <c r="D590" t="s">
        <v>46</v>
      </c>
      <c r="E590" t="s">
        <v>31</v>
      </c>
      <c r="F590" s="9">
        <v>0.09</v>
      </c>
      <c r="G590" s="10">
        <v>12528</v>
      </c>
      <c r="H590">
        <v>6.38</v>
      </c>
      <c r="I590" s="5">
        <f>ROUND(Marketing[[#This Row],[Clicks]]*Marketing[[#This Row],[Conversion_Rate]],0)</f>
        <v>55</v>
      </c>
      <c r="J590" s="12">
        <f>Marketing[[#This Row],[Campaign_Cost]]/Marketing[[#This Row],[Customers]]</f>
        <v>227.78181818181818</v>
      </c>
      <c r="K590" t="s">
        <v>51</v>
      </c>
      <c r="L590" t="s">
        <v>39</v>
      </c>
      <c r="M590">
        <v>607</v>
      </c>
      <c r="N590">
        <v>6861</v>
      </c>
      <c r="O590">
        <v>7</v>
      </c>
      <c r="P590" t="s">
        <v>42</v>
      </c>
      <c r="Q590" s="1">
        <v>44420</v>
      </c>
    </row>
    <row r="591" spans="1:17" x14ac:dyDescent="0.3">
      <c r="A591" t="s">
        <v>22</v>
      </c>
      <c r="B591" t="s">
        <v>15</v>
      </c>
      <c r="C591" t="s">
        <v>30</v>
      </c>
      <c r="D591" t="s">
        <v>40</v>
      </c>
      <c r="E591" t="s">
        <v>31</v>
      </c>
      <c r="F591" s="9">
        <v>0.04</v>
      </c>
      <c r="G591" s="10">
        <v>18796</v>
      </c>
      <c r="H591">
        <v>6.2</v>
      </c>
      <c r="I591" s="5">
        <f>ROUND(Marketing[[#This Row],[Clicks]]*Marketing[[#This Row],[Conversion_Rate]],0)</f>
        <v>21</v>
      </c>
      <c r="J591" s="12">
        <f>Marketing[[#This Row],[Campaign_Cost]]/Marketing[[#This Row],[Customers]]</f>
        <v>895.04761904761904</v>
      </c>
      <c r="K591" t="s">
        <v>25</v>
      </c>
      <c r="L591" t="s">
        <v>26</v>
      </c>
      <c r="M591">
        <v>530</v>
      </c>
      <c r="N591">
        <v>3022</v>
      </c>
      <c r="O591">
        <v>5</v>
      </c>
      <c r="P591" t="s">
        <v>27</v>
      </c>
      <c r="Q591" s="1">
        <v>44421</v>
      </c>
    </row>
    <row r="592" spans="1:17" x14ac:dyDescent="0.3">
      <c r="A592" t="s">
        <v>35</v>
      </c>
      <c r="B592" t="s">
        <v>47</v>
      </c>
      <c r="C592" t="s">
        <v>37</v>
      </c>
      <c r="D592" t="s">
        <v>24</v>
      </c>
      <c r="E592" t="s">
        <v>15</v>
      </c>
      <c r="F592" s="9">
        <v>0.09</v>
      </c>
      <c r="G592" s="10">
        <v>14635</v>
      </c>
      <c r="H592">
        <v>2.71</v>
      </c>
      <c r="I592" s="5">
        <f>ROUND(Marketing[[#This Row],[Clicks]]*Marketing[[#This Row],[Conversion_Rate]],0)</f>
        <v>16</v>
      </c>
      <c r="J592" s="12">
        <f>Marketing[[#This Row],[Campaign_Cost]]/Marketing[[#This Row],[Customers]]</f>
        <v>914.6875</v>
      </c>
      <c r="K592" t="s">
        <v>38</v>
      </c>
      <c r="L592" t="s">
        <v>33</v>
      </c>
      <c r="M592">
        <v>177</v>
      </c>
      <c r="N592">
        <v>2151</v>
      </c>
      <c r="O592">
        <v>10</v>
      </c>
      <c r="P592" t="s">
        <v>42</v>
      </c>
      <c r="Q592" s="1">
        <v>44422</v>
      </c>
    </row>
    <row r="593" spans="1:17" x14ac:dyDescent="0.3">
      <c r="A593" t="s">
        <v>35</v>
      </c>
      <c r="B593" t="s">
        <v>36</v>
      </c>
      <c r="C593" t="s">
        <v>30</v>
      </c>
      <c r="D593" t="s">
        <v>24</v>
      </c>
      <c r="E593" t="s">
        <v>31</v>
      </c>
      <c r="F593" s="9">
        <v>0.02</v>
      </c>
      <c r="G593" s="10">
        <v>8562</v>
      </c>
      <c r="H593">
        <v>7.83</v>
      </c>
      <c r="I593" s="5">
        <f>ROUND(Marketing[[#This Row],[Clicks]]*Marketing[[#This Row],[Conversion_Rate]],0)</f>
        <v>2</v>
      </c>
      <c r="J593" s="12">
        <f>Marketing[[#This Row],[Campaign_Cost]]/Marketing[[#This Row],[Customers]]</f>
        <v>4281</v>
      </c>
      <c r="K593" t="s">
        <v>51</v>
      </c>
      <c r="L593" t="s">
        <v>26</v>
      </c>
      <c r="M593">
        <v>117</v>
      </c>
      <c r="N593">
        <v>9814</v>
      </c>
      <c r="O593">
        <v>3</v>
      </c>
      <c r="P593" t="s">
        <v>44</v>
      </c>
      <c r="Q593" s="1">
        <v>44423</v>
      </c>
    </row>
    <row r="594" spans="1:17" x14ac:dyDescent="0.3">
      <c r="A594" t="s">
        <v>49</v>
      </c>
      <c r="B594" t="s">
        <v>47</v>
      </c>
      <c r="C594" t="s">
        <v>30</v>
      </c>
      <c r="D594" t="s">
        <v>24</v>
      </c>
      <c r="E594" t="s">
        <v>41</v>
      </c>
      <c r="F594" s="9">
        <v>0.08</v>
      </c>
      <c r="G594" s="10">
        <v>18690</v>
      </c>
      <c r="H594">
        <v>5.47</v>
      </c>
      <c r="I594" s="5">
        <f>ROUND(Marketing[[#This Row],[Clicks]]*Marketing[[#This Row],[Conversion_Rate]],0)</f>
        <v>48</v>
      </c>
      <c r="J594" s="12">
        <f>Marketing[[#This Row],[Campaign_Cost]]/Marketing[[#This Row],[Customers]]</f>
        <v>389.375</v>
      </c>
      <c r="K594" t="s">
        <v>38</v>
      </c>
      <c r="L594" t="s">
        <v>39</v>
      </c>
      <c r="M594">
        <v>598</v>
      </c>
      <c r="N594">
        <v>5556</v>
      </c>
      <c r="O594">
        <v>8</v>
      </c>
      <c r="P594" t="s">
        <v>34</v>
      </c>
      <c r="Q594" s="1">
        <v>44424</v>
      </c>
    </row>
    <row r="595" spans="1:17" x14ac:dyDescent="0.3">
      <c r="A595" t="s">
        <v>14</v>
      </c>
      <c r="B595" t="s">
        <v>15</v>
      </c>
      <c r="C595" t="s">
        <v>23</v>
      </c>
      <c r="D595" t="s">
        <v>17</v>
      </c>
      <c r="E595" t="s">
        <v>43</v>
      </c>
      <c r="F595" s="9">
        <v>0.12</v>
      </c>
      <c r="G595" s="10">
        <v>11229</v>
      </c>
      <c r="H595">
        <v>7</v>
      </c>
      <c r="I595" s="5">
        <f>ROUND(Marketing[[#This Row],[Clicks]]*Marketing[[#This Row],[Conversion_Rate]],0)</f>
        <v>17</v>
      </c>
      <c r="J595" s="12">
        <f>Marketing[[#This Row],[Campaign_Cost]]/Marketing[[#This Row],[Customers]]</f>
        <v>660.52941176470586</v>
      </c>
      <c r="K595" t="s">
        <v>32</v>
      </c>
      <c r="L595" t="s">
        <v>33</v>
      </c>
      <c r="M595">
        <v>145</v>
      </c>
      <c r="N595">
        <v>1535</v>
      </c>
      <c r="O595">
        <v>8</v>
      </c>
      <c r="P595" t="s">
        <v>27</v>
      </c>
      <c r="Q595" s="1">
        <v>44425</v>
      </c>
    </row>
    <row r="596" spans="1:17" x14ac:dyDescent="0.3">
      <c r="A596" t="s">
        <v>28</v>
      </c>
      <c r="B596" t="s">
        <v>29</v>
      </c>
      <c r="C596" t="s">
        <v>37</v>
      </c>
      <c r="D596" t="s">
        <v>46</v>
      </c>
      <c r="E596" t="s">
        <v>31</v>
      </c>
      <c r="F596" s="9">
        <v>0.03</v>
      </c>
      <c r="G596" s="10">
        <v>8633</v>
      </c>
      <c r="H596">
        <v>4.47</v>
      </c>
      <c r="I596" s="5">
        <f>ROUND(Marketing[[#This Row],[Clicks]]*Marketing[[#This Row],[Conversion_Rate]],0)</f>
        <v>25</v>
      </c>
      <c r="J596" s="12">
        <f>Marketing[[#This Row],[Campaign_Cost]]/Marketing[[#This Row],[Customers]]</f>
        <v>345.32</v>
      </c>
      <c r="K596" t="s">
        <v>32</v>
      </c>
      <c r="L596" t="s">
        <v>33</v>
      </c>
      <c r="M596">
        <v>819</v>
      </c>
      <c r="N596">
        <v>5487</v>
      </c>
      <c r="O596">
        <v>8</v>
      </c>
      <c r="P596" t="s">
        <v>27</v>
      </c>
      <c r="Q596" s="1">
        <v>44426</v>
      </c>
    </row>
    <row r="597" spans="1:17" x14ac:dyDescent="0.3">
      <c r="A597" t="s">
        <v>35</v>
      </c>
      <c r="B597" t="s">
        <v>36</v>
      </c>
      <c r="C597" t="s">
        <v>23</v>
      </c>
      <c r="D597" t="s">
        <v>17</v>
      </c>
      <c r="E597" t="s">
        <v>41</v>
      </c>
      <c r="F597" s="9">
        <v>0.02</v>
      </c>
      <c r="G597" s="10">
        <v>11529</v>
      </c>
      <c r="H597">
        <v>2.4300000000000002</v>
      </c>
      <c r="I597" s="5">
        <f>ROUND(Marketing[[#This Row],[Clicks]]*Marketing[[#This Row],[Conversion_Rate]],0)</f>
        <v>18</v>
      </c>
      <c r="J597" s="12">
        <f>Marketing[[#This Row],[Campaign_Cost]]/Marketing[[#This Row],[Customers]]</f>
        <v>640.5</v>
      </c>
      <c r="K597" t="s">
        <v>32</v>
      </c>
      <c r="L597" t="s">
        <v>39</v>
      </c>
      <c r="M597">
        <v>881</v>
      </c>
      <c r="N597">
        <v>2105</v>
      </c>
      <c r="O597">
        <v>4</v>
      </c>
      <c r="P597" t="s">
        <v>34</v>
      </c>
      <c r="Q597" s="1">
        <v>44427</v>
      </c>
    </row>
    <row r="598" spans="1:17" x14ac:dyDescent="0.3">
      <c r="A598" t="s">
        <v>28</v>
      </c>
      <c r="B598" t="s">
        <v>29</v>
      </c>
      <c r="C598" t="s">
        <v>37</v>
      </c>
      <c r="D598" t="s">
        <v>17</v>
      </c>
      <c r="E598" t="s">
        <v>43</v>
      </c>
      <c r="F598" s="9">
        <v>0.02</v>
      </c>
      <c r="G598" s="10">
        <v>13763</v>
      </c>
      <c r="H598">
        <v>3.87</v>
      </c>
      <c r="I598" s="5">
        <f>ROUND(Marketing[[#This Row],[Clicks]]*Marketing[[#This Row],[Conversion_Rate]],0)</f>
        <v>13</v>
      </c>
      <c r="J598" s="12">
        <f>Marketing[[#This Row],[Campaign_Cost]]/Marketing[[#This Row],[Customers]]</f>
        <v>1058.6923076923076</v>
      </c>
      <c r="K598" t="s">
        <v>25</v>
      </c>
      <c r="L598" t="s">
        <v>50</v>
      </c>
      <c r="M598">
        <v>626</v>
      </c>
      <c r="N598">
        <v>5983</v>
      </c>
      <c r="O598">
        <v>3</v>
      </c>
      <c r="P598" t="s">
        <v>34</v>
      </c>
      <c r="Q598" s="1">
        <v>44428</v>
      </c>
    </row>
    <row r="599" spans="1:17" x14ac:dyDescent="0.3">
      <c r="A599" t="s">
        <v>49</v>
      </c>
      <c r="B599" t="s">
        <v>47</v>
      </c>
      <c r="C599" t="s">
        <v>37</v>
      </c>
      <c r="D599" t="s">
        <v>17</v>
      </c>
      <c r="E599" t="s">
        <v>18</v>
      </c>
      <c r="F599" s="9">
        <v>0.08</v>
      </c>
      <c r="G599" s="10">
        <v>13348</v>
      </c>
      <c r="H599">
        <v>5.08</v>
      </c>
      <c r="I599" s="5">
        <f>ROUND(Marketing[[#This Row],[Clicks]]*Marketing[[#This Row],[Conversion_Rate]],0)</f>
        <v>24</v>
      </c>
      <c r="J599" s="12">
        <f>Marketing[[#This Row],[Campaign_Cost]]/Marketing[[#This Row],[Customers]]</f>
        <v>556.16666666666663</v>
      </c>
      <c r="K599" t="s">
        <v>38</v>
      </c>
      <c r="L599" t="s">
        <v>33</v>
      </c>
      <c r="M599">
        <v>303</v>
      </c>
      <c r="N599">
        <v>5330</v>
      </c>
      <c r="O599">
        <v>7</v>
      </c>
      <c r="P599" t="s">
        <v>44</v>
      </c>
      <c r="Q599" s="1">
        <v>44429</v>
      </c>
    </row>
    <row r="600" spans="1:17" x14ac:dyDescent="0.3">
      <c r="A600" t="s">
        <v>49</v>
      </c>
      <c r="B600" t="s">
        <v>29</v>
      </c>
      <c r="C600" t="s">
        <v>16</v>
      </c>
      <c r="D600" t="s">
        <v>46</v>
      </c>
      <c r="E600" t="s">
        <v>15</v>
      </c>
      <c r="F600" s="9">
        <v>0.1</v>
      </c>
      <c r="G600" s="10">
        <v>17808</v>
      </c>
      <c r="H600">
        <v>5.38</v>
      </c>
      <c r="I600" s="5">
        <f>ROUND(Marketing[[#This Row],[Clicks]]*Marketing[[#This Row],[Conversion_Rate]],0)</f>
        <v>67</v>
      </c>
      <c r="J600" s="12">
        <f>Marketing[[#This Row],[Campaign_Cost]]/Marketing[[#This Row],[Customers]]</f>
        <v>265.79104477611941</v>
      </c>
      <c r="K600" t="s">
        <v>19</v>
      </c>
      <c r="L600" t="s">
        <v>39</v>
      </c>
      <c r="M600">
        <v>667</v>
      </c>
      <c r="N600">
        <v>8500</v>
      </c>
      <c r="O600">
        <v>6</v>
      </c>
      <c r="P600" t="s">
        <v>44</v>
      </c>
      <c r="Q600" s="1">
        <v>44430</v>
      </c>
    </row>
    <row r="601" spans="1:17" x14ac:dyDescent="0.3">
      <c r="A601" t="s">
        <v>35</v>
      </c>
      <c r="B601" t="s">
        <v>29</v>
      </c>
      <c r="C601" t="s">
        <v>16</v>
      </c>
      <c r="D601" t="s">
        <v>17</v>
      </c>
      <c r="E601" t="s">
        <v>31</v>
      </c>
      <c r="F601" s="9">
        <v>0.12</v>
      </c>
      <c r="G601" s="10">
        <v>5680</v>
      </c>
      <c r="H601">
        <v>6.01</v>
      </c>
      <c r="I601" s="5">
        <f>ROUND(Marketing[[#This Row],[Clicks]]*Marketing[[#This Row],[Conversion_Rate]],0)</f>
        <v>25</v>
      </c>
      <c r="J601" s="12">
        <f>Marketing[[#This Row],[Campaign_Cost]]/Marketing[[#This Row],[Customers]]</f>
        <v>227.2</v>
      </c>
      <c r="K601" t="s">
        <v>19</v>
      </c>
      <c r="L601" t="s">
        <v>50</v>
      </c>
      <c r="M601">
        <v>209</v>
      </c>
      <c r="N601">
        <v>8713</v>
      </c>
      <c r="O601">
        <v>7</v>
      </c>
      <c r="P601" t="s">
        <v>27</v>
      </c>
      <c r="Q601" s="1">
        <v>44431</v>
      </c>
    </row>
    <row r="602" spans="1:17" x14ac:dyDescent="0.3">
      <c r="A602" t="s">
        <v>14</v>
      </c>
      <c r="B602" t="s">
        <v>47</v>
      </c>
      <c r="C602" t="s">
        <v>52</v>
      </c>
      <c r="D602" t="s">
        <v>46</v>
      </c>
      <c r="E602" t="s">
        <v>15</v>
      </c>
      <c r="F602" s="9">
        <v>0.04</v>
      </c>
      <c r="G602" s="10">
        <v>9893</v>
      </c>
      <c r="H602">
        <v>6.7</v>
      </c>
      <c r="I602" s="5">
        <f>ROUND(Marketing[[#This Row],[Clicks]]*Marketing[[#This Row],[Conversion_Rate]],0)</f>
        <v>17</v>
      </c>
      <c r="J602" s="12">
        <f>Marketing[[#This Row],[Campaign_Cost]]/Marketing[[#This Row],[Customers]]</f>
        <v>581.94117647058829</v>
      </c>
      <c r="K602" t="s">
        <v>32</v>
      </c>
      <c r="L602" t="s">
        <v>33</v>
      </c>
      <c r="M602">
        <v>425</v>
      </c>
      <c r="N602">
        <v>3307</v>
      </c>
      <c r="O602">
        <v>5</v>
      </c>
      <c r="P602" t="s">
        <v>44</v>
      </c>
      <c r="Q602" s="1">
        <v>44432</v>
      </c>
    </row>
    <row r="603" spans="1:17" x14ac:dyDescent="0.3">
      <c r="A603" t="s">
        <v>49</v>
      </c>
      <c r="B603" t="s">
        <v>47</v>
      </c>
      <c r="C603" t="s">
        <v>30</v>
      </c>
      <c r="D603" t="s">
        <v>17</v>
      </c>
      <c r="E603" t="s">
        <v>18</v>
      </c>
      <c r="F603" s="9">
        <v>0.02</v>
      </c>
      <c r="G603" s="10">
        <v>18741</v>
      </c>
      <c r="H603">
        <v>2.0099999999999998</v>
      </c>
      <c r="I603" s="5">
        <f>ROUND(Marketing[[#This Row],[Clicks]]*Marketing[[#This Row],[Conversion_Rate]],0)</f>
        <v>9</v>
      </c>
      <c r="J603" s="12">
        <f>Marketing[[#This Row],[Campaign_Cost]]/Marketing[[#This Row],[Customers]]</f>
        <v>2082.3333333333335</v>
      </c>
      <c r="K603" t="s">
        <v>38</v>
      </c>
      <c r="L603" t="s">
        <v>26</v>
      </c>
      <c r="M603">
        <v>438</v>
      </c>
      <c r="N603">
        <v>6714</v>
      </c>
      <c r="O603">
        <v>7</v>
      </c>
      <c r="P603" t="s">
        <v>44</v>
      </c>
      <c r="Q603" s="1">
        <v>44433</v>
      </c>
    </row>
    <row r="604" spans="1:17" x14ac:dyDescent="0.3">
      <c r="A604" t="s">
        <v>49</v>
      </c>
      <c r="B604" t="s">
        <v>47</v>
      </c>
      <c r="C604" t="s">
        <v>16</v>
      </c>
      <c r="D604" t="s">
        <v>46</v>
      </c>
      <c r="E604" t="s">
        <v>48</v>
      </c>
      <c r="F604" s="9">
        <v>0.09</v>
      </c>
      <c r="G604" s="10">
        <v>13305</v>
      </c>
      <c r="H604">
        <v>2.94</v>
      </c>
      <c r="I604" s="5">
        <f>ROUND(Marketing[[#This Row],[Clicks]]*Marketing[[#This Row],[Conversion_Rate]],0)</f>
        <v>65</v>
      </c>
      <c r="J604" s="12">
        <f>Marketing[[#This Row],[Campaign_Cost]]/Marketing[[#This Row],[Customers]]</f>
        <v>204.69230769230768</v>
      </c>
      <c r="K604" t="s">
        <v>51</v>
      </c>
      <c r="L604" t="s">
        <v>50</v>
      </c>
      <c r="M604">
        <v>722</v>
      </c>
      <c r="N604">
        <v>6088</v>
      </c>
      <c r="O604">
        <v>9</v>
      </c>
      <c r="P604" t="s">
        <v>34</v>
      </c>
      <c r="Q604" s="1">
        <v>44434</v>
      </c>
    </row>
    <row r="605" spans="1:17" x14ac:dyDescent="0.3">
      <c r="A605" t="s">
        <v>22</v>
      </c>
      <c r="B605" t="s">
        <v>47</v>
      </c>
      <c r="C605" t="s">
        <v>30</v>
      </c>
      <c r="D605" t="s">
        <v>46</v>
      </c>
      <c r="E605" t="s">
        <v>48</v>
      </c>
      <c r="F605" s="9">
        <v>0.04</v>
      </c>
      <c r="G605" s="10">
        <v>16791</v>
      </c>
      <c r="H605">
        <v>6.45</v>
      </c>
      <c r="I605" s="5">
        <f>ROUND(Marketing[[#This Row],[Clicks]]*Marketing[[#This Row],[Conversion_Rate]],0)</f>
        <v>32</v>
      </c>
      <c r="J605" s="12">
        <f>Marketing[[#This Row],[Campaign_Cost]]/Marketing[[#This Row],[Customers]]</f>
        <v>524.71875</v>
      </c>
      <c r="K605" t="s">
        <v>25</v>
      </c>
      <c r="L605" t="s">
        <v>33</v>
      </c>
      <c r="M605">
        <v>803</v>
      </c>
      <c r="N605">
        <v>9693</v>
      </c>
      <c r="O605">
        <v>5</v>
      </c>
      <c r="P605" t="s">
        <v>42</v>
      </c>
      <c r="Q605" s="1">
        <v>44435</v>
      </c>
    </row>
    <row r="606" spans="1:17" x14ac:dyDescent="0.3">
      <c r="A606" t="s">
        <v>49</v>
      </c>
      <c r="B606" t="s">
        <v>45</v>
      </c>
      <c r="C606" t="s">
        <v>16</v>
      </c>
      <c r="D606" t="s">
        <v>40</v>
      </c>
      <c r="E606" t="s">
        <v>18</v>
      </c>
      <c r="F606" s="9">
        <v>0.01</v>
      </c>
      <c r="G606" s="10">
        <v>7349</v>
      </c>
      <c r="H606">
        <v>7.84</v>
      </c>
      <c r="I606" s="5">
        <f>ROUND(Marketing[[#This Row],[Clicks]]*Marketing[[#This Row],[Conversion_Rate]],0)</f>
        <v>4</v>
      </c>
      <c r="J606" s="12">
        <f>Marketing[[#This Row],[Campaign_Cost]]/Marketing[[#This Row],[Customers]]</f>
        <v>1837.25</v>
      </c>
      <c r="K606" t="s">
        <v>32</v>
      </c>
      <c r="L606" t="s">
        <v>50</v>
      </c>
      <c r="M606">
        <v>434</v>
      </c>
      <c r="N606">
        <v>1064</v>
      </c>
      <c r="O606">
        <v>2</v>
      </c>
      <c r="P606" t="s">
        <v>21</v>
      </c>
      <c r="Q606" s="1">
        <v>44436</v>
      </c>
    </row>
    <row r="607" spans="1:17" x14ac:dyDescent="0.3">
      <c r="A607" t="s">
        <v>35</v>
      </c>
      <c r="B607" t="s">
        <v>15</v>
      </c>
      <c r="C607" t="s">
        <v>37</v>
      </c>
      <c r="D607" t="s">
        <v>17</v>
      </c>
      <c r="E607" t="s">
        <v>43</v>
      </c>
      <c r="F607" s="9">
        <v>0.02</v>
      </c>
      <c r="G607" s="10">
        <v>15672</v>
      </c>
      <c r="H607">
        <v>3.2</v>
      </c>
      <c r="I607" s="5">
        <f>ROUND(Marketing[[#This Row],[Clicks]]*Marketing[[#This Row],[Conversion_Rate]],0)</f>
        <v>12</v>
      </c>
      <c r="J607" s="12">
        <f>Marketing[[#This Row],[Campaign_Cost]]/Marketing[[#This Row],[Customers]]</f>
        <v>1306</v>
      </c>
      <c r="K607" t="s">
        <v>25</v>
      </c>
      <c r="L607" t="s">
        <v>26</v>
      </c>
      <c r="M607">
        <v>609</v>
      </c>
      <c r="N607">
        <v>1193</v>
      </c>
      <c r="O607">
        <v>7</v>
      </c>
      <c r="P607" t="s">
        <v>27</v>
      </c>
      <c r="Q607" s="1">
        <v>44437</v>
      </c>
    </row>
    <row r="608" spans="1:17" x14ac:dyDescent="0.3">
      <c r="A608" t="s">
        <v>22</v>
      </c>
      <c r="B608" t="s">
        <v>45</v>
      </c>
      <c r="C608" t="s">
        <v>37</v>
      </c>
      <c r="D608" t="s">
        <v>24</v>
      </c>
      <c r="E608" t="s">
        <v>41</v>
      </c>
      <c r="F608" s="9">
        <v>0.02</v>
      </c>
      <c r="G608" s="10">
        <v>15366</v>
      </c>
      <c r="H608">
        <v>6.98</v>
      </c>
      <c r="I608" s="5">
        <f>ROUND(Marketing[[#This Row],[Clicks]]*Marketing[[#This Row],[Conversion_Rate]],0)</f>
        <v>17</v>
      </c>
      <c r="J608" s="12">
        <f>Marketing[[#This Row],[Campaign_Cost]]/Marketing[[#This Row],[Customers]]</f>
        <v>903.88235294117646</v>
      </c>
      <c r="K608" t="s">
        <v>38</v>
      </c>
      <c r="L608" t="s">
        <v>50</v>
      </c>
      <c r="M608">
        <v>866</v>
      </c>
      <c r="N608">
        <v>5856</v>
      </c>
      <c r="O608">
        <v>9</v>
      </c>
      <c r="P608" t="s">
        <v>21</v>
      </c>
      <c r="Q608" s="1">
        <v>44438</v>
      </c>
    </row>
    <row r="609" spans="1:17" x14ac:dyDescent="0.3">
      <c r="A609" t="s">
        <v>49</v>
      </c>
      <c r="B609" t="s">
        <v>45</v>
      </c>
      <c r="C609" t="s">
        <v>30</v>
      </c>
      <c r="D609" t="s">
        <v>17</v>
      </c>
      <c r="E609" t="s">
        <v>43</v>
      </c>
      <c r="F609" s="9">
        <v>0.06</v>
      </c>
      <c r="G609" s="10">
        <v>8497</v>
      </c>
      <c r="H609">
        <v>6.7</v>
      </c>
      <c r="I609" s="5">
        <f>ROUND(Marketing[[#This Row],[Clicks]]*Marketing[[#This Row],[Conversion_Rate]],0)</f>
        <v>34</v>
      </c>
      <c r="J609" s="12">
        <f>Marketing[[#This Row],[Campaign_Cost]]/Marketing[[#This Row],[Customers]]</f>
        <v>249.91176470588235</v>
      </c>
      <c r="K609" t="s">
        <v>19</v>
      </c>
      <c r="L609" t="s">
        <v>33</v>
      </c>
      <c r="M609">
        <v>574</v>
      </c>
      <c r="N609">
        <v>1948</v>
      </c>
      <c r="O609">
        <v>10</v>
      </c>
      <c r="P609" t="s">
        <v>27</v>
      </c>
      <c r="Q609" s="1">
        <v>44439</v>
      </c>
    </row>
    <row r="610" spans="1:17" x14ac:dyDescent="0.3">
      <c r="A610" t="s">
        <v>49</v>
      </c>
      <c r="B610" t="s">
        <v>47</v>
      </c>
      <c r="C610" t="s">
        <v>23</v>
      </c>
      <c r="D610" t="s">
        <v>40</v>
      </c>
      <c r="E610" t="s">
        <v>15</v>
      </c>
      <c r="F610" s="9">
        <v>7.0000000000000007E-2</v>
      </c>
      <c r="G610" s="10">
        <v>10770</v>
      </c>
      <c r="H610">
        <v>5.86</v>
      </c>
      <c r="I610" s="5">
        <f>ROUND(Marketing[[#This Row],[Clicks]]*Marketing[[#This Row],[Conversion_Rate]],0)</f>
        <v>67</v>
      </c>
      <c r="J610" s="12">
        <f>Marketing[[#This Row],[Campaign_Cost]]/Marketing[[#This Row],[Customers]]</f>
        <v>160.74626865671641</v>
      </c>
      <c r="K610" t="s">
        <v>38</v>
      </c>
      <c r="L610" t="s">
        <v>39</v>
      </c>
      <c r="M610">
        <v>954</v>
      </c>
      <c r="N610">
        <v>6924</v>
      </c>
      <c r="O610">
        <v>4</v>
      </c>
      <c r="P610" t="s">
        <v>44</v>
      </c>
      <c r="Q610" s="1">
        <v>44440</v>
      </c>
    </row>
    <row r="611" spans="1:17" x14ac:dyDescent="0.3">
      <c r="A611" t="s">
        <v>35</v>
      </c>
      <c r="B611" t="s">
        <v>36</v>
      </c>
      <c r="C611" t="s">
        <v>37</v>
      </c>
      <c r="D611" t="s">
        <v>40</v>
      </c>
      <c r="E611" t="s">
        <v>48</v>
      </c>
      <c r="F611" s="9">
        <v>0.06</v>
      </c>
      <c r="G611" s="10">
        <v>5325</v>
      </c>
      <c r="H611">
        <v>5.01</v>
      </c>
      <c r="I611" s="5">
        <f>ROUND(Marketing[[#This Row],[Clicks]]*Marketing[[#This Row],[Conversion_Rate]],0)</f>
        <v>58</v>
      </c>
      <c r="J611" s="12">
        <f>Marketing[[#This Row],[Campaign_Cost]]/Marketing[[#This Row],[Customers]]</f>
        <v>91.810344827586206</v>
      </c>
      <c r="K611" t="s">
        <v>19</v>
      </c>
      <c r="L611" t="s">
        <v>33</v>
      </c>
      <c r="M611">
        <v>960</v>
      </c>
      <c r="N611">
        <v>2859</v>
      </c>
      <c r="O611">
        <v>8</v>
      </c>
      <c r="P611" t="s">
        <v>21</v>
      </c>
      <c r="Q611" s="1">
        <v>44441</v>
      </c>
    </row>
    <row r="612" spans="1:17" x14ac:dyDescent="0.3">
      <c r="A612" t="s">
        <v>28</v>
      </c>
      <c r="B612" t="s">
        <v>15</v>
      </c>
      <c r="C612" t="s">
        <v>52</v>
      </c>
      <c r="D612" t="s">
        <v>46</v>
      </c>
      <c r="E612" t="s">
        <v>18</v>
      </c>
      <c r="F612" s="9">
        <v>0.04</v>
      </c>
      <c r="G612" s="10">
        <v>8772</v>
      </c>
      <c r="H612">
        <v>6.85</v>
      </c>
      <c r="I612" s="5">
        <f>ROUND(Marketing[[#This Row],[Clicks]]*Marketing[[#This Row],[Conversion_Rate]],0)</f>
        <v>23</v>
      </c>
      <c r="J612" s="12">
        <f>Marketing[[#This Row],[Campaign_Cost]]/Marketing[[#This Row],[Customers]]</f>
        <v>381.39130434782606</v>
      </c>
      <c r="K612" t="s">
        <v>32</v>
      </c>
      <c r="L612" t="s">
        <v>20</v>
      </c>
      <c r="M612">
        <v>584</v>
      </c>
      <c r="N612">
        <v>7334</v>
      </c>
      <c r="O612">
        <v>2</v>
      </c>
      <c r="P612" t="s">
        <v>21</v>
      </c>
      <c r="Q612" s="1">
        <v>44442</v>
      </c>
    </row>
    <row r="613" spans="1:17" x14ac:dyDescent="0.3">
      <c r="A613" t="s">
        <v>28</v>
      </c>
      <c r="B613" t="s">
        <v>15</v>
      </c>
      <c r="C613" t="s">
        <v>16</v>
      </c>
      <c r="D613" t="s">
        <v>40</v>
      </c>
      <c r="E613" t="s">
        <v>43</v>
      </c>
      <c r="F613" s="9">
        <v>0.11</v>
      </c>
      <c r="G613" s="10">
        <v>10653</v>
      </c>
      <c r="H613">
        <v>3.95</v>
      </c>
      <c r="I613" s="5">
        <f>ROUND(Marketing[[#This Row],[Clicks]]*Marketing[[#This Row],[Conversion_Rate]],0)</f>
        <v>74</v>
      </c>
      <c r="J613" s="12">
        <f>Marketing[[#This Row],[Campaign_Cost]]/Marketing[[#This Row],[Customers]]</f>
        <v>143.95945945945945</v>
      </c>
      <c r="K613" t="s">
        <v>38</v>
      </c>
      <c r="L613" t="s">
        <v>20</v>
      </c>
      <c r="M613">
        <v>670</v>
      </c>
      <c r="N613">
        <v>2367</v>
      </c>
      <c r="O613">
        <v>2</v>
      </c>
      <c r="P613" t="s">
        <v>27</v>
      </c>
      <c r="Q613" s="1">
        <v>44443</v>
      </c>
    </row>
    <row r="614" spans="1:17" x14ac:dyDescent="0.3">
      <c r="A614" t="s">
        <v>49</v>
      </c>
      <c r="B614" t="s">
        <v>47</v>
      </c>
      <c r="C614" t="s">
        <v>37</v>
      </c>
      <c r="D614" t="s">
        <v>46</v>
      </c>
      <c r="E614" t="s">
        <v>31</v>
      </c>
      <c r="F614" s="9">
        <v>0.02</v>
      </c>
      <c r="G614" s="10">
        <v>9676</v>
      </c>
      <c r="H614">
        <v>7.52</v>
      </c>
      <c r="I614" s="5">
        <f>ROUND(Marketing[[#This Row],[Clicks]]*Marketing[[#This Row],[Conversion_Rate]],0)</f>
        <v>12</v>
      </c>
      <c r="J614" s="12">
        <f>Marketing[[#This Row],[Campaign_Cost]]/Marketing[[#This Row],[Customers]]</f>
        <v>806.33333333333337</v>
      </c>
      <c r="K614" t="s">
        <v>25</v>
      </c>
      <c r="L614" t="s">
        <v>26</v>
      </c>
      <c r="M614">
        <v>575</v>
      </c>
      <c r="N614">
        <v>9944</v>
      </c>
      <c r="O614">
        <v>2</v>
      </c>
      <c r="P614" t="s">
        <v>34</v>
      </c>
      <c r="Q614" s="1">
        <v>44444</v>
      </c>
    </row>
    <row r="615" spans="1:17" x14ac:dyDescent="0.3">
      <c r="A615" t="s">
        <v>28</v>
      </c>
      <c r="B615" t="s">
        <v>36</v>
      </c>
      <c r="C615" t="s">
        <v>16</v>
      </c>
      <c r="D615" t="s">
        <v>46</v>
      </c>
      <c r="E615" t="s">
        <v>41</v>
      </c>
      <c r="F615" s="9">
        <v>0.13</v>
      </c>
      <c r="G615" s="10">
        <v>11347</v>
      </c>
      <c r="H615">
        <v>3.1</v>
      </c>
      <c r="I615" s="5">
        <f>ROUND(Marketing[[#This Row],[Clicks]]*Marketing[[#This Row],[Conversion_Rate]],0)</f>
        <v>56</v>
      </c>
      <c r="J615" s="12">
        <f>Marketing[[#This Row],[Campaign_Cost]]/Marketing[[#This Row],[Customers]]</f>
        <v>202.625</v>
      </c>
      <c r="K615" t="s">
        <v>51</v>
      </c>
      <c r="L615" t="s">
        <v>20</v>
      </c>
      <c r="M615">
        <v>430</v>
      </c>
      <c r="N615">
        <v>7632</v>
      </c>
      <c r="O615">
        <v>2</v>
      </c>
      <c r="P615" t="s">
        <v>44</v>
      </c>
      <c r="Q615" s="1">
        <v>44445</v>
      </c>
    </row>
    <row r="616" spans="1:17" x14ac:dyDescent="0.3">
      <c r="A616" t="s">
        <v>35</v>
      </c>
      <c r="B616" t="s">
        <v>29</v>
      </c>
      <c r="C616" t="s">
        <v>16</v>
      </c>
      <c r="D616" t="s">
        <v>40</v>
      </c>
      <c r="E616" t="s">
        <v>41</v>
      </c>
      <c r="F616" s="9">
        <v>0.02</v>
      </c>
      <c r="G616" s="10">
        <v>9661</v>
      </c>
      <c r="H616">
        <v>6.68</v>
      </c>
      <c r="I616" s="5">
        <f>ROUND(Marketing[[#This Row],[Clicks]]*Marketing[[#This Row],[Conversion_Rate]],0)</f>
        <v>14</v>
      </c>
      <c r="J616" s="12">
        <f>Marketing[[#This Row],[Campaign_Cost]]/Marketing[[#This Row],[Customers]]</f>
        <v>690.07142857142856</v>
      </c>
      <c r="K616" t="s">
        <v>25</v>
      </c>
      <c r="L616" t="s">
        <v>26</v>
      </c>
      <c r="M616">
        <v>690</v>
      </c>
      <c r="N616">
        <v>4424</v>
      </c>
      <c r="O616">
        <v>3</v>
      </c>
      <c r="P616" t="s">
        <v>44</v>
      </c>
      <c r="Q616" s="1">
        <v>44446</v>
      </c>
    </row>
    <row r="617" spans="1:17" x14ac:dyDescent="0.3">
      <c r="A617" t="s">
        <v>49</v>
      </c>
      <c r="B617" t="s">
        <v>29</v>
      </c>
      <c r="C617" t="s">
        <v>30</v>
      </c>
      <c r="D617" t="s">
        <v>40</v>
      </c>
      <c r="E617" t="s">
        <v>48</v>
      </c>
      <c r="F617" s="9">
        <v>0.05</v>
      </c>
      <c r="G617" s="10">
        <v>17881</v>
      </c>
      <c r="H617">
        <v>6.01</v>
      </c>
      <c r="I617" s="5">
        <f>ROUND(Marketing[[#This Row],[Clicks]]*Marketing[[#This Row],[Conversion_Rate]],0)</f>
        <v>14</v>
      </c>
      <c r="J617" s="12">
        <f>Marketing[[#This Row],[Campaign_Cost]]/Marketing[[#This Row],[Customers]]</f>
        <v>1277.2142857142858</v>
      </c>
      <c r="K617" t="s">
        <v>32</v>
      </c>
      <c r="L617" t="s">
        <v>50</v>
      </c>
      <c r="M617">
        <v>289</v>
      </c>
      <c r="N617">
        <v>7005</v>
      </c>
      <c r="O617">
        <v>8</v>
      </c>
      <c r="P617" t="s">
        <v>42</v>
      </c>
      <c r="Q617" s="1">
        <v>44447</v>
      </c>
    </row>
    <row r="618" spans="1:17" x14ac:dyDescent="0.3">
      <c r="A618" t="s">
        <v>22</v>
      </c>
      <c r="B618" t="s">
        <v>45</v>
      </c>
      <c r="C618" t="s">
        <v>52</v>
      </c>
      <c r="D618" t="s">
        <v>17</v>
      </c>
      <c r="E618" t="s">
        <v>31</v>
      </c>
      <c r="F618" s="9">
        <v>0.06</v>
      </c>
      <c r="G618" s="10">
        <v>17440</v>
      </c>
      <c r="H618">
        <v>6.66</v>
      </c>
      <c r="I618" s="5">
        <f>ROUND(Marketing[[#This Row],[Clicks]]*Marketing[[#This Row],[Conversion_Rate]],0)</f>
        <v>8</v>
      </c>
      <c r="J618" s="12">
        <f>Marketing[[#This Row],[Campaign_Cost]]/Marketing[[#This Row],[Customers]]</f>
        <v>2180</v>
      </c>
      <c r="K618" t="s">
        <v>38</v>
      </c>
      <c r="L618" t="s">
        <v>50</v>
      </c>
      <c r="M618">
        <v>140</v>
      </c>
      <c r="N618">
        <v>7641</v>
      </c>
      <c r="O618">
        <v>8</v>
      </c>
      <c r="P618" t="s">
        <v>42</v>
      </c>
      <c r="Q618" s="1">
        <v>44448</v>
      </c>
    </row>
    <row r="619" spans="1:17" x14ac:dyDescent="0.3">
      <c r="A619" t="s">
        <v>49</v>
      </c>
      <c r="B619" t="s">
        <v>36</v>
      </c>
      <c r="C619" t="s">
        <v>16</v>
      </c>
      <c r="D619" t="s">
        <v>17</v>
      </c>
      <c r="E619" t="s">
        <v>43</v>
      </c>
      <c r="F619" s="9">
        <v>0.08</v>
      </c>
      <c r="G619" s="10">
        <v>7053</v>
      </c>
      <c r="H619">
        <v>7.12</v>
      </c>
      <c r="I619" s="5">
        <f>ROUND(Marketing[[#This Row],[Clicks]]*Marketing[[#This Row],[Conversion_Rate]],0)</f>
        <v>39</v>
      </c>
      <c r="J619" s="12">
        <f>Marketing[[#This Row],[Campaign_Cost]]/Marketing[[#This Row],[Customers]]</f>
        <v>180.84615384615384</v>
      </c>
      <c r="K619" t="s">
        <v>19</v>
      </c>
      <c r="L619" t="s">
        <v>33</v>
      </c>
      <c r="M619">
        <v>492</v>
      </c>
      <c r="N619">
        <v>1731</v>
      </c>
      <c r="O619">
        <v>8</v>
      </c>
      <c r="P619" t="s">
        <v>44</v>
      </c>
      <c r="Q619" s="1">
        <v>44449</v>
      </c>
    </row>
    <row r="620" spans="1:17" x14ac:dyDescent="0.3">
      <c r="A620" t="s">
        <v>49</v>
      </c>
      <c r="B620" t="s">
        <v>29</v>
      </c>
      <c r="C620" t="s">
        <v>37</v>
      </c>
      <c r="D620" t="s">
        <v>46</v>
      </c>
      <c r="E620" t="s">
        <v>18</v>
      </c>
      <c r="F620" s="9">
        <v>0.14000000000000001</v>
      </c>
      <c r="G620" s="10">
        <v>7803</v>
      </c>
      <c r="H620">
        <v>6.58</v>
      </c>
      <c r="I620" s="5">
        <f>ROUND(Marketing[[#This Row],[Clicks]]*Marketing[[#This Row],[Conversion_Rate]],0)</f>
        <v>75</v>
      </c>
      <c r="J620" s="12">
        <f>Marketing[[#This Row],[Campaign_Cost]]/Marketing[[#This Row],[Customers]]</f>
        <v>104.04</v>
      </c>
      <c r="K620" t="s">
        <v>25</v>
      </c>
      <c r="L620" t="s">
        <v>50</v>
      </c>
      <c r="M620">
        <v>533</v>
      </c>
      <c r="N620">
        <v>5832</v>
      </c>
      <c r="O620">
        <v>2</v>
      </c>
      <c r="P620" t="s">
        <v>42</v>
      </c>
      <c r="Q620" s="1">
        <v>44450</v>
      </c>
    </row>
    <row r="621" spans="1:17" x14ac:dyDescent="0.3">
      <c r="A621" t="s">
        <v>28</v>
      </c>
      <c r="B621" t="s">
        <v>47</v>
      </c>
      <c r="C621" t="s">
        <v>23</v>
      </c>
      <c r="D621" t="s">
        <v>46</v>
      </c>
      <c r="E621" t="s">
        <v>41</v>
      </c>
      <c r="F621" s="9">
        <v>0.11</v>
      </c>
      <c r="G621" s="10">
        <v>6994</v>
      </c>
      <c r="H621">
        <v>3.89</v>
      </c>
      <c r="I621" s="5">
        <f>ROUND(Marketing[[#This Row],[Clicks]]*Marketing[[#This Row],[Conversion_Rate]],0)</f>
        <v>90</v>
      </c>
      <c r="J621" s="12">
        <f>Marketing[[#This Row],[Campaign_Cost]]/Marketing[[#This Row],[Customers]]</f>
        <v>77.711111111111109</v>
      </c>
      <c r="K621" t="s">
        <v>38</v>
      </c>
      <c r="L621" t="s">
        <v>20</v>
      </c>
      <c r="M621">
        <v>816</v>
      </c>
      <c r="N621">
        <v>8407</v>
      </c>
      <c r="O621">
        <v>8</v>
      </c>
      <c r="P621" t="s">
        <v>44</v>
      </c>
      <c r="Q621" s="1">
        <v>44451</v>
      </c>
    </row>
    <row r="622" spans="1:17" x14ac:dyDescent="0.3">
      <c r="A622" t="s">
        <v>22</v>
      </c>
      <c r="B622" t="s">
        <v>29</v>
      </c>
      <c r="C622" t="s">
        <v>52</v>
      </c>
      <c r="D622" t="s">
        <v>46</v>
      </c>
      <c r="E622" t="s">
        <v>41</v>
      </c>
      <c r="F622" s="9">
        <v>0.14000000000000001</v>
      </c>
      <c r="G622" s="10">
        <v>18943</v>
      </c>
      <c r="H622">
        <v>7.01</v>
      </c>
      <c r="I622" s="5">
        <f>ROUND(Marketing[[#This Row],[Clicks]]*Marketing[[#This Row],[Conversion_Rate]],0)</f>
        <v>85</v>
      </c>
      <c r="J622" s="12">
        <f>Marketing[[#This Row],[Campaign_Cost]]/Marketing[[#This Row],[Customers]]</f>
        <v>222.85882352941175</v>
      </c>
      <c r="K622" t="s">
        <v>32</v>
      </c>
      <c r="L622" t="s">
        <v>26</v>
      </c>
      <c r="M622">
        <v>607</v>
      </c>
      <c r="N622">
        <v>6262</v>
      </c>
      <c r="O622">
        <v>9</v>
      </c>
      <c r="P622" t="s">
        <v>44</v>
      </c>
      <c r="Q622" s="1">
        <v>44452</v>
      </c>
    </row>
    <row r="623" spans="1:17" x14ac:dyDescent="0.3">
      <c r="A623" t="s">
        <v>49</v>
      </c>
      <c r="B623" t="s">
        <v>15</v>
      </c>
      <c r="C623" t="s">
        <v>23</v>
      </c>
      <c r="D623" t="s">
        <v>40</v>
      </c>
      <c r="E623" t="s">
        <v>43</v>
      </c>
      <c r="F623" s="9">
        <v>0.11</v>
      </c>
      <c r="G623" s="10">
        <v>7562</v>
      </c>
      <c r="H623">
        <v>4.04</v>
      </c>
      <c r="I623" s="5">
        <f>ROUND(Marketing[[#This Row],[Clicks]]*Marketing[[#This Row],[Conversion_Rate]],0)</f>
        <v>74</v>
      </c>
      <c r="J623" s="12">
        <f>Marketing[[#This Row],[Campaign_Cost]]/Marketing[[#This Row],[Customers]]</f>
        <v>102.18918918918919</v>
      </c>
      <c r="K623" t="s">
        <v>38</v>
      </c>
      <c r="L623" t="s">
        <v>50</v>
      </c>
      <c r="M623">
        <v>670</v>
      </c>
      <c r="N623">
        <v>8428</v>
      </c>
      <c r="O623">
        <v>8</v>
      </c>
      <c r="P623" t="s">
        <v>44</v>
      </c>
      <c r="Q623" s="1">
        <v>44453</v>
      </c>
    </row>
    <row r="624" spans="1:17" x14ac:dyDescent="0.3">
      <c r="A624" t="s">
        <v>28</v>
      </c>
      <c r="B624" t="s">
        <v>15</v>
      </c>
      <c r="C624" t="s">
        <v>37</v>
      </c>
      <c r="D624" t="s">
        <v>40</v>
      </c>
      <c r="E624" t="s">
        <v>15</v>
      </c>
      <c r="F624" s="9">
        <v>0.09</v>
      </c>
      <c r="G624" s="10">
        <v>7740</v>
      </c>
      <c r="H624">
        <v>7.54</v>
      </c>
      <c r="I624" s="5">
        <f>ROUND(Marketing[[#This Row],[Clicks]]*Marketing[[#This Row],[Conversion_Rate]],0)</f>
        <v>81</v>
      </c>
      <c r="J624" s="12">
        <f>Marketing[[#This Row],[Campaign_Cost]]/Marketing[[#This Row],[Customers]]</f>
        <v>95.555555555555557</v>
      </c>
      <c r="K624" t="s">
        <v>19</v>
      </c>
      <c r="L624" t="s">
        <v>20</v>
      </c>
      <c r="M624">
        <v>899</v>
      </c>
      <c r="N624">
        <v>5144</v>
      </c>
      <c r="O624">
        <v>6</v>
      </c>
      <c r="P624" t="s">
        <v>44</v>
      </c>
      <c r="Q624" s="1">
        <v>44454</v>
      </c>
    </row>
    <row r="625" spans="1:17" x14ac:dyDescent="0.3">
      <c r="A625" t="s">
        <v>28</v>
      </c>
      <c r="B625" t="s">
        <v>47</v>
      </c>
      <c r="C625" t="s">
        <v>37</v>
      </c>
      <c r="D625" t="s">
        <v>40</v>
      </c>
      <c r="E625" t="s">
        <v>48</v>
      </c>
      <c r="F625" s="9">
        <v>0.11</v>
      </c>
      <c r="G625" s="10">
        <v>11783</v>
      </c>
      <c r="H625">
        <v>3.07</v>
      </c>
      <c r="I625" s="5">
        <f>ROUND(Marketing[[#This Row],[Clicks]]*Marketing[[#This Row],[Conversion_Rate]],0)</f>
        <v>92</v>
      </c>
      <c r="J625" s="12">
        <f>Marketing[[#This Row],[Campaign_Cost]]/Marketing[[#This Row],[Customers]]</f>
        <v>128.07608695652175</v>
      </c>
      <c r="K625" t="s">
        <v>38</v>
      </c>
      <c r="L625" t="s">
        <v>20</v>
      </c>
      <c r="M625">
        <v>836</v>
      </c>
      <c r="N625">
        <v>4782</v>
      </c>
      <c r="O625">
        <v>7</v>
      </c>
      <c r="P625" t="s">
        <v>42</v>
      </c>
      <c r="Q625" s="1">
        <v>44455</v>
      </c>
    </row>
    <row r="626" spans="1:17" x14ac:dyDescent="0.3">
      <c r="A626" t="s">
        <v>35</v>
      </c>
      <c r="B626" t="s">
        <v>47</v>
      </c>
      <c r="C626" t="s">
        <v>37</v>
      </c>
      <c r="D626" t="s">
        <v>40</v>
      </c>
      <c r="E626" t="s">
        <v>43</v>
      </c>
      <c r="F626" s="9">
        <v>0.02</v>
      </c>
      <c r="G626" s="10">
        <v>12132</v>
      </c>
      <c r="H626">
        <v>5.25</v>
      </c>
      <c r="I626" s="5">
        <f>ROUND(Marketing[[#This Row],[Clicks]]*Marketing[[#This Row],[Conversion_Rate]],0)</f>
        <v>9</v>
      </c>
      <c r="J626" s="12">
        <f>Marketing[[#This Row],[Campaign_Cost]]/Marketing[[#This Row],[Customers]]</f>
        <v>1348</v>
      </c>
      <c r="K626" t="s">
        <v>51</v>
      </c>
      <c r="L626" t="s">
        <v>20</v>
      </c>
      <c r="M626">
        <v>435</v>
      </c>
      <c r="N626">
        <v>1192</v>
      </c>
      <c r="O626">
        <v>10</v>
      </c>
      <c r="P626" t="s">
        <v>34</v>
      </c>
      <c r="Q626" s="1">
        <v>44456</v>
      </c>
    </row>
    <row r="627" spans="1:17" x14ac:dyDescent="0.3">
      <c r="A627" t="s">
        <v>49</v>
      </c>
      <c r="B627" t="s">
        <v>45</v>
      </c>
      <c r="C627" t="s">
        <v>30</v>
      </c>
      <c r="D627" t="s">
        <v>17</v>
      </c>
      <c r="E627" t="s">
        <v>31</v>
      </c>
      <c r="F627" s="9">
        <v>0.14000000000000001</v>
      </c>
      <c r="G627" s="10">
        <v>5430</v>
      </c>
      <c r="H627">
        <v>3.12</v>
      </c>
      <c r="I627" s="5">
        <f>ROUND(Marketing[[#This Row],[Clicks]]*Marketing[[#This Row],[Conversion_Rate]],0)</f>
        <v>30</v>
      </c>
      <c r="J627" s="12">
        <f>Marketing[[#This Row],[Campaign_Cost]]/Marketing[[#This Row],[Customers]]</f>
        <v>181</v>
      </c>
      <c r="K627" t="s">
        <v>25</v>
      </c>
      <c r="L627" t="s">
        <v>33</v>
      </c>
      <c r="M627">
        <v>214</v>
      </c>
      <c r="N627">
        <v>3572</v>
      </c>
      <c r="O627">
        <v>8</v>
      </c>
      <c r="P627" t="s">
        <v>44</v>
      </c>
      <c r="Q627" s="1">
        <v>44457</v>
      </c>
    </row>
    <row r="628" spans="1:17" x14ac:dyDescent="0.3">
      <c r="A628" t="s">
        <v>28</v>
      </c>
      <c r="B628" t="s">
        <v>45</v>
      </c>
      <c r="C628" t="s">
        <v>37</v>
      </c>
      <c r="D628" t="s">
        <v>17</v>
      </c>
      <c r="E628" t="s">
        <v>15</v>
      </c>
      <c r="F628" s="9">
        <v>0.05</v>
      </c>
      <c r="G628" s="10">
        <v>12047</v>
      </c>
      <c r="H628">
        <v>6.47</v>
      </c>
      <c r="I628" s="5">
        <f>ROUND(Marketing[[#This Row],[Clicks]]*Marketing[[#This Row],[Conversion_Rate]],0)</f>
        <v>22</v>
      </c>
      <c r="J628" s="12">
        <f>Marketing[[#This Row],[Campaign_Cost]]/Marketing[[#This Row],[Customers]]</f>
        <v>547.59090909090912</v>
      </c>
      <c r="K628" t="s">
        <v>19</v>
      </c>
      <c r="L628" t="s">
        <v>39</v>
      </c>
      <c r="M628">
        <v>441</v>
      </c>
      <c r="N628">
        <v>5779</v>
      </c>
      <c r="O628">
        <v>3</v>
      </c>
      <c r="P628" t="s">
        <v>44</v>
      </c>
      <c r="Q628" s="1">
        <v>44458</v>
      </c>
    </row>
    <row r="629" spans="1:17" x14ac:dyDescent="0.3">
      <c r="A629" t="s">
        <v>22</v>
      </c>
      <c r="B629" t="s">
        <v>47</v>
      </c>
      <c r="C629" t="s">
        <v>16</v>
      </c>
      <c r="D629" t="s">
        <v>24</v>
      </c>
      <c r="E629" t="s">
        <v>41</v>
      </c>
      <c r="F629" s="9">
        <v>0.05</v>
      </c>
      <c r="G629" s="10">
        <v>15691</v>
      </c>
      <c r="H629">
        <v>7.06</v>
      </c>
      <c r="I629" s="5">
        <f>ROUND(Marketing[[#This Row],[Clicks]]*Marketing[[#This Row],[Conversion_Rate]],0)</f>
        <v>12</v>
      </c>
      <c r="J629" s="12">
        <f>Marketing[[#This Row],[Campaign_Cost]]/Marketing[[#This Row],[Customers]]</f>
        <v>1307.5833333333333</v>
      </c>
      <c r="K629" t="s">
        <v>38</v>
      </c>
      <c r="L629" t="s">
        <v>33</v>
      </c>
      <c r="M629">
        <v>238</v>
      </c>
      <c r="N629">
        <v>3959</v>
      </c>
      <c r="O629">
        <v>1</v>
      </c>
      <c r="P629" t="s">
        <v>44</v>
      </c>
      <c r="Q629" s="1">
        <v>44459</v>
      </c>
    </row>
    <row r="630" spans="1:17" x14ac:dyDescent="0.3">
      <c r="A630" t="s">
        <v>22</v>
      </c>
      <c r="B630" t="s">
        <v>15</v>
      </c>
      <c r="C630" t="s">
        <v>52</v>
      </c>
      <c r="D630" t="s">
        <v>46</v>
      </c>
      <c r="E630" t="s">
        <v>48</v>
      </c>
      <c r="F630" s="9">
        <v>0.1</v>
      </c>
      <c r="G630" s="10">
        <v>15132</v>
      </c>
      <c r="H630">
        <v>4.96</v>
      </c>
      <c r="I630" s="5">
        <f>ROUND(Marketing[[#This Row],[Clicks]]*Marketing[[#This Row],[Conversion_Rate]],0)</f>
        <v>13</v>
      </c>
      <c r="J630" s="12">
        <f>Marketing[[#This Row],[Campaign_Cost]]/Marketing[[#This Row],[Customers]]</f>
        <v>1164</v>
      </c>
      <c r="K630" t="s">
        <v>38</v>
      </c>
      <c r="L630" t="s">
        <v>39</v>
      </c>
      <c r="M630">
        <v>129</v>
      </c>
      <c r="N630">
        <v>9551</v>
      </c>
      <c r="O630">
        <v>7</v>
      </c>
      <c r="P630" t="s">
        <v>42</v>
      </c>
      <c r="Q630" s="1">
        <v>44460</v>
      </c>
    </row>
    <row r="631" spans="1:17" x14ac:dyDescent="0.3">
      <c r="A631" t="s">
        <v>14</v>
      </c>
      <c r="B631" t="s">
        <v>15</v>
      </c>
      <c r="C631" t="s">
        <v>23</v>
      </c>
      <c r="D631" t="s">
        <v>40</v>
      </c>
      <c r="E631" t="s">
        <v>31</v>
      </c>
      <c r="F631" s="9">
        <v>0.11</v>
      </c>
      <c r="G631" s="10">
        <v>13380</v>
      </c>
      <c r="H631">
        <v>6.12</v>
      </c>
      <c r="I631" s="5">
        <f>ROUND(Marketing[[#This Row],[Clicks]]*Marketing[[#This Row],[Conversion_Rate]],0)</f>
        <v>19</v>
      </c>
      <c r="J631" s="12">
        <f>Marketing[[#This Row],[Campaign_Cost]]/Marketing[[#This Row],[Customers]]</f>
        <v>704.21052631578948</v>
      </c>
      <c r="K631" t="s">
        <v>51</v>
      </c>
      <c r="L631" t="s">
        <v>26</v>
      </c>
      <c r="M631">
        <v>173</v>
      </c>
      <c r="N631">
        <v>4397</v>
      </c>
      <c r="O631">
        <v>3</v>
      </c>
      <c r="P631" t="s">
        <v>34</v>
      </c>
      <c r="Q631" s="1">
        <v>44461</v>
      </c>
    </row>
    <row r="632" spans="1:17" x14ac:dyDescent="0.3">
      <c r="A632" t="s">
        <v>35</v>
      </c>
      <c r="B632" t="s">
        <v>29</v>
      </c>
      <c r="C632" t="s">
        <v>37</v>
      </c>
      <c r="D632" t="s">
        <v>40</v>
      </c>
      <c r="E632" t="s">
        <v>31</v>
      </c>
      <c r="F632" s="9">
        <v>0.01</v>
      </c>
      <c r="G632" s="10">
        <v>5770</v>
      </c>
      <c r="H632">
        <v>2.4300000000000002</v>
      </c>
      <c r="I632" s="5">
        <f>ROUND(Marketing[[#This Row],[Clicks]]*Marketing[[#This Row],[Conversion_Rate]],0)</f>
        <v>3</v>
      </c>
      <c r="J632" s="12">
        <f>Marketing[[#This Row],[Campaign_Cost]]/Marketing[[#This Row],[Customers]]</f>
        <v>1923.3333333333333</v>
      </c>
      <c r="K632" t="s">
        <v>32</v>
      </c>
      <c r="L632" t="s">
        <v>33</v>
      </c>
      <c r="M632">
        <v>308</v>
      </c>
      <c r="N632">
        <v>3307</v>
      </c>
      <c r="O632">
        <v>5</v>
      </c>
      <c r="P632" t="s">
        <v>44</v>
      </c>
      <c r="Q632" s="1">
        <v>44462</v>
      </c>
    </row>
    <row r="633" spans="1:17" x14ac:dyDescent="0.3">
      <c r="A633" t="s">
        <v>22</v>
      </c>
      <c r="B633" t="s">
        <v>29</v>
      </c>
      <c r="C633" t="s">
        <v>16</v>
      </c>
      <c r="D633" t="s">
        <v>46</v>
      </c>
      <c r="E633" t="s">
        <v>15</v>
      </c>
      <c r="F633" s="9">
        <v>0.13</v>
      </c>
      <c r="G633" s="10">
        <v>8500</v>
      </c>
      <c r="H633">
        <v>2.67</v>
      </c>
      <c r="I633" s="5">
        <f>ROUND(Marketing[[#This Row],[Clicks]]*Marketing[[#This Row],[Conversion_Rate]],0)</f>
        <v>93</v>
      </c>
      <c r="J633" s="12">
        <f>Marketing[[#This Row],[Campaign_Cost]]/Marketing[[#This Row],[Customers]]</f>
        <v>91.397849462365585</v>
      </c>
      <c r="K633" t="s">
        <v>25</v>
      </c>
      <c r="L633" t="s">
        <v>26</v>
      </c>
      <c r="M633">
        <v>712</v>
      </c>
      <c r="N633">
        <v>4849</v>
      </c>
      <c r="O633">
        <v>1</v>
      </c>
      <c r="P633" t="s">
        <v>42</v>
      </c>
      <c r="Q633" s="1">
        <v>44463</v>
      </c>
    </row>
    <row r="634" spans="1:17" x14ac:dyDescent="0.3">
      <c r="A634" t="s">
        <v>49</v>
      </c>
      <c r="B634" t="s">
        <v>15</v>
      </c>
      <c r="C634" t="s">
        <v>30</v>
      </c>
      <c r="D634" t="s">
        <v>40</v>
      </c>
      <c r="E634" t="s">
        <v>18</v>
      </c>
      <c r="F634" s="9">
        <v>0.13</v>
      </c>
      <c r="G634" s="10">
        <v>18453</v>
      </c>
      <c r="H634">
        <v>4.76</v>
      </c>
      <c r="I634" s="5">
        <f>ROUND(Marketing[[#This Row],[Clicks]]*Marketing[[#This Row],[Conversion_Rate]],0)</f>
        <v>24</v>
      </c>
      <c r="J634" s="12">
        <f>Marketing[[#This Row],[Campaign_Cost]]/Marketing[[#This Row],[Customers]]</f>
        <v>768.875</v>
      </c>
      <c r="K634" t="s">
        <v>38</v>
      </c>
      <c r="L634" t="s">
        <v>39</v>
      </c>
      <c r="M634">
        <v>187</v>
      </c>
      <c r="N634">
        <v>5032</v>
      </c>
      <c r="O634">
        <v>10</v>
      </c>
      <c r="P634" t="s">
        <v>27</v>
      </c>
      <c r="Q634" s="1">
        <v>44464</v>
      </c>
    </row>
    <row r="635" spans="1:17" x14ac:dyDescent="0.3">
      <c r="A635" t="s">
        <v>22</v>
      </c>
      <c r="B635" t="s">
        <v>47</v>
      </c>
      <c r="C635" t="s">
        <v>16</v>
      </c>
      <c r="D635" t="s">
        <v>17</v>
      </c>
      <c r="E635" t="s">
        <v>48</v>
      </c>
      <c r="F635" s="9">
        <v>0.02</v>
      </c>
      <c r="G635" s="10">
        <v>19030</v>
      </c>
      <c r="H635">
        <v>5.63</v>
      </c>
      <c r="I635" s="5">
        <f>ROUND(Marketing[[#This Row],[Clicks]]*Marketing[[#This Row],[Conversion_Rate]],0)</f>
        <v>17</v>
      </c>
      <c r="J635" s="12">
        <f>Marketing[[#This Row],[Campaign_Cost]]/Marketing[[#This Row],[Customers]]</f>
        <v>1119.4117647058824</v>
      </c>
      <c r="K635" t="s">
        <v>38</v>
      </c>
      <c r="L635" t="s">
        <v>26</v>
      </c>
      <c r="M635">
        <v>825</v>
      </c>
      <c r="N635">
        <v>6146</v>
      </c>
      <c r="O635">
        <v>2</v>
      </c>
      <c r="P635" t="s">
        <v>27</v>
      </c>
      <c r="Q635" s="1">
        <v>44465</v>
      </c>
    </row>
    <row r="636" spans="1:17" x14ac:dyDescent="0.3">
      <c r="A636" t="s">
        <v>28</v>
      </c>
      <c r="B636" t="s">
        <v>45</v>
      </c>
      <c r="C636" t="s">
        <v>16</v>
      </c>
      <c r="D636" t="s">
        <v>24</v>
      </c>
      <c r="E636" t="s">
        <v>41</v>
      </c>
      <c r="F636" s="9">
        <v>0.14000000000000001</v>
      </c>
      <c r="G636" s="10">
        <v>9833</v>
      </c>
      <c r="H636">
        <v>2.46</v>
      </c>
      <c r="I636" s="5">
        <f>ROUND(Marketing[[#This Row],[Clicks]]*Marketing[[#This Row],[Conversion_Rate]],0)</f>
        <v>18</v>
      </c>
      <c r="J636" s="12">
        <f>Marketing[[#This Row],[Campaign_Cost]]/Marketing[[#This Row],[Customers]]</f>
        <v>546.27777777777783</v>
      </c>
      <c r="K636" t="s">
        <v>19</v>
      </c>
      <c r="L636" t="s">
        <v>39</v>
      </c>
      <c r="M636">
        <v>131</v>
      </c>
      <c r="N636">
        <v>9105</v>
      </c>
      <c r="O636">
        <v>10</v>
      </c>
      <c r="P636" t="s">
        <v>27</v>
      </c>
      <c r="Q636" s="1">
        <v>44466</v>
      </c>
    </row>
    <row r="637" spans="1:17" x14ac:dyDescent="0.3">
      <c r="A637" t="s">
        <v>22</v>
      </c>
      <c r="B637" t="s">
        <v>15</v>
      </c>
      <c r="C637" t="s">
        <v>37</v>
      </c>
      <c r="D637" t="s">
        <v>46</v>
      </c>
      <c r="E637" t="s">
        <v>43</v>
      </c>
      <c r="F637" s="9">
        <v>0.04</v>
      </c>
      <c r="G637" s="10">
        <v>11581</v>
      </c>
      <c r="H637">
        <v>4.25</v>
      </c>
      <c r="I637" s="5">
        <f>ROUND(Marketing[[#This Row],[Clicks]]*Marketing[[#This Row],[Conversion_Rate]],0)</f>
        <v>36</v>
      </c>
      <c r="J637" s="12">
        <f>Marketing[[#This Row],[Campaign_Cost]]/Marketing[[#This Row],[Customers]]</f>
        <v>321.69444444444446</v>
      </c>
      <c r="K637" t="s">
        <v>38</v>
      </c>
      <c r="L637" t="s">
        <v>33</v>
      </c>
      <c r="M637">
        <v>903</v>
      </c>
      <c r="N637">
        <v>9090</v>
      </c>
      <c r="O637">
        <v>2</v>
      </c>
      <c r="P637" t="s">
        <v>21</v>
      </c>
      <c r="Q637" s="1">
        <v>44467</v>
      </c>
    </row>
    <row r="638" spans="1:17" x14ac:dyDescent="0.3">
      <c r="A638" t="s">
        <v>28</v>
      </c>
      <c r="B638" t="s">
        <v>45</v>
      </c>
      <c r="C638" t="s">
        <v>37</v>
      </c>
      <c r="D638" t="s">
        <v>46</v>
      </c>
      <c r="E638" t="s">
        <v>18</v>
      </c>
      <c r="F638" s="9">
        <v>0.04</v>
      </c>
      <c r="G638" s="10">
        <v>12573</v>
      </c>
      <c r="H638">
        <v>4.41</v>
      </c>
      <c r="I638" s="5">
        <f>ROUND(Marketing[[#This Row],[Clicks]]*Marketing[[#This Row],[Conversion_Rate]],0)</f>
        <v>19</v>
      </c>
      <c r="J638" s="12">
        <f>Marketing[[#This Row],[Campaign_Cost]]/Marketing[[#This Row],[Customers]]</f>
        <v>661.73684210526312</v>
      </c>
      <c r="K638" t="s">
        <v>38</v>
      </c>
      <c r="L638" t="s">
        <v>33</v>
      </c>
      <c r="M638">
        <v>483</v>
      </c>
      <c r="N638">
        <v>9896</v>
      </c>
      <c r="O638">
        <v>3</v>
      </c>
      <c r="P638" t="s">
        <v>34</v>
      </c>
      <c r="Q638" s="1">
        <v>44468</v>
      </c>
    </row>
    <row r="639" spans="1:17" x14ac:dyDescent="0.3">
      <c r="A639" t="s">
        <v>14</v>
      </c>
      <c r="B639" t="s">
        <v>45</v>
      </c>
      <c r="C639" t="s">
        <v>37</v>
      </c>
      <c r="D639" t="s">
        <v>17</v>
      </c>
      <c r="E639" t="s">
        <v>18</v>
      </c>
      <c r="F639" s="9">
        <v>7.0000000000000007E-2</v>
      </c>
      <c r="G639" s="10">
        <v>9517</v>
      </c>
      <c r="H639">
        <v>4.18</v>
      </c>
      <c r="I639" s="5">
        <f>ROUND(Marketing[[#This Row],[Clicks]]*Marketing[[#This Row],[Conversion_Rate]],0)</f>
        <v>56</v>
      </c>
      <c r="J639" s="12">
        <f>Marketing[[#This Row],[Campaign_Cost]]/Marketing[[#This Row],[Customers]]</f>
        <v>169.94642857142858</v>
      </c>
      <c r="K639" t="s">
        <v>51</v>
      </c>
      <c r="L639" t="s">
        <v>20</v>
      </c>
      <c r="M639">
        <v>794</v>
      </c>
      <c r="N639">
        <v>9710</v>
      </c>
      <c r="O639">
        <v>8</v>
      </c>
      <c r="P639" t="s">
        <v>44</v>
      </c>
      <c r="Q639" s="1">
        <v>44469</v>
      </c>
    </row>
    <row r="640" spans="1:17" x14ac:dyDescent="0.3">
      <c r="A640" t="s">
        <v>49</v>
      </c>
      <c r="B640" t="s">
        <v>45</v>
      </c>
      <c r="C640" t="s">
        <v>16</v>
      </c>
      <c r="D640" t="s">
        <v>46</v>
      </c>
      <c r="E640" t="s">
        <v>48</v>
      </c>
      <c r="F640" s="9">
        <v>0.12</v>
      </c>
      <c r="G640" s="10">
        <v>7672</v>
      </c>
      <c r="H640">
        <v>3.55</v>
      </c>
      <c r="I640" s="5">
        <f>ROUND(Marketing[[#This Row],[Clicks]]*Marketing[[#This Row],[Conversion_Rate]],0)</f>
        <v>41</v>
      </c>
      <c r="J640" s="12">
        <f>Marketing[[#This Row],[Campaign_Cost]]/Marketing[[#This Row],[Customers]]</f>
        <v>187.1219512195122</v>
      </c>
      <c r="K640" t="s">
        <v>51</v>
      </c>
      <c r="L640" t="s">
        <v>33</v>
      </c>
      <c r="M640">
        <v>344</v>
      </c>
      <c r="N640">
        <v>6487</v>
      </c>
      <c r="O640">
        <v>4</v>
      </c>
      <c r="P640" t="s">
        <v>27</v>
      </c>
      <c r="Q640" s="1">
        <v>44470</v>
      </c>
    </row>
    <row r="641" spans="1:17" x14ac:dyDescent="0.3">
      <c r="A641" t="s">
        <v>28</v>
      </c>
      <c r="B641" t="s">
        <v>15</v>
      </c>
      <c r="C641" t="s">
        <v>30</v>
      </c>
      <c r="D641" t="s">
        <v>46</v>
      </c>
      <c r="E641" t="s">
        <v>15</v>
      </c>
      <c r="F641" s="9">
        <v>0.03</v>
      </c>
      <c r="G641" s="10">
        <v>10127</v>
      </c>
      <c r="H641">
        <v>7.04</v>
      </c>
      <c r="I641" s="5">
        <f>ROUND(Marketing[[#This Row],[Clicks]]*Marketing[[#This Row],[Conversion_Rate]],0)</f>
        <v>28</v>
      </c>
      <c r="J641" s="12">
        <f>Marketing[[#This Row],[Campaign_Cost]]/Marketing[[#This Row],[Customers]]</f>
        <v>361.67857142857144</v>
      </c>
      <c r="K641" t="s">
        <v>38</v>
      </c>
      <c r="L641" t="s">
        <v>26</v>
      </c>
      <c r="M641">
        <v>938</v>
      </c>
      <c r="N641">
        <v>9741</v>
      </c>
      <c r="O641">
        <v>2</v>
      </c>
      <c r="P641" t="s">
        <v>44</v>
      </c>
      <c r="Q641" s="1">
        <v>44471</v>
      </c>
    </row>
    <row r="642" spans="1:17" x14ac:dyDescent="0.3">
      <c r="A642" t="s">
        <v>14</v>
      </c>
      <c r="B642" t="s">
        <v>47</v>
      </c>
      <c r="C642" t="s">
        <v>37</v>
      </c>
      <c r="D642" t="s">
        <v>46</v>
      </c>
      <c r="E642" t="s">
        <v>15</v>
      </c>
      <c r="F642" s="9">
        <v>0.14000000000000001</v>
      </c>
      <c r="G642" s="10">
        <v>16265</v>
      </c>
      <c r="H642">
        <v>4.22</v>
      </c>
      <c r="I642" s="5">
        <f>ROUND(Marketing[[#This Row],[Clicks]]*Marketing[[#This Row],[Conversion_Rate]],0)</f>
        <v>82</v>
      </c>
      <c r="J642" s="12">
        <f>Marketing[[#This Row],[Campaign_Cost]]/Marketing[[#This Row],[Customers]]</f>
        <v>198.35365853658536</v>
      </c>
      <c r="K642" t="s">
        <v>25</v>
      </c>
      <c r="L642" t="s">
        <v>50</v>
      </c>
      <c r="M642">
        <v>588</v>
      </c>
      <c r="N642">
        <v>5299</v>
      </c>
      <c r="O642">
        <v>6</v>
      </c>
      <c r="P642" t="s">
        <v>27</v>
      </c>
      <c r="Q642" s="1">
        <v>44472</v>
      </c>
    </row>
    <row r="643" spans="1:17" x14ac:dyDescent="0.3">
      <c r="A643" t="s">
        <v>22</v>
      </c>
      <c r="B643" t="s">
        <v>29</v>
      </c>
      <c r="C643" t="s">
        <v>37</v>
      </c>
      <c r="D643" t="s">
        <v>40</v>
      </c>
      <c r="E643" t="s">
        <v>15</v>
      </c>
      <c r="F643" s="9">
        <v>0.08</v>
      </c>
      <c r="G643" s="10">
        <v>12399</v>
      </c>
      <c r="H643">
        <v>3.65</v>
      </c>
      <c r="I643" s="5">
        <f>ROUND(Marketing[[#This Row],[Clicks]]*Marketing[[#This Row],[Conversion_Rate]],0)</f>
        <v>34</v>
      </c>
      <c r="J643" s="12">
        <f>Marketing[[#This Row],[Campaign_Cost]]/Marketing[[#This Row],[Customers]]</f>
        <v>364.6764705882353</v>
      </c>
      <c r="K643" t="s">
        <v>19</v>
      </c>
      <c r="L643" t="s">
        <v>33</v>
      </c>
      <c r="M643">
        <v>423</v>
      </c>
      <c r="N643">
        <v>7396</v>
      </c>
      <c r="O643">
        <v>9</v>
      </c>
      <c r="P643" t="s">
        <v>44</v>
      </c>
      <c r="Q643" s="1">
        <v>44473</v>
      </c>
    </row>
    <row r="644" spans="1:17" x14ac:dyDescent="0.3">
      <c r="A644" t="s">
        <v>14</v>
      </c>
      <c r="B644" t="s">
        <v>47</v>
      </c>
      <c r="C644" t="s">
        <v>16</v>
      </c>
      <c r="D644" t="s">
        <v>40</v>
      </c>
      <c r="E644" t="s">
        <v>18</v>
      </c>
      <c r="F644" s="9">
        <v>0.06</v>
      </c>
      <c r="G644" s="10">
        <v>10179</v>
      </c>
      <c r="H644">
        <v>5.29</v>
      </c>
      <c r="I644" s="5">
        <f>ROUND(Marketing[[#This Row],[Clicks]]*Marketing[[#This Row],[Conversion_Rate]],0)</f>
        <v>6</v>
      </c>
      <c r="J644" s="12">
        <f>Marketing[[#This Row],[Campaign_Cost]]/Marketing[[#This Row],[Customers]]</f>
        <v>1696.5</v>
      </c>
      <c r="K644" t="s">
        <v>38</v>
      </c>
      <c r="L644" t="s">
        <v>20</v>
      </c>
      <c r="M644">
        <v>102</v>
      </c>
      <c r="N644">
        <v>4930</v>
      </c>
      <c r="O644">
        <v>8</v>
      </c>
      <c r="P644" t="s">
        <v>27</v>
      </c>
      <c r="Q644" s="1">
        <v>44474</v>
      </c>
    </row>
    <row r="645" spans="1:17" x14ac:dyDescent="0.3">
      <c r="A645" t="s">
        <v>28</v>
      </c>
      <c r="B645" t="s">
        <v>47</v>
      </c>
      <c r="C645" t="s">
        <v>30</v>
      </c>
      <c r="D645" t="s">
        <v>17</v>
      </c>
      <c r="E645" t="s">
        <v>31</v>
      </c>
      <c r="F645" s="9">
        <v>0.02</v>
      </c>
      <c r="G645" s="10">
        <v>18123</v>
      </c>
      <c r="H645">
        <v>3.83</v>
      </c>
      <c r="I645" s="5">
        <f>ROUND(Marketing[[#This Row],[Clicks]]*Marketing[[#This Row],[Conversion_Rate]],0)</f>
        <v>6</v>
      </c>
      <c r="J645" s="12">
        <f>Marketing[[#This Row],[Campaign_Cost]]/Marketing[[#This Row],[Customers]]</f>
        <v>3020.5</v>
      </c>
      <c r="K645" t="s">
        <v>51</v>
      </c>
      <c r="L645" t="s">
        <v>50</v>
      </c>
      <c r="M645">
        <v>307</v>
      </c>
      <c r="N645">
        <v>1468</v>
      </c>
      <c r="O645">
        <v>10</v>
      </c>
      <c r="P645" t="s">
        <v>27</v>
      </c>
      <c r="Q645" s="1">
        <v>44475</v>
      </c>
    </row>
    <row r="646" spans="1:17" x14ac:dyDescent="0.3">
      <c r="A646" t="s">
        <v>22</v>
      </c>
      <c r="B646" t="s">
        <v>29</v>
      </c>
      <c r="C646" t="s">
        <v>30</v>
      </c>
      <c r="D646" t="s">
        <v>24</v>
      </c>
      <c r="E646" t="s">
        <v>15</v>
      </c>
      <c r="F646" s="9">
        <v>0.05</v>
      </c>
      <c r="G646" s="10">
        <v>5481</v>
      </c>
      <c r="H646">
        <v>4.71</v>
      </c>
      <c r="I646" s="5">
        <f>ROUND(Marketing[[#This Row],[Clicks]]*Marketing[[#This Row],[Conversion_Rate]],0)</f>
        <v>25</v>
      </c>
      <c r="J646" s="12">
        <f>Marketing[[#This Row],[Campaign_Cost]]/Marketing[[#This Row],[Customers]]</f>
        <v>219.24</v>
      </c>
      <c r="K646" t="s">
        <v>38</v>
      </c>
      <c r="L646" t="s">
        <v>26</v>
      </c>
      <c r="M646">
        <v>496</v>
      </c>
      <c r="N646">
        <v>9383</v>
      </c>
      <c r="O646">
        <v>3</v>
      </c>
      <c r="P646" t="s">
        <v>27</v>
      </c>
      <c r="Q646" s="1">
        <v>44476</v>
      </c>
    </row>
    <row r="647" spans="1:17" x14ac:dyDescent="0.3">
      <c r="A647" t="s">
        <v>14</v>
      </c>
      <c r="B647" t="s">
        <v>15</v>
      </c>
      <c r="C647" t="s">
        <v>52</v>
      </c>
      <c r="D647" t="s">
        <v>24</v>
      </c>
      <c r="E647" t="s">
        <v>48</v>
      </c>
      <c r="F647" s="9">
        <v>0.13</v>
      </c>
      <c r="G647" s="10">
        <v>18673</v>
      </c>
      <c r="H647">
        <v>6.04</v>
      </c>
      <c r="I647" s="5">
        <f>ROUND(Marketing[[#This Row],[Clicks]]*Marketing[[#This Row],[Conversion_Rate]],0)</f>
        <v>125</v>
      </c>
      <c r="J647" s="12">
        <f>Marketing[[#This Row],[Campaign_Cost]]/Marketing[[#This Row],[Customers]]</f>
        <v>149.38399999999999</v>
      </c>
      <c r="K647" t="s">
        <v>51</v>
      </c>
      <c r="L647" t="s">
        <v>33</v>
      </c>
      <c r="M647">
        <v>964</v>
      </c>
      <c r="N647">
        <v>3756</v>
      </c>
      <c r="O647">
        <v>5</v>
      </c>
      <c r="P647" t="s">
        <v>42</v>
      </c>
      <c r="Q647" s="1">
        <v>44477</v>
      </c>
    </row>
    <row r="648" spans="1:17" x14ac:dyDescent="0.3">
      <c r="A648" t="s">
        <v>35</v>
      </c>
      <c r="B648" t="s">
        <v>47</v>
      </c>
      <c r="C648" t="s">
        <v>52</v>
      </c>
      <c r="D648" t="s">
        <v>17</v>
      </c>
      <c r="E648" t="s">
        <v>18</v>
      </c>
      <c r="F648" s="9">
        <v>0.1</v>
      </c>
      <c r="G648" s="10">
        <v>16853</v>
      </c>
      <c r="H648">
        <v>4.2</v>
      </c>
      <c r="I648" s="5">
        <f>ROUND(Marketing[[#This Row],[Clicks]]*Marketing[[#This Row],[Conversion_Rate]],0)</f>
        <v>17</v>
      </c>
      <c r="J648" s="12">
        <f>Marketing[[#This Row],[Campaign_Cost]]/Marketing[[#This Row],[Customers]]</f>
        <v>991.35294117647061</v>
      </c>
      <c r="K648" t="s">
        <v>32</v>
      </c>
      <c r="L648" t="s">
        <v>33</v>
      </c>
      <c r="M648">
        <v>174</v>
      </c>
      <c r="N648">
        <v>9853</v>
      </c>
      <c r="O648">
        <v>10</v>
      </c>
      <c r="P648" t="s">
        <v>34</v>
      </c>
      <c r="Q648" s="1">
        <v>44478</v>
      </c>
    </row>
    <row r="649" spans="1:17" x14ac:dyDescent="0.3">
      <c r="A649" t="s">
        <v>22</v>
      </c>
      <c r="B649" t="s">
        <v>29</v>
      </c>
      <c r="C649" t="s">
        <v>52</v>
      </c>
      <c r="D649" t="s">
        <v>24</v>
      </c>
      <c r="E649" t="s">
        <v>18</v>
      </c>
      <c r="F649" s="9">
        <v>0.14000000000000001</v>
      </c>
      <c r="G649" s="10">
        <v>18729</v>
      </c>
      <c r="H649">
        <v>2.65</v>
      </c>
      <c r="I649" s="5">
        <f>ROUND(Marketing[[#This Row],[Clicks]]*Marketing[[#This Row],[Conversion_Rate]],0)</f>
        <v>52</v>
      </c>
      <c r="J649" s="12">
        <f>Marketing[[#This Row],[Campaign_Cost]]/Marketing[[#This Row],[Customers]]</f>
        <v>360.17307692307691</v>
      </c>
      <c r="K649" t="s">
        <v>51</v>
      </c>
      <c r="L649" t="s">
        <v>33</v>
      </c>
      <c r="M649">
        <v>373</v>
      </c>
      <c r="N649">
        <v>6003</v>
      </c>
      <c r="O649">
        <v>2</v>
      </c>
      <c r="P649" t="s">
        <v>42</v>
      </c>
      <c r="Q649" s="1">
        <v>44479</v>
      </c>
    </row>
    <row r="650" spans="1:17" x14ac:dyDescent="0.3">
      <c r="A650" t="s">
        <v>14</v>
      </c>
      <c r="B650" t="s">
        <v>15</v>
      </c>
      <c r="C650" t="s">
        <v>23</v>
      </c>
      <c r="D650" t="s">
        <v>40</v>
      </c>
      <c r="E650" t="s">
        <v>48</v>
      </c>
      <c r="F650" s="9">
        <v>0.09</v>
      </c>
      <c r="G650" s="10">
        <v>8832</v>
      </c>
      <c r="H650">
        <v>6.62</v>
      </c>
      <c r="I650" s="5">
        <f>ROUND(Marketing[[#This Row],[Clicks]]*Marketing[[#This Row],[Conversion_Rate]],0)</f>
        <v>24</v>
      </c>
      <c r="J650" s="12">
        <f>Marketing[[#This Row],[Campaign_Cost]]/Marketing[[#This Row],[Customers]]</f>
        <v>368</v>
      </c>
      <c r="K650" t="s">
        <v>38</v>
      </c>
      <c r="L650" t="s">
        <v>26</v>
      </c>
      <c r="M650">
        <v>268</v>
      </c>
      <c r="N650">
        <v>9943</v>
      </c>
      <c r="O650">
        <v>1</v>
      </c>
      <c r="P650" t="s">
        <v>34</v>
      </c>
      <c r="Q650" s="1">
        <v>44480</v>
      </c>
    </row>
    <row r="651" spans="1:17" x14ac:dyDescent="0.3">
      <c r="A651" t="s">
        <v>14</v>
      </c>
      <c r="B651" t="s">
        <v>15</v>
      </c>
      <c r="C651" t="s">
        <v>52</v>
      </c>
      <c r="D651" t="s">
        <v>24</v>
      </c>
      <c r="E651" t="s">
        <v>18</v>
      </c>
      <c r="F651" s="9">
        <v>0.12</v>
      </c>
      <c r="G651" s="10">
        <v>11318</v>
      </c>
      <c r="H651">
        <v>4.5599999999999996</v>
      </c>
      <c r="I651" s="5">
        <f>ROUND(Marketing[[#This Row],[Clicks]]*Marketing[[#This Row],[Conversion_Rate]],0)</f>
        <v>21</v>
      </c>
      <c r="J651" s="12">
        <f>Marketing[[#This Row],[Campaign_Cost]]/Marketing[[#This Row],[Customers]]</f>
        <v>538.95238095238096</v>
      </c>
      <c r="K651" t="s">
        <v>19</v>
      </c>
      <c r="L651" t="s">
        <v>20</v>
      </c>
      <c r="M651">
        <v>177</v>
      </c>
      <c r="N651">
        <v>6571</v>
      </c>
      <c r="O651">
        <v>10</v>
      </c>
      <c r="P651" t="s">
        <v>34</v>
      </c>
      <c r="Q651" s="1">
        <v>44481</v>
      </c>
    </row>
    <row r="652" spans="1:17" x14ac:dyDescent="0.3">
      <c r="A652" t="s">
        <v>35</v>
      </c>
      <c r="B652" t="s">
        <v>36</v>
      </c>
      <c r="C652" t="s">
        <v>37</v>
      </c>
      <c r="D652" t="s">
        <v>17</v>
      </c>
      <c r="E652" t="s">
        <v>48</v>
      </c>
      <c r="F652" s="9">
        <v>0.08</v>
      </c>
      <c r="G652" s="10">
        <v>8396</v>
      </c>
      <c r="H652">
        <v>7.53</v>
      </c>
      <c r="I652" s="5">
        <f>ROUND(Marketing[[#This Row],[Clicks]]*Marketing[[#This Row],[Conversion_Rate]],0)</f>
        <v>28</v>
      </c>
      <c r="J652" s="12">
        <f>Marketing[[#This Row],[Campaign_Cost]]/Marketing[[#This Row],[Customers]]</f>
        <v>299.85714285714283</v>
      </c>
      <c r="K652" t="s">
        <v>25</v>
      </c>
      <c r="L652" t="s">
        <v>26</v>
      </c>
      <c r="M652">
        <v>345</v>
      </c>
      <c r="N652">
        <v>5864</v>
      </c>
      <c r="O652">
        <v>7</v>
      </c>
      <c r="P652" t="s">
        <v>27</v>
      </c>
      <c r="Q652" s="1">
        <v>44482</v>
      </c>
    </row>
    <row r="653" spans="1:17" x14ac:dyDescent="0.3">
      <c r="A653" t="s">
        <v>22</v>
      </c>
      <c r="B653" t="s">
        <v>36</v>
      </c>
      <c r="C653" t="s">
        <v>37</v>
      </c>
      <c r="D653" t="s">
        <v>17</v>
      </c>
      <c r="E653" t="s">
        <v>15</v>
      </c>
      <c r="F653" s="9">
        <v>0.09</v>
      </c>
      <c r="G653" s="10">
        <v>16132</v>
      </c>
      <c r="H653">
        <v>4.4000000000000004</v>
      </c>
      <c r="I653" s="5">
        <f>ROUND(Marketing[[#This Row],[Clicks]]*Marketing[[#This Row],[Conversion_Rate]],0)</f>
        <v>18</v>
      </c>
      <c r="J653" s="12">
        <f>Marketing[[#This Row],[Campaign_Cost]]/Marketing[[#This Row],[Customers]]</f>
        <v>896.22222222222217</v>
      </c>
      <c r="K653" t="s">
        <v>51</v>
      </c>
      <c r="L653" t="s">
        <v>26</v>
      </c>
      <c r="M653">
        <v>205</v>
      </c>
      <c r="N653">
        <v>2828</v>
      </c>
      <c r="O653">
        <v>1</v>
      </c>
      <c r="P653" t="s">
        <v>27</v>
      </c>
      <c r="Q653" s="1">
        <v>44483</v>
      </c>
    </row>
    <row r="654" spans="1:17" x14ac:dyDescent="0.3">
      <c r="A654" t="s">
        <v>14</v>
      </c>
      <c r="B654" t="s">
        <v>47</v>
      </c>
      <c r="C654" t="s">
        <v>16</v>
      </c>
      <c r="D654" t="s">
        <v>40</v>
      </c>
      <c r="E654" t="s">
        <v>31</v>
      </c>
      <c r="F654" s="9">
        <v>0.11</v>
      </c>
      <c r="G654" s="10">
        <v>8972</v>
      </c>
      <c r="H654">
        <v>7.75</v>
      </c>
      <c r="I654" s="5">
        <f>ROUND(Marketing[[#This Row],[Clicks]]*Marketing[[#This Row],[Conversion_Rate]],0)</f>
        <v>106</v>
      </c>
      <c r="J654" s="12">
        <f>Marketing[[#This Row],[Campaign_Cost]]/Marketing[[#This Row],[Customers]]</f>
        <v>84.64150943396227</v>
      </c>
      <c r="K654" t="s">
        <v>51</v>
      </c>
      <c r="L654" t="s">
        <v>50</v>
      </c>
      <c r="M654">
        <v>963</v>
      </c>
      <c r="N654">
        <v>3148</v>
      </c>
      <c r="O654">
        <v>6</v>
      </c>
      <c r="P654" t="s">
        <v>27</v>
      </c>
      <c r="Q654" s="1">
        <v>44484</v>
      </c>
    </row>
    <row r="655" spans="1:17" x14ac:dyDescent="0.3">
      <c r="A655" t="s">
        <v>35</v>
      </c>
      <c r="B655" t="s">
        <v>45</v>
      </c>
      <c r="C655" t="s">
        <v>23</v>
      </c>
      <c r="D655" t="s">
        <v>17</v>
      </c>
      <c r="E655" t="s">
        <v>48</v>
      </c>
      <c r="F655" s="9">
        <v>0.01</v>
      </c>
      <c r="G655" s="10">
        <v>6117</v>
      </c>
      <c r="H655">
        <v>2.75</v>
      </c>
      <c r="I655" s="5">
        <f>ROUND(Marketing[[#This Row],[Clicks]]*Marketing[[#This Row],[Conversion_Rate]],0)</f>
        <v>8</v>
      </c>
      <c r="J655" s="12">
        <f>Marketing[[#This Row],[Campaign_Cost]]/Marketing[[#This Row],[Customers]]</f>
        <v>764.625</v>
      </c>
      <c r="K655" t="s">
        <v>32</v>
      </c>
      <c r="L655" t="s">
        <v>33</v>
      </c>
      <c r="M655">
        <v>754</v>
      </c>
      <c r="N655">
        <v>5592</v>
      </c>
      <c r="O655">
        <v>5</v>
      </c>
      <c r="P655" t="s">
        <v>34</v>
      </c>
      <c r="Q655" s="1">
        <v>44485</v>
      </c>
    </row>
    <row r="656" spans="1:17" x14ac:dyDescent="0.3">
      <c r="A656" t="s">
        <v>35</v>
      </c>
      <c r="B656" t="s">
        <v>15</v>
      </c>
      <c r="C656" t="s">
        <v>37</v>
      </c>
      <c r="D656" t="s">
        <v>24</v>
      </c>
      <c r="E656" t="s">
        <v>31</v>
      </c>
      <c r="F656" s="9">
        <v>0.08</v>
      </c>
      <c r="G656" s="10">
        <v>8036</v>
      </c>
      <c r="H656">
        <v>4.1399999999999997</v>
      </c>
      <c r="I656" s="5">
        <f>ROUND(Marketing[[#This Row],[Clicks]]*Marketing[[#This Row],[Conversion_Rate]],0)</f>
        <v>24</v>
      </c>
      <c r="J656" s="12">
        <f>Marketing[[#This Row],[Campaign_Cost]]/Marketing[[#This Row],[Customers]]</f>
        <v>334.83333333333331</v>
      </c>
      <c r="K656" t="s">
        <v>51</v>
      </c>
      <c r="L656" t="s">
        <v>33</v>
      </c>
      <c r="M656">
        <v>304</v>
      </c>
      <c r="N656">
        <v>8555</v>
      </c>
      <c r="O656">
        <v>6</v>
      </c>
      <c r="P656" t="s">
        <v>44</v>
      </c>
      <c r="Q656" s="1">
        <v>44486</v>
      </c>
    </row>
    <row r="657" spans="1:17" x14ac:dyDescent="0.3">
      <c r="A657" t="s">
        <v>14</v>
      </c>
      <c r="B657" t="s">
        <v>29</v>
      </c>
      <c r="C657" t="s">
        <v>37</v>
      </c>
      <c r="D657" t="s">
        <v>24</v>
      </c>
      <c r="E657" t="s">
        <v>41</v>
      </c>
      <c r="F657" s="9">
        <v>0.08</v>
      </c>
      <c r="G657" s="10">
        <v>6987</v>
      </c>
      <c r="H657">
        <v>4.0599999999999996</v>
      </c>
      <c r="I657" s="5">
        <f>ROUND(Marketing[[#This Row],[Clicks]]*Marketing[[#This Row],[Conversion_Rate]],0)</f>
        <v>17</v>
      </c>
      <c r="J657" s="12">
        <f>Marketing[[#This Row],[Campaign_Cost]]/Marketing[[#This Row],[Customers]]</f>
        <v>411</v>
      </c>
      <c r="K657" t="s">
        <v>19</v>
      </c>
      <c r="L657" t="s">
        <v>20</v>
      </c>
      <c r="M657">
        <v>212</v>
      </c>
      <c r="N657">
        <v>9956</v>
      </c>
      <c r="O657">
        <v>6</v>
      </c>
      <c r="P657" t="s">
        <v>27</v>
      </c>
      <c r="Q657" s="1">
        <v>44487</v>
      </c>
    </row>
    <row r="658" spans="1:17" x14ac:dyDescent="0.3">
      <c r="A658" t="s">
        <v>14</v>
      </c>
      <c r="B658" t="s">
        <v>29</v>
      </c>
      <c r="C658" t="s">
        <v>37</v>
      </c>
      <c r="D658" t="s">
        <v>17</v>
      </c>
      <c r="E658" t="s">
        <v>41</v>
      </c>
      <c r="F658" s="9">
        <v>0.06</v>
      </c>
      <c r="G658" s="10">
        <v>6760</v>
      </c>
      <c r="H658">
        <v>7.88</v>
      </c>
      <c r="I658" s="5">
        <f>ROUND(Marketing[[#This Row],[Clicks]]*Marketing[[#This Row],[Conversion_Rate]],0)</f>
        <v>19</v>
      </c>
      <c r="J658" s="12">
        <f>Marketing[[#This Row],[Campaign_Cost]]/Marketing[[#This Row],[Customers]]</f>
        <v>355.78947368421052</v>
      </c>
      <c r="K658" t="s">
        <v>32</v>
      </c>
      <c r="L658" t="s">
        <v>20</v>
      </c>
      <c r="M658">
        <v>322</v>
      </c>
      <c r="N658">
        <v>1804</v>
      </c>
      <c r="O658">
        <v>2</v>
      </c>
      <c r="P658" t="s">
        <v>27</v>
      </c>
      <c r="Q658" s="1">
        <v>44488</v>
      </c>
    </row>
    <row r="659" spans="1:17" x14ac:dyDescent="0.3">
      <c r="A659" t="s">
        <v>28</v>
      </c>
      <c r="B659" t="s">
        <v>29</v>
      </c>
      <c r="C659" t="s">
        <v>52</v>
      </c>
      <c r="D659" t="s">
        <v>40</v>
      </c>
      <c r="E659" t="s">
        <v>43</v>
      </c>
      <c r="F659" s="9">
        <v>0.03</v>
      </c>
      <c r="G659" s="10">
        <v>13907</v>
      </c>
      <c r="H659">
        <v>6.77</v>
      </c>
      <c r="I659" s="5">
        <f>ROUND(Marketing[[#This Row],[Clicks]]*Marketing[[#This Row],[Conversion_Rate]],0)</f>
        <v>17</v>
      </c>
      <c r="J659" s="12">
        <f>Marketing[[#This Row],[Campaign_Cost]]/Marketing[[#This Row],[Customers]]</f>
        <v>818.05882352941171</v>
      </c>
      <c r="K659" t="s">
        <v>38</v>
      </c>
      <c r="L659" t="s">
        <v>26</v>
      </c>
      <c r="M659">
        <v>563</v>
      </c>
      <c r="N659">
        <v>8425</v>
      </c>
      <c r="O659">
        <v>3</v>
      </c>
      <c r="P659" t="s">
        <v>21</v>
      </c>
      <c r="Q659" s="1">
        <v>44489</v>
      </c>
    </row>
    <row r="660" spans="1:17" x14ac:dyDescent="0.3">
      <c r="A660" t="s">
        <v>35</v>
      </c>
      <c r="B660" t="s">
        <v>45</v>
      </c>
      <c r="C660" t="s">
        <v>23</v>
      </c>
      <c r="D660" t="s">
        <v>24</v>
      </c>
      <c r="E660" t="s">
        <v>48</v>
      </c>
      <c r="F660" s="9">
        <v>0.12</v>
      </c>
      <c r="G660" s="10">
        <v>19441</v>
      </c>
      <c r="H660">
        <v>3.91</v>
      </c>
      <c r="I660" s="5">
        <f>ROUND(Marketing[[#This Row],[Clicks]]*Marketing[[#This Row],[Conversion_Rate]],0)</f>
        <v>22</v>
      </c>
      <c r="J660" s="12">
        <f>Marketing[[#This Row],[Campaign_Cost]]/Marketing[[#This Row],[Customers]]</f>
        <v>883.68181818181813</v>
      </c>
      <c r="K660" t="s">
        <v>51</v>
      </c>
      <c r="L660" t="s">
        <v>50</v>
      </c>
      <c r="M660">
        <v>187</v>
      </c>
      <c r="N660">
        <v>4482</v>
      </c>
      <c r="O660">
        <v>8</v>
      </c>
      <c r="P660" t="s">
        <v>34</v>
      </c>
      <c r="Q660" s="1">
        <v>44490</v>
      </c>
    </row>
    <row r="661" spans="1:17" x14ac:dyDescent="0.3">
      <c r="A661" t="s">
        <v>35</v>
      </c>
      <c r="B661" t="s">
        <v>47</v>
      </c>
      <c r="C661" t="s">
        <v>30</v>
      </c>
      <c r="D661" t="s">
        <v>46</v>
      </c>
      <c r="E661" t="s">
        <v>43</v>
      </c>
      <c r="F661" s="9">
        <v>0.13</v>
      </c>
      <c r="G661" s="10">
        <v>10535</v>
      </c>
      <c r="H661">
        <v>2.91</v>
      </c>
      <c r="I661" s="5">
        <f>ROUND(Marketing[[#This Row],[Clicks]]*Marketing[[#This Row],[Conversion_Rate]],0)</f>
        <v>43</v>
      </c>
      <c r="J661" s="12">
        <f>Marketing[[#This Row],[Campaign_Cost]]/Marketing[[#This Row],[Customers]]</f>
        <v>245</v>
      </c>
      <c r="K661" t="s">
        <v>32</v>
      </c>
      <c r="L661" t="s">
        <v>26</v>
      </c>
      <c r="M661">
        <v>334</v>
      </c>
      <c r="N661">
        <v>9784</v>
      </c>
      <c r="O661">
        <v>5</v>
      </c>
      <c r="P661" t="s">
        <v>42</v>
      </c>
      <c r="Q661" s="1">
        <v>44491</v>
      </c>
    </row>
    <row r="662" spans="1:17" x14ac:dyDescent="0.3">
      <c r="A662" t="s">
        <v>14</v>
      </c>
      <c r="B662" t="s">
        <v>29</v>
      </c>
      <c r="C662" t="s">
        <v>16</v>
      </c>
      <c r="D662" t="s">
        <v>17</v>
      </c>
      <c r="E662" t="s">
        <v>48</v>
      </c>
      <c r="F662" s="9">
        <v>0.11</v>
      </c>
      <c r="G662" s="10">
        <v>7254</v>
      </c>
      <c r="H662">
        <v>5.04</v>
      </c>
      <c r="I662" s="5">
        <f>ROUND(Marketing[[#This Row],[Clicks]]*Marketing[[#This Row],[Conversion_Rate]],0)</f>
        <v>33</v>
      </c>
      <c r="J662" s="12">
        <f>Marketing[[#This Row],[Campaign_Cost]]/Marketing[[#This Row],[Customers]]</f>
        <v>219.81818181818181</v>
      </c>
      <c r="K662" t="s">
        <v>19</v>
      </c>
      <c r="L662" t="s">
        <v>26</v>
      </c>
      <c r="M662">
        <v>302</v>
      </c>
      <c r="N662">
        <v>9367</v>
      </c>
      <c r="O662">
        <v>9</v>
      </c>
      <c r="P662" t="s">
        <v>27</v>
      </c>
      <c r="Q662" s="1">
        <v>44492</v>
      </c>
    </row>
    <row r="663" spans="1:17" x14ac:dyDescent="0.3">
      <c r="A663" t="s">
        <v>35</v>
      </c>
      <c r="B663" t="s">
        <v>15</v>
      </c>
      <c r="C663" t="s">
        <v>16</v>
      </c>
      <c r="D663" t="s">
        <v>40</v>
      </c>
      <c r="E663" t="s">
        <v>18</v>
      </c>
      <c r="F663" s="9">
        <v>0.05</v>
      </c>
      <c r="G663" s="10">
        <v>17392</v>
      </c>
      <c r="H663">
        <v>2.39</v>
      </c>
      <c r="I663" s="5">
        <f>ROUND(Marketing[[#This Row],[Clicks]]*Marketing[[#This Row],[Conversion_Rate]],0)</f>
        <v>31</v>
      </c>
      <c r="J663" s="12">
        <f>Marketing[[#This Row],[Campaign_Cost]]/Marketing[[#This Row],[Customers]]</f>
        <v>561.0322580645161</v>
      </c>
      <c r="K663" t="s">
        <v>51</v>
      </c>
      <c r="L663" t="s">
        <v>33</v>
      </c>
      <c r="M663">
        <v>628</v>
      </c>
      <c r="N663">
        <v>7721</v>
      </c>
      <c r="O663">
        <v>4</v>
      </c>
      <c r="P663" t="s">
        <v>44</v>
      </c>
      <c r="Q663" s="1">
        <v>44493</v>
      </c>
    </row>
    <row r="664" spans="1:17" x14ac:dyDescent="0.3">
      <c r="A664" t="s">
        <v>35</v>
      </c>
      <c r="B664" t="s">
        <v>29</v>
      </c>
      <c r="C664" t="s">
        <v>30</v>
      </c>
      <c r="D664" t="s">
        <v>40</v>
      </c>
      <c r="E664" t="s">
        <v>15</v>
      </c>
      <c r="F664" s="9">
        <v>0.14000000000000001</v>
      </c>
      <c r="G664" s="10">
        <v>11298</v>
      </c>
      <c r="H664">
        <v>5.46</v>
      </c>
      <c r="I664" s="5">
        <f>ROUND(Marketing[[#This Row],[Clicks]]*Marketing[[#This Row],[Conversion_Rate]],0)</f>
        <v>73</v>
      </c>
      <c r="J664" s="12">
        <f>Marketing[[#This Row],[Campaign_Cost]]/Marketing[[#This Row],[Customers]]</f>
        <v>154.76712328767124</v>
      </c>
      <c r="K664" t="s">
        <v>32</v>
      </c>
      <c r="L664" t="s">
        <v>50</v>
      </c>
      <c r="M664">
        <v>521</v>
      </c>
      <c r="N664">
        <v>8717</v>
      </c>
      <c r="O664">
        <v>1</v>
      </c>
      <c r="P664" t="s">
        <v>34</v>
      </c>
      <c r="Q664" s="1">
        <v>44494</v>
      </c>
    </row>
    <row r="665" spans="1:17" x14ac:dyDescent="0.3">
      <c r="A665" t="s">
        <v>49</v>
      </c>
      <c r="B665" t="s">
        <v>47</v>
      </c>
      <c r="C665" t="s">
        <v>16</v>
      </c>
      <c r="D665" t="s">
        <v>46</v>
      </c>
      <c r="E665" t="s">
        <v>18</v>
      </c>
      <c r="F665" s="9">
        <v>0.08</v>
      </c>
      <c r="G665" s="10">
        <v>11082</v>
      </c>
      <c r="H665">
        <v>5.4</v>
      </c>
      <c r="I665" s="5">
        <f>ROUND(Marketing[[#This Row],[Clicks]]*Marketing[[#This Row],[Conversion_Rate]],0)</f>
        <v>37</v>
      </c>
      <c r="J665" s="12">
        <f>Marketing[[#This Row],[Campaign_Cost]]/Marketing[[#This Row],[Customers]]</f>
        <v>299.51351351351349</v>
      </c>
      <c r="K665" t="s">
        <v>19</v>
      </c>
      <c r="L665" t="s">
        <v>33</v>
      </c>
      <c r="M665">
        <v>464</v>
      </c>
      <c r="N665">
        <v>3353</v>
      </c>
      <c r="O665">
        <v>3</v>
      </c>
      <c r="P665" t="s">
        <v>42</v>
      </c>
      <c r="Q665" s="1">
        <v>44495</v>
      </c>
    </row>
    <row r="666" spans="1:17" x14ac:dyDescent="0.3">
      <c r="A666" t="s">
        <v>49</v>
      </c>
      <c r="B666" t="s">
        <v>36</v>
      </c>
      <c r="C666" t="s">
        <v>23</v>
      </c>
      <c r="D666" t="s">
        <v>24</v>
      </c>
      <c r="E666" t="s">
        <v>48</v>
      </c>
      <c r="F666" s="9">
        <v>0.11</v>
      </c>
      <c r="G666" s="10">
        <v>18746</v>
      </c>
      <c r="H666">
        <v>4.84</v>
      </c>
      <c r="I666" s="5">
        <f>ROUND(Marketing[[#This Row],[Clicks]]*Marketing[[#This Row],[Conversion_Rate]],0)</f>
        <v>99</v>
      </c>
      <c r="J666" s="12">
        <f>Marketing[[#This Row],[Campaign_Cost]]/Marketing[[#This Row],[Customers]]</f>
        <v>189.35353535353536</v>
      </c>
      <c r="K666" t="s">
        <v>25</v>
      </c>
      <c r="L666" t="s">
        <v>50</v>
      </c>
      <c r="M666">
        <v>903</v>
      </c>
      <c r="N666">
        <v>3552</v>
      </c>
      <c r="O666">
        <v>10</v>
      </c>
      <c r="P666" t="s">
        <v>44</v>
      </c>
      <c r="Q666" s="1">
        <v>44496</v>
      </c>
    </row>
    <row r="667" spans="1:17" x14ac:dyDescent="0.3">
      <c r="A667" t="s">
        <v>14</v>
      </c>
      <c r="B667" t="s">
        <v>47</v>
      </c>
      <c r="C667" t="s">
        <v>37</v>
      </c>
      <c r="D667" t="s">
        <v>17</v>
      </c>
      <c r="E667" t="s">
        <v>31</v>
      </c>
      <c r="F667" s="9">
        <v>0.13</v>
      </c>
      <c r="G667" s="10">
        <v>13923</v>
      </c>
      <c r="H667">
        <v>7.28</v>
      </c>
      <c r="I667" s="5">
        <f>ROUND(Marketing[[#This Row],[Clicks]]*Marketing[[#This Row],[Conversion_Rate]],0)</f>
        <v>23</v>
      </c>
      <c r="J667" s="12">
        <f>Marketing[[#This Row],[Campaign_Cost]]/Marketing[[#This Row],[Customers]]</f>
        <v>605.3478260869565</v>
      </c>
      <c r="K667" t="s">
        <v>32</v>
      </c>
      <c r="L667" t="s">
        <v>33</v>
      </c>
      <c r="M667">
        <v>176</v>
      </c>
      <c r="N667">
        <v>8629</v>
      </c>
      <c r="O667">
        <v>3</v>
      </c>
      <c r="P667" t="s">
        <v>44</v>
      </c>
      <c r="Q667" s="1">
        <v>44497</v>
      </c>
    </row>
    <row r="668" spans="1:17" x14ac:dyDescent="0.3">
      <c r="A668" t="s">
        <v>49</v>
      </c>
      <c r="B668" t="s">
        <v>29</v>
      </c>
      <c r="C668" t="s">
        <v>23</v>
      </c>
      <c r="D668" t="s">
        <v>17</v>
      </c>
      <c r="E668" t="s">
        <v>15</v>
      </c>
      <c r="F668" s="9">
        <v>0.1</v>
      </c>
      <c r="G668" s="10">
        <v>18157</v>
      </c>
      <c r="H668">
        <v>5.3</v>
      </c>
      <c r="I668" s="5">
        <f>ROUND(Marketing[[#This Row],[Clicks]]*Marketing[[#This Row],[Conversion_Rate]],0)</f>
        <v>19</v>
      </c>
      <c r="J668" s="12">
        <f>Marketing[[#This Row],[Campaign_Cost]]/Marketing[[#This Row],[Customers]]</f>
        <v>955.63157894736844</v>
      </c>
      <c r="K668" t="s">
        <v>38</v>
      </c>
      <c r="L668" t="s">
        <v>33</v>
      </c>
      <c r="M668">
        <v>190</v>
      </c>
      <c r="N668">
        <v>6917</v>
      </c>
      <c r="O668">
        <v>7</v>
      </c>
      <c r="P668" t="s">
        <v>44</v>
      </c>
      <c r="Q668" s="1">
        <v>44498</v>
      </c>
    </row>
    <row r="669" spans="1:17" x14ac:dyDescent="0.3">
      <c r="A669" t="s">
        <v>14</v>
      </c>
      <c r="B669" t="s">
        <v>45</v>
      </c>
      <c r="C669" t="s">
        <v>16</v>
      </c>
      <c r="D669" t="s">
        <v>17</v>
      </c>
      <c r="E669" t="s">
        <v>43</v>
      </c>
      <c r="F669" s="9">
        <v>0.15</v>
      </c>
      <c r="G669" s="10">
        <v>6920</v>
      </c>
      <c r="H669">
        <v>7.09</v>
      </c>
      <c r="I669" s="5">
        <f>ROUND(Marketing[[#This Row],[Clicks]]*Marketing[[#This Row],[Conversion_Rate]],0)</f>
        <v>141</v>
      </c>
      <c r="J669" s="12">
        <f>Marketing[[#This Row],[Campaign_Cost]]/Marketing[[#This Row],[Customers]]</f>
        <v>49.078014184397162</v>
      </c>
      <c r="K669" t="s">
        <v>38</v>
      </c>
      <c r="L669" t="s">
        <v>39</v>
      </c>
      <c r="M669">
        <v>942</v>
      </c>
      <c r="N669">
        <v>9530</v>
      </c>
      <c r="O669">
        <v>2</v>
      </c>
      <c r="P669" t="s">
        <v>21</v>
      </c>
      <c r="Q669" s="1">
        <v>44499</v>
      </c>
    </row>
    <row r="670" spans="1:17" x14ac:dyDescent="0.3">
      <c r="A670" t="s">
        <v>28</v>
      </c>
      <c r="B670" t="s">
        <v>29</v>
      </c>
      <c r="C670" t="s">
        <v>23</v>
      </c>
      <c r="D670" t="s">
        <v>40</v>
      </c>
      <c r="E670" t="s">
        <v>18</v>
      </c>
      <c r="F670" s="9">
        <v>7.0000000000000007E-2</v>
      </c>
      <c r="G670" s="10">
        <v>17162</v>
      </c>
      <c r="H670">
        <v>7.43</v>
      </c>
      <c r="I670" s="5">
        <f>ROUND(Marketing[[#This Row],[Clicks]]*Marketing[[#This Row],[Conversion_Rate]],0)</f>
        <v>64</v>
      </c>
      <c r="J670" s="12">
        <f>Marketing[[#This Row],[Campaign_Cost]]/Marketing[[#This Row],[Customers]]</f>
        <v>268.15625</v>
      </c>
      <c r="K670" t="s">
        <v>19</v>
      </c>
      <c r="L670" t="s">
        <v>20</v>
      </c>
      <c r="M670">
        <v>912</v>
      </c>
      <c r="N670">
        <v>1209</v>
      </c>
      <c r="O670">
        <v>3</v>
      </c>
      <c r="P670" t="s">
        <v>42</v>
      </c>
      <c r="Q670" s="1">
        <v>44500</v>
      </c>
    </row>
    <row r="671" spans="1:17" x14ac:dyDescent="0.3">
      <c r="A671" t="s">
        <v>49</v>
      </c>
      <c r="B671" t="s">
        <v>15</v>
      </c>
      <c r="C671" t="s">
        <v>37</v>
      </c>
      <c r="D671" t="s">
        <v>17</v>
      </c>
      <c r="E671" t="s">
        <v>31</v>
      </c>
      <c r="F671" s="9">
        <v>0.11</v>
      </c>
      <c r="G671" s="10">
        <v>12918</v>
      </c>
      <c r="H671">
        <v>3.84</v>
      </c>
      <c r="I671" s="5">
        <f>ROUND(Marketing[[#This Row],[Clicks]]*Marketing[[#This Row],[Conversion_Rate]],0)</f>
        <v>76</v>
      </c>
      <c r="J671" s="12">
        <f>Marketing[[#This Row],[Campaign_Cost]]/Marketing[[#This Row],[Customers]]</f>
        <v>169.97368421052633</v>
      </c>
      <c r="K671" t="s">
        <v>38</v>
      </c>
      <c r="L671" t="s">
        <v>33</v>
      </c>
      <c r="M671">
        <v>694</v>
      </c>
      <c r="N671">
        <v>3157</v>
      </c>
      <c r="O671">
        <v>2</v>
      </c>
      <c r="P671" t="s">
        <v>27</v>
      </c>
      <c r="Q671" s="1">
        <v>44501</v>
      </c>
    </row>
    <row r="672" spans="1:17" x14ac:dyDescent="0.3">
      <c r="A672" t="s">
        <v>49</v>
      </c>
      <c r="B672" t="s">
        <v>29</v>
      </c>
      <c r="C672" t="s">
        <v>16</v>
      </c>
      <c r="D672" t="s">
        <v>46</v>
      </c>
      <c r="E672" t="s">
        <v>48</v>
      </c>
      <c r="F672" s="9">
        <v>0.03</v>
      </c>
      <c r="G672" s="10">
        <v>9323</v>
      </c>
      <c r="H672">
        <v>2.13</v>
      </c>
      <c r="I672" s="5">
        <f>ROUND(Marketing[[#This Row],[Clicks]]*Marketing[[#This Row],[Conversion_Rate]],0)</f>
        <v>4</v>
      </c>
      <c r="J672" s="12">
        <f>Marketing[[#This Row],[Campaign_Cost]]/Marketing[[#This Row],[Customers]]</f>
        <v>2330.75</v>
      </c>
      <c r="K672" t="s">
        <v>32</v>
      </c>
      <c r="L672" t="s">
        <v>33</v>
      </c>
      <c r="M672">
        <v>118</v>
      </c>
      <c r="N672">
        <v>6439</v>
      </c>
      <c r="O672">
        <v>6</v>
      </c>
      <c r="P672" t="s">
        <v>34</v>
      </c>
      <c r="Q672" s="1">
        <v>44502</v>
      </c>
    </row>
    <row r="673" spans="1:17" x14ac:dyDescent="0.3">
      <c r="A673" t="s">
        <v>22</v>
      </c>
      <c r="B673" t="s">
        <v>29</v>
      </c>
      <c r="C673" t="s">
        <v>52</v>
      </c>
      <c r="D673" t="s">
        <v>17</v>
      </c>
      <c r="E673" t="s">
        <v>15</v>
      </c>
      <c r="F673" s="9">
        <v>0.14000000000000001</v>
      </c>
      <c r="G673" s="10">
        <v>9800</v>
      </c>
      <c r="H673">
        <v>4.74</v>
      </c>
      <c r="I673" s="5">
        <f>ROUND(Marketing[[#This Row],[Clicks]]*Marketing[[#This Row],[Conversion_Rate]],0)</f>
        <v>63</v>
      </c>
      <c r="J673" s="12">
        <f>Marketing[[#This Row],[Campaign_Cost]]/Marketing[[#This Row],[Customers]]</f>
        <v>155.55555555555554</v>
      </c>
      <c r="K673" t="s">
        <v>32</v>
      </c>
      <c r="L673" t="s">
        <v>33</v>
      </c>
      <c r="M673">
        <v>448</v>
      </c>
      <c r="N673">
        <v>1895</v>
      </c>
      <c r="O673">
        <v>5</v>
      </c>
      <c r="P673" t="s">
        <v>44</v>
      </c>
      <c r="Q673" s="1">
        <v>44503</v>
      </c>
    </row>
    <row r="674" spans="1:17" x14ac:dyDescent="0.3">
      <c r="A674" t="s">
        <v>49</v>
      </c>
      <c r="B674" t="s">
        <v>36</v>
      </c>
      <c r="C674" t="s">
        <v>52</v>
      </c>
      <c r="D674" t="s">
        <v>40</v>
      </c>
      <c r="E674" t="s">
        <v>48</v>
      </c>
      <c r="F674" s="9">
        <v>0.15</v>
      </c>
      <c r="G674" s="10">
        <v>16870</v>
      </c>
      <c r="H674">
        <v>7.83</v>
      </c>
      <c r="I674" s="5">
        <f>ROUND(Marketing[[#This Row],[Clicks]]*Marketing[[#This Row],[Conversion_Rate]],0)</f>
        <v>109</v>
      </c>
      <c r="J674" s="12">
        <f>Marketing[[#This Row],[Campaign_Cost]]/Marketing[[#This Row],[Customers]]</f>
        <v>154.77064220183487</v>
      </c>
      <c r="K674" t="s">
        <v>19</v>
      </c>
      <c r="L674" t="s">
        <v>39</v>
      </c>
      <c r="M674">
        <v>728</v>
      </c>
      <c r="N674">
        <v>1636</v>
      </c>
      <c r="O674">
        <v>2</v>
      </c>
      <c r="P674" t="s">
        <v>44</v>
      </c>
      <c r="Q674" s="1">
        <v>44504</v>
      </c>
    </row>
    <row r="675" spans="1:17" x14ac:dyDescent="0.3">
      <c r="A675" t="s">
        <v>22</v>
      </c>
      <c r="B675" t="s">
        <v>47</v>
      </c>
      <c r="C675" t="s">
        <v>52</v>
      </c>
      <c r="D675" t="s">
        <v>17</v>
      </c>
      <c r="E675" t="s">
        <v>41</v>
      </c>
      <c r="F675" s="9">
        <v>0.13</v>
      </c>
      <c r="G675" s="10">
        <v>6312</v>
      </c>
      <c r="H675">
        <v>4.62</v>
      </c>
      <c r="I675" s="5">
        <f>ROUND(Marketing[[#This Row],[Clicks]]*Marketing[[#This Row],[Conversion_Rate]],0)</f>
        <v>27</v>
      </c>
      <c r="J675" s="12">
        <f>Marketing[[#This Row],[Campaign_Cost]]/Marketing[[#This Row],[Customers]]</f>
        <v>233.77777777777777</v>
      </c>
      <c r="K675" t="s">
        <v>19</v>
      </c>
      <c r="L675" t="s">
        <v>39</v>
      </c>
      <c r="M675">
        <v>208</v>
      </c>
      <c r="N675">
        <v>8837</v>
      </c>
      <c r="O675">
        <v>7</v>
      </c>
      <c r="P675" t="s">
        <v>42</v>
      </c>
      <c r="Q675" s="1">
        <v>44505</v>
      </c>
    </row>
    <row r="676" spans="1:17" x14ac:dyDescent="0.3">
      <c r="A676" t="s">
        <v>28</v>
      </c>
      <c r="B676" t="s">
        <v>29</v>
      </c>
      <c r="C676" t="s">
        <v>37</v>
      </c>
      <c r="D676" t="s">
        <v>24</v>
      </c>
      <c r="E676" t="s">
        <v>48</v>
      </c>
      <c r="F676" s="9">
        <v>0.14000000000000001</v>
      </c>
      <c r="G676" s="10">
        <v>7239</v>
      </c>
      <c r="H676">
        <v>3.16</v>
      </c>
      <c r="I676" s="5">
        <f>ROUND(Marketing[[#This Row],[Clicks]]*Marketing[[#This Row],[Conversion_Rate]],0)</f>
        <v>90</v>
      </c>
      <c r="J676" s="12">
        <f>Marketing[[#This Row],[Campaign_Cost]]/Marketing[[#This Row],[Customers]]</f>
        <v>80.433333333333337</v>
      </c>
      <c r="K676" t="s">
        <v>25</v>
      </c>
      <c r="L676" t="s">
        <v>50</v>
      </c>
      <c r="M676">
        <v>640</v>
      </c>
      <c r="N676">
        <v>3565</v>
      </c>
      <c r="O676">
        <v>1</v>
      </c>
      <c r="P676" t="s">
        <v>21</v>
      </c>
      <c r="Q676" s="1">
        <v>44506</v>
      </c>
    </row>
    <row r="677" spans="1:17" x14ac:dyDescent="0.3">
      <c r="A677" t="s">
        <v>22</v>
      </c>
      <c r="B677" t="s">
        <v>15</v>
      </c>
      <c r="C677" t="s">
        <v>23</v>
      </c>
      <c r="D677" t="s">
        <v>40</v>
      </c>
      <c r="E677" t="s">
        <v>15</v>
      </c>
      <c r="F677" s="9">
        <v>0.03</v>
      </c>
      <c r="G677" s="10">
        <v>19021</v>
      </c>
      <c r="H677">
        <v>4.1900000000000004</v>
      </c>
      <c r="I677" s="5">
        <f>ROUND(Marketing[[#This Row],[Clicks]]*Marketing[[#This Row],[Conversion_Rate]],0)</f>
        <v>11</v>
      </c>
      <c r="J677" s="12">
        <f>Marketing[[#This Row],[Campaign_Cost]]/Marketing[[#This Row],[Customers]]</f>
        <v>1729.1818181818182</v>
      </c>
      <c r="K677" t="s">
        <v>38</v>
      </c>
      <c r="L677" t="s">
        <v>39</v>
      </c>
      <c r="M677">
        <v>371</v>
      </c>
      <c r="N677">
        <v>9059</v>
      </c>
      <c r="O677">
        <v>9</v>
      </c>
      <c r="P677" t="s">
        <v>34</v>
      </c>
      <c r="Q677" s="1">
        <v>44507</v>
      </c>
    </row>
    <row r="678" spans="1:17" x14ac:dyDescent="0.3">
      <c r="A678" t="s">
        <v>14</v>
      </c>
      <c r="B678" t="s">
        <v>29</v>
      </c>
      <c r="C678" t="s">
        <v>52</v>
      </c>
      <c r="D678" t="s">
        <v>40</v>
      </c>
      <c r="E678" t="s">
        <v>15</v>
      </c>
      <c r="F678" s="9">
        <v>0.05</v>
      </c>
      <c r="G678" s="10">
        <v>10549</v>
      </c>
      <c r="H678">
        <v>5.73</v>
      </c>
      <c r="I678" s="5">
        <f>ROUND(Marketing[[#This Row],[Clicks]]*Marketing[[#This Row],[Conversion_Rate]],0)</f>
        <v>5</v>
      </c>
      <c r="J678" s="12">
        <f>Marketing[[#This Row],[Campaign_Cost]]/Marketing[[#This Row],[Customers]]</f>
        <v>2109.8000000000002</v>
      </c>
      <c r="K678" t="s">
        <v>25</v>
      </c>
      <c r="L678" t="s">
        <v>20</v>
      </c>
      <c r="M678">
        <v>106</v>
      </c>
      <c r="N678">
        <v>7954</v>
      </c>
      <c r="O678">
        <v>9</v>
      </c>
      <c r="P678" t="s">
        <v>44</v>
      </c>
      <c r="Q678" s="1">
        <v>44508</v>
      </c>
    </row>
    <row r="679" spans="1:17" x14ac:dyDescent="0.3">
      <c r="A679" t="s">
        <v>14</v>
      </c>
      <c r="B679" t="s">
        <v>47</v>
      </c>
      <c r="C679" t="s">
        <v>16</v>
      </c>
      <c r="D679" t="s">
        <v>17</v>
      </c>
      <c r="E679" t="s">
        <v>15</v>
      </c>
      <c r="F679" s="9">
        <v>0.02</v>
      </c>
      <c r="G679" s="10">
        <v>6813</v>
      </c>
      <c r="H679">
        <v>3.63</v>
      </c>
      <c r="I679" s="5">
        <f>ROUND(Marketing[[#This Row],[Clicks]]*Marketing[[#This Row],[Conversion_Rate]],0)</f>
        <v>12</v>
      </c>
      <c r="J679" s="12">
        <f>Marketing[[#This Row],[Campaign_Cost]]/Marketing[[#This Row],[Customers]]</f>
        <v>567.75</v>
      </c>
      <c r="K679" t="s">
        <v>19</v>
      </c>
      <c r="L679" t="s">
        <v>39</v>
      </c>
      <c r="M679">
        <v>612</v>
      </c>
      <c r="N679">
        <v>2006</v>
      </c>
      <c r="O679">
        <v>6</v>
      </c>
      <c r="P679" t="s">
        <v>34</v>
      </c>
      <c r="Q679" s="1">
        <v>44509</v>
      </c>
    </row>
    <row r="680" spans="1:17" x14ac:dyDescent="0.3">
      <c r="A680" t="s">
        <v>49</v>
      </c>
      <c r="B680" t="s">
        <v>29</v>
      </c>
      <c r="C680" t="s">
        <v>37</v>
      </c>
      <c r="D680" t="s">
        <v>17</v>
      </c>
      <c r="E680" t="s">
        <v>15</v>
      </c>
      <c r="F680" s="9">
        <v>0.14000000000000001</v>
      </c>
      <c r="G680" s="10">
        <v>12425</v>
      </c>
      <c r="H680">
        <v>4.22</v>
      </c>
      <c r="I680" s="5">
        <f>ROUND(Marketing[[#This Row],[Clicks]]*Marketing[[#This Row],[Conversion_Rate]],0)</f>
        <v>109</v>
      </c>
      <c r="J680" s="12">
        <f>Marketing[[#This Row],[Campaign_Cost]]/Marketing[[#This Row],[Customers]]</f>
        <v>113.9908256880734</v>
      </c>
      <c r="K680" t="s">
        <v>32</v>
      </c>
      <c r="L680" t="s">
        <v>39</v>
      </c>
      <c r="M680">
        <v>782</v>
      </c>
      <c r="N680">
        <v>6136</v>
      </c>
      <c r="O680">
        <v>9</v>
      </c>
      <c r="P680" t="s">
        <v>21</v>
      </c>
      <c r="Q680" s="1">
        <v>44510</v>
      </c>
    </row>
    <row r="681" spans="1:17" x14ac:dyDescent="0.3">
      <c r="A681" t="s">
        <v>22</v>
      </c>
      <c r="B681" t="s">
        <v>15</v>
      </c>
      <c r="C681" t="s">
        <v>52</v>
      </c>
      <c r="D681" t="s">
        <v>17</v>
      </c>
      <c r="E681" t="s">
        <v>15</v>
      </c>
      <c r="F681" s="9">
        <v>0.14000000000000001</v>
      </c>
      <c r="G681" s="10">
        <v>17496</v>
      </c>
      <c r="H681">
        <v>2.06</v>
      </c>
      <c r="I681" s="5">
        <f>ROUND(Marketing[[#This Row],[Clicks]]*Marketing[[#This Row],[Conversion_Rate]],0)</f>
        <v>74</v>
      </c>
      <c r="J681" s="12">
        <f>Marketing[[#This Row],[Campaign_Cost]]/Marketing[[#This Row],[Customers]]</f>
        <v>236.43243243243242</v>
      </c>
      <c r="K681" t="s">
        <v>19</v>
      </c>
      <c r="L681" t="s">
        <v>20</v>
      </c>
      <c r="M681">
        <v>532</v>
      </c>
      <c r="N681">
        <v>7955</v>
      </c>
      <c r="O681">
        <v>10</v>
      </c>
      <c r="P681" t="s">
        <v>34</v>
      </c>
      <c r="Q681" s="1">
        <v>44511</v>
      </c>
    </row>
    <row r="682" spans="1:17" x14ac:dyDescent="0.3">
      <c r="A682" t="s">
        <v>22</v>
      </c>
      <c r="B682" t="s">
        <v>29</v>
      </c>
      <c r="C682" t="s">
        <v>52</v>
      </c>
      <c r="D682" t="s">
        <v>17</v>
      </c>
      <c r="E682" t="s">
        <v>43</v>
      </c>
      <c r="F682" s="9">
        <v>0.11</v>
      </c>
      <c r="G682" s="10">
        <v>8735</v>
      </c>
      <c r="H682">
        <v>3.27</v>
      </c>
      <c r="I682" s="5">
        <f>ROUND(Marketing[[#This Row],[Clicks]]*Marketing[[#This Row],[Conversion_Rate]],0)</f>
        <v>107</v>
      </c>
      <c r="J682" s="12">
        <f>Marketing[[#This Row],[Campaign_Cost]]/Marketing[[#This Row],[Customers]]</f>
        <v>81.635514018691595</v>
      </c>
      <c r="K682" t="s">
        <v>38</v>
      </c>
      <c r="L682" t="s">
        <v>39</v>
      </c>
      <c r="M682">
        <v>971</v>
      </c>
      <c r="N682">
        <v>7554</v>
      </c>
      <c r="O682">
        <v>5</v>
      </c>
      <c r="P682" t="s">
        <v>27</v>
      </c>
      <c r="Q682" s="1">
        <v>44512</v>
      </c>
    </row>
    <row r="683" spans="1:17" x14ac:dyDescent="0.3">
      <c r="A683" t="s">
        <v>14</v>
      </c>
      <c r="B683" t="s">
        <v>47</v>
      </c>
      <c r="C683" t="s">
        <v>16</v>
      </c>
      <c r="D683" t="s">
        <v>24</v>
      </c>
      <c r="E683" t="s">
        <v>48</v>
      </c>
      <c r="F683" s="9">
        <v>7.0000000000000007E-2</v>
      </c>
      <c r="G683" s="10">
        <v>8857</v>
      </c>
      <c r="H683">
        <v>5.67</v>
      </c>
      <c r="I683" s="5">
        <f>ROUND(Marketing[[#This Row],[Clicks]]*Marketing[[#This Row],[Conversion_Rate]],0)</f>
        <v>22</v>
      </c>
      <c r="J683" s="12">
        <f>Marketing[[#This Row],[Campaign_Cost]]/Marketing[[#This Row],[Customers]]</f>
        <v>402.59090909090907</v>
      </c>
      <c r="K683" t="s">
        <v>51</v>
      </c>
      <c r="L683" t="s">
        <v>39</v>
      </c>
      <c r="M683">
        <v>311</v>
      </c>
      <c r="N683">
        <v>8472</v>
      </c>
      <c r="O683">
        <v>2</v>
      </c>
      <c r="P683" t="s">
        <v>44</v>
      </c>
      <c r="Q683" s="1">
        <v>44513</v>
      </c>
    </row>
    <row r="684" spans="1:17" x14ac:dyDescent="0.3">
      <c r="A684" t="s">
        <v>49</v>
      </c>
      <c r="B684" t="s">
        <v>47</v>
      </c>
      <c r="C684" t="s">
        <v>16</v>
      </c>
      <c r="D684" t="s">
        <v>40</v>
      </c>
      <c r="E684" t="s">
        <v>18</v>
      </c>
      <c r="F684" s="9">
        <v>0.03</v>
      </c>
      <c r="G684" s="10">
        <v>12375</v>
      </c>
      <c r="H684">
        <v>7.25</v>
      </c>
      <c r="I684" s="5">
        <f>ROUND(Marketing[[#This Row],[Clicks]]*Marketing[[#This Row],[Conversion_Rate]],0)</f>
        <v>13</v>
      </c>
      <c r="J684" s="12">
        <f>Marketing[[#This Row],[Campaign_Cost]]/Marketing[[#This Row],[Customers]]</f>
        <v>951.92307692307691</v>
      </c>
      <c r="K684" t="s">
        <v>38</v>
      </c>
      <c r="L684" t="s">
        <v>39</v>
      </c>
      <c r="M684">
        <v>444</v>
      </c>
      <c r="N684">
        <v>7130</v>
      </c>
      <c r="O684">
        <v>9</v>
      </c>
      <c r="P684" t="s">
        <v>44</v>
      </c>
      <c r="Q684" s="1">
        <v>44514</v>
      </c>
    </row>
    <row r="685" spans="1:17" x14ac:dyDescent="0.3">
      <c r="A685" t="s">
        <v>22</v>
      </c>
      <c r="B685" t="s">
        <v>29</v>
      </c>
      <c r="C685" t="s">
        <v>37</v>
      </c>
      <c r="D685" t="s">
        <v>46</v>
      </c>
      <c r="E685" t="s">
        <v>48</v>
      </c>
      <c r="F685" s="9">
        <v>0.04</v>
      </c>
      <c r="G685" s="10">
        <v>15892</v>
      </c>
      <c r="H685">
        <v>7.18</v>
      </c>
      <c r="I685" s="5">
        <f>ROUND(Marketing[[#This Row],[Clicks]]*Marketing[[#This Row],[Conversion_Rate]],0)</f>
        <v>29</v>
      </c>
      <c r="J685" s="12">
        <f>Marketing[[#This Row],[Campaign_Cost]]/Marketing[[#This Row],[Customers]]</f>
        <v>548</v>
      </c>
      <c r="K685" t="s">
        <v>32</v>
      </c>
      <c r="L685" t="s">
        <v>39</v>
      </c>
      <c r="M685">
        <v>729</v>
      </c>
      <c r="N685">
        <v>3777</v>
      </c>
      <c r="O685">
        <v>5</v>
      </c>
      <c r="P685" t="s">
        <v>44</v>
      </c>
      <c r="Q685" s="1">
        <v>44515</v>
      </c>
    </row>
    <row r="686" spans="1:17" x14ac:dyDescent="0.3">
      <c r="A686" t="s">
        <v>22</v>
      </c>
      <c r="B686" t="s">
        <v>45</v>
      </c>
      <c r="C686" t="s">
        <v>52</v>
      </c>
      <c r="D686" t="s">
        <v>24</v>
      </c>
      <c r="E686" t="s">
        <v>18</v>
      </c>
      <c r="F686" s="9">
        <v>0.02</v>
      </c>
      <c r="G686" s="10">
        <v>8066</v>
      </c>
      <c r="H686">
        <v>6.61</v>
      </c>
      <c r="I686" s="5">
        <f>ROUND(Marketing[[#This Row],[Clicks]]*Marketing[[#This Row],[Conversion_Rate]],0)</f>
        <v>8</v>
      </c>
      <c r="J686" s="12">
        <f>Marketing[[#This Row],[Campaign_Cost]]/Marketing[[#This Row],[Customers]]</f>
        <v>1008.25</v>
      </c>
      <c r="K686" t="s">
        <v>51</v>
      </c>
      <c r="L686" t="s">
        <v>20</v>
      </c>
      <c r="M686">
        <v>409</v>
      </c>
      <c r="N686">
        <v>1883</v>
      </c>
      <c r="O686">
        <v>3</v>
      </c>
      <c r="P686" t="s">
        <v>27</v>
      </c>
      <c r="Q686" s="1">
        <v>44516</v>
      </c>
    </row>
    <row r="687" spans="1:17" x14ac:dyDescent="0.3">
      <c r="A687" t="s">
        <v>22</v>
      </c>
      <c r="B687" t="s">
        <v>36</v>
      </c>
      <c r="C687" t="s">
        <v>23</v>
      </c>
      <c r="D687" t="s">
        <v>24</v>
      </c>
      <c r="E687" t="s">
        <v>31</v>
      </c>
      <c r="F687" s="9">
        <v>0.1</v>
      </c>
      <c r="G687" s="10">
        <v>11101</v>
      </c>
      <c r="H687">
        <v>4.88</v>
      </c>
      <c r="I687" s="5">
        <f>ROUND(Marketing[[#This Row],[Clicks]]*Marketing[[#This Row],[Conversion_Rate]],0)</f>
        <v>18</v>
      </c>
      <c r="J687" s="12">
        <f>Marketing[[#This Row],[Campaign_Cost]]/Marketing[[#This Row],[Customers]]</f>
        <v>616.72222222222217</v>
      </c>
      <c r="K687" t="s">
        <v>25</v>
      </c>
      <c r="L687" t="s">
        <v>50</v>
      </c>
      <c r="M687">
        <v>183</v>
      </c>
      <c r="N687">
        <v>3224</v>
      </c>
      <c r="O687">
        <v>6</v>
      </c>
      <c r="P687" t="s">
        <v>27</v>
      </c>
      <c r="Q687" s="1">
        <v>44517</v>
      </c>
    </row>
    <row r="688" spans="1:17" x14ac:dyDescent="0.3">
      <c r="A688" t="s">
        <v>35</v>
      </c>
      <c r="B688" t="s">
        <v>47</v>
      </c>
      <c r="C688" t="s">
        <v>16</v>
      </c>
      <c r="D688" t="s">
        <v>40</v>
      </c>
      <c r="E688" t="s">
        <v>18</v>
      </c>
      <c r="F688" s="9">
        <v>0.11</v>
      </c>
      <c r="G688" s="10">
        <v>11263</v>
      </c>
      <c r="H688">
        <v>2.92</v>
      </c>
      <c r="I688" s="5">
        <f>ROUND(Marketing[[#This Row],[Clicks]]*Marketing[[#This Row],[Conversion_Rate]],0)</f>
        <v>103</v>
      </c>
      <c r="J688" s="12">
        <f>Marketing[[#This Row],[Campaign_Cost]]/Marketing[[#This Row],[Customers]]</f>
        <v>109.34951456310679</v>
      </c>
      <c r="K688" t="s">
        <v>25</v>
      </c>
      <c r="L688" t="s">
        <v>39</v>
      </c>
      <c r="M688">
        <v>932</v>
      </c>
      <c r="N688">
        <v>5532</v>
      </c>
      <c r="O688">
        <v>6</v>
      </c>
      <c r="P688" t="s">
        <v>44</v>
      </c>
      <c r="Q688" s="1">
        <v>44518</v>
      </c>
    </row>
    <row r="689" spans="1:17" x14ac:dyDescent="0.3">
      <c r="A689" t="s">
        <v>22</v>
      </c>
      <c r="B689" t="s">
        <v>47</v>
      </c>
      <c r="C689" t="s">
        <v>23</v>
      </c>
      <c r="D689" t="s">
        <v>40</v>
      </c>
      <c r="E689" t="s">
        <v>18</v>
      </c>
      <c r="F689" s="9">
        <v>0.13</v>
      </c>
      <c r="G689" s="10">
        <v>17126</v>
      </c>
      <c r="H689">
        <v>5.83</v>
      </c>
      <c r="I689" s="5">
        <f>ROUND(Marketing[[#This Row],[Clicks]]*Marketing[[#This Row],[Conversion_Rate]],0)</f>
        <v>71</v>
      </c>
      <c r="J689" s="12">
        <f>Marketing[[#This Row],[Campaign_Cost]]/Marketing[[#This Row],[Customers]]</f>
        <v>241.21126760563379</v>
      </c>
      <c r="K689" t="s">
        <v>51</v>
      </c>
      <c r="L689" t="s">
        <v>39</v>
      </c>
      <c r="M689">
        <v>549</v>
      </c>
      <c r="N689">
        <v>6614</v>
      </c>
      <c r="O689">
        <v>8</v>
      </c>
      <c r="P689" t="s">
        <v>42</v>
      </c>
      <c r="Q689" s="1">
        <v>44519</v>
      </c>
    </row>
    <row r="690" spans="1:17" x14ac:dyDescent="0.3">
      <c r="A690" t="s">
        <v>35</v>
      </c>
      <c r="B690" t="s">
        <v>47</v>
      </c>
      <c r="C690" t="s">
        <v>16</v>
      </c>
      <c r="D690" t="s">
        <v>17</v>
      </c>
      <c r="E690" t="s">
        <v>18</v>
      </c>
      <c r="F690" s="9">
        <v>0.1</v>
      </c>
      <c r="G690" s="10">
        <v>19313</v>
      </c>
      <c r="H690">
        <v>7.21</v>
      </c>
      <c r="I690" s="5">
        <f>ROUND(Marketing[[#This Row],[Clicks]]*Marketing[[#This Row],[Conversion_Rate]],0)</f>
        <v>28</v>
      </c>
      <c r="J690" s="12">
        <f>Marketing[[#This Row],[Campaign_Cost]]/Marketing[[#This Row],[Customers]]</f>
        <v>689.75</v>
      </c>
      <c r="K690" t="s">
        <v>32</v>
      </c>
      <c r="L690" t="s">
        <v>33</v>
      </c>
      <c r="M690">
        <v>280</v>
      </c>
      <c r="N690">
        <v>6300</v>
      </c>
      <c r="O690">
        <v>3</v>
      </c>
      <c r="P690" t="s">
        <v>42</v>
      </c>
      <c r="Q690" s="1">
        <v>44520</v>
      </c>
    </row>
    <row r="691" spans="1:17" x14ac:dyDescent="0.3">
      <c r="A691" t="s">
        <v>22</v>
      </c>
      <c r="B691" t="s">
        <v>45</v>
      </c>
      <c r="C691" t="s">
        <v>23</v>
      </c>
      <c r="D691" t="s">
        <v>17</v>
      </c>
      <c r="E691" t="s">
        <v>15</v>
      </c>
      <c r="F691" s="9">
        <v>7.0000000000000007E-2</v>
      </c>
      <c r="G691" s="10">
        <v>14499</v>
      </c>
      <c r="H691">
        <v>5.59</v>
      </c>
      <c r="I691" s="5">
        <f>ROUND(Marketing[[#This Row],[Clicks]]*Marketing[[#This Row],[Conversion_Rate]],0)</f>
        <v>18</v>
      </c>
      <c r="J691" s="12">
        <f>Marketing[[#This Row],[Campaign_Cost]]/Marketing[[#This Row],[Customers]]</f>
        <v>805.5</v>
      </c>
      <c r="K691" t="s">
        <v>32</v>
      </c>
      <c r="L691" t="s">
        <v>26</v>
      </c>
      <c r="M691">
        <v>264</v>
      </c>
      <c r="N691">
        <v>8994</v>
      </c>
      <c r="O691">
        <v>6</v>
      </c>
      <c r="P691" t="s">
        <v>34</v>
      </c>
      <c r="Q691" s="1">
        <v>44521</v>
      </c>
    </row>
    <row r="692" spans="1:17" x14ac:dyDescent="0.3">
      <c r="A692" t="s">
        <v>22</v>
      </c>
      <c r="B692" t="s">
        <v>45</v>
      </c>
      <c r="C692" t="s">
        <v>16</v>
      </c>
      <c r="D692" t="s">
        <v>24</v>
      </c>
      <c r="E692" t="s">
        <v>41</v>
      </c>
      <c r="F692" s="9">
        <v>0.14000000000000001</v>
      </c>
      <c r="G692" s="10">
        <v>12109</v>
      </c>
      <c r="H692">
        <v>4.46</v>
      </c>
      <c r="I692" s="5">
        <f>ROUND(Marketing[[#This Row],[Clicks]]*Marketing[[#This Row],[Conversion_Rate]],0)</f>
        <v>121</v>
      </c>
      <c r="J692" s="12">
        <f>Marketing[[#This Row],[Campaign_Cost]]/Marketing[[#This Row],[Customers]]</f>
        <v>100.07438016528926</v>
      </c>
      <c r="K692" t="s">
        <v>19</v>
      </c>
      <c r="L692" t="s">
        <v>26</v>
      </c>
      <c r="M692">
        <v>864</v>
      </c>
      <c r="N692">
        <v>3535</v>
      </c>
      <c r="O692">
        <v>6</v>
      </c>
      <c r="P692" t="s">
        <v>34</v>
      </c>
      <c r="Q692" s="1">
        <v>44522</v>
      </c>
    </row>
    <row r="693" spans="1:17" x14ac:dyDescent="0.3">
      <c r="A693" t="s">
        <v>49</v>
      </c>
      <c r="B693" t="s">
        <v>29</v>
      </c>
      <c r="C693" t="s">
        <v>30</v>
      </c>
      <c r="D693" t="s">
        <v>46</v>
      </c>
      <c r="E693" t="s">
        <v>43</v>
      </c>
      <c r="F693" s="9">
        <v>0.05</v>
      </c>
      <c r="G693" s="10">
        <v>12915</v>
      </c>
      <c r="H693">
        <v>4.5</v>
      </c>
      <c r="I693" s="5">
        <f>ROUND(Marketing[[#This Row],[Clicks]]*Marketing[[#This Row],[Conversion_Rate]],0)</f>
        <v>45</v>
      </c>
      <c r="J693" s="12">
        <f>Marketing[[#This Row],[Campaign_Cost]]/Marketing[[#This Row],[Customers]]</f>
        <v>287</v>
      </c>
      <c r="K693" t="s">
        <v>38</v>
      </c>
      <c r="L693" t="s">
        <v>39</v>
      </c>
      <c r="M693">
        <v>892</v>
      </c>
      <c r="N693">
        <v>9877</v>
      </c>
      <c r="O693">
        <v>9</v>
      </c>
      <c r="P693" t="s">
        <v>42</v>
      </c>
      <c r="Q693" s="1">
        <v>44523</v>
      </c>
    </row>
    <row r="694" spans="1:17" x14ac:dyDescent="0.3">
      <c r="A694" t="s">
        <v>22</v>
      </c>
      <c r="B694" t="s">
        <v>47</v>
      </c>
      <c r="C694" t="s">
        <v>16</v>
      </c>
      <c r="D694" t="s">
        <v>46</v>
      </c>
      <c r="E694" t="s">
        <v>48</v>
      </c>
      <c r="F694" s="9">
        <v>0.03</v>
      </c>
      <c r="G694" s="10">
        <v>10972</v>
      </c>
      <c r="H694">
        <v>2.2000000000000002</v>
      </c>
      <c r="I694" s="5">
        <f>ROUND(Marketing[[#This Row],[Clicks]]*Marketing[[#This Row],[Conversion_Rate]],0)</f>
        <v>5</v>
      </c>
      <c r="J694" s="12">
        <f>Marketing[[#This Row],[Campaign_Cost]]/Marketing[[#This Row],[Customers]]</f>
        <v>2194.4</v>
      </c>
      <c r="K694" t="s">
        <v>38</v>
      </c>
      <c r="L694" t="s">
        <v>50</v>
      </c>
      <c r="M694">
        <v>173</v>
      </c>
      <c r="N694">
        <v>6960</v>
      </c>
      <c r="O694">
        <v>2</v>
      </c>
      <c r="P694" t="s">
        <v>34</v>
      </c>
      <c r="Q694" s="1">
        <v>44524</v>
      </c>
    </row>
    <row r="695" spans="1:17" x14ac:dyDescent="0.3">
      <c r="A695" t="s">
        <v>49</v>
      </c>
      <c r="B695" t="s">
        <v>36</v>
      </c>
      <c r="C695" t="s">
        <v>16</v>
      </c>
      <c r="D695" t="s">
        <v>24</v>
      </c>
      <c r="E695" t="s">
        <v>18</v>
      </c>
      <c r="F695" s="9">
        <v>0.04</v>
      </c>
      <c r="G695" s="10">
        <v>17146</v>
      </c>
      <c r="H695">
        <v>4.22</v>
      </c>
      <c r="I695" s="5">
        <f>ROUND(Marketing[[#This Row],[Clicks]]*Marketing[[#This Row],[Conversion_Rate]],0)</f>
        <v>31</v>
      </c>
      <c r="J695" s="12">
        <f>Marketing[[#This Row],[Campaign_Cost]]/Marketing[[#This Row],[Customers]]</f>
        <v>553.09677419354841</v>
      </c>
      <c r="K695" t="s">
        <v>19</v>
      </c>
      <c r="L695" t="s">
        <v>50</v>
      </c>
      <c r="M695">
        <v>763</v>
      </c>
      <c r="N695">
        <v>7841</v>
      </c>
      <c r="O695">
        <v>5</v>
      </c>
      <c r="P695" t="s">
        <v>27</v>
      </c>
      <c r="Q695" s="1">
        <v>44525</v>
      </c>
    </row>
    <row r="696" spans="1:17" x14ac:dyDescent="0.3">
      <c r="A696" t="s">
        <v>14</v>
      </c>
      <c r="B696" t="s">
        <v>36</v>
      </c>
      <c r="C696" t="s">
        <v>52</v>
      </c>
      <c r="D696" t="s">
        <v>40</v>
      </c>
      <c r="E696" t="s">
        <v>31</v>
      </c>
      <c r="F696" s="9">
        <v>0.11</v>
      </c>
      <c r="G696" s="10">
        <v>16826</v>
      </c>
      <c r="H696">
        <v>5.39</v>
      </c>
      <c r="I696" s="5">
        <f>ROUND(Marketing[[#This Row],[Clicks]]*Marketing[[#This Row],[Conversion_Rate]],0)</f>
        <v>108</v>
      </c>
      <c r="J696" s="12">
        <f>Marketing[[#This Row],[Campaign_Cost]]/Marketing[[#This Row],[Customers]]</f>
        <v>155.7962962962963</v>
      </c>
      <c r="K696" t="s">
        <v>32</v>
      </c>
      <c r="L696" t="s">
        <v>50</v>
      </c>
      <c r="M696">
        <v>984</v>
      </c>
      <c r="N696">
        <v>1672</v>
      </c>
      <c r="O696">
        <v>10</v>
      </c>
      <c r="P696" t="s">
        <v>42</v>
      </c>
      <c r="Q696" s="1">
        <v>44526</v>
      </c>
    </row>
    <row r="697" spans="1:17" x14ac:dyDescent="0.3">
      <c r="A697" t="s">
        <v>14</v>
      </c>
      <c r="B697" t="s">
        <v>15</v>
      </c>
      <c r="C697" t="s">
        <v>37</v>
      </c>
      <c r="D697" t="s">
        <v>17</v>
      </c>
      <c r="E697" t="s">
        <v>41</v>
      </c>
      <c r="F697" s="9">
        <v>0.02</v>
      </c>
      <c r="G697" s="10">
        <v>19876</v>
      </c>
      <c r="H697">
        <v>2.41</v>
      </c>
      <c r="I697" s="5">
        <f>ROUND(Marketing[[#This Row],[Clicks]]*Marketing[[#This Row],[Conversion_Rate]],0)</f>
        <v>17</v>
      </c>
      <c r="J697" s="12">
        <f>Marketing[[#This Row],[Campaign_Cost]]/Marketing[[#This Row],[Customers]]</f>
        <v>1169.1764705882354</v>
      </c>
      <c r="K697" t="s">
        <v>19</v>
      </c>
      <c r="L697" t="s">
        <v>39</v>
      </c>
      <c r="M697">
        <v>866</v>
      </c>
      <c r="N697">
        <v>3988</v>
      </c>
      <c r="O697">
        <v>5</v>
      </c>
      <c r="P697" t="s">
        <v>21</v>
      </c>
      <c r="Q697" s="1">
        <v>44527</v>
      </c>
    </row>
    <row r="698" spans="1:17" x14ac:dyDescent="0.3">
      <c r="A698" t="s">
        <v>35</v>
      </c>
      <c r="B698" t="s">
        <v>47</v>
      </c>
      <c r="C698" t="s">
        <v>52</v>
      </c>
      <c r="D698" t="s">
        <v>17</v>
      </c>
      <c r="E698" t="s">
        <v>18</v>
      </c>
      <c r="F698" s="9">
        <v>0.11</v>
      </c>
      <c r="G698" s="10">
        <v>10029</v>
      </c>
      <c r="H698">
        <v>7.96</v>
      </c>
      <c r="I698" s="5">
        <f>ROUND(Marketing[[#This Row],[Clicks]]*Marketing[[#This Row],[Conversion_Rate]],0)</f>
        <v>33</v>
      </c>
      <c r="J698" s="12">
        <f>Marketing[[#This Row],[Campaign_Cost]]/Marketing[[#This Row],[Customers]]</f>
        <v>303.90909090909093</v>
      </c>
      <c r="K698" t="s">
        <v>25</v>
      </c>
      <c r="L698" t="s">
        <v>50</v>
      </c>
      <c r="M698">
        <v>301</v>
      </c>
      <c r="N698">
        <v>8024</v>
      </c>
      <c r="O698">
        <v>5</v>
      </c>
      <c r="P698" t="s">
        <v>42</v>
      </c>
      <c r="Q698" s="1">
        <v>44528</v>
      </c>
    </row>
    <row r="699" spans="1:17" x14ac:dyDescent="0.3">
      <c r="A699" t="s">
        <v>35</v>
      </c>
      <c r="B699" t="s">
        <v>29</v>
      </c>
      <c r="C699" t="s">
        <v>30</v>
      </c>
      <c r="D699" t="s">
        <v>17</v>
      </c>
      <c r="E699" t="s">
        <v>41</v>
      </c>
      <c r="F699" s="9">
        <v>0.14000000000000001</v>
      </c>
      <c r="G699" s="10">
        <v>11064</v>
      </c>
      <c r="H699">
        <v>3.24</v>
      </c>
      <c r="I699" s="5">
        <f>ROUND(Marketing[[#This Row],[Clicks]]*Marketing[[#This Row],[Conversion_Rate]],0)</f>
        <v>93</v>
      </c>
      <c r="J699" s="12">
        <f>Marketing[[#This Row],[Campaign_Cost]]/Marketing[[#This Row],[Customers]]</f>
        <v>118.96774193548387</v>
      </c>
      <c r="K699" t="s">
        <v>32</v>
      </c>
      <c r="L699" t="s">
        <v>33</v>
      </c>
      <c r="M699">
        <v>661</v>
      </c>
      <c r="N699">
        <v>2351</v>
      </c>
      <c r="O699">
        <v>10</v>
      </c>
      <c r="P699" t="s">
        <v>44</v>
      </c>
      <c r="Q699" s="1">
        <v>44529</v>
      </c>
    </row>
    <row r="700" spans="1:17" x14ac:dyDescent="0.3">
      <c r="A700" t="s">
        <v>14</v>
      </c>
      <c r="B700" t="s">
        <v>36</v>
      </c>
      <c r="C700" t="s">
        <v>16</v>
      </c>
      <c r="D700" t="s">
        <v>40</v>
      </c>
      <c r="E700" t="s">
        <v>18</v>
      </c>
      <c r="F700" s="9">
        <v>0.15</v>
      </c>
      <c r="G700" s="10">
        <v>6504</v>
      </c>
      <c r="H700">
        <v>6.7</v>
      </c>
      <c r="I700" s="5">
        <f>ROUND(Marketing[[#This Row],[Clicks]]*Marketing[[#This Row],[Conversion_Rate]],0)</f>
        <v>18</v>
      </c>
      <c r="J700" s="12">
        <f>Marketing[[#This Row],[Campaign_Cost]]/Marketing[[#This Row],[Customers]]</f>
        <v>361.33333333333331</v>
      </c>
      <c r="K700" t="s">
        <v>51</v>
      </c>
      <c r="L700" t="s">
        <v>50</v>
      </c>
      <c r="M700">
        <v>123</v>
      </c>
      <c r="N700">
        <v>9300</v>
      </c>
      <c r="O700">
        <v>6</v>
      </c>
      <c r="P700" t="s">
        <v>44</v>
      </c>
      <c r="Q700" s="1">
        <v>44530</v>
      </c>
    </row>
    <row r="701" spans="1:17" x14ac:dyDescent="0.3">
      <c r="A701" t="s">
        <v>28</v>
      </c>
      <c r="B701" t="s">
        <v>29</v>
      </c>
      <c r="C701" t="s">
        <v>16</v>
      </c>
      <c r="D701" t="s">
        <v>24</v>
      </c>
      <c r="E701" t="s">
        <v>31</v>
      </c>
      <c r="F701" s="9">
        <v>0.06</v>
      </c>
      <c r="G701" s="10">
        <v>19844</v>
      </c>
      <c r="H701">
        <v>5.01</v>
      </c>
      <c r="I701" s="5">
        <f>ROUND(Marketing[[#This Row],[Clicks]]*Marketing[[#This Row],[Conversion_Rate]],0)</f>
        <v>42</v>
      </c>
      <c r="J701" s="12">
        <f>Marketing[[#This Row],[Campaign_Cost]]/Marketing[[#This Row],[Customers]]</f>
        <v>472.47619047619048</v>
      </c>
      <c r="K701" t="s">
        <v>32</v>
      </c>
      <c r="L701" t="s">
        <v>39</v>
      </c>
      <c r="M701">
        <v>693</v>
      </c>
      <c r="N701">
        <v>1242</v>
      </c>
      <c r="O701">
        <v>4</v>
      </c>
      <c r="P701" t="s">
        <v>42</v>
      </c>
      <c r="Q701" s="1">
        <v>44531</v>
      </c>
    </row>
    <row r="702" spans="1:17" x14ac:dyDescent="0.3">
      <c r="A702" t="s">
        <v>28</v>
      </c>
      <c r="B702" t="s">
        <v>29</v>
      </c>
      <c r="C702" t="s">
        <v>37</v>
      </c>
      <c r="D702" t="s">
        <v>46</v>
      </c>
      <c r="E702" t="s">
        <v>31</v>
      </c>
      <c r="F702" s="9">
        <v>0.04</v>
      </c>
      <c r="G702" s="10">
        <v>12443</v>
      </c>
      <c r="H702">
        <v>3.05</v>
      </c>
      <c r="I702" s="5">
        <f>ROUND(Marketing[[#This Row],[Clicks]]*Marketing[[#This Row],[Conversion_Rate]],0)</f>
        <v>7</v>
      </c>
      <c r="J702" s="12">
        <f>Marketing[[#This Row],[Campaign_Cost]]/Marketing[[#This Row],[Customers]]</f>
        <v>1777.5714285714287</v>
      </c>
      <c r="K702" t="s">
        <v>25</v>
      </c>
      <c r="L702" t="s">
        <v>50</v>
      </c>
      <c r="M702">
        <v>186</v>
      </c>
      <c r="N702">
        <v>1782</v>
      </c>
      <c r="O702">
        <v>6</v>
      </c>
      <c r="P702" t="s">
        <v>42</v>
      </c>
      <c r="Q702" s="1">
        <v>44532</v>
      </c>
    </row>
    <row r="703" spans="1:17" x14ac:dyDescent="0.3">
      <c r="A703" t="s">
        <v>22</v>
      </c>
      <c r="B703" t="s">
        <v>36</v>
      </c>
      <c r="C703" t="s">
        <v>23</v>
      </c>
      <c r="D703" t="s">
        <v>17</v>
      </c>
      <c r="E703" t="s">
        <v>41</v>
      </c>
      <c r="F703" s="9">
        <v>0.12</v>
      </c>
      <c r="G703" s="10">
        <v>5864</v>
      </c>
      <c r="H703">
        <v>3.85</v>
      </c>
      <c r="I703" s="5">
        <f>ROUND(Marketing[[#This Row],[Clicks]]*Marketing[[#This Row],[Conversion_Rate]],0)</f>
        <v>24</v>
      </c>
      <c r="J703" s="12">
        <f>Marketing[[#This Row],[Campaign_Cost]]/Marketing[[#This Row],[Customers]]</f>
        <v>244.33333333333334</v>
      </c>
      <c r="K703" t="s">
        <v>19</v>
      </c>
      <c r="L703" t="s">
        <v>20</v>
      </c>
      <c r="M703">
        <v>201</v>
      </c>
      <c r="N703">
        <v>5840</v>
      </c>
      <c r="O703">
        <v>8</v>
      </c>
      <c r="P703" t="s">
        <v>44</v>
      </c>
      <c r="Q703" s="1">
        <v>44533</v>
      </c>
    </row>
    <row r="704" spans="1:17" x14ac:dyDescent="0.3">
      <c r="A704" t="s">
        <v>28</v>
      </c>
      <c r="B704" t="s">
        <v>47</v>
      </c>
      <c r="C704" t="s">
        <v>37</v>
      </c>
      <c r="D704" t="s">
        <v>24</v>
      </c>
      <c r="E704" t="s">
        <v>31</v>
      </c>
      <c r="F704" s="9">
        <v>0.01</v>
      </c>
      <c r="G704" s="10">
        <v>14556</v>
      </c>
      <c r="H704">
        <v>4.97</v>
      </c>
      <c r="I704" s="5">
        <f>ROUND(Marketing[[#This Row],[Clicks]]*Marketing[[#This Row],[Conversion_Rate]],0)</f>
        <v>10</v>
      </c>
      <c r="J704" s="12">
        <f>Marketing[[#This Row],[Campaign_Cost]]/Marketing[[#This Row],[Customers]]</f>
        <v>1455.6</v>
      </c>
      <c r="K704" t="s">
        <v>32</v>
      </c>
      <c r="L704" t="s">
        <v>39</v>
      </c>
      <c r="M704">
        <v>993</v>
      </c>
      <c r="N704">
        <v>2146</v>
      </c>
      <c r="O704">
        <v>8</v>
      </c>
      <c r="P704" t="s">
        <v>21</v>
      </c>
      <c r="Q704" s="1">
        <v>44534</v>
      </c>
    </row>
    <row r="705" spans="1:17" x14ac:dyDescent="0.3">
      <c r="A705" t="s">
        <v>49</v>
      </c>
      <c r="B705" t="s">
        <v>47</v>
      </c>
      <c r="C705" t="s">
        <v>30</v>
      </c>
      <c r="D705" t="s">
        <v>40</v>
      </c>
      <c r="E705" t="s">
        <v>18</v>
      </c>
      <c r="F705" s="9">
        <v>0.12</v>
      </c>
      <c r="G705" s="10">
        <v>15732</v>
      </c>
      <c r="H705">
        <v>5.85</v>
      </c>
      <c r="I705" s="5">
        <f>ROUND(Marketing[[#This Row],[Clicks]]*Marketing[[#This Row],[Conversion_Rate]],0)</f>
        <v>71</v>
      </c>
      <c r="J705" s="12">
        <f>Marketing[[#This Row],[Campaign_Cost]]/Marketing[[#This Row],[Customers]]</f>
        <v>221.57746478873239</v>
      </c>
      <c r="K705" t="s">
        <v>25</v>
      </c>
      <c r="L705" t="s">
        <v>26</v>
      </c>
      <c r="M705">
        <v>591</v>
      </c>
      <c r="N705">
        <v>4368</v>
      </c>
      <c r="O705">
        <v>8</v>
      </c>
      <c r="P705" t="s">
        <v>34</v>
      </c>
      <c r="Q705" s="1">
        <v>44535</v>
      </c>
    </row>
    <row r="706" spans="1:17" x14ac:dyDescent="0.3">
      <c r="A706" t="s">
        <v>49</v>
      </c>
      <c r="B706" t="s">
        <v>29</v>
      </c>
      <c r="C706" t="s">
        <v>30</v>
      </c>
      <c r="D706" t="s">
        <v>17</v>
      </c>
      <c r="E706" t="s">
        <v>18</v>
      </c>
      <c r="F706" s="9">
        <v>0.1</v>
      </c>
      <c r="G706" s="10">
        <v>7257</v>
      </c>
      <c r="H706">
        <v>4.42</v>
      </c>
      <c r="I706" s="5">
        <f>ROUND(Marketing[[#This Row],[Clicks]]*Marketing[[#This Row],[Conversion_Rate]],0)</f>
        <v>21</v>
      </c>
      <c r="J706" s="12">
        <f>Marketing[[#This Row],[Campaign_Cost]]/Marketing[[#This Row],[Customers]]</f>
        <v>345.57142857142856</v>
      </c>
      <c r="K706" t="s">
        <v>51</v>
      </c>
      <c r="L706" t="s">
        <v>20</v>
      </c>
      <c r="M706">
        <v>211</v>
      </c>
      <c r="N706">
        <v>8406</v>
      </c>
      <c r="O706">
        <v>10</v>
      </c>
      <c r="P706" t="s">
        <v>21</v>
      </c>
      <c r="Q706" s="1">
        <v>44536</v>
      </c>
    </row>
    <row r="707" spans="1:17" x14ac:dyDescent="0.3">
      <c r="A707" t="s">
        <v>49</v>
      </c>
      <c r="B707" t="s">
        <v>36</v>
      </c>
      <c r="C707" t="s">
        <v>37</v>
      </c>
      <c r="D707" t="s">
        <v>24</v>
      </c>
      <c r="E707" t="s">
        <v>15</v>
      </c>
      <c r="F707" s="9">
        <v>0.01</v>
      </c>
      <c r="G707" s="10">
        <v>8413</v>
      </c>
      <c r="H707">
        <v>4.5199999999999996</v>
      </c>
      <c r="I707" s="5">
        <f>ROUND(Marketing[[#This Row],[Clicks]]*Marketing[[#This Row],[Conversion_Rate]],0)</f>
        <v>6</v>
      </c>
      <c r="J707" s="12">
        <f>Marketing[[#This Row],[Campaign_Cost]]/Marketing[[#This Row],[Customers]]</f>
        <v>1402.1666666666667</v>
      </c>
      <c r="K707" t="s">
        <v>25</v>
      </c>
      <c r="L707" t="s">
        <v>39</v>
      </c>
      <c r="M707">
        <v>618</v>
      </c>
      <c r="N707">
        <v>8242</v>
      </c>
      <c r="O707">
        <v>7</v>
      </c>
      <c r="P707" t="s">
        <v>21</v>
      </c>
      <c r="Q707" s="1">
        <v>44537</v>
      </c>
    </row>
    <row r="708" spans="1:17" x14ac:dyDescent="0.3">
      <c r="A708" t="s">
        <v>28</v>
      </c>
      <c r="B708" t="s">
        <v>15</v>
      </c>
      <c r="C708" t="s">
        <v>30</v>
      </c>
      <c r="D708" t="s">
        <v>40</v>
      </c>
      <c r="E708" t="s">
        <v>41</v>
      </c>
      <c r="F708" s="9">
        <v>0.13</v>
      </c>
      <c r="G708" s="10">
        <v>15437</v>
      </c>
      <c r="H708">
        <v>5.3</v>
      </c>
      <c r="I708" s="5">
        <f>ROUND(Marketing[[#This Row],[Clicks]]*Marketing[[#This Row],[Conversion_Rate]],0)</f>
        <v>66</v>
      </c>
      <c r="J708" s="12">
        <f>Marketing[[#This Row],[Campaign_Cost]]/Marketing[[#This Row],[Customers]]</f>
        <v>233.89393939393941</v>
      </c>
      <c r="K708" t="s">
        <v>25</v>
      </c>
      <c r="L708" t="s">
        <v>26</v>
      </c>
      <c r="M708">
        <v>507</v>
      </c>
      <c r="N708">
        <v>7161</v>
      </c>
      <c r="O708">
        <v>10</v>
      </c>
      <c r="P708" t="s">
        <v>42</v>
      </c>
      <c r="Q708" s="1">
        <v>44538</v>
      </c>
    </row>
    <row r="709" spans="1:17" x14ac:dyDescent="0.3">
      <c r="A709" t="s">
        <v>14</v>
      </c>
      <c r="B709" t="s">
        <v>47</v>
      </c>
      <c r="C709" t="s">
        <v>23</v>
      </c>
      <c r="D709" t="s">
        <v>40</v>
      </c>
      <c r="E709" t="s">
        <v>31</v>
      </c>
      <c r="F709" s="9">
        <v>0.06</v>
      </c>
      <c r="G709" s="10">
        <v>18666</v>
      </c>
      <c r="H709">
        <v>4.57</v>
      </c>
      <c r="I709" s="5">
        <f>ROUND(Marketing[[#This Row],[Clicks]]*Marketing[[#This Row],[Conversion_Rate]],0)</f>
        <v>57</v>
      </c>
      <c r="J709" s="12">
        <f>Marketing[[#This Row],[Campaign_Cost]]/Marketing[[#This Row],[Customers]]</f>
        <v>327.4736842105263</v>
      </c>
      <c r="K709" t="s">
        <v>25</v>
      </c>
      <c r="L709" t="s">
        <v>50</v>
      </c>
      <c r="M709">
        <v>945</v>
      </c>
      <c r="N709">
        <v>7815</v>
      </c>
      <c r="O709">
        <v>6</v>
      </c>
      <c r="P709" t="s">
        <v>21</v>
      </c>
      <c r="Q709" s="1">
        <v>44539</v>
      </c>
    </row>
    <row r="710" spans="1:17" x14ac:dyDescent="0.3">
      <c r="A710" t="s">
        <v>14</v>
      </c>
      <c r="B710" t="s">
        <v>36</v>
      </c>
      <c r="C710" t="s">
        <v>30</v>
      </c>
      <c r="D710" t="s">
        <v>40</v>
      </c>
      <c r="E710" t="s">
        <v>43</v>
      </c>
      <c r="F710" s="9">
        <v>0.12</v>
      </c>
      <c r="G710" s="10">
        <v>7595</v>
      </c>
      <c r="H710">
        <v>6.41</v>
      </c>
      <c r="I710" s="5">
        <f>ROUND(Marketing[[#This Row],[Clicks]]*Marketing[[#This Row],[Conversion_Rate]],0)</f>
        <v>44</v>
      </c>
      <c r="J710" s="12">
        <f>Marketing[[#This Row],[Campaign_Cost]]/Marketing[[#This Row],[Customers]]</f>
        <v>172.61363636363637</v>
      </c>
      <c r="K710" t="s">
        <v>38</v>
      </c>
      <c r="L710" t="s">
        <v>20</v>
      </c>
      <c r="M710">
        <v>369</v>
      </c>
      <c r="N710">
        <v>2900</v>
      </c>
      <c r="O710">
        <v>8</v>
      </c>
      <c r="P710" t="s">
        <v>44</v>
      </c>
      <c r="Q710" s="1">
        <v>44540</v>
      </c>
    </row>
    <row r="711" spans="1:17" x14ac:dyDescent="0.3">
      <c r="A711" t="s">
        <v>49</v>
      </c>
      <c r="B711" t="s">
        <v>15</v>
      </c>
      <c r="C711" t="s">
        <v>30</v>
      </c>
      <c r="D711" t="s">
        <v>17</v>
      </c>
      <c r="E711" t="s">
        <v>31</v>
      </c>
      <c r="F711" s="9">
        <v>0.11</v>
      </c>
      <c r="G711" s="10">
        <v>6113</v>
      </c>
      <c r="H711">
        <v>7.76</v>
      </c>
      <c r="I711" s="5">
        <f>ROUND(Marketing[[#This Row],[Clicks]]*Marketing[[#This Row],[Conversion_Rate]],0)</f>
        <v>72</v>
      </c>
      <c r="J711" s="12">
        <f>Marketing[[#This Row],[Campaign_Cost]]/Marketing[[#This Row],[Customers]]</f>
        <v>84.902777777777771</v>
      </c>
      <c r="K711" t="s">
        <v>19</v>
      </c>
      <c r="L711" t="s">
        <v>50</v>
      </c>
      <c r="M711">
        <v>652</v>
      </c>
      <c r="N711">
        <v>6740</v>
      </c>
      <c r="O711">
        <v>4</v>
      </c>
      <c r="P711" t="s">
        <v>42</v>
      </c>
      <c r="Q711" s="1">
        <v>44541</v>
      </c>
    </row>
    <row r="712" spans="1:17" x14ac:dyDescent="0.3">
      <c r="A712" t="s">
        <v>35</v>
      </c>
      <c r="B712" t="s">
        <v>15</v>
      </c>
      <c r="C712" t="s">
        <v>23</v>
      </c>
      <c r="D712" t="s">
        <v>40</v>
      </c>
      <c r="E712" t="s">
        <v>31</v>
      </c>
      <c r="F712" s="9">
        <v>0.12</v>
      </c>
      <c r="G712" s="10">
        <v>11708</v>
      </c>
      <c r="H712">
        <v>2.19</v>
      </c>
      <c r="I712" s="5">
        <f>ROUND(Marketing[[#This Row],[Clicks]]*Marketing[[#This Row],[Conversion_Rate]],0)</f>
        <v>69</v>
      </c>
      <c r="J712" s="12">
        <f>Marketing[[#This Row],[Campaign_Cost]]/Marketing[[#This Row],[Customers]]</f>
        <v>169.68115942028984</v>
      </c>
      <c r="K712" t="s">
        <v>32</v>
      </c>
      <c r="L712" t="s">
        <v>33</v>
      </c>
      <c r="M712">
        <v>574</v>
      </c>
      <c r="N712">
        <v>8846</v>
      </c>
      <c r="O712">
        <v>7</v>
      </c>
      <c r="P712" t="s">
        <v>42</v>
      </c>
      <c r="Q712" s="1">
        <v>44542</v>
      </c>
    </row>
    <row r="713" spans="1:17" x14ac:dyDescent="0.3">
      <c r="A713" t="s">
        <v>35</v>
      </c>
      <c r="B713" t="s">
        <v>36</v>
      </c>
      <c r="C713" t="s">
        <v>16</v>
      </c>
      <c r="D713" t="s">
        <v>24</v>
      </c>
      <c r="E713" t="s">
        <v>41</v>
      </c>
      <c r="F713" s="9">
        <v>0.14000000000000001</v>
      </c>
      <c r="G713" s="10">
        <v>14993</v>
      </c>
      <c r="H713">
        <v>7.12</v>
      </c>
      <c r="I713" s="5">
        <f>ROUND(Marketing[[#This Row],[Clicks]]*Marketing[[#This Row],[Conversion_Rate]],0)</f>
        <v>120</v>
      </c>
      <c r="J713" s="12">
        <f>Marketing[[#This Row],[Campaign_Cost]]/Marketing[[#This Row],[Customers]]</f>
        <v>124.94166666666666</v>
      </c>
      <c r="K713" t="s">
        <v>32</v>
      </c>
      <c r="L713" t="s">
        <v>20</v>
      </c>
      <c r="M713">
        <v>858</v>
      </c>
      <c r="N713">
        <v>3587</v>
      </c>
      <c r="O713">
        <v>7</v>
      </c>
      <c r="P713" t="s">
        <v>42</v>
      </c>
      <c r="Q713" s="1">
        <v>44543</v>
      </c>
    </row>
    <row r="714" spans="1:17" x14ac:dyDescent="0.3">
      <c r="A714" t="s">
        <v>22</v>
      </c>
      <c r="B714" t="s">
        <v>29</v>
      </c>
      <c r="C714" t="s">
        <v>16</v>
      </c>
      <c r="D714" t="s">
        <v>24</v>
      </c>
      <c r="E714" t="s">
        <v>15</v>
      </c>
      <c r="F714" s="9">
        <v>0.09</v>
      </c>
      <c r="G714" s="10">
        <v>8801</v>
      </c>
      <c r="H714">
        <v>7.14</v>
      </c>
      <c r="I714" s="5">
        <f>ROUND(Marketing[[#This Row],[Clicks]]*Marketing[[#This Row],[Conversion_Rate]],0)</f>
        <v>12</v>
      </c>
      <c r="J714" s="12">
        <f>Marketing[[#This Row],[Campaign_Cost]]/Marketing[[#This Row],[Customers]]</f>
        <v>733.41666666666663</v>
      </c>
      <c r="K714" t="s">
        <v>32</v>
      </c>
      <c r="L714" t="s">
        <v>39</v>
      </c>
      <c r="M714">
        <v>131</v>
      </c>
      <c r="N714">
        <v>1992</v>
      </c>
      <c r="O714">
        <v>7</v>
      </c>
      <c r="P714" t="s">
        <v>21</v>
      </c>
      <c r="Q714" s="1">
        <v>44544</v>
      </c>
    </row>
    <row r="715" spans="1:17" x14ac:dyDescent="0.3">
      <c r="A715" t="s">
        <v>35</v>
      </c>
      <c r="B715" t="s">
        <v>29</v>
      </c>
      <c r="C715" t="s">
        <v>16</v>
      </c>
      <c r="D715" t="s">
        <v>40</v>
      </c>
      <c r="E715" t="s">
        <v>15</v>
      </c>
      <c r="F715" s="9">
        <v>0.15</v>
      </c>
      <c r="G715" s="10">
        <v>17067</v>
      </c>
      <c r="H715">
        <v>3.37</v>
      </c>
      <c r="I715" s="5">
        <f>ROUND(Marketing[[#This Row],[Clicks]]*Marketing[[#This Row],[Conversion_Rate]],0)</f>
        <v>94</v>
      </c>
      <c r="J715" s="12">
        <f>Marketing[[#This Row],[Campaign_Cost]]/Marketing[[#This Row],[Customers]]</f>
        <v>181.56382978723406</v>
      </c>
      <c r="K715" t="s">
        <v>25</v>
      </c>
      <c r="L715" t="s">
        <v>50</v>
      </c>
      <c r="M715">
        <v>629</v>
      </c>
      <c r="N715">
        <v>2321</v>
      </c>
      <c r="O715">
        <v>5</v>
      </c>
      <c r="P715" t="s">
        <v>44</v>
      </c>
      <c r="Q715" s="1">
        <v>44545</v>
      </c>
    </row>
    <row r="716" spans="1:17" x14ac:dyDescent="0.3">
      <c r="A716" t="s">
        <v>28</v>
      </c>
      <c r="B716" t="s">
        <v>36</v>
      </c>
      <c r="C716" t="s">
        <v>16</v>
      </c>
      <c r="D716" t="s">
        <v>40</v>
      </c>
      <c r="E716" t="s">
        <v>48</v>
      </c>
      <c r="F716" s="9">
        <v>0.13</v>
      </c>
      <c r="G716" s="10">
        <v>7268</v>
      </c>
      <c r="H716">
        <v>5.73</v>
      </c>
      <c r="I716" s="5">
        <f>ROUND(Marketing[[#This Row],[Clicks]]*Marketing[[#This Row],[Conversion_Rate]],0)</f>
        <v>111</v>
      </c>
      <c r="J716" s="12">
        <f>Marketing[[#This Row],[Campaign_Cost]]/Marketing[[#This Row],[Customers]]</f>
        <v>65.477477477477478</v>
      </c>
      <c r="K716" t="s">
        <v>25</v>
      </c>
      <c r="L716" t="s">
        <v>50</v>
      </c>
      <c r="M716">
        <v>856</v>
      </c>
      <c r="N716">
        <v>7009</v>
      </c>
      <c r="O716">
        <v>1</v>
      </c>
      <c r="P716" t="s">
        <v>34</v>
      </c>
      <c r="Q716" s="1">
        <v>44546</v>
      </c>
    </row>
    <row r="717" spans="1:17" x14ac:dyDescent="0.3">
      <c r="A717" t="s">
        <v>14</v>
      </c>
      <c r="B717" t="s">
        <v>36</v>
      </c>
      <c r="C717" t="s">
        <v>16</v>
      </c>
      <c r="D717" t="s">
        <v>40</v>
      </c>
      <c r="E717" t="s">
        <v>15</v>
      </c>
      <c r="F717" s="9">
        <v>0.04</v>
      </c>
      <c r="G717" s="10">
        <v>6091</v>
      </c>
      <c r="H717">
        <v>3.53</v>
      </c>
      <c r="I717" s="5">
        <f>ROUND(Marketing[[#This Row],[Clicks]]*Marketing[[#This Row],[Conversion_Rate]],0)</f>
        <v>38</v>
      </c>
      <c r="J717" s="12">
        <f>Marketing[[#This Row],[Campaign_Cost]]/Marketing[[#This Row],[Customers]]</f>
        <v>160.28947368421052</v>
      </c>
      <c r="K717" t="s">
        <v>32</v>
      </c>
      <c r="L717" t="s">
        <v>33</v>
      </c>
      <c r="M717">
        <v>940</v>
      </c>
      <c r="N717">
        <v>1128</v>
      </c>
      <c r="O717">
        <v>4</v>
      </c>
      <c r="P717" t="s">
        <v>34</v>
      </c>
      <c r="Q717" s="1">
        <v>44547</v>
      </c>
    </row>
    <row r="718" spans="1:17" x14ac:dyDescent="0.3">
      <c r="A718" t="s">
        <v>49</v>
      </c>
      <c r="B718" t="s">
        <v>45</v>
      </c>
      <c r="C718" t="s">
        <v>37</v>
      </c>
      <c r="D718" t="s">
        <v>46</v>
      </c>
      <c r="E718" t="s">
        <v>31</v>
      </c>
      <c r="F718" s="9">
        <v>0.06</v>
      </c>
      <c r="G718" s="10">
        <v>5960</v>
      </c>
      <c r="H718">
        <v>7.78</v>
      </c>
      <c r="I718" s="5">
        <f>ROUND(Marketing[[#This Row],[Clicks]]*Marketing[[#This Row],[Conversion_Rate]],0)</f>
        <v>24</v>
      </c>
      <c r="J718" s="12">
        <f>Marketing[[#This Row],[Campaign_Cost]]/Marketing[[#This Row],[Customers]]</f>
        <v>248.33333333333334</v>
      </c>
      <c r="K718" t="s">
        <v>51</v>
      </c>
      <c r="L718" t="s">
        <v>26</v>
      </c>
      <c r="M718">
        <v>400</v>
      </c>
      <c r="N718">
        <v>9553</v>
      </c>
      <c r="O718">
        <v>7</v>
      </c>
      <c r="P718" t="s">
        <v>44</v>
      </c>
      <c r="Q718" s="1">
        <v>44548</v>
      </c>
    </row>
    <row r="719" spans="1:17" x14ac:dyDescent="0.3">
      <c r="A719" t="s">
        <v>35</v>
      </c>
      <c r="B719" t="s">
        <v>29</v>
      </c>
      <c r="C719" t="s">
        <v>52</v>
      </c>
      <c r="D719" t="s">
        <v>17</v>
      </c>
      <c r="E719" t="s">
        <v>41</v>
      </c>
      <c r="F719" s="9">
        <v>0.13</v>
      </c>
      <c r="G719" s="10">
        <v>7382</v>
      </c>
      <c r="H719">
        <v>2.2799999999999998</v>
      </c>
      <c r="I719" s="5">
        <f>ROUND(Marketing[[#This Row],[Clicks]]*Marketing[[#This Row],[Conversion_Rate]],0)</f>
        <v>88</v>
      </c>
      <c r="J719" s="12">
        <f>Marketing[[#This Row],[Campaign_Cost]]/Marketing[[#This Row],[Customers]]</f>
        <v>83.88636363636364</v>
      </c>
      <c r="K719" t="s">
        <v>51</v>
      </c>
      <c r="L719" t="s">
        <v>26</v>
      </c>
      <c r="M719">
        <v>678</v>
      </c>
      <c r="N719">
        <v>6349</v>
      </c>
      <c r="O719">
        <v>7</v>
      </c>
      <c r="P719" t="s">
        <v>44</v>
      </c>
      <c r="Q719" s="1">
        <v>44549</v>
      </c>
    </row>
    <row r="720" spans="1:17" x14ac:dyDescent="0.3">
      <c r="A720" t="s">
        <v>22</v>
      </c>
      <c r="B720" t="s">
        <v>47</v>
      </c>
      <c r="C720" t="s">
        <v>30</v>
      </c>
      <c r="D720" t="s">
        <v>17</v>
      </c>
      <c r="E720" t="s">
        <v>41</v>
      </c>
      <c r="F720" s="9">
        <v>0.14000000000000001</v>
      </c>
      <c r="G720" s="10">
        <v>7184</v>
      </c>
      <c r="H720">
        <v>2.42</v>
      </c>
      <c r="I720" s="5">
        <f>ROUND(Marketing[[#This Row],[Clicks]]*Marketing[[#This Row],[Conversion_Rate]],0)</f>
        <v>74</v>
      </c>
      <c r="J720" s="12">
        <f>Marketing[[#This Row],[Campaign_Cost]]/Marketing[[#This Row],[Customers]]</f>
        <v>97.081081081081081</v>
      </c>
      <c r="K720" t="s">
        <v>19</v>
      </c>
      <c r="L720" t="s">
        <v>33</v>
      </c>
      <c r="M720">
        <v>525</v>
      </c>
      <c r="N720">
        <v>7470</v>
      </c>
      <c r="O720">
        <v>8</v>
      </c>
      <c r="P720" t="s">
        <v>27</v>
      </c>
      <c r="Q720" s="1">
        <v>44550</v>
      </c>
    </row>
    <row r="721" spans="1:17" x14ac:dyDescent="0.3">
      <c r="A721" t="s">
        <v>22</v>
      </c>
      <c r="B721" t="s">
        <v>29</v>
      </c>
      <c r="C721" t="s">
        <v>23</v>
      </c>
      <c r="D721" t="s">
        <v>17</v>
      </c>
      <c r="E721" t="s">
        <v>31</v>
      </c>
      <c r="F721" s="9">
        <v>0.14000000000000001</v>
      </c>
      <c r="G721" s="10">
        <v>15462</v>
      </c>
      <c r="H721">
        <v>4.38</v>
      </c>
      <c r="I721" s="5">
        <f>ROUND(Marketing[[#This Row],[Clicks]]*Marketing[[#This Row],[Conversion_Rate]],0)</f>
        <v>101</v>
      </c>
      <c r="J721" s="12">
        <f>Marketing[[#This Row],[Campaign_Cost]]/Marketing[[#This Row],[Customers]]</f>
        <v>153.0891089108911</v>
      </c>
      <c r="K721" t="s">
        <v>51</v>
      </c>
      <c r="L721" t="s">
        <v>26</v>
      </c>
      <c r="M721">
        <v>722</v>
      </c>
      <c r="N721">
        <v>9428</v>
      </c>
      <c r="O721">
        <v>1</v>
      </c>
      <c r="P721" t="s">
        <v>34</v>
      </c>
      <c r="Q721" s="1">
        <v>44551</v>
      </c>
    </row>
    <row r="722" spans="1:17" x14ac:dyDescent="0.3">
      <c r="A722" t="s">
        <v>35</v>
      </c>
      <c r="B722" t="s">
        <v>45</v>
      </c>
      <c r="C722" t="s">
        <v>30</v>
      </c>
      <c r="D722" t="s">
        <v>46</v>
      </c>
      <c r="E722" t="s">
        <v>18</v>
      </c>
      <c r="F722" s="9">
        <v>0.03</v>
      </c>
      <c r="G722" s="10">
        <v>19773</v>
      </c>
      <c r="H722">
        <v>4.28</v>
      </c>
      <c r="I722" s="5">
        <f>ROUND(Marketing[[#This Row],[Clicks]]*Marketing[[#This Row],[Conversion_Rate]],0)</f>
        <v>7</v>
      </c>
      <c r="J722" s="12">
        <f>Marketing[[#This Row],[Campaign_Cost]]/Marketing[[#This Row],[Customers]]</f>
        <v>2824.7142857142858</v>
      </c>
      <c r="K722" t="s">
        <v>38</v>
      </c>
      <c r="L722" t="s">
        <v>50</v>
      </c>
      <c r="M722">
        <v>243</v>
      </c>
      <c r="N722">
        <v>6215</v>
      </c>
      <c r="O722">
        <v>3</v>
      </c>
      <c r="P722" t="s">
        <v>27</v>
      </c>
      <c r="Q722" s="1">
        <v>44552</v>
      </c>
    </row>
    <row r="723" spans="1:17" x14ac:dyDescent="0.3">
      <c r="A723" t="s">
        <v>14</v>
      </c>
      <c r="B723" t="s">
        <v>36</v>
      </c>
      <c r="C723" t="s">
        <v>30</v>
      </c>
      <c r="D723" t="s">
        <v>40</v>
      </c>
      <c r="E723" t="s">
        <v>43</v>
      </c>
      <c r="F723" s="9">
        <v>0.13</v>
      </c>
      <c r="G723" s="10">
        <v>11738</v>
      </c>
      <c r="H723">
        <v>5.92</v>
      </c>
      <c r="I723" s="5">
        <f>ROUND(Marketing[[#This Row],[Clicks]]*Marketing[[#This Row],[Conversion_Rate]],0)</f>
        <v>82</v>
      </c>
      <c r="J723" s="12">
        <f>Marketing[[#This Row],[Campaign_Cost]]/Marketing[[#This Row],[Customers]]</f>
        <v>143.14634146341464</v>
      </c>
      <c r="K723" t="s">
        <v>32</v>
      </c>
      <c r="L723" t="s">
        <v>26</v>
      </c>
      <c r="M723">
        <v>628</v>
      </c>
      <c r="N723">
        <v>7525</v>
      </c>
      <c r="O723">
        <v>9</v>
      </c>
      <c r="P723" t="s">
        <v>44</v>
      </c>
      <c r="Q723" s="1">
        <v>44553</v>
      </c>
    </row>
    <row r="724" spans="1:17" x14ac:dyDescent="0.3">
      <c r="A724" t="s">
        <v>35</v>
      </c>
      <c r="B724" t="s">
        <v>29</v>
      </c>
      <c r="C724" t="s">
        <v>23</v>
      </c>
      <c r="D724" t="s">
        <v>17</v>
      </c>
      <c r="E724" t="s">
        <v>15</v>
      </c>
      <c r="F724" s="9">
        <v>0.1</v>
      </c>
      <c r="G724" s="10">
        <v>13594</v>
      </c>
      <c r="H724">
        <v>6.62</v>
      </c>
      <c r="I724" s="5">
        <f>ROUND(Marketing[[#This Row],[Clicks]]*Marketing[[#This Row],[Conversion_Rate]],0)</f>
        <v>30</v>
      </c>
      <c r="J724" s="12">
        <f>Marketing[[#This Row],[Campaign_Cost]]/Marketing[[#This Row],[Customers]]</f>
        <v>453.13333333333333</v>
      </c>
      <c r="K724" t="s">
        <v>32</v>
      </c>
      <c r="L724" t="s">
        <v>33</v>
      </c>
      <c r="M724">
        <v>300</v>
      </c>
      <c r="N724">
        <v>7244</v>
      </c>
      <c r="O724">
        <v>6</v>
      </c>
      <c r="P724" t="s">
        <v>34</v>
      </c>
      <c r="Q724" s="1">
        <v>44554</v>
      </c>
    </row>
    <row r="725" spans="1:17" x14ac:dyDescent="0.3">
      <c r="A725" t="s">
        <v>49</v>
      </c>
      <c r="B725" t="s">
        <v>47</v>
      </c>
      <c r="C725" t="s">
        <v>16</v>
      </c>
      <c r="D725" t="s">
        <v>46</v>
      </c>
      <c r="E725" t="s">
        <v>48</v>
      </c>
      <c r="F725" s="9">
        <v>0.04</v>
      </c>
      <c r="G725" s="10">
        <v>11047</v>
      </c>
      <c r="H725">
        <v>5.65</v>
      </c>
      <c r="I725" s="5">
        <f>ROUND(Marketing[[#This Row],[Clicks]]*Marketing[[#This Row],[Conversion_Rate]],0)</f>
        <v>17</v>
      </c>
      <c r="J725" s="12">
        <f>Marketing[[#This Row],[Campaign_Cost]]/Marketing[[#This Row],[Customers]]</f>
        <v>649.82352941176475</v>
      </c>
      <c r="K725" t="s">
        <v>51</v>
      </c>
      <c r="L725" t="s">
        <v>33</v>
      </c>
      <c r="M725">
        <v>427</v>
      </c>
      <c r="N725">
        <v>6252</v>
      </c>
      <c r="O725">
        <v>7</v>
      </c>
      <c r="P725" t="s">
        <v>42</v>
      </c>
      <c r="Q725" s="1">
        <v>44555</v>
      </c>
    </row>
    <row r="726" spans="1:17" x14ac:dyDescent="0.3">
      <c r="A726" t="s">
        <v>49</v>
      </c>
      <c r="B726" t="s">
        <v>47</v>
      </c>
      <c r="C726" t="s">
        <v>37</v>
      </c>
      <c r="D726" t="s">
        <v>24</v>
      </c>
      <c r="E726" t="s">
        <v>48</v>
      </c>
      <c r="F726" s="9">
        <v>0.03</v>
      </c>
      <c r="G726" s="10">
        <v>7319</v>
      </c>
      <c r="H726">
        <v>6.04</v>
      </c>
      <c r="I726" s="5">
        <f>ROUND(Marketing[[#This Row],[Clicks]]*Marketing[[#This Row],[Conversion_Rate]],0)</f>
        <v>8</v>
      </c>
      <c r="J726" s="12">
        <f>Marketing[[#This Row],[Campaign_Cost]]/Marketing[[#This Row],[Customers]]</f>
        <v>914.875</v>
      </c>
      <c r="K726" t="s">
        <v>51</v>
      </c>
      <c r="L726" t="s">
        <v>33</v>
      </c>
      <c r="M726">
        <v>269</v>
      </c>
      <c r="N726">
        <v>3575</v>
      </c>
      <c r="O726">
        <v>2</v>
      </c>
      <c r="P726" t="s">
        <v>21</v>
      </c>
      <c r="Q726" s="1">
        <v>44556</v>
      </c>
    </row>
    <row r="727" spans="1:17" x14ac:dyDescent="0.3">
      <c r="A727" t="s">
        <v>28</v>
      </c>
      <c r="B727" t="s">
        <v>36</v>
      </c>
      <c r="C727" t="s">
        <v>52</v>
      </c>
      <c r="D727" t="s">
        <v>46</v>
      </c>
      <c r="E727" t="s">
        <v>43</v>
      </c>
      <c r="F727" s="9">
        <v>0.05</v>
      </c>
      <c r="G727" s="10">
        <v>19697</v>
      </c>
      <c r="H727">
        <v>3.25</v>
      </c>
      <c r="I727" s="5">
        <f>ROUND(Marketing[[#This Row],[Clicks]]*Marketing[[#This Row],[Conversion_Rate]],0)</f>
        <v>20</v>
      </c>
      <c r="J727" s="12">
        <f>Marketing[[#This Row],[Campaign_Cost]]/Marketing[[#This Row],[Customers]]</f>
        <v>984.85</v>
      </c>
      <c r="K727" t="s">
        <v>32</v>
      </c>
      <c r="L727" t="s">
        <v>33</v>
      </c>
      <c r="M727">
        <v>398</v>
      </c>
      <c r="N727">
        <v>5910</v>
      </c>
      <c r="O727">
        <v>7</v>
      </c>
      <c r="P727" t="s">
        <v>21</v>
      </c>
      <c r="Q727" s="1">
        <v>44557</v>
      </c>
    </row>
    <row r="728" spans="1:17" x14ac:dyDescent="0.3">
      <c r="A728" t="s">
        <v>14</v>
      </c>
      <c r="B728" t="s">
        <v>15</v>
      </c>
      <c r="C728" t="s">
        <v>16</v>
      </c>
      <c r="D728" t="s">
        <v>17</v>
      </c>
      <c r="E728" t="s">
        <v>41</v>
      </c>
      <c r="F728" s="9">
        <v>0.05</v>
      </c>
      <c r="G728" s="10">
        <v>10227</v>
      </c>
      <c r="H728">
        <v>4.0599999999999996</v>
      </c>
      <c r="I728" s="5">
        <f>ROUND(Marketing[[#This Row],[Clicks]]*Marketing[[#This Row],[Conversion_Rate]],0)</f>
        <v>24</v>
      </c>
      <c r="J728" s="12">
        <f>Marketing[[#This Row],[Campaign_Cost]]/Marketing[[#This Row],[Customers]]</f>
        <v>426.125</v>
      </c>
      <c r="K728" t="s">
        <v>19</v>
      </c>
      <c r="L728" t="s">
        <v>20</v>
      </c>
      <c r="M728">
        <v>477</v>
      </c>
      <c r="N728">
        <v>9097</v>
      </c>
      <c r="O728">
        <v>1</v>
      </c>
      <c r="P728" t="s">
        <v>34</v>
      </c>
      <c r="Q728" s="1">
        <v>44558</v>
      </c>
    </row>
    <row r="729" spans="1:17" x14ac:dyDescent="0.3">
      <c r="A729" t="s">
        <v>28</v>
      </c>
      <c r="B729" t="s">
        <v>45</v>
      </c>
      <c r="C729" t="s">
        <v>52</v>
      </c>
      <c r="D729" t="s">
        <v>46</v>
      </c>
      <c r="E729" t="s">
        <v>15</v>
      </c>
      <c r="F729" s="9">
        <v>0.06</v>
      </c>
      <c r="G729" s="10">
        <v>5376</v>
      </c>
      <c r="H729">
        <v>4.8</v>
      </c>
      <c r="I729" s="5">
        <f>ROUND(Marketing[[#This Row],[Clicks]]*Marketing[[#This Row],[Conversion_Rate]],0)</f>
        <v>21</v>
      </c>
      <c r="J729" s="12">
        <f>Marketing[[#This Row],[Campaign_Cost]]/Marketing[[#This Row],[Customers]]</f>
        <v>256</v>
      </c>
      <c r="K729" t="s">
        <v>38</v>
      </c>
      <c r="L729" t="s">
        <v>50</v>
      </c>
      <c r="M729">
        <v>351</v>
      </c>
      <c r="N729">
        <v>3864</v>
      </c>
      <c r="O729">
        <v>7</v>
      </c>
      <c r="P729" t="s">
        <v>34</v>
      </c>
      <c r="Q729" s="1">
        <v>44559</v>
      </c>
    </row>
    <row r="730" spans="1:17" x14ac:dyDescent="0.3">
      <c r="A730" t="s">
        <v>49</v>
      </c>
      <c r="B730" t="s">
        <v>36</v>
      </c>
      <c r="C730" t="s">
        <v>16</v>
      </c>
      <c r="D730" t="s">
        <v>40</v>
      </c>
      <c r="E730" t="s">
        <v>41</v>
      </c>
      <c r="F730" s="9">
        <v>0.13</v>
      </c>
      <c r="G730" s="10">
        <v>18790</v>
      </c>
      <c r="H730">
        <v>3.51</v>
      </c>
      <c r="I730" s="5">
        <f>ROUND(Marketing[[#This Row],[Clicks]]*Marketing[[#This Row],[Conversion_Rate]],0)</f>
        <v>66</v>
      </c>
      <c r="J730" s="12">
        <f>Marketing[[#This Row],[Campaign_Cost]]/Marketing[[#This Row],[Customers]]</f>
        <v>284.69696969696969</v>
      </c>
      <c r="K730" t="s">
        <v>51</v>
      </c>
      <c r="L730" t="s">
        <v>33</v>
      </c>
      <c r="M730">
        <v>504</v>
      </c>
      <c r="N730">
        <v>4228</v>
      </c>
      <c r="O730">
        <v>1</v>
      </c>
      <c r="P730" t="s">
        <v>21</v>
      </c>
      <c r="Q730" s="1">
        <v>44560</v>
      </c>
    </row>
    <row r="731" spans="1:17" x14ac:dyDescent="0.3">
      <c r="A731" t="s">
        <v>22</v>
      </c>
      <c r="B731" t="s">
        <v>45</v>
      </c>
      <c r="C731" t="s">
        <v>37</v>
      </c>
      <c r="D731" t="s">
        <v>46</v>
      </c>
      <c r="E731" t="s">
        <v>18</v>
      </c>
      <c r="F731" s="9">
        <v>0.14000000000000001</v>
      </c>
      <c r="G731" s="10">
        <v>11628</v>
      </c>
      <c r="H731">
        <v>6.56</v>
      </c>
      <c r="I731" s="5">
        <f>ROUND(Marketing[[#This Row],[Clicks]]*Marketing[[#This Row],[Conversion_Rate]],0)</f>
        <v>122</v>
      </c>
      <c r="J731" s="12">
        <f>Marketing[[#This Row],[Campaign_Cost]]/Marketing[[#This Row],[Customers]]</f>
        <v>95.311475409836063</v>
      </c>
      <c r="K731" t="s">
        <v>19</v>
      </c>
      <c r="L731" t="s">
        <v>39</v>
      </c>
      <c r="M731">
        <v>868</v>
      </c>
      <c r="N731">
        <v>3838</v>
      </c>
      <c r="O731">
        <v>9</v>
      </c>
      <c r="P731" t="s">
        <v>21</v>
      </c>
      <c r="Q731" s="1">
        <v>44561</v>
      </c>
    </row>
    <row r="732" spans="1:17" x14ac:dyDescent="0.3">
      <c r="A732" t="s">
        <v>22</v>
      </c>
      <c r="B732" t="s">
        <v>15</v>
      </c>
      <c r="C732" t="s">
        <v>52</v>
      </c>
      <c r="D732" t="s">
        <v>40</v>
      </c>
      <c r="E732" t="s">
        <v>18</v>
      </c>
      <c r="F732" s="9">
        <v>0.06</v>
      </c>
      <c r="G732" s="10">
        <v>18335</v>
      </c>
      <c r="H732">
        <v>3.53</v>
      </c>
      <c r="I732" s="5">
        <f>ROUND(Marketing[[#This Row],[Clicks]]*Marketing[[#This Row],[Conversion_Rate]],0)</f>
        <v>27</v>
      </c>
      <c r="J732" s="12">
        <f>Marketing[[#This Row],[Campaign_Cost]]/Marketing[[#This Row],[Customers]]</f>
        <v>679.07407407407402</v>
      </c>
      <c r="K732" t="s">
        <v>32</v>
      </c>
      <c r="L732" t="s">
        <v>26</v>
      </c>
      <c r="M732">
        <v>448</v>
      </c>
      <c r="N732">
        <v>9779</v>
      </c>
      <c r="O732">
        <v>3</v>
      </c>
      <c r="P732" t="s">
        <v>44</v>
      </c>
      <c r="Q732" s="1">
        <v>44197</v>
      </c>
    </row>
    <row r="733" spans="1:17" x14ac:dyDescent="0.3">
      <c r="A733" t="s">
        <v>22</v>
      </c>
      <c r="B733" t="s">
        <v>29</v>
      </c>
      <c r="C733" t="s">
        <v>16</v>
      </c>
      <c r="D733" t="s">
        <v>40</v>
      </c>
      <c r="E733" t="s">
        <v>48</v>
      </c>
      <c r="F733" s="9">
        <v>0.12</v>
      </c>
      <c r="G733" s="10">
        <v>14594</v>
      </c>
      <c r="H733">
        <v>6.78</v>
      </c>
      <c r="I733" s="5">
        <f>ROUND(Marketing[[#This Row],[Clicks]]*Marketing[[#This Row],[Conversion_Rate]],0)</f>
        <v>46</v>
      </c>
      <c r="J733" s="12">
        <f>Marketing[[#This Row],[Campaign_Cost]]/Marketing[[#This Row],[Customers]]</f>
        <v>317.26086956521738</v>
      </c>
      <c r="K733" t="s">
        <v>32</v>
      </c>
      <c r="L733" t="s">
        <v>33</v>
      </c>
      <c r="M733">
        <v>381</v>
      </c>
      <c r="N733">
        <v>3706</v>
      </c>
      <c r="O733">
        <v>7</v>
      </c>
      <c r="P733" t="s">
        <v>42</v>
      </c>
      <c r="Q733" s="1">
        <v>44198</v>
      </c>
    </row>
    <row r="734" spans="1:17" x14ac:dyDescent="0.3">
      <c r="A734" t="s">
        <v>22</v>
      </c>
      <c r="B734" t="s">
        <v>29</v>
      </c>
      <c r="C734" t="s">
        <v>52</v>
      </c>
      <c r="D734" t="s">
        <v>24</v>
      </c>
      <c r="E734" t="s">
        <v>43</v>
      </c>
      <c r="F734" s="9">
        <v>0.08</v>
      </c>
      <c r="G734" s="10">
        <v>15973</v>
      </c>
      <c r="H734">
        <v>6.81</v>
      </c>
      <c r="I734" s="5">
        <f>ROUND(Marketing[[#This Row],[Clicks]]*Marketing[[#This Row],[Conversion_Rate]],0)</f>
        <v>44</v>
      </c>
      <c r="J734" s="12">
        <f>Marketing[[#This Row],[Campaign_Cost]]/Marketing[[#This Row],[Customers]]</f>
        <v>363.02272727272725</v>
      </c>
      <c r="K734" t="s">
        <v>19</v>
      </c>
      <c r="L734" t="s">
        <v>50</v>
      </c>
      <c r="M734">
        <v>556</v>
      </c>
      <c r="N734">
        <v>2878</v>
      </c>
      <c r="O734">
        <v>1</v>
      </c>
      <c r="P734" t="s">
        <v>34</v>
      </c>
      <c r="Q734" s="1">
        <v>44199</v>
      </c>
    </row>
    <row r="735" spans="1:17" x14ac:dyDescent="0.3">
      <c r="A735" t="s">
        <v>49</v>
      </c>
      <c r="B735" t="s">
        <v>47</v>
      </c>
      <c r="C735" t="s">
        <v>23</v>
      </c>
      <c r="D735" t="s">
        <v>40</v>
      </c>
      <c r="E735" t="s">
        <v>41</v>
      </c>
      <c r="F735" s="9">
        <v>0.1</v>
      </c>
      <c r="G735" s="10">
        <v>15101</v>
      </c>
      <c r="H735">
        <v>2.91</v>
      </c>
      <c r="I735" s="5">
        <f>ROUND(Marketing[[#This Row],[Clicks]]*Marketing[[#This Row],[Conversion_Rate]],0)</f>
        <v>50</v>
      </c>
      <c r="J735" s="12">
        <f>Marketing[[#This Row],[Campaign_Cost]]/Marketing[[#This Row],[Customers]]</f>
        <v>302.02</v>
      </c>
      <c r="K735" t="s">
        <v>32</v>
      </c>
      <c r="L735" t="s">
        <v>50</v>
      </c>
      <c r="M735">
        <v>497</v>
      </c>
      <c r="N735">
        <v>4385</v>
      </c>
      <c r="O735">
        <v>3</v>
      </c>
      <c r="P735" t="s">
        <v>21</v>
      </c>
      <c r="Q735" s="1">
        <v>44200</v>
      </c>
    </row>
    <row r="736" spans="1:17" x14ac:dyDescent="0.3">
      <c r="A736" t="s">
        <v>22</v>
      </c>
      <c r="B736" t="s">
        <v>15</v>
      </c>
      <c r="C736" t="s">
        <v>30</v>
      </c>
      <c r="D736" t="s">
        <v>17</v>
      </c>
      <c r="E736" t="s">
        <v>43</v>
      </c>
      <c r="F736" s="9">
        <v>0.08</v>
      </c>
      <c r="G736" s="10">
        <v>10122</v>
      </c>
      <c r="H736">
        <v>6.02</v>
      </c>
      <c r="I736" s="5">
        <f>ROUND(Marketing[[#This Row],[Clicks]]*Marketing[[#This Row],[Conversion_Rate]],0)</f>
        <v>33</v>
      </c>
      <c r="J736" s="12">
        <f>Marketing[[#This Row],[Campaign_Cost]]/Marketing[[#This Row],[Customers]]</f>
        <v>306.72727272727275</v>
      </c>
      <c r="K736" t="s">
        <v>38</v>
      </c>
      <c r="L736" t="s">
        <v>33</v>
      </c>
      <c r="M736">
        <v>418</v>
      </c>
      <c r="N736">
        <v>3665</v>
      </c>
      <c r="O736">
        <v>1</v>
      </c>
      <c r="P736" t="s">
        <v>27</v>
      </c>
      <c r="Q736" s="1">
        <v>44201</v>
      </c>
    </row>
    <row r="737" spans="1:17" x14ac:dyDescent="0.3">
      <c r="A737" t="s">
        <v>35</v>
      </c>
      <c r="B737" t="s">
        <v>36</v>
      </c>
      <c r="C737" t="s">
        <v>52</v>
      </c>
      <c r="D737" t="s">
        <v>24</v>
      </c>
      <c r="E737" t="s">
        <v>43</v>
      </c>
      <c r="F737" s="9">
        <v>0.15</v>
      </c>
      <c r="G737" s="10">
        <v>7802</v>
      </c>
      <c r="H737">
        <v>4.18</v>
      </c>
      <c r="I737" s="5">
        <f>ROUND(Marketing[[#This Row],[Clicks]]*Marketing[[#This Row],[Conversion_Rate]],0)</f>
        <v>93</v>
      </c>
      <c r="J737" s="12">
        <f>Marketing[[#This Row],[Campaign_Cost]]/Marketing[[#This Row],[Customers]]</f>
        <v>83.892473118279568</v>
      </c>
      <c r="K737" t="s">
        <v>25</v>
      </c>
      <c r="L737" t="s">
        <v>33</v>
      </c>
      <c r="M737">
        <v>621</v>
      </c>
      <c r="N737">
        <v>7180</v>
      </c>
      <c r="O737">
        <v>1</v>
      </c>
      <c r="P737" t="s">
        <v>42</v>
      </c>
      <c r="Q737" s="1">
        <v>44202</v>
      </c>
    </row>
    <row r="738" spans="1:17" x14ac:dyDescent="0.3">
      <c r="A738" t="s">
        <v>28</v>
      </c>
      <c r="B738" t="s">
        <v>29</v>
      </c>
      <c r="C738" t="s">
        <v>23</v>
      </c>
      <c r="D738" t="s">
        <v>46</v>
      </c>
      <c r="E738" t="s">
        <v>48</v>
      </c>
      <c r="F738" s="9">
        <v>0.04</v>
      </c>
      <c r="G738" s="10">
        <v>13662</v>
      </c>
      <c r="H738">
        <v>4.87</v>
      </c>
      <c r="I738" s="5">
        <f>ROUND(Marketing[[#This Row],[Clicks]]*Marketing[[#This Row],[Conversion_Rate]],0)</f>
        <v>28</v>
      </c>
      <c r="J738" s="12">
        <f>Marketing[[#This Row],[Campaign_Cost]]/Marketing[[#This Row],[Customers]]</f>
        <v>487.92857142857144</v>
      </c>
      <c r="K738" t="s">
        <v>38</v>
      </c>
      <c r="L738" t="s">
        <v>50</v>
      </c>
      <c r="M738">
        <v>705</v>
      </c>
      <c r="N738">
        <v>4721</v>
      </c>
      <c r="O738">
        <v>10</v>
      </c>
      <c r="P738" t="s">
        <v>42</v>
      </c>
      <c r="Q738" s="1">
        <v>44203</v>
      </c>
    </row>
    <row r="739" spans="1:17" x14ac:dyDescent="0.3">
      <c r="A739" t="s">
        <v>22</v>
      </c>
      <c r="B739" t="s">
        <v>45</v>
      </c>
      <c r="C739" t="s">
        <v>16</v>
      </c>
      <c r="D739" t="s">
        <v>24</v>
      </c>
      <c r="E739" t="s">
        <v>41</v>
      </c>
      <c r="F739" s="9">
        <v>0.12</v>
      </c>
      <c r="G739" s="10">
        <v>19207</v>
      </c>
      <c r="H739">
        <v>4.88</v>
      </c>
      <c r="I739" s="5">
        <f>ROUND(Marketing[[#This Row],[Clicks]]*Marketing[[#This Row],[Conversion_Rate]],0)</f>
        <v>34</v>
      </c>
      <c r="J739" s="12">
        <f>Marketing[[#This Row],[Campaign_Cost]]/Marketing[[#This Row],[Customers]]</f>
        <v>564.91176470588232</v>
      </c>
      <c r="K739" t="s">
        <v>51</v>
      </c>
      <c r="L739" t="s">
        <v>50</v>
      </c>
      <c r="M739">
        <v>284</v>
      </c>
      <c r="N739">
        <v>6664</v>
      </c>
      <c r="O739">
        <v>8</v>
      </c>
      <c r="P739" t="s">
        <v>27</v>
      </c>
      <c r="Q739" s="1">
        <v>44204</v>
      </c>
    </row>
    <row r="740" spans="1:17" x14ac:dyDescent="0.3">
      <c r="A740" t="s">
        <v>28</v>
      </c>
      <c r="B740" t="s">
        <v>29</v>
      </c>
      <c r="C740" t="s">
        <v>30</v>
      </c>
      <c r="D740" t="s">
        <v>40</v>
      </c>
      <c r="E740" t="s">
        <v>15</v>
      </c>
      <c r="F740" s="9">
        <v>0.04</v>
      </c>
      <c r="G740" s="10">
        <v>9328</v>
      </c>
      <c r="H740">
        <v>5.67</v>
      </c>
      <c r="I740" s="5">
        <f>ROUND(Marketing[[#This Row],[Clicks]]*Marketing[[#This Row],[Conversion_Rate]],0)</f>
        <v>10</v>
      </c>
      <c r="J740" s="12">
        <f>Marketing[[#This Row],[Campaign_Cost]]/Marketing[[#This Row],[Customers]]</f>
        <v>932.8</v>
      </c>
      <c r="K740" t="s">
        <v>51</v>
      </c>
      <c r="L740" t="s">
        <v>39</v>
      </c>
      <c r="M740">
        <v>241</v>
      </c>
      <c r="N740">
        <v>1268</v>
      </c>
      <c r="O740">
        <v>1</v>
      </c>
      <c r="P740" t="s">
        <v>42</v>
      </c>
      <c r="Q740" s="1">
        <v>44205</v>
      </c>
    </row>
    <row r="741" spans="1:17" x14ac:dyDescent="0.3">
      <c r="A741" t="s">
        <v>28</v>
      </c>
      <c r="B741" t="s">
        <v>15</v>
      </c>
      <c r="C741" t="s">
        <v>30</v>
      </c>
      <c r="D741" t="s">
        <v>40</v>
      </c>
      <c r="E741" t="s">
        <v>48</v>
      </c>
      <c r="F741" s="9">
        <v>0.13</v>
      </c>
      <c r="G741" s="10">
        <v>9558</v>
      </c>
      <c r="H741">
        <v>5.0599999999999996</v>
      </c>
      <c r="I741" s="5">
        <f>ROUND(Marketing[[#This Row],[Clicks]]*Marketing[[#This Row],[Conversion_Rate]],0)</f>
        <v>47</v>
      </c>
      <c r="J741" s="12">
        <f>Marketing[[#This Row],[Campaign_Cost]]/Marketing[[#This Row],[Customers]]</f>
        <v>203.36170212765958</v>
      </c>
      <c r="K741" t="s">
        <v>25</v>
      </c>
      <c r="L741" t="s">
        <v>39</v>
      </c>
      <c r="M741">
        <v>360</v>
      </c>
      <c r="N741">
        <v>4728</v>
      </c>
      <c r="O741">
        <v>8</v>
      </c>
      <c r="P741" t="s">
        <v>27</v>
      </c>
      <c r="Q741" s="1">
        <v>44206</v>
      </c>
    </row>
    <row r="742" spans="1:17" x14ac:dyDescent="0.3">
      <c r="A742" t="s">
        <v>35</v>
      </c>
      <c r="B742" t="s">
        <v>36</v>
      </c>
      <c r="C742" t="s">
        <v>16</v>
      </c>
      <c r="D742" t="s">
        <v>17</v>
      </c>
      <c r="E742" t="s">
        <v>41</v>
      </c>
      <c r="F742" s="9">
        <v>0.12</v>
      </c>
      <c r="G742" s="10">
        <v>10631</v>
      </c>
      <c r="H742">
        <v>5.28</v>
      </c>
      <c r="I742" s="5">
        <f>ROUND(Marketing[[#This Row],[Clicks]]*Marketing[[#This Row],[Conversion_Rate]],0)</f>
        <v>35</v>
      </c>
      <c r="J742" s="12">
        <f>Marketing[[#This Row],[Campaign_Cost]]/Marketing[[#This Row],[Customers]]</f>
        <v>303.74285714285713</v>
      </c>
      <c r="K742" t="s">
        <v>51</v>
      </c>
      <c r="L742" t="s">
        <v>33</v>
      </c>
      <c r="M742">
        <v>293</v>
      </c>
      <c r="N742">
        <v>9534</v>
      </c>
      <c r="O742">
        <v>10</v>
      </c>
      <c r="P742" t="s">
        <v>27</v>
      </c>
      <c r="Q742" s="1">
        <v>44207</v>
      </c>
    </row>
    <row r="743" spans="1:17" x14ac:dyDescent="0.3">
      <c r="A743" t="s">
        <v>28</v>
      </c>
      <c r="B743" t="s">
        <v>15</v>
      </c>
      <c r="C743" t="s">
        <v>16</v>
      </c>
      <c r="D743" t="s">
        <v>40</v>
      </c>
      <c r="E743" t="s">
        <v>18</v>
      </c>
      <c r="F743" s="9">
        <v>0.04</v>
      </c>
      <c r="G743" s="10">
        <v>19902</v>
      </c>
      <c r="H743">
        <v>7.65</v>
      </c>
      <c r="I743" s="5">
        <f>ROUND(Marketing[[#This Row],[Clicks]]*Marketing[[#This Row],[Conversion_Rate]],0)</f>
        <v>19</v>
      </c>
      <c r="J743" s="12">
        <f>Marketing[[#This Row],[Campaign_Cost]]/Marketing[[#This Row],[Customers]]</f>
        <v>1047.4736842105262</v>
      </c>
      <c r="K743" t="s">
        <v>19</v>
      </c>
      <c r="L743" t="s">
        <v>26</v>
      </c>
      <c r="M743">
        <v>464</v>
      </c>
      <c r="N743">
        <v>9991</v>
      </c>
      <c r="O743">
        <v>3</v>
      </c>
      <c r="P743" t="s">
        <v>34</v>
      </c>
      <c r="Q743" s="1">
        <v>44208</v>
      </c>
    </row>
    <row r="744" spans="1:17" x14ac:dyDescent="0.3">
      <c r="A744" t="s">
        <v>49</v>
      </c>
      <c r="B744" t="s">
        <v>45</v>
      </c>
      <c r="C744" t="s">
        <v>37</v>
      </c>
      <c r="D744" t="s">
        <v>24</v>
      </c>
      <c r="E744" t="s">
        <v>48</v>
      </c>
      <c r="F744" s="9">
        <v>0.06</v>
      </c>
      <c r="G744" s="10">
        <v>7086</v>
      </c>
      <c r="H744">
        <v>6.02</v>
      </c>
      <c r="I744" s="5">
        <f>ROUND(Marketing[[#This Row],[Clicks]]*Marketing[[#This Row],[Conversion_Rate]],0)</f>
        <v>37</v>
      </c>
      <c r="J744" s="12">
        <f>Marketing[[#This Row],[Campaign_Cost]]/Marketing[[#This Row],[Customers]]</f>
        <v>191.51351351351352</v>
      </c>
      <c r="K744" t="s">
        <v>32</v>
      </c>
      <c r="L744" t="s">
        <v>33</v>
      </c>
      <c r="M744">
        <v>624</v>
      </c>
      <c r="N744">
        <v>5869</v>
      </c>
      <c r="O744">
        <v>9</v>
      </c>
      <c r="P744" t="s">
        <v>21</v>
      </c>
      <c r="Q744" s="1">
        <v>44209</v>
      </c>
    </row>
    <row r="745" spans="1:17" x14ac:dyDescent="0.3">
      <c r="A745" t="s">
        <v>35</v>
      </c>
      <c r="B745" t="s">
        <v>47</v>
      </c>
      <c r="C745" t="s">
        <v>23</v>
      </c>
      <c r="D745" t="s">
        <v>24</v>
      </c>
      <c r="E745" t="s">
        <v>43</v>
      </c>
      <c r="F745" s="9">
        <v>0.11</v>
      </c>
      <c r="G745" s="10">
        <v>11332</v>
      </c>
      <c r="H745">
        <v>2.34</v>
      </c>
      <c r="I745" s="5">
        <f>ROUND(Marketing[[#This Row],[Clicks]]*Marketing[[#This Row],[Conversion_Rate]],0)</f>
        <v>106</v>
      </c>
      <c r="J745" s="12">
        <f>Marketing[[#This Row],[Campaign_Cost]]/Marketing[[#This Row],[Customers]]</f>
        <v>106.90566037735849</v>
      </c>
      <c r="K745" t="s">
        <v>19</v>
      </c>
      <c r="L745" t="s">
        <v>39</v>
      </c>
      <c r="M745">
        <v>968</v>
      </c>
      <c r="N745">
        <v>9725</v>
      </c>
      <c r="O745">
        <v>5</v>
      </c>
      <c r="P745" t="s">
        <v>27</v>
      </c>
      <c r="Q745" s="1">
        <v>44210</v>
      </c>
    </row>
    <row r="746" spans="1:17" x14ac:dyDescent="0.3">
      <c r="A746" t="s">
        <v>28</v>
      </c>
      <c r="B746" t="s">
        <v>29</v>
      </c>
      <c r="C746" t="s">
        <v>30</v>
      </c>
      <c r="D746" t="s">
        <v>17</v>
      </c>
      <c r="E746" t="s">
        <v>41</v>
      </c>
      <c r="F746" s="9">
        <v>0.09</v>
      </c>
      <c r="G746" s="10">
        <v>15817</v>
      </c>
      <c r="H746">
        <v>2.5</v>
      </c>
      <c r="I746" s="5">
        <f>ROUND(Marketing[[#This Row],[Clicks]]*Marketing[[#This Row],[Conversion_Rate]],0)</f>
        <v>56</v>
      </c>
      <c r="J746" s="12">
        <f>Marketing[[#This Row],[Campaign_Cost]]/Marketing[[#This Row],[Customers]]</f>
        <v>282.44642857142856</v>
      </c>
      <c r="K746" t="s">
        <v>25</v>
      </c>
      <c r="L746" t="s">
        <v>39</v>
      </c>
      <c r="M746">
        <v>617</v>
      </c>
      <c r="N746">
        <v>5480</v>
      </c>
      <c r="O746">
        <v>6</v>
      </c>
      <c r="P746" t="s">
        <v>42</v>
      </c>
      <c r="Q746" s="1">
        <v>44211</v>
      </c>
    </row>
    <row r="747" spans="1:17" x14ac:dyDescent="0.3">
      <c r="A747" t="s">
        <v>49</v>
      </c>
      <c r="B747" t="s">
        <v>29</v>
      </c>
      <c r="C747" t="s">
        <v>30</v>
      </c>
      <c r="D747" t="s">
        <v>24</v>
      </c>
      <c r="E747" t="s">
        <v>41</v>
      </c>
      <c r="F747" s="9">
        <v>0.06</v>
      </c>
      <c r="G747" s="10">
        <v>17001</v>
      </c>
      <c r="H747">
        <v>7.95</v>
      </c>
      <c r="I747" s="5">
        <f>ROUND(Marketing[[#This Row],[Clicks]]*Marketing[[#This Row],[Conversion_Rate]],0)</f>
        <v>23</v>
      </c>
      <c r="J747" s="12">
        <f>Marketing[[#This Row],[Campaign_Cost]]/Marketing[[#This Row],[Customers]]</f>
        <v>739.17391304347825</v>
      </c>
      <c r="K747" t="s">
        <v>38</v>
      </c>
      <c r="L747" t="s">
        <v>20</v>
      </c>
      <c r="M747">
        <v>377</v>
      </c>
      <c r="N747">
        <v>1655</v>
      </c>
      <c r="O747">
        <v>6</v>
      </c>
      <c r="P747" t="s">
        <v>44</v>
      </c>
      <c r="Q747" s="1">
        <v>44212</v>
      </c>
    </row>
    <row r="748" spans="1:17" x14ac:dyDescent="0.3">
      <c r="A748" t="s">
        <v>14</v>
      </c>
      <c r="B748" t="s">
        <v>29</v>
      </c>
      <c r="C748" t="s">
        <v>52</v>
      </c>
      <c r="D748" t="s">
        <v>46</v>
      </c>
      <c r="E748" t="s">
        <v>48</v>
      </c>
      <c r="F748" s="9">
        <v>0.05</v>
      </c>
      <c r="G748" s="10">
        <v>13659</v>
      </c>
      <c r="H748">
        <v>4.55</v>
      </c>
      <c r="I748" s="5">
        <f>ROUND(Marketing[[#This Row],[Clicks]]*Marketing[[#This Row],[Conversion_Rate]],0)</f>
        <v>16</v>
      </c>
      <c r="J748" s="12">
        <f>Marketing[[#This Row],[Campaign_Cost]]/Marketing[[#This Row],[Customers]]</f>
        <v>853.6875</v>
      </c>
      <c r="K748" t="s">
        <v>51</v>
      </c>
      <c r="L748" t="s">
        <v>33</v>
      </c>
      <c r="M748">
        <v>328</v>
      </c>
      <c r="N748">
        <v>6789</v>
      </c>
      <c r="O748">
        <v>7</v>
      </c>
      <c r="P748" t="s">
        <v>34</v>
      </c>
      <c r="Q748" s="1">
        <v>44213</v>
      </c>
    </row>
    <row r="749" spans="1:17" x14ac:dyDescent="0.3">
      <c r="A749" t="s">
        <v>28</v>
      </c>
      <c r="B749" t="s">
        <v>29</v>
      </c>
      <c r="C749" t="s">
        <v>16</v>
      </c>
      <c r="D749" t="s">
        <v>24</v>
      </c>
      <c r="E749" t="s">
        <v>31</v>
      </c>
      <c r="F749" s="9">
        <v>0.13</v>
      </c>
      <c r="G749" s="10">
        <v>18557</v>
      </c>
      <c r="H749">
        <v>6.85</v>
      </c>
      <c r="I749" s="5">
        <f>ROUND(Marketing[[#This Row],[Clicks]]*Marketing[[#This Row],[Conversion_Rate]],0)</f>
        <v>25</v>
      </c>
      <c r="J749" s="12">
        <f>Marketing[[#This Row],[Campaign_Cost]]/Marketing[[#This Row],[Customers]]</f>
        <v>742.28</v>
      </c>
      <c r="K749" t="s">
        <v>51</v>
      </c>
      <c r="L749" t="s">
        <v>33</v>
      </c>
      <c r="M749">
        <v>194</v>
      </c>
      <c r="N749">
        <v>9701</v>
      </c>
      <c r="O749">
        <v>5</v>
      </c>
      <c r="P749" t="s">
        <v>44</v>
      </c>
      <c r="Q749" s="1">
        <v>44214</v>
      </c>
    </row>
    <row r="750" spans="1:17" x14ac:dyDescent="0.3">
      <c r="A750" t="s">
        <v>49</v>
      </c>
      <c r="B750" t="s">
        <v>36</v>
      </c>
      <c r="C750" t="s">
        <v>52</v>
      </c>
      <c r="D750" t="s">
        <v>40</v>
      </c>
      <c r="E750" t="s">
        <v>31</v>
      </c>
      <c r="F750" s="9">
        <v>0.05</v>
      </c>
      <c r="G750" s="10">
        <v>5875</v>
      </c>
      <c r="H750">
        <v>5.01</v>
      </c>
      <c r="I750" s="5">
        <f>ROUND(Marketing[[#This Row],[Clicks]]*Marketing[[#This Row],[Conversion_Rate]],0)</f>
        <v>39</v>
      </c>
      <c r="J750" s="12">
        <f>Marketing[[#This Row],[Campaign_Cost]]/Marketing[[#This Row],[Customers]]</f>
        <v>150.64102564102564</v>
      </c>
      <c r="K750" t="s">
        <v>38</v>
      </c>
      <c r="L750" t="s">
        <v>26</v>
      </c>
      <c r="M750">
        <v>776</v>
      </c>
      <c r="N750">
        <v>9382</v>
      </c>
      <c r="O750">
        <v>8</v>
      </c>
      <c r="P750" t="s">
        <v>27</v>
      </c>
      <c r="Q750" s="1">
        <v>44215</v>
      </c>
    </row>
    <row r="751" spans="1:17" x14ac:dyDescent="0.3">
      <c r="A751" t="s">
        <v>35</v>
      </c>
      <c r="B751" t="s">
        <v>36</v>
      </c>
      <c r="C751" t="s">
        <v>16</v>
      </c>
      <c r="D751" t="s">
        <v>46</v>
      </c>
      <c r="E751" t="s">
        <v>18</v>
      </c>
      <c r="F751" s="9">
        <v>0.15</v>
      </c>
      <c r="G751" s="10">
        <v>10556</v>
      </c>
      <c r="H751">
        <v>3.51</v>
      </c>
      <c r="I751" s="5">
        <f>ROUND(Marketing[[#This Row],[Clicks]]*Marketing[[#This Row],[Conversion_Rate]],0)</f>
        <v>114</v>
      </c>
      <c r="J751" s="12">
        <f>Marketing[[#This Row],[Campaign_Cost]]/Marketing[[#This Row],[Customers]]</f>
        <v>92.596491228070178</v>
      </c>
      <c r="K751" t="s">
        <v>19</v>
      </c>
      <c r="L751" t="s">
        <v>50</v>
      </c>
      <c r="M751">
        <v>761</v>
      </c>
      <c r="N751">
        <v>2186</v>
      </c>
      <c r="O751">
        <v>7</v>
      </c>
      <c r="P751" t="s">
        <v>21</v>
      </c>
      <c r="Q751" s="1">
        <v>44216</v>
      </c>
    </row>
    <row r="752" spans="1:17" x14ac:dyDescent="0.3">
      <c r="A752" t="s">
        <v>14</v>
      </c>
      <c r="B752" t="s">
        <v>45</v>
      </c>
      <c r="C752" t="s">
        <v>37</v>
      </c>
      <c r="D752" t="s">
        <v>24</v>
      </c>
      <c r="E752" t="s">
        <v>41</v>
      </c>
      <c r="F752" s="9">
        <v>0.09</v>
      </c>
      <c r="G752" s="10">
        <v>11526</v>
      </c>
      <c r="H752">
        <v>6.19</v>
      </c>
      <c r="I752" s="5">
        <f>ROUND(Marketing[[#This Row],[Clicks]]*Marketing[[#This Row],[Conversion_Rate]],0)</f>
        <v>26</v>
      </c>
      <c r="J752" s="12">
        <f>Marketing[[#This Row],[Campaign_Cost]]/Marketing[[#This Row],[Customers]]</f>
        <v>443.30769230769232</v>
      </c>
      <c r="K752" t="s">
        <v>32</v>
      </c>
      <c r="L752" t="s">
        <v>33</v>
      </c>
      <c r="M752">
        <v>289</v>
      </c>
      <c r="N752">
        <v>5038</v>
      </c>
      <c r="O752">
        <v>7</v>
      </c>
      <c r="P752" t="s">
        <v>27</v>
      </c>
      <c r="Q752" s="1">
        <v>44217</v>
      </c>
    </row>
    <row r="753" spans="1:17" x14ac:dyDescent="0.3">
      <c r="A753" t="s">
        <v>28</v>
      </c>
      <c r="B753" t="s">
        <v>36</v>
      </c>
      <c r="C753" t="s">
        <v>16</v>
      </c>
      <c r="D753" t="s">
        <v>46</v>
      </c>
      <c r="E753" t="s">
        <v>31</v>
      </c>
      <c r="F753" s="9">
        <v>0.05</v>
      </c>
      <c r="G753" s="10">
        <v>13264</v>
      </c>
      <c r="H753">
        <v>5.73</v>
      </c>
      <c r="I753" s="5">
        <f>ROUND(Marketing[[#This Row],[Clicks]]*Marketing[[#This Row],[Conversion_Rate]],0)</f>
        <v>18</v>
      </c>
      <c r="J753" s="12">
        <f>Marketing[[#This Row],[Campaign_Cost]]/Marketing[[#This Row],[Customers]]</f>
        <v>736.88888888888891</v>
      </c>
      <c r="K753" t="s">
        <v>19</v>
      </c>
      <c r="L753" t="s">
        <v>33</v>
      </c>
      <c r="M753">
        <v>364</v>
      </c>
      <c r="N753">
        <v>4288</v>
      </c>
      <c r="O753">
        <v>3</v>
      </c>
      <c r="P753" t="s">
        <v>44</v>
      </c>
      <c r="Q753" s="1">
        <v>44218</v>
      </c>
    </row>
    <row r="754" spans="1:17" x14ac:dyDescent="0.3">
      <c r="A754" t="s">
        <v>49</v>
      </c>
      <c r="B754" t="s">
        <v>29</v>
      </c>
      <c r="C754" t="s">
        <v>23</v>
      </c>
      <c r="D754" t="s">
        <v>46</v>
      </c>
      <c r="E754" t="s">
        <v>48</v>
      </c>
      <c r="F754" s="9">
        <v>0.02</v>
      </c>
      <c r="G754" s="10">
        <v>18963</v>
      </c>
      <c r="H754">
        <v>6.72</v>
      </c>
      <c r="I754" s="5">
        <f>ROUND(Marketing[[#This Row],[Clicks]]*Marketing[[#This Row],[Conversion_Rate]],0)</f>
        <v>9</v>
      </c>
      <c r="J754" s="12">
        <f>Marketing[[#This Row],[Campaign_Cost]]/Marketing[[#This Row],[Customers]]</f>
        <v>2107</v>
      </c>
      <c r="K754" t="s">
        <v>38</v>
      </c>
      <c r="L754" t="s">
        <v>33</v>
      </c>
      <c r="M754">
        <v>452</v>
      </c>
      <c r="N754">
        <v>6828</v>
      </c>
      <c r="O754">
        <v>7</v>
      </c>
      <c r="P754" t="s">
        <v>44</v>
      </c>
      <c r="Q754" s="1">
        <v>44219</v>
      </c>
    </row>
    <row r="755" spans="1:17" x14ac:dyDescent="0.3">
      <c r="A755" t="s">
        <v>22</v>
      </c>
      <c r="B755" t="s">
        <v>47</v>
      </c>
      <c r="C755" t="s">
        <v>16</v>
      </c>
      <c r="D755" t="s">
        <v>24</v>
      </c>
      <c r="E755" t="s">
        <v>15</v>
      </c>
      <c r="F755" s="9">
        <v>0.05</v>
      </c>
      <c r="G755" s="10">
        <v>12159</v>
      </c>
      <c r="H755">
        <v>5.39</v>
      </c>
      <c r="I755" s="5">
        <f>ROUND(Marketing[[#This Row],[Clicks]]*Marketing[[#This Row],[Conversion_Rate]],0)</f>
        <v>17</v>
      </c>
      <c r="J755" s="12">
        <f>Marketing[[#This Row],[Campaign_Cost]]/Marketing[[#This Row],[Customers]]</f>
        <v>715.23529411764707</v>
      </c>
      <c r="K755" t="s">
        <v>38</v>
      </c>
      <c r="L755" t="s">
        <v>33</v>
      </c>
      <c r="M755">
        <v>344</v>
      </c>
      <c r="N755">
        <v>7327</v>
      </c>
      <c r="O755">
        <v>5</v>
      </c>
      <c r="P755" t="s">
        <v>44</v>
      </c>
      <c r="Q755" s="1">
        <v>44220</v>
      </c>
    </row>
    <row r="756" spans="1:17" x14ac:dyDescent="0.3">
      <c r="A756" t="s">
        <v>49</v>
      </c>
      <c r="B756" t="s">
        <v>29</v>
      </c>
      <c r="C756" t="s">
        <v>23</v>
      </c>
      <c r="D756" t="s">
        <v>24</v>
      </c>
      <c r="E756" t="s">
        <v>15</v>
      </c>
      <c r="F756" s="9">
        <v>0.09</v>
      </c>
      <c r="G756" s="10">
        <v>15039</v>
      </c>
      <c r="H756">
        <v>3.66</v>
      </c>
      <c r="I756" s="5">
        <f>ROUND(Marketing[[#This Row],[Clicks]]*Marketing[[#This Row],[Conversion_Rate]],0)</f>
        <v>61</v>
      </c>
      <c r="J756" s="12">
        <f>Marketing[[#This Row],[Campaign_Cost]]/Marketing[[#This Row],[Customers]]</f>
        <v>246.54098360655738</v>
      </c>
      <c r="K756" t="s">
        <v>25</v>
      </c>
      <c r="L756" t="s">
        <v>20</v>
      </c>
      <c r="M756">
        <v>679</v>
      </c>
      <c r="N756">
        <v>6655</v>
      </c>
      <c r="O756">
        <v>3</v>
      </c>
      <c r="P756" t="s">
        <v>44</v>
      </c>
      <c r="Q756" s="1">
        <v>44221</v>
      </c>
    </row>
    <row r="757" spans="1:17" x14ac:dyDescent="0.3">
      <c r="A757" t="s">
        <v>28</v>
      </c>
      <c r="B757" t="s">
        <v>47</v>
      </c>
      <c r="C757" t="s">
        <v>23</v>
      </c>
      <c r="D757" t="s">
        <v>46</v>
      </c>
      <c r="E757" t="s">
        <v>31</v>
      </c>
      <c r="F757" s="9">
        <v>0.04</v>
      </c>
      <c r="G757" s="10">
        <v>7113</v>
      </c>
      <c r="H757">
        <v>4.29</v>
      </c>
      <c r="I757" s="5">
        <f>ROUND(Marketing[[#This Row],[Clicks]]*Marketing[[#This Row],[Conversion_Rate]],0)</f>
        <v>11</v>
      </c>
      <c r="J757" s="12">
        <f>Marketing[[#This Row],[Campaign_Cost]]/Marketing[[#This Row],[Customers]]</f>
        <v>646.63636363636363</v>
      </c>
      <c r="K757" t="s">
        <v>32</v>
      </c>
      <c r="L757" t="s">
        <v>20</v>
      </c>
      <c r="M757">
        <v>268</v>
      </c>
      <c r="N757">
        <v>4346</v>
      </c>
      <c r="O757">
        <v>4</v>
      </c>
      <c r="P757" t="s">
        <v>42</v>
      </c>
      <c r="Q757" s="1">
        <v>44222</v>
      </c>
    </row>
    <row r="758" spans="1:17" x14ac:dyDescent="0.3">
      <c r="A758" t="s">
        <v>35</v>
      </c>
      <c r="B758" t="s">
        <v>36</v>
      </c>
      <c r="C758" t="s">
        <v>52</v>
      </c>
      <c r="D758" t="s">
        <v>24</v>
      </c>
      <c r="E758" t="s">
        <v>15</v>
      </c>
      <c r="F758" s="9">
        <v>0.12</v>
      </c>
      <c r="G758" s="10">
        <v>13504</v>
      </c>
      <c r="H758">
        <v>2.0099999999999998</v>
      </c>
      <c r="I758" s="5">
        <f>ROUND(Marketing[[#This Row],[Clicks]]*Marketing[[#This Row],[Conversion_Rate]],0)</f>
        <v>67</v>
      </c>
      <c r="J758" s="12">
        <f>Marketing[[#This Row],[Campaign_Cost]]/Marketing[[#This Row],[Customers]]</f>
        <v>201.55223880597015</v>
      </c>
      <c r="K758" t="s">
        <v>25</v>
      </c>
      <c r="L758" t="s">
        <v>26</v>
      </c>
      <c r="M758">
        <v>561</v>
      </c>
      <c r="N758">
        <v>4474</v>
      </c>
      <c r="O758">
        <v>7</v>
      </c>
      <c r="P758" t="s">
        <v>21</v>
      </c>
      <c r="Q758" s="1">
        <v>44223</v>
      </c>
    </row>
    <row r="759" spans="1:17" x14ac:dyDescent="0.3">
      <c r="A759" t="s">
        <v>35</v>
      </c>
      <c r="B759" t="s">
        <v>29</v>
      </c>
      <c r="C759" t="s">
        <v>23</v>
      </c>
      <c r="D759" t="s">
        <v>40</v>
      </c>
      <c r="E759" t="s">
        <v>31</v>
      </c>
      <c r="F759" s="9">
        <v>0.03</v>
      </c>
      <c r="G759" s="10">
        <v>5475</v>
      </c>
      <c r="H759">
        <v>5.65</v>
      </c>
      <c r="I759" s="5">
        <f>ROUND(Marketing[[#This Row],[Clicks]]*Marketing[[#This Row],[Conversion_Rate]],0)</f>
        <v>8</v>
      </c>
      <c r="J759" s="12">
        <f>Marketing[[#This Row],[Campaign_Cost]]/Marketing[[#This Row],[Customers]]</f>
        <v>684.375</v>
      </c>
      <c r="K759" t="s">
        <v>19</v>
      </c>
      <c r="L759" t="s">
        <v>26</v>
      </c>
      <c r="M759">
        <v>265</v>
      </c>
      <c r="N759">
        <v>7782</v>
      </c>
      <c r="O759">
        <v>3</v>
      </c>
      <c r="P759" t="s">
        <v>21</v>
      </c>
      <c r="Q759" s="1">
        <v>44224</v>
      </c>
    </row>
    <row r="760" spans="1:17" x14ac:dyDescent="0.3">
      <c r="A760" t="s">
        <v>14</v>
      </c>
      <c r="B760" t="s">
        <v>15</v>
      </c>
      <c r="C760" t="s">
        <v>37</v>
      </c>
      <c r="D760" t="s">
        <v>46</v>
      </c>
      <c r="E760" t="s">
        <v>43</v>
      </c>
      <c r="F760" s="9">
        <v>0.04</v>
      </c>
      <c r="G760" s="10">
        <v>12252</v>
      </c>
      <c r="H760">
        <v>7.84</v>
      </c>
      <c r="I760" s="5">
        <f>ROUND(Marketing[[#This Row],[Clicks]]*Marketing[[#This Row],[Conversion_Rate]],0)</f>
        <v>33</v>
      </c>
      <c r="J760" s="12">
        <f>Marketing[[#This Row],[Campaign_Cost]]/Marketing[[#This Row],[Customers]]</f>
        <v>371.27272727272725</v>
      </c>
      <c r="K760" t="s">
        <v>19</v>
      </c>
      <c r="L760" t="s">
        <v>33</v>
      </c>
      <c r="M760">
        <v>816</v>
      </c>
      <c r="N760">
        <v>4036</v>
      </c>
      <c r="O760">
        <v>10</v>
      </c>
      <c r="P760" t="s">
        <v>34</v>
      </c>
      <c r="Q760" s="1">
        <v>44225</v>
      </c>
    </row>
    <row r="761" spans="1:17" x14ac:dyDescent="0.3">
      <c r="A761" t="s">
        <v>14</v>
      </c>
      <c r="B761" t="s">
        <v>36</v>
      </c>
      <c r="C761" t="s">
        <v>23</v>
      </c>
      <c r="D761" t="s">
        <v>40</v>
      </c>
      <c r="E761" t="s">
        <v>15</v>
      </c>
      <c r="F761" s="9">
        <v>0.14000000000000001</v>
      </c>
      <c r="G761" s="10">
        <v>5708</v>
      </c>
      <c r="H761">
        <v>6.73</v>
      </c>
      <c r="I761" s="5">
        <f>ROUND(Marketing[[#This Row],[Clicks]]*Marketing[[#This Row],[Conversion_Rate]],0)</f>
        <v>85</v>
      </c>
      <c r="J761" s="12">
        <f>Marketing[[#This Row],[Campaign_Cost]]/Marketing[[#This Row],[Customers]]</f>
        <v>67.152941176470591</v>
      </c>
      <c r="K761" t="s">
        <v>19</v>
      </c>
      <c r="L761" t="s">
        <v>33</v>
      </c>
      <c r="M761">
        <v>606</v>
      </c>
      <c r="N761">
        <v>1545</v>
      </c>
      <c r="O761">
        <v>10</v>
      </c>
      <c r="P761" t="s">
        <v>34</v>
      </c>
      <c r="Q761" s="1">
        <v>44226</v>
      </c>
    </row>
    <row r="762" spans="1:17" x14ac:dyDescent="0.3">
      <c r="A762" t="s">
        <v>28</v>
      </c>
      <c r="B762" t="s">
        <v>15</v>
      </c>
      <c r="C762" t="s">
        <v>23</v>
      </c>
      <c r="D762" t="s">
        <v>17</v>
      </c>
      <c r="E762" t="s">
        <v>31</v>
      </c>
      <c r="F762" s="9">
        <v>0.12</v>
      </c>
      <c r="G762" s="10">
        <v>11148</v>
      </c>
      <c r="H762">
        <v>3.2</v>
      </c>
      <c r="I762" s="5">
        <f>ROUND(Marketing[[#This Row],[Clicks]]*Marketing[[#This Row],[Conversion_Rate]],0)</f>
        <v>72</v>
      </c>
      <c r="J762" s="12">
        <f>Marketing[[#This Row],[Campaign_Cost]]/Marketing[[#This Row],[Customers]]</f>
        <v>154.83333333333334</v>
      </c>
      <c r="K762" t="s">
        <v>51</v>
      </c>
      <c r="L762" t="s">
        <v>33</v>
      </c>
      <c r="M762">
        <v>602</v>
      </c>
      <c r="N762">
        <v>1014</v>
      </c>
      <c r="O762">
        <v>1</v>
      </c>
      <c r="P762" t="s">
        <v>42</v>
      </c>
      <c r="Q762" s="1">
        <v>44227</v>
      </c>
    </row>
    <row r="763" spans="1:17" x14ac:dyDescent="0.3">
      <c r="A763" t="s">
        <v>14</v>
      </c>
      <c r="B763" t="s">
        <v>36</v>
      </c>
      <c r="C763" t="s">
        <v>37</v>
      </c>
      <c r="D763" t="s">
        <v>17</v>
      </c>
      <c r="E763" t="s">
        <v>18</v>
      </c>
      <c r="F763" s="9">
        <v>7.0000000000000007E-2</v>
      </c>
      <c r="G763" s="10">
        <v>13061</v>
      </c>
      <c r="H763">
        <v>2.54</v>
      </c>
      <c r="I763" s="5">
        <f>ROUND(Marketing[[#This Row],[Clicks]]*Marketing[[#This Row],[Conversion_Rate]],0)</f>
        <v>32</v>
      </c>
      <c r="J763" s="12">
        <f>Marketing[[#This Row],[Campaign_Cost]]/Marketing[[#This Row],[Customers]]</f>
        <v>408.15625</v>
      </c>
      <c r="K763" t="s">
        <v>25</v>
      </c>
      <c r="L763" t="s">
        <v>33</v>
      </c>
      <c r="M763">
        <v>452</v>
      </c>
      <c r="N763">
        <v>3613</v>
      </c>
      <c r="O763">
        <v>9</v>
      </c>
      <c r="P763" t="s">
        <v>42</v>
      </c>
      <c r="Q763" s="1">
        <v>44228</v>
      </c>
    </row>
    <row r="764" spans="1:17" x14ac:dyDescent="0.3">
      <c r="A764" t="s">
        <v>35</v>
      </c>
      <c r="B764" t="s">
        <v>45</v>
      </c>
      <c r="C764" t="s">
        <v>37</v>
      </c>
      <c r="D764" t="s">
        <v>46</v>
      </c>
      <c r="E764" t="s">
        <v>31</v>
      </c>
      <c r="F764" s="9">
        <v>0.12</v>
      </c>
      <c r="G764" s="10">
        <v>10573</v>
      </c>
      <c r="H764">
        <v>2.78</v>
      </c>
      <c r="I764" s="5">
        <f>ROUND(Marketing[[#This Row],[Clicks]]*Marketing[[#This Row],[Conversion_Rate]],0)</f>
        <v>26</v>
      </c>
      <c r="J764" s="12">
        <f>Marketing[[#This Row],[Campaign_Cost]]/Marketing[[#This Row],[Customers]]</f>
        <v>406.65384615384613</v>
      </c>
      <c r="K764" t="s">
        <v>38</v>
      </c>
      <c r="L764" t="s">
        <v>33</v>
      </c>
      <c r="M764">
        <v>217</v>
      </c>
      <c r="N764">
        <v>3794</v>
      </c>
      <c r="O764">
        <v>8</v>
      </c>
      <c r="P764" t="s">
        <v>27</v>
      </c>
      <c r="Q764" s="1">
        <v>44229</v>
      </c>
    </row>
    <row r="765" spans="1:17" x14ac:dyDescent="0.3">
      <c r="A765" t="s">
        <v>14</v>
      </c>
      <c r="B765" t="s">
        <v>29</v>
      </c>
      <c r="C765" t="s">
        <v>37</v>
      </c>
      <c r="D765" t="s">
        <v>40</v>
      </c>
      <c r="E765" t="s">
        <v>41</v>
      </c>
      <c r="F765" s="9">
        <v>0.06</v>
      </c>
      <c r="G765" s="10">
        <v>9575</v>
      </c>
      <c r="H765">
        <v>3.52</v>
      </c>
      <c r="I765" s="5">
        <f>ROUND(Marketing[[#This Row],[Clicks]]*Marketing[[#This Row],[Conversion_Rate]],0)</f>
        <v>10</v>
      </c>
      <c r="J765" s="12">
        <f>Marketing[[#This Row],[Campaign_Cost]]/Marketing[[#This Row],[Customers]]</f>
        <v>957.5</v>
      </c>
      <c r="K765" t="s">
        <v>38</v>
      </c>
      <c r="L765" t="s">
        <v>50</v>
      </c>
      <c r="M765">
        <v>162</v>
      </c>
      <c r="N765">
        <v>4208</v>
      </c>
      <c r="O765">
        <v>2</v>
      </c>
      <c r="P765" t="s">
        <v>34</v>
      </c>
      <c r="Q765" s="1">
        <v>44230</v>
      </c>
    </row>
    <row r="766" spans="1:17" x14ac:dyDescent="0.3">
      <c r="A766" t="s">
        <v>22</v>
      </c>
      <c r="B766" t="s">
        <v>29</v>
      </c>
      <c r="C766" t="s">
        <v>30</v>
      </c>
      <c r="D766" t="s">
        <v>46</v>
      </c>
      <c r="E766" t="s">
        <v>15</v>
      </c>
      <c r="F766" s="9">
        <v>0.09</v>
      </c>
      <c r="G766" s="10">
        <v>8008</v>
      </c>
      <c r="H766">
        <v>5.33</v>
      </c>
      <c r="I766" s="5">
        <f>ROUND(Marketing[[#This Row],[Clicks]]*Marketing[[#This Row],[Conversion_Rate]],0)</f>
        <v>56</v>
      </c>
      <c r="J766" s="12">
        <f>Marketing[[#This Row],[Campaign_Cost]]/Marketing[[#This Row],[Customers]]</f>
        <v>143</v>
      </c>
      <c r="K766" t="s">
        <v>38</v>
      </c>
      <c r="L766" t="s">
        <v>26</v>
      </c>
      <c r="M766">
        <v>623</v>
      </c>
      <c r="N766">
        <v>3711</v>
      </c>
      <c r="O766">
        <v>8</v>
      </c>
      <c r="P766" t="s">
        <v>42</v>
      </c>
      <c r="Q766" s="1">
        <v>44231</v>
      </c>
    </row>
    <row r="767" spans="1:17" x14ac:dyDescent="0.3">
      <c r="A767" t="s">
        <v>35</v>
      </c>
      <c r="B767" t="s">
        <v>15</v>
      </c>
      <c r="C767" t="s">
        <v>37</v>
      </c>
      <c r="D767" t="s">
        <v>24</v>
      </c>
      <c r="E767" t="s">
        <v>48</v>
      </c>
      <c r="F767" s="9">
        <v>0.03</v>
      </c>
      <c r="G767" s="10">
        <v>16287</v>
      </c>
      <c r="H767">
        <v>6.86</v>
      </c>
      <c r="I767" s="5">
        <f>ROUND(Marketing[[#This Row],[Clicks]]*Marketing[[#This Row],[Conversion_Rate]],0)</f>
        <v>11</v>
      </c>
      <c r="J767" s="12">
        <f>Marketing[[#This Row],[Campaign_Cost]]/Marketing[[#This Row],[Customers]]</f>
        <v>1480.6363636363637</v>
      </c>
      <c r="K767" t="s">
        <v>38</v>
      </c>
      <c r="L767" t="s">
        <v>50</v>
      </c>
      <c r="M767">
        <v>372</v>
      </c>
      <c r="N767">
        <v>9861</v>
      </c>
      <c r="O767">
        <v>8</v>
      </c>
      <c r="P767" t="s">
        <v>27</v>
      </c>
      <c r="Q767" s="1">
        <v>44232</v>
      </c>
    </row>
    <row r="768" spans="1:17" x14ac:dyDescent="0.3">
      <c r="A768" t="s">
        <v>35</v>
      </c>
      <c r="B768" t="s">
        <v>36</v>
      </c>
      <c r="C768" t="s">
        <v>16</v>
      </c>
      <c r="D768" t="s">
        <v>17</v>
      </c>
      <c r="E768" t="s">
        <v>18</v>
      </c>
      <c r="F768" s="9">
        <v>0.13</v>
      </c>
      <c r="G768" s="10">
        <v>11570</v>
      </c>
      <c r="H768">
        <v>5.99</v>
      </c>
      <c r="I768" s="5">
        <f>ROUND(Marketing[[#This Row],[Clicks]]*Marketing[[#This Row],[Conversion_Rate]],0)</f>
        <v>65</v>
      </c>
      <c r="J768" s="12">
        <f>Marketing[[#This Row],[Campaign_Cost]]/Marketing[[#This Row],[Customers]]</f>
        <v>178</v>
      </c>
      <c r="K768" t="s">
        <v>19</v>
      </c>
      <c r="L768" t="s">
        <v>39</v>
      </c>
      <c r="M768">
        <v>502</v>
      </c>
      <c r="N768">
        <v>2301</v>
      </c>
      <c r="O768">
        <v>7</v>
      </c>
      <c r="P768" t="s">
        <v>21</v>
      </c>
      <c r="Q768" s="1">
        <v>44233</v>
      </c>
    </row>
    <row r="769" spans="1:17" x14ac:dyDescent="0.3">
      <c r="A769" t="s">
        <v>14</v>
      </c>
      <c r="B769" t="s">
        <v>29</v>
      </c>
      <c r="C769" t="s">
        <v>37</v>
      </c>
      <c r="D769" t="s">
        <v>40</v>
      </c>
      <c r="E769" t="s">
        <v>31</v>
      </c>
      <c r="F769" s="9">
        <v>0.03</v>
      </c>
      <c r="G769" s="10">
        <v>8166</v>
      </c>
      <c r="H769">
        <v>4.4800000000000004</v>
      </c>
      <c r="I769" s="5">
        <f>ROUND(Marketing[[#This Row],[Clicks]]*Marketing[[#This Row],[Conversion_Rate]],0)</f>
        <v>9</v>
      </c>
      <c r="J769" s="12">
        <f>Marketing[[#This Row],[Campaign_Cost]]/Marketing[[#This Row],[Customers]]</f>
        <v>907.33333333333337</v>
      </c>
      <c r="K769" t="s">
        <v>38</v>
      </c>
      <c r="L769" t="s">
        <v>50</v>
      </c>
      <c r="M769">
        <v>300</v>
      </c>
      <c r="N769">
        <v>9023</v>
      </c>
      <c r="O769">
        <v>3</v>
      </c>
      <c r="P769" t="s">
        <v>44</v>
      </c>
      <c r="Q769" s="1">
        <v>44234</v>
      </c>
    </row>
    <row r="770" spans="1:17" x14ac:dyDescent="0.3">
      <c r="A770" t="s">
        <v>14</v>
      </c>
      <c r="B770" t="s">
        <v>29</v>
      </c>
      <c r="C770" t="s">
        <v>30</v>
      </c>
      <c r="D770" t="s">
        <v>46</v>
      </c>
      <c r="E770" t="s">
        <v>15</v>
      </c>
      <c r="F770" s="9">
        <v>0.06</v>
      </c>
      <c r="G770" s="10">
        <v>13683</v>
      </c>
      <c r="H770">
        <v>4.2699999999999996</v>
      </c>
      <c r="I770" s="5">
        <f>ROUND(Marketing[[#This Row],[Clicks]]*Marketing[[#This Row],[Conversion_Rate]],0)</f>
        <v>26</v>
      </c>
      <c r="J770" s="12">
        <f>Marketing[[#This Row],[Campaign_Cost]]/Marketing[[#This Row],[Customers]]</f>
        <v>526.26923076923072</v>
      </c>
      <c r="K770" t="s">
        <v>25</v>
      </c>
      <c r="L770" t="s">
        <v>33</v>
      </c>
      <c r="M770">
        <v>434</v>
      </c>
      <c r="N770">
        <v>4834</v>
      </c>
      <c r="O770">
        <v>1</v>
      </c>
      <c r="P770" t="s">
        <v>34</v>
      </c>
      <c r="Q770" s="1">
        <v>44235</v>
      </c>
    </row>
    <row r="771" spans="1:17" x14ac:dyDescent="0.3">
      <c r="A771" t="s">
        <v>22</v>
      </c>
      <c r="B771" t="s">
        <v>29</v>
      </c>
      <c r="C771" t="s">
        <v>16</v>
      </c>
      <c r="D771" t="s">
        <v>17</v>
      </c>
      <c r="E771" t="s">
        <v>31</v>
      </c>
      <c r="F771" s="9">
        <v>0.09</v>
      </c>
      <c r="G771" s="10">
        <v>15917</v>
      </c>
      <c r="H771">
        <v>7.26</v>
      </c>
      <c r="I771" s="5">
        <f>ROUND(Marketing[[#This Row],[Clicks]]*Marketing[[#This Row],[Conversion_Rate]],0)</f>
        <v>45</v>
      </c>
      <c r="J771" s="12">
        <f>Marketing[[#This Row],[Campaign_Cost]]/Marketing[[#This Row],[Customers]]</f>
        <v>353.71111111111111</v>
      </c>
      <c r="K771" t="s">
        <v>51</v>
      </c>
      <c r="L771" t="s">
        <v>20</v>
      </c>
      <c r="M771">
        <v>502</v>
      </c>
      <c r="N771">
        <v>1773</v>
      </c>
      <c r="O771">
        <v>2</v>
      </c>
      <c r="P771" t="s">
        <v>42</v>
      </c>
      <c r="Q771" s="1">
        <v>44236</v>
      </c>
    </row>
    <row r="772" spans="1:17" x14ac:dyDescent="0.3">
      <c r="A772" t="s">
        <v>22</v>
      </c>
      <c r="B772" t="s">
        <v>45</v>
      </c>
      <c r="C772" t="s">
        <v>23</v>
      </c>
      <c r="D772" t="s">
        <v>40</v>
      </c>
      <c r="E772" t="s">
        <v>31</v>
      </c>
      <c r="F772" s="9">
        <v>0.08</v>
      </c>
      <c r="G772" s="10">
        <v>8459</v>
      </c>
      <c r="H772">
        <v>3.25</v>
      </c>
      <c r="I772" s="5">
        <f>ROUND(Marketing[[#This Row],[Clicks]]*Marketing[[#This Row],[Conversion_Rate]],0)</f>
        <v>27</v>
      </c>
      <c r="J772" s="12">
        <f>Marketing[[#This Row],[Campaign_Cost]]/Marketing[[#This Row],[Customers]]</f>
        <v>313.2962962962963</v>
      </c>
      <c r="K772" t="s">
        <v>25</v>
      </c>
      <c r="L772" t="s">
        <v>33</v>
      </c>
      <c r="M772">
        <v>332</v>
      </c>
      <c r="N772">
        <v>7047</v>
      </c>
      <c r="O772">
        <v>2</v>
      </c>
      <c r="P772" t="s">
        <v>44</v>
      </c>
      <c r="Q772" s="1">
        <v>44237</v>
      </c>
    </row>
    <row r="773" spans="1:17" x14ac:dyDescent="0.3">
      <c r="A773" t="s">
        <v>28</v>
      </c>
      <c r="B773" t="s">
        <v>15</v>
      </c>
      <c r="C773" t="s">
        <v>23</v>
      </c>
      <c r="D773" t="s">
        <v>46</v>
      </c>
      <c r="E773" t="s">
        <v>41</v>
      </c>
      <c r="F773" s="9">
        <v>0.06</v>
      </c>
      <c r="G773" s="10">
        <v>16990</v>
      </c>
      <c r="H773">
        <v>7.18</v>
      </c>
      <c r="I773" s="5">
        <f>ROUND(Marketing[[#This Row],[Clicks]]*Marketing[[#This Row],[Conversion_Rate]],0)</f>
        <v>48</v>
      </c>
      <c r="J773" s="12">
        <f>Marketing[[#This Row],[Campaign_Cost]]/Marketing[[#This Row],[Customers]]</f>
        <v>353.95833333333331</v>
      </c>
      <c r="K773" t="s">
        <v>38</v>
      </c>
      <c r="L773" t="s">
        <v>20</v>
      </c>
      <c r="M773">
        <v>802</v>
      </c>
      <c r="N773">
        <v>9908</v>
      </c>
      <c r="O773">
        <v>5</v>
      </c>
      <c r="P773" t="s">
        <v>34</v>
      </c>
      <c r="Q773" s="1">
        <v>44238</v>
      </c>
    </row>
    <row r="774" spans="1:17" x14ac:dyDescent="0.3">
      <c r="A774" t="s">
        <v>28</v>
      </c>
      <c r="B774" t="s">
        <v>47</v>
      </c>
      <c r="C774" t="s">
        <v>37</v>
      </c>
      <c r="D774" t="s">
        <v>46</v>
      </c>
      <c r="E774" t="s">
        <v>31</v>
      </c>
      <c r="F774" s="9">
        <v>0.1</v>
      </c>
      <c r="G774" s="10">
        <v>19156</v>
      </c>
      <c r="H774">
        <v>5.65</v>
      </c>
      <c r="I774" s="5">
        <f>ROUND(Marketing[[#This Row],[Clicks]]*Marketing[[#This Row],[Conversion_Rate]],0)</f>
        <v>24</v>
      </c>
      <c r="J774" s="12">
        <f>Marketing[[#This Row],[Campaign_Cost]]/Marketing[[#This Row],[Customers]]</f>
        <v>798.16666666666663</v>
      </c>
      <c r="K774" t="s">
        <v>51</v>
      </c>
      <c r="L774" t="s">
        <v>50</v>
      </c>
      <c r="M774">
        <v>236</v>
      </c>
      <c r="N774">
        <v>3195</v>
      </c>
      <c r="O774">
        <v>3</v>
      </c>
      <c r="P774" t="s">
        <v>42</v>
      </c>
      <c r="Q774" s="1">
        <v>44239</v>
      </c>
    </row>
    <row r="775" spans="1:17" x14ac:dyDescent="0.3">
      <c r="A775" t="s">
        <v>22</v>
      </c>
      <c r="B775" t="s">
        <v>29</v>
      </c>
      <c r="C775" t="s">
        <v>52</v>
      </c>
      <c r="D775" t="s">
        <v>40</v>
      </c>
      <c r="E775" t="s">
        <v>31</v>
      </c>
      <c r="F775" s="9">
        <v>0.11</v>
      </c>
      <c r="G775" s="10">
        <v>5478</v>
      </c>
      <c r="H775">
        <v>4.12</v>
      </c>
      <c r="I775" s="5">
        <f>ROUND(Marketing[[#This Row],[Clicks]]*Marketing[[#This Row],[Conversion_Rate]],0)</f>
        <v>91</v>
      </c>
      <c r="J775" s="12">
        <f>Marketing[[#This Row],[Campaign_Cost]]/Marketing[[#This Row],[Customers]]</f>
        <v>60.197802197802197</v>
      </c>
      <c r="K775" t="s">
        <v>38</v>
      </c>
      <c r="L775" t="s">
        <v>26</v>
      </c>
      <c r="M775">
        <v>826</v>
      </c>
      <c r="N775">
        <v>5368</v>
      </c>
      <c r="O775">
        <v>6</v>
      </c>
      <c r="P775" t="s">
        <v>21</v>
      </c>
      <c r="Q775" s="1">
        <v>44240</v>
      </c>
    </row>
    <row r="776" spans="1:17" x14ac:dyDescent="0.3">
      <c r="A776" t="s">
        <v>28</v>
      </c>
      <c r="B776" t="s">
        <v>36</v>
      </c>
      <c r="C776" t="s">
        <v>23</v>
      </c>
      <c r="D776" t="s">
        <v>24</v>
      </c>
      <c r="E776" t="s">
        <v>31</v>
      </c>
      <c r="F776" s="9">
        <v>0.11</v>
      </c>
      <c r="G776" s="10">
        <v>14132</v>
      </c>
      <c r="H776">
        <v>5.76</v>
      </c>
      <c r="I776" s="5">
        <f>ROUND(Marketing[[#This Row],[Clicks]]*Marketing[[#This Row],[Conversion_Rate]],0)</f>
        <v>16</v>
      </c>
      <c r="J776" s="12">
        <f>Marketing[[#This Row],[Campaign_Cost]]/Marketing[[#This Row],[Customers]]</f>
        <v>883.25</v>
      </c>
      <c r="K776" t="s">
        <v>19</v>
      </c>
      <c r="L776" t="s">
        <v>26</v>
      </c>
      <c r="M776">
        <v>146</v>
      </c>
      <c r="N776">
        <v>2864</v>
      </c>
      <c r="O776">
        <v>7</v>
      </c>
      <c r="P776" t="s">
        <v>21</v>
      </c>
      <c r="Q776" s="1">
        <v>44241</v>
      </c>
    </row>
    <row r="777" spans="1:17" x14ac:dyDescent="0.3">
      <c r="A777" t="s">
        <v>35</v>
      </c>
      <c r="B777" t="s">
        <v>45</v>
      </c>
      <c r="C777" t="s">
        <v>23</v>
      </c>
      <c r="D777" t="s">
        <v>40</v>
      </c>
      <c r="E777" t="s">
        <v>41</v>
      </c>
      <c r="F777" s="9">
        <v>0.1</v>
      </c>
      <c r="G777" s="10">
        <v>5217</v>
      </c>
      <c r="H777">
        <v>6.34</v>
      </c>
      <c r="I777" s="5">
        <f>ROUND(Marketing[[#This Row],[Clicks]]*Marketing[[#This Row],[Conversion_Rate]],0)</f>
        <v>40</v>
      </c>
      <c r="J777" s="12">
        <f>Marketing[[#This Row],[Campaign_Cost]]/Marketing[[#This Row],[Customers]]</f>
        <v>130.42500000000001</v>
      </c>
      <c r="K777" t="s">
        <v>51</v>
      </c>
      <c r="L777" t="s">
        <v>33</v>
      </c>
      <c r="M777">
        <v>398</v>
      </c>
      <c r="N777">
        <v>7812</v>
      </c>
      <c r="O777">
        <v>6</v>
      </c>
      <c r="P777" t="s">
        <v>42</v>
      </c>
      <c r="Q777" s="1">
        <v>44242</v>
      </c>
    </row>
    <row r="778" spans="1:17" x14ac:dyDescent="0.3">
      <c r="A778" t="s">
        <v>22</v>
      </c>
      <c r="B778" t="s">
        <v>47</v>
      </c>
      <c r="C778" t="s">
        <v>37</v>
      </c>
      <c r="D778" t="s">
        <v>17</v>
      </c>
      <c r="E778" t="s">
        <v>43</v>
      </c>
      <c r="F778" s="9">
        <v>0.11</v>
      </c>
      <c r="G778" s="10">
        <v>11990</v>
      </c>
      <c r="H778">
        <v>2.63</v>
      </c>
      <c r="I778" s="5">
        <f>ROUND(Marketing[[#This Row],[Clicks]]*Marketing[[#This Row],[Conversion_Rate]],0)</f>
        <v>42</v>
      </c>
      <c r="J778" s="12">
        <f>Marketing[[#This Row],[Campaign_Cost]]/Marketing[[#This Row],[Customers]]</f>
        <v>285.47619047619048</v>
      </c>
      <c r="K778" t="s">
        <v>38</v>
      </c>
      <c r="L778" t="s">
        <v>26</v>
      </c>
      <c r="M778">
        <v>382</v>
      </c>
      <c r="N778">
        <v>5589</v>
      </c>
      <c r="O778">
        <v>2</v>
      </c>
      <c r="P778" t="s">
        <v>42</v>
      </c>
      <c r="Q778" s="1">
        <v>44243</v>
      </c>
    </row>
    <row r="779" spans="1:17" x14ac:dyDescent="0.3">
      <c r="A779" t="s">
        <v>49</v>
      </c>
      <c r="B779" t="s">
        <v>47</v>
      </c>
      <c r="C779" t="s">
        <v>23</v>
      </c>
      <c r="D779" t="s">
        <v>46</v>
      </c>
      <c r="E779" t="s">
        <v>41</v>
      </c>
      <c r="F779" s="9">
        <v>0.04</v>
      </c>
      <c r="G779" s="10">
        <v>5156</v>
      </c>
      <c r="H779">
        <v>3.19</v>
      </c>
      <c r="I779" s="5">
        <f>ROUND(Marketing[[#This Row],[Clicks]]*Marketing[[#This Row],[Conversion_Rate]],0)</f>
        <v>20</v>
      </c>
      <c r="J779" s="12">
        <f>Marketing[[#This Row],[Campaign_Cost]]/Marketing[[#This Row],[Customers]]</f>
        <v>257.8</v>
      </c>
      <c r="K779" t="s">
        <v>32</v>
      </c>
      <c r="L779" t="s">
        <v>39</v>
      </c>
      <c r="M779">
        <v>492</v>
      </c>
      <c r="N779">
        <v>7687</v>
      </c>
      <c r="O779">
        <v>4</v>
      </c>
      <c r="P779" t="s">
        <v>44</v>
      </c>
      <c r="Q779" s="1">
        <v>44244</v>
      </c>
    </row>
    <row r="780" spans="1:17" x14ac:dyDescent="0.3">
      <c r="A780" t="s">
        <v>35</v>
      </c>
      <c r="B780" t="s">
        <v>15</v>
      </c>
      <c r="C780" t="s">
        <v>23</v>
      </c>
      <c r="D780" t="s">
        <v>40</v>
      </c>
      <c r="E780" t="s">
        <v>43</v>
      </c>
      <c r="F780" s="9">
        <v>0.05</v>
      </c>
      <c r="G780" s="10">
        <v>14399</v>
      </c>
      <c r="H780">
        <v>3.59</v>
      </c>
      <c r="I780" s="5">
        <f>ROUND(Marketing[[#This Row],[Clicks]]*Marketing[[#This Row],[Conversion_Rate]],0)</f>
        <v>31</v>
      </c>
      <c r="J780" s="12">
        <f>Marketing[[#This Row],[Campaign_Cost]]/Marketing[[#This Row],[Customers]]</f>
        <v>464.48387096774195</v>
      </c>
      <c r="K780" t="s">
        <v>19</v>
      </c>
      <c r="L780" t="s">
        <v>20</v>
      </c>
      <c r="M780">
        <v>619</v>
      </c>
      <c r="N780">
        <v>8791</v>
      </c>
      <c r="O780">
        <v>1</v>
      </c>
      <c r="P780" t="s">
        <v>42</v>
      </c>
      <c r="Q780" s="1">
        <v>44245</v>
      </c>
    </row>
    <row r="781" spans="1:17" x14ac:dyDescent="0.3">
      <c r="A781" t="s">
        <v>14</v>
      </c>
      <c r="B781" t="s">
        <v>36</v>
      </c>
      <c r="C781" t="s">
        <v>23</v>
      </c>
      <c r="D781" t="s">
        <v>24</v>
      </c>
      <c r="E781" t="s">
        <v>31</v>
      </c>
      <c r="F781" s="9">
        <v>0.06</v>
      </c>
      <c r="G781" s="10">
        <v>6232</v>
      </c>
      <c r="H781">
        <v>3.09</v>
      </c>
      <c r="I781" s="5">
        <f>ROUND(Marketing[[#This Row],[Clicks]]*Marketing[[#This Row],[Conversion_Rate]],0)</f>
        <v>40</v>
      </c>
      <c r="J781" s="12">
        <f>Marketing[[#This Row],[Campaign_Cost]]/Marketing[[#This Row],[Customers]]</f>
        <v>155.80000000000001</v>
      </c>
      <c r="K781" t="s">
        <v>38</v>
      </c>
      <c r="L781" t="s">
        <v>50</v>
      </c>
      <c r="M781">
        <v>660</v>
      </c>
      <c r="N781">
        <v>5207</v>
      </c>
      <c r="O781">
        <v>4</v>
      </c>
      <c r="P781" t="s">
        <v>21</v>
      </c>
      <c r="Q781" s="1">
        <v>44246</v>
      </c>
    </row>
    <row r="782" spans="1:17" x14ac:dyDescent="0.3">
      <c r="A782" t="s">
        <v>22</v>
      </c>
      <c r="B782" t="s">
        <v>36</v>
      </c>
      <c r="C782" t="s">
        <v>52</v>
      </c>
      <c r="D782" t="s">
        <v>40</v>
      </c>
      <c r="E782" t="s">
        <v>31</v>
      </c>
      <c r="F782" s="9">
        <v>0.02</v>
      </c>
      <c r="G782" s="10">
        <v>6782</v>
      </c>
      <c r="H782">
        <v>7.29</v>
      </c>
      <c r="I782" s="5">
        <f>ROUND(Marketing[[#This Row],[Clicks]]*Marketing[[#This Row],[Conversion_Rate]],0)</f>
        <v>5</v>
      </c>
      <c r="J782" s="12">
        <f>Marketing[[#This Row],[Campaign_Cost]]/Marketing[[#This Row],[Customers]]</f>
        <v>1356.4</v>
      </c>
      <c r="K782" t="s">
        <v>51</v>
      </c>
      <c r="L782" t="s">
        <v>33</v>
      </c>
      <c r="M782">
        <v>268</v>
      </c>
      <c r="N782">
        <v>5821</v>
      </c>
      <c r="O782">
        <v>3</v>
      </c>
      <c r="P782" t="s">
        <v>21</v>
      </c>
      <c r="Q782" s="1">
        <v>44247</v>
      </c>
    </row>
    <row r="783" spans="1:17" x14ac:dyDescent="0.3">
      <c r="A783" t="s">
        <v>28</v>
      </c>
      <c r="B783" t="s">
        <v>36</v>
      </c>
      <c r="C783" t="s">
        <v>37</v>
      </c>
      <c r="D783" t="s">
        <v>40</v>
      </c>
      <c r="E783" t="s">
        <v>15</v>
      </c>
      <c r="F783" s="9">
        <v>0.08</v>
      </c>
      <c r="G783" s="10">
        <v>5587</v>
      </c>
      <c r="H783">
        <v>7.87</v>
      </c>
      <c r="I783" s="5">
        <f>ROUND(Marketing[[#This Row],[Clicks]]*Marketing[[#This Row],[Conversion_Rate]],0)</f>
        <v>71</v>
      </c>
      <c r="J783" s="12">
        <f>Marketing[[#This Row],[Campaign_Cost]]/Marketing[[#This Row],[Customers]]</f>
        <v>78.690140845070417</v>
      </c>
      <c r="K783" t="s">
        <v>25</v>
      </c>
      <c r="L783" t="s">
        <v>20</v>
      </c>
      <c r="M783">
        <v>891</v>
      </c>
      <c r="N783">
        <v>4082</v>
      </c>
      <c r="O783">
        <v>7</v>
      </c>
      <c r="P783" t="s">
        <v>34</v>
      </c>
      <c r="Q783" s="1">
        <v>44248</v>
      </c>
    </row>
    <row r="784" spans="1:17" x14ac:dyDescent="0.3">
      <c r="A784" t="s">
        <v>14</v>
      </c>
      <c r="B784" t="s">
        <v>36</v>
      </c>
      <c r="C784" t="s">
        <v>52</v>
      </c>
      <c r="D784" t="s">
        <v>24</v>
      </c>
      <c r="E784" t="s">
        <v>31</v>
      </c>
      <c r="F784" s="9">
        <v>0.14000000000000001</v>
      </c>
      <c r="G784" s="10">
        <v>19025</v>
      </c>
      <c r="H784">
        <v>6.36</v>
      </c>
      <c r="I784" s="5">
        <f>ROUND(Marketing[[#This Row],[Clicks]]*Marketing[[#This Row],[Conversion_Rate]],0)</f>
        <v>84</v>
      </c>
      <c r="J784" s="12">
        <f>Marketing[[#This Row],[Campaign_Cost]]/Marketing[[#This Row],[Customers]]</f>
        <v>226.48809523809524</v>
      </c>
      <c r="K784" t="s">
        <v>38</v>
      </c>
      <c r="L784" t="s">
        <v>39</v>
      </c>
      <c r="M784">
        <v>599</v>
      </c>
      <c r="N784">
        <v>1174</v>
      </c>
      <c r="O784">
        <v>7</v>
      </c>
      <c r="P784" t="s">
        <v>21</v>
      </c>
      <c r="Q784" s="1">
        <v>44249</v>
      </c>
    </row>
    <row r="785" spans="1:17" x14ac:dyDescent="0.3">
      <c r="A785" t="s">
        <v>35</v>
      </c>
      <c r="B785" t="s">
        <v>45</v>
      </c>
      <c r="C785" t="s">
        <v>52</v>
      </c>
      <c r="D785" t="s">
        <v>17</v>
      </c>
      <c r="E785" t="s">
        <v>41</v>
      </c>
      <c r="F785" s="9">
        <v>0.02</v>
      </c>
      <c r="G785" s="10">
        <v>18273</v>
      </c>
      <c r="H785">
        <v>7.36</v>
      </c>
      <c r="I785" s="5">
        <f>ROUND(Marketing[[#This Row],[Clicks]]*Marketing[[#This Row],[Conversion_Rate]],0)</f>
        <v>13</v>
      </c>
      <c r="J785" s="12">
        <f>Marketing[[#This Row],[Campaign_Cost]]/Marketing[[#This Row],[Customers]]</f>
        <v>1405.6153846153845</v>
      </c>
      <c r="K785" t="s">
        <v>25</v>
      </c>
      <c r="L785" t="s">
        <v>50</v>
      </c>
      <c r="M785">
        <v>630</v>
      </c>
      <c r="N785">
        <v>8961</v>
      </c>
      <c r="O785">
        <v>6</v>
      </c>
      <c r="P785" t="s">
        <v>44</v>
      </c>
      <c r="Q785" s="1">
        <v>44250</v>
      </c>
    </row>
    <row r="786" spans="1:17" x14ac:dyDescent="0.3">
      <c r="A786" t="s">
        <v>28</v>
      </c>
      <c r="B786" t="s">
        <v>29</v>
      </c>
      <c r="C786" t="s">
        <v>23</v>
      </c>
      <c r="D786" t="s">
        <v>46</v>
      </c>
      <c r="E786" t="s">
        <v>18</v>
      </c>
      <c r="F786" s="9">
        <v>0.12</v>
      </c>
      <c r="G786" s="10">
        <v>6966</v>
      </c>
      <c r="H786">
        <v>2.33</v>
      </c>
      <c r="I786" s="5">
        <f>ROUND(Marketing[[#This Row],[Clicks]]*Marketing[[#This Row],[Conversion_Rate]],0)</f>
        <v>113</v>
      </c>
      <c r="J786" s="12">
        <f>Marketing[[#This Row],[Campaign_Cost]]/Marketing[[#This Row],[Customers]]</f>
        <v>61.646017699115042</v>
      </c>
      <c r="K786" t="s">
        <v>25</v>
      </c>
      <c r="L786" t="s">
        <v>50</v>
      </c>
      <c r="M786">
        <v>942</v>
      </c>
      <c r="N786">
        <v>9262</v>
      </c>
      <c r="O786">
        <v>5</v>
      </c>
      <c r="P786" t="s">
        <v>27</v>
      </c>
      <c r="Q786" s="1">
        <v>44251</v>
      </c>
    </row>
    <row r="787" spans="1:17" x14ac:dyDescent="0.3">
      <c r="A787" t="s">
        <v>14</v>
      </c>
      <c r="B787" t="s">
        <v>29</v>
      </c>
      <c r="C787" t="s">
        <v>30</v>
      </c>
      <c r="D787" t="s">
        <v>17</v>
      </c>
      <c r="E787" t="s">
        <v>31</v>
      </c>
      <c r="F787" s="9">
        <v>0.14000000000000001</v>
      </c>
      <c r="G787" s="10">
        <v>18318</v>
      </c>
      <c r="H787">
        <v>6.26</v>
      </c>
      <c r="I787" s="5">
        <f>ROUND(Marketing[[#This Row],[Clicks]]*Marketing[[#This Row],[Conversion_Rate]],0)</f>
        <v>37</v>
      </c>
      <c r="J787" s="12">
        <f>Marketing[[#This Row],[Campaign_Cost]]/Marketing[[#This Row],[Customers]]</f>
        <v>495.08108108108109</v>
      </c>
      <c r="K787" t="s">
        <v>32</v>
      </c>
      <c r="L787" t="s">
        <v>26</v>
      </c>
      <c r="M787">
        <v>266</v>
      </c>
      <c r="N787">
        <v>9860</v>
      </c>
      <c r="O787">
        <v>8</v>
      </c>
      <c r="P787" t="s">
        <v>44</v>
      </c>
      <c r="Q787" s="1">
        <v>44252</v>
      </c>
    </row>
    <row r="788" spans="1:17" x14ac:dyDescent="0.3">
      <c r="A788" t="s">
        <v>49</v>
      </c>
      <c r="B788" t="s">
        <v>36</v>
      </c>
      <c r="C788" t="s">
        <v>37</v>
      </c>
      <c r="D788" t="s">
        <v>24</v>
      </c>
      <c r="E788" t="s">
        <v>15</v>
      </c>
      <c r="F788" s="9">
        <v>0.05</v>
      </c>
      <c r="G788" s="10">
        <v>10627</v>
      </c>
      <c r="H788">
        <v>5.76</v>
      </c>
      <c r="I788" s="5">
        <f>ROUND(Marketing[[#This Row],[Clicks]]*Marketing[[#This Row],[Conversion_Rate]],0)</f>
        <v>33</v>
      </c>
      <c r="J788" s="12">
        <f>Marketing[[#This Row],[Campaign_Cost]]/Marketing[[#This Row],[Customers]]</f>
        <v>322.030303030303</v>
      </c>
      <c r="K788" t="s">
        <v>51</v>
      </c>
      <c r="L788" t="s">
        <v>39</v>
      </c>
      <c r="M788">
        <v>663</v>
      </c>
      <c r="N788">
        <v>4217</v>
      </c>
      <c r="O788">
        <v>2</v>
      </c>
      <c r="P788" t="s">
        <v>34</v>
      </c>
      <c r="Q788" s="1">
        <v>44253</v>
      </c>
    </row>
    <row r="789" spans="1:17" x14ac:dyDescent="0.3">
      <c r="A789" t="s">
        <v>14</v>
      </c>
      <c r="B789" t="s">
        <v>47</v>
      </c>
      <c r="C789" t="s">
        <v>16</v>
      </c>
      <c r="D789" t="s">
        <v>24</v>
      </c>
      <c r="E789" t="s">
        <v>41</v>
      </c>
      <c r="F789" s="9">
        <v>7.0000000000000007E-2</v>
      </c>
      <c r="G789" s="10">
        <v>7471</v>
      </c>
      <c r="H789">
        <v>4.1900000000000004</v>
      </c>
      <c r="I789" s="5">
        <f>ROUND(Marketing[[#This Row],[Clicks]]*Marketing[[#This Row],[Conversion_Rate]],0)</f>
        <v>30</v>
      </c>
      <c r="J789" s="12">
        <f>Marketing[[#This Row],[Campaign_Cost]]/Marketing[[#This Row],[Customers]]</f>
        <v>249.03333333333333</v>
      </c>
      <c r="K789" t="s">
        <v>38</v>
      </c>
      <c r="L789" t="s">
        <v>26</v>
      </c>
      <c r="M789">
        <v>423</v>
      </c>
      <c r="N789">
        <v>5776</v>
      </c>
      <c r="O789">
        <v>3</v>
      </c>
      <c r="P789" t="s">
        <v>21</v>
      </c>
      <c r="Q789" s="1">
        <v>44254</v>
      </c>
    </row>
    <row r="790" spans="1:17" x14ac:dyDescent="0.3">
      <c r="A790" t="s">
        <v>14</v>
      </c>
      <c r="B790" t="s">
        <v>45</v>
      </c>
      <c r="C790" t="s">
        <v>52</v>
      </c>
      <c r="D790" t="s">
        <v>46</v>
      </c>
      <c r="E790" t="s">
        <v>15</v>
      </c>
      <c r="F790" s="9">
        <v>7.0000000000000007E-2</v>
      </c>
      <c r="G790" s="10">
        <v>5973</v>
      </c>
      <c r="H790">
        <v>6.88</v>
      </c>
      <c r="I790" s="5">
        <f>ROUND(Marketing[[#This Row],[Clicks]]*Marketing[[#This Row],[Conversion_Rate]],0)</f>
        <v>20</v>
      </c>
      <c r="J790" s="12">
        <f>Marketing[[#This Row],[Campaign_Cost]]/Marketing[[#This Row],[Customers]]</f>
        <v>298.64999999999998</v>
      </c>
      <c r="K790" t="s">
        <v>51</v>
      </c>
      <c r="L790" t="s">
        <v>26</v>
      </c>
      <c r="M790">
        <v>287</v>
      </c>
      <c r="N790">
        <v>8737</v>
      </c>
      <c r="O790">
        <v>9</v>
      </c>
      <c r="P790" t="s">
        <v>21</v>
      </c>
      <c r="Q790" s="1">
        <v>44255</v>
      </c>
    </row>
    <row r="791" spans="1:17" x14ac:dyDescent="0.3">
      <c r="A791" t="s">
        <v>35</v>
      </c>
      <c r="B791" t="s">
        <v>45</v>
      </c>
      <c r="C791" t="s">
        <v>30</v>
      </c>
      <c r="D791" t="s">
        <v>46</v>
      </c>
      <c r="E791" t="s">
        <v>31</v>
      </c>
      <c r="F791" s="9">
        <v>0.05</v>
      </c>
      <c r="G791" s="10">
        <v>13069</v>
      </c>
      <c r="H791">
        <v>4.3099999999999996</v>
      </c>
      <c r="I791" s="5">
        <f>ROUND(Marketing[[#This Row],[Clicks]]*Marketing[[#This Row],[Conversion_Rate]],0)</f>
        <v>34</v>
      </c>
      <c r="J791" s="12">
        <f>Marketing[[#This Row],[Campaign_Cost]]/Marketing[[#This Row],[Customers]]</f>
        <v>384.38235294117646</v>
      </c>
      <c r="K791" t="s">
        <v>32</v>
      </c>
      <c r="L791" t="s">
        <v>39</v>
      </c>
      <c r="M791">
        <v>675</v>
      </c>
      <c r="N791">
        <v>4947</v>
      </c>
      <c r="O791">
        <v>7</v>
      </c>
      <c r="P791" t="s">
        <v>21</v>
      </c>
      <c r="Q791" s="1">
        <v>44256</v>
      </c>
    </row>
    <row r="792" spans="1:17" x14ac:dyDescent="0.3">
      <c r="A792" t="s">
        <v>28</v>
      </c>
      <c r="B792" t="s">
        <v>47</v>
      </c>
      <c r="C792" t="s">
        <v>52</v>
      </c>
      <c r="D792" t="s">
        <v>17</v>
      </c>
      <c r="E792" t="s">
        <v>43</v>
      </c>
      <c r="F792" s="9">
        <v>0.1</v>
      </c>
      <c r="G792" s="10">
        <v>17626</v>
      </c>
      <c r="H792">
        <v>7.38</v>
      </c>
      <c r="I792" s="5">
        <f>ROUND(Marketing[[#This Row],[Clicks]]*Marketing[[#This Row],[Conversion_Rate]],0)</f>
        <v>30</v>
      </c>
      <c r="J792" s="12">
        <f>Marketing[[#This Row],[Campaign_Cost]]/Marketing[[#This Row],[Customers]]</f>
        <v>587.5333333333333</v>
      </c>
      <c r="K792" t="s">
        <v>38</v>
      </c>
      <c r="L792" t="s">
        <v>50</v>
      </c>
      <c r="M792">
        <v>302</v>
      </c>
      <c r="N792">
        <v>6973</v>
      </c>
      <c r="O792">
        <v>2</v>
      </c>
      <c r="P792" t="s">
        <v>21</v>
      </c>
      <c r="Q792" s="1">
        <v>44257</v>
      </c>
    </row>
    <row r="793" spans="1:17" x14ac:dyDescent="0.3">
      <c r="A793" t="s">
        <v>22</v>
      </c>
      <c r="B793" t="s">
        <v>15</v>
      </c>
      <c r="C793" t="s">
        <v>16</v>
      </c>
      <c r="D793" t="s">
        <v>17</v>
      </c>
      <c r="E793" t="s">
        <v>18</v>
      </c>
      <c r="F793" s="9">
        <v>0.14000000000000001</v>
      </c>
      <c r="G793" s="10">
        <v>14320</v>
      </c>
      <c r="H793">
        <v>7.82</v>
      </c>
      <c r="I793" s="5">
        <f>ROUND(Marketing[[#This Row],[Clicks]]*Marketing[[#This Row],[Conversion_Rate]],0)</f>
        <v>18</v>
      </c>
      <c r="J793" s="12">
        <f>Marketing[[#This Row],[Campaign_Cost]]/Marketing[[#This Row],[Customers]]</f>
        <v>795.55555555555554</v>
      </c>
      <c r="K793" t="s">
        <v>51</v>
      </c>
      <c r="L793" t="s">
        <v>20</v>
      </c>
      <c r="M793">
        <v>129</v>
      </c>
      <c r="N793">
        <v>2025</v>
      </c>
      <c r="O793">
        <v>10</v>
      </c>
      <c r="P793" t="s">
        <v>21</v>
      </c>
      <c r="Q793" s="1">
        <v>44258</v>
      </c>
    </row>
    <row r="794" spans="1:17" x14ac:dyDescent="0.3">
      <c r="A794" t="s">
        <v>22</v>
      </c>
      <c r="B794" t="s">
        <v>47</v>
      </c>
      <c r="C794" t="s">
        <v>37</v>
      </c>
      <c r="D794" t="s">
        <v>40</v>
      </c>
      <c r="E794" t="s">
        <v>48</v>
      </c>
      <c r="F794" s="9">
        <v>0.06</v>
      </c>
      <c r="G794" s="10">
        <v>13065</v>
      </c>
      <c r="H794">
        <v>5.69</v>
      </c>
      <c r="I794" s="5">
        <f>ROUND(Marketing[[#This Row],[Clicks]]*Marketing[[#This Row],[Conversion_Rate]],0)</f>
        <v>59</v>
      </c>
      <c r="J794" s="12">
        <f>Marketing[[#This Row],[Campaign_Cost]]/Marketing[[#This Row],[Customers]]</f>
        <v>221.4406779661017</v>
      </c>
      <c r="K794" t="s">
        <v>51</v>
      </c>
      <c r="L794" t="s">
        <v>39</v>
      </c>
      <c r="M794">
        <v>978</v>
      </c>
      <c r="N794">
        <v>1617</v>
      </c>
      <c r="O794">
        <v>5</v>
      </c>
      <c r="P794" t="s">
        <v>34</v>
      </c>
      <c r="Q794" s="1">
        <v>44259</v>
      </c>
    </row>
    <row r="795" spans="1:17" x14ac:dyDescent="0.3">
      <c r="A795" t="s">
        <v>14</v>
      </c>
      <c r="B795" t="s">
        <v>36</v>
      </c>
      <c r="C795" t="s">
        <v>37</v>
      </c>
      <c r="D795" t="s">
        <v>24</v>
      </c>
      <c r="E795" t="s">
        <v>43</v>
      </c>
      <c r="F795" s="9">
        <v>0.12</v>
      </c>
      <c r="G795" s="10">
        <v>8877</v>
      </c>
      <c r="H795">
        <v>2.96</v>
      </c>
      <c r="I795" s="5">
        <f>ROUND(Marketing[[#This Row],[Clicks]]*Marketing[[#This Row],[Conversion_Rate]],0)</f>
        <v>47</v>
      </c>
      <c r="J795" s="12">
        <f>Marketing[[#This Row],[Campaign_Cost]]/Marketing[[#This Row],[Customers]]</f>
        <v>188.87234042553192</v>
      </c>
      <c r="K795" t="s">
        <v>19</v>
      </c>
      <c r="L795" t="s">
        <v>39</v>
      </c>
      <c r="M795">
        <v>389</v>
      </c>
      <c r="N795">
        <v>3772</v>
      </c>
      <c r="O795">
        <v>8</v>
      </c>
      <c r="P795" t="s">
        <v>42</v>
      </c>
      <c r="Q795" s="1">
        <v>44260</v>
      </c>
    </row>
    <row r="796" spans="1:17" x14ac:dyDescent="0.3">
      <c r="A796" t="s">
        <v>28</v>
      </c>
      <c r="B796" t="s">
        <v>45</v>
      </c>
      <c r="C796" t="s">
        <v>37</v>
      </c>
      <c r="D796" t="s">
        <v>24</v>
      </c>
      <c r="E796" t="s">
        <v>48</v>
      </c>
      <c r="F796" s="9">
        <v>0.13</v>
      </c>
      <c r="G796" s="10">
        <v>10485</v>
      </c>
      <c r="H796">
        <v>5.43</v>
      </c>
      <c r="I796" s="5">
        <f>ROUND(Marketing[[#This Row],[Clicks]]*Marketing[[#This Row],[Conversion_Rate]],0)</f>
        <v>107</v>
      </c>
      <c r="J796" s="12">
        <f>Marketing[[#This Row],[Campaign_Cost]]/Marketing[[#This Row],[Customers]]</f>
        <v>97.99065420560747</v>
      </c>
      <c r="K796" t="s">
        <v>51</v>
      </c>
      <c r="L796" t="s">
        <v>39</v>
      </c>
      <c r="M796">
        <v>826</v>
      </c>
      <c r="N796">
        <v>2286</v>
      </c>
      <c r="O796">
        <v>6</v>
      </c>
      <c r="P796" t="s">
        <v>42</v>
      </c>
      <c r="Q796" s="1">
        <v>44261</v>
      </c>
    </row>
    <row r="797" spans="1:17" x14ac:dyDescent="0.3">
      <c r="A797" t="s">
        <v>22</v>
      </c>
      <c r="B797" t="s">
        <v>36</v>
      </c>
      <c r="C797" t="s">
        <v>37</v>
      </c>
      <c r="D797" t="s">
        <v>17</v>
      </c>
      <c r="E797" t="s">
        <v>48</v>
      </c>
      <c r="F797" s="9">
        <v>0.13</v>
      </c>
      <c r="G797" s="10">
        <v>8079</v>
      </c>
      <c r="H797">
        <v>6.95</v>
      </c>
      <c r="I797" s="5">
        <f>ROUND(Marketing[[#This Row],[Clicks]]*Marketing[[#This Row],[Conversion_Rate]],0)</f>
        <v>119</v>
      </c>
      <c r="J797" s="12">
        <f>Marketing[[#This Row],[Campaign_Cost]]/Marketing[[#This Row],[Customers]]</f>
        <v>67.890756302521012</v>
      </c>
      <c r="K797" t="s">
        <v>38</v>
      </c>
      <c r="L797" t="s">
        <v>20</v>
      </c>
      <c r="M797">
        <v>912</v>
      </c>
      <c r="N797">
        <v>5938</v>
      </c>
      <c r="O797">
        <v>7</v>
      </c>
      <c r="P797" t="s">
        <v>44</v>
      </c>
      <c r="Q797" s="1">
        <v>44262</v>
      </c>
    </row>
    <row r="798" spans="1:17" x14ac:dyDescent="0.3">
      <c r="A798" t="s">
        <v>35</v>
      </c>
      <c r="B798" t="s">
        <v>29</v>
      </c>
      <c r="C798" t="s">
        <v>23</v>
      </c>
      <c r="D798" t="s">
        <v>17</v>
      </c>
      <c r="E798" t="s">
        <v>43</v>
      </c>
      <c r="F798" s="9">
        <v>0.12</v>
      </c>
      <c r="G798" s="10">
        <v>10897</v>
      </c>
      <c r="H798">
        <v>4.1500000000000004</v>
      </c>
      <c r="I798" s="5">
        <f>ROUND(Marketing[[#This Row],[Clicks]]*Marketing[[#This Row],[Conversion_Rate]],0)</f>
        <v>86</v>
      </c>
      <c r="J798" s="12">
        <f>Marketing[[#This Row],[Campaign_Cost]]/Marketing[[#This Row],[Customers]]</f>
        <v>126.70930232558139</v>
      </c>
      <c r="K798" t="s">
        <v>51</v>
      </c>
      <c r="L798" t="s">
        <v>33</v>
      </c>
      <c r="M798">
        <v>717</v>
      </c>
      <c r="N798">
        <v>7714</v>
      </c>
      <c r="O798">
        <v>8</v>
      </c>
      <c r="P798" t="s">
        <v>21</v>
      </c>
      <c r="Q798" s="1">
        <v>44263</v>
      </c>
    </row>
    <row r="799" spans="1:17" x14ac:dyDescent="0.3">
      <c r="A799" t="s">
        <v>35</v>
      </c>
      <c r="B799" t="s">
        <v>15</v>
      </c>
      <c r="C799" t="s">
        <v>23</v>
      </c>
      <c r="D799" t="s">
        <v>46</v>
      </c>
      <c r="E799" t="s">
        <v>43</v>
      </c>
      <c r="F799" s="9">
        <v>0.1</v>
      </c>
      <c r="G799" s="10">
        <v>15050</v>
      </c>
      <c r="H799">
        <v>2.64</v>
      </c>
      <c r="I799" s="5">
        <f>ROUND(Marketing[[#This Row],[Clicks]]*Marketing[[#This Row],[Conversion_Rate]],0)</f>
        <v>76</v>
      </c>
      <c r="J799" s="12">
        <f>Marketing[[#This Row],[Campaign_Cost]]/Marketing[[#This Row],[Customers]]</f>
        <v>198.02631578947367</v>
      </c>
      <c r="K799" t="s">
        <v>32</v>
      </c>
      <c r="L799" t="s">
        <v>20</v>
      </c>
      <c r="M799">
        <v>760</v>
      </c>
      <c r="N799">
        <v>3875</v>
      </c>
      <c r="O799">
        <v>1</v>
      </c>
      <c r="P799" t="s">
        <v>27</v>
      </c>
      <c r="Q799" s="1">
        <v>44264</v>
      </c>
    </row>
    <row r="800" spans="1:17" x14ac:dyDescent="0.3">
      <c r="A800" t="s">
        <v>35</v>
      </c>
      <c r="B800" t="s">
        <v>47</v>
      </c>
      <c r="C800" t="s">
        <v>52</v>
      </c>
      <c r="D800" t="s">
        <v>24</v>
      </c>
      <c r="E800" t="s">
        <v>18</v>
      </c>
      <c r="F800" s="9">
        <v>0.06</v>
      </c>
      <c r="G800" s="10">
        <v>15805</v>
      </c>
      <c r="H800">
        <v>4.41</v>
      </c>
      <c r="I800" s="5">
        <f>ROUND(Marketing[[#This Row],[Clicks]]*Marketing[[#This Row],[Conversion_Rate]],0)</f>
        <v>59</v>
      </c>
      <c r="J800" s="12">
        <f>Marketing[[#This Row],[Campaign_Cost]]/Marketing[[#This Row],[Customers]]</f>
        <v>267.88135593220341</v>
      </c>
      <c r="K800" t="s">
        <v>51</v>
      </c>
      <c r="L800" t="s">
        <v>20</v>
      </c>
      <c r="M800">
        <v>991</v>
      </c>
      <c r="N800">
        <v>2560</v>
      </c>
      <c r="O800">
        <v>8</v>
      </c>
      <c r="P800" t="s">
        <v>44</v>
      </c>
      <c r="Q800" s="1">
        <v>44265</v>
      </c>
    </row>
    <row r="801" spans="1:17" x14ac:dyDescent="0.3">
      <c r="A801" t="s">
        <v>49</v>
      </c>
      <c r="B801" t="s">
        <v>36</v>
      </c>
      <c r="C801" t="s">
        <v>37</v>
      </c>
      <c r="D801" t="s">
        <v>17</v>
      </c>
      <c r="E801" t="s">
        <v>31</v>
      </c>
      <c r="F801" s="9">
        <v>0.09</v>
      </c>
      <c r="G801" s="10">
        <v>10188</v>
      </c>
      <c r="H801">
        <v>3.12</v>
      </c>
      <c r="I801" s="5">
        <f>ROUND(Marketing[[#This Row],[Clicks]]*Marketing[[#This Row],[Conversion_Rate]],0)</f>
        <v>38</v>
      </c>
      <c r="J801" s="12">
        <f>Marketing[[#This Row],[Campaign_Cost]]/Marketing[[#This Row],[Customers]]</f>
        <v>268.10526315789474</v>
      </c>
      <c r="K801" t="s">
        <v>25</v>
      </c>
      <c r="L801" t="s">
        <v>39</v>
      </c>
      <c r="M801">
        <v>424</v>
      </c>
      <c r="N801">
        <v>5019</v>
      </c>
      <c r="O801">
        <v>4</v>
      </c>
      <c r="P801" t="s">
        <v>21</v>
      </c>
      <c r="Q801" s="1">
        <v>44266</v>
      </c>
    </row>
    <row r="802" spans="1:17" x14ac:dyDescent="0.3">
      <c r="A802" t="s">
        <v>35</v>
      </c>
      <c r="B802" t="s">
        <v>45</v>
      </c>
      <c r="C802" t="s">
        <v>52</v>
      </c>
      <c r="D802" t="s">
        <v>40</v>
      </c>
      <c r="E802" t="s">
        <v>31</v>
      </c>
      <c r="F802" s="9">
        <v>0.03</v>
      </c>
      <c r="G802" s="10">
        <v>5525</v>
      </c>
      <c r="H802">
        <v>4.49</v>
      </c>
      <c r="I802" s="5">
        <f>ROUND(Marketing[[#This Row],[Clicks]]*Marketing[[#This Row],[Conversion_Rate]],0)</f>
        <v>22</v>
      </c>
      <c r="J802" s="12">
        <f>Marketing[[#This Row],[Campaign_Cost]]/Marketing[[#This Row],[Customers]]</f>
        <v>251.13636363636363</v>
      </c>
      <c r="K802" t="s">
        <v>25</v>
      </c>
      <c r="L802" t="s">
        <v>20</v>
      </c>
      <c r="M802">
        <v>721</v>
      </c>
      <c r="N802">
        <v>5015</v>
      </c>
      <c r="O802">
        <v>4</v>
      </c>
      <c r="P802" t="s">
        <v>42</v>
      </c>
      <c r="Q802" s="1">
        <v>44267</v>
      </c>
    </row>
    <row r="803" spans="1:17" x14ac:dyDescent="0.3">
      <c r="A803" t="s">
        <v>49</v>
      </c>
      <c r="B803" t="s">
        <v>29</v>
      </c>
      <c r="C803" t="s">
        <v>16</v>
      </c>
      <c r="D803" t="s">
        <v>40</v>
      </c>
      <c r="E803" t="s">
        <v>48</v>
      </c>
      <c r="F803" s="9">
        <v>0.13</v>
      </c>
      <c r="G803" s="10">
        <v>7717</v>
      </c>
      <c r="H803">
        <v>3.45</v>
      </c>
      <c r="I803" s="5">
        <f>ROUND(Marketing[[#This Row],[Clicks]]*Marketing[[#This Row],[Conversion_Rate]],0)</f>
        <v>106</v>
      </c>
      <c r="J803" s="12">
        <f>Marketing[[#This Row],[Campaign_Cost]]/Marketing[[#This Row],[Customers]]</f>
        <v>72.801886792452834</v>
      </c>
      <c r="K803" t="s">
        <v>38</v>
      </c>
      <c r="L803" t="s">
        <v>20</v>
      </c>
      <c r="M803">
        <v>818</v>
      </c>
      <c r="N803">
        <v>1522</v>
      </c>
      <c r="O803">
        <v>8</v>
      </c>
      <c r="P803" t="s">
        <v>21</v>
      </c>
      <c r="Q803" s="1">
        <v>44268</v>
      </c>
    </row>
    <row r="804" spans="1:17" x14ac:dyDescent="0.3">
      <c r="A804" t="s">
        <v>49</v>
      </c>
      <c r="B804" t="s">
        <v>36</v>
      </c>
      <c r="C804" t="s">
        <v>23</v>
      </c>
      <c r="D804" t="s">
        <v>17</v>
      </c>
      <c r="E804" t="s">
        <v>41</v>
      </c>
      <c r="F804" s="9">
        <v>0.06</v>
      </c>
      <c r="G804" s="10">
        <v>12548</v>
      </c>
      <c r="H804">
        <v>7.65</v>
      </c>
      <c r="I804" s="5">
        <f>ROUND(Marketing[[#This Row],[Clicks]]*Marketing[[#This Row],[Conversion_Rate]],0)</f>
        <v>30</v>
      </c>
      <c r="J804" s="12">
        <f>Marketing[[#This Row],[Campaign_Cost]]/Marketing[[#This Row],[Customers]]</f>
        <v>418.26666666666665</v>
      </c>
      <c r="K804" t="s">
        <v>25</v>
      </c>
      <c r="L804" t="s">
        <v>50</v>
      </c>
      <c r="M804">
        <v>505</v>
      </c>
      <c r="N804">
        <v>6839</v>
      </c>
      <c r="O804">
        <v>1</v>
      </c>
      <c r="P804" t="s">
        <v>27</v>
      </c>
      <c r="Q804" s="1">
        <v>44269</v>
      </c>
    </row>
    <row r="805" spans="1:17" x14ac:dyDescent="0.3">
      <c r="A805" t="s">
        <v>22</v>
      </c>
      <c r="B805" t="s">
        <v>36</v>
      </c>
      <c r="C805" t="s">
        <v>52</v>
      </c>
      <c r="D805" t="s">
        <v>46</v>
      </c>
      <c r="E805" t="s">
        <v>41</v>
      </c>
      <c r="F805" s="9">
        <v>7.0000000000000007E-2</v>
      </c>
      <c r="G805" s="10">
        <v>15640</v>
      </c>
      <c r="H805">
        <v>5.01</v>
      </c>
      <c r="I805" s="5">
        <f>ROUND(Marketing[[#This Row],[Clicks]]*Marketing[[#This Row],[Conversion_Rate]],0)</f>
        <v>37</v>
      </c>
      <c r="J805" s="12">
        <f>Marketing[[#This Row],[Campaign_Cost]]/Marketing[[#This Row],[Customers]]</f>
        <v>422.70270270270271</v>
      </c>
      <c r="K805" t="s">
        <v>51</v>
      </c>
      <c r="L805" t="s">
        <v>33</v>
      </c>
      <c r="M805">
        <v>525</v>
      </c>
      <c r="N805">
        <v>6399</v>
      </c>
      <c r="O805">
        <v>7</v>
      </c>
      <c r="P805" t="s">
        <v>34</v>
      </c>
      <c r="Q805" s="1">
        <v>44270</v>
      </c>
    </row>
    <row r="806" spans="1:17" x14ac:dyDescent="0.3">
      <c r="A806" t="s">
        <v>49</v>
      </c>
      <c r="B806" t="s">
        <v>47</v>
      </c>
      <c r="C806" t="s">
        <v>23</v>
      </c>
      <c r="D806" t="s">
        <v>24</v>
      </c>
      <c r="E806" t="s">
        <v>31</v>
      </c>
      <c r="F806" s="9">
        <v>0.04</v>
      </c>
      <c r="G806" s="10">
        <v>10245</v>
      </c>
      <c r="H806">
        <v>7.82</v>
      </c>
      <c r="I806" s="5">
        <f>ROUND(Marketing[[#This Row],[Clicks]]*Marketing[[#This Row],[Conversion_Rate]],0)</f>
        <v>10</v>
      </c>
      <c r="J806" s="12">
        <f>Marketing[[#This Row],[Campaign_Cost]]/Marketing[[#This Row],[Customers]]</f>
        <v>1024.5</v>
      </c>
      <c r="K806" t="s">
        <v>19</v>
      </c>
      <c r="L806" t="s">
        <v>20</v>
      </c>
      <c r="M806">
        <v>252</v>
      </c>
      <c r="N806">
        <v>9223</v>
      </c>
      <c r="O806">
        <v>2</v>
      </c>
      <c r="P806" t="s">
        <v>44</v>
      </c>
      <c r="Q806" s="1">
        <v>44271</v>
      </c>
    </row>
    <row r="807" spans="1:17" x14ac:dyDescent="0.3">
      <c r="A807" t="s">
        <v>49</v>
      </c>
      <c r="B807" t="s">
        <v>36</v>
      </c>
      <c r="C807" t="s">
        <v>52</v>
      </c>
      <c r="D807" t="s">
        <v>46</v>
      </c>
      <c r="E807" t="s">
        <v>18</v>
      </c>
      <c r="F807" s="9">
        <v>0.13</v>
      </c>
      <c r="G807" s="10">
        <v>10458</v>
      </c>
      <c r="H807">
        <v>2.62</v>
      </c>
      <c r="I807" s="5">
        <f>ROUND(Marketing[[#This Row],[Clicks]]*Marketing[[#This Row],[Conversion_Rate]],0)</f>
        <v>27</v>
      </c>
      <c r="J807" s="12">
        <f>Marketing[[#This Row],[Campaign_Cost]]/Marketing[[#This Row],[Customers]]</f>
        <v>387.33333333333331</v>
      </c>
      <c r="K807" t="s">
        <v>51</v>
      </c>
      <c r="L807" t="s">
        <v>50</v>
      </c>
      <c r="M807">
        <v>205</v>
      </c>
      <c r="N807">
        <v>8675</v>
      </c>
      <c r="O807">
        <v>7</v>
      </c>
      <c r="P807" t="s">
        <v>34</v>
      </c>
      <c r="Q807" s="1">
        <v>44272</v>
      </c>
    </row>
    <row r="808" spans="1:17" x14ac:dyDescent="0.3">
      <c r="A808" t="s">
        <v>35</v>
      </c>
      <c r="B808" t="s">
        <v>15</v>
      </c>
      <c r="C808" t="s">
        <v>16</v>
      </c>
      <c r="D808" t="s">
        <v>40</v>
      </c>
      <c r="E808" t="s">
        <v>43</v>
      </c>
      <c r="F808" s="9">
        <v>0.05</v>
      </c>
      <c r="G808" s="10">
        <v>17431</v>
      </c>
      <c r="H808">
        <v>4.1399999999999997</v>
      </c>
      <c r="I808" s="5">
        <f>ROUND(Marketing[[#This Row],[Clicks]]*Marketing[[#This Row],[Conversion_Rate]],0)</f>
        <v>36</v>
      </c>
      <c r="J808" s="12">
        <f>Marketing[[#This Row],[Campaign_Cost]]/Marketing[[#This Row],[Customers]]</f>
        <v>484.19444444444446</v>
      </c>
      <c r="K808" t="s">
        <v>51</v>
      </c>
      <c r="L808" t="s">
        <v>26</v>
      </c>
      <c r="M808">
        <v>719</v>
      </c>
      <c r="N808">
        <v>2490</v>
      </c>
      <c r="O808">
        <v>5</v>
      </c>
      <c r="P808" t="s">
        <v>44</v>
      </c>
      <c r="Q808" s="1">
        <v>44273</v>
      </c>
    </row>
    <row r="809" spans="1:17" x14ac:dyDescent="0.3">
      <c r="A809" t="s">
        <v>28</v>
      </c>
      <c r="B809" t="s">
        <v>45</v>
      </c>
      <c r="C809" t="s">
        <v>37</v>
      </c>
      <c r="D809" t="s">
        <v>40</v>
      </c>
      <c r="E809" t="s">
        <v>41</v>
      </c>
      <c r="F809" s="9">
        <v>0.06</v>
      </c>
      <c r="G809" s="10">
        <v>18644</v>
      </c>
      <c r="H809">
        <v>5.54</v>
      </c>
      <c r="I809" s="5">
        <f>ROUND(Marketing[[#This Row],[Clicks]]*Marketing[[#This Row],[Conversion_Rate]],0)</f>
        <v>18</v>
      </c>
      <c r="J809" s="12">
        <f>Marketing[[#This Row],[Campaign_Cost]]/Marketing[[#This Row],[Customers]]</f>
        <v>1035.7777777777778</v>
      </c>
      <c r="K809" t="s">
        <v>19</v>
      </c>
      <c r="L809" t="s">
        <v>50</v>
      </c>
      <c r="M809">
        <v>302</v>
      </c>
      <c r="N809">
        <v>9918</v>
      </c>
      <c r="O809">
        <v>7</v>
      </c>
      <c r="P809" t="s">
        <v>34</v>
      </c>
      <c r="Q809" s="1">
        <v>44274</v>
      </c>
    </row>
    <row r="810" spans="1:17" x14ac:dyDescent="0.3">
      <c r="A810" t="s">
        <v>22</v>
      </c>
      <c r="B810" t="s">
        <v>45</v>
      </c>
      <c r="C810" t="s">
        <v>52</v>
      </c>
      <c r="D810" t="s">
        <v>40</v>
      </c>
      <c r="E810" t="s">
        <v>41</v>
      </c>
      <c r="F810" s="9">
        <v>0.01</v>
      </c>
      <c r="G810" s="10">
        <v>11587</v>
      </c>
      <c r="H810">
        <v>4.2699999999999996</v>
      </c>
      <c r="I810" s="5">
        <f>ROUND(Marketing[[#This Row],[Clicks]]*Marketing[[#This Row],[Conversion_Rate]],0)</f>
        <v>3</v>
      </c>
      <c r="J810" s="12">
        <f>Marketing[[#This Row],[Campaign_Cost]]/Marketing[[#This Row],[Customers]]</f>
        <v>3862.3333333333335</v>
      </c>
      <c r="K810" t="s">
        <v>25</v>
      </c>
      <c r="L810" t="s">
        <v>20</v>
      </c>
      <c r="M810">
        <v>340</v>
      </c>
      <c r="N810">
        <v>9548</v>
      </c>
      <c r="O810">
        <v>9</v>
      </c>
      <c r="P810" t="s">
        <v>44</v>
      </c>
      <c r="Q810" s="1">
        <v>44275</v>
      </c>
    </row>
    <row r="811" spans="1:17" x14ac:dyDescent="0.3">
      <c r="A811" t="s">
        <v>49</v>
      </c>
      <c r="B811" t="s">
        <v>29</v>
      </c>
      <c r="C811" t="s">
        <v>30</v>
      </c>
      <c r="D811" t="s">
        <v>24</v>
      </c>
      <c r="E811" t="s">
        <v>48</v>
      </c>
      <c r="F811" s="9">
        <v>0.05</v>
      </c>
      <c r="G811" s="10">
        <v>13552</v>
      </c>
      <c r="H811">
        <v>7.52</v>
      </c>
      <c r="I811" s="5">
        <f>ROUND(Marketing[[#This Row],[Clicks]]*Marketing[[#This Row],[Conversion_Rate]],0)</f>
        <v>7</v>
      </c>
      <c r="J811" s="12">
        <f>Marketing[[#This Row],[Campaign_Cost]]/Marketing[[#This Row],[Customers]]</f>
        <v>1936</v>
      </c>
      <c r="K811" t="s">
        <v>19</v>
      </c>
      <c r="L811" t="s">
        <v>39</v>
      </c>
      <c r="M811">
        <v>141</v>
      </c>
      <c r="N811">
        <v>5741</v>
      </c>
      <c r="O811">
        <v>4</v>
      </c>
      <c r="P811" t="s">
        <v>21</v>
      </c>
      <c r="Q811" s="1">
        <v>44276</v>
      </c>
    </row>
    <row r="812" spans="1:17" x14ac:dyDescent="0.3">
      <c r="A812" t="s">
        <v>28</v>
      </c>
      <c r="B812" t="s">
        <v>15</v>
      </c>
      <c r="C812" t="s">
        <v>30</v>
      </c>
      <c r="D812" t="s">
        <v>40</v>
      </c>
      <c r="E812" t="s">
        <v>15</v>
      </c>
      <c r="F812" s="9">
        <v>0.08</v>
      </c>
      <c r="G812" s="10">
        <v>10807</v>
      </c>
      <c r="H812">
        <v>4.55</v>
      </c>
      <c r="I812" s="5">
        <f>ROUND(Marketing[[#This Row],[Clicks]]*Marketing[[#This Row],[Conversion_Rate]],0)</f>
        <v>44</v>
      </c>
      <c r="J812" s="12">
        <f>Marketing[[#This Row],[Campaign_Cost]]/Marketing[[#This Row],[Customers]]</f>
        <v>245.61363636363637</v>
      </c>
      <c r="K812" t="s">
        <v>32</v>
      </c>
      <c r="L812" t="s">
        <v>26</v>
      </c>
      <c r="M812">
        <v>556</v>
      </c>
      <c r="N812">
        <v>9389</v>
      </c>
      <c r="O812">
        <v>8</v>
      </c>
      <c r="P812" t="s">
        <v>44</v>
      </c>
      <c r="Q812" s="1">
        <v>44277</v>
      </c>
    </row>
    <row r="813" spans="1:17" x14ac:dyDescent="0.3">
      <c r="A813" t="s">
        <v>35</v>
      </c>
      <c r="B813" t="s">
        <v>45</v>
      </c>
      <c r="C813" t="s">
        <v>23</v>
      </c>
      <c r="D813" t="s">
        <v>40</v>
      </c>
      <c r="E813" t="s">
        <v>43</v>
      </c>
      <c r="F813" s="9">
        <v>0.04</v>
      </c>
      <c r="G813" s="10">
        <v>16282</v>
      </c>
      <c r="H813">
        <v>4.95</v>
      </c>
      <c r="I813" s="5">
        <f>ROUND(Marketing[[#This Row],[Clicks]]*Marketing[[#This Row],[Conversion_Rate]],0)</f>
        <v>7</v>
      </c>
      <c r="J813" s="12">
        <f>Marketing[[#This Row],[Campaign_Cost]]/Marketing[[#This Row],[Customers]]</f>
        <v>2326</v>
      </c>
      <c r="K813" t="s">
        <v>38</v>
      </c>
      <c r="L813" t="s">
        <v>50</v>
      </c>
      <c r="M813">
        <v>166</v>
      </c>
      <c r="N813">
        <v>8707</v>
      </c>
      <c r="O813">
        <v>6</v>
      </c>
      <c r="P813" t="s">
        <v>27</v>
      </c>
      <c r="Q813" s="1">
        <v>44278</v>
      </c>
    </row>
    <row r="814" spans="1:17" x14ac:dyDescent="0.3">
      <c r="A814" t="s">
        <v>35</v>
      </c>
      <c r="B814" t="s">
        <v>15</v>
      </c>
      <c r="C814" t="s">
        <v>37</v>
      </c>
      <c r="D814" t="s">
        <v>46</v>
      </c>
      <c r="E814" t="s">
        <v>43</v>
      </c>
      <c r="F814" s="9">
        <v>0.01</v>
      </c>
      <c r="G814" s="10">
        <v>9713</v>
      </c>
      <c r="H814">
        <v>3.34</v>
      </c>
      <c r="I814" s="5">
        <f>ROUND(Marketing[[#This Row],[Clicks]]*Marketing[[#This Row],[Conversion_Rate]],0)</f>
        <v>2</v>
      </c>
      <c r="J814" s="12">
        <f>Marketing[[#This Row],[Campaign_Cost]]/Marketing[[#This Row],[Customers]]</f>
        <v>4856.5</v>
      </c>
      <c r="K814" t="s">
        <v>25</v>
      </c>
      <c r="L814" t="s">
        <v>50</v>
      </c>
      <c r="M814">
        <v>192</v>
      </c>
      <c r="N814">
        <v>3133</v>
      </c>
      <c r="O814">
        <v>1</v>
      </c>
      <c r="P814" t="s">
        <v>44</v>
      </c>
      <c r="Q814" s="1">
        <v>44279</v>
      </c>
    </row>
    <row r="815" spans="1:17" x14ac:dyDescent="0.3">
      <c r="A815" t="s">
        <v>28</v>
      </c>
      <c r="B815" t="s">
        <v>15</v>
      </c>
      <c r="C815" t="s">
        <v>30</v>
      </c>
      <c r="D815" t="s">
        <v>24</v>
      </c>
      <c r="E815" t="s">
        <v>48</v>
      </c>
      <c r="F815" s="9">
        <v>0.02</v>
      </c>
      <c r="G815" s="10">
        <v>13065</v>
      </c>
      <c r="H815">
        <v>2.79</v>
      </c>
      <c r="I815" s="5">
        <f>ROUND(Marketing[[#This Row],[Clicks]]*Marketing[[#This Row],[Conversion_Rate]],0)</f>
        <v>13</v>
      </c>
      <c r="J815" s="12">
        <f>Marketing[[#This Row],[Campaign_Cost]]/Marketing[[#This Row],[Customers]]</f>
        <v>1005</v>
      </c>
      <c r="K815" t="s">
        <v>32</v>
      </c>
      <c r="L815" t="s">
        <v>50</v>
      </c>
      <c r="M815">
        <v>651</v>
      </c>
      <c r="N815">
        <v>4440</v>
      </c>
      <c r="O815">
        <v>7</v>
      </c>
      <c r="P815" t="s">
        <v>42</v>
      </c>
      <c r="Q815" s="1">
        <v>44280</v>
      </c>
    </row>
    <row r="816" spans="1:17" x14ac:dyDescent="0.3">
      <c r="A816" t="s">
        <v>35</v>
      </c>
      <c r="B816" t="s">
        <v>45</v>
      </c>
      <c r="C816" t="s">
        <v>37</v>
      </c>
      <c r="D816" t="s">
        <v>24</v>
      </c>
      <c r="E816" t="s">
        <v>15</v>
      </c>
      <c r="F816" s="9">
        <v>0.09</v>
      </c>
      <c r="G816" s="10">
        <v>19999</v>
      </c>
      <c r="H816">
        <v>2.65</v>
      </c>
      <c r="I816" s="5">
        <f>ROUND(Marketing[[#This Row],[Clicks]]*Marketing[[#This Row],[Conversion_Rate]],0)</f>
        <v>65</v>
      </c>
      <c r="J816" s="12">
        <f>Marketing[[#This Row],[Campaign_Cost]]/Marketing[[#This Row],[Customers]]</f>
        <v>307.67692307692306</v>
      </c>
      <c r="K816" t="s">
        <v>32</v>
      </c>
      <c r="L816" t="s">
        <v>39</v>
      </c>
      <c r="M816">
        <v>718</v>
      </c>
      <c r="N816">
        <v>8349</v>
      </c>
      <c r="O816">
        <v>3</v>
      </c>
      <c r="P816" t="s">
        <v>42</v>
      </c>
      <c r="Q816" s="1">
        <v>44281</v>
      </c>
    </row>
    <row r="817" spans="1:17" x14ac:dyDescent="0.3">
      <c r="A817" t="s">
        <v>14</v>
      </c>
      <c r="B817" t="s">
        <v>45</v>
      </c>
      <c r="C817" t="s">
        <v>30</v>
      </c>
      <c r="D817" t="s">
        <v>40</v>
      </c>
      <c r="E817" t="s">
        <v>48</v>
      </c>
      <c r="F817" s="9">
        <v>0.12</v>
      </c>
      <c r="G817" s="10">
        <v>9660</v>
      </c>
      <c r="H817">
        <v>7.54</v>
      </c>
      <c r="I817" s="5">
        <f>ROUND(Marketing[[#This Row],[Clicks]]*Marketing[[#This Row],[Conversion_Rate]],0)</f>
        <v>95</v>
      </c>
      <c r="J817" s="12">
        <f>Marketing[[#This Row],[Campaign_Cost]]/Marketing[[#This Row],[Customers]]</f>
        <v>101.68421052631579</v>
      </c>
      <c r="K817" t="s">
        <v>38</v>
      </c>
      <c r="L817" t="s">
        <v>50</v>
      </c>
      <c r="M817">
        <v>788</v>
      </c>
      <c r="N817">
        <v>3668</v>
      </c>
      <c r="O817">
        <v>10</v>
      </c>
      <c r="P817" t="s">
        <v>34</v>
      </c>
      <c r="Q817" s="1">
        <v>44282</v>
      </c>
    </row>
    <row r="818" spans="1:17" x14ac:dyDescent="0.3">
      <c r="A818" t="s">
        <v>14</v>
      </c>
      <c r="B818" t="s">
        <v>47</v>
      </c>
      <c r="C818" t="s">
        <v>52</v>
      </c>
      <c r="D818" t="s">
        <v>17</v>
      </c>
      <c r="E818" t="s">
        <v>43</v>
      </c>
      <c r="F818" s="9">
        <v>7.0000000000000007E-2</v>
      </c>
      <c r="G818" s="10">
        <v>9700</v>
      </c>
      <c r="H818">
        <v>6.06</v>
      </c>
      <c r="I818" s="5">
        <f>ROUND(Marketing[[#This Row],[Clicks]]*Marketing[[#This Row],[Conversion_Rate]],0)</f>
        <v>32</v>
      </c>
      <c r="J818" s="12">
        <f>Marketing[[#This Row],[Campaign_Cost]]/Marketing[[#This Row],[Customers]]</f>
        <v>303.125</v>
      </c>
      <c r="K818" t="s">
        <v>32</v>
      </c>
      <c r="L818" t="s">
        <v>50</v>
      </c>
      <c r="M818">
        <v>450</v>
      </c>
      <c r="N818">
        <v>9965</v>
      </c>
      <c r="O818">
        <v>1</v>
      </c>
      <c r="P818" t="s">
        <v>21</v>
      </c>
      <c r="Q818" s="1">
        <v>44283</v>
      </c>
    </row>
    <row r="819" spans="1:17" x14ac:dyDescent="0.3">
      <c r="A819" t="s">
        <v>49</v>
      </c>
      <c r="B819" t="s">
        <v>29</v>
      </c>
      <c r="C819" t="s">
        <v>30</v>
      </c>
      <c r="D819" t="s">
        <v>46</v>
      </c>
      <c r="E819" t="s">
        <v>41</v>
      </c>
      <c r="F819" s="9">
        <v>0.14000000000000001</v>
      </c>
      <c r="G819" s="10">
        <v>15827</v>
      </c>
      <c r="H819">
        <v>7.6</v>
      </c>
      <c r="I819" s="5">
        <f>ROUND(Marketing[[#This Row],[Clicks]]*Marketing[[#This Row],[Conversion_Rate]],0)</f>
        <v>126</v>
      </c>
      <c r="J819" s="12">
        <f>Marketing[[#This Row],[Campaign_Cost]]/Marketing[[#This Row],[Customers]]</f>
        <v>125.61111111111111</v>
      </c>
      <c r="K819" t="s">
        <v>32</v>
      </c>
      <c r="L819" t="s">
        <v>33</v>
      </c>
      <c r="M819">
        <v>900</v>
      </c>
      <c r="N819">
        <v>1021</v>
      </c>
      <c r="O819">
        <v>6</v>
      </c>
      <c r="P819" t="s">
        <v>42</v>
      </c>
      <c r="Q819" s="1">
        <v>44284</v>
      </c>
    </row>
    <row r="820" spans="1:17" x14ac:dyDescent="0.3">
      <c r="A820" t="s">
        <v>28</v>
      </c>
      <c r="B820" t="s">
        <v>47</v>
      </c>
      <c r="C820" t="s">
        <v>37</v>
      </c>
      <c r="D820" t="s">
        <v>46</v>
      </c>
      <c r="E820" t="s">
        <v>31</v>
      </c>
      <c r="F820" s="9">
        <v>0.11</v>
      </c>
      <c r="G820" s="10">
        <v>13237</v>
      </c>
      <c r="H820">
        <v>6.06</v>
      </c>
      <c r="I820" s="5">
        <f>ROUND(Marketing[[#This Row],[Clicks]]*Marketing[[#This Row],[Conversion_Rate]],0)</f>
        <v>31</v>
      </c>
      <c r="J820" s="12">
        <f>Marketing[[#This Row],[Campaign_Cost]]/Marketing[[#This Row],[Customers]]</f>
        <v>427</v>
      </c>
      <c r="K820" t="s">
        <v>51</v>
      </c>
      <c r="L820" t="s">
        <v>39</v>
      </c>
      <c r="M820">
        <v>282</v>
      </c>
      <c r="N820">
        <v>3918</v>
      </c>
      <c r="O820">
        <v>5</v>
      </c>
      <c r="P820" t="s">
        <v>21</v>
      </c>
      <c r="Q820" s="1">
        <v>44285</v>
      </c>
    </row>
    <row r="821" spans="1:17" x14ac:dyDescent="0.3">
      <c r="A821" t="s">
        <v>14</v>
      </c>
      <c r="B821" t="s">
        <v>45</v>
      </c>
      <c r="C821" t="s">
        <v>16</v>
      </c>
      <c r="D821" t="s">
        <v>17</v>
      </c>
      <c r="E821" t="s">
        <v>41</v>
      </c>
      <c r="F821" s="9">
        <v>0.09</v>
      </c>
      <c r="G821" s="10">
        <v>15538</v>
      </c>
      <c r="H821">
        <v>7.74</v>
      </c>
      <c r="I821" s="5">
        <f>ROUND(Marketing[[#This Row],[Clicks]]*Marketing[[#This Row],[Conversion_Rate]],0)</f>
        <v>61</v>
      </c>
      <c r="J821" s="12">
        <f>Marketing[[#This Row],[Campaign_Cost]]/Marketing[[#This Row],[Customers]]</f>
        <v>254.72131147540983</v>
      </c>
      <c r="K821" t="s">
        <v>32</v>
      </c>
      <c r="L821" t="s">
        <v>50</v>
      </c>
      <c r="M821">
        <v>677</v>
      </c>
      <c r="N821">
        <v>5175</v>
      </c>
      <c r="O821">
        <v>5</v>
      </c>
      <c r="P821" t="s">
        <v>21</v>
      </c>
      <c r="Q821" s="1">
        <v>44286</v>
      </c>
    </row>
    <row r="822" spans="1:17" x14ac:dyDescent="0.3">
      <c r="A822" t="s">
        <v>28</v>
      </c>
      <c r="B822" t="s">
        <v>29</v>
      </c>
      <c r="C822" t="s">
        <v>23</v>
      </c>
      <c r="D822" t="s">
        <v>17</v>
      </c>
      <c r="E822" t="s">
        <v>15</v>
      </c>
      <c r="F822" s="9">
        <v>0.14000000000000001</v>
      </c>
      <c r="G822" s="10">
        <v>9437</v>
      </c>
      <c r="H822">
        <v>4.75</v>
      </c>
      <c r="I822" s="5">
        <f>ROUND(Marketing[[#This Row],[Clicks]]*Marketing[[#This Row],[Conversion_Rate]],0)</f>
        <v>38</v>
      </c>
      <c r="J822" s="12">
        <f>Marketing[[#This Row],[Campaign_Cost]]/Marketing[[#This Row],[Customers]]</f>
        <v>248.34210526315789</v>
      </c>
      <c r="K822" t="s">
        <v>32</v>
      </c>
      <c r="L822" t="s">
        <v>26</v>
      </c>
      <c r="M822">
        <v>268</v>
      </c>
      <c r="N822">
        <v>8855</v>
      </c>
      <c r="O822">
        <v>1</v>
      </c>
      <c r="P822" t="s">
        <v>27</v>
      </c>
      <c r="Q822" s="1">
        <v>44287</v>
      </c>
    </row>
    <row r="823" spans="1:17" x14ac:dyDescent="0.3">
      <c r="A823" t="s">
        <v>22</v>
      </c>
      <c r="B823" t="s">
        <v>36</v>
      </c>
      <c r="C823" t="s">
        <v>30</v>
      </c>
      <c r="D823" t="s">
        <v>17</v>
      </c>
      <c r="E823" t="s">
        <v>18</v>
      </c>
      <c r="F823" s="9">
        <v>0.12</v>
      </c>
      <c r="G823" s="10">
        <v>14540</v>
      </c>
      <c r="H823">
        <v>2.36</v>
      </c>
      <c r="I823" s="5">
        <f>ROUND(Marketing[[#This Row],[Clicks]]*Marketing[[#This Row],[Conversion_Rate]],0)</f>
        <v>89</v>
      </c>
      <c r="J823" s="12">
        <f>Marketing[[#This Row],[Campaign_Cost]]/Marketing[[#This Row],[Customers]]</f>
        <v>163.37078651685394</v>
      </c>
      <c r="K823" t="s">
        <v>51</v>
      </c>
      <c r="L823" t="s">
        <v>26</v>
      </c>
      <c r="M823">
        <v>738</v>
      </c>
      <c r="N823">
        <v>8562</v>
      </c>
      <c r="O823">
        <v>2</v>
      </c>
      <c r="P823" t="s">
        <v>21</v>
      </c>
      <c r="Q823" s="1">
        <v>44288</v>
      </c>
    </row>
    <row r="824" spans="1:17" x14ac:dyDescent="0.3">
      <c r="A824" t="s">
        <v>49</v>
      </c>
      <c r="B824" t="s">
        <v>29</v>
      </c>
      <c r="C824" t="s">
        <v>16</v>
      </c>
      <c r="D824" t="s">
        <v>17</v>
      </c>
      <c r="E824" t="s">
        <v>48</v>
      </c>
      <c r="F824" s="9">
        <v>0.08</v>
      </c>
      <c r="G824" s="10">
        <v>13142</v>
      </c>
      <c r="H824">
        <v>2.79</v>
      </c>
      <c r="I824" s="5">
        <f>ROUND(Marketing[[#This Row],[Clicks]]*Marketing[[#This Row],[Conversion_Rate]],0)</f>
        <v>61</v>
      </c>
      <c r="J824" s="12">
        <f>Marketing[[#This Row],[Campaign_Cost]]/Marketing[[#This Row],[Customers]]</f>
        <v>215.44262295081967</v>
      </c>
      <c r="K824" t="s">
        <v>32</v>
      </c>
      <c r="L824" t="s">
        <v>20</v>
      </c>
      <c r="M824">
        <v>768</v>
      </c>
      <c r="N824">
        <v>3518</v>
      </c>
      <c r="O824">
        <v>6</v>
      </c>
      <c r="P824" t="s">
        <v>42</v>
      </c>
      <c r="Q824" s="1">
        <v>44289</v>
      </c>
    </row>
    <row r="825" spans="1:17" x14ac:dyDescent="0.3">
      <c r="A825" t="s">
        <v>28</v>
      </c>
      <c r="B825" t="s">
        <v>47</v>
      </c>
      <c r="C825" t="s">
        <v>23</v>
      </c>
      <c r="D825" t="s">
        <v>40</v>
      </c>
      <c r="E825" t="s">
        <v>18</v>
      </c>
      <c r="F825" s="9">
        <v>0.14000000000000001</v>
      </c>
      <c r="G825" s="10">
        <v>9497</v>
      </c>
      <c r="H825">
        <v>4.26</v>
      </c>
      <c r="I825" s="5">
        <f>ROUND(Marketing[[#This Row],[Clicks]]*Marketing[[#This Row],[Conversion_Rate]],0)</f>
        <v>69</v>
      </c>
      <c r="J825" s="12">
        <f>Marketing[[#This Row],[Campaign_Cost]]/Marketing[[#This Row],[Customers]]</f>
        <v>137.63768115942028</v>
      </c>
      <c r="K825" t="s">
        <v>38</v>
      </c>
      <c r="L825" t="s">
        <v>33</v>
      </c>
      <c r="M825">
        <v>492</v>
      </c>
      <c r="N825">
        <v>1074</v>
      </c>
      <c r="O825">
        <v>9</v>
      </c>
      <c r="P825" t="s">
        <v>44</v>
      </c>
      <c r="Q825" s="1">
        <v>44290</v>
      </c>
    </row>
    <row r="826" spans="1:17" x14ac:dyDescent="0.3">
      <c r="A826" t="s">
        <v>49</v>
      </c>
      <c r="B826" t="s">
        <v>29</v>
      </c>
      <c r="C826" t="s">
        <v>37</v>
      </c>
      <c r="D826" t="s">
        <v>46</v>
      </c>
      <c r="E826" t="s">
        <v>43</v>
      </c>
      <c r="F826" s="9">
        <v>0.08</v>
      </c>
      <c r="G826" s="10">
        <v>7355</v>
      </c>
      <c r="H826">
        <v>5.0599999999999996</v>
      </c>
      <c r="I826" s="5">
        <f>ROUND(Marketing[[#This Row],[Clicks]]*Marketing[[#This Row],[Conversion_Rate]],0)</f>
        <v>35</v>
      </c>
      <c r="J826" s="12">
        <f>Marketing[[#This Row],[Campaign_Cost]]/Marketing[[#This Row],[Customers]]</f>
        <v>210.14285714285714</v>
      </c>
      <c r="K826" t="s">
        <v>38</v>
      </c>
      <c r="L826" t="s">
        <v>33</v>
      </c>
      <c r="M826">
        <v>432</v>
      </c>
      <c r="N826">
        <v>9726</v>
      </c>
      <c r="O826">
        <v>7</v>
      </c>
      <c r="P826" t="s">
        <v>27</v>
      </c>
      <c r="Q826" s="1">
        <v>44291</v>
      </c>
    </row>
    <row r="827" spans="1:17" x14ac:dyDescent="0.3">
      <c r="A827" t="s">
        <v>49</v>
      </c>
      <c r="B827" t="s">
        <v>47</v>
      </c>
      <c r="C827" t="s">
        <v>30</v>
      </c>
      <c r="D827" t="s">
        <v>46</v>
      </c>
      <c r="E827" t="s">
        <v>18</v>
      </c>
      <c r="F827" s="9">
        <v>7.0000000000000007E-2</v>
      </c>
      <c r="G827" s="10">
        <v>10174</v>
      </c>
      <c r="H827">
        <v>7.67</v>
      </c>
      <c r="I827" s="5">
        <f>ROUND(Marketing[[#This Row],[Clicks]]*Marketing[[#This Row],[Conversion_Rate]],0)</f>
        <v>63</v>
      </c>
      <c r="J827" s="12">
        <f>Marketing[[#This Row],[Campaign_Cost]]/Marketing[[#This Row],[Customers]]</f>
        <v>161.49206349206349</v>
      </c>
      <c r="K827" t="s">
        <v>32</v>
      </c>
      <c r="L827" t="s">
        <v>26</v>
      </c>
      <c r="M827">
        <v>901</v>
      </c>
      <c r="N827">
        <v>2192</v>
      </c>
      <c r="O827">
        <v>5</v>
      </c>
      <c r="P827" t="s">
        <v>34</v>
      </c>
      <c r="Q827" s="1">
        <v>44292</v>
      </c>
    </row>
    <row r="828" spans="1:17" x14ac:dyDescent="0.3">
      <c r="A828" t="s">
        <v>14</v>
      </c>
      <c r="B828" t="s">
        <v>29</v>
      </c>
      <c r="C828" t="s">
        <v>37</v>
      </c>
      <c r="D828" t="s">
        <v>46</v>
      </c>
      <c r="E828" t="s">
        <v>18</v>
      </c>
      <c r="F828" s="9">
        <v>0.12</v>
      </c>
      <c r="G828" s="10">
        <v>9860</v>
      </c>
      <c r="H828">
        <v>4.67</v>
      </c>
      <c r="I828" s="5">
        <f>ROUND(Marketing[[#This Row],[Clicks]]*Marketing[[#This Row],[Conversion_Rate]],0)</f>
        <v>31</v>
      </c>
      <c r="J828" s="12">
        <f>Marketing[[#This Row],[Campaign_Cost]]/Marketing[[#This Row],[Customers]]</f>
        <v>318.06451612903226</v>
      </c>
      <c r="K828" t="s">
        <v>32</v>
      </c>
      <c r="L828" t="s">
        <v>20</v>
      </c>
      <c r="M828">
        <v>259</v>
      </c>
      <c r="N828">
        <v>9252</v>
      </c>
      <c r="O828">
        <v>4</v>
      </c>
      <c r="P828" t="s">
        <v>21</v>
      </c>
      <c r="Q828" s="1">
        <v>44293</v>
      </c>
    </row>
    <row r="829" spans="1:17" x14ac:dyDescent="0.3">
      <c r="A829" t="s">
        <v>49</v>
      </c>
      <c r="B829" t="s">
        <v>15</v>
      </c>
      <c r="C829" t="s">
        <v>37</v>
      </c>
      <c r="D829" t="s">
        <v>46</v>
      </c>
      <c r="E829" t="s">
        <v>43</v>
      </c>
      <c r="F829" s="9">
        <v>0.09</v>
      </c>
      <c r="G829" s="10">
        <v>6078</v>
      </c>
      <c r="H829">
        <v>3.86</v>
      </c>
      <c r="I829" s="5">
        <f>ROUND(Marketing[[#This Row],[Clicks]]*Marketing[[#This Row],[Conversion_Rate]],0)</f>
        <v>52</v>
      </c>
      <c r="J829" s="12">
        <f>Marketing[[#This Row],[Campaign_Cost]]/Marketing[[#This Row],[Customers]]</f>
        <v>116.88461538461539</v>
      </c>
      <c r="K829" t="s">
        <v>38</v>
      </c>
      <c r="L829" t="s">
        <v>26</v>
      </c>
      <c r="M829">
        <v>581</v>
      </c>
      <c r="N829">
        <v>3091</v>
      </c>
      <c r="O829">
        <v>7</v>
      </c>
      <c r="P829" t="s">
        <v>42</v>
      </c>
      <c r="Q829" s="1">
        <v>44294</v>
      </c>
    </row>
    <row r="830" spans="1:17" x14ac:dyDescent="0.3">
      <c r="A830" t="s">
        <v>28</v>
      </c>
      <c r="B830" t="s">
        <v>29</v>
      </c>
      <c r="C830" t="s">
        <v>52</v>
      </c>
      <c r="D830" t="s">
        <v>17</v>
      </c>
      <c r="E830" t="s">
        <v>15</v>
      </c>
      <c r="F830" s="9">
        <v>0.12</v>
      </c>
      <c r="G830" s="10">
        <v>17577</v>
      </c>
      <c r="H830">
        <v>7.7</v>
      </c>
      <c r="I830" s="5">
        <f>ROUND(Marketing[[#This Row],[Clicks]]*Marketing[[#This Row],[Conversion_Rate]],0)</f>
        <v>39</v>
      </c>
      <c r="J830" s="12">
        <f>Marketing[[#This Row],[Campaign_Cost]]/Marketing[[#This Row],[Customers]]</f>
        <v>450.69230769230768</v>
      </c>
      <c r="K830" t="s">
        <v>38</v>
      </c>
      <c r="L830" t="s">
        <v>50</v>
      </c>
      <c r="M830">
        <v>326</v>
      </c>
      <c r="N830">
        <v>7858</v>
      </c>
      <c r="O830">
        <v>5</v>
      </c>
      <c r="P830" t="s">
        <v>42</v>
      </c>
      <c r="Q830" s="1">
        <v>44295</v>
      </c>
    </row>
    <row r="831" spans="1:17" x14ac:dyDescent="0.3">
      <c r="A831" t="s">
        <v>28</v>
      </c>
      <c r="B831" t="s">
        <v>36</v>
      </c>
      <c r="C831" t="s">
        <v>23</v>
      </c>
      <c r="D831" t="s">
        <v>17</v>
      </c>
      <c r="E831" t="s">
        <v>31</v>
      </c>
      <c r="F831" s="9">
        <v>0.05</v>
      </c>
      <c r="G831" s="10">
        <v>14444</v>
      </c>
      <c r="H831">
        <v>6.57</v>
      </c>
      <c r="I831" s="5">
        <f>ROUND(Marketing[[#This Row],[Clicks]]*Marketing[[#This Row],[Conversion_Rate]],0)</f>
        <v>25</v>
      </c>
      <c r="J831" s="12">
        <f>Marketing[[#This Row],[Campaign_Cost]]/Marketing[[#This Row],[Customers]]</f>
        <v>577.76</v>
      </c>
      <c r="K831" t="s">
        <v>19</v>
      </c>
      <c r="L831" t="s">
        <v>26</v>
      </c>
      <c r="M831">
        <v>490</v>
      </c>
      <c r="N831">
        <v>1983</v>
      </c>
      <c r="O831">
        <v>3</v>
      </c>
      <c r="P831" t="s">
        <v>34</v>
      </c>
      <c r="Q831" s="1">
        <v>44296</v>
      </c>
    </row>
    <row r="832" spans="1:17" x14ac:dyDescent="0.3">
      <c r="A832" t="s">
        <v>28</v>
      </c>
      <c r="B832" t="s">
        <v>15</v>
      </c>
      <c r="C832" t="s">
        <v>52</v>
      </c>
      <c r="D832" t="s">
        <v>17</v>
      </c>
      <c r="E832" t="s">
        <v>15</v>
      </c>
      <c r="F832" s="9">
        <v>0.03</v>
      </c>
      <c r="G832" s="10">
        <v>11195</v>
      </c>
      <c r="H832">
        <v>7.02</v>
      </c>
      <c r="I832" s="5">
        <f>ROUND(Marketing[[#This Row],[Clicks]]*Marketing[[#This Row],[Conversion_Rate]],0)</f>
        <v>6</v>
      </c>
      <c r="J832" s="12">
        <f>Marketing[[#This Row],[Campaign_Cost]]/Marketing[[#This Row],[Customers]]</f>
        <v>1865.8333333333333</v>
      </c>
      <c r="K832" t="s">
        <v>19</v>
      </c>
      <c r="L832" t="s">
        <v>20</v>
      </c>
      <c r="M832">
        <v>188</v>
      </c>
      <c r="N832">
        <v>3931</v>
      </c>
      <c r="O832">
        <v>10</v>
      </c>
      <c r="P832" t="s">
        <v>27</v>
      </c>
      <c r="Q832" s="1">
        <v>44297</v>
      </c>
    </row>
    <row r="833" spans="1:17" x14ac:dyDescent="0.3">
      <c r="A833" t="s">
        <v>22</v>
      </c>
      <c r="B833" t="s">
        <v>29</v>
      </c>
      <c r="C833" t="s">
        <v>16</v>
      </c>
      <c r="D833" t="s">
        <v>17</v>
      </c>
      <c r="E833" t="s">
        <v>18</v>
      </c>
      <c r="F833" s="9">
        <v>0.08</v>
      </c>
      <c r="G833" s="10">
        <v>11898</v>
      </c>
      <c r="H833">
        <v>3.24</v>
      </c>
      <c r="I833" s="5">
        <f>ROUND(Marketing[[#This Row],[Clicks]]*Marketing[[#This Row],[Conversion_Rate]],0)</f>
        <v>34</v>
      </c>
      <c r="J833" s="12">
        <f>Marketing[[#This Row],[Campaign_Cost]]/Marketing[[#This Row],[Customers]]</f>
        <v>349.94117647058823</v>
      </c>
      <c r="K833" t="s">
        <v>19</v>
      </c>
      <c r="L833" t="s">
        <v>39</v>
      </c>
      <c r="M833">
        <v>431</v>
      </c>
      <c r="N833">
        <v>9379</v>
      </c>
      <c r="O833">
        <v>2</v>
      </c>
      <c r="P833" t="s">
        <v>34</v>
      </c>
      <c r="Q833" s="1">
        <v>44298</v>
      </c>
    </row>
    <row r="834" spans="1:17" x14ac:dyDescent="0.3">
      <c r="A834" t="s">
        <v>28</v>
      </c>
      <c r="B834" t="s">
        <v>45</v>
      </c>
      <c r="C834" t="s">
        <v>16</v>
      </c>
      <c r="D834" t="s">
        <v>40</v>
      </c>
      <c r="E834" t="s">
        <v>41</v>
      </c>
      <c r="F834" s="9">
        <v>0.08</v>
      </c>
      <c r="G834" s="10">
        <v>7071</v>
      </c>
      <c r="H834">
        <v>7.7</v>
      </c>
      <c r="I834" s="5">
        <f>ROUND(Marketing[[#This Row],[Clicks]]*Marketing[[#This Row],[Conversion_Rate]],0)</f>
        <v>51</v>
      </c>
      <c r="J834" s="12">
        <f>Marketing[[#This Row],[Campaign_Cost]]/Marketing[[#This Row],[Customers]]</f>
        <v>138.64705882352942</v>
      </c>
      <c r="K834" t="s">
        <v>51</v>
      </c>
      <c r="L834" t="s">
        <v>26</v>
      </c>
      <c r="M834">
        <v>633</v>
      </c>
      <c r="N834">
        <v>8139</v>
      </c>
      <c r="O834">
        <v>7</v>
      </c>
      <c r="P834" t="s">
        <v>44</v>
      </c>
      <c r="Q834" s="1">
        <v>44299</v>
      </c>
    </row>
    <row r="835" spans="1:17" x14ac:dyDescent="0.3">
      <c r="A835" t="s">
        <v>14</v>
      </c>
      <c r="B835" t="s">
        <v>29</v>
      </c>
      <c r="C835" t="s">
        <v>30</v>
      </c>
      <c r="D835" t="s">
        <v>17</v>
      </c>
      <c r="E835" t="s">
        <v>31</v>
      </c>
      <c r="F835" s="9">
        <v>0.03</v>
      </c>
      <c r="G835" s="10">
        <v>13411</v>
      </c>
      <c r="H835">
        <v>7.44</v>
      </c>
      <c r="I835" s="5">
        <f>ROUND(Marketing[[#This Row],[Clicks]]*Marketing[[#This Row],[Conversion_Rate]],0)</f>
        <v>16</v>
      </c>
      <c r="J835" s="12">
        <f>Marketing[[#This Row],[Campaign_Cost]]/Marketing[[#This Row],[Customers]]</f>
        <v>838.1875</v>
      </c>
      <c r="K835" t="s">
        <v>32</v>
      </c>
      <c r="L835" t="s">
        <v>50</v>
      </c>
      <c r="M835">
        <v>531</v>
      </c>
      <c r="N835">
        <v>9941</v>
      </c>
      <c r="O835">
        <v>5</v>
      </c>
      <c r="P835" t="s">
        <v>42</v>
      </c>
      <c r="Q835" s="1">
        <v>44300</v>
      </c>
    </row>
    <row r="836" spans="1:17" x14ac:dyDescent="0.3">
      <c r="A836" t="s">
        <v>22</v>
      </c>
      <c r="B836" t="s">
        <v>36</v>
      </c>
      <c r="C836" t="s">
        <v>30</v>
      </c>
      <c r="D836" t="s">
        <v>24</v>
      </c>
      <c r="E836" t="s">
        <v>41</v>
      </c>
      <c r="F836" s="9">
        <v>0.04</v>
      </c>
      <c r="G836" s="10">
        <v>10620</v>
      </c>
      <c r="H836">
        <v>4.7</v>
      </c>
      <c r="I836" s="5">
        <f>ROUND(Marketing[[#This Row],[Clicks]]*Marketing[[#This Row],[Conversion_Rate]],0)</f>
        <v>30</v>
      </c>
      <c r="J836" s="12">
        <f>Marketing[[#This Row],[Campaign_Cost]]/Marketing[[#This Row],[Customers]]</f>
        <v>354</v>
      </c>
      <c r="K836" t="s">
        <v>51</v>
      </c>
      <c r="L836" t="s">
        <v>33</v>
      </c>
      <c r="M836">
        <v>745</v>
      </c>
      <c r="N836">
        <v>6527</v>
      </c>
      <c r="O836">
        <v>4</v>
      </c>
      <c r="P836" t="s">
        <v>42</v>
      </c>
      <c r="Q836" s="1">
        <v>44301</v>
      </c>
    </row>
    <row r="837" spans="1:17" x14ac:dyDescent="0.3">
      <c r="A837" t="s">
        <v>35</v>
      </c>
      <c r="B837" t="s">
        <v>15</v>
      </c>
      <c r="C837" t="s">
        <v>30</v>
      </c>
      <c r="D837" t="s">
        <v>24</v>
      </c>
      <c r="E837" t="s">
        <v>15</v>
      </c>
      <c r="F837" s="9">
        <v>0.03</v>
      </c>
      <c r="G837" s="10">
        <v>6633</v>
      </c>
      <c r="H837">
        <v>6.05</v>
      </c>
      <c r="I837" s="5">
        <f>ROUND(Marketing[[#This Row],[Clicks]]*Marketing[[#This Row],[Conversion_Rate]],0)</f>
        <v>26</v>
      </c>
      <c r="J837" s="12">
        <f>Marketing[[#This Row],[Campaign_Cost]]/Marketing[[#This Row],[Customers]]</f>
        <v>255.11538461538461</v>
      </c>
      <c r="K837" t="s">
        <v>38</v>
      </c>
      <c r="L837" t="s">
        <v>26</v>
      </c>
      <c r="M837">
        <v>876</v>
      </c>
      <c r="N837">
        <v>2847</v>
      </c>
      <c r="O837">
        <v>5</v>
      </c>
      <c r="P837" t="s">
        <v>27</v>
      </c>
      <c r="Q837" s="1">
        <v>44302</v>
      </c>
    </row>
    <row r="838" spans="1:17" x14ac:dyDescent="0.3">
      <c r="A838" t="s">
        <v>28</v>
      </c>
      <c r="B838" t="s">
        <v>47</v>
      </c>
      <c r="C838" t="s">
        <v>30</v>
      </c>
      <c r="D838" t="s">
        <v>24</v>
      </c>
      <c r="E838" t="s">
        <v>18</v>
      </c>
      <c r="F838" s="9">
        <v>0.15</v>
      </c>
      <c r="G838" s="10">
        <v>16501</v>
      </c>
      <c r="H838">
        <v>5.58</v>
      </c>
      <c r="I838" s="5">
        <f>ROUND(Marketing[[#This Row],[Clicks]]*Marketing[[#This Row],[Conversion_Rate]],0)</f>
        <v>44</v>
      </c>
      <c r="J838" s="12">
        <f>Marketing[[#This Row],[Campaign_Cost]]/Marketing[[#This Row],[Customers]]</f>
        <v>375.02272727272725</v>
      </c>
      <c r="K838" t="s">
        <v>51</v>
      </c>
      <c r="L838" t="s">
        <v>26</v>
      </c>
      <c r="M838">
        <v>294</v>
      </c>
      <c r="N838">
        <v>2752</v>
      </c>
      <c r="O838">
        <v>1</v>
      </c>
      <c r="P838" t="s">
        <v>42</v>
      </c>
      <c r="Q838" s="1">
        <v>44303</v>
      </c>
    </row>
    <row r="839" spans="1:17" x14ac:dyDescent="0.3">
      <c r="A839" t="s">
        <v>28</v>
      </c>
      <c r="B839" t="s">
        <v>36</v>
      </c>
      <c r="C839" t="s">
        <v>23</v>
      </c>
      <c r="D839" t="s">
        <v>17</v>
      </c>
      <c r="E839" t="s">
        <v>18</v>
      </c>
      <c r="F839" s="9">
        <v>0.11</v>
      </c>
      <c r="G839" s="10">
        <v>6034</v>
      </c>
      <c r="H839">
        <v>6.63</v>
      </c>
      <c r="I839" s="5">
        <f>ROUND(Marketing[[#This Row],[Clicks]]*Marketing[[#This Row],[Conversion_Rate]],0)</f>
        <v>81</v>
      </c>
      <c r="J839" s="12">
        <f>Marketing[[#This Row],[Campaign_Cost]]/Marketing[[#This Row],[Customers]]</f>
        <v>74.493827160493822</v>
      </c>
      <c r="K839" t="s">
        <v>38</v>
      </c>
      <c r="L839" t="s">
        <v>26</v>
      </c>
      <c r="M839">
        <v>739</v>
      </c>
      <c r="N839">
        <v>9752</v>
      </c>
      <c r="O839">
        <v>6</v>
      </c>
      <c r="P839" t="s">
        <v>27</v>
      </c>
      <c r="Q839" s="1">
        <v>44304</v>
      </c>
    </row>
    <row r="840" spans="1:17" x14ac:dyDescent="0.3">
      <c r="A840" t="s">
        <v>14</v>
      </c>
      <c r="B840" t="s">
        <v>15</v>
      </c>
      <c r="C840" t="s">
        <v>16</v>
      </c>
      <c r="D840" t="s">
        <v>40</v>
      </c>
      <c r="E840" t="s">
        <v>15</v>
      </c>
      <c r="F840" s="9">
        <v>0.03</v>
      </c>
      <c r="G840" s="10">
        <v>19280</v>
      </c>
      <c r="H840">
        <v>3.51</v>
      </c>
      <c r="I840" s="5">
        <f>ROUND(Marketing[[#This Row],[Clicks]]*Marketing[[#This Row],[Conversion_Rate]],0)</f>
        <v>21</v>
      </c>
      <c r="J840" s="12">
        <f>Marketing[[#This Row],[Campaign_Cost]]/Marketing[[#This Row],[Customers]]</f>
        <v>918.09523809523807</v>
      </c>
      <c r="K840" t="s">
        <v>38</v>
      </c>
      <c r="L840" t="s">
        <v>50</v>
      </c>
      <c r="M840">
        <v>695</v>
      </c>
      <c r="N840">
        <v>2349</v>
      </c>
      <c r="O840">
        <v>3</v>
      </c>
      <c r="P840" t="s">
        <v>44</v>
      </c>
      <c r="Q840" s="1">
        <v>44305</v>
      </c>
    </row>
    <row r="841" spans="1:17" x14ac:dyDescent="0.3">
      <c r="A841" t="s">
        <v>28</v>
      </c>
      <c r="B841" t="s">
        <v>47</v>
      </c>
      <c r="C841" t="s">
        <v>23</v>
      </c>
      <c r="D841" t="s">
        <v>17</v>
      </c>
      <c r="E841" t="s">
        <v>43</v>
      </c>
      <c r="F841" s="9">
        <v>0.12</v>
      </c>
      <c r="G841" s="10">
        <v>8545</v>
      </c>
      <c r="H841">
        <v>2.02</v>
      </c>
      <c r="I841" s="5">
        <f>ROUND(Marketing[[#This Row],[Clicks]]*Marketing[[#This Row],[Conversion_Rate]],0)</f>
        <v>22</v>
      </c>
      <c r="J841" s="12">
        <f>Marketing[[#This Row],[Campaign_Cost]]/Marketing[[#This Row],[Customers]]</f>
        <v>388.40909090909093</v>
      </c>
      <c r="K841" t="s">
        <v>38</v>
      </c>
      <c r="L841" t="s">
        <v>33</v>
      </c>
      <c r="M841">
        <v>183</v>
      </c>
      <c r="N841">
        <v>1872</v>
      </c>
      <c r="O841">
        <v>8</v>
      </c>
      <c r="P841" t="s">
        <v>42</v>
      </c>
      <c r="Q841" s="1">
        <v>44306</v>
      </c>
    </row>
    <row r="842" spans="1:17" x14ac:dyDescent="0.3">
      <c r="A842" t="s">
        <v>14</v>
      </c>
      <c r="B842" t="s">
        <v>29</v>
      </c>
      <c r="C842" t="s">
        <v>30</v>
      </c>
      <c r="D842" t="s">
        <v>17</v>
      </c>
      <c r="E842" t="s">
        <v>15</v>
      </c>
      <c r="F842" s="9">
        <v>0.06</v>
      </c>
      <c r="G842" s="10">
        <v>12901</v>
      </c>
      <c r="H842">
        <v>5.44</v>
      </c>
      <c r="I842" s="5">
        <f>ROUND(Marketing[[#This Row],[Clicks]]*Marketing[[#This Row],[Conversion_Rate]],0)</f>
        <v>22</v>
      </c>
      <c r="J842" s="12">
        <f>Marketing[[#This Row],[Campaign_Cost]]/Marketing[[#This Row],[Customers]]</f>
        <v>586.40909090909088</v>
      </c>
      <c r="K842" t="s">
        <v>25</v>
      </c>
      <c r="L842" t="s">
        <v>33</v>
      </c>
      <c r="M842">
        <v>371</v>
      </c>
      <c r="N842">
        <v>9404</v>
      </c>
      <c r="O842">
        <v>1</v>
      </c>
      <c r="P842" t="s">
        <v>34</v>
      </c>
      <c r="Q842" s="1">
        <v>44307</v>
      </c>
    </row>
    <row r="843" spans="1:17" x14ac:dyDescent="0.3">
      <c r="A843" t="s">
        <v>28</v>
      </c>
      <c r="B843" t="s">
        <v>15</v>
      </c>
      <c r="C843" t="s">
        <v>52</v>
      </c>
      <c r="D843" t="s">
        <v>40</v>
      </c>
      <c r="E843" t="s">
        <v>18</v>
      </c>
      <c r="F843" s="9">
        <v>0.03</v>
      </c>
      <c r="G843" s="10">
        <v>5594</v>
      </c>
      <c r="H843">
        <v>2.96</v>
      </c>
      <c r="I843" s="5">
        <f>ROUND(Marketing[[#This Row],[Clicks]]*Marketing[[#This Row],[Conversion_Rate]],0)</f>
        <v>13</v>
      </c>
      <c r="J843" s="12">
        <f>Marketing[[#This Row],[Campaign_Cost]]/Marketing[[#This Row],[Customers]]</f>
        <v>430.30769230769232</v>
      </c>
      <c r="K843" t="s">
        <v>19</v>
      </c>
      <c r="L843" t="s">
        <v>39</v>
      </c>
      <c r="M843">
        <v>422</v>
      </c>
      <c r="N843">
        <v>2749</v>
      </c>
      <c r="O843">
        <v>2</v>
      </c>
      <c r="P843" t="s">
        <v>27</v>
      </c>
      <c r="Q843" s="1">
        <v>44308</v>
      </c>
    </row>
    <row r="844" spans="1:17" x14ac:dyDescent="0.3">
      <c r="A844" t="s">
        <v>28</v>
      </c>
      <c r="B844" t="s">
        <v>29</v>
      </c>
      <c r="C844" t="s">
        <v>23</v>
      </c>
      <c r="D844" t="s">
        <v>46</v>
      </c>
      <c r="E844" t="s">
        <v>48</v>
      </c>
      <c r="F844" s="9">
        <v>0.1</v>
      </c>
      <c r="G844" s="10">
        <v>17730</v>
      </c>
      <c r="H844">
        <v>2.46</v>
      </c>
      <c r="I844" s="5">
        <f>ROUND(Marketing[[#This Row],[Clicks]]*Marketing[[#This Row],[Conversion_Rate]],0)</f>
        <v>41</v>
      </c>
      <c r="J844" s="12">
        <f>Marketing[[#This Row],[Campaign_Cost]]/Marketing[[#This Row],[Customers]]</f>
        <v>432.4390243902439</v>
      </c>
      <c r="K844" t="s">
        <v>19</v>
      </c>
      <c r="L844" t="s">
        <v>33</v>
      </c>
      <c r="M844">
        <v>408</v>
      </c>
      <c r="N844">
        <v>1024</v>
      </c>
      <c r="O844">
        <v>5</v>
      </c>
      <c r="P844" t="s">
        <v>21</v>
      </c>
      <c r="Q844" s="1">
        <v>44309</v>
      </c>
    </row>
    <row r="845" spans="1:17" x14ac:dyDescent="0.3">
      <c r="A845" t="s">
        <v>49</v>
      </c>
      <c r="B845" t="s">
        <v>45</v>
      </c>
      <c r="C845" t="s">
        <v>30</v>
      </c>
      <c r="D845" t="s">
        <v>17</v>
      </c>
      <c r="E845" t="s">
        <v>41</v>
      </c>
      <c r="F845" s="9">
        <v>0.03</v>
      </c>
      <c r="G845" s="10">
        <v>9168</v>
      </c>
      <c r="H845">
        <v>2.89</v>
      </c>
      <c r="I845" s="5">
        <f>ROUND(Marketing[[#This Row],[Clicks]]*Marketing[[#This Row],[Conversion_Rate]],0)</f>
        <v>9</v>
      </c>
      <c r="J845" s="12">
        <f>Marketing[[#This Row],[Campaign_Cost]]/Marketing[[#This Row],[Customers]]</f>
        <v>1018.6666666666666</v>
      </c>
      <c r="K845" t="s">
        <v>38</v>
      </c>
      <c r="L845" t="s">
        <v>20</v>
      </c>
      <c r="M845">
        <v>306</v>
      </c>
      <c r="N845">
        <v>9997</v>
      </c>
      <c r="O845">
        <v>10</v>
      </c>
      <c r="P845" t="s">
        <v>34</v>
      </c>
      <c r="Q845" s="1">
        <v>44310</v>
      </c>
    </row>
    <row r="846" spans="1:17" x14ac:dyDescent="0.3">
      <c r="A846" t="s">
        <v>28</v>
      </c>
      <c r="B846" t="s">
        <v>15</v>
      </c>
      <c r="C846" t="s">
        <v>23</v>
      </c>
      <c r="D846" t="s">
        <v>46</v>
      </c>
      <c r="E846" t="s">
        <v>15</v>
      </c>
      <c r="F846" s="9">
        <v>0.09</v>
      </c>
      <c r="G846" s="10">
        <v>14492</v>
      </c>
      <c r="H846">
        <v>6.68</v>
      </c>
      <c r="I846" s="5">
        <f>ROUND(Marketing[[#This Row],[Clicks]]*Marketing[[#This Row],[Conversion_Rate]],0)</f>
        <v>30</v>
      </c>
      <c r="J846" s="12">
        <f>Marketing[[#This Row],[Campaign_Cost]]/Marketing[[#This Row],[Customers]]</f>
        <v>483.06666666666666</v>
      </c>
      <c r="K846" t="s">
        <v>32</v>
      </c>
      <c r="L846" t="s">
        <v>50</v>
      </c>
      <c r="M846">
        <v>330</v>
      </c>
      <c r="N846">
        <v>7555</v>
      </c>
      <c r="O846">
        <v>9</v>
      </c>
      <c r="P846" t="s">
        <v>44</v>
      </c>
      <c r="Q846" s="1">
        <v>44311</v>
      </c>
    </row>
    <row r="847" spans="1:17" x14ac:dyDescent="0.3">
      <c r="A847" t="s">
        <v>14</v>
      </c>
      <c r="B847" t="s">
        <v>15</v>
      </c>
      <c r="C847" t="s">
        <v>30</v>
      </c>
      <c r="D847" t="s">
        <v>40</v>
      </c>
      <c r="E847" t="s">
        <v>15</v>
      </c>
      <c r="F847" s="9">
        <v>0.15</v>
      </c>
      <c r="G847" s="10">
        <v>10251</v>
      </c>
      <c r="H847">
        <v>5.52</v>
      </c>
      <c r="I847" s="5">
        <f>ROUND(Marketing[[#This Row],[Clicks]]*Marketing[[#This Row],[Conversion_Rate]],0)</f>
        <v>30</v>
      </c>
      <c r="J847" s="12">
        <f>Marketing[[#This Row],[Campaign_Cost]]/Marketing[[#This Row],[Customers]]</f>
        <v>341.7</v>
      </c>
      <c r="K847" t="s">
        <v>19</v>
      </c>
      <c r="L847" t="s">
        <v>20</v>
      </c>
      <c r="M847">
        <v>201</v>
      </c>
      <c r="N847">
        <v>8342</v>
      </c>
      <c r="O847">
        <v>6</v>
      </c>
      <c r="P847" t="s">
        <v>21</v>
      </c>
      <c r="Q847" s="1">
        <v>44312</v>
      </c>
    </row>
    <row r="848" spans="1:17" x14ac:dyDescent="0.3">
      <c r="A848" t="s">
        <v>35</v>
      </c>
      <c r="B848" t="s">
        <v>29</v>
      </c>
      <c r="C848" t="s">
        <v>52</v>
      </c>
      <c r="D848" t="s">
        <v>46</v>
      </c>
      <c r="E848" t="s">
        <v>18</v>
      </c>
      <c r="F848" s="9">
        <v>7.0000000000000007E-2</v>
      </c>
      <c r="G848" s="10">
        <v>6043</v>
      </c>
      <c r="H848">
        <v>2.8</v>
      </c>
      <c r="I848" s="5">
        <f>ROUND(Marketing[[#This Row],[Clicks]]*Marketing[[#This Row],[Conversion_Rate]],0)</f>
        <v>17</v>
      </c>
      <c r="J848" s="12">
        <f>Marketing[[#This Row],[Campaign_Cost]]/Marketing[[#This Row],[Customers]]</f>
        <v>355.47058823529414</v>
      </c>
      <c r="K848" t="s">
        <v>38</v>
      </c>
      <c r="L848" t="s">
        <v>33</v>
      </c>
      <c r="M848">
        <v>241</v>
      </c>
      <c r="N848">
        <v>8376</v>
      </c>
      <c r="O848">
        <v>6</v>
      </c>
      <c r="P848" t="s">
        <v>44</v>
      </c>
      <c r="Q848" s="1">
        <v>44313</v>
      </c>
    </row>
    <row r="849" spans="1:17" x14ac:dyDescent="0.3">
      <c r="A849" t="s">
        <v>22</v>
      </c>
      <c r="B849" t="s">
        <v>45</v>
      </c>
      <c r="C849" t="s">
        <v>23</v>
      </c>
      <c r="D849" t="s">
        <v>40</v>
      </c>
      <c r="E849" t="s">
        <v>31</v>
      </c>
      <c r="F849" s="9">
        <v>0.01</v>
      </c>
      <c r="G849" s="10">
        <v>5765</v>
      </c>
      <c r="H849">
        <v>2.7</v>
      </c>
      <c r="I849" s="5">
        <f>ROUND(Marketing[[#This Row],[Clicks]]*Marketing[[#This Row],[Conversion_Rate]],0)</f>
        <v>6</v>
      </c>
      <c r="J849" s="12">
        <f>Marketing[[#This Row],[Campaign_Cost]]/Marketing[[#This Row],[Customers]]</f>
        <v>960.83333333333337</v>
      </c>
      <c r="K849" t="s">
        <v>51</v>
      </c>
      <c r="L849" t="s">
        <v>20</v>
      </c>
      <c r="M849">
        <v>645</v>
      </c>
      <c r="N849">
        <v>7700</v>
      </c>
      <c r="O849">
        <v>8</v>
      </c>
      <c r="P849" t="s">
        <v>44</v>
      </c>
      <c r="Q849" s="1">
        <v>44314</v>
      </c>
    </row>
    <row r="850" spans="1:17" x14ac:dyDescent="0.3">
      <c r="A850" t="s">
        <v>14</v>
      </c>
      <c r="B850" t="s">
        <v>36</v>
      </c>
      <c r="C850" t="s">
        <v>23</v>
      </c>
      <c r="D850" t="s">
        <v>24</v>
      </c>
      <c r="E850" t="s">
        <v>15</v>
      </c>
      <c r="F850" s="9">
        <v>0.1</v>
      </c>
      <c r="G850" s="10">
        <v>19703</v>
      </c>
      <c r="H850">
        <v>6.98</v>
      </c>
      <c r="I850" s="5">
        <f>ROUND(Marketing[[#This Row],[Clicks]]*Marketing[[#This Row],[Conversion_Rate]],0)</f>
        <v>28</v>
      </c>
      <c r="J850" s="12">
        <f>Marketing[[#This Row],[Campaign_Cost]]/Marketing[[#This Row],[Customers]]</f>
        <v>703.67857142857144</v>
      </c>
      <c r="K850" t="s">
        <v>38</v>
      </c>
      <c r="L850" t="s">
        <v>39</v>
      </c>
      <c r="M850">
        <v>277</v>
      </c>
      <c r="N850">
        <v>9363</v>
      </c>
      <c r="O850">
        <v>10</v>
      </c>
      <c r="P850" t="s">
        <v>27</v>
      </c>
      <c r="Q850" s="1">
        <v>44315</v>
      </c>
    </row>
    <row r="851" spans="1:17" x14ac:dyDescent="0.3">
      <c r="A851" t="s">
        <v>35</v>
      </c>
      <c r="B851" t="s">
        <v>45</v>
      </c>
      <c r="C851" t="s">
        <v>16</v>
      </c>
      <c r="D851" t="s">
        <v>40</v>
      </c>
      <c r="E851" t="s">
        <v>31</v>
      </c>
      <c r="F851" s="9">
        <v>0.03</v>
      </c>
      <c r="G851" s="10">
        <v>10639</v>
      </c>
      <c r="H851">
        <v>3.12</v>
      </c>
      <c r="I851" s="5">
        <f>ROUND(Marketing[[#This Row],[Clicks]]*Marketing[[#This Row],[Conversion_Rate]],0)</f>
        <v>20</v>
      </c>
      <c r="J851" s="12">
        <f>Marketing[[#This Row],[Campaign_Cost]]/Marketing[[#This Row],[Customers]]</f>
        <v>531.95000000000005</v>
      </c>
      <c r="K851" t="s">
        <v>32</v>
      </c>
      <c r="L851" t="s">
        <v>33</v>
      </c>
      <c r="M851">
        <v>677</v>
      </c>
      <c r="N851">
        <v>1818</v>
      </c>
      <c r="O851">
        <v>10</v>
      </c>
      <c r="P851" t="s">
        <v>42</v>
      </c>
      <c r="Q851" s="1">
        <v>44316</v>
      </c>
    </row>
    <row r="852" spans="1:17" x14ac:dyDescent="0.3">
      <c r="A852" t="s">
        <v>28</v>
      </c>
      <c r="B852" t="s">
        <v>36</v>
      </c>
      <c r="C852" t="s">
        <v>16</v>
      </c>
      <c r="D852" t="s">
        <v>17</v>
      </c>
      <c r="E852" t="s">
        <v>48</v>
      </c>
      <c r="F852" s="9">
        <v>0.04</v>
      </c>
      <c r="G852" s="10">
        <v>11290</v>
      </c>
      <c r="H852">
        <v>7.62</v>
      </c>
      <c r="I852" s="5">
        <f>ROUND(Marketing[[#This Row],[Clicks]]*Marketing[[#This Row],[Conversion_Rate]],0)</f>
        <v>36</v>
      </c>
      <c r="J852" s="12">
        <f>Marketing[[#This Row],[Campaign_Cost]]/Marketing[[#This Row],[Customers]]</f>
        <v>313.61111111111109</v>
      </c>
      <c r="K852" t="s">
        <v>38</v>
      </c>
      <c r="L852" t="s">
        <v>20</v>
      </c>
      <c r="M852">
        <v>898</v>
      </c>
      <c r="N852">
        <v>3077</v>
      </c>
      <c r="O852">
        <v>4</v>
      </c>
      <c r="P852" t="s">
        <v>21</v>
      </c>
      <c r="Q852" s="1">
        <v>44317</v>
      </c>
    </row>
    <row r="853" spans="1:17" x14ac:dyDescent="0.3">
      <c r="A853" t="s">
        <v>14</v>
      </c>
      <c r="B853" t="s">
        <v>47</v>
      </c>
      <c r="C853" t="s">
        <v>52</v>
      </c>
      <c r="D853" t="s">
        <v>46</v>
      </c>
      <c r="E853" t="s">
        <v>18</v>
      </c>
      <c r="F853" s="9">
        <v>0.1</v>
      </c>
      <c r="G853" s="10">
        <v>17511</v>
      </c>
      <c r="H853">
        <v>4.4000000000000004</v>
      </c>
      <c r="I853" s="5">
        <f>ROUND(Marketing[[#This Row],[Clicks]]*Marketing[[#This Row],[Conversion_Rate]],0)</f>
        <v>18</v>
      </c>
      <c r="J853" s="12">
        <f>Marketing[[#This Row],[Campaign_Cost]]/Marketing[[#This Row],[Customers]]</f>
        <v>972.83333333333337</v>
      </c>
      <c r="K853" t="s">
        <v>51</v>
      </c>
      <c r="L853" t="s">
        <v>33</v>
      </c>
      <c r="M853">
        <v>179</v>
      </c>
      <c r="N853">
        <v>5460</v>
      </c>
      <c r="O853">
        <v>2</v>
      </c>
      <c r="P853" t="s">
        <v>42</v>
      </c>
      <c r="Q853" s="1">
        <v>44318</v>
      </c>
    </row>
    <row r="854" spans="1:17" x14ac:dyDescent="0.3">
      <c r="A854" t="s">
        <v>35</v>
      </c>
      <c r="B854" t="s">
        <v>47</v>
      </c>
      <c r="C854" t="s">
        <v>16</v>
      </c>
      <c r="D854" t="s">
        <v>46</v>
      </c>
      <c r="E854" t="s">
        <v>18</v>
      </c>
      <c r="F854" s="9">
        <v>0.06</v>
      </c>
      <c r="G854" s="10">
        <v>5738</v>
      </c>
      <c r="H854">
        <v>4.72</v>
      </c>
      <c r="I854" s="5">
        <f>ROUND(Marketing[[#This Row],[Clicks]]*Marketing[[#This Row],[Conversion_Rate]],0)</f>
        <v>17</v>
      </c>
      <c r="J854" s="12">
        <f>Marketing[[#This Row],[Campaign_Cost]]/Marketing[[#This Row],[Customers]]</f>
        <v>337.52941176470586</v>
      </c>
      <c r="K854" t="s">
        <v>25</v>
      </c>
      <c r="L854" t="s">
        <v>26</v>
      </c>
      <c r="M854">
        <v>277</v>
      </c>
      <c r="N854">
        <v>2731</v>
      </c>
      <c r="O854">
        <v>3</v>
      </c>
      <c r="P854" t="s">
        <v>34</v>
      </c>
      <c r="Q854" s="1">
        <v>44319</v>
      </c>
    </row>
    <row r="855" spans="1:17" x14ac:dyDescent="0.3">
      <c r="A855" t="s">
        <v>14</v>
      </c>
      <c r="B855" t="s">
        <v>29</v>
      </c>
      <c r="C855" t="s">
        <v>16</v>
      </c>
      <c r="D855" t="s">
        <v>46</v>
      </c>
      <c r="E855" t="s">
        <v>48</v>
      </c>
      <c r="F855" s="9">
        <v>7.0000000000000007E-2</v>
      </c>
      <c r="G855" s="10">
        <v>10498</v>
      </c>
      <c r="H855">
        <v>7.65</v>
      </c>
      <c r="I855" s="5">
        <f>ROUND(Marketing[[#This Row],[Clicks]]*Marketing[[#This Row],[Conversion_Rate]],0)</f>
        <v>60</v>
      </c>
      <c r="J855" s="12">
        <f>Marketing[[#This Row],[Campaign_Cost]]/Marketing[[#This Row],[Customers]]</f>
        <v>174.96666666666667</v>
      </c>
      <c r="K855" t="s">
        <v>19</v>
      </c>
      <c r="L855" t="s">
        <v>26</v>
      </c>
      <c r="M855">
        <v>863</v>
      </c>
      <c r="N855">
        <v>3783</v>
      </c>
      <c r="O855">
        <v>6</v>
      </c>
      <c r="P855" t="s">
        <v>21</v>
      </c>
      <c r="Q855" s="1">
        <v>44320</v>
      </c>
    </row>
    <row r="856" spans="1:17" x14ac:dyDescent="0.3">
      <c r="A856" t="s">
        <v>14</v>
      </c>
      <c r="B856" t="s">
        <v>45</v>
      </c>
      <c r="C856" t="s">
        <v>16</v>
      </c>
      <c r="D856" t="s">
        <v>46</v>
      </c>
      <c r="E856" t="s">
        <v>18</v>
      </c>
      <c r="F856" s="9">
        <v>0.06</v>
      </c>
      <c r="G856" s="10">
        <v>7266</v>
      </c>
      <c r="H856">
        <v>6.51</v>
      </c>
      <c r="I856" s="5">
        <f>ROUND(Marketing[[#This Row],[Clicks]]*Marketing[[#This Row],[Conversion_Rate]],0)</f>
        <v>41</v>
      </c>
      <c r="J856" s="12">
        <f>Marketing[[#This Row],[Campaign_Cost]]/Marketing[[#This Row],[Customers]]</f>
        <v>177.21951219512195</v>
      </c>
      <c r="K856" t="s">
        <v>25</v>
      </c>
      <c r="L856" t="s">
        <v>33</v>
      </c>
      <c r="M856">
        <v>689</v>
      </c>
      <c r="N856">
        <v>5803</v>
      </c>
      <c r="O856">
        <v>6</v>
      </c>
      <c r="P856" t="s">
        <v>34</v>
      </c>
      <c r="Q856" s="1">
        <v>44321</v>
      </c>
    </row>
    <row r="857" spans="1:17" x14ac:dyDescent="0.3">
      <c r="A857" t="s">
        <v>14</v>
      </c>
      <c r="B857" t="s">
        <v>29</v>
      </c>
      <c r="C857" t="s">
        <v>52</v>
      </c>
      <c r="D857" t="s">
        <v>40</v>
      </c>
      <c r="E857" t="s">
        <v>31</v>
      </c>
      <c r="F857" s="9">
        <v>0.14000000000000001</v>
      </c>
      <c r="G857" s="10">
        <v>6405</v>
      </c>
      <c r="H857">
        <v>2.67</v>
      </c>
      <c r="I857" s="5">
        <f>ROUND(Marketing[[#This Row],[Clicks]]*Marketing[[#This Row],[Conversion_Rate]],0)</f>
        <v>61</v>
      </c>
      <c r="J857" s="12">
        <f>Marketing[[#This Row],[Campaign_Cost]]/Marketing[[#This Row],[Customers]]</f>
        <v>105</v>
      </c>
      <c r="K857" t="s">
        <v>38</v>
      </c>
      <c r="L857" t="s">
        <v>20</v>
      </c>
      <c r="M857">
        <v>434</v>
      </c>
      <c r="N857">
        <v>3524</v>
      </c>
      <c r="O857">
        <v>3</v>
      </c>
      <c r="P857" t="s">
        <v>42</v>
      </c>
      <c r="Q857" s="1">
        <v>44322</v>
      </c>
    </row>
    <row r="858" spans="1:17" x14ac:dyDescent="0.3">
      <c r="A858" t="s">
        <v>14</v>
      </c>
      <c r="B858" t="s">
        <v>36</v>
      </c>
      <c r="C858" t="s">
        <v>30</v>
      </c>
      <c r="D858" t="s">
        <v>46</v>
      </c>
      <c r="E858" t="s">
        <v>41</v>
      </c>
      <c r="F858" s="9">
        <v>0.01</v>
      </c>
      <c r="G858" s="10">
        <v>10198</v>
      </c>
      <c r="H858">
        <v>2.78</v>
      </c>
      <c r="I858" s="5">
        <f>ROUND(Marketing[[#This Row],[Clicks]]*Marketing[[#This Row],[Conversion_Rate]],0)</f>
        <v>7</v>
      </c>
      <c r="J858" s="12">
        <f>Marketing[[#This Row],[Campaign_Cost]]/Marketing[[#This Row],[Customers]]</f>
        <v>1456.8571428571429</v>
      </c>
      <c r="K858" t="s">
        <v>38</v>
      </c>
      <c r="L858" t="s">
        <v>50</v>
      </c>
      <c r="M858">
        <v>670</v>
      </c>
      <c r="N858">
        <v>9938</v>
      </c>
      <c r="O858">
        <v>2</v>
      </c>
      <c r="P858" t="s">
        <v>34</v>
      </c>
      <c r="Q858" s="1">
        <v>44323</v>
      </c>
    </row>
    <row r="859" spans="1:17" x14ac:dyDescent="0.3">
      <c r="A859" t="s">
        <v>49</v>
      </c>
      <c r="B859" t="s">
        <v>29</v>
      </c>
      <c r="C859" t="s">
        <v>52</v>
      </c>
      <c r="D859" t="s">
        <v>40</v>
      </c>
      <c r="E859" t="s">
        <v>31</v>
      </c>
      <c r="F859" s="9">
        <v>0.03</v>
      </c>
      <c r="G859" s="10">
        <v>12890</v>
      </c>
      <c r="H859">
        <v>7.49</v>
      </c>
      <c r="I859" s="5">
        <f>ROUND(Marketing[[#This Row],[Clicks]]*Marketing[[#This Row],[Conversion_Rate]],0)</f>
        <v>18</v>
      </c>
      <c r="J859" s="12">
        <f>Marketing[[#This Row],[Campaign_Cost]]/Marketing[[#This Row],[Customers]]</f>
        <v>716.11111111111109</v>
      </c>
      <c r="K859" t="s">
        <v>32</v>
      </c>
      <c r="L859" t="s">
        <v>50</v>
      </c>
      <c r="M859">
        <v>600</v>
      </c>
      <c r="N859">
        <v>5429</v>
      </c>
      <c r="O859">
        <v>1</v>
      </c>
      <c r="P859" t="s">
        <v>42</v>
      </c>
      <c r="Q859" s="1">
        <v>44324</v>
      </c>
    </row>
    <row r="860" spans="1:17" x14ac:dyDescent="0.3">
      <c r="A860" t="s">
        <v>35</v>
      </c>
      <c r="B860" t="s">
        <v>29</v>
      </c>
      <c r="C860" t="s">
        <v>23</v>
      </c>
      <c r="D860" t="s">
        <v>40</v>
      </c>
      <c r="E860" t="s">
        <v>15</v>
      </c>
      <c r="F860" s="9">
        <v>0.13</v>
      </c>
      <c r="G860" s="10">
        <v>16318</v>
      </c>
      <c r="H860">
        <v>5.07</v>
      </c>
      <c r="I860" s="5">
        <f>ROUND(Marketing[[#This Row],[Clicks]]*Marketing[[#This Row],[Conversion_Rate]],0)</f>
        <v>20</v>
      </c>
      <c r="J860" s="12">
        <f>Marketing[[#This Row],[Campaign_Cost]]/Marketing[[#This Row],[Customers]]</f>
        <v>815.9</v>
      </c>
      <c r="K860" t="s">
        <v>25</v>
      </c>
      <c r="L860" t="s">
        <v>50</v>
      </c>
      <c r="M860">
        <v>153</v>
      </c>
      <c r="N860">
        <v>1163</v>
      </c>
      <c r="O860">
        <v>6</v>
      </c>
      <c r="P860" t="s">
        <v>27</v>
      </c>
      <c r="Q860" s="1">
        <v>44325</v>
      </c>
    </row>
    <row r="861" spans="1:17" x14ac:dyDescent="0.3">
      <c r="A861" t="s">
        <v>49</v>
      </c>
      <c r="B861" t="s">
        <v>29</v>
      </c>
      <c r="C861" t="s">
        <v>52</v>
      </c>
      <c r="D861" t="s">
        <v>24</v>
      </c>
      <c r="E861" t="s">
        <v>48</v>
      </c>
      <c r="F861" s="9">
        <v>0.09</v>
      </c>
      <c r="G861" s="10">
        <v>11025</v>
      </c>
      <c r="H861">
        <v>4.51</v>
      </c>
      <c r="I861" s="5">
        <f>ROUND(Marketing[[#This Row],[Clicks]]*Marketing[[#This Row],[Conversion_Rate]],0)</f>
        <v>37</v>
      </c>
      <c r="J861" s="12">
        <f>Marketing[[#This Row],[Campaign_Cost]]/Marketing[[#This Row],[Customers]]</f>
        <v>297.97297297297297</v>
      </c>
      <c r="K861" t="s">
        <v>51</v>
      </c>
      <c r="L861" t="s">
        <v>26</v>
      </c>
      <c r="M861">
        <v>407</v>
      </c>
      <c r="N861">
        <v>1278</v>
      </c>
      <c r="O861">
        <v>2</v>
      </c>
      <c r="P861" t="s">
        <v>42</v>
      </c>
      <c r="Q861" s="1">
        <v>44326</v>
      </c>
    </row>
    <row r="862" spans="1:17" x14ac:dyDescent="0.3">
      <c r="A862" t="s">
        <v>22</v>
      </c>
      <c r="B862" t="s">
        <v>29</v>
      </c>
      <c r="C862" t="s">
        <v>23</v>
      </c>
      <c r="D862" t="s">
        <v>46</v>
      </c>
      <c r="E862" t="s">
        <v>41</v>
      </c>
      <c r="F862" s="9">
        <v>0.03</v>
      </c>
      <c r="G862" s="10">
        <v>6244</v>
      </c>
      <c r="H862">
        <v>6.57</v>
      </c>
      <c r="I862" s="5">
        <f>ROUND(Marketing[[#This Row],[Clicks]]*Marketing[[#This Row],[Conversion_Rate]],0)</f>
        <v>23</v>
      </c>
      <c r="J862" s="12">
        <f>Marketing[[#This Row],[Campaign_Cost]]/Marketing[[#This Row],[Customers]]</f>
        <v>271.47826086956519</v>
      </c>
      <c r="K862" t="s">
        <v>25</v>
      </c>
      <c r="L862" t="s">
        <v>50</v>
      </c>
      <c r="M862">
        <v>774</v>
      </c>
      <c r="N862">
        <v>1864</v>
      </c>
      <c r="O862">
        <v>4</v>
      </c>
      <c r="P862" t="s">
        <v>42</v>
      </c>
      <c r="Q862" s="1">
        <v>44327</v>
      </c>
    </row>
    <row r="863" spans="1:17" x14ac:dyDescent="0.3">
      <c r="A863" t="s">
        <v>49</v>
      </c>
      <c r="B863" t="s">
        <v>47</v>
      </c>
      <c r="C863" t="s">
        <v>37</v>
      </c>
      <c r="D863" t="s">
        <v>24</v>
      </c>
      <c r="E863" t="s">
        <v>15</v>
      </c>
      <c r="F863" s="9">
        <v>0.13</v>
      </c>
      <c r="G863" s="10">
        <v>15988</v>
      </c>
      <c r="H863">
        <v>2.08</v>
      </c>
      <c r="I863" s="5">
        <f>ROUND(Marketing[[#This Row],[Clicks]]*Marketing[[#This Row],[Conversion_Rate]],0)</f>
        <v>51</v>
      </c>
      <c r="J863" s="12">
        <f>Marketing[[#This Row],[Campaign_Cost]]/Marketing[[#This Row],[Customers]]</f>
        <v>313.49019607843138</v>
      </c>
      <c r="K863" t="s">
        <v>38</v>
      </c>
      <c r="L863" t="s">
        <v>33</v>
      </c>
      <c r="M863">
        <v>394</v>
      </c>
      <c r="N863">
        <v>3239</v>
      </c>
      <c r="O863">
        <v>7</v>
      </c>
      <c r="P863" t="s">
        <v>44</v>
      </c>
      <c r="Q863" s="1">
        <v>44328</v>
      </c>
    </row>
    <row r="864" spans="1:17" x14ac:dyDescent="0.3">
      <c r="A864" t="s">
        <v>22</v>
      </c>
      <c r="B864" t="s">
        <v>29</v>
      </c>
      <c r="C864" t="s">
        <v>52</v>
      </c>
      <c r="D864" t="s">
        <v>24</v>
      </c>
      <c r="E864" t="s">
        <v>43</v>
      </c>
      <c r="F864" s="9">
        <v>0.1</v>
      </c>
      <c r="G864" s="10">
        <v>12975</v>
      </c>
      <c r="H864">
        <v>2.38</v>
      </c>
      <c r="I864" s="5">
        <f>ROUND(Marketing[[#This Row],[Clicks]]*Marketing[[#This Row],[Conversion_Rate]],0)</f>
        <v>23</v>
      </c>
      <c r="J864" s="12">
        <f>Marketing[[#This Row],[Campaign_Cost]]/Marketing[[#This Row],[Customers]]</f>
        <v>564.13043478260875</v>
      </c>
      <c r="K864" t="s">
        <v>19</v>
      </c>
      <c r="L864" t="s">
        <v>39</v>
      </c>
      <c r="M864">
        <v>227</v>
      </c>
      <c r="N864">
        <v>9318</v>
      </c>
      <c r="O864">
        <v>5</v>
      </c>
      <c r="P864" t="s">
        <v>27</v>
      </c>
      <c r="Q864" s="1">
        <v>44329</v>
      </c>
    </row>
    <row r="865" spans="1:17" x14ac:dyDescent="0.3">
      <c r="A865" t="s">
        <v>35</v>
      </c>
      <c r="B865" t="s">
        <v>36</v>
      </c>
      <c r="C865" t="s">
        <v>30</v>
      </c>
      <c r="D865" t="s">
        <v>24</v>
      </c>
      <c r="E865" t="s">
        <v>15</v>
      </c>
      <c r="F865" s="9">
        <v>0.06</v>
      </c>
      <c r="G865" s="10">
        <v>5351</v>
      </c>
      <c r="H865">
        <v>3.29</v>
      </c>
      <c r="I865" s="5">
        <f>ROUND(Marketing[[#This Row],[Clicks]]*Marketing[[#This Row],[Conversion_Rate]],0)</f>
        <v>11</v>
      </c>
      <c r="J865" s="12">
        <f>Marketing[[#This Row],[Campaign_Cost]]/Marketing[[#This Row],[Customers]]</f>
        <v>486.45454545454544</v>
      </c>
      <c r="K865" t="s">
        <v>51</v>
      </c>
      <c r="L865" t="s">
        <v>39</v>
      </c>
      <c r="M865">
        <v>181</v>
      </c>
      <c r="N865">
        <v>8462</v>
      </c>
      <c r="O865">
        <v>1</v>
      </c>
      <c r="P865" t="s">
        <v>27</v>
      </c>
      <c r="Q865" s="1">
        <v>44330</v>
      </c>
    </row>
    <row r="866" spans="1:17" x14ac:dyDescent="0.3">
      <c r="A866" t="s">
        <v>49</v>
      </c>
      <c r="B866" t="s">
        <v>47</v>
      </c>
      <c r="C866" t="s">
        <v>37</v>
      </c>
      <c r="D866" t="s">
        <v>40</v>
      </c>
      <c r="E866" t="s">
        <v>43</v>
      </c>
      <c r="F866" s="9">
        <v>0.1</v>
      </c>
      <c r="G866" s="10">
        <v>8560</v>
      </c>
      <c r="H866">
        <v>5.15</v>
      </c>
      <c r="I866" s="5">
        <f>ROUND(Marketing[[#This Row],[Clicks]]*Marketing[[#This Row],[Conversion_Rate]],0)</f>
        <v>30</v>
      </c>
      <c r="J866" s="12">
        <f>Marketing[[#This Row],[Campaign_Cost]]/Marketing[[#This Row],[Customers]]</f>
        <v>285.33333333333331</v>
      </c>
      <c r="K866" t="s">
        <v>19</v>
      </c>
      <c r="L866" t="s">
        <v>20</v>
      </c>
      <c r="M866">
        <v>297</v>
      </c>
      <c r="N866">
        <v>6484</v>
      </c>
      <c r="O866">
        <v>2</v>
      </c>
      <c r="P866" t="s">
        <v>34</v>
      </c>
      <c r="Q866" s="1">
        <v>44331</v>
      </c>
    </row>
    <row r="867" spans="1:17" x14ac:dyDescent="0.3">
      <c r="A867" t="s">
        <v>14</v>
      </c>
      <c r="B867" t="s">
        <v>29</v>
      </c>
      <c r="C867" t="s">
        <v>16</v>
      </c>
      <c r="D867" t="s">
        <v>40</v>
      </c>
      <c r="E867" t="s">
        <v>18</v>
      </c>
      <c r="F867" s="9">
        <v>0.13</v>
      </c>
      <c r="G867" s="10">
        <v>17338</v>
      </c>
      <c r="H867">
        <v>5.68</v>
      </c>
      <c r="I867" s="5">
        <f>ROUND(Marketing[[#This Row],[Clicks]]*Marketing[[#This Row],[Conversion_Rate]],0)</f>
        <v>92</v>
      </c>
      <c r="J867" s="12">
        <f>Marketing[[#This Row],[Campaign_Cost]]/Marketing[[#This Row],[Customers]]</f>
        <v>188.45652173913044</v>
      </c>
      <c r="K867" t="s">
        <v>51</v>
      </c>
      <c r="L867" t="s">
        <v>20</v>
      </c>
      <c r="M867">
        <v>708</v>
      </c>
      <c r="N867">
        <v>5378</v>
      </c>
      <c r="O867">
        <v>2</v>
      </c>
      <c r="P867" t="s">
        <v>27</v>
      </c>
      <c r="Q867" s="1">
        <v>44332</v>
      </c>
    </row>
    <row r="868" spans="1:17" x14ac:dyDescent="0.3">
      <c r="A868" t="s">
        <v>49</v>
      </c>
      <c r="B868" t="s">
        <v>45</v>
      </c>
      <c r="C868" t="s">
        <v>23</v>
      </c>
      <c r="D868" t="s">
        <v>46</v>
      </c>
      <c r="E868" t="s">
        <v>48</v>
      </c>
      <c r="F868" s="9">
        <v>0.13</v>
      </c>
      <c r="G868" s="10">
        <v>17534</v>
      </c>
      <c r="H868">
        <v>3.79</v>
      </c>
      <c r="I868" s="5">
        <f>ROUND(Marketing[[#This Row],[Clicks]]*Marketing[[#This Row],[Conversion_Rate]],0)</f>
        <v>49</v>
      </c>
      <c r="J868" s="12">
        <f>Marketing[[#This Row],[Campaign_Cost]]/Marketing[[#This Row],[Customers]]</f>
        <v>357.83673469387753</v>
      </c>
      <c r="K868" t="s">
        <v>32</v>
      </c>
      <c r="L868" t="s">
        <v>33</v>
      </c>
      <c r="M868">
        <v>375</v>
      </c>
      <c r="N868">
        <v>4267</v>
      </c>
      <c r="O868">
        <v>9</v>
      </c>
      <c r="P868" t="s">
        <v>27</v>
      </c>
      <c r="Q868" s="1">
        <v>44333</v>
      </c>
    </row>
    <row r="869" spans="1:17" x14ac:dyDescent="0.3">
      <c r="A869" t="s">
        <v>22</v>
      </c>
      <c r="B869" t="s">
        <v>36</v>
      </c>
      <c r="C869" t="s">
        <v>37</v>
      </c>
      <c r="D869" t="s">
        <v>17</v>
      </c>
      <c r="E869" t="s">
        <v>18</v>
      </c>
      <c r="F869" s="9">
        <v>0.09</v>
      </c>
      <c r="G869" s="10">
        <v>16803</v>
      </c>
      <c r="H869">
        <v>5.57</v>
      </c>
      <c r="I869" s="5">
        <f>ROUND(Marketing[[#This Row],[Clicks]]*Marketing[[#This Row],[Conversion_Rate]],0)</f>
        <v>33</v>
      </c>
      <c r="J869" s="12">
        <f>Marketing[[#This Row],[Campaign_Cost]]/Marketing[[#This Row],[Customers]]</f>
        <v>509.18181818181819</v>
      </c>
      <c r="K869" t="s">
        <v>32</v>
      </c>
      <c r="L869" t="s">
        <v>33</v>
      </c>
      <c r="M869">
        <v>371</v>
      </c>
      <c r="N869">
        <v>1743</v>
      </c>
      <c r="O869">
        <v>8</v>
      </c>
      <c r="P869" t="s">
        <v>34</v>
      </c>
      <c r="Q869" s="1">
        <v>44334</v>
      </c>
    </row>
    <row r="870" spans="1:17" x14ac:dyDescent="0.3">
      <c r="A870" t="s">
        <v>35</v>
      </c>
      <c r="B870" t="s">
        <v>47</v>
      </c>
      <c r="C870" t="s">
        <v>30</v>
      </c>
      <c r="D870" t="s">
        <v>24</v>
      </c>
      <c r="E870" t="s">
        <v>31</v>
      </c>
      <c r="F870" s="9">
        <v>0.05</v>
      </c>
      <c r="G870" s="10">
        <v>11442</v>
      </c>
      <c r="H870">
        <v>3.09</v>
      </c>
      <c r="I870" s="5">
        <f>ROUND(Marketing[[#This Row],[Clicks]]*Marketing[[#This Row],[Conversion_Rate]],0)</f>
        <v>37</v>
      </c>
      <c r="J870" s="12">
        <f>Marketing[[#This Row],[Campaign_Cost]]/Marketing[[#This Row],[Customers]]</f>
        <v>309.24324324324323</v>
      </c>
      <c r="K870" t="s">
        <v>25</v>
      </c>
      <c r="L870" t="s">
        <v>26</v>
      </c>
      <c r="M870">
        <v>740</v>
      </c>
      <c r="N870">
        <v>9673</v>
      </c>
      <c r="O870">
        <v>5</v>
      </c>
      <c r="P870" t="s">
        <v>21</v>
      </c>
      <c r="Q870" s="1">
        <v>44335</v>
      </c>
    </row>
    <row r="871" spans="1:17" x14ac:dyDescent="0.3">
      <c r="A871" t="s">
        <v>49</v>
      </c>
      <c r="B871" t="s">
        <v>15</v>
      </c>
      <c r="C871" t="s">
        <v>16</v>
      </c>
      <c r="D871" t="s">
        <v>17</v>
      </c>
      <c r="E871" t="s">
        <v>15</v>
      </c>
      <c r="F871" s="9">
        <v>0.12</v>
      </c>
      <c r="G871" s="10">
        <v>19434</v>
      </c>
      <c r="H871">
        <v>5.26</v>
      </c>
      <c r="I871" s="5">
        <f>ROUND(Marketing[[#This Row],[Clicks]]*Marketing[[#This Row],[Conversion_Rate]],0)</f>
        <v>54</v>
      </c>
      <c r="J871" s="12">
        <f>Marketing[[#This Row],[Campaign_Cost]]/Marketing[[#This Row],[Customers]]</f>
        <v>359.88888888888891</v>
      </c>
      <c r="K871" t="s">
        <v>32</v>
      </c>
      <c r="L871" t="s">
        <v>50</v>
      </c>
      <c r="M871">
        <v>446</v>
      </c>
      <c r="N871">
        <v>3227</v>
      </c>
      <c r="O871">
        <v>6</v>
      </c>
      <c r="P871" t="s">
        <v>42</v>
      </c>
      <c r="Q871" s="1">
        <v>44336</v>
      </c>
    </row>
    <row r="872" spans="1:17" x14ac:dyDescent="0.3">
      <c r="A872" t="s">
        <v>22</v>
      </c>
      <c r="B872" t="s">
        <v>47</v>
      </c>
      <c r="C872" t="s">
        <v>30</v>
      </c>
      <c r="D872" t="s">
        <v>46</v>
      </c>
      <c r="E872" t="s">
        <v>48</v>
      </c>
      <c r="F872" s="9">
        <v>0.08</v>
      </c>
      <c r="G872" s="10">
        <v>9447</v>
      </c>
      <c r="H872">
        <v>4.75</v>
      </c>
      <c r="I872" s="5">
        <f>ROUND(Marketing[[#This Row],[Clicks]]*Marketing[[#This Row],[Conversion_Rate]],0)</f>
        <v>34</v>
      </c>
      <c r="J872" s="12">
        <f>Marketing[[#This Row],[Campaign_Cost]]/Marketing[[#This Row],[Customers]]</f>
        <v>277.85294117647061</v>
      </c>
      <c r="K872" t="s">
        <v>38</v>
      </c>
      <c r="L872" t="s">
        <v>50</v>
      </c>
      <c r="M872">
        <v>430</v>
      </c>
      <c r="N872">
        <v>1845</v>
      </c>
      <c r="O872">
        <v>2</v>
      </c>
      <c r="P872" t="s">
        <v>21</v>
      </c>
      <c r="Q872" s="1">
        <v>44337</v>
      </c>
    </row>
    <row r="873" spans="1:17" x14ac:dyDescent="0.3">
      <c r="A873" t="s">
        <v>14</v>
      </c>
      <c r="B873" t="s">
        <v>45</v>
      </c>
      <c r="C873" t="s">
        <v>30</v>
      </c>
      <c r="D873" t="s">
        <v>24</v>
      </c>
      <c r="E873" t="s">
        <v>18</v>
      </c>
      <c r="F873" s="9">
        <v>0.1</v>
      </c>
      <c r="G873" s="10">
        <v>10746</v>
      </c>
      <c r="H873">
        <v>3.67</v>
      </c>
      <c r="I873" s="5">
        <f>ROUND(Marketing[[#This Row],[Clicks]]*Marketing[[#This Row],[Conversion_Rate]],0)</f>
        <v>70</v>
      </c>
      <c r="J873" s="12">
        <f>Marketing[[#This Row],[Campaign_Cost]]/Marketing[[#This Row],[Customers]]</f>
        <v>153.51428571428571</v>
      </c>
      <c r="K873" t="s">
        <v>32</v>
      </c>
      <c r="L873" t="s">
        <v>39</v>
      </c>
      <c r="M873">
        <v>702</v>
      </c>
      <c r="N873">
        <v>3192</v>
      </c>
      <c r="O873">
        <v>6</v>
      </c>
      <c r="P873" t="s">
        <v>34</v>
      </c>
      <c r="Q873" s="1">
        <v>44338</v>
      </c>
    </row>
    <row r="874" spans="1:17" x14ac:dyDescent="0.3">
      <c r="A874" t="s">
        <v>28</v>
      </c>
      <c r="B874" t="s">
        <v>36</v>
      </c>
      <c r="C874" t="s">
        <v>52</v>
      </c>
      <c r="D874" t="s">
        <v>46</v>
      </c>
      <c r="E874" t="s">
        <v>43</v>
      </c>
      <c r="F874" s="9">
        <v>0.02</v>
      </c>
      <c r="G874" s="10">
        <v>8306</v>
      </c>
      <c r="H874">
        <v>2.56</v>
      </c>
      <c r="I874" s="5">
        <f>ROUND(Marketing[[#This Row],[Clicks]]*Marketing[[#This Row],[Conversion_Rate]],0)</f>
        <v>4</v>
      </c>
      <c r="J874" s="12">
        <f>Marketing[[#This Row],[Campaign_Cost]]/Marketing[[#This Row],[Customers]]</f>
        <v>2076.5</v>
      </c>
      <c r="K874" t="s">
        <v>19</v>
      </c>
      <c r="L874" t="s">
        <v>20</v>
      </c>
      <c r="M874">
        <v>189</v>
      </c>
      <c r="N874">
        <v>2951</v>
      </c>
      <c r="O874">
        <v>6</v>
      </c>
      <c r="P874" t="s">
        <v>34</v>
      </c>
      <c r="Q874" s="1">
        <v>44339</v>
      </c>
    </row>
    <row r="875" spans="1:17" x14ac:dyDescent="0.3">
      <c r="A875" t="s">
        <v>14</v>
      </c>
      <c r="B875" t="s">
        <v>47</v>
      </c>
      <c r="C875" t="s">
        <v>23</v>
      </c>
      <c r="D875" t="s">
        <v>46</v>
      </c>
      <c r="E875" t="s">
        <v>15</v>
      </c>
      <c r="F875" s="9">
        <v>0.09</v>
      </c>
      <c r="G875" s="10">
        <v>8402</v>
      </c>
      <c r="H875">
        <v>2.04</v>
      </c>
      <c r="I875" s="5">
        <f>ROUND(Marketing[[#This Row],[Clicks]]*Marketing[[#This Row],[Conversion_Rate]],0)</f>
        <v>17</v>
      </c>
      <c r="J875" s="12">
        <f>Marketing[[#This Row],[Campaign_Cost]]/Marketing[[#This Row],[Customers]]</f>
        <v>494.23529411764707</v>
      </c>
      <c r="K875" t="s">
        <v>32</v>
      </c>
      <c r="L875" t="s">
        <v>33</v>
      </c>
      <c r="M875">
        <v>191</v>
      </c>
      <c r="N875">
        <v>7627</v>
      </c>
      <c r="O875">
        <v>2</v>
      </c>
      <c r="P875" t="s">
        <v>42</v>
      </c>
      <c r="Q875" s="1">
        <v>44340</v>
      </c>
    </row>
    <row r="876" spans="1:17" x14ac:dyDescent="0.3">
      <c r="A876" t="s">
        <v>14</v>
      </c>
      <c r="B876" t="s">
        <v>47</v>
      </c>
      <c r="C876" t="s">
        <v>30</v>
      </c>
      <c r="D876" t="s">
        <v>24</v>
      </c>
      <c r="E876" t="s">
        <v>48</v>
      </c>
      <c r="F876" s="9">
        <v>0.1</v>
      </c>
      <c r="G876" s="10">
        <v>19203</v>
      </c>
      <c r="H876">
        <v>5.51</v>
      </c>
      <c r="I876" s="5">
        <f>ROUND(Marketing[[#This Row],[Clicks]]*Marketing[[#This Row],[Conversion_Rate]],0)</f>
        <v>99</v>
      </c>
      <c r="J876" s="12">
        <f>Marketing[[#This Row],[Campaign_Cost]]/Marketing[[#This Row],[Customers]]</f>
        <v>193.96969696969697</v>
      </c>
      <c r="K876" t="s">
        <v>19</v>
      </c>
      <c r="L876" t="s">
        <v>39</v>
      </c>
      <c r="M876">
        <v>990</v>
      </c>
      <c r="N876">
        <v>2832</v>
      </c>
      <c r="O876">
        <v>6</v>
      </c>
      <c r="P876" t="s">
        <v>42</v>
      </c>
      <c r="Q876" s="1">
        <v>44341</v>
      </c>
    </row>
    <row r="877" spans="1:17" x14ac:dyDescent="0.3">
      <c r="A877" t="s">
        <v>14</v>
      </c>
      <c r="B877" t="s">
        <v>29</v>
      </c>
      <c r="C877" t="s">
        <v>23</v>
      </c>
      <c r="D877" t="s">
        <v>24</v>
      </c>
      <c r="E877" t="s">
        <v>41</v>
      </c>
      <c r="F877" s="9">
        <v>0.02</v>
      </c>
      <c r="G877" s="10">
        <v>17746</v>
      </c>
      <c r="H877">
        <v>5.17</v>
      </c>
      <c r="I877" s="5">
        <f>ROUND(Marketing[[#This Row],[Clicks]]*Marketing[[#This Row],[Conversion_Rate]],0)</f>
        <v>18</v>
      </c>
      <c r="J877" s="12">
        <f>Marketing[[#This Row],[Campaign_Cost]]/Marketing[[#This Row],[Customers]]</f>
        <v>985.88888888888891</v>
      </c>
      <c r="K877" t="s">
        <v>38</v>
      </c>
      <c r="L877" t="s">
        <v>50</v>
      </c>
      <c r="M877">
        <v>921</v>
      </c>
      <c r="N877">
        <v>5396</v>
      </c>
      <c r="O877">
        <v>7</v>
      </c>
      <c r="P877" t="s">
        <v>44</v>
      </c>
      <c r="Q877" s="1">
        <v>44342</v>
      </c>
    </row>
    <row r="878" spans="1:17" x14ac:dyDescent="0.3">
      <c r="A878" t="s">
        <v>28</v>
      </c>
      <c r="B878" t="s">
        <v>36</v>
      </c>
      <c r="C878" t="s">
        <v>37</v>
      </c>
      <c r="D878" t="s">
        <v>46</v>
      </c>
      <c r="E878" t="s">
        <v>43</v>
      </c>
      <c r="F878" s="9">
        <v>0.08</v>
      </c>
      <c r="G878" s="10">
        <v>12915</v>
      </c>
      <c r="H878">
        <v>5.32</v>
      </c>
      <c r="I878" s="5">
        <f>ROUND(Marketing[[#This Row],[Clicks]]*Marketing[[#This Row],[Conversion_Rate]],0)</f>
        <v>8</v>
      </c>
      <c r="J878" s="12">
        <f>Marketing[[#This Row],[Campaign_Cost]]/Marketing[[#This Row],[Customers]]</f>
        <v>1614.375</v>
      </c>
      <c r="K878" t="s">
        <v>25</v>
      </c>
      <c r="L878" t="s">
        <v>26</v>
      </c>
      <c r="M878">
        <v>102</v>
      </c>
      <c r="N878">
        <v>9174</v>
      </c>
      <c r="O878">
        <v>4</v>
      </c>
      <c r="P878" t="s">
        <v>27</v>
      </c>
      <c r="Q878" s="1">
        <v>44343</v>
      </c>
    </row>
    <row r="879" spans="1:17" x14ac:dyDescent="0.3">
      <c r="A879" t="s">
        <v>14</v>
      </c>
      <c r="B879" t="s">
        <v>47</v>
      </c>
      <c r="C879" t="s">
        <v>23</v>
      </c>
      <c r="D879" t="s">
        <v>40</v>
      </c>
      <c r="E879" t="s">
        <v>15</v>
      </c>
      <c r="F879" s="9">
        <v>0.1</v>
      </c>
      <c r="G879" s="10">
        <v>18979</v>
      </c>
      <c r="H879">
        <v>7.73</v>
      </c>
      <c r="I879" s="5">
        <f>ROUND(Marketing[[#This Row],[Clicks]]*Marketing[[#This Row],[Conversion_Rate]],0)</f>
        <v>43</v>
      </c>
      <c r="J879" s="12">
        <f>Marketing[[#This Row],[Campaign_Cost]]/Marketing[[#This Row],[Customers]]</f>
        <v>441.37209302325579</v>
      </c>
      <c r="K879" t="s">
        <v>25</v>
      </c>
      <c r="L879" t="s">
        <v>33</v>
      </c>
      <c r="M879">
        <v>431</v>
      </c>
      <c r="N879">
        <v>3150</v>
      </c>
      <c r="O879">
        <v>4</v>
      </c>
      <c r="P879" t="s">
        <v>34</v>
      </c>
      <c r="Q879" s="1">
        <v>44344</v>
      </c>
    </row>
    <row r="880" spans="1:17" x14ac:dyDescent="0.3">
      <c r="A880" t="s">
        <v>28</v>
      </c>
      <c r="B880" t="s">
        <v>36</v>
      </c>
      <c r="C880" t="s">
        <v>16</v>
      </c>
      <c r="D880" t="s">
        <v>17</v>
      </c>
      <c r="E880" t="s">
        <v>48</v>
      </c>
      <c r="F880" s="9">
        <v>0.12</v>
      </c>
      <c r="G880" s="10">
        <v>13999</v>
      </c>
      <c r="H880">
        <v>6.39</v>
      </c>
      <c r="I880" s="5">
        <f>ROUND(Marketing[[#This Row],[Clicks]]*Marketing[[#This Row],[Conversion_Rate]],0)</f>
        <v>34</v>
      </c>
      <c r="J880" s="12">
        <f>Marketing[[#This Row],[Campaign_Cost]]/Marketing[[#This Row],[Customers]]</f>
        <v>411.73529411764707</v>
      </c>
      <c r="K880" t="s">
        <v>38</v>
      </c>
      <c r="L880" t="s">
        <v>39</v>
      </c>
      <c r="M880">
        <v>283</v>
      </c>
      <c r="N880">
        <v>4078</v>
      </c>
      <c r="O880">
        <v>6</v>
      </c>
      <c r="P880" t="s">
        <v>21</v>
      </c>
      <c r="Q880" s="1">
        <v>44345</v>
      </c>
    </row>
    <row r="881" spans="1:17" x14ac:dyDescent="0.3">
      <c r="A881" t="s">
        <v>49</v>
      </c>
      <c r="B881" t="s">
        <v>15</v>
      </c>
      <c r="C881" t="s">
        <v>30</v>
      </c>
      <c r="D881" t="s">
        <v>46</v>
      </c>
      <c r="E881" t="s">
        <v>18</v>
      </c>
      <c r="F881" s="9">
        <v>0.11</v>
      </c>
      <c r="G881" s="10">
        <v>8784</v>
      </c>
      <c r="H881">
        <v>4.51</v>
      </c>
      <c r="I881" s="5">
        <f>ROUND(Marketing[[#This Row],[Clicks]]*Marketing[[#This Row],[Conversion_Rate]],0)</f>
        <v>26</v>
      </c>
      <c r="J881" s="12">
        <f>Marketing[[#This Row],[Campaign_Cost]]/Marketing[[#This Row],[Customers]]</f>
        <v>337.84615384615387</v>
      </c>
      <c r="K881" t="s">
        <v>32</v>
      </c>
      <c r="L881" t="s">
        <v>20</v>
      </c>
      <c r="M881">
        <v>235</v>
      </c>
      <c r="N881">
        <v>9709</v>
      </c>
      <c r="O881">
        <v>4</v>
      </c>
      <c r="P881" t="s">
        <v>34</v>
      </c>
      <c r="Q881" s="1">
        <v>44346</v>
      </c>
    </row>
    <row r="882" spans="1:17" x14ac:dyDescent="0.3">
      <c r="A882" t="s">
        <v>49</v>
      </c>
      <c r="B882" t="s">
        <v>45</v>
      </c>
      <c r="C882" t="s">
        <v>30</v>
      </c>
      <c r="D882" t="s">
        <v>40</v>
      </c>
      <c r="E882" t="s">
        <v>18</v>
      </c>
      <c r="F882" s="9">
        <v>0.01</v>
      </c>
      <c r="G882" s="10">
        <v>7866</v>
      </c>
      <c r="H882">
        <v>5.42</v>
      </c>
      <c r="I882" s="5">
        <f>ROUND(Marketing[[#This Row],[Clicks]]*Marketing[[#This Row],[Conversion_Rate]],0)</f>
        <v>6</v>
      </c>
      <c r="J882" s="12">
        <f>Marketing[[#This Row],[Campaign_Cost]]/Marketing[[#This Row],[Customers]]</f>
        <v>1311</v>
      </c>
      <c r="K882" t="s">
        <v>38</v>
      </c>
      <c r="L882" t="s">
        <v>50</v>
      </c>
      <c r="M882">
        <v>576</v>
      </c>
      <c r="N882">
        <v>5231</v>
      </c>
      <c r="O882">
        <v>3</v>
      </c>
      <c r="P882" t="s">
        <v>27</v>
      </c>
      <c r="Q882" s="1">
        <v>44347</v>
      </c>
    </row>
    <row r="883" spans="1:17" x14ac:dyDescent="0.3">
      <c r="A883" t="s">
        <v>22</v>
      </c>
      <c r="B883" t="s">
        <v>47</v>
      </c>
      <c r="C883" t="s">
        <v>30</v>
      </c>
      <c r="D883" t="s">
        <v>40</v>
      </c>
      <c r="E883" t="s">
        <v>15</v>
      </c>
      <c r="F883" s="9">
        <v>0.04</v>
      </c>
      <c r="G883" s="10">
        <v>15526</v>
      </c>
      <c r="H883">
        <v>4.8899999999999997</v>
      </c>
      <c r="I883" s="5">
        <f>ROUND(Marketing[[#This Row],[Clicks]]*Marketing[[#This Row],[Conversion_Rate]],0)</f>
        <v>24</v>
      </c>
      <c r="J883" s="12">
        <f>Marketing[[#This Row],[Campaign_Cost]]/Marketing[[#This Row],[Customers]]</f>
        <v>646.91666666666663</v>
      </c>
      <c r="K883" t="s">
        <v>19</v>
      </c>
      <c r="L883" t="s">
        <v>26</v>
      </c>
      <c r="M883">
        <v>599</v>
      </c>
      <c r="N883">
        <v>3563</v>
      </c>
      <c r="O883">
        <v>6</v>
      </c>
      <c r="P883" t="s">
        <v>44</v>
      </c>
      <c r="Q883" s="1">
        <v>44348</v>
      </c>
    </row>
    <row r="884" spans="1:17" x14ac:dyDescent="0.3">
      <c r="A884" t="s">
        <v>28</v>
      </c>
      <c r="B884" t="s">
        <v>15</v>
      </c>
      <c r="C884" t="s">
        <v>23</v>
      </c>
      <c r="D884" t="s">
        <v>40</v>
      </c>
      <c r="E884" t="s">
        <v>41</v>
      </c>
      <c r="F884" s="9">
        <v>0.02</v>
      </c>
      <c r="G884" s="10">
        <v>15335</v>
      </c>
      <c r="H884">
        <v>5.32</v>
      </c>
      <c r="I884" s="5">
        <f>ROUND(Marketing[[#This Row],[Clicks]]*Marketing[[#This Row],[Conversion_Rate]],0)</f>
        <v>20</v>
      </c>
      <c r="J884" s="12">
        <f>Marketing[[#This Row],[Campaign_Cost]]/Marketing[[#This Row],[Customers]]</f>
        <v>766.75</v>
      </c>
      <c r="K884" t="s">
        <v>25</v>
      </c>
      <c r="L884" t="s">
        <v>39</v>
      </c>
      <c r="M884">
        <v>990</v>
      </c>
      <c r="N884">
        <v>5409</v>
      </c>
      <c r="O884">
        <v>2</v>
      </c>
      <c r="P884" t="s">
        <v>27</v>
      </c>
      <c r="Q884" s="1">
        <v>44349</v>
      </c>
    </row>
    <row r="885" spans="1:17" x14ac:dyDescent="0.3">
      <c r="A885" t="s">
        <v>28</v>
      </c>
      <c r="B885" t="s">
        <v>29</v>
      </c>
      <c r="C885" t="s">
        <v>30</v>
      </c>
      <c r="D885" t="s">
        <v>24</v>
      </c>
      <c r="E885" t="s">
        <v>18</v>
      </c>
      <c r="F885" s="9">
        <v>0.14000000000000001</v>
      </c>
      <c r="G885" s="10">
        <v>14198</v>
      </c>
      <c r="H885">
        <v>6.31</v>
      </c>
      <c r="I885" s="5">
        <f>ROUND(Marketing[[#This Row],[Clicks]]*Marketing[[#This Row],[Conversion_Rate]],0)</f>
        <v>38</v>
      </c>
      <c r="J885" s="12">
        <f>Marketing[[#This Row],[Campaign_Cost]]/Marketing[[#This Row],[Customers]]</f>
        <v>373.63157894736844</v>
      </c>
      <c r="K885" t="s">
        <v>38</v>
      </c>
      <c r="L885" t="s">
        <v>39</v>
      </c>
      <c r="M885">
        <v>268</v>
      </c>
      <c r="N885">
        <v>6734</v>
      </c>
      <c r="O885">
        <v>3</v>
      </c>
      <c r="P885" t="s">
        <v>44</v>
      </c>
      <c r="Q885" s="1">
        <v>44350</v>
      </c>
    </row>
    <row r="886" spans="1:17" x14ac:dyDescent="0.3">
      <c r="A886" t="s">
        <v>22</v>
      </c>
      <c r="B886" t="s">
        <v>15</v>
      </c>
      <c r="C886" t="s">
        <v>37</v>
      </c>
      <c r="D886" t="s">
        <v>46</v>
      </c>
      <c r="E886" t="s">
        <v>15</v>
      </c>
      <c r="F886" s="9">
        <v>0.14000000000000001</v>
      </c>
      <c r="G886" s="10">
        <v>15559</v>
      </c>
      <c r="H886">
        <v>3.48</v>
      </c>
      <c r="I886" s="5">
        <f>ROUND(Marketing[[#This Row],[Clicks]]*Marketing[[#This Row],[Conversion_Rate]],0)</f>
        <v>52</v>
      </c>
      <c r="J886" s="12">
        <f>Marketing[[#This Row],[Campaign_Cost]]/Marketing[[#This Row],[Customers]]</f>
        <v>299.21153846153845</v>
      </c>
      <c r="K886" t="s">
        <v>32</v>
      </c>
      <c r="L886" t="s">
        <v>20</v>
      </c>
      <c r="M886">
        <v>374</v>
      </c>
      <c r="N886">
        <v>9474</v>
      </c>
      <c r="O886">
        <v>7</v>
      </c>
      <c r="P886" t="s">
        <v>34</v>
      </c>
      <c r="Q886" s="1">
        <v>44351</v>
      </c>
    </row>
    <row r="887" spans="1:17" x14ac:dyDescent="0.3">
      <c r="A887" t="s">
        <v>49</v>
      </c>
      <c r="B887" t="s">
        <v>47</v>
      </c>
      <c r="C887" t="s">
        <v>30</v>
      </c>
      <c r="D887" t="s">
        <v>24</v>
      </c>
      <c r="E887" t="s">
        <v>48</v>
      </c>
      <c r="F887" s="9">
        <v>7.0000000000000007E-2</v>
      </c>
      <c r="G887" s="10">
        <v>19309</v>
      </c>
      <c r="H887">
        <v>7.29</v>
      </c>
      <c r="I887" s="5">
        <f>ROUND(Marketing[[#This Row],[Clicks]]*Marketing[[#This Row],[Conversion_Rate]],0)</f>
        <v>20</v>
      </c>
      <c r="J887" s="12">
        <f>Marketing[[#This Row],[Campaign_Cost]]/Marketing[[#This Row],[Customers]]</f>
        <v>965.45</v>
      </c>
      <c r="K887" t="s">
        <v>38</v>
      </c>
      <c r="L887" t="s">
        <v>50</v>
      </c>
      <c r="M887">
        <v>281</v>
      </c>
      <c r="N887">
        <v>3554</v>
      </c>
      <c r="O887">
        <v>7</v>
      </c>
      <c r="P887" t="s">
        <v>27</v>
      </c>
      <c r="Q887" s="1">
        <v>44352</v>
      </c>
    </row>
    <row r="888" spans="1:17" x14ac:dyDescent="0.3">
      <c r="A888" t="s">
        <v>35</v>
      </c>
      <c r="B888" t="s">
        <v>36</v>
      </c>
      <c r="C888" t="s">
        <v>37</v>
      </c>
      <c r="D888" t="s">
        <v>24</v>
      </c>
      <c r="E888" t="s">
        <v>48</v>
      </c>
      <c r="F888" s="9">
        <v>0.02</v>
      </c>
      <c r="G888" s="10">
        <v>12792</v>
      </c>
      <c r="H888">
        <v>2.5499999999999998</v>
      </c>
      <c r="I888" s="5">
        <f>ROUND(Marketing[[#This Row],[Clicks]]*Marketing[[#This Row],[Conversion_Rate]],0)</f>
        <v>4</v>
      </c>
      <c r="J888" s="12">
        <f>Marketing[[#This Row],[Campaign_Cost]]/Marketing[[#This Row],[Customers]]</f>
        <v>3198</v>
      </c>
      <c r="K888" t="s">
        <v>32</v>
      </c>
      <c r="L888" t="s">
        <v>33</v>
      </c>
      <c r="M888">
        <v>202</v>
      </c>
      <c r="N888">
        <v>9619</v>
      </c>
      <c r="O888">
        <v>8</v>
      </c>
      <c r="P888" t="s">
        <v>34</v>
      </c>
      <c r="Q888" s="1">
        <v>44353</v>
      </c>
    </row>
    <row r="889" spans="1:17" x14ac:dyDescent="0.3">
      <c r="A889" t="s">
        <v>49</v>
      </c>
      <c r="B889" t="s">
        <v>15</v>
      </c>
      <c r="C889" t="s">
        <v>52</v>
      </c>
      <c r="D889" t="s">
        <v>46</v>
      </c>
      <c r="E889" t="s">
        <v>43</v>
      </c>
      <c r="F889" s="9">
        <v>0.09</v>
      </c>
      <c r="G889" s="10">
        <v>5392</v>
      </c>
      <c r="H889">
        <v>3.05</v>
      </c>
      <c r="I889" s="5">
        <f>ROUND(Marketing[[#This Row],[Clicks]]*Marketing[[#This Row],[Conversion_Rate]],0)</f>
        <v>42</v>
      </c>
      <c r="J889" s="12">
        <f>Marketing[[#This Row],[Campaign_Cost]]/Marketing[[#This Row],[Customers]]</f>
        <v>128.38095238095238</v>
      </c>
      <c r="K889" t="s">
        <v>25</v>
      </c>
      <c r="L889" t="s">
        <v>39</v>
      </c>
      <c r="M889">
        <v>467</v>
      </c>
      <c r="N889">
        <v>1290</v>
      </c>
      <c r="O889">
        <v>9</v>
      </c>
      <c r="P889" t="s">
        <v>34</v>
      </c>
      <c r="Q889" s="1">
        <v>44354</v>
      </c>
    </row>
    <row r="890" spans="1:17" x14ac:dyDescent="0.3">
      <c r="A890" t="s">
        <v>35</v>
      </c>
      <c r="B890" t="s">
        <v>29</v>
      </c>
      <c r="C890" t="s">
        <v>16</v>
      </c>
      <c r="D890" t="s">
        <v>17</v>
      </c>
      <c r="E890" t="s">
        <v>43</v>
      </c>
      <c r="F890" s="9">
        <v>0.11</v>
      </c>
      <c r="G890" s="10">
        <v>10164</v>
      </c>
      <c r="H890">
        <v>6.5</v>
      </c>
      <c r="I890" s="5">
        <f>ROUND(Marketing[[#This Row],[Clicks]]*Marketing[[#This Row],[Conversion_Rate]],0)</f>
        <v>84</v>
      </c>
      <c r="J890" s="12">
        <f>Marketing[[#This Row],[Campaign_Cost]]/Marketing[[#This Row],[Customers]]</f>
        <v>121</v>
      </c>
      <c r="K890" t="s">
        <v>38</v>
      </c>
      <c r="L890" t="s">
        <v>39</v>
      </c>
      <c r="M890">
        <v>764</v>
      </c>
      <c r="N890">
        <v>3135</v>
      </c>
      <c r="O890">
        <v>9</v>
      </c>
      <c r="P890" t="s">
        <v>42</v>
      </c>
      <c r="Q890" s="1">
        <v>44355</v>
      </c>
    </row>
    <row r="891" spans="1:17" x14ac:dyDescent="0.3">
      <c r="A891" t="s">
        <v>28</v>
      </c>
      <c r="B891" t="s">
        <v>29</v>
      </c>
      <c r="C891" t="s">
        <v>52</v>
      </c>
      <c r="D891" t="s">
        <v>46</v>
      </c>
      <c r="E891" t="s">
        <v>31</v>
      </c>
      <c r="F891" s="9">
        <v>0.05</v>
      </c>
      <c r="G891" s="10">
        <v>17787</v>
      </c>
      <c r="H891">
        <v>2.38</v>
      </c>
      <c r="I891" s="5">
        <f>ROUND(Marketing[[#This Row],[Clicks]]*Marketing[[#This Row],[Conversion_Rate]],0)</f>
        <v>44</v>
      </c>
      <c r="J891" s="12">
        <f>Marketing[[#This Row],[Campaign_Cost]]/Marketing[[#This Row],[Customers]]</f>
        <v>404.25</v>
      </c>
      <c r="K891" t="s">
        <v>32</v>
      </c>
      <c r="L891" t="s">
        <v>33</v>
      </c>
      <c r="M891">
        <v>879</v>
      </c>
      <c r="N891">
        <v>7240</v>
      </c>
      <c r="O891">
        <v>10</v>
      </c>
      <c r="P891" t="s">
        <v>27</v>
      </c>
      <c r="Q891" s="1">
        <v>44356</v>
      </c>
    </row>
    <row r="892" spans="1:17" x14ac:dyDescent="0.3">
      <c r="A892" t="s">
        <v>35</v>
      </c>
      <c r="B892" t="s">
        <v>15</v>
      </c>
      <c r="C892" t="s">
        <v>30</v>
      </c>
      <c r="D892" t="s">
        <v>40</v>
      </c>
      <c r="E892" t="s">
        <v>48</v>
      </c>
      <c r="F892" s="9">
        <v>0.05</v>
      </c>
      <c r="G892" s="10">
        <v>19142</v>
      </c>
      <c r="H892">
        <v>7.37</v>
      </c>
      <c r="I892" s="5">
        <f>ROUND(Marketing[[#This Row],[Clicks]]*Marketing[[#This Row],[Conversion_Rate]],0)</f>
        <v>45</v>
      </c>
      <c r="J892" s="12">
        <f>Marketing[[#This Row],[Campaign_Cost]]/Marketing[[#This Row],[Customers]]</f>
        <v>425.37777777777779</v>
      </c>
      <c r="K892" t="s">
        <v>19</v>
      </c>
      <c r="L892" t="s">
        <v>39</v>
      </c>
      <c r="M892">
        <v>907</v>
      </c>
      <c r="N892">
        <v>2907</v>
      </c>
      <c r="O892">
        <v>1</v>
      </c>
      <c r="P892" t="s">
        <v>21</v>
      </c>
      <c r="Q892" s="1">
        <v>44357</v>
      </c>
    </row>
    <row r="893" spans="1:17" x14ac:dyDescent="0.3">
      <c r="A893" t="s">
        <v>22</v>
      </c>
      <c r="B893" t="s">
        <v>15</v>
      </c>
      <c r="C893" t="s">
        <v>30</v>
      </c>
      <c r="D893" t="s">
        <v>46</v>
      </c>
      <c r="E893" t="s">
        <v>43</v>
      </c>
      <c r="F893" s="9">
        <v>0.02</v>
      </c>
      <c r="G893" s="10">
        <v>14055</v>
      </c>
      <c r="H893">
        <v>3.7</v>
      </c>
      <c r="I893" s="5">
        <f>ROUND(Marketing[[#This Row],[Clicks]]*Marketing[[#This Row],[Conversion_Rate]],0)</f>
        <v>15</v>
      </c>
      <c r="J893" s="12">
        <f>Marketing[[#This Row],[Campaign_Cost]]/Marketing[[#This Row],[Customers]]</f>
        <v>937</v>
      </c>
      <c r="K893" t="s">
        <v>25</v>
      </c>
      <c r="L893" t="s">
        <v>33</v>
      </c>
      <c r="M893">
        <v>771</v>
      </c>
      <c r="N893">
        <v>9764</v>
      </c>
      <c r="O893">
        <v>7</v>
      </c>
      <c r="P893" t="s">
        <v>27</v>
      </c>
      <c r="Q893" s="1">
        <v>44358</v>
      </c>
    </row>
    <row r="894" spans="1:17" x14ac:dyDescent="0.3">
      <c r="A894" t="s">
        <v>28</v>
      </c>
      <c r="B894" t="s">
        <v>36</v>
      </c>
      <c r="C894" t="s">
        <v>16</v>
      </c>
      <c r="D894" t="s">
        <v>24</v>
      </c>
      <c r="E894" t="s">
        <v>41</v>
      </c>
      <c r="F894" s="9">
        <v>0.08</v>
      </c>
      <c r="G894" s="10">
        <v>6282</v>
      </c>
      <c r="H894">
        <v>6.21</v>
      </c>
      <c r="I894" s="5">
        <f>ROUND(Marketing[[#This Row],[Clicks]]*Marketing[[#This Row],[Conversion_Rate]],0)</f>
        <v>69</v>
      </c>
      <c r="J894" s="12">
        <f>Marketing[[#This Row],[Campaign_Cost]]/Marketing[[#This Row],[Customers]]</f>
        <v>91.043478260869563</v>
      </c>
      <c r="K894" t="s">
        <v>19</v>
      </c>
      <c r="L894" t="s">
        <v>20</v>
      </c>
      <c r="M894">
        <v>857</v>
      </c>
      <c r="N894">
        <v>1077</v>
      </c>
      <c r="O894">
        <v>9</v>
      </c>
      <c r="P894" t="s">
        <v>44</v>
      </c>
      <c r="Q894" s="1">
        <v>44359</v>
      </c>
    </row>
    <row r="895" spans="1:17" x14ac:dyDescent="0.3">
      <c r="A895" t="s">
        <v>14</v>
      </c>
      <c r="B895" t="s">
        <v>36</v>
      </c>
      <c r="C895" t="s">
        <v>16</v>
      </c>
      <c r="D895" t="s">
        <v>24</v>
      </c>
      <c r="E895" t="s">
        <v>15</v>
      </c>
      <c r="F895" s="9">
        <v>0.01</v>
      </c>
      <c r="G895" s="10">
        <v>17569</v>
      </c>
      <c r="H895">
        <v>5.84</v>
      </c>
      <c r="I895" s="5">
        <f>ROUND(Marketing[[#This Row],[Clicks]]*Marketing[[#This Row],[Conversion_Rate]],0)</f>
        <v>4</v>
      </c>
      <c r="J895" s="12">
        <f>Marketing[[#This Row],[Campaign_Cost]]/Marketing[[#This Row],[Customers]]</f>
        <v>4392.25</v>
      </c>
      <c r="K895" t="s">
        <v>25</v>
      </c>
      <c r="L895" t="s">
        <v>26</v>
      </c>
      <c r="M895">
        <v>367</v>
      </c>
      <c r="N895">
        <v>3392</v>
      </c>
      <c r="O895">
        <v>3</v>
      </c>
      <c r="P895" t="s">
        <v>44</v>
      </c>
      <c r="Q895" s="1">
        <v>44360</v>
      </c>
    </row>
    <row r="896" spans="1:17" x14ac:dyDescent="0.3">
      <c r="A896" t="s">
        <v>49</v>
      </c>
      <c r="B896" t="s">
        <v>36</v>
      </c>
      <c r="C896" t="s">
        <v>23</v>
      </c>
      <c r="D896" t="s">
        <v>46</v>
      </c>
      <c r="E896" t="s">
        <v>18</v>
      </c>
      <c r="F896" s="9">
        <v>0.12</v>
      </c>
      <c r="G896" s="10">
        <v>15281</v>
      </c>
      <c r="H896">
        <v>7.64</v>
      </c>
      <c r="I896" s="5">
        <f>ROUND(Marketing[[#This Row],[Clicks]]*Marketing[[#This Row],[Conversion_Rate]],0)</f>
        <v>40</v>
      </c>
      <c r="J896" s="12">
        <f>Marketing[[#This Row],[Campaign_Cost]]/Marketing[[#This Row],[Customers]]</f>
        <v>382.02499999999998</v>
      </c>
      <c r="K896" t="s">
        <v>38</v>
      </c>
      <c r="L896" t="s">
        <v>20</v>
      </c>
      <c r="M896">
        <v>337</v>
      </c>
      <c r="N896">
        <v>9213</v>
      </c>
      <c r="O896">
        <v>3</v>
      </c>
      <c r="P896" t="s">
        <v>34</v>
      </c>
      <c r="Q896" s="1">
        <v>44361</v>
      </c>
    </row>
    <row r="897" spans="1:17" x14ac:dyDescent="0.3">
      <c r="A897" t="s">
        <v>22</v>
      </c>
      <c r="B897" t="s">
        <v>45</v>
      </c>
      <c r="C897" t="s">
        <v>16</v>
      </c>
      <c r="D897" t="s">
        <v>17</v>
      </c>
      <c r="E897" t="s">
        <v>41</v>
      </c>
      <c r="F897" s="9">
        <v>0.03</v>
      </c>
      <c r="G897" s="10">
        <v>13728</v>
      </c>
      <c r="H897">
        <v>2.4300000000000002</v>
      </c>
      <c r="I897" s="5">
        <f>ROUND(Marketing[[#This Row],[Clicks]]*Marketing[[#This Row],[Conversion_Rate]],0)</f>
        <v>22</v>
      </c>
      <c r="J897" s="12">
        <f>Marketing[[#This Row],[Campaign_Cost]]/Marketing[[#This Row],[Customers]]</f>
        <v>624</v>
      </c>
      <c r="K897" t="s">
        <v>25</v>
      </c>
      <c r="L897" t="s">
        <v>33</v>
      </c>
      <c r="M897">
        <v>744</v>
      </c>
      <c r="N897">
        <v>2855</v>
      </c>
      <c r="O897">
        <v>3</v>
      </c>
      <c r="P897" t="s">
        <v>44</v>
      </c>
      <c r="Q897" s="1">
        <v>44362</v>
      </c>
    </row>
    <row r="898" spans="1:17" x14ac:dyDescent="0.3">
      <c r="A898" t="s">
        <v>49</v>
      </c>
      <c r="B898" t="s">
        <v>29</v>
      </c>
      <c r="C898" t="s">
        <v>16</v>
      </c>
      <c r="D898" t="s">
        <v>17</v>
      </c>
      <c r="E898" t="s">
        <v>41</v>
      </c>
      <c r="F898" s="9">
        <v>0.02</v>
      </c>
      <c r="G898" s="10">
        <v>15115</v>
      </c>
      <c r="H898">
        <v>5.67</v>
      </c>
      <c r="I898" s="5">
        <f>ROUND(Marketing[[#This Row],[Clicks]]*Marketing[[#This Row],[Conversion_Rate]],0)</f>
        <v>2</v>
      </c>
      <c r="J898" s="12">
        <f>Marketing[[#This Row],[Campaign_Cost]]/Marketing[[#This Row],[Customers]]</f>
        <v>7557.5</v>
      </c>
      <c r="K898" t="s">
        <v>51</v>
      </c>
      <c r="L898" t="s">
        <v>50</v>
      </c>
      <c r="M898">
        <v>115</v>
      </c>
      <c r="N898">
        <v>4917</v>
      </c>
      <c r="O898">
        <v>2</v>
      </c>
      <c r="P898" t="s">
        <v>34</v>
      </c>
      <c r="Q898" s="1">
        <v>44363</v>
      </c>
    </row>
    <row r="899" spans="1:17" x14ac:dyDescent="0.3">
      <c r="A899" t="s">
        <v>22</v>
      </c>
      <c r="B899" t="s">
        <v>15</v>
      </c>
      <c r="C899" t="s">
        <v>16</v>
      </c>
      <c r="D899" t="s">
        <v>24</v>
      </c>
      <c r="E899" t="s">
        <v>43</v>
      </c>
      <c r="F899" s="9">
        <v>0.05</v>
      </c>
      <c r="G899" s="10">
        <v>13925</v>
      </c>
      <c r="H899">
        <v>3.57</v>
      </c>
      <c r="I899" s="5">
        <f>ROUND(Marketing[[#This Row],[Clicks]]*Marketing[[#This Row],[Conversion_Rate]],0)</f>
        <v>43</v>
      </c>
      <c r="J899" s="12">
        <f>Marketing[[#This Row],[Campaign_Cost]]/Marketing[[#This Row],[Customers]]</f>
        <v>323.83720930232556</v>
      </c>
      <c r="K899" t="s">
        <v>51</v>
      </c>
      <c r="L899" t="s">
        <v>20</v>
      </c>
      <c r="M899">
        <v>853</v>
      </c>
      <c r="N899">
        <v>4957</v>
      </c>
      <c r="O899">
        <v>7</v>
      </c>
      <c r="P899" t="s">
        <v>34</v>
      </c>
      <c r="Q899" s="1">
        <v>44364</v>
      </c>
    </row>
    <row r="900" spans="1:17" x14ac:dyDescent="0.3">
      <c r="A900" t="s">
        <v>49</v>
      </c>
      <c r="B900" t="s">
        <v>36</v>
      </c>
      <c r="C900" t="s">
        <v>16</v>
      </c>
      <c r="D900" t="s">
        <v>24</v>
      </c>
      <c r="E900" t="s">
        <v>18</v>
      </c>
      <c r="F900" s="9">
        <v>0.03</v>
      </c>
      <c r="G900" s="10">
        <v>8082</v>
      </c>
      <c r="H900">
        <v>6.59</v>
      </c>
      <c r="I900" s="5">
        <f>ROUND(Marketing[[#This Row],[Clicks]]*Marketing[[#This Row],[Conversion_Rate]],0)</f>
        <v>16</v>
      </c>
      <c r="J900" s="12">
        <f>Marketing[[#This Row],[Campaign_Cost]]/Marketing[[#This Row],[Customers]]</f>
        <v>505.125</v>
      </c>
      <c r="K900" t="s">
        <v>51</v>
      </c>
      <c r="L900" t="s">
        <v>26</v>
      </c>
      <c r="M900">
        <v>541</v>
      </c>
      <c r="N900">
        <v>1736</v>
      </c>
      <c r="O900">
        <v>3</v>
      </c>
      <c r="P900" t="s">
        <v>34</v>
      </c>
      <c r="Q900" s="1">
        <v>44365</v>
      </c>
    </row>
    <row r="901" spans="1:17" x14ac:dyDescent="0.3">
      <c r="A901" t="s">
        <v>49</v>
      </c>
      <c r="B901" t="s">
        <v>47</v>
      </c>
      <c r="C901" t="s">
        <v>16</v>
      </c>
      <c r="D901" t="s">
        <v>46</v>
      </c>
      <c r="E901" t="s">
        <v>15</v>
      </c>
      <c r="F901" s="9">
        <v>7.0000000000000007E-2</v>
      </c>
      <c r="G901" s="10">
        <v>12181</v>
      </c>
      <c r="H901">
        <v>2.16</v>
      </c>
      <c r="I901" s="5">
        <f>ROUND(Marketing[[#This Row],[Clicks]]*Marketing[[#This Row],[Conversion_Rate]],0)</f>
        <v>8</v>
      </c>
      <c r="J901" s="12">
        <f>Marketing[[#This Row],[Campaign_Cost]]/Marketing[[#This Row],[Customers]]</f>
        <v>1522.625</v>
      </c>
      <c r="K901" t="s">
        <v>25</v>
      </c>
      <c r="L901" t="s">
        <v>20</v>
      </c>
      <c r="M901">
        <v>117</v>
      </c>
      <c r="N901">
        <v>7472</v>
      </c>
      <c r="O901">
        <v>2</v>
      </c>
      <c r="P901" t="s">
        <v>44</v>
      </c>
      <c r="Q901" s="1">
        <v>44366</v>
      </c>
    </row>
    <row r="902" spans="1:17" x14ac:dyDescent="0.3">
      <c r="A902" t="s">
        <v>28</v>
      </c>
      <c r="B902" t="s">
        <v>36</v>
      </c>
      <c r="C902" t="s">
        <v>30</v>
      </c>
      <c r="D902" t="s">
        <v>40</v>
      </c>
      <c r="E902" t="s">
        <v>31</v>
      </c>
      <c r="F902" s="9">
        <v>0.03</v>
      </c>
      <c r="G902" s="10">
        <v>17247</v>
      </c>
      <c r="H902">
        <v>5.48</v>
      </c>
      <c r="I902" s="5">
        <f>ROUND(Marketing[[#This Row],[Clicks]]*Marketing[[#This Row],[Conversion_Rate]],0)</f>
        <v>28</v>
      </c>
      <c r="J902" s="12">
        <f>Marketing[[#This Row],[Campaign_Cost]]/Marketing[[#This Row],[Customers]]</f>
        <v>615.96428571428567</v>
      </c>
      <c r="K902" t="s">
        <v>32</v>
      </c>
      <c r="L902" t="s">
        <v>20</v>
      </c>
      <c r="M902">
        <v>930</v>
      </c>
      <c r="N902">
        <v>2633</v>
      </c>
      <c r="O902">
        <v>6</v>
      </c>
      <c r="P902" t="s">
        <v>27</v>
      </c>
      <c r="Q902" s="1">
        <v>44367</v>
      </c>
    </row>
    <row r="903" spans="1:17" x14ac:dyDescent="0.3">
      <c r="A903" t="s">
        <v>35</v>
      </c>
      <c r="B903" t="s">
        <v>36</v>
      </c>
      <c r="C903" t="s">
        <v>30</v>
      </c>
      <c r="D903" t="s">
        <v>40</v>
      </c>
      <c r="E903" t="s">
        <v>18</v>
      </c>
      <c r="F903" s="9">
        <v>7.0000000000000007E-2</v>
      </c>
      <c r="G903" s="10">
        <v>15413</v>
      </c>
      <c r="H903">
        <v>4.33</v>
      </c>
      <c r="I903" s="5">
        <f>ROUND(Marketing[[#This Row],[Clicks]]*Marketing[[#This Row],[Conversion_Rate]],0)</f>
        <v>62</v>
      </c>
      <c r="J903" s="12">
        <f>Marketing[[#This Row],[Campaign_Cost]]/Marketing[[#This Row],[Customers]]</f>
        <v>248.59677419354838</v>
      </c>
      <c r="K903" t="s">
        <v>19</v>
      </c>
      <c r="L903" t="s">
        <v>20</v>
      </c>
      <c r="M903">
        <v>890</v>
      </c>
      <c r="N903">
        <v>8521</v>
      </c>
      <c r="O903">
        <v>1</v>
      </c>
      <c r="P903" t="s">
        <v>42</v>
      </c>
      <c r="Q903" s="1">
        <v>44368</v>
      </c>
    </row>
    <row r="904" spans="1:17" x14ac:dyDescent="0.3">
      <c r="A904" t="s">
        <v>49</v>
      </c>
      <c r="B904" t="s">
        <v>29</v>
      </c>
      <c r="C904" t="s">
        <v>30</v>
      </c>
      <c r="D904" t="s">
        <v>46</v>
      </c>
      <c r="E904" t="s">
        <v>48</v>
      </c>
      <c r="F904" s="9">
        <v>0.06</v>
      </c>
      <c r="G904" s="10">
        <v>8993</v>
      </c>
      <c r="H904">
        <v>3</v>
      </c>
      <c r="I904" s="5">
        <f>ROUND(Marketing[[#This Row],[Clicks]]*Marketing[[#This Row],[Conversion_Rate]],0)</f>
        <v>46</v>
      </c>
      <c r="J904" s="12">
        <f>Marketing[[#This Row],[Campaign_Cost]]/Marketing[[#This Row],[Customers]]</f>
        <v>195.5</v>
      </c>
      <c r="K904" t="s">
        <v>32</v>
      </c>
      <c r="L904" t="s">
        <v>39</v>
      </c>
      <c r="M904">
        <v>762</v>
      </c>
      <c r="N904">
        <v>7552</v>
      </c>
      <c r="O904">
        <v>3</v>
      </c>
      <c r="P904" t="s">
        <v>34</v>
      </c>
      <c r="Q904" s="1">
        <v>44369</v>
      </c>
    </row>
    <row r="905" spans="1:17" x14ac:dyDescent="0.3">
      <c r="A905" t="s">
        <v>28</v>
      </c>
      <c r="B905" t="s">
        <v>36</v>
      </c>
      <c r="C905" t="s">
        <v>37</v>
      </c>
      <c r="D905" t="s">
        <v>24</v>
      </c>
      <c r="E905" t="s">
        <v>41</v>
      </c>
      <c r="F905" s="9">
        <v>0.04</v>
      </c>
      <c r="G905" s="10">
        <v>10172</v>
      </c>
      <c r="H905">
        <v>3.3</v>
      </c>
      <c r="I905" s="5">
        <f>ROUND(Marketing[[#This Row],[Clicks]]*Marketing[[#This Row],[Conversion_Rate]],0)</f>
        <v>5</v>
      </c>
      <c r="J905" s="12">
        <f>Marketing[[#This Row],[Campaign_Cost]]/Marketing[[#This Row],[Customers]]</f>
        <v>2034.4</v>
      </c>
      <c r="K905" t="s">
        <v>19</v>
      </c>
      <c r="L905" t="s">
        <v>26</v>
      </c>
      <c r="M905">
        <v>114</v>
      </c>
      <c r="N905">
        <v>5009</v>
      </c>
      <c r="O905">
        <v>4</v>
      </c>
      <c r="P905" t="s">
        <v>34</v>
      </c>
      <c r="Q905" s="1">
        <v>44370</v>
      </c>
    </row>
    <row r="906" spans="1:17" x14ac:dyDescent="0.3">
      <c r="A906" t="s">
        <v>22</v>
      </c>
      <c r="B906" t="s">
        <v>45</v>
      </c>
      <c r="C906" t="s">
        <v>16</v>
      </c>
      <c r="D906" t="s">
        <v>24</v>
      </c>
      <c r="E906" t="s">
        <v>31</v>
      </c>
      <c r="F906" s="9">
        <v>0.02</v>
      </c>
      <c r="G906" s="10">
        <v>18601</v>
      </c>
      <c r="H906">
        <v>7.48</v>
      </c>
      <c r="I906" s="5">
        <f>ROUND(Marketing[[#This Row],[Clicks]]*Marketing[[#This Row],[Conversion_Rate]],0)</f>
        <v>8</v>
      </c>
      <c r="J906" s="12">
        <f>Marketing[[#This Row],[Campaign_Cost]]/Marketing[[#This Row],[Customers]]</f>
        <v>2325.125</v>
      </c>
      <c r="K906" t="s">
        <v>51</v>
      </c>
      <c r="L906" t="s">
        <v>20</v>
      </c>
      <c r="M906">
        <v>383</v>
      </c>
      <c r="N906">
        <v>2025</v>
      </c>
      <c r="O906">
        <v>7</v>
      </c>
      <c r="P906" t="s">
        <v>42</v>
      </c>
      <c r="Q906" s="1">
        <v>44371</v>
      </c>
    </row>
    <row r="907" spans="1:17" x14ac:dyDescent="0.3">
      <c r="A907" t="s">
        <v>35</v>
      </c>
      <c r="B907" t="s">
        <v>36</v>
      </c>
      <c r="C907" t="s">
        <v>52</v>
      </c>
      <c r="D907" t="s">
        <v>40</v>
      </c>
      <c r="E907" t="s">
        <v>48</v>
      </c>
      <c r="F907" s="9">
        <v>0.13</v>
      </c>
      <c r="G907" s="10">
        <v>9948</v>
      </c>
      <c r="H907">
        <v>2.48</v>
      </c>
      <c r="I907" s="5">
        <f>ROUND(Marketing[[#This Row],[Clicks]]*Marketing[[#This Row],[Conversion_Rate]],0)</f>
        <v>56</v>
      </c>
      <c r="J907" s="12">
        <f>Marketing[[#This Row],[Campaign_Cost]]/Marketing[[#This Row],[Customers]]</f>
        <v>177.64285714285714</v>
      </c>
      <c r="K907" t="s">
        <v>19</v>
      </c>
      <c r="L907" t="s">
        <v>50</v>
      </c>
      <c r="M907">
        <v>428</v>
      </c>
      <c r="N907">
        <v>7090</v>
      </c>
      <c r="O907">
        <v>2</v>
      </c>
      <c r="P907" t="s">
        <v>44</v>
      </c>
      <c r="Q907" s="1">
        <v>44372</v>
      </c>
    </row>
    <row r="908" spans="1:17" x14ac:dyDescent="0.3">
      <c r="A908" t="s">
        <v>35</v>
      </c>
      <c r="B908" t="s">
        <v>36</v>
      </c>
      <c r="C908" t="s">
        <v>37</v>
      </c>
      <c r="D908" t="s">
        <v>40</v>
      </c>
      <c r="E908" t="s">
        <v>41</v>
      </c>
      <c r="F908" s="9">
        <v>0.05</v>
      </c>
      <c r="G908" s="10">
        <v>6998</v>
      </c>
      <c r="H908">
        <v>5.13</v>
      </c>
      <c r="I908" s="5">
        <f>ROUND(Marketing[[#This Row],[Clicks]]*Marketing[[#This Row],[Conversion_Rate]],0)</f>
        <v>13</v>
      </c>
      <c r="J908" s="12">
        <f>Marketing[[#This Row],[Campaign_Cost]]/Marketing[[#This Row],[Customers]]</f>
        <v>538.30769230769226</v>
      </c>
      <c r="K908" t="s">
        <v>19</v>
      </c>
      <c r="L908" t="s">
        <v>26</v>
      </c>
      <c r="M908">
        <v>254</v>
      </c>
      <c r="N908">
        <v>9773</v>
      </c>
      <c r="O908">
        <v>8</v>
      </c>
      <c r="P908" t="s">
        <v>27</v>
      </c>
      <c r="Q908" s="1">
        <v>44373</v>
      </c>
    </row>
    <row r="909" spans="1:17" x14ac:dyDescent="0.3">
      <c r="A909" t="s">
        <v>49</v>
      </c>
      <c r="B909" t="s">
        <v>29</v>
      </c>
      <c r="C909" t="s">
        <v>23</v>
      </c>
      <c r="D909" t="s">
        <v>40</v>
      </c>
      <c r="E909" t="s">
        <v>43</v>
      </c>
      <c r="F909" s="9">
        <v>0.12</v>
      </c>
      <c r="G909" s="10">
        <v>19086</v>
      </c>
      <c r="H909">
        <v>4.75</v>
      </c>
      <c r="I909" s="5">
        <f>ROUND(Marketing[[#This Row],[Clicks]]*Marketing[[#This Row],[Conversion_Rate]],0)</f>
        <v>75</v>
      </c>
      <c r="J909" s="12">
        <f>Marketing[[#This Row],[Campaign_Cost]]/Marketing[[#This Row],[Customers]]</f>
        <v>254.48</v>
      </c>
      <c r="K909" t="s">
        <v>19</v>
      </c>
      <c r="L909" t="s">
        <v>26</v>
      </c>
      <c r="M909">
        <v>626</v>
      </c>
      <c r="N909">
        <v>3124</v>
      </c>
      <c r="O909">
        <v>9</v>
      </c>
      <c r="P909" t="s">
        <v>27</v>
      </c>
      <c r="Q909" s="1">
        <v>44374</v>
      </c>
    </row>
    <row r="910" spans="1:17" x14ac:dyDescent="0.3">
      <c r="A910" t="s">
        <v>22</v>
      </c>
      <c r="B910" t="s">
        <v>15</v>
      </c>
      <c r="C910" t="s">
        <v>30</v>
      </c>
      <c r="D910" t="s">
        <v>46</v>
      </c>
      <c r="E910" t="s">
        <v>41</v>
      </c>
      <c r="F910" s="9">
        <v>0.12</v>
      </c>
      <c r="G910" s="10">
        <v>19772</v>
      </c>
      <c r="H910">
        <v>3.13</v>
      </c>
      <c r="I910" s="5">
        <f>ROUND(Marketing[[#This Row],[Clicks]]*Marketing[[#This Row],[Conversion_Rate]],0)</f>
        <v>47</v>
      </c>
      <c r="J910" s="12">
        <f>Marketing[[#This Row],[Campaign_Cost]]/Marketing[[#This Row],[Customers]]</f>
        <v>420.68085106382978</v>
      </c>
      <c r="K910" t="s">
        <v>32</v>
      </c>
      <c r="L910" t="s">
        <v>33</v>
      </c>
      <c r="M910">
        <v>390</v>
      </c>
      <c r="N910">
        <v>6425</v>
      </c>
      <c r="O910">
        <v>5</v>
      </c>
      <c r="P910" t="s">
        <v>27</v>
      </c>
      <c r="Q910" s="1">
        <v>44375</v>
      </c>
    </row>
    <row r="911" spans="1:17" x14ac:dyDescent="0.3">
      <c r="A911" t="s">
        <v>28</v>
      </c>
      <c r="B911" t="s">
        <v>47</v>
      </c>
      <c r="C911" t="s">
        <v>37</v>
      </c>
      <c r="D911" t="s">
        <v>40</v>
      </c>
      <c r="E911" t="s">
        <v>48</v>
      </c>
      <c r="F911" s="9">
        <v>0.02</v>
      </c>
      <c r="G911" s="10">
        <v>7441</v>
      </c>
      <c r="H911">
        <v>7.95</v>
      </c>
      <c r="I911" s="5">
        <f>ROUND(Marketing[[#This Row],[Clicks]]*Marketing[[#This Row],[Conversion_Rate]],0)</f>
        <v>2</v>
      </c>
      <c r="J911" s="12">
        <f>Marketing[[#This Row],[Campaign_Cost]]/Marketing[[#This Row],[Customers]]</f>
        <v>3720.5</v>
      </c>
      <c r="K911" t="s">
        <v>32</v>
      </c>
      <c r="L911" t="s">
        <v>50</v>
      </c>
      <c r="M911">
        <v>115</v>
      </c>
      <c r="N911">
        <v>6606</v>
      </c>
      <c r="O911">
        <v>7</v>
      </c>
      <c r="P911" t="s">
        <v>42</v>
      </c>
      <c r="Q911" s="1">
        <v>44376</v>
      </c>
    </row>
    <row r="912" spans="1:17" x14ac:dyDescent="0.3">
      <c r="A912" t="s">
        <v>35</v>
      </c>
      <c r="B912" t="s">
        <v>36</v>
      </c>
      <c r="C912" t="s">
        <v>30</v>
      </c>
      <c r="D912" t="s">
        <v>40</v>
      </c>
      <c r="E912" t="s">
        <v>41</v>
      </c>
      <c r="F912" s="9">
        <v>0.06</v>
      </c>
      <c r="G912" s="10">
        <v>9258</v>
      </c>
      <c r="H912">
        <v>7.98</v>
      </c>
      <c r="I912" s="5">
        <f>ROUND(Marketing[[#This Row],[Clicks]]*Marketing[[#This Row],[Conversion_Rate]],0)</f>
        <v>46</v>
      </c>
      <c r="J912" s="12">
        <f>Marketing[[#This Row],[Campaign_Cost]]/Marketing[[#This Row],[Customers]]</f>
        <v>201.2608695652174</v>
      </c>
      <c r="K912" t="s">
        <v>19</v>
      </c>
      <c r="L912" t="s">
        <v>50</v>
      </c>
      <c r="M912">
        <v>774</v>
      </c>
      <c r="N912">
        <v>8037</v>
      </c>
      <c r="O912">
        <v>4</v>
      </c>
      <c r="P912" t="s">
        <v>21</v>
      </c>
      <c r="Q912" s="1">
        <v>44377</v>
      </c>
    </row>
    <row r="913" spans="1:17" x14ac:dyDescent="0.3">
      <c r="A913" t="s">
        <v>22</v>
      </c>
      <c r="B913" t="s">
        <v>36</v>
      </c>
      <c r="C913" t="s">
        <v>37</v>
      </c>
      <c r="D913" t="s">
        <v>24</v>
      </c>
      <c r="E913" t="s">
        <v>48</v>
      </c>
      <c r="F913" s="9">
        <v>0.09</v>
      </c>
      <c r="G913" s="10">
        <v>19266</v>
      </c>
      <c r="H913">
        <v>5.32</v>
      </c>
      <c r="I913" s="5">
        <f>ROUND(Marketing[[#This Row],[Clicks]]*Marketing[[#This Row],[Conversion_Rate]],0)</f>
        <v>22</v>
      </c>
      <c r="J913" s="12">
        <f>Marketing[[#This Row],[Campaign_Cost]]/Marketing[[#This Row],[Customers]]</f>
        <v>875.72727272727275</v>
      </c>
      <c r="K913" t="s">
        <v>19</v>
      </c>
      <c r="L913" t="s">
        <v>33</v>
      </c>
      <c r="M913">
        <v>249</v>
      </c>
      <c r="N913">
        <v>6219</v>
      </c>
      <c r="O913">
        <v>1</v>
      </c>
      <c r="P913" t="s">
        <v>21</v>
      </c>
      <c r="Q913" s="1">
        <v>44378</v>
      </c>
    </row>
    <row r="914" spans="1:17" x14ac:dyDescent="0.3">
      <c r="A914" t="s">
        <v>22</v>
      </c>
      <c r="B914" t="s">
        <v>45</v>
      </c>
      <c r="C914" t="s">
        <v>37</v>
      </c>
      <c r="D914" t="s">
        <v>46</v>
      </c>
      <c r="E914" t="s">
        <v>41</v>
      </c>
      <c r="F914" s="9">
        <v>0.15</v>
      </c>
      <c r="G914" s="10">
        <v>10797</v>
      </c>
      <c r="H914">
        <v>5.0599999999999996</v>
      </c>
      <c r="I914" s="5">
        <f>ROUND(Marketing[[#This Row],[Clicks]]*Marketing[[#This Row],[Conversion_Rate]],0)</f>
        <v>63</v>
      </c>
      <c r="J914" s="12">
        <f>Marketing[[#This Row],[Campaign_Cost]]/Marketing[[#This Row],[Customers]]</f>
        <v>171.38095238095238</v>
      </c>
      <c r="K914" t="s">
        <v>25</v>
      </c>
      <c r="L914" t="s">
        <v>26</v>
      </c>
      <c r="M914">
        <v>423</v>
      </c>
      <c r="N914">
        <v>2154</v>
      </c>
      <c r="O914">
        <v>10</v>
      </c>
      <c r="P914" t="s">
        <v>44</v>
      </c>
      <c r="Q914" s="1">
        <v>44379</v>
      </c>
    </row>
    <row r="915" spans="1:17" x14ac:dyDescent="0.3">
      <c r="A915" t="s">
        <v>28</v>
      </c>
      <c r="B915" t="s">
        <v>29</v>
      </c>
      <c r="C915" t="s">
        <v>37</v>
      </c>
      <c r="D915" t="s">
        <v>17</v>
      </c>
      <c r="E915" t="s">
        <v>31</v>
      </c>
      <c r="F915" s="9">
        <v>0.04</v>
      </c>
      <c r="G915" s="10">
        <v>15949</v>
      </c>
      <c r="H915">
        <v>5.87</v>
      </c>
      <c r="I915" s="5">
        <f>ROUND(Marketing[[#This Row],[Clicks]]*Marketing[[#This Row],[Conversion_Rate]],0)</f>
        <v>24</v>
      </c>
      <c r="J915" s="12">
        <f>Marketing[[#This Row],[Campaign_Cost]]/Marketing[[#This Row],[Customers]]</f>
        <v>664.54166666666663</v>
      </c>
      <c r="K915" t="s">
        <v>19</v>
      </c>
      <c r="L915" t="s">
        <v>26</v>
      </c>
      <c r="M915">
        <v>607</v>
      </c>
      <c r="N915">
        <v>2857</v>
      </c>
      <c r="O915">
        <v>3</v>
      </c>
      <c r="P915" t="s">
        <v>42</v>
      </c>
      <c r="Q915" s="1">
        <v>44380</v>
      </c>
    </row>
    <row r="916" spans="1:17" x14ac:dyDescent="0.3">
      <c r="A916" t="s">
        <v>49</v>
      </c>
      <c r="B916" t="s">
        <v>47</v>
      </c>
      <c r="C916" t="s">
        <v>37</v>
      </c>
      <c r="D916" t="s">
        <v>46</v>
      </c>
      <c r="E916" t="s">
        <v>31</v>
      </c>
      <c r="F916" s="9">
        <v>0.14000000000000001</v>
      </c>
      <c r="G916" s="10">
        <v>11429</v>
      </c>
      <c r="H916">
        <v>6.9</v>
      </c>
      <c r="I916" s="5">
        <f>ROUND(Marketing[[#This Row],[Clicks]]*Marketing[[#This Row],[Conversion_Rate]],0)</f>
        <v>137</v>
      </c>
      <c r="J916" s="12">
        <f>Marketing[[#This Row],[Campaign_Cost]]/Marketing[[#This Row],[Customers]]</f>
        <v>83.423357664233578</v>
      </c>
      <c r="K916" t="s">
        <v>51</v>
      </c>
      <c r="L916" t="s">
        <v>26</v>
      </c>
      <c r="M916">
        <v>976</v>
      </c>
      <c r="N916">
        <v>8707</v>
      </c>
      <c r="O916">
        <v>7</v>
      </c>
      <c r="P916" t="s">
        <v>27</v>
      </c>
      <c r="Q916" s="1">
        <v>44381</v>
      </c>
    </row>
    <row r="917" spans="1:17" x14ac:dyDescent="0.3">
      <c r="A917" t="s">
        <v>35</v>
      </c>
      <c r="B917" t="s">
        <v>29</v>
      </c>
      <c r="C917" t="s">
        <v>30</v>
      </c>
      <c r="D917" t="s">
        <v>24</v>
      </c>
      <c r="E917" t="s">
        <v>41</v>
      </c>
      <c r="F917" s="9">
        <v>0.04</v>
      </c>
      <c r="G917" s="10">
        <v>8515</v>
      </c>
      <c r="H917">
        <v>2.78</v>
      </c>
      <c r="I917" s="5">
        <f>ROUND(Marketing[[#This Row],[Clicks]]*Marketing[[#This Row],[Conversion_Rate]],0)</f>
        <v>6</v>
      </c>
      <c r="J917" s="12">
        <f>Marketing[[#This Row],[Campaign_Cost]]/Marketing[[#This Row],[Customers]]</f>
        <v>1419.1666666666667</v>
      </c>
      <c r="K917" t="s">
        <v>32</v>
      </c>
      <c r="L917" t="s">
        <v>33</v>
      </c>
      <c r="M917">
        <v>152</v>
      </c>
      <c r="N917">
        <v>6533</v>
      </c>
      <c r="O917">
        <v>10</v>
      </c>
      <c r="P917" t="s">
        <v>21</v>
      </c>
      <c r="Q917" s="1">
        <v>44382</v>
      </c>
    </row>
    <row r="918" spans="1:17" x14ac:dyDescent="0.3">
      <c r="A918" t="s">
        <v>14</v>
      </c>
      <c r="B918" t="s">
        <v>47</v>
      </c>
      <c r="C918" t="s">
        <v>30</v>
      </c>
      <c r="D918" t="s">
        <v>17</v>
      </c>
      <c r="E918" t="s">
        <v>31</v>
      </c>
      <c r="F918" s="9">
        <v>0.1</v>
      </c>
      <c r="G918" s="10">
        <v>11022</v>
      </c>
      <c r="H918">
        <v>3.11</v>
      </c>
      <c r="I918" s="5">
        <f>ROUND(Marketing[[#This Row],[Clicks]]*Marketing[[#This Row],[Conversion_Rate]],0)</f>
        <v>71</v>
      </c>
      <c r="J918" s="12">
        <f>Marketing[[#This Row],[Campaign_Cost]]/Marketing[[#This Row],[Customers]]</f>
        <v>155.2394366197183</v>
      </c>
      <c r="K918" t="s">
        <v>32</v>
      </c>
      <c r="L918" t="s">
        <v>20</v>
      </c>
      <c r="M918">
        <v>709</v>
      </c>
      <c r="N918">
        <v>7382</v>
      </c>
      <c r="O918">
        <v>8</v>
      </c>
      <c r="P918" t="s">
        <v>42</v>
      </c>
      <c r="Q918" s="1">
        <v>44383</v>
      </c>
    </row>
    <row r="919" spans="1:17" x14ac:dyDescent="0.3">
      <c r="A919" t="s">
        <v>35</v>
      </c>
      <c r="B919" t="s">
        <v>15</v>
      </c>
      <c r="C919" t="s">
        <v>23</v>
      </c>
      <c r="D919" t="s">
        <v>46</v>
      </c>
      <c r="E919" t="s">
        <v>43</v>
      </c>
      <c r="F919" s="9">
        <v>0.02</v>
      </c>
      <c r="G919" s="10">
        <v>17373</v>
      </c>
      <c r="H919">
        <v>5.9</v>
      </c>
      <c r="I919" s="5">
        <f>ROUND(Marketing[[#This Row],[Clicks]]*Marketing[[#This Row],[Conversion_Rate]],0)</f>
        <v>8</v>
      </c>
      <c r="J919" s="12">
        <f>Marketing[[#This Row],[Campaign_Cost]]/Marketing[[#This Row],[Customers]]</f>
        <v>2171.625</v>
      </c>
      <c r="K919" t="s">
        <v>25</v>
      </c>
      <c r="L919" t="s">
        <v>20</v>
      </c>
      <c r="M919">
        <v>406</v>
      </c>
      <c r="N919">
        <v>9078</v>
      </c>
      <c r="O919">
        <v>10</v>
      </c>
      <c r="P919" t="s">
        <v>21</v>
      </c>
      <c r="Q919" s="1">
        <v>44384</v>
      </c>
    </row>
    <row r="920" spans="1:17" x14ac:dyDescent="0.3">
      <c r="A920" t="s">
        <v>49</v>
      </c>
      <c r="B920" t="s">
        <v>36</v>
      </c>
      <c r="C920" t="s">
        <v>30</v>
      </c>
      <c r="D920" t="s">
        <v>24</v>
      </c>
      <c r="E920" t="s">
        <v>18</v>
      </c>
      <c r="F920" s="9">
        <v>0.13</v>
      </c>
      <c r="G920" s="10">
        <v>13444</v>
      </c>
      <c r="H920">
        <v>4.7699999999999996</v>
      </c>
      <c r="I920" s="5">
        <f>ROUND(Marketing[[#This Row],[Clicks]]*Marketing[[#This Row],[Conversion_Rate]],0)</f>
        <v>19</v>
      </c>
      <c r="J920" s="12">
        <f>Marketing[[#This Row],[Campaign_Cost]]/Marketing[[#This Row],[Customers]]</f>
        <v>707.57894736842104</v>
      </c>
      <c r="K920" t="s">
        <v>19</v>
      </c>
      <c r="L920" t="s">
        <v>39</v>
      </c>
      <c r="M920">
        <v>143</v>
      </c>
      <c r="N920">
        <v>5198</v>
      </c>
      <c r="O920">
        <v>2</v>
      </c>
      <c r="P920" t="s">
        <v>34</v>
      </c>
      <c r="Q920" s="1">
        <v>44385</v>
      </c>
    </row>
    <row r="921" spans="1:17" x14ac:dyDescent="0.3">
      <c r="A921" t="s">
        <v>28</v>
      </c>
      <c r="B921" t="s">
        <v>47</v>
      </c>
      <c r="C921" t="s">
        <v>30</v>
      </c>
      <c r="D921" t="s">
        <v>24</v>
      </c>
      <c r="E921" t="s">
        <v>15</v>
      </c>
      <c r="F921" s="9">
        <v>0.11</v>
      </c>
      <c r="G921" s="10">
        <v>18267</v>
      </c>
      <c r="H921">
        <v>2.71</v>
      </c>
      <c r="I921" s="5">
        <f>ROUND(Marketing[[#This Row],[Clicks]]*Marketing[[#This Row],[Conversion_Rate]],0)</f>
        <v>78</v>
      </c>
      <c r="J921" s="12">
        <f>Marketing[[#This Row],[Campaign_Cost]]/Marketing[[#This Row],[Customers]]</f>
        <v>234.19230769230768</v>
      </c>
      <c r="K921" t="s">
        <v>38</v>
      </c>
      <c r="L921" t="s">
        <v>39</v>
      </c>
      <c r="M921">
        <v>713</v>
      </c>
      <c r="N921">
        <v>2781</v>
      </c>
      <c r="O921">
        <v>9</v>
      </c>
      <c r="P921" t="s">
        <v>27</v>
      </c>
      <c r="Q921" s="1">
        <v>44386</v>
      </c>
    </row>
    <row r="922" spans="1:17" x14ac:dyDescent="0.3">
      <c r="A922" t="s">
        <v>49</v>
      </c>
      <c r="B922" t="s">
        <v>29</v>
      </c>
      <c r="C922" t="s">
        <v>30</v>
      </c>
      <c r="D922" t="s">
        <v>46</v>
      </c>
      <c r="E922" t="s">
        <v>15</v>
      </c>
      <c r="F922" s="9">
        <v>0.05</v>
      </c>
      <c r="G922" s="10">
        <v>17185</v>
      </c>
      <c r="H922">
        <v>5</v>
      </c>
      <c r="I922" s="5">
        <f>ROUND(Marketing[[#This Row],[Clicks]]*Marketing[[#This Row],[Conversion_Rate]],0)</f>
        <v>23</v>
      </c>
      <c r="J922" s="12">
        <f>Marketing[[#This Row],[Campaign_Cost]]/Marketing[[#This Row],[Customers]]</f>
        <v>747.17391304347825</v>
      </c>
      <c r="K922" t="s">
        <v>25</v>
      </c>
      <c r="L922" t="s">
        <v>39</v>
      </c>
      <c r="M922">
        <v>465</v>
      </c>
      <c r="N922">
        <v>7105</v>
      </c>
      <c r="O922">
        <v>9</v>
      </c>
      <c r="P922" t="s">
        <v>44</v>
      </c>
      <c r="Q922" s="1">
        <v>44387</v>
      </c>
    </row>
    <row r="923" spans="1:17" x14ac:dyDescent="0.3">
      <c r="A923" t="s">
        <v>14</v>
      </c>
      <c r="B923" t="s">
        <v>45</v>
      </c>
      <c r="C923" t="s">
        <v>16</v>
      </c>
      <c r="D923" t="s">
        <v>46</v>
      </c>
      <c r="E923" t="s">
        <v>41</v>
      </c>
      <c r="F923" s="9">
        <v>0.05</v>
      </c>
      <c r="G923" s="10">
        <v>6168</v>
      </c>
      <c r="H923">
        <v>7.47</v>
      </c>
      <c r="I923" s="5">
        <f>ROUND(Marketing[[#This Row],[Clicks]]*Marketing[[#This Row],[Conversion_Rate]],0)</f>
        <v>7</v>
      </c>
      <c r="J923" s="12">
        <f>Marketing[[#This Row],[Campaign_Cost]]/Marketing[[#This Row],[Customers]]</f>
        <v>881.14285714285711</v>
      </c>
      <c r="K923" t="s">
        <v>38</v>
      </c>
      <c r="L923" t="s">
        <v>39</v>
      </c>
      <c r="M923">
        <v>144</v>
      </c>
      <c r="N923">
        <v>2171</v>
      </c>
      <c r="O923">
        <v>1</v>
      </c>
      <c r="P923" t="s">
        <v>42</v>
      </c>
      <c r="Q923" s="1">
        <v>44388</v>
      </c>
    </row>
    <row r="924" spans="1:17" x14ac:dyDescent="0.3">
      <c r="A924" t="s">
        <v>28</v>
      </c>
      <c r="B924" t="s">
        <v>36</v>
      </c>
      <c r="C924" t="s">
        <v>37</v>
      </c>
      <c r="D924" t="s">
        <v>40</v>
      </c>
      <c r="E924" t="s">
        <v>31</v>
      </c>
      <c r="F924" s="9">
        <v>0.13</v>
      </c>
      <c r="G924" s="10">
        <v>5415</v>
      </c>
      <c r="H924">
        <v>4.6500000000000004</v>
      </c>
      <c r="I924" s="5">
        <f>ROUND(Marketing[[#This Row],[Clicks]]*Marketing[[#This Row],[Conversion_Rate]],0)</f>
        <v>81</v>
      </c>
      <c r="J924" s="12">
        <f>Marketing[[#This Row],[Campaign_Cost]]/Marketing[[#This Row],[Customers]]</f>
        <v>66.851851851851848</v>
      </c>
      <c r="K924" t="s">
        <v>25</v>
      </c>
      <c r="L924" t="s">
        <v>39</v>
      </c>
      <c r="M924">
        <v>624</v>
      </c>
      <c r="N924">
        <v>2430</v>
      </c>
      <c r="O924">
        <v>2</v>
      </c>
      <c r="P924" t="s">
        <v>21</v>
      </c>
      <c r="Q924" s="1">
        <v>44389</v>
      </c>
    </row>
    <row r="925" spans="1:17" x14ac:dyDescent="0.3">
      <c r="A925" t="s">
        <v>14</v>
      </c>
      <c r="B925" t="s">
        <v>15</v>
      </c>
      <c r="C925" t="s">
        <v>30</v>
      </c>
      <c r="D925" t="s">
        <v>46</v>
      </c>
      <c r="E925" t="s">
        <v>31</v>
      </c>
      <c r="F925" s="9">
        <v>0.04</v>
      </c>
      <c r="G925" s="10">
        <v>13580</v>
      </c>
      <c r="H925">
        <v>5.41</v>
      </c>
      <c r="I925" s="5">
        <f>ROUND(Marketing[[#This Row],[Clicks]]*Marketing[[#This Row],[Conversion_Rate]],0)</f>
        <v>25</v>
      </c>
      <c r="J925" s="12">
        <f>Marketing[[#This Row],[Campaign_Cost]]/Marketing[[#This Row],[Customers]]</f>
        <v>543.20000000000005</v>
      </c>
      <c r="K925" t="s">
        <v>51</v>
      </c>
      <c r="L925" t="s">
        <v>39</v>
      </c>
      <c r="M925">
        <v>614</v>
      </c>
      <c r="N925">
        <v>5273</v>
      </c>
      <c r="O925">
        <v>9</v>
      </c>
      <c r="P925" t="s">
        <v>42</v>
      </c>
      <c r="Q925" s="1">
        <v>44390</v>
      </c>
    </row>
    <row r="926" spans="1:17" x14ac:dyDescent="0.3">
      <c r="A926" t="s">
        <v>14</v>
      </c>
      <c r="B926" t="s">
        <v>47</v>
      </c>
      <c r="C926" t="s">
        <v>37</v>
      </c>
      <c r="D926" t="s">
        <v>24</v>
      </c>
      <c r="E926" t="s">
        <v>31</v>
      </c>
      <c r="F926" s="9">
        <v>0.09</v>
      </c>
      <c r="G926" s="10">
        <v>6258</v>
      </c>
      <c r="H926">
        <v>4.01</v>
      </c>
      <c r="I926" s="5">
        <f>ROUND(Marketing[[#This Row],[Clicks]]*Marketing[[#This Row],[Conversion_Rate]],0)</f>
        <v>79</v>
      </c>
      <c r="J926" s="12">
        <f>Marketing[[#This Row],[Campaign_Cost]]/Marketing[[#This Row],[Customers]]</f>
        <v>79.215189873417728</v>
      </c>
      <c r="K926" t="s">
        <v>19</v>
      </c>
      <c r="L926" t="s">
        <v>50</v>
      </c>
      <c r="M926">
        <v>879</v>
      </c>
      <c r="N926">
        <v>5281</v>
      </c>
      <c r="O926">
        <v>9</v>
      </c>
      <c r="P926" t="s">
        <v>42</v>
      </c>
      <c r="Q926" s="1">
        <v>44391</v>
      </c>
    </row>
    <row r="927" spans="1:17" x14ac:dyDescent="0.3">
      <c r="A927" t="s">
        <v>35</v>
      </c>
      <c r="B927" t="s">
        <v>29</v>
      </c>
      <c r="C927" t="s">
        <v>37</v>
      </c>
      <c r="D927" t="s">
        <v>40</v>
      </c>
      <c r="E927" t="s">
        <v>43</v>
      </c>
      <c r="F927" s="9">
        <v>0.13</v>
      </c>
      <c r="G927" s="10">
        <v>17604</v>
      </c>
      <c r="H927">
        <v>5.25</v>
      </c>
      <c r="I927" s="5">
        <f>ROUND(Marketing[[#This Row],[Clicks]]*Marketing[[#This Row],[Conversion_Rate]],0)</f>
        <v>36</v>
      </c>
      <c r="J927" s="12">
        <f>Marketing[[#This Row],[Campaign_Cost]]/Marketing[[#This Row],[Customers]]</f>
        <v>489</v>
      </c>
      <c r="K927" t="s">
        <v>38</v>
      </c>
      <c r="L927" t="s">
        <v>39</v>
      </c>
      <c r="M927">
        <v>278</v>
      </c>
      <c r="N927">
        <v>9591</v>
      </c>
      <c r="O927">
        <v>10</v>
      </c>
      <c r="P927" t="s">
        <v>21</v>
      </c>
      <c r="Q927" s="1">
        <v>44392</v>
      </c>
    </row>
    <row r="928" spans="1:17" x14ac:dyDescent="0.3">
      <c r="A928" t="s">
        <v>35</v>
      </c>
      <c r="B928" t="s">
        <v>47</v>
      </c>
      <c r="C928" t="s">
        <v>16</v>
      </c>
      <c r="D928" t="s">
        <v>17</v>
      </c>
      <c r="E928" t="s">
        <v>43</v>
      </c>
      <c r="F928" s="9">
        <v>0.03</v>
      </c>
      <c r="G928" s="10">
        <v>18699</v>
      </c>
      <c r="H928">
        <v>4.33</v>
      </c>
      <c r="I928" s="5">
        <f>ROUND(Marketing[[#This Row],[Clicks]]*Marketing[[#This Row],[Conversion_Rate]],0)</f>
        <v>17</v>
      </c>
      <c r="J928" s="12">
        <f>Marketing[[#This Row],[Campaign_Cost]]/Marketing[[#This Row],[Customers]]</f>
        <v>1099.9411764705883</v>
      </c>
      <c r="K928" t="s">
        <v>51</v>
      </c>
      <c r="L928" t="s">
        <v>20</v>
      </c>
      <c r="M928">
        <v>583</v>
      </c>
      <c r="N928">
        <v>2856</v>
      </c>
      <c r="O928">
        <v>8</v>
      </c>
      <c r="P928" t="s">
        <v>44</v>
      </c>
      <c r="Q928" s="1">
        <v>44393</v>
      </c>
    </row>
    <row r="929" spans="1:17" x14ac:dyDescent="0.3">
      <c r="A929" t="s">
        <v>22</v>
      </c>
      <c r="B929" t="s">
        <v>47</v>
      </c>
      <c r="C929" t="s">
        <v>30</v>
      </c>
      <c r="D929" t="s">
        <v>24</v>
      </c>
      <c r="E929" t="s">
        <v>31</v>
      </c>
      <c r="F929" s="9">
        <v>0.08</v>
      </c>
      <c r="G929" s="10">
        <v>8471</v>
      </c>
      <c r="H929">
        <v>3.7</v>
      </c>
      <c r="I929" s="5">
        <f>ROUND(Marketing[[#This Row],[Clicks]]*Marketing[[#This Row],[Conversion_Rate]],0)</f>
        <v>28</v>
      </c>
      <c r="J929" s="12">
        <f>Marketing[[#This Row],[Campaign_Cost]]/Marketing[[#This Row],[Customers]]</f>
        <v>302.53571428571428</v>
      </c>
      <c r="K929" t="s">
        <v>19</v>
      </c>
      <c r="L929" t="s">
        <v>50</v>
      </c>
      <c r="M929">
        <v>347</v>
      </c>
      <c r="N929">
        <v>2133</v>
      </c>
      <c r="O929">
        <v>8</v>
      </c>
      <c r="P929" t="s">
        <v>42</v>
      </c>
      <c r="Q929" s="1">
        <v>44394</v>
      </c>
    </row>
    <row r="930" spans="1:17" x14ac:dyDescent="0.3">
      <c r="A930" t="s">
        <v>22</v>
      </c>
      <c r="B930" t="s">
        <v>47</v>
      </c>
      <c r="C930" t="s">
        <v>23</v>
      </c>
      <c r="D930" t="s">
        <v>46</v>
      </c>
      <c r="E930" t="s">
        <v>41</v>
      </c>
      <c r="F930" s="9">
        <v>0.03</v>
      </c>
      <c r="G930" s="10">
        <v>16294</v>
      </c>
      <c r="H930">
        <v>5.41</v>
      </c>
      <c r="I930" s="5">
        <f>ROUND(Marketing[[#This Row],[Clicks]]*Marketing[[#This Row],[Conversion_Rate]],0)</f>
        <v>28</v>
      </c>
      <c r="J930" s="12">
        <f>Marketing[[#This Row],[Campaign_Cost]]/Marketing[[#This Row],[Customers]]</f>
        <v>581.92857142857144</v>
      </c>
      <c r="K930" t="s">
        <v>25</v>
      </c>
      <c r="L930" t="s">
        <v>26</v>
      </c>
      <c r="M930">
        <v>919</v>
      </c>
      <c r="N930">
        <v>8709</v>
      </c>
      <c r="O930">
        <v>2</v>
      </c>
      <c r="P930" t="s">
        <v>42</v>
      </c>
      <c r="Q930" s="1">
        <v>44395</v>
      </c>
    </row>
    <row r="931" spans="1:17" x14ac:dyDescent="0.3">
      <c r="A931" t="s">
        <v>28</v>
      </c>
      <c r="B931" t="s">
        <v>36</v>
      </c>
      <c r="C931" t="s">
        <v>37</v>
      </c>
      <c r="D931" t="s">
        <v>40</v>
      </c>
      <c r="E931" t="s">
        <v>43</v>
      </c>
      <c r="F931" s="9">
        <v>0.13</v>
      </c>
      <c r="G931" s="10">
        <v>16986</v>
      </c>
      <c r="H931">
        <v>2.5499999999999998</v>
      </c>
      <c r="I931" s="5">
        <f>ROUND(Marketing[[#This Row],[Clicks]]*Marketing[[#This Row],[Conversion_Rate]],0)</f>
        <v>118</v>
      </c>
      <c r="J931" s="12">
        <f>Marketing[[#This Row],[Campaign_Cost]]/Marketing[[#This Row],[Customers]]</f>
        <v>143.94915254237287</v>
      </c>
      <c r="K931" t="s">
        <v>25</v>
      </c>
      <c r="L931" t="s">
        <v>39</v>
      </c>
      <c r="M931">
        <v>908</v>
      </c>
      <c r="N931">
        <v>1968</v>
      </c>
      <c r="O931">
        <v>9</v>
      </c>
      <c r="P931" t="s">
        <v>44</v>
      </c>
      <c r="Q931" s="1">
        <v>44396</v>
      </c>
    </row>
    <row r="932" spans="1:17" x14ac:dyDescent="0.3">
      <c r="A932" t="s">
        <v>28</v>
      </c>
      <c r="B932" t="s">
        <v>45</v>
      </c>
      <c r="C932" t="s">
        <v>23</v>
      </c>
      <c r="D932" t="s">
        <v>24</v>
      </c>
      <c r="E932" t="s">
        <v>31</v>
      </c>
      <c r="F932" s="9">
        <v>0.08</v>
      </c>
      <c r="G932" s="10">
        <v>10197</v>
      </c>
      <c r="H932">
        <v>6.36</v>
      </c>
      <c r="I932" s="5">
        <f>ROUND(Marketing[[#This Row],[Clicks]]*Marketing[[#This Row],[Conversion_Rate]],0)</f>
        <v>23</v>
      </c>
      <c r="J932" s="12">
        <f>Marketing[[#This Row],[Campaign_Cost]]/Marketing[[#This Row],[Customers]]</f>
        <v>443.3478260869565</v>
      </c>
      <c r="K932" t="s">
        <v>51</v>
      </c>
      <c r="L932" t="s">
        <v>39</v>
      </c>
      <c r="M932">
        <v>292</v>
      </c>
      <c r="N932">
        <v>6494</v>
      </c>
      <c r="O932">
        <v>4</v>
      </c>
      <c r="P932" t="s">
        <v>34</v>
      </c>
      <c r="Q932" s="1">
        <v>44397</v>
      </c>
    </row>
    <row r="933" spans="1:17" x14ac:dyDescent="0.3">
      <c r="A933" t="s">
        <v>28</v>
      </c>
      <c r="B933" t="s">
        <v>45</v>
      </c>
      <c r="C933" t="s">
        <v>30</v>
      </c>
      <c r="D933" t="s">
        <v>40</v>
      </c>
      <c r="E933" t="s">
        <v>48</v>
      </c>
      <c r="F933" s="9">
        <v>0.1</v>
      </c>
      <c r="G933" s="10">
        <v>9723</v>
      </c>
      <c r="H933">
        <v>3.67</v>
      </c>
      <c r="I933" s="5">
        <f>ROUND(Marketing[[#This Row],[Clicks]]*Marketing[[#This Row],[Conversion_Rate]],0)</f>
        <v>66</v>
      </c>
      <c r="J933" s="12">
        <f>Marketing[[#This Row],[Campaign_Cost]]/Marketing[[#This Row],[Customers]]</f>
        <v>147.31818181818181</v>
      </c>
      <c r="K933" t="s">
        <v>19</v>
      </c>
      <c r="L933" t="s">
        <v>26</v>
      </c>
      <c r="M933">
        <v>655</v>
      </c>
      <c r="N933">
        <v>4817</v>
      </c>
      <c r="O933">
        <v>6</v>
      </c>
      <c r="P933" t="s">
        <v>21</v>
      </c>
      <c r="Q933" s="1">
        <v>44398</v>
      </c>
    </row>
    <row r="934" spans="1:17" x14ac:dyDescent="0.3">
      <c r="A934" t="s">
        <v>14</v>
      </c>
      <c r="B934" t="s">
        <v>15</v>
      </c>
      <c r="C934" t="s">
        <v>52</v>
      </c>
      <c r="D934" t="s">
        <v>24</v>
      </c>
      <c r="E934" t="s">
        <v>43</v>
      </c>
      <c r="F934" s="9">
        <v>0.01</v>
      </c>
      <c r="G934" s="10">
        <v>15592</v>
      </c>
      <c r="H934">
        <v>5.83</v>
      </c>
      <c r="I934" s="5">
        <f>ROUND(Marketing[[#This Row],[Clicks]]*Marketing[[#This Row],[Conversion_Rate]],0)</f>
        <v>3</v>
      </c>
      <c r="J934" s="12">
        <f>Marketing[[#This Row],[Campaign_Cost]]/Marketing[[#This Row],[Customers]]</f>
        <v>5197.333333333333</v>
      </c>
      <c r="K934" t="s">
        <v>19</v>
      </c>
      <c r="L934" t="s">
        <v>39</v>
      </c>
      <c r="M934">
        <v>262</v>
      </c>
      <c r="N934">
        <v>2280</v>
      </c>
      <c r="O934">
        <v>9</v>
      </c>
      <c r="P934" t="s">
        <v>21</v>
      </c>
      <c r="Q934" s="1">
        <v>44399</v>
      </c>
    </row>
    <row r="935" spans="1:17" x14ac:dyDescent="0.3">
      <c r="A935" t="s">
        <v>22</v>
      </c>
      <c r="B935" t="s">
        <v>45</v>
      </c>
      <c r="C935" t="s">
        <v>23</v>
      </c>
      <c r="D935" t="s">
        <v>17</v>
      </c>
      <c r="E935" t="s">
        <v>43</v>
      </c>
      <c r="F935" s="9">
        <v>0.09</v>
      </c>
      <c r="G935" s="10">
        <v>8889</v>
      </c>
      <c r="H935">
        <v>4.68</v>
      </c>
      <c r="I935" s="5">
        <f>ROUND(Marketing[[#This Row],[Clicks]]*Marketing[[#This Row],[Conversion_Rate]],0)</f>
        <v>66</v>
      </c>
      <c r="J935" s="12">
        <f>Marketing[[#This Row],[Campaign_Cost]]/Marketing[[#This Row],[Customers]]</f>
        <v>134.68181818181819</v>
      </c>
      <c r="K935" t="s">
        <v>32</v>
      </c>
      <c r="L935" t="s">
        <v>33</v>
      </c>
      <c r="M935">
        <v>733</v>
      </c>
      <c r="N935">
        <v>5645</v>
      </c>
      <c r="O935">
        <v>7</v>
      </c>
      <c r="P935" t="s">
        <v>42</v>
      </c>
      <c r="Q935" s="1">
        <v>44400</v>
      </c>
    </row>
    <row r="936" spans="1:17" x14ac:dyDescent="0.3">
      <c r="A936" t="s">
        <v>28</v>
      </c>
      <c r="B936" t="s">
        <v>29</v>
      </c>
      <c r="C936" t="s">
        <v>16</v>
      </c>
      <c r="D936" t="s">
        <v>17</v>
      </c>
      <c r="E936" t="s">
        <v>43</v>
      </c>
      <c r="F936" s="9">
        <v>0.13</v>
      </c>
      <c r="G936" s="10">
        <v>8924</v>
      </c>
      <c r="H936">
        <v>4.84</v>
      </c>
      <c r="I936" s="5">
        <f>ROUND(Marketing[[#This Row],[Clicks]]*Marketing[[#This Row],[Conversion_Rate]],0)</f>
        <v>108</v>
      </c>
      <c r="J936" s="12">
        <f>Marketing[[#This Row],[Campaign_Cost]]/Marketing[[#This Row],[Customers]]</f>
        <v>82.629629629629633</v>
      </c>
      <c r="K936" t="s">
        <v>25</v>
      </c>
      <c r="L936" t="s">
        <v>33</v>
      </c>
      <c r="M936">
        <v>831</v>
      </c>
      <c r="N936">
        <v>6917</v>
      </c>
      <c r="O936">
        <v>6</v>
      </c>
      <c r="P936" t="s">
        <v>34</v>
      </c>
      <c r="Q936" s="1">
        <v>44401</v>
      </c>
    </row>
    <row r="937" spans="1:17" x14ac:dyDescent="0.3">
      <c r="A937" t="s">
        <v>14</v>
      </c>
      <c r="B937" t="s">
        <v>36</v>
      </c>
      <c r="C937" t="s">
        <v>30</v>
      </c>
      <c r="D937" t="s">
        <v>40</v>
      </c>
      <c r="E937" t="s">
        <v>18</v>
      </c>
      <c r="F937" s="9">
        <v>0.08</v>
      </c>
      <c r="G937" s="10">
        <v>6089</v>
      </c>
      <c r="H937">
        <v>2.2400000000000002</v>
      </c>
      <c r="I937" s="5">
        <f>ROUND(Marketing[[#This Row],[Clicks]]*Marketing[[#This Row],[Conversion_Rate]],0)</f>
        <v>55</v>
      </c>
      <c r="J937" s="12">
        <f>Marketing[[#This Row],[Campaign_Cost]]/Marketing[[#This Row],[Customers]]</f>
        <v>110.7090909090909</v>
      </c>
      <c r="K937" t="s">
        <v>38</v>
      </c>
      <c r="L937" t="s">
        <v>33</v>
      </c>
      <c r="M937">
        <v>690</v>
      </c>
      <c r="N937">
        <v>2976</v>
      </c>
      <c r="O937">
        <v>3</v>
      </c>
      <c r="P937" t="s">
        <v>27</v>
      </c>
      <c r="Q937" s="1">
        <v>44402</v>
      </c>
    </row>
    <row r="938" spans="1:17" x14ac:dyDescent="0.3">
      <c r="A938" t="s">
        <v>14</v>
      </c>
      <c r="B938" t="s">
        <v>45</v>
      </c>
      <c r="C938" t="s">
        <v>16</v>
      </c>
      <c r="D938" t="s">
        <v>46</v>
      </c>
      <c r="E938" t="s">
        <v>18</v>
      </c>
      <c r="F938" s="9">
        <v>0.15</v>
      </c>
      <c r="G938" s="10">
        <v>18187</v>
      </c>
      <c r="H938">
        <v>7.57</v>
      </c>
      <c r="I938" s="5">
        <f>ROUND(Marketing[[#This Row],[Clicks]]*Marketing[[#This Row],[Conversion_Rate]],0)</f>
        <v>36</v>
      </c>
      <c r="J938" s="12">
        <f>Marketing[[#This Row],[Campaign_Cost]]/Marketing[[#This Row],[Customers]]</f>
        <v>505.19444444444446</v>
      </c>
      <c r="K938" t="s">
        <v>32</v>
      </c>
      <c r="L938" t="s">
        <v>20</v>
      </c>
      <c r="M938">
        <v>240</v>
      </c>
      <c r="N938">
        <v>7918</v>
      </c>
      <c r="O938">
        <v>2</v>
      </c>
      <c r="P938" t="s">
        <v>42</v>
      </c>
      <c r="Q938" s="1">
        <v>44403</v>
      </c>
    </row>
    <row r="939" spans="1:17" x14ac:dyDescent="0.3">
      <c r="A939" t="s">
        <v>28</v>
      </c>
      <c r="B939" t="s">
        <v>15</v>
      </c>
      <c r="C939" t="s">
        <v>16</v>
      </c>
      <c r="D939" t="s">
        <v>46</v>
      </c>
      <c r="E939" t="s">
        <v>48</v>
      </c>
      <c r="F939" s="9">
        <v>0.02</v>
      </c>
      <c r="G939" s="10">
        <v>12416</v>
      </c>
      <c r="H939">
        <v>3.07</v>
      </c>
      <c r="I939" s="5">
        <f>ROUND(Marketing[[#This Row],[Clicks]]*Marketing[[#This Row],[Conversion_Rate]],0)</f>
        <v>11</v>
      </c>
      <c r="J939" s="12">
        <f>Marketing[[#This Row],[Campaign_Cost]]/Marketing[[#This Row],[Customers]]</f>
        <v>1128.7272727272727</v>
      </c>
      <c r="K939" t="s">
        <v>19</v>
      </c>
      <c r="L939" t="s">
        <v>26</v>
      </c>
      <c r="M939">
        <v>547</v>
      </c>
      <c r="N939">
        <v>3996</v>
      </c>
      <c r="O939">
        <v>9</v>
      </c>
      <c r="P939" t="s">
        <v>34</v>
      </c>
      <c r="Q939" s="1">
        <v>44404</v>
      </c>
    </row>
    <row r="940" spans="1:17" x14ac:dyDescent="0.3">
      <c r="A940" t="s">
        <v>22</v>
      </c>
      <c r="B940" t="s">
        <v>29</v>
      </c>
      <c r="C940" t="s">
        <v>23</v>
      </c>
      <c r="D940" t="s">
        <v>40</v>
      </c>
      <c r="E940" t="s">
        <v>31</v>
      </c>
      <c r="F940" s="9">
        <v>0.11</v>
      </c>
      <c r="G940" s="10">
        <v>6795</v>
      </c>
      <c r="H940">
        <v>5.44</v>
      </c>
      <c r="I940" s="5">
        <f>ROUND(Marketing[[#This Row],[Clicks]]*Marketing[[#This Row],[Conversion_Rate]],0)</f>
        <v>59</v>
      </c>
      <c r="J940" s="12">
        <f>Marketing[[#This Row],[Campaign_Cost]]/Marketing[[#This Row],[Customers]]</f>
        <v>115.16949152542372</v>
      </c>
      <c r="K940" t="s">
        <v>32</v>
      </c>
      <c r="L940" t="s">
        <v>26</v>
      </c>
      <c r="M940">
        <v>534</v>
      </c>
      <c r="N940">
        <v>6614</v>
      </c>
      <c r="O940">
        <v>1</v>
      </c>
      <c r="P940" t="s">
        <v>44</v>
      </c>
      <c r="Q940" s="1">
        <v>44405</v>
      </c>
    </row>
    <row r="941" spans="1:17" x14ac:dyDescent="0.3">
      <c r="A941" t="s">
        <v>49</v>
      </c>
      <c r="B941" t="s">
        <v>29</v>
      </c>
      <c r="C941" t="s">
        <v>30</v>
      </c>
      <c r="D941" t="s">
        <v>24</v>
      </c>
      <c r="E941" t="s">
        <v>43</v>
      </c>
      <c r="F941" s="9">
        <v>0.12</v>
      </c>
      <c r="G941" s="10">
        <v>18603</v>
      </c>
      <c r="H941">
        <v>6.98</v>
      </c>
      <c r="I941" s="5">
        <f>ROUND(Marketing[[#This Row],[Clicks]]*Marketing[[#This Row],[Conversion_Rate]],0)</f>
        <v>89</v>
      </c>
      <c r="J941" s="12">
        <f>Marketing[[#This Row],[Campaign_Cost]]/Marketing[[#This Row],[Customers]]</f>
        <v>209.02247191011236</v>
      </c>
      <c r="K941" t="s">
        <v>25</v>
      </c>
      <c r="L941" t="s">
        <v>33</v>
      </c>
      <c r="M941">
        <v>740</v>
      </c>
      <c r="N941">
        <v>1181</v>
      </c>
      <c r="O941">
        <v>1</v>
      </c>
      <c r="P941" t="s">
        <v>42</v>
      </c>
      <c r="Q941" s="1">
        <v>44406</v>
      </c>
    </row>
    <row r="942" spans="1:17" x14ac:dyDescent="0.3">
      <c r="A942" t="s">
        <v>14</v>
      </c>
      <c r="B942" t="s">
        <v>47</v>
      </c>
      <c r="C942" t="s">
        <v>23</v>
      </c>
      <c r="D942" t="s">
        <v>46</v>
      </c>
      <c r="E942" t="s">
        <v>41</v>
      </c>
      <c r="F942" s="9">
        <v>0.05</v>
      </c>
      <c r="G942" s="10">
        <v>12988</v>
      </c>
      <c r="H942">
        <v>6.89</v>
      </c>
      <c r="I942" s="5">
        <f>ROUND(Marketing[[#This Row],[Clicks]]*Marketing[[#This Row],[Conversion_Rate]],0)</f>
        <v>10</v>
      </c>
      <c r="J942" s="12">
        <f>Marketing[[#This Row],[Campaign_Cost]]/Marketing[[#This Row],[Customers]]</f>
        <v>1298.8</v>
      </c>
      <c r="K942" t="s">
        <v>25</v>
      </c>
      <c r="L942" t="s">
        <v>50</v>
      </c>
      <c r="M942">
        <v>198</v>
      </c>
      <c r="N942">
        <v>1415</v>
      </c>
      <c r="O942">
        <v>2</v>
      </c>
      <c r="P942" t="s">
        <v>34</v>
      </c>
      <c r="Q942" s="1">
        <v>44407</v>
      </c>
    </row>
    <row r="943" spans="1:17" x14ac:dyDescent="0.3">
      <c r="A943" t="s">
        <v>28</v>
      </c>
      <c r="B943" t="s">
        <v>36</v>
      </c>
      <c r="C943" t="s">
        <v>52</v>
      </c>
      <c r="D943" t="s">
        <v>17</v>
      </c>
      <c r="E943" t="s">
        <v>43</v>
      </c>
      <c r="F943" s="9">
        <v>0.02</v>
      </c>
      <c r="G943" s="10">
        <v>8505</v>
      </c>
      <c r="H943">
        <v>5.77</v>
      </c>
      <c r="I943" s="5">
        <f>ROUND(Marketing[[#This Row],[Clicks]]*Marketing[[#This Row],[Conversion_Rate]],0)</f>
        <v>11</v>
      </c>
      <c r="J943" s="12">
        <f>Marketing[[#This Row],[Campaign_Cost]]/Marketing[[#This Row],[Customers]]</f>
        <v>773.18181818181813</v>
      </c>
      <c r="K943" t="s">
        <v>51</v>
      </c>
      <c r="L943" t="s">
        <v>26</v>
      </c>
      <c r="M943">
        <v>545</v>
      </c>
      <c r="N943">
        <v>9721</v>
      </c>
      <c r="O943">
        <v>2</v>
      </c>
      <c r="P943" t="s">
        <v>44</v>
      </c>
      <c r="Q943" s="1">
        <v>44408</v>
      </c>
    </row>
    <row r="944" spans="1:17" x14ac:dyDescent="0.3">
      <c r="A944" t="s">
        <v>14</v>
      </c>
      <c r="B944" t="s">
        <v>36</v>
      </c>
      <c r="C944" t="s">
        <v>37</v>
      </c>
      <c r="D944" t="s">
        <v>40</v>
      </c>
      <c r="E944" t="s">
        <v>15</v>
      </c>
      <c r="F944" s="9">
        <v>0.15</v>
      </c>
      <c r="G944" s="10">
        <v>8623</v>
      </c>
      <c r="H944">
        <v>3.09</v>
      </c>
      <c r="I944" s="5">
        <f>ROUND(Marketing[[#This Row],[Clicks]]*Marketing[[#This Row],[Conversion_Rate]],0)</f>
        <v>60</v>
      </c>
      <c r="J944" s="12">
        <f>Marketing[[#This Row],[Campaign_Cost]]/Marketing[[#This Row],[Customers]]</f>
        <v>143.71666666666667</v>
      </c>
      <c r="K944" t="s">
        <v>32</v>
      </c>
      <c r="L944" t="s">
        <v>39</v>
      </c>
      <c r="M944">
        <v>397</v>
      </c>
      <c r="N944">
        <v>4772</v>
      </c>
      <c r="O944">
        <v>3</v>
      </c>
      <c r="P944" t="s">
        <v>34</v>
      </c>
      <c r="Q944" s="1">
        <v>44409</v>
      </c>
    </row>
    <row r="945" spans="1:17" x14ac:dyDescent="0.3">
      <c r="A945" t="s">
        <v>22</v>
      </c>
      <c r="B945" t="s">
        <v>36</v>
      </c>
      <c r="C945" t="s">
        <v>23</v>
      </c>
      <c r="D945" t="s">
        <v>17</v>
      </c>
      <c r="E945" t="s">
        <v>31</v>
      </c>
      <c r="F945" s="9">
        <v>0.11</v>
      </c>
      <c r="G945" s="10">
        <v>5699</v>
      </c>
      <c r="H945">
        <v>6.41</v>
      </c>
      <c r="I945" s="5">
        <f>ROUND(Marketing[[#This Row],[Clicks]]*Marketing[[#This Row],[Conversion_Rate]],0)</f>
        <v>102</v>
      </c>
      <c r="J945" s="12">
        <f>Marketing[[#This Row],[Campaign_Cost]]/Marketing[[#This Row],[Customers]]</f>
        <v>55.872549019607845</v>
      </c>
      <c r="K945" t="s">
        <v>25</v>
      </c>
      <c r="L945" t="s">
        <v>26</v>
      </c>
      <c r="M945">
        <v>931</v>
      </c>
      <c r="N945">
        <v>9604</v>
      </c>
      <c r="O945">
        <v>9</v>
      </c>
      <c r="P945" t="s">
        <v>27</v>
      </c>
      <c r="Q945" s="1">
        <v>44410</v>
      </c>
    </row>
    <row r="946" spans="1:17" x14ac:dyDescent="0.3">
      <c r="A946" t="s">
        <v>35</v>
      </c>
      <c r="B946" t="s">
        <v>36</v>
      </c>
      <c r="C946" t="s">
        <v>23</v>
      </c>
      <c r="D946" t="s">
        <v>46</v>
      </c>
      <c r="E946" t="s">
        <v>48</v>
      </c>
      <c r="F946" s="9">
        <v>0.15</v>
      </c>
      <c r="G946" s="10">
        <v>5121</v>
      </c>
      <c r="H946">
        <v>3.87</v>
      </c>
      <c r="I946" s="5">
        <f>ROUND(Marketing[[#This Row],[Clicks]]*Marketing[[#This Row],[Conversion_Rate]],0)</f>
        <v>105</v>
      </c>
      <c r="J946" s="12">
        <f>Marketing[[#This Row],[Campaign_Cost]]/Marketing[[#This Row],[Customers]]</f>
        <v>48.771428571428572</v>
      </c>
      <c r="K946" t="s">
        <v>32</v>
      </c>
      <c r="L946" t="s">
        <v>20</v>
      </c>
      <c r="M946">
        <v>702</v>
      </c>
      <c r="N946">
        <v>6887</v>
      </c>
      <c r="O946">
        <v>1</v>
      </c>
      <c r="P946" t="s">
        <v>27</v>
      </c>
      <c r="Q946" s="1">
        <v>44411</v>
      </c>
    </row>
    <row r="947" spans="1:17" x14ac:dyDescent="0.3">
      <c r="A947" t="s">
        <v>35</v>
      </c>
      <c r="B947" t="s">
        <v>29</v>
      </c>
      <c r="C947" t="s">
        <v>52</v>
      </c>
      <c r="D947" t="s">
        <v>46</v>
      </c>
      <c r="E947" t="s">
        <v>31</v>
      </c>
      <c r="F947" s="9">
        <v>0.01</v>
      </c>
      <c r="G947" s="10">
        <v>5697</v>
      </c>
      <c r="H947">
        <v>6</v>
      </c>
      <c r="I947" s="5">
        <f>ROUND(Marketing[[#This Row],[Clicks]]*Marketing[[#This Row],[Conversion_Rate]],0)</f>
        <v>9</v>
      </c>
      <c r="J947" s="12">
        <f>Marketing[[#This Row],[Campaign_Cost]]/Marketing[[#This Row],[Customers]]</f>
        <v>633</v>
      </c>
      <c r="K947" t="s">
        <v>51</v>
      </c>
      <c r="L947" t="s">
        <v>50</v>
      </c>
      <c r="M947">
        <v>899</v>
      </c>
      <c r="N947">
        <v>5163</v>
      </c>
      <c r="O947">
        <v>2</v>
      </c>
      <c r="P947" t="s">
        <v>21</v>
      </c>
      <c r="Q947" s="1">
        <v>44412</v>
      </c>
    </row>
    <row r="948" spans="1:17" x14ac:dyDescent="0.3">
      <c r="A948" t="s">
        <v>14</v>
      </c>
      <c r="B948" t="s">
        <v>29</v>
      </c>
      <c r="C948" t="s">
        <v>16</v>
      </c>
      <c r="D948" t="s">
        <v>40</v>
      </c>
      <c r="E948" t="s">
        <v>43</v>
      </c>
      <c r="F948" s="9">
        <v>0.01</v>
      </c>
      <c r="G948" s="10">
        <v>11178</v>
      </c>
      <c r="H948">
        <v>5.39</v>
      </c>
      <c r="I948" s="5">
        <f>ROUND(Marketing[[#This Row],[Clicks]]*Marketing[[#This Row],[Conversion_Rate]],0)</f>
        <v>3</v>
      </c>
      <c r="J948" s="12">
        <f>Marketing[[#This Row],[Campaign_Cost]]/Marketing[[#This Row],[Customers]]</f>
        <v>3726</v>
      </c>
      <c r="K948" t="s">
        <v>32</v>
      </c>
      <c r="L948" t="s">
        <v>33</v>
      </c>
      <c r="M948">
        <v>328</v>
      </c>
      <c r="N948">
        <v>8632</v>
      </c>
      <c r="O948">
        <v>5</v>
      </c>
      <c r="P948" t="s">
        <v>27</v>
      </c>
      <c r="Q948" s="1">
        <v>44413</v>
      </c>
    </row>
    <row r="949" spans="1:17" x14ac:dyDescent="0.3">
      <c r="A949" t="s">
        <v>28</v>
      </c>
      <c r="B949" t="s">
        <v>45</v>
      </c>
      <c r="C949" t="s">
        <v>52</v>
      </c>
      <c r="D949" t="s">
        <v>40</v>
      </c>
      <c r="E949" t="s">
        <v>41</v>
      </c>
      <c r="F949" s="9">
        <v>0.06</v>
      </c>
      <c r="G949" s="10">
        <v>7000</v>
      </c>
      <c r="H949">
        <v>5.9</v>
      </c>
      <c r="I949" s="5">
        <f>ROUND(Marketing[[#This Row],[Clicks]]*Marketing[[#This Row],[Conversion_Rate]],0)</f>
        <v>52</v>
      </c>
      <c r="J949" s="12">
        <f>Marketing[[#This Row],[Campaign_Cost]]/Marketing[[#This Row],[Customers]]</f>
        <v>134.61538461538461</v>
      </c>
      <c r="K949" t="s">
        <v>38</v>
      </c>
      <c r="L949" t="s">
        <v>26</v>
      </c>
      <c r="M949">
        <v>868</v>
      </c>
      <c r="N949">
        <v>8308</v>
      </c>
      <c r="O949">
        <v>7</v>
      </c>
      <c r="P949" t="s">
        <v>27</v>
      </c>
      <c r="Q949" s="1">
        <v>44414</v>
      </c>
    </row>
    <row r="950" spans="1:17" x14ac:dyDescent="0.3">
      <c r="A950" t="s">
        <v>14</v>
      </c>
      <c r="B950" t="s">
        <v>29</v>
      </c>
      <c r="C950" t="s">
        <v>16</v>
      </c>
      <c r="D950" t="s">
        <v>17</v>
      </c>
      <c r="E950" t="s">
        <v>15</v>
      </c>
      <c r="F950" s="9">
        <v>0.03</v>
      </c>
      <c r="G950" s="10">
        <v>16025</v>
      </c>
      <c r="H950">
        <v>6.71</v>
      </c>
      <c r="I950" s="5">
        <f>ROUND(Marketing[[#This Row],[Clicks]]*Marketing[[#This Row],[Conversion_Rate]],0)</f>
        <v>12</v>
      </c>
      <c r="J950" s="12">
        <f>Marketing[[#This Row],[Campaign_Cost]]/Marketing[[#This Row],[Customers]]</f>
        <v>1335.4166666666667</v>
      </c>
      <c r="K950" t="s">
        <v>51</v>
      </c>
      <c r="L950" t="s">
        <v>26</v>
      </c>
      <c r="M950">
        <v>398</v>
      </c>
      <c r="N950">
        <v>6013</v>
      </c>
      <c r="O950">
        <v>10</v>
      </c>
      <c r="P950" t="s">
        <v>21</v>
      </c>
      <c r="Q950" s="1">
        <v>44415</v>
      </c>
    </row>
    <row r="951" spans="1:17" x14ac:dyDescent="0.3">
      <c r="A951" t="s">
        <v>22</v>
      </c>
      <c r="B951" t="s">
        <v>47</v>
      </c>
      <c r="C951" t="s">
        <v>30</v>
      </c>
      <c r="D951" t="s">
        <v>46</v>
      </c>
      <c r="E951" t="s">
        <v>15</v>
      </c>
      <c r="F951" s="9">
        <v>0.05</v>
      </c>
      <c r="G951" s="10">
        <v>9139</v>
      </c>
      <c r="H951">
        <v>2.13</v>
      </c>
      <c r="I951" s="5">
        <f>ROUND(Marketing[[#This Row],[Clicks]]*Marketing[[#This Row],[Conversion_Rate]],0)</f>
        <v>10</v>
      </c>
      <c r="J951" s="12">
        <f>Marketing[[#This Row],[Campaign_Cost]]/Marketing[[#This Row],[Customers]]</f>
        <v>913.9</v>
      </c>
      <c r="K951" t="s">
        <v>38</v>
      </c>
      <c r="L951" t="s">
        <v>26</v>
      </c>
      <c r="M951">
        <v>193</v>
      </c>
      <c r="N951">
        <v>8708</v>
      </c>
      <c r="O951">
        <v>1</v>
      </c>
      <c r="P951" t="s">
        <v>27</v>
      </c>
      <c r="Q951" s="1">
        <v>44416</v>
      </c>
    </row>
    <row r="952" spans="1:17" x14ac:dyDescent="0.3">
      <c r="A952" t="s">
        <v>14</v>
      </c>
      <c r="B952" t="s">
        <v>45</v>
      </c>
      <c r="C952" t="s">
        <v>37</v>
      </c>
      <c r="D952" t="s">
        <v>40</v>
      </c>
      <c r="E952" t="s">
        <v>15</v>
      </c>
      <c r="F952" s="9">
        <v>0.04</v>
      </c>
      <c r="G952" s="10">
        <v>16839</v>
      </c>
      <c r="H952">
        <v>4.72</v>
      </c>
      <c r="I952" s="5">
        <f>ROUND(Marketing[[#This Row],[Clicks]]*Marketing[[#This Row],[Conversion_Rate]],0)</f>
        <v>20</v>
      </c>
      <c r="J952" s="12">
        <f>Marketing[[#This Row],[Campaign_Cost]]/Marketing[[#This Row],[Customers]]</f>
        <v>841.95</v>
      </c>
      <c r="K952" t="s">
        <v>51</v>
      </c>
      <c r="L952" t="s">
        <v>20</v>
      </c>
      <c r="M952">
        <v>490</v>
      </c>
      <c r="N952">
        <v>4451</v>
      </c>
      <c r="O952">
        <v>2</v>
      </c>
      <c r="P952" t="s">
        <v>21</v>
      </c>
      <c r="Q952" s="1">
        <v>44417</v>
      </c>
    </row>
    <row r="953" spans="1:17" x14ac:dyDescent="0.3">
      <c r="A953" t="s">
        <v>49</v>
      </c>
      <c r="B953" t="s">
        <v>45</v>
      </c>
      <c r="C953" t="s">
        <v>37</v>
      </c>
      <c r="D953" t="s">
        <v>40</v>
      </c>
      <c r="E953" t="s">
        <v>18</v>
      </c>
      <c r="F953" s="9">
        <v>0.12</v>
      </c>
      <c r="G953" s="10">
        <v>18860</v>
      </c>
      <c r="H953">
        <v>5.0999999999999996</v>
      </c>
      <c r="I953" s="5">
        <f>ROUND(Marketing[[#This Row],[Clicks]]*Marketing[[#This Row],[Conversion_Rate]],0)</f>
        <v>67</v>
      </c>
      <c r="J953" s="12">
        <f>Marketing[[#This Row],[Campaign_Cost]]/Marketing[[#This Row],[Customers]]</f>
        <v>281.49253731343282</v>
      </c>
      <c r="K953" t="s">
        <v>32</v>
      </c>
      <c r="L953" t="s">
        <v>33</v>
      </c>
      <c r="M953">
        <v>562</v>
      </c>
      <c r="N953">
        <v>7982</v>
      </c>
      <c r="O953">
        <v>8</v>
      </c>
      <c r="P953" t="s">
        <v>27</v>
      </c>
      <c r="Q953" s="1">
        <v>44418</v>
      </c>
    </row>
    <row r="954" spans="1:17" x14ac:dyDescent="0.3">
      <c r="A954" t="s">
        <v>49</v>
      </c>
      <c r="B954" t="s">
        <v>47</v>
      </c>
      <c r="C954" t="s">
        <v>30</v>
      </c>
      <c r="D954" t="s">
        <v>17</v>
      </c>
      <c r="E954" t="s">
        <v>15</v>
      </c>
      <c r="F954" s="9">
        <v>0.03</v>
      </c>
      <c r="G954" s="10">
        <v>14402</v>
      </c>
      <c r="H954">
        <v>3.47</v>
      </c>
      <c r="I954" s="5">
        <f>ROUND(Marketing[[#This Row],[Clicks]]*Marketing[[#This Row],[Conversion_Rate]],0)</f>
        <v>19</v>
      </c>
      <c r="J954" s="12">
        <f>Marketing[[#This Row],[Campaign_Cost]]/Marketing[[#This Row],[Customers]]</f>
        <v>758</v>
      </c>
      <c r="K954" t="s">
        <v>51</v>
      </c>
      <c r="L954" t="s">
        <v>39</v>
      </c>
      <c r="M954">
        <v>649</v>
      </c>
      <c r="N954">
        <v>6224</v>
      </c>
      <c r="O954">
        <v>9</v>
      </c>
      <c r="P954" t="s">
        <v>27</v>
      </c>
      <c r="Q954" s="1">
        <v>44419</v>
      </c>
    </row>
    <row r="955" spans="1:17" x14ac:dyDescent="0.3">
      <c r="A955" t="s">
        <v>35</v>
      </c>
      <c r="B955" t="s">
        <v>36</v>
      </c>
      <c r="C955" t="s">
        <v>23</v>
      </c>
      <c r="D955" t="s">
        <v>40</v>
      </c>
      <c r="E955" t="s">
        <v>18</v>
      </c>
      <c r="F955" s="9">
        <v>0.06</v>
      </c>
      <c r="G955" s="10">
        <v>17894</v>
      </c>
      <c r="H955">
        <v>4.08</v>
      </c>
      <c r="I955" s="5">
        <f>ROUND(Marketing[[#This Row],[Clicks]]*Marketing[[#This Row],[Conversion_Rate]],0)</f>
        <v>59</v>
      </c>
      <c r="J955" s="12">
        <f>Marketing[[#This Row],[Campaign_Cost]]/Marketing[[#This Row],[Customers]]</f>
        <v>303.28813559322032</v>
      </c>
      <c r="K955" t="s">
        <v>51</v>
      </c>
      <c r="L955" t="s">
        <v>39</v>
      </c>
      <c r="M955">
        <v>984</v>
      </c>
      <c r="N955">
        <v>8637</v>
      </c>
      <c r="O955">
        <v>9</v>
      </c>
      <c r="P955" t="s">
        <v>34</v>
      </c>
      <c r="Q955" s="1">
        <v>44420</v>
      </c>
    </row>
    <row r="956" spans="1:17" x14ac:dyDescent="0.3">
      <c r="A956" t="s">
        <v>35</v>
      </c>
      <c r="B956" t="s">
        <v>36</v>
      </c>
      <c r="C956" t="s">
        <v>23</v>
      </c>
      <c r="D956" t="s">
        <v>17</v>
      </c>
      <c r="E956" t="s">
        <v>15</v>
      </c>
      <c r="F956" s="9">
        <v>0.13</v>
      </c>
      <c r="G956" s="10">
        <v>14100</v>
      </c>
      <c r="H956">
        <v>3.58</v>
      </c>
      <c r="I956" s="5">
        <f>ROUND(Marketing[[#This Row],[Clicks]]*Marketing[[#This Row],[Conversion_Rate]],0)</f>
        <v>57</v>
      </c>
      <c r="J956" s="12">
        <f>Marketing[[#This Row],[Campaign_Cost]]/Marketing[[#This Row],[Customers]]</f>
        <v>247.36842105263159</v>
      </c>
      <c r="K956" t="s">
        <v>25</v>
      </c>
      <c r="L956" t="s">
        <v>39</v>
      </c>
      <c r="M956">
        <v>436</v>
      </c>
      <c r="N956">
        <v>3635</v>
      </c>
      <c r="O956">
        <v>2</v>
      </c>
      <c r="P956" t="s">
        <v>34</v>
      </c>
      <c r="Q956" s="1">
        <v>44421</v>
      </c>
    </row>
    <row r="957" spans="1:17" x14ac:dyDescent="0.3">
      <c r="A957" t="s">
        <v>28</v>
      </c>
      <c r="B957" t="s">
        <v>47</v>
      </c>
      <c r="C957" t="s">
        <v>16</v>
      </c>
      <c r="D957" t="s">
        <v>17</v>
      </c>
      <c r="E957" t="s">
        <v>48</v>
      </c>
      <c r="F957" s="9">
        <v>7.0000000000000007E-2</v>
      </c>
      <c r="G957" s="10">
        <v>13112</v>
      </c>
      <c r="H957">
        <v>7.42</v>
      </c>
      <c r="I957" s="5">
        <f>ROUND(Marketing[[#This Row],[Clicks]]*Marketing[[#This Row],[Conversion_Rate]],0)</f>
        <v>14</v>
      </c>
      <c r="J957" s="12">
        <f>Marketing[[#This Row],[Campaign_Cost]]/Marketing[[#This Row],[Customers]]</f>
        <v>936.57142857142856</v>
      </c>
      <c r="K957" t="s">
        <v>32</v>
      </c>
      <c r="L957" t="s">
        <v>20</v>
      </c>
      <c r="M957">
        <v>204</v>
      </c>
      <c r="N957">
        <v>7184</v>
      </c>
      <c r="O957">
        <v>3</v>
      </c>
      <c r="P957" t="s">
        <v>27</v>
      </c>
      <c r="Q957" s="1">
        <v>44422</v>
      </c>
    </row>
    <row r="958" spans="1:17" x14ac:dyDescent="0.3">
      <c r="A958" t="s">
        <v>22</v>
      </c>
      <c r="B958" t="s">
        <v>36</v>
      </c>
      <c r="C958" t="s">
        <v>52</v>
      </c>
      <c r="D958" t="s">
        <v>24</v>
      </c>
      <c r="E958" t="s">
        <v>15</v>
      </c>
      <c r="F958" s="9">
        <v>0.13</v>
      </c>
      <c r="G958" s="10">
        <v>15918</v>
      </c>
      <c r="H958">
        <v>5.29</v>
      </c>
      <c r="I958" s="5">
        <f>ROUND(Marketing[[#This Row],[Clicks]]*Marketing[[#This Row],[Conversion_Rate]],0)</f>
        <v>94</v>
      </c>
      <c r="J958" s="12">
        <f>Marketing[[#This Row],[Campaign_Cost]]/Marketing[[#This Row],[Customers]]</f>
        <v>169.34042553191489</v>
      </c>
      <c r="K958" t="s">
        <v>25</v>
      </c>
      <c r="L958" t="s">
        <v>50</v>
      </c>
      <c r="M958">
        <v>723</v>
      </c>
      <c r="N958">
        <v>3125</v>
      </c>
      <c r="O958">
        <v>10</v>
      </c>
      <c r="P958" t="s">
        <v>42</v>
      </c>
      <c r="Q958" s="1">
        <v>44423</v>
      </c>
    </row>
    <row r="959" spans="1:17" x14ac:dyDescent="0.3">
      <c r="A959" t="s">
        <v>14</v>
      </c>
      <c r="B959" t="s">
        <v>29</v>
      </c>
      <c r="C959" t="s">
        <v>16</v>
      </c>
      <c r="D959" t="s">
        <v>17</v>
      </c>
      <c r="E959" t="s">
        <v>15</v>
      </c>
      <c r="F959" s="9">
        <v>0.01</v>
      </c>
      <c r="G959" s="10">
        <v>17455</v>
      </c>
      <c r="H959">
        <v>6.33</v>
      </c>
      <c r="I959" s="5">
        <f>ROUND(Marketing[[#This Row],[Clicks]]*Marketing[[#This Row],[Conversion_Rate]],0)</f>
        <v>2</v>
      </c>
      <c r="J959" s="12">
        <f>Marketing[[#This Row],[Campaign_Cost]]/Marketing[[#This Row],[Customers]]</f>
        <v>8727.5</v>
      </c>
      <c r="K959" t="s">
        <v>32</v>
      </c>
      <c r="L959" t="s">
        <v>26</v>
      </c>
      <c r="M959">
        <v>235</v>
      </c>
      <c r="N959">
        <v>9746</v>
      </c>
      <c r="O959">
        <v>7</v>
      </c>
      <c r="P959" t="s">
        <v>34</v>
      </c>
      <c r="Q959" s="1">
        <v>44424</v>
      </c>
    </row>
    <row r="960" spans="1:17" x14ac:dyDescent="0.3">
      <c r="A960" t="s">
        <v>28</v>
      </c>
      <c r="B960" t="s">
        <v>36</v>
      </c>
      <c r="C960" t="s">
        <v>52</v>
      </c>
      <c r="D960" t="s">
        <v>17</v>
      </c>
      <c r="E960" t="s">
        <v>41</v>
      </c>
      <c r="F960" s="9">
        <v>0.01</v>
      </c>
      <c r="G960" s="10">
        <v>5106</v>
      </c>
      <c r="H960">
        <v>3.27</v>
      </c>
      <c r="I960" s="5">
        <f>ROUND(Marketing[[#This Row],[Clicks]]*Marketing[[#This Row],[Conversion_Rate]],0)</f>
        <v>6</v>
      </c>
      <c r="J960" s="12">
        <f>Marketing[[#This Row],[Campaign_Cost]]/Marketing[[#This Row],[Customers]]</f>
        <v>851</v>
      </c>
      <c r="K960" t="s">
        <v>38</v>
      </c>
      <c r="L960" t="s">
        <v>20</v>
      </c>
      <c r="M960">
        <v>603</v>
      </c>
      <c r="N960">
        <v>3439</v>
      </c>
      <c r="O960">
        <v>10</v>
      </c>
      <c r="P960" t="s">
        <v>42</v>
      </c>
      <c r="Q960" s="1">
        <v>44425</v>
      </c>
    </row>
    <row r="961" spans="1:17" x14ac:dyDescent="0.3">
      <c r="A961" t="s">
        <v>14</v>
      </c>
      <c r="B961" t="s">
        <v>47</v>
      </c>
      <c r="C961" t="s">
        <v>23</v>
      </c>
      <c r="D961" t="s">
        <v>24</v>
      </c>
      <c r="E961" t="s">
        <v>48</v>
      </c>
      <c r="F961" s="9">
        <v>0.03</v>
      </c>
      <c r="G961" s="10">
        <v>16375</v>
      </c>
      <c r="H961">
        <v>7.27</v>
      </c>
      <c r="I961" s="5">
        <f>ROUND(Marketing[[#This Row],[Clicks]]*Marketing[[#This Row],[Conversion_Rate]],0)</f>
        <v>11</v>
      </c>
      <c r="J961" s="12">
        <f>Marketing[[#This Row],[Campaign_Cost]]/Marketing[[#This Row],[Customers]]</f>
        <v>1488.6363636363637</v>
      </c>
      <c r="K961" t="s">
        <v>32</v>
      </c>
      <c r="L961" t="s">
        <v>50</v>
      </c>
      <c r="M961">
        <v>351</v>
      </c>
      <c r="N961">
        <v>1101</v>
      </c>
      <c r="O961">
        <v>8</v>
      </c>
      <c r="P961" t="s">
        <v>44</v>
      </c>
      <c r="Q961" s="1">
        <v>44426</v>
      </c>
    </row>
    <row r="962" spans="1:17" x14ac:dyDescent="0.3">
      <c r="A962" t="s">
        <v>28</v>
      </c>
      <c r="B962" t="s">
        <v>45</v>
      </c>
      <c r="C962" t="s">
        <v>37</v>
      </c>
      <c r="D962" t="s">
        <v>24</v>
      </c>
      <c r="E962" t="s">
        <v>41</v>
      </c>
      <c r="F962" s="9">
        <v>0.05</v>
      </c>
      <c r="G962" s="10">
        <v>10335</v>
      </c>
      <c r="H962">
        <v>3.19</v>
      </c>
      <c r="I962" s="5">
        <f>ROUND(Marketing[[#This Row],[Clicks]]*Marketing[[#This Row],[Conversion_Rate]],0)</f>
        <v>20</v>
      </c>
      <c r="J962" s="12">
        <f>Marketing[[#This Row],[Campaign_Cost]]/Marketing[[#This Row],[Customers]]</f>
        <v>516.75</v>
      </c>
      <c r="K962" t="s">
        <v>38</v>
      </c>
      <c r="L962" t="s">
        <v>20</v>
      </c>
      <c r="M962">
        <v>396</v>
      </c>
      <c r="N962">
        <v>7724</v>
      </c>
      <c r="O962">
        <v>5</v>
      </c>
      <c r="P962" t="s">
        <v>44</v>
      </c>
      <c r="Q962" s="1">
        <v>44427</v>
      </c>
    </row>
    <row r="963" spans="1:17" x14ac:dyDescent="0.3">
      <c r="A963" t="s">
        <v>49</v>
      </c>
      <c r="B963" t="s">
        <v>29</v>
      </c>
      <c r="C963" t="s">
        <v>37</v>
      </c>
      <c r="D963" t="s">
        <v>46</v>
      </c>
      <c r="E963" t="s">
        <v>41</v>
      </c>
      <c r="F963" s="9">
        <v>0.05</v>
      </c>
      <c r="G963" s="10">
        <v>19515</v>
      </c>
      <c r="H963">
        <v>2.39</v>
      </c>
      <c r="I963" s="5">
        <f>ROUND(Marketing[[#This Row],[Clicks]]*Marketing[[#This Row],[Conversion_Rate]],0)</f>
        <v>6</v>
      </c>
      <c r="J963" s="12">
        <f>Marketing[[#This Row],[Campaign_Cost]]/Marketing[[#This Row],[Customers]]</f>
        <v>3252.5</v>
      </c>
      <c r="K963" t="s">
        <v>25</v>
      </c>
      <c r="L963" t="s">
        <v>20</v>
      </c>
      <c r="M963">
        <v>128</v>
      </c>
      <c r="N963">
        <v>3767</v>
      </c>
      <c r="O963">
        <v>7</v>
      </c>
      <c r="P963" t="s">
        <v>34</v>
      </c>
      <c r="Q963" s="1">
        <v>44428</v>
      </c>
    </row>
    <row r="964" spans="1:17" x14ac:dyDescent="0.3">
      <c r="A964" t="s">
        <v>35</v>
      </c>
      <c r="B964" t="s">
        <v>45</v>
      </c>
      <c r="C964" t="s">
        <v>23</v>
      </c>
      <c r="D964" t="s">
        <v>17</v>
      </c>
      <c r="E964" t="s">
        <v>15</v>
      </c>
      <c r="F964" s="9">
        <v>0.14000000000000001</v>
      </c>
      <c r="G964" s="10">
        <v>17408</v>
      </c>
      <c r="H964">
        <v>4.17</v>
      </c>
      <c r="I964" s="5">
        <f>ROUND(Marketing[[#This Row],[Clicks]]*Marketing[[#This Row],[Conversion_Rate]],0)</f>
        <v>93</v>
      </c>
      <c r="J964" s="12">
        <f>Marketing[[#This Row],[Campaign_Cost]]/Marketing[[#This Row],[Customers]]</f>
        <v>187.18279569892474</v>
      </c>
      <c r="K964" t="s">
        <v>19</v>
      </c>
      <c r="L964" t="s">
        <v>39</v>
      </c>
      <c r="M964">
        <v>665</v>
      </c>
      <c r="N964">
        <v>3617</v>
      </c>
      <c r="O964">
        <v>10</v>
      </c>
      <c r="P964" t="s">
        <v>44</v>
      </c>
      <c r="Q964" s="1">
        <v>44429</v>
      </c>
    </row>
    <row r="965" spans="1:17" x14ac:dyDescent="0.3">
      <c r="A965" t="s">
        <v>22</v>
      </c>
      <c r="B965" t="s">
        <v>15</v>
      </c>
      <c r="C965" t="s">
        <v>16</v>
      </c>
      <c r="D965" t="s">
        <v>40</v>
      </c>
      <c r="E965" t="s">
        <v>18</v>
      </c>
      <c r="F965" s="9">
        <v>0.15</v>
      </c>
      <c r="G965" s="10">
        <v>8373</v>
      </c>
      <c r="H965">
        <v>2.81</v>
      </c>
      <c r="I965" s="5">
        <f>ROUND(Marketing[[#This Row],[Clicks]]*Marketing[[#This Row],[Conversion_Rate]],0)</f>
        <v>75</v>
      </c>
      <c r="J965" s="12">
        <f>Marketing[[#This Row],[Campaign_Cost]]/Marketing[[#This Row],[Customers]]</f>
        <v>111.64</v>
      </c>
      <c r="K965" t="s">
        <v>19</v>
      </c>
      <c r="L965" t="s">
        <v>20</v>
      </c>
      <c r="M965">
        <v>503</v>
      </c>
      <c r="N965">
        <v>7287</v>
      </c>
      <c r="O965">
        <v>5</v>
      </c>
      <c r="P965" t="s">
        <v>34</v>
      </c>
      <c r="Q965" s="1">
        <v>44430</v>
      </c>
    </row>
    <row r="966" spans="1:17" x14ac:dyDescent="0.3">
      <c r="A966" t="s">
        <v>35</v>
      </c>
      <c r="B966" t="s">
        <v>15</v>
      </c>
      <c r="C966" t="s">
        <v>16</v>
      </c>
      <c r="D966" t="s">
        <v>46</v>
      </c>
      <c r="E966" t="s">
        <v>41</v>
      </c>
      <c r="F966" s="9">
        <v>0.15</v>
      </c>
      <c r="G966" s="10">
        <v>18524</v>
      </c>
      <c r="H966">
        <v>2.39</v>
      </c>
      <c r="I966" s="5">
        <f>ROUND(Marketing[[#This Row],[Clicks]]*Marketing[[#This Row],[Conversion_Rate]],0)</f>
        <v>125</v>
      </c>
      <c r="J966" s="12">
        <f>Marketing[[#This Row],[Campaign_Cost]]/Marketing[[#This Row],[Customers]]</f>
        <v>148.19200000000001</v>
      </c>
      <c r="K966" t="s">
        <v>25</v>
      </c>
      <c r="L966" t="s">
        <v>39</v>
      </c>
      <c r="M966">
        <v>831</v>
      </c>
      <c r="N966">
        <v>8015</v>
      </c>
      <c r="O966">
        <v>10</v>
      </c>
      <c r="P966" t="s">
        <v>34</v>
      </c>
      <c r="Q966" s="1">
        <v>44431</v>
      </c>
    </row>
    <row r="967" spans="1:17" x14ac:dyDescent="0.3">
      <c r="A967" t="s">
        <v>28</v>
      </c>
      <c r="B967" t="s">
        <v>29</v>
      </c>
      <c r="C967" t="s">
        <v>16</v>
      </c>
      <c r="D967" t="s">
        <v>17</v>
      </c>
      <c r="E967" t="s">
        <v>41</v>
      </c>
      <c r="F967" s="9">
        <v>0.02</v>
      </c>
      <c r="G967" s="10">
        <v>13978</v>
      </c>
      <c r="H967">
        <v>2.99</v>
      </c>
      <c r="I967" s="5">
        <f>ROUND(Marketing[[#This Row],[Clicks]]*Marketing[[#This Row],[Conversion_Rate]],0)</f>
        <v>12</v>
      </c>
      <c r="J967" s="12">
        <f>Marketing[[#This Row],[Campaign_Cost]]/Marketing[[#This Row],[Customers]]</f>
        <v>1164.8333333333333</v>
      </c>
      <c r="K967" t="s">
        <v>38</v>
      </c>
      <c r="L967" t="s">
        <v>39</v>
      </c>
      <c r="M967">
        <v>607</v>
      </c>
      <c r="N967">
        <v>3336</v>
      </c>
      <c r="O967">
        <v>5</v>
      </c>
      <c r="P967" t="s">
        <v>34</v>
      </c>
      <c r="Q967" s="1">
        <v>44432</v>
      </c>
    </row>
    <row r="968" spans="1:17" x14ac:dyDescent="0.3">
      <c r="A968" t="s">
        <v>49</v>
      </c>
      <c r="B968" t="s">
        <v>29</v>
      </c>
      <c r="C968" t="s">
        <v>30</v>
      </c>
      <c r="D968" t="s">
        <v>40</v>
      </c>
      <c r="E968" t="s">
        <v>15</v>
      </c>
      <c r="F968" s="9">
        <v>0.06</v>
      </c>
      <c r="G968" s="10">
        <v>5741</v>
      </c>
      <c r="H968">
        <v>4.79</v>
      </c>
      <c r="I968" s="5">
        <f>ROUND(Marketing[[#This Row],[Clicks]]*Marketing[[#This Row],[Conversion_Rate]],0)</f>
        <v>23</v>
      </c>
      <c r="J968" s="12">
        <f>Marketing[[#This Row],[Campaign_Cost]]/Marketing[[#This Row],[Customers]]</f>
        <v>249.60869565217391</v>
      </c>
      <c r="K968" t="s">
        <v>25</v>
      </c>
      <c r="L968" t="s">
        <v>33</v>
      </c>
      <c r="M968">
        <v>382</v>
      </c>
      <c r="N968">
        <v>8295</v>
      </c>
      <c r="O968">
        <v>1</v>
      </c>
      <c r="P968" t="s">
        <v>34</v>
      </c>
      <c r="Q968" s="1">
        <v>44433</v>
      </c>
    </row>
    <row r="969" spans="1:17" x14ac:dyDescent="0.3">
      <c r="A969" t="s">
        <v>22</v>
      </c>
      <c r="B969" t="s">
        <v>45</v>
      </c>
      <c r="C969" t="s">
        <v>23</v>
      </c>
      <c r="D969" t="s">
        <v>40</v>
      </c>
      <c r="E969" t="s">
        <v>15</v>
      </c>
      <c r="F969" s="9">
        <v>0.06</v>
      </c>
      <c r="G969" s="10">
        <v>6396</v>
      </c>
      <c r="H969">
        <v>5.39</v>
      </c>
      <c r="I969" s="5">
        <f>ROUND(Marketing[[#This Row],[Clicks]]*Marketing[[#This Row],[Conversion_Rate]],0)</f>
        <v>16</v>
      </c>
      <c r="J969" s="12">
        <f>Marketing[[#This Row],[Campaign_Cost]]/Marketing[[#This Row],[Customers]]</f>
        <v>399.75</v>
      </c>
      <c r="K969" t="s">
        <v>25</v>
      </c>
      <c r="L969" t="s">
        <v>20</v>
      </c>
      <c r="M969">
        <v>274</v>
      </c>
      <c r="N969">
        <v>1979</v>
      </c>
      <c r="O969">
        <v>3</v>
      </c>
      <c r="P969" t="s">
        <v>21</v>
      </c>
      <c r="Q969" s="1">
        <v>44434</v>
      </c>
    </row>
    <row r="970" spans="1:17" x14ac:dyDescent="0.3">
      <c r="A970" t="s">
        <v>49</v>
      </c>
      <c r="B970" t="s">
        <v>45</v>
      </c>
      <c r="C970" t="s">
        <v>23</v>
      </c>
      <c r="D970" t="s">
        <v>46</v>
      </c>
      <c r="E970" t="s">
        <v>43</v>
      </c>
      <c r="F970" s="9">
        <v>0.04</v>
      </c>
      <c r="G970" s="10">
        <v>12814</v>
      </c>
      <c r="H970">
        <v>4.2699999999999996</v>
      </c>
      <c r="I970" s="5">
        <f>ROUND(Marketing[[#This Row],[Clicks]]*Marketing[[#This Row],[Conversion_Rate]],0)</f>
        <v>13</v>
      </c>
      <c r="J970" s="12">
        <f>Marketing[[#This Row],[Campaign_Cost]]/Marketing[[#This Row],[Customers]]</f>
        <v>985.69230769230774</v>
      </c>
      <c r="K970" t="s">
        <v>19</v>
      </c>
      <c r="L970" t="s">
        <v>50</v>
      </c>
      <c r="M970">
        <v>331</v>
      </c>
      <c r="N970">
        <v>2872</v>
      </c>
      <c r="O970">
        <v>3</v>
      </c>
      <c r="P970" t="s">
        <v>44</v>
      </c>
      <c r="Q970" s="1">
        <v>44435</v>
      </c>
    </row>
    <row r="971" spans="1:17" x14ac:dyDescent="0.3">
      <c r="A971" t="s">
        <v>35</v>
      </c>
      <c r="B971" t="s">
        <v>36</v>
      </c>
      <c r="C971" t="s">
        <v>37</v>
      </c>
      <c r="D971" t="s">
        <v>17</v>
      </c>
      <c r="E971" t="s">
        <v>41</v>
      </c>
      <c r="F971" s="9">
        <v>0.04</v>
      </c>
      <c r="G971" s="10">
        <v>18274</v>
      </c>
      <c r="H971">
        <v>2.1800000000000002</v>
      </c>
      <c r="I971" s="5">
        <f>ROUND(Marketing[[#This Row],[Clicks]]*Marketing[[#This Row],[Conversion_Rate]],0)</f>
        <v>25</v>
      </c>
      <c r="J971" s="12">
        <f>Marketing[[#This Row],[Campaign_Cost]]/Marketing[[#This Row],[Customers]]</f>
        <v>730.96</v>
      </c>
      <c r="K971" t="s">
        <v>38</v>
      </c>
      <c r="L971" t="s">
        <v>50</v>
      </c>
      <c r="M971">
        <v>635</v>
      </c>
      <c r="N971">
        <v>6238</v>
      </c>
      <c r="O971">
        <v>2</v>
      </c>
      <c r="P971" t="s">
        <v>42</v>
      </c>
      <c r="Q971" s="1">
        <v>44436</v>
      </c>
    </row>
    <row r="972" spans="1:17" x14ac:dyDescent="0.3">
      <c r="A972" t="s">
        <v>14</v>
      </c>
      <c r="B972" t="s">
        <v>15</v>
      </c>
      <c r="C972" t="s">
        <v>30</v>
      </c>
      <c r="D972" t="s">
        <v>46</v>
      </c>
      <c r="E972" t="s">
        <v>43</v>
      </c>
      <c r="F972" s="9">
        <v>0.05</v>
      </c>
      <c r="G972" s="10">
        <v>19721</v>
      </c>
      <c r="H972">
        <v>4.99</v>
      </c>
      <c r="I972" s="5">
        <f>ROUND(Marketing[[#This Row],[Clicks]]*Marketing[[#This Row],[Conversion_Rate]],0)</f>
        <v>22</v>
      </c>
      <c r="J972" s="12">
        <f>Marketing[[#This Row],[Campaign_Cost]]/Marketing[[#This Row],[Customers]]</f>
        <v>896.40909090909088</v>
      </c>
      <c r="K972" t="s">
        <v>32</v>
      </c>
      <c r="L972" t="s">
        <v>50</v>
      </c>
      <c r="M972">
        <v>433</v>
      </c>
      <c r="N972">
        <v>2208</v>
      </c>
      <c r="O972">
        <v>5</v>
      </c>
      <c r="P972" t="s">
        <v>27</v>
      </c>
      <c r="Q972" s="1">
        <v>44437</v>
      </c>
    </row>
    <row r="973" spans="1:17" x14ac:dyDescent="0.3">
      <c r="A973" t="s">
        <v>49</v>
      </c>
      <c r="B973" t="s">
        <v>15</v>
      </c>
      <c r="C973" t="s">
        <v>37</v>
      </c>
      <c r="D973" t="s">
        <v>24</v>
      </c>
      <c r="E973" t="s">
        <v>18</v>
      </c>
      <c r="F973" s="9">
        <v>0.02</v>
      </c>
      <c r="G973" s="10">
        <v>17314</v>
      </c>
      <c r="H973">
        <v>4.24</v>
      </c>
      <c r="I973" s="5">
        <f>ROUND(Marketing[[#This Row],[Clicks]]*Marketing[[#This Row],[Conversion_Rate]],0)</f>
        <v>17</v>
      </c>
      <c r="J973" s="12">
        <f>Marketing[[#This Row],[Campaign_Cost]]/Marketing[[#This Row],[Customers]]</f>
        <v>1018.4705882352941</v>
      </c>
      <c r="K973" t="s">
        <v>38</v>
      </c>
      <c r="L973" t="s">
        <v>50</v>
      </c>
      <c r="M973">
        <v>842</v>
      </c>
      <c r="N973">
        <v>3939</v>
      </c>
      <c r="O973">
        <v>5</v>
      </c>
      <c r="P973" t="s">
        <v>44</v>
      </c>
      <c r="Q973" s="1">
        <v>44438</v>
      </c>
    </row>
    <row r="974" spans="1:17" x14ac:dyDescent="0.3">
      <c r="A974" t="s">
        <v>14</v>
      </c>
      <c r="B974" t="s">
        <v>29</v>
      </c>
      <c r="C974" t="s">
        <v>23</v>
      </c>
      <c r="D974" t="s">
        <v>46</v>
      </c>
      <c r="E974" t="s">
        <v>43</v>
      </c>
      <c r="F974" s="9">
        <v>0.02</v>
      </c>
      <c r="G974" s="10">
        <v>16570</v>
      </c>
      <c r="H974">
        <v>3.1</v>
      </c>
      <c r="I974" s="5">
        <f>ROUND(Marketing[[#This Row],[Clicks]]*Marketing[[#This Row],[Conversion_Rate]],0)</f>
        <v>12</v>
      </c>
      <c r="J974" s="12">
        <f>Marketing[[#This Row],[Campaign_Cost]]/Marketing[[#This Row],[Customers]]</f>
        <v>1380.8333333333333</v>
      </c>
      <c r="K974" t="s">
        <v>51</v>
      </c>
      <c r="L974" t="s">
        <v>20</v>
      </c>
      <c r="M974">
        <v>622</v>
      </c>
      <c r="N974">
        <v>8302</v>
      </c>
      <c r="O974">
        <v>7</v>
      </c>
      <c r="P974" t="s">
        <v>34</v>
      </c>
      <c r="Q974" s="1">
        <v>44439</v>
      </c>
    </row>
    <row r="975" spans="1:17" x14ac:dyDescent="0.3">
      <c r="A975" t="s">
        <v>49</v>
      </c>
      <c r="B975" t="s">
        <v>47</v>
      </c>
      <c r="C975" t="s">
        <v>16</v>
      </c>
      <c r="D975" t="s">
        <v>46</v>
      </c>
      <c r="E975" t="s">
        <v>31</v>
      </c>
      <c r="F975" s="9">
        <v>0.02</v>
      </c>
      <c r="G975" s="10">
        <v>18208</v>
      </c>
      <c r="H975">
        <v>4.82</v>
      </c>
      <c r="I975" s="5">
        <f>ROUND(Marketing[[#This Row],[Clicks]]*Marketing[[#This Row],[Conversion_Rate]],0)</f>
        <v>19</v>
      </c>
      <c r="J975" s="12">
        <f>Marketing[[#This Row],[Campaign_Cost]]/Marketing[[#This Row],[Customers]]</f>
        <v>958.31578947368416</v>
      </c>
      <c r="K975" t="s">
        <v>51</v>
      </c>
      <c r="L975" t="s">
        <v>26</v>
      </c>
      <c r="M975">
        <v>936</v>
      </c>
      <c r="N975">
        <v>5721</v>
      </c>
      <c r="O975">
        <v>6</v>
      </c>
      <c r="P975" t="s">
        <v>44</v>
      </c>
      <c r="Q975" s="1">
        <v>44440</v>
      </c>
    </row>
    <row r="976" spans="1:17" x14ac:dyDescent="0.3">
      <c r="A976" t="s">
        <v>28</v>
      </c>
      <c r="B976" t="s">
        <v>29</v>
      </c>
      <c r="C976" t="s">
        <v>30</v>
      </c>
      <c r="D976" t="s">
        <v>24</v>
      </c>
      <c r="E976" t="s">
        <v>15</v>
      </c>
      <c r="F976" s="9">
        <v>0.1</v>
      </c>
      <c r="G976" s="10">
        <v>12124</v>
      </c>
      <c r="H976">
        <v>6.24</v>
      </c>
      <c r="I976" s="5">
        <f>ROUND(Marketing[[#This Row],[Clicks]]*Marketing[[#This Row],[Conversion_Rate]],0)</f>
        <v>19</v>
      </c>
      <c r="J976" s="12">
        <f>Marketing[[#This Row],[Campaign_Cost]]/Marketing[[#This Row],[Customers]]</f>
        <v>638.10526315789468</v>
      </c>
      <c r="K976" t="s">
        <v>32</v>
      </c>
      <c r="L976" t="s">
        <v>20</v>
      </c>
      <c r="M976">
        <v>188</v>
      </c>
      <c r="N976">
        <v>5099</v>
      </c>
      <c r="O976">
        <v>9</v>
      </c>
      <c r="P976" t="s">
        <v>42</v>
      </c>
      <c r="Q976" s="1">
        <v>44441</v>
      </c>
    </row>
    <row r="977" spans="1:17" x14ac:dyDescent="0.3">
      <c r="A977" t="s">
        <v>28</v>
      </c>
      <c r="B977" t="s">
        <v>15</v>
      </c>
      <c r="C977" t="s">
        <v>30</v>
      </c>
      <c r="D977" t="s">
        <v>46</v>
      </c>
      <c r="E977" t="s">
        <v>41</v>
      </c>
      <c r="F977" s="9">
        <v>0.11</v>
      </c>
      <c r="G977" s="10">
        <v>10237</v>
      </c>
      <c r="H977">
        <v>7.71</v>
      </c>
      <c r="I977" s="5">
        <f>ROUND(Marketing[[#This Row],[Clicks]]*Marketing[[#This Row],[Conversion_Rate]],0)</f>
        <v>48</v>
      </c>
      <c r="J977" s="12">
        <f>Marketing[[#This Row],[Campaign_Cost]]/Marketing[[#This Row],[Customers]]</f>
        <v>213.27083333333334</v>
      </c>
      <c r="K977" t="s">
        <v>51</v>
      </c>
      <c r="L977" t="s">
        <v>39</v>
      </c>
      <c r="M977">
        <v>436</v>
      </c>
      <c r="N977">
        <v>9191</v>
      </c>
      <c r="O977">
        <v>10</v>
      </c>
      <c r="P977" t="s">
        <v>27</v>
      </c>
      <c r="Q977" s="1">
        <v>44442</v>
      </c>
    </row>
    <row r="978" spans="1:17" x14ac:dyDescent="0.3">
      <c r="A978" t="s">
        <v>14</v>
      </c>
      <c r="B978" t="s">
        <v>45</v>
      </c>
      <c r="C978" t="s">
        <v>16</v>
      </c>
      <c r="D978" t="s">
        <v>46</v>
      </c>
      <c r="E978" t="s">
        <v>15</v>
      </c>
      <c r="F978" s="9">
        <v>0.04</v>
      </c>
      <c r="G978" s="10">
        <v>17993</v>
      </c>
      <c r="H978">
        <v>5.93</v>
      </c>
      <c r="I978" s="5">
        <f>ROUND(Marketing[[#This Row],[Clicks]]*Marketing[[#This Row],[Conversion_Rate]],0)</f>
        <v>9</v>
      </c>
      <c r="J978" s="12">
        <f>Marketing[[#This Row],[Campaign_Cost]]/Marketing[[#This Row],[Customers]]</f>
        <v>1999.2222222222222</v>
      </c>
      <c r="K978" t="s">
        <v>19</v>
      </c>
      <c r="L978" t="s">
        <v>50</v>
      </c>
      <c r="M978">
        <v>230</v>
      </c>
      <c r="N978">
        <v>6367</v>
      </c>
      <c r="O978">
        <v>6</v>
      </c>
      <c r="P978" t="s">
        <v>27</v>
      </c>
      <c r="Q978" s="1">
        <v>44443</v>
      </c>
    </row>
    <row r="979" spans="1:17" x14ac:dyDescent="0.3">
      <c r="A979" t="s">
        <v>28</v>
      </c>
      <c r="B979" t="s">
        <v>29</v>
      </c>
      <c r="C979" t="s">
        <v>16</v>
      </c>
      <c r="D979" t="s">
        <v>17</v>
      </c>
      <c r="E979" t="s">
        <v>48</v>
      </c>
      <c r="F979" s="9">
        <v>0.08</v>
      </c>
      <c r="G979" s="10">
        <v>11835</v>
      </c>
      <c r="H979">
        <v>4.0999999999999996</v>
      </c>
      <c r="I979" s="5">
        <f>ROUND(Marketing[[#This Row],[Clicks]]*Marketing[[#This Row],[Conversion_Rate]],0)</f>
        <v>22</v>
      </c>
      <c r="J979" s="12">
        <f>Marketing[[#This Row],[Campaign_Cost]]/Marketing[[#This Row],[Customers]]</f>
        <v>537.9545454545455</v>
      </c>
      <c r="K979" t="s">
        <v>38</v>
      </c>
      <c r="L979" t="s">
        <v>26</v>
      </c>
      <c r="M979">
        <v>275</v>
      </c>
      <c r="N979">
        <v>2369</v>
      </c>
      <c r="O979">
        <v>8</v>
      </c>
      <c r="P979" t="s">
        <v>27</v>
      </c>
      <c r="Q979" s="1">
        <v>44444</v>
      </c>
    </row>
    <row r="980" spans="1:17" x14ac:dyDescent="0.3">
      <c r="A980" t="s">
        <v>14</v>
      </c>
      <c r="B980" t="s">
        <v>36</v>
      </c>
      <c r="C980" t="s">
        <v>23</v>
      </c>
      <c r="D980" t="s">
        <v>46</v>
      </c>
      <c r="E980" t="s">
        <v>41</v>
      </c>
      <c r="F980" s="9">
        <v>0.09</v>
      </c>
      <c r="G980" s="10">
        <v>12406</v>
      </c>
      <c r="H980">
        <v>4.42</v>
      </c>
      <c r="I980" s="5">
        <f>ROUND(Marketing[[#This Row],[Clicks]]*Marketing[[#This Row],[Conversion_Rate]],0)</f>
        <v>46</v>
      </c>
      <c r="J980" s="12">
        <f>Marketing[[#This Row],[Campaign_Cost]]/Marketing[[#This Row],[Customers]]</f>
        <v>269.69565217391306</v>
      </c>
      <c r="K980" t="s">
        <v>19</v>
      </c>
      <c r="L980" t="s">
        <v>20</v>
      </c>
      <c r="M980">
        <v>508</v>
      </c>
      <c r="N980">
        <v>9319</v>
      </c>
      <c r="O980">
        <v>6</v>
      </c>
      <c r="P980" t="s">
        <v>44</v>
      </c>
      <c r="Q980" s="1">
        <v>44445</v>
      </c>
    </row>
    <row r="981" spans="1:17" x14ac:dyDescent="0.3">
      <c r="A981" t="s">
        <v>14</v>
      </c>
      <c r="B981" t="s">
        <v>29</v>
      </c>
      <c r="C981" t="s">
        <v>37</v>
      </c>
      <c r="D981" t="s">
        <v>17</v>
      </c>
      <c r="E981" t="s">
        <v>48</v>
      </c>
      <c r="F981" s="9">
        <v>0.05</v>
      </c>
      <c r="G981" s="10">
        <v>7650</v>
      </c>
      <c r="H981">
        <v>7.29</v>
      </c>
      <c r="I981" s="5">
        <f>ROUND(Marketing[[#This Row],[Clicks]]*Marketing[[#This Row],[Conversion_Rate]],0)</f>
        <v>21</v>
      </c>
      <c r="J981" s="12">
        <f>Marketing[[#This Row],[Campaign_Cost]]/Marketing[[#This Row],[Customers]]</f>
        <v>364.28571428571428</v>
      </c>
      <c r="K981" t="s">
        <v>38</v>
      </c>
      <c r="L981" t="s">
        <v>26</v>
      </c>
      <c r="M981">
        <v>417</v>
      </c>
      <c r="N981">
        <v>7416</v>
      </c>
      <c r="O981">
        <v>4</v>
      </c>
      <c r="P981" t="s">
        <v>27</v>
      </c>
      <c r="Q981" s="1">
        <v>44446</v>
      </c>
    </row>
    <row r="982" spans="1:17" x14ac:dyDescent="0.3">
      <c r="A982" t="s">
        <v>14</v>
      </c>
      <c r="B982" t="s">
        <v>29</v>
      </c>
      <c r="C982" t="s">
        <v>23</v>
      </c>
      <c r="D982" t="s">
        <v>17</v>
      </c>
      <c r="E982" t="s">
        <v>48</v>
      </c>
      <c r="F982" s="9">
        <v>0.13</v>
      </c>
      <c r="G982" s="10">
        <v>12966</v>
      </c>
      <c r="H982">
        <v>5.72</v>
      </c>
      <c r="I982" s="5">
        <f>ROUND(Marketing[[#This Row],[Clicks]]*Marketing[[#This Row],[Conversion_Rate]],0)</f>
        <v>84</v>
      </c>
      <c r="J982" s="12">
        <f>Marketing[[#This Row],[Campaign_Cost]]/Marketing[[#This Row],[Customers]]</f>
        <v>154.35714285714286</v>
      </c>
      <c r="K982" t="s">
        <v>25</v>
      </c>
      <c r="L982" t="s">
        <v>26</v>
      </c>
      <c r="M982">
        <v>645</v>
      </c>
      <c r="N982">
        <v>4626</v>
      </c>
      <c r="O982">
        <v>9</v>
      </c>
      <c r="P982" t="s">
        <v>27</v>
      </c>
      <c r="Q982" s="1">
        <v>44447</v>
      </c>
    </row>
    <row r="983" spans="1:17" x14ac:dyDescent="0.3">
      <c r="A983" t="s">
        <v>35</v>
      </c>
      <c r="B983" t="s">
        <v>47</v>
      </c>
      <c r="C983" t="s">
        <v>23</v>
      </c>
      <c r="D983" t="s">
        <v>40</v>
      </c>
      <c r="E983" t="s">
        <v>48</v>
      </c>
      <c r="F983" s="9">
        <v>0.08</v>
      </c>
      <c r="G983" s="10">
        <v>8540</v>
      </c>
      <c r="H983">
        <v>7.02</v>
      </c>
      <c r="I983" s="5">
        <f>ROUND(Marketing[[#This Row],[Clicks]]*Marketing[[#This Row],[Conversion_Rate]],0)</f>
        <v>71</v>
      </c>
      <c r="J983" s="12">
        <f>Marketing[[#This Row],[Campaign_Cost]]/Marketing[[#This Row],[Customers]]</f>
        <v>120.28169014084507</v>
      </c>
      <c r="K983" t="s">
        <v>51</v>
      </c>
      <c r="L983" t="s">
        <v>20</v>
      </c>
      <c r="M983">
        <v>893</v>
      </c>
      <c r="N983">
        <v>6718</v>
      </c>
      <c r="O983">
        <v>9</v>
      </c>
      <c r="P983" t="s">
        <v>44</v>
      </c>
      <c r="Q983" s="1">
        <v>44448</v>
      </c>
    </row>
    <row r="984" spans="1:17" x14ac:dyDescent="0.3">
      <c r="A984" t="s">
        <v>35</v>
      </c>
      <c r="B984" t="s">
        <v>36</v>
      </c>
      <c r="C984" t="s">
        <v>30</v>
      </c>
      <c r="D984" t="s">
        <v>17</v>
      </c>
      <c r="E984" t="s">
        <v>18</v>
      </c>
      <c r="F984" s="9">
        <v>0.13</v>
      </c>
      <c r="G984" s="10">
        <v>8376</v>
      </c>
      <c r="H984">
        <v>2.56</v>
      </c>
      <c r="I984" s="5">
        <f>ROUND(Marketing[[#This Row],[Clicks]]*Marketing[[#This Row],[Conversion_Rate]],0)</f>
        <v>87</v>
      </c>
      <c r="J984" s="12">
        <f>Marketing[[#This Row],[Campaign_Cost]]/Marketing[[#This Row],[Customers]]</f>
        <v>96.275862068965523</v>
      </c>
      <c r="K984" t="s">
        <v>25</v>
      </c>
      <c r="L984" t="s">
        <v>39</v>
      </c>
      <c r="M984">
        <v>667</v>
      </c>
      <c r="N984">
        <v>2519</v>
      </c>
      <c r="O984">
        <v>9</v>
      </c>
      <c r="P984" t="s">
        <v>42</v>
      </c>
      <c r="Q984" s="1">
        <v>44449</v>
      </c>
    </row>
    <row r="985" spans="1:17" x14ac:dyDescent="0.3">
      <c r="A985" t="s">
        <v>28</v>
      </c>
      <c r="B985" t="s">
        <v>47</v>
      </c>
      <c r="C985" t="s">
        <v>23</v>
      </c>
      <c r="D985" t="s">
        <v>46</v>
      </c>
      <c r="E985" t="s">
        <v>41</v>
      </c>
      <c r="F985" s="9">
        <v>0.09</v>
      </c>
      <c r="G985" s="10">
        <v>9449</v>
      </c>
      <c r="H985">
        <v>2.83</v>
      </c>
      <c r="I985" s="5">
        <f>ROUND(Marketing[[#This Row],[Clicks]]*Marketing[[#This Row],[Conversion_Rate]],0)</f>
        <v>24</v>
      </c>
      <c r="J985" s="12">
        <f>Marketing[[#This Row],[Campaign_Cost]]/Marketing[[#This Row],[Customers]]</f>
        <v>393.70833333333331</v>
      </c>
      <c r="K985" t="s">
        <v>51</v>
      </c>
      <c r="L985" t="s">
        <v>33</v>
      </c>
      <c r="M985">
        <v>271</v>
      </c>
      <c r="N985">
        <v>2500</v>
      </c>
      <c r="O985">
        <v>9</v>
      </c>
      <c r="P985" t="s">
        <v>21</v>
      </c>
      <c r="Q985" s="1">
        <v>44450</v>
      </c>
    </row>
    <row r="986" spans="1:17" x14ac:dyDescent="0.3">
      <c r="A986" t="s">
        <v>35</v>
      </c>
      <c r="B986" t="s">
        <v>45</v>
      </c>
      <c r="C986" t="s">
        <v>30</v>
      </c>
      <c r="D986" t="s">
        <v>17</v>
      </c>
      <c r="E986" t="s">
        <v>41</v>
      </c>
      <c r="F986" s="9">
        <v>0.09</v>
      </c>
      <c r="G986" s="10">
        <v>16313</v>
      </c>
      <c r="H986">
        <v>7.6</v>
      </c>
      <c r="I986" s="5">
        <f>ROUND(Marketing[[#This Row],[Clicks]]*Marketing[[#This Row],[Conversion_Rate]],0)</f>
        <v>20</v>
      </c>
      <c r="J986" s="12">
        <f>Marketing[[#This Row],[Campaign_Cost]]/Marketing[[#This Row],[Customers]]</f>
        <v>815.65</v>
      </c>
      <c r="K986" t="s">
        <v>51</v>
      </c>
      <c r="L986" t="s">
        <v>50</v>
      </c>
      <c r="M986">
        <v>218</v>
      </c>
      <c r="N986">
        <v>7104</v>
      </c>
      <c r="O986">
        <v>5</v>
      </c>
      <c r="P986" t="s">
        <v>34</v>
      </c>
      <c r="Q986" s="1">
        <v>44451</v>
      </c>
    </row>
    <row r="987" spans="1:17" x14ac:dyDescent="0.3">
      <c r="A987" t="s">
        <v>35</v>
      </c>
      <c r="B987" t="s">
        <v>47</v>
      </c>
      <c r="C987" t="s">
        <v>37</v>
      </c>
      <c r="D987" t="s">
        <v>46</v>
      </c>
      <c r="E987" t="s">
        <v>15</v>
      </c>
      <c r="F987" s="9">
        <v>0.06</v>
      </c>
      <c r="G987" s="10">
        <v>5879</v>
      </c>
      <c r="H987">
        <v>2.08</v>
      </c>
      <c r="I987" s="5">
        <f>ROUND(Marketing[[#This Row],[Clicks]]*Marketing[[#This Row],[Conversion_Rate]],0)</f>
        <v>45</v>
      </c>
      <c r="J987" s="12">
        <f>Marketing[[#This Row],[Campaign_Cost]]/Marketing[[#This Row],[Customers]]</f>
        <v>130.64444444444445</v>
      </c>
      <c r="K987" t="s">
        <v>38</v>
      </c>
      <c r="L987" t="s">
        <v>50</v>
      </c>
      <c r="M987">
        <v>744</v>
      </c>
      <c r="N987">
        <v>9472</v>
      </c>
      <c r="O987">
        <v>5</v>
      </c>
      <c r="P987" t="s">
        <v>44</v>
      </c>
      <c r="Q987" s="1">
        <v>44452</v>
      </c>
    </row>
    <row r="988" spans="1:17" x14ac:dyDescent="0.3">
      <c r="A988" t="s">
        <v>14</v>
      </c>
      <c r="B988" t="s">
        <v>15</v>
      </c>
      <c r="C988" t="s">
        <v>30</v>
      </c>
      <c r="D988" t="s">
        <v>17</v>
      </c>
      <c r="E988" t="s">
        <v>18</v>
      </c>
      <c r="F988" s="9">
        <v>0.14000000000000001</v>
      </c>
      <c r="G988" s="10">
        <v>19480</v>
      </c>
      <c r="H988">
        <v>4.3</v>
      </c>
      <c r="I988" s="5">
        <f>ROUND(Marketing[[#This Row],[Clicks]]*Marketing[[#This Row],[Conversion_Rate]],0)</f>
        <v>48</v>
      </c>
      <c r="J988" s="12">
        <f>Marketing[[#This Row],[Campaign_Cost]]/Marketing[[#This Row],[Customers]]</f>
        <v>405.83333333333331</v>
      </c>
      <c r="K988" t="s">
        <v>51</v>
      </c>
      <c r="L988" t="s">
        <v>50</v>
      </c>
      <c r="M988">
        <v>346</v>
      </c>
      <c r="N988">
        <v>2067</v>
      </c>
      <c r="O988">
        <v>2</v>
      </c>
      <c r="P988" t="s">
        <v>34</v>
      </c>
      <c r="Q988" s="1">
        <v>44453</v>
      </c>
    </row>
    <row r="989" spans="1:17" x14ac:dyDescent="0.3">
      <c r="A989" t="s">
        <v>35</v>
      </c>
      <c r="B989" t="s">
        <v>36</v>
      </c>
      <c r="C989" t="s">
        <v>16</v>
      </c>
      <c r="D989" t="s">
        <v>17</v>
      </c>
      <c r="E989" t="s">
        <v>18</v>
      </c>
      <c r="F989" s="9">
        <v>0.12</v>
      </c>
      <c r="G989" s="10">
        <v>7057</v>
      </c>
      <c r="H989">
        <v>6.29</v>
      </c>
      <c r="I989" s="5">
        <f>ROUND(Marketing[[#This Row],[Clicks]]*Marketing[[#This Row],[Conversion_Rate]],0)</f>
        <v>51</v>
      </c>
      <c r="J989" s="12">
        <f>Marketing[[#This Row],[Campaign_Cost]]/Marketing[[#This Row],[Customers]]</f>
        <v>138.37254901960785</v>
      </c>
      <c r="K989" t="s">
        <v>38</v>
      </c>
      <c r="L989" t="s">
        <v>39</v>
      </c>
      <c r="M989">
        <v>423</v>
      </c>
      <c r="N989">
        <v>3670</v>
      </c>
      <c r="O989">
        <v>6</v>
      </c>
      <c r="P989" t="s">
        <v>44</v>
      </c>
      <c r="Q989" s="1">
        <v>44454</v>
      </c>
    </row>
    <row r="990" spans="1:17" x14ac:dyDescent="0.3">
      <c r="A990" t="s">
        <v>28</v>
      </c>
      <c r="B990" t="s">
        <v>45</v>
      </c>
      <c r="C990" t="s">
        <v>16</v>
      </c>
      <c r="D990" t="s">
        <v>46</v>
      </c>
      <c r="E990" t="s">
        <v>15</v>
      </c>
      <c r="F990" s="9">
        <v>0.05</v>
      </c>
      <c r="G990" s="10">
        <v>11252</v>
      </c>
      <c r="H990">
        <v>3.06</v>
      </c>
      <c r="I990" s="5">
        <f>ROUND(Marketing[[#This Row],[Clicks]]*Marketing[[#This Row],[Conversion_Rate]],0)</f>
        <v>13</v>
      </c>
      <c r="J990" s="12">
        <f>Marketing[[#This Row],[Campaign_Cost]]/Marketing[[#This Row],[Customers]]</f>
        <v>865.53846153846155</v>
      </c>
      <c r="K990" t="s">
        <v>38</v>
      </c>
      <c r="L990" t="s">
        <v>20</v>
      </c>
      <c r="M990">
        <v>254</v>
      </c>
      <c r="N990">
        <v>7896</v>
      </c>
      <c r="O990">
        <v>4</v>
      </c>
      <c r="P990" t="s">
        <v>21</v>
      </c>
      <c r="Q990" s="1">
        <v>44455</v>
      </c>
    </row>
    <row r="991" spans="1:17" x14ac:dyDescent="0.3">
      <c r="A991" t="s">
        <v>22</v>
      </c>
      <c r="B991" t="s">
        <v>45</v>
      </c>
      <c r="C991" t="s">
        <v>30</v>
      </c>
      <c r="D991" t="s">
        <v>46</v>
      </c>
      <c r="E991" t="s">
        <v>15</v>
      </c>
      <c r="F991" s="9">
        <v>0.15</v>
      </c>
      <c r="G991" s="10">
        <v>5524</v>
      </c>
      <c r="H991">
        <v>6.85</v>
      </c>
      <c r="I991" s="5">
        <f>ROUND(Marketing[[#This Row],[Clicks]]*Marketing[[#This Row],[Conversion_Rate]],0)</f>
        <v>115</v>
      </c>
      <c r="J991" s="12">
        <f>Marketing[[#This Row],[Campaign_Cost]]/Marketing[[#This Row],[Customers]]</f>
        <v>48.03478260869565</v>
      </c>
      <c r="K991" t="s">
        <v>19</v>
      </c>
      <c r="L991" t="s">
        <v>26</v>
      </c>
      <c r="M991">
        <v>769</v>
      </c>
      <c r="N991">
        <v>2472</v>
      </c>
      <c r="O991">
        <v>5</v>
      </c>
      <c r="P991" t="s">
        <v>42</v>
      </c>
      <c r="Q991" s="1">
        <v>44456</v>
      </c>
    </row>
    <row r="992" spans="1:17" x14ac:dyDescent="0.3">
      <c r="A992" t="s">
        <v>28</v>
      </c>
      <c r="B992" t="s">
        <v>47</v>
      </c>
      <c r="C992" t="s">
        <v>23</v>
      </c>
      <c r="D992" t="s">
        <v>24</v>
      </c>
      <c r="E992" t="s">
        <v>43</v>
      </c>
      <c r="F992" s="9">
        <v>0.14000000000000001</v>
      </c>
      <c r="G992" s="10">
        <v>7286</v>
      </c>
      <c r="H992">
        <v>7.88</v>
      </c>
      <c r="I992" s="5">
        <f>ROUND(Marketing[[#This Row],[Clicks]]*Marketing[[#This Row],[Conversion_Rate]],0)</f>
        <v>114</v>
      </c>
      <c r="J992" s="12">
        <f>Marketing[[#This Row],[Campaign_Cost]]/Marketing[[#This Row],[Customers]]</f>
        <v>63.912280701754383</v>
      </c>
      <c r="K992" t="s">
        <v>25</v>
      </c>
      <c r="L992" t="s">
        <v>39</v>
      </c>
      <c r="M992">
        <v>813</v>
      </c>
      <c r="N992">
        <v>6052</v>
      </c>
      <c r="O992">
        <v>10</v>
      </c>
      <c r="P992" t="s">
        <v>44</v>
      </c>
      <c r="Q992" s="1">
        <v>44457</v>
      </c>
    </row>
    <row r="993" spans="1:17" x14ac:dyDescent="0.3">
      <c r="A993" t="s">
        <v>28</v>
      </c>
      <c r="B993" t="s">
        <v>45</v>
      </c>
      <c r="C993" t="s">
        <v>23</v>
      </c>
      <c r="D993" t="s">
        <v>46</v>
      </c>
      <c r="E993" t="s">
        <v>15</v>
      </c>
      <c r="F993" s="9">
        <v>0.04</v>
      </c>
      <c r="G993" s="10">
        <v>5825</v>
      </c>
      <c r="H993">
        <v>7.61</v>
      </c>
      <c r="I993" s="5">
        <f>ROUND(Marketing[[#This Row],[Clicks]]*Marketing[[#This Row],[Conversion_Rate]],0)</f>
        <v>11</v>
      </c>
      <c r="J993" s="12">
        <f>Marketing[[#This Row],[Campaign_Cost]]/Marketing[[#This Row],[Customers]]</f>
        <v>529.5454545454545</v>
      </c>
      <c r="K993" t="s">
        <v>32</v>
      </c>
      <c r="L993" t="s">
        <v>39</v>
      </c>
      <c r="M993">
        <v>270</v>
      </c>
      <c r="N993">
        <v>7351</v>
      </c>
      <c r="O993">
        <v>3</v>
      </c>
      <c r="P993" t="s">
        <v>34</v>
      </c>
      <c r="Q993" s="1">
        <v>44458</v>
      </c>
    </row>
    <row r="994" spans="1:17" x14ac:dyDescent="0.3">
      <c r="A994" t="s">
        <v>14</v>
      </c>
      <c r="B994" t="s">
        <v>15</v>
      </c>
      <c r="C994" t="s">
        <v>23</v>
      </c>
      <c r="D994" t="s">
        <v>40</v>
      </c>
      <c r="E994" t="s">
        <v>41</v>
      </c>
      <c r="F994" s="9">
        <v>0.06</v>
      </c>
      <c r="G994" s="10">
        <v>18805</v>
      </c>
      <c r="H994">
        <v>2.96</v>
      </c>
      <c r="I994" s="5">
        <f>ROUND(Marketing[[#This Row],[Clicks]]*Marketing[[#This Row],[Conversion_Rate]],0)</f>
        <v>48</v>
      </c>
      <c r="J994" s="12">
        <f>Marketing[[#This Row],[Campaign_Cost]]/Marketing[[#This Row],[Customers]]</f>
        <v>391.77083333333331</v>
      </c>
      <c r="K994" t="s">
        <v>19</v>
      </c>
      <c r="L994" t="s">
        <v>39</v>
      </c>
      <c r="M994">
        <v>805</v>
      </c>
      <c r="N994">
        <v>9184</v>
      </c>
      <c r="O994">
        <v>4</v>
      </c>
      <c r="P994" t="s">
        <v>42</v>
      </c>
      <c r="Q994" s="1">
        <v>44459</v>
      </c>
    </row>
    <row r="995" spans="1:17" x14ac:dyDescent="0.3">
      <c r="A995" t="s">
        <v>49</v>
      </c>
      <c r="B995" t="s">
        <v>29</v>
      </c>
      <c r="C995" t="s">
        <v>30</v>
      </c>
      <c r="D995" t="s">
        <v>40</v>
      </c>
      <c r="E995" t="s">
        <v>31</v>
      </c>
      <c r="F995" s="9">
        <v>0.13</v>
      </c>
      <c r="G995" s="10">
        <v>11366</v>
      </c>
      <c r="H995">
        <v>7.68</v>
      </c>
      <c r="I995" s="5">
        <f>ROUND(Marketing[[#This Row],[Clicks]]*Marketing[[#This Row],[Conversion_Rate]],0)</f>
        <v>45</v>
      </c>
      <c r="J995" s="12">
        <f>Marketing[[#This Row],[Campaign_Cost]]/Marketing[[#This Row],[Customers]]</f>
        <v>252.57777777777778</v>
      </c>
      <c r="K995" t="s">
        <v>19</v>
      </c>
      <c r="L995" t="s">
        <v>50</v>
      </c>
      <c r="M995">
        <v>348</v>
      </c>
      <c r="N995">
        <v>9167</v>
      </c>
      <c r="O995">
        <v>1</v>
      </c>
      <c r="P995" t="s">
        <v>42</v>
      </c>
      <c r="Q995" s="1">
        <v>44460</v>
      </c>
    </row>
    <row r="996" spans="1:17" x14ac:dyDescent="0.3">
      <c r="A996" t="s">
        <v>49</v>
      </c>
      <c r="B996" t="s">
        <v>15</v>
      </c>
      <c r="C996" t="s">
        <v>52</v>
      </c>
      <c r="D996" t="s">
        <v>17</v>
      </c>
      <c r="E996" t="s">
        <v>31</v>
      </c>
      <c r="F996" s="9">
        <v>0.12</v>
      </c>
      <c r="G996" s="10">
        <v>13546</v>
      </c>
      <c r="H996">
        <v>2.66</v>
      </c>
      <c r="I996" s="5">
        <f>ROUND(Marketing[[#This Row],[Clicks]]*Marketing[[#This Row],[Conversion_Rate]],0)</f>
        <v>78</v>
      </c>
      <c r="J996" s="12">
        <f>Marketing[[#This Row],[Campaign_Cost]]/Marketing[[#This Row],[Customers]]</f>
        <v>173.66666666666666</v>
      </c>
      <c r="K996" t="s">
        <v>19</v>
      </c>
      <c r="L996" t="s">
        <v>33</v>
      </c>
      <c r="M996">
        <v>649</v>
      </c>
      <c r="N996">
        <v>5014</v>
      </c>
      <c r="O996">
        <v>4</v>
      </c>
      <c r="P996" t="s">
        <v>34</v>
      </c>
      <c r="Q996" s="1">
        <v>44461</v>
      </c>
    </row>
    <row r="997" spans="1:17" x14ac:dyDescent="0.3">
      <c r="A997" t="s">
        <v>49</v>
      </c>
      <c r="B997" t="s">
        <v>15</v>
      </c>
      <c r="C997" t="s">
        <v>37</v>
      </c>
      <c r="D997" t="s">
        <v>40</v>
      </c>
      <c r="E997" t="s">
        <v>41</v>
      </c>
      <c r="F997" s="9">
        <v>0.04</v>
      </c>
      <c r="G997" s="10">
        <v>15454</v>
      </c>
      <c r="H997">
        <v>4.93</v>
      </c>
      <c r="I997" s="5">
        <f>ROUND(Marketing[[#This Row],[Clicks]]*Marketing[[#This Row],[Conversion_Rate]],0)</f>
        <v>9</v>
      </c>
      <c r="J997" s="12">
        <f>Marketing[[#This Row],[Campaign_Cost]]/Marketing[[#This Row],[Customers]]</f>
        <v>1717.1111111111111</v>
      </c>
      <c r="K997" t="s">
        <v>38</v>
      </c>
      <c r="L997" t="s">
        <v>26</v>
      </c>
      <c r="M997">
        <v>217</v>
      </c>
      <c r="N997">
        <v>4205</v>
      </c>
      <c r="O997">
        <v>1</v>
      </c>
      <c r="P997" t="s">
        <v>21</v>
      </c>
      <c r="Q997" s="1">
        <v>44462</v>
      </c>
    </row>
    <row r="998" spans="1:17" x14ac:dyDescent="0.3">
      <c r="A998" t="s">
        <v>49</v>
      </c>
      <c r="B998" t="s">
        <v>29</v>
      </c>
      <c r="C998" t="s">
        <v>30</v>
      </c>
      <c r="D998" t="s">
        <v>24</v>
      </c>
      <c r="E998" t="s">
        <v>31</v>
      </c>
      <c r="F998" s="9">
        <v>0.06</v>
      </c>
      <c r="G998" s="10">
        <v>7306</v>
      </c>
      <c r="H998">
        <v>5.07</v>
      </c>
      <c r="I998" s="5">
        <f>ROUND(Marketing[[#This Row],[Clicks]]*Marketing[[#This Row],[Conversion_Rate]],0)</f>
        <v>54</v>
      </c>
      <c r="J998" s="12">
        <f>Marketing[[#This Row],[Campaign_Cost]]/Marketing[[#This Row],[Customers]]</f>
        <v>135.2962962962963</v>
      </c>
      <c r="K998" t="s">
        <v>19</v>
      </c>
      <c r="L998" t="s">
        <v>50</v>
      </c>
      <c r="M998">
        <v>898</v>
      </c>
      <c r="N998">
        <v>2677</v>
      </c>
      <c r="O998">
        <v>6</v>
      </c>
      <c r="P998" t="s">
        <v>34</v>
      </c>
      <c r="Q998" s="1">
        <v>44463</v>
      </c>
    </row>
    <row r="999" spans="1:17" x14ac:dyDescent="0.3">
      <c r="A999" t="s">
        <v>14</v>
      </c>
      <c r="B999" t="s">
        <v>29</v>
      </c>
      <c r="C999" t="s">
        <v>16</v>
      </c>
      <c r="D999" t="s">
        <v>24</v>
      </c>
      <c r="E999" t="s">
        <v>31</v>
      </c>
      <c r="F999" s="9">
        <v>0.15</v>
      </c>
      <c r="G999" s="10">
        <v>19289</v>
      </c>
      <c r="H999">
        <v>2.96</v>
      </c>
      <c r="I999" s="5">
        <f>ROUND(Marketing[[#This Row],[Clicks]]*Marketing[[#This Row],[Conversion_Rate]],0)</f>
        <v>88</v>
      </c>
      <c r="J999" s="12">
        <f>Marketing[[#This Row],[Campaign_Cost]]/Marketing[[#This Row],[Customers]]</f>
        <v>219.19318181818181</v>
      </c>
      <c r="K999" t="s">
        <v>25</v>
      </c>
      <c r="L999" t="s">
        <v>39</v>
      </c>
      <c r="M999">
        <v>584</v>
      </c>
      <c r="N999">
        <v>8542</v>
      </c>
      <c r="O999">
        <v>5</v>
      </c>
      <c r="P999" t="s">
        <v>42</v>
      </c>
      <c r="Q999" s="1">
        <v>44464</v>
      </c>
    </row>
    <row r="1000" spans="1:17" x14ac:dyDescent="0.3">
      <c r="A1000" t="s">
        <v>14</v>
      </c>
      <c r="B1000" t="s">
        <v>36</v>
      </c>
      <c r="C1000" t="s">
        <v>30</v>
      </c>
      <c r="D1000" t="s">
        <v>40</v>
      </c>
      <c r="E1000" t="s">
        <v>31</v>
      </c>
      <c r="F1000" s="9">
        <v>0.15</v>
      </c>
      <c r="G1000" s="10">
        <v>14377</v>
      </c>
      <c r="H1000">
        <v>7.86</v>
      </c>
      <c r="I1000" s="5">
        <f>ROUND(Marketing[[#This Row],[Clicks]]*Marketing[[#This Row],[Conversion_Rate]],0)</f>
        <v>49</v>
      </c>
      <c r="J1000" s="12">
        <f>Marketing[[#This Row],[Campaign_Cost]]/Marketing[[#This Row],[Customers]]</f>
        <v>293.40816326530614</v>
      </c>
      <c r="K1000" t="s">
        <v>19</v>
      </c>
      <c r="L1000" t="s">
        <v>20</v>
      </c>
      <c r="M1000">
        <v>327</v>
      </c>
      <c r="N1000">
        <v>8692</v>
      </c>
      <c r="O1000">
        <v>8</v>
      </c>
      <c r="P1000" t="s">
        <v>21</v>
      </c>
      <c r="Q1000" s="1">
        <v>44465</v>
      </c>
    </row>
    <row r="1001" spans="1:17" x14ac:dyDescent="0.3">
      <c r="A1001" t="s">
        <v>35</v>
      </c>
      <c r="B1001" t="s">
        <v>45</v>
      </c>
      <c r="C1001" t="s">
        <v>23</v>
      </c>
      <c r="D1001" t="s">
        <v>17</v>
      </c>
      <c r="E1001" t="s">
        <v>18</v>
      </c>
      <c r="F1001" s="9">
        <v>0.04</v>
      </c>
      <c r="G1001" s="10">
        <v>5256</v>
      </c>
      <c r="H1001">
        <v>5.38</v>
      </c>
      <c r="I1001" s="5">
        <f>ROUND(Marketing[[#This Row],[Clicks]]*Marketing[[#This Row],[Conversion_Rate]],0)</f>
        <v>32</v>
      </c>
      <c r="J1001" s="12">
        <f>Marketing[[#This Row],[Campaign_Cost]]/Marketing[[#This Row],[Customers]]</f>
        <v>164.25</v>
      </c>
      <c r="K1001" t="s">
        <v>19</v>
      </c>
      <c r="L1001" t="s">
        <v>26</v>
      </c>
      <c r="M1001">
        <v>795</v>
      </c>
      <c r="N1001">
        <v>3850</v>
      </c>
      <c r="O1001">
        <v>8</v>
      </c>
      <c r="P1001" t="s">
        <v>34</v>
      </c>
      <c r="Q1001" s="1">
        <v>44466</v>
      </c>
    </row>
    <row r="1002" spans="1:17" x14ac:dyDescent="0.3">
      <c r="A1002" t="s">
        <v>49</v>
      </c>
      <c r="B1002" t="s">
        <v>36</v>
      </c>
      <c r="C1002" t="s">
        <v>16</v>
      </c>
      <c r="D1002" t="s">
        <v>17</v>
      </c>
      <c r="E1002" t="s">
        <v>31</v>
      </c>
      <c r="F1002" s="9">
        <v>0.14000000000000001</v>
      </c>
      <c r="G1002" s="10">
        <v>8237</v>
      </c>
      <c r="H1002">
        <v>6.12</v>
      </c>
      <c r="I1002" s="5">
        <f>ROUND(Marketing[[#This Row],[Clicks]]*Marketing[[#This Row],[Conversion_Rate]],0)</f>
        <v>96</v>
      </c>
      <c r="J1002" s="12">
        <f>Marketing[[#This Row],[Campaign_Cost]]/Marketing[[#This Row],[Customers]]</f>
        <v>85.802083333333329</v>
      </c>
      <c r="K1002" t="s">
        <v>25</v>
      </c>
      <c r="L1002" t="s">
        <v>20</v>
      </c>
      <c r="M1002">
        <v>686</v>
      </c>
      <c r="N1002">
        <v>2889</v>
      </c>
      <c r="O1002">
        <v>4</v>
      </c>
      <c r="P1002" t="s">
        <v>34</v>
      </c>
      <c r="Q1002" s="1">
        <v>44467</v>
      </c>
    </row>
    <row r="1003" spans="1:17" x14ac:dyDescent="0.3">
      <c r="A1003" t="s">
        <v>28</v>
      </c>
      <c r="B1003" t="s">
        <v>15</v>
      </c>
      <c r="C1003" t="s">
        <v>23</v>
      </c>
      <c r="D1003" t="s">
        <v>40</v>
      </c>
      <c r="E1003" t="s">
        <v>31</v>
      </c>
      <c r="F1003" s="9">
        <v>0.12</v>
      </c>
      <c r="G1003" s="10">
        <v>6864</v>
      </c>
      <c r="H1003">
        <v>5.77</v>
      </c>
      <c r="I1003" s="5">
        <f>ROUND(Marketing[[#This Row],[Clicks]]*Marketing[[#This Row],[Conversion_Rate]],0)</f>
        <v>63</v>
      </c>
      <c r="J1003" s="12">
        <f>Marketing[[#This Row],[Campaign_Cost]]/Marketing[[#This Row],[Customers]]</f>
        <v>108.95238095238095</v>
      </c>
      <c r="K1003" t="s">
        <v>25</v>
      </c>
      <c r="L1003" t="s">
        <v>33</v>
      </c>
      <c r="M1003">
        <v>522</v>
      </c>
      <c r="N1003">
        <v>5812</v>
      </c>
      <c r="O1003">
        <v>3</v>
      </c>
      <c r="P1003" t="s">
        <v>34</v>
      </c>
      <c r="Q1003" s="1">
        <v>44468</v>
      </c>
    </row>
    <row r="1004" spans="1:17" x14ac:dyDescent="0.3">
      <c r="A1004" t="s">
        <v>35</v>
      </c>
      <c r="B1004" t="s">
        <v>45</v>
      </c>
      <c r="C1004" t="s">
        <v>30</v>
      </c>
      <c r="D1004" t="s">
        <v>40</v>
      </c>
      <c r="E1004" t="s">
        <v>48</v>
      </c>
      <c r="F1004" s="9">
        <v>0.14000000000000001</v>
      </c>
      <c r="G1004" s="10">
        <v>11053</v>
      </c>
      <c r="H1004">
        <v>3.44</v>
      </c>
      <c r="I1004" s="5">
        <f>ROUND(Marketing[[#This Row],[Clicks]]*Marketing[[#This Row],[Conversion_Rate]],0)</f>
        <v>138</v>
      </c>
      <c r="J1004" s="12">
        <f>Marketing[[#This Row],[Campaign_Cost]]/Marketing[[#This Row],[Customers]]</f>
        <v>80.094202898550719</v>
      </c>
      <c r="K1004" t="s">
        <v>51</v>
      </c>
      <c r="L1004" t="s">
        <v>26</v>
      </c>
      <c r="M1004">
        <v>989</v>
      </c>
      <c r="N1004">
        <v>4891</v>
      </c>
      <c r="O1004">
        <v>9</v>
      </c>
      <c r="P1004" t="s">
        <v>27</v>
      </c>
      <c r="Q1004" s="1">
        <v>44469</v>
      </c>
    </row>
    <row r="1005" spans="1:17" x14ac:dyDescent="0.3">
      <c r="A1005" t="s">
        <v>35</v>
      </c>
      <c r="B1005" t="s">
        <v>45</v>
      </c>
      <c r="C1005" t="s">
        <v>16</v>
      </c>
      <c r="D1005" t="s">
        <v>40</v>
      </c>
      <c r="E1005" t="s">
        <v>18</v>
      </c>
      <c r="F1005" s="9">
        <v>0.14000000000000001</v>
      </c>
      <c r="G1005" s="10">
        <v>9957</v>
      </c>
      <c r="H1005">
        <v>4.5199999999999996</v>
      </c>
      <c r="I1005" s="5">
        <f>ROUND(Marketing[[#This Row],[Clicks]]*Marketing[[#This Row],[Conversion_Rate]],0)</f>
        <v>45</v>
      </c>
      <c r="J1005" s="12">
        <f>Marketing[[#This Row],[Campaign_Cost]]/Marketing[[#This Row],[Customers]]</f>
        <v>221.26666666666668</v>
      </c>
      <c r="K1005" t="s">
        <v>38</v>
      </c>
      <c r="L1005" t="s">
        <v>39</v>
      </c>
      <c r="M1005">
        <v>323</v>
      </c>
      <c r="N1005">
        <v>4469</v>
      </c>
      <c r="O1005">
        <v>10</v>
      </c>
      <c r="P1005" t="s">
        <v>42</v>
      </c>
      <c r="Q1005" s="1">
        <v>44470</v>
      </c>
    </row>
    <row r="1006" spans="1:17" x14ac:dyDescent="0.3">
      <c r="A1006" t="s">
        <v>22</v>
      </c>
      <c r="B1006" t="s">
        <v>29</v>
      </c>
      <c r="C1006" t="s">
        <v>30</v>
      </c>
      <c r="D1006" t="s">
        <v>17</v>
      </c>
      <c r="E1006" t="s">
        <v>43</v>
      </c>
      <c r="F1006" s="9">
        <v>0.03</v>
      </c>
      <c r="G1006" s="10">
        <v>6049</v>
      </c>
      <c r="H1006">
        <v>6.34</v>
      </c>
      <c r="I1006" s="5">
        <f>ROUND(Marketing[[#This Row],[Clicks]]*Marketing[[#This Row],[Conversion_Rate]],0)</f>
        <v>6</v>
      </c>
      <c r="J1006" s="12">
        <f>Marketing[[#This Row],[Campaign_Cost]]/Marketing[[#This Row],[Customers]]</f>
        <v>1008.1666666666666</v>
      </c>
      <c r="K1006" t="s">
        <v>51</v>
      </c>
      <c r="L1006" t="s">
        <v>39</v>
      </c>
      <c r="M1006">
        <v>189</v>
      </c>
      <c r="N1006">
        <v>3005</v>
      </c>
      <c r="O1006">
        <v>9</v>
      </c>
      <c r="P1006" t="s">
        <v>21</v>
      </c>
      <c r="Q1006" s="1">
        <v>44471</v>
      </c>
    </row>
    <row r="1007" spans="1:17" x14ac:dyDescent="0.3">
      <c r="A1007" t="s">
        <v>14</v>
      </c>
      <c r="B1007" t="s">
        <v>29</v>
      </c>
      <c r="C1007" t="s">
        <v>23</v>
      </c>
      <c r="D1007" t="s">
        <v>46</v>
      </c>
      <c r="E1007" t="s">
        <v>18</v>
      </c>
      <c r="F1007" s="9">
        <v>0.12</v>
      </c>
      <c r="G1007" s="10">
        <v>7897</v>
      </c>
      <c r="H1007">
        <v>4.78</v>
      </c>
      <c r="I1007" s="5">
        <f>ROUND(Marketing[[#This Row],[Clicks]]*Marketing[[#This Row],[Conversion_Rate]],0)</f>
        <v>72</v>
      </c>
      <c r="J1007" s="12">
        <f>Marketing[[#This Row],[Campaign_Cost]]/Marketing[[#This Row],[Customers]]</f>
        <v>109.68055555555556</v>
      </c>
      <c r="K1007" t="s">
        <v>51</v>
      </c>
      <c r="L1007" t="s">
        <v>20</v>
      </c>
      <c r="M1007">
        <v>598</v>
      </c>
      <c r="N1007">
        <v>5840</v>
      </c>
      <c r="O1007">
        <v>2</v>
      </c>
      <c r="P1007" t="s">
        <v>44</v>
      </c>
      <c r="Q1007" s="1">
        <v>44472</v>
      </c>
    </row>
    <row r="1008" spans="1:17" x14ac:dyDescent="0.3">
      <c r="A1008" t="s">
        <v>22</v>
      </c>
      <c r="B1008" t="s">
        <v>29</v>
      </c>
      <c r="C1008" t="s">
        <v>16</v>
      </c>
      <c r="D1008" t="s">
        <v>17</v>
      </c>
      <c r="E1008" t="s">
        <v>41</v>
      </c>
      <c r="F1008" s="9">
        <v>0.03</v>
      </c>
      <c r="G1008" s="10">
        <v>10589</v>
      </c>
      <c r="H1008">
        <v>6.2</v>
      </c>
      <c r="I1008" s="5">
        <f>ROUND(Marketing[[#This Row],[Clicks]]*Marketing[[#This Row],[Conversion_Rate]],0)</f>
        <v>24</v>
      </c>
      <c r="J1008" s="12">
        <f>Marketing[[#This Row],[Campaign_Cost]]/Marketing[[#This Row],[Customers]]</f>
        <v>441.20833333333331</v>
      </c>
      <c r="K1008" t="s">
        <v>19</v>
      </c>
      <c r="L1008" t="s">
        <v>20</v>
      </c>
      <c r="M1008">
        <v>808</v>
      </c>
      <c r="N1008">
        <v>4524</v>
      </c>
      <c r="O1008">
        <v>5</v>
      </c>
      <c r="P1008" t="s">
        <v>44</v>
      </c>
      <c r="Q1008" s="1">
        <v>44473</v>
      </c>
    </row>
    <row r="1009" spans="1:17" x14ac:dyDescent="0.3">
      <c r="A1009" t="s">
        <v>22</v>
      </c>
      <c r="B1009" t="s">
        <v>15</v>
      </c>
      <c r="C1009" t="s">
        <v>52</v>
      </c>
      <c r="D1009" t="s">
        <v>40</v>
      </c>
      <c r="E1009" t="s">
        <v>15</v>
      </c>
      <c r="F1009" s="9">
        <v>0.06</v>
      </c>
      <c r="G1009" s="10">
        <v>19957</v>
      </c>
      <c r="H1009">
        <v>6.6</v>
      </c>
      <c r="I1009" s="5">
        <f>ROUND(Marketing[[#This Row],[Clicks]]*Marketing[[#This Row],[Conversion_Rate]],0)</f>
        <v>48</v>
      </c>
      <c r="J1009" s="12">
        <f>Marketing[[#This Row],[Campaign_Cost]]/Marketing[[#This Row],[Customers]]</f>
        <v>415.77083333333331</v>
      </c>
      <c r="K1009" t="s">
        <v>19</v>
      </c>
      <c r="L1009" t="s">
        <v>50</v>
      </c>
      <c r="M1009">
        <v>800</v>
      </c>
      <c r="N1009">
        <v>4302</v>
      </c>
      <c r="O1009">
        <v>3</v>
      </c>
      <c r="P1009" t="s">
        <v>34</v>
      </c>
      <c r="Q1009" s="1">
        <v>44474</v>
      </c>
    </row>
    <row r="1010" spans="1:17" x14ac:dyDescent="0.3">
      <c r="A1010" t="s">
        <v>22</v>
      </c>
      <c r="B1010" t="s">
        <v>15</v>
      </c>
      <c r="C1010" t="s">
        <v>37</v>
      </c>
      <c r="D1010" t="s">
        <v>17</v>
      </c>
      <c r="E1010" t="s">
        <v>48</v>
      </c>
      <c r="F1010" s="9">
        <v>0.14000000000000001</v>
      </c>
      <c r="G1010" s="10">
        <v>14623</v>
      </c>
      <c r="H1010">
        <v>7.11</v>
      </c>
      <c r="I1010" s="5">
        <f>ROUND(Marketing[[#This Row],[Clicks]]*Marketing[[#This Row],[Conversion_Rate]],0)</f>
        <v>16</v>
      </c>
      <c r="J1010" s="12">
        <f>Marketing[[#This Row],[Campaign_Cost]]/Marketing[[#This Row],[Customers]]</f>
        <v>913.9375</v>
      </c>
      <c r="K1010" t="s">
        <v>32</v>
      </c>
      <c r="L1010" t="s">
        <v>39</v>
      </c>
      <c r="M1010">
        <v>114</v>
      </c>
      <c r="N1010">
        <v>1591</v>
      </c>
      <c r="O1010">
        <v>5</v>
      </c>
      <c r="P1010" t="s">
        <v>21</v>
      </c>
      <c r="Q1010" s="1">
        <v>44475</v>
      </c>
    </row>
    <row r="1011" spans="1:17" x14ac:dyDescent="0.3">
      <c r="A1011" t="s">
        <v>14</v>
      </c>
      <c r="B1011" t="s">
        <v>29</v>
      </c>
      <c r="C1011" t="s">
        <v>23</v>
      </c>
      <c r="D1011" t="s">
        <v>46</v>
      </c>
      <c r="E1011" t="s">
        <v>31</v>
      </c>
      <c r="F1011" s="9">
        <v>7.0000000000000007E-2</v>
      </c>
      <c r="G1011" s="10">
        <v>8864</v>
      </c>
      <c r="H1011">
        <v>5.35</v>
      </c>
      <c r="I1011" s="5">
        <f>ROUND(Marketing[[#This Row],[Clicks]]*Marketing[[#This Row],[Conversion_Rate]],0)</f>
        <v>15</v>
      </c>
      <c r="J1011" s="12">
        <f>Marketing[[#This Row],[Campaign_Cost]]/Marketing[[#This Row],[Customers]]</f>
        <v>590.93333333333328</v>
      </c>
      <c r="K1011" t="s">
        <v>25</v>
      </c>
      <c r="L1011" t="s">
        <v>50</v>
      </c>
      <c r="M1011">
        <v>218</v>
      </c>
      <c r="N1011">
        <v>7637</v>
      </c>
      <c r="O1011">
        <v>8</v>
      </c>
      <c r="P1011" t="s">
        <v>34</v>
      </c>
      <c r="Q1011" s="1">
        <v>44476</v>
      </c>
    </row>
    <row r="1012" spans="1:17" x14ac:dyDescent="0.3">
      <c r="A1012" t="s">
        <v>14</v>
      </c>
      <c r="B1012" t="s">
        <v>29</v>
      </c>
      <c r="C1012" t="s">
        <v>52</v>
      </c>
      <c r="D1012" t="s">
        <v>17</v>
      </c>
      <c r="E1012" t="s">
        <v>15</v>
      </c>
      <c r="F1012" s="9">
        <v>7.0000000000000007E-2</v>
      </c>
      <c r="G1012" s="10">
        <v>5659</v>
      </c>
      <c r="H1012">
        <v>5.55</v>
      </c>
      <c r="I1012" s="5">
        <f>ROUND(Marketing[[#This Row],[Clicks]]*Marketing[[#This Row],[Conversion_Rate]],0)</f>
        <v>40</v>
      </c>
      <c r="J1012" s="12">
        <f>Marketing[[#This Row],[Campaign_Cost]]/Marketing[[#This Row],[Customers]]</f>
        <v>141.47499999999999</v>
      </c>
      <c r="K1012" t="s">
        <v>32</v>
      </c>
      <c r="L1012" t="s">
        <v>33</v>
      </c>
      <c r="M1012">
        <v>577</v>
      </c>
      <c r="N1012">
        <v>7151</v>
      </c>
      <c r="O1012">
        <v>5</v>
      </c>
      <c r="P1012" t="s">
        <v>21</v>
      </c>
      <c r="Q1012" s="1">
        <v>44477</v>
      </c>
    </row>
    <row r="1013" spans="1:17" x14ac:dyDescent="0.3">
      <c r="A1013" t="s">
        <v>28</v>
      </c>
      <c r="B1013" t="s">
        <v>36</v>
      </c>
      <c r="C1013" t="s">
        <v>37</v>
      </c>
      <c r="D1013" t="s">
        <v>46</v>
      </c>
      <c r="E1013" t="s">
        <v>31</v>
      </c>
      <c r="F1013" s="9">
        <v>0.13</v>
      </c>
      <c r="G1013" s="10">
        <v>12389</v>
      </c>
      <c r="H1013">
        <v>5.15</v>
      </c>
      <c r="I1013" s="5">
        <f>ROUND(Marketing[[#This Row],[Clicks]]*Marketing[[#This Row],[Conversion_Rate]],0)</f>
        <v>128</v>
      </c>
      <c r="J1013" s="12">
        <f>Marketing[[#This Row],[Campaign_Cost]]/Marketing[[#This Row],[Customers]]</f>
        <v>96.7890625</v>
      </c>
      <c r="K1013" t="s">
        <v>38</v>
      </c>
      <c r="L1013" t="s">
        <v>33</v>
      </c>
      <c r="M1013">
        <v>983</v>
      </c>
      <c r="N1013">
        <v>3271</v>
      </c>
      <c r="O1013">
        <v>5</v>
      </c>
      <c r="P1013" t="s">
        <v>44</v>
      </c>
      <c r="Q1013" s="1">
        <v>44478</v>
      </c>
    </row>
    <row r="1014" spans="1:17" x14ac:dyDescent="0.3">
      <c r="A1014" t="s">
        <v>14</v>
      </c>
      <c r="B1014" t="s">
        <v>45</v>
      </c>
      <c r="C1014" t="s">
        <v>30</v>
      </c>
      <c r="D1014" t="s">
        <v>17</v>
      </c>
      <c r="E1014" t="s">
        <v>48</v>
      </c>
      <c r="F1014" s="9">
        <v>0.08</v>
      </c>
      <c r="G1014" s="10">
        <v>10481</v>
      </c>
      <c r="H1014">
        <v>3.17</v>
      </c>
      <c r="I1014" s="5">
        <f>ROUND(Marketing[[#This Row],[Clicks]]*Marketing[[#This Row],[Conversion_Rate]],0)</f>
        <v>13</v>
      </c>
      <c r="J1014" s="12">
        <f>Marketing[[#This Row],[Campaign_Cost]]/Marketing[[#This Row],[Customers]]</f>
        <v>806.23076923076928</v>
      </c>
      <c r="K1014" t="s">
        <v>19</v>
      </c>
      <c r="L1014" t="s">
        <v>20</v>
      </c>
      <c r="M1014">
        <v>158</v>
      </c>
      <c r="N1014">
        <v>2068</v>
      </c>
      <c r="O1014">
        <v>5</v>
      </c>
      <c r="P1014" t="s">
        <v>44</v>
      </c>
      <c r="Q1014" s="1">
        <v>44479</v>
      </c>
    </row>
    <row r="1015" spans="1:17" x14ac:dyDescent="0.3">
      <c r="A1015" t="s">
        <v>14</v>
      </c>
      <c r="B1015" t="s">
        <v>29</v>
      </c>
      <c r="C1015" t="s">
        <v>16</v>
      </c>
      <c r="D1015" t="s">
        <v>40</v>
      </c>
      <c r="E1015" t="s">
        <v>15</v>
      </c>
      <c r="F1015" s="9">
        <v>0.01</v>
      </c>
      <c r="G1015" s="10">
        <v>19232</v>
      </c>
      <c r="H1015">
        <v>6.32</v>
      </c>
      <c r="I1015" s="5">
        <f>ROUND(Marketing[[#This Row],[Clicks]]*Marketing[[#This Row],[Conversion_Rate]],0)</f>
        <v>4</v>
      </c>
      <c r="J1015" s="12">
        <f>Marketing[[#This Row],[Campaign_Cost]]/Marketing[[#This Row],[Customers]]</f>
        <v>4808</v>
      </c>
      <c r="K1015" t="s">
        <v>32</v>
      </c>
      <c r="L1015" t="s">
        <v>20</v>
      </c>
      <c r="M1015">
        <v>394</v>
      </c>
      <c r="N1015">
        <v>9182</v>
      </c>
      <c r="O1015">
        <v>9</v>
      </c>
      <c r="P1015" t="s">
        <v>42</v>
      </c>
      <c r="Q1015" s="1">
        <v>44480</v>
      </c>
    </row>
    <row r="1016" spans="1:17" x14ac:dyDescent="0.3">
      <c r="A1016" t="s">
        <v>28</v>
      </c>
      <c r="B1016" t="s">
        <v>15</v>
      </c>
      <c r="C1016" t="s">
        <v>37</v>
      </c>
      <c r="D1016" t="s">
        <v>46</v>
      </c>
      <c r="E1016" t="s">
        <v>31</v>
      </c>
      <c r="F1016" s="9">
        <v>0.1</v>
      </c>
      <c r="G1016" s="10">
        <v>11895</v>
      </c>
      <c r="H1016">
        <v>7.96</v>
      </c>
      <c r="I1016" s="5">
        <f>ROUND(Marketing[[#This Row],[Clicks]]*Marketing[[#This Row],[Conversion_Rate]],0)</f>
        <v>45</v>
      </c>
      <c r="J1016" s="12">
        <f>Marketing[[#This Row],[Campaign_Cost]]/Marketing[[#This Row],[Customers]]</f>
        <v>264.33333333333331</v>
      </c>
      <c r="K1016" t="s">
        <v>19</v>
      </c>
      <c r="L1016" t="s">
        <v>26</v>
      </c>
      <c r="M1016">
        <v>452</v>
      </c>
      <c r="N1016">
        <v>7510</v>
      </c>
      <c r="O1016">
        <v>9</v>
      </c>
      <c r="P1016" t="s">
        <v>42</v>
      </c>
      <c r="Q1016" s="1">
        <v>44481</v>
      </c>
    </row>
    <row r="1017" spans="1:17" x14ac:dyDescent="0.3">
      <c r="A1017" t="s">
        <v>35</v>
      </c>
      <c r="B1017" t="s">
        <v>47</v>
      </c>
      <c r="C1017" t="s">
        <v>52</v>
      </c>
      <c r="D1017" t="s">
        <v>40</v>
      </c>
      <c r="E1017" t="s">
        <v>31</v>
      </c>
      <c r="F1017" s="9">
        <v>0.14000000000000001</v>
      </c>
      <c r="G1017" s="10">
        <v>7821</v>
      </c>
      <c r="H1017">
        <v>2.4700000000000002</v>
      </c>
      <c r="I1017" s="5">
        <f>ROUND(Marketing[[#This Row],[Clicks]]*Marketing[[#This Row],[Conversion_Rate]],0)</f>
        <v>48</v>
      </c>
      <c r="J1017" s="12">
        <f>Marketing[[#This Row],[Campaign_Cost]]/Marketing[[#This Row],[Customers]]</f>
        <v>162.9375</v>
      </c>
      <c r="K1017" t="s">
        <v>51</v>
      </c>
      <c r="L1017" t="s">
        <v>20</v>
      </c>
      <c r="M1017">
        <v>342</v>
      </c>
      <c r="N1017">
        <v>8441</v>
      </c>
      <c r="O1017">
        <v>2</v>
      </c>
      <c r="P1017" t="s">
        <v>27</v>
      </c>
      <c r="Q1017" s="1">
        <v>44482</v>
      </c>
    </row>
    <row r="1018" spans="1:17" x14ac:dyDescent="0.3">
      <c r="A1018" t="s">
        <v>35</v>
      </c>
      <c r="B1018" t="s">
        <v>15</v>
      </c>
      <c r="C1018" t="s">
        <v>30</v>
      </c>
      <c r="D1018" t="s">
        <v>24</v>
      </c>
      <c r="E1018" t="s">
        <v>31</v>
      </c>
      <c r="F1018" s="9">
        <v>0.12</v>
      </c>
      <c r="G1018" s="10">
        <v>11738</v>
      </c>
      <c r="H1018">
        <v>2.57</v>
      </c>
      <c r="I1018" s="5">
        <f>ROUND(Marketing[[#This Row],[Clicks]]*Marketing[[#This Row],[Conversion_Rate]],0)</f>
        <v>59</v>
      </c>
      <c r="J1018" s="12">
        <f>Marketing[[#This Row],[Campaign_Cost]]/Marketing[[#This Row],[Customers]]</f>
        <v>198.94915254237287</v>
      </c>
      <c r="K1018" t="s">
        <v>51</v>
      </c>
      <c r="L1018" t="s">
        <v>50</v>
      </c>
      <c r="M1018">
        <v>495</v>
      </c>
      <c r="N1018">
        <v>8759</v>
      </c>
      <c r="O1018">
        <v>7</v>
      </c>
      <c r="P1018" t="s">
        <v>27</v>
      </c>
      <c r="Q1018" s="1">
        <v>44483</v>
      </c>
    </row>
    <row r="1019" spans="1:17" x14ac:dyDescent="0.3">
      <c r="A1019" t="s">
        <v>49</v>
      </c>
      <c r="B1019" t="s">
        <v>36</v>
      </c>
      <c r="C1019" t="s">
        <v>16</v>
      </c>
      <c r="D1019" t="s">
        <v>24</v>
      </c>
      <c r="E1019" t="s">
        <v>48</v>
      </c>
      <c r="F1019" s="9">
        <v>0.03</v>
      </c>
      <c r="G1019" s="10">
        <v>14418</v>
      </c>
      <c r="H1019">
        <v>3.64</v>
      </c>
      <c r="I1019" s="5">
        <f>ROUND(Marketing[[#This Row],[Clicks]]*Marketing[[#This Row],[Conversion_Rate]],0)</f>
        <v>7</v>
      </c>
      <c r="J1019" s="12">
        <f>Marketing[[#This Row],[Campaign_Cost]]/Marketing[[#This Row],[Customers]]</f>
        <v>2059.7142857142858</v>
      </c>
      <c r="K1019" t="s">
        <v>25</v>
      </c>
      <c r="L1019" t="s">
        <v>39</v>
      </c>
      <c r="M1019">
        <v>234</v>
      </c>
      <c r="N1019">
        <v>5821</v>
      </c>
      <c r="O1019">
        <v>2</v>
      </c>
      <c r="P1019" t="s">
        <v>27</v>
      </c>
      <c r="Q1019" s="1">
        <v>44484</v>
      </c>
    </row>
    <row r="1020" spans="1:17" x14ac:dyDescent="0.3">
      <c r="A1020" t="s">
        <v>35</v>
      </c>
      <c r="B1020" t="s">
        <v>36</v>
      </c>
      <c r="C1020" t="s">
        <v>23</v>
      </c>
      <c r="D1020" t="s">
        <v>17</v>
      </c>
      <c r="E1020" t="s">
        <v>41</v>
      </c>
      <c r="F1020" s="9">
        <v>0.06</v>
      </c>
      <c r="G1020" s="10">
        <v>17788</v>
      </c>
      <c r="H1020">
        <v>2.52</v>
      </c>
      <c r="I1020" s="5">
        <f>ROUND(Marketing[[#This Row],[Clicks]]*Marketing[[#This Row],[Conversion_Rate]],0)</f>
        <v>44</v>
      </c>
      <c r="J1020" s="12">
        <f>Marketing[[#This Row],[Campaign_Cost]]/Marketing[[#This Row],[Customers]]</f>
        <v>404.27272727272725</v>
      </c>
      <c r="K1020" t="s">
        <v>51</v>
      </c>
      <c r="L1020" t="s">
        <v>39</v>
      </c>
      <c r="M1020">
        <v>729</v>
      </c>
      <c r="N1020">
        <v>4936</v>
      </c>
      <c r="O1020">
        <v>7</v>
      </c>
      <c r="P1020" t="s">
        <v>44</v>
      </c>
      <c r="Q1020" s="1">
        <v>44485</v>
      </c>
    </row>
    <row r="1021" spans="1:17" x14ac:dyDescent="0.3">
      <c r="A1021" t="s">
        <v>28</v>
      </c>
      <c r="B1021" t="s">
        <v>29</v>
      </c>
      <c r="C1021" t="s">
        <v>52</v>
      </c>
      <c r="D1021" t="s">
        <v>46</v>
      </c>
      <c r="E1021" t="s">
        <v>18</v>
      </c>
      <c r="F1021" s="9">
        <v>7.0000000000000007E-2</v>
      </c>
      <c r="G1021" s="10">
        <v>19334</v>
      </c>
      <c r="H1021">
        <v>7.01</v>
      </c>
      <c r="I1021" s="5">
        <f>ROUND(Marketing[[#This Row],[Clicks]]*Marketing[[#This Row],[Conversion_Rate]],0)</f>
        <v>34</v>
      </c>
      <c r="J1021" s="12">
        <f>Marketing[[#This Row],[Campaign_Cost]]/Marketing[[#This Row],[Customers]]</f>
        <v>568.64705882352939</v>
      </c>
      <c r="K1021" t="s">
        <v>38</v>
      </c>
      <c r="L1021" t="s">
        <v>33</v>
      </c>
      <c r="M1021">
        <v>487</v>
      </c>
      <c r="N1021">
        <v>6873</v>
      </c>
      <c r="O1021">
        <v>1</v>
      </c>
      <c r="P1021" t="s">
        <v>34</v>
      </c>
      <c r="Q1021" s="1">
        <v>44486</v>
      </c>
    </row>
    <row r="1022" spans="1:17" x14ac:dyDescent="0.3">
      <c r="A1022" t="s">
        <v>28</v>
      </c>
      <c r="B1022" t="s">
        <v>36</v>
      </c>
      <c r="C1022" t="s">
        <v>23</v>
      </c>
      <c r="D1022" t="s">
        <v>40</v>
      </c>
      <c r="E1022" t="s">
        <v>48</v>
      </c>
      <c r="F1022" s="9">
        <v>0.04</v>
      </c>
      <c r="G1022" s="10">
        <v>14685</v>
      </c>
      <c r="H1022">
        <v>6.88</v>
      </c>
      <c r="I1022" s="5">
        <f>ROUND(Marketing[[#This Row],[Clicks]]*Marketing[[#This Row],[Conversion_Rate]],0)</f>
        <v>13</v>
      </c>
      <c r="J1022" s="12">
        <f>Marketing[[#This Row],[Campaign_Cost]]/Marketing[[#This Row],[Customers]]</f>
        <v>1129.6153846153845</v>
      </c>
      <c r="K1022" t="s">
        <v>38</v>
      </c>
      <c r="L1022" t="s">
        <v>39</v>
      </c>
      <c r="M1022">
        <v>327</v>
      </c>
      <c r="N1022">
        <v>6024</v>
      </c>
      <c r="O1022">
        <v>10</v>
      </c>
      <c r="P1022" t="s">
        <v>42</v>
      </c>
      <c r="Q1022" s="1">
        <v>44487</v>
      </c>
    </row>
    <row r="1023" spans="1:17" x14ac:dyDescent="0.3">
      <c r="A1023" t="s">
        <v>22</v>
      </c>
      <c r="B1023" t="s">
        <v>47</v>
      </c>
      <c r="C1023" t="s">
        <v>37</v>
      </c>
      <c r="D1023" t="s">
        <v>40</v>
      </c>
      <c r="E1023" t="s">
        <v>48</v>
      </c>
      <c r="F1023" s="9">
        <v>0.13</v>
      </c>
      <c r="G1023" s="10">
        <v>16040</v>
      </c>
      <c r="H1023">
        <v>6.74</v>
      </c>
      <c r="I1023" s="5">
        <f>ROUND(Marketing[[#This Row],[Clicks]]*Marketing[[#This Row],[Conversion_Rate]],0)</f>
        <v>109</v>
      </c>
      <c r="J1023" s="12">
        <f>Marketing[[#This Row],[Campaign_Cost]]/Marketing[[#This Row],[Customers]]</f>
        <v>147.1559633027523</v>
      </c>
      <c r="K1023" t="s">
        <v>32</v>
      </c>
      <c r="L1023" t="s">
        <v>20</v>
      </c>
      <c r="M1023">
        <v>837</v>
      </c>
      <c r="N1023">
        <v>7996</v>
      </c>
      <c r="O1023">
        <v>9</v>
      </c>
      <c r="P1023" t="s">
        <v>44</v>
      </c>
      <c r="Q1023" s="1">
        <v>44488</v>
      </c>
    </row>
    <row r="1024" spans="1:17" x14ac:dyDescent="0.3">
      <c r="A1024" t="s">
        <v>28</v>
      </c>
      <c r="B1024" t="s">
        <v>45</v>
      </c>
      <c r="C1024" t="s">
        <v>30</v>
      </c>
      <c r="D1024" t="s">
        <v>46</v>
      </c>
      <c r="E1024" t="s">
        <v>15</v>
      </c>
      <c r="F1024" s="9">
        <v>0.1</v>
      </c>
      <c r="G1024" s="10">
        <v>12268</v>
      </c>
      <c r="H1024">
        <v>4.55</v>
      </c>
      <c r="I1024" s="5">
        <f>ROUND(Marketing[[#This Row],[Clicks]]*Marketing[[#This Row],[Conversion_Rate]],0)</f>
        <v>27</v>
      </c>
      <c r="J1024" s="12">
        <f>Marketing[[#This Row],[Campaign_Cost]]/Marketing[[#This Row],[Customers]]</f>
        <v>454.37037037037038</v>
      </c>
      <c r="K1024" t="s">
        <v>19</v>
      </c>
      <c r="L1024" t="s">
        <v>50</v>
      </c>
      <c r="M1024">
        <v>272</v>
      </c>
      <c r="N1024">
        <v>1605</v>
      </c>
      <c r="O1024">
        <v>5</v>
      </c>
      <c r="P1024" t="s">
        <v>27</v>
      </c>
      <c r="Q1024" s="1">
        <v>44489</v>
      </c>
    </row>
    <row r="1025" spans="1:17" x14ac:dyDescent="0.3">
      <c r="A1025" t="s">
        <v>14</v>
      </c>
      <c r="B1025" t="s">
        <v>47</v>
      </c>
      <c r="C1025" t="s">
        <v>30</v>
      </c>
      <c r="D1025" t="s">
        <v>17</v>
      </c>
      <c r="E1025" t="s">
        <v>15</v>
      </c>
      <c r="F1025" s="9">
        <v>0.08</v>
      </c>
      <c r="G1025" s="10">
        <v>8309</v>
      </c>
      <c r="H1025">
        <v>5.88</v>
      </c>
      <c r="I1025" s="5">
        <f>ROUND(Marketing[[#This Row],[Clicks]]*Marketing[[#This Row],[Conversion_Rate]],0)</f>
        <v>62</v>
      </c>
      <c r="J1025" s="12">
        <f>Marketing[[#This Row],[Campaign_Cost]]/Marketing[[#This Row],[Customers]]</f>
        <v>134.01612903225808</v>
      </c>
      <c r="K1025" t="s">
        <v>51</v>
      </c>
      <c r="L1025" t="s">
        <v>26</v>
      </c>
      <c r="M1025">
        <v>772</v>
      </c>
      <c r="N1025">
        <v>4733</v>
      </c>
      <c r="O1025">
        <v>10</v>
      </c>
      <c r="P1025" t="s">
        <v>21</v>
      </c>
      <c r="Q1025" s="1">
        <v>44490</v>
      </c>
    </row>
    <row r="1026" spans="1:17" x14ac:dyDescent="0.3">
      <c r="A1026" t="s">
        <v>22</v>
      </c>
      <c r="B1026" t="s">
        <v>29</v>
      </c>
      <c r="C1026" t="s">
        <v>30</v>
      </c>
      <c r="D1026" t="s">
        <v>46</v>
      </c>
      <c r="E1026" t="s">
        <v>43</v>
      </c>
      <c r="F1026" s="9">
        <v>0.09</v>
      </c>
      <c r="G1026" s="10">
        <v>11797</v>
      </c>
      <c r="H1026">
        <v>5.71</v>
      </c>
      <c r="I1026" s="5">
        <f>ROUND(Marketing[[#This Row],[Clicks]]*Marketing[[#This Row],[Conversion_Rate]],0)</f>
        <v>55</v>
      </c>
      <c r="J1026" s="12">
        <f>Marketing[[#This Row],[Campaign_Cost]]/Marketing[[#This Row],[Customers]]</f>
        <v>214.4909090909091</v>
      </c>
      <c r="K1026" t="s">
        <v>38</v>
      </c>
      <c r="L1026" t="s">
        <v>26</v>
      </c>
      <c r="M1026">
        <v>611</v>
      </c>
      <c r="N1026">
        <v>7630</v>
      </c>
      <c r="O1026">
        <v>4</v>
      </c>
      <c r="P1026" t="s">
        <v>34</v>
      </c>
      <c r="Q1026" s="1">
        <v>44491</v>
      </c>
    </row>
    <row r="1027" spans="1:17" x14ac:dyDescent="0.3">
      <c r="A1027" t="s">
        <v>28</v>
      </c>
      <c r="B1027" t="s">
        <v>15</v>
      </c>
      <c r="C1027" t="s">
        <v>16</v>
      </c>
      <c r="D1027" t="s">
        <v>40</v>
      </c>
      <c r="E1027" t="s">
        <v>18</v>
      </c>
      <c r="F1027" s="9">
        <v>0.1</v>
      </c>
      <c r="G1027" s="10">
        <v>7479</v>
      </c>
      <c r="H1027">
        <v>3.24</v>
      </c>
      <c r="I1027" s="5">
        <f>ROUND(Marketing[[#This Row],[Clicks]]*Marketing[[#This Row],[Conversion_Rate]],0)</f>
        <v>73</v>
      </c>
      <c r="J1027" s="12">
        <f>Marketing[[#This Row],[Campaign_Cost]]/Marketing[[#This Row],[Customers]]</f>
        <v>102.45205479452055</v>
      </c>
      <c r="K1027" t="s">
        <v>32</v>
      </c>
      <c r="L1027" t="s">
        <v>39</v>
      </c>
      <c r="M1027">
        <v>725</v>
      </c>
      <c r="N1027">
        <v>2489</v>
      </c>
      <c r="O1027">
        <v>4</v>
      </c>
      <c r="P1027" t="s">
        <v>27</v>
      </c>
      <c r="Q1027" s="1">
        <v>44492</v>
      </c>
    </row>
    <row r="1028" spans="1:17" x14ac:dyDescent="0.3">
      <c r="A1028" t="s">
        <v>14</v>
      </c>
      <c r="B1028" t="s">
        <v>45</v>
      </c>
      <c r="C1028" t="s">
        <v>30</v>
      </c>
      <c r="D1028" t="s">
        <v>40</v>
      </c>
      <c r="E1028" t="s">
        <v>31</v>
      </c>
      <c r="F1028" s="9">
        <v>0.13</v>
      </c>
      <c r="G1028" s="10">
        <v>17003</v>
      </c>
      <c r="H1028">
        <v>7.58</v>
      </c>
      <c r="I1028" s="5">
        <f>ROUND(Marketing[[#This Row],[Clicks]]*Marketing[[#This Row],[Conversion_Rate]],0)</f>
        <v>98</v>
      </c>
      <c r="J1028" s="12">
        <f>Marketing[[#This Row],[Campaign_Cost]]/Marketing[[#This Row],[Customers]]</f>
        <v>173.5</v>
      </c>
      <c r="K1028" t="s">
        <v>25</v>
      </c>
      <c r="L1028" t="s">
        <v>20</v>
      </c>
      <c r="M1028">
        <v>755</v>
      </c>
      <c r="N1028">
        <v>8216</v>
      </c>
      <c r="O1028">
        <v>3</v>
      </c>
      <c r="P1028" t="s">
        <v>21</v>
      </c>
      <c r="Q1028" s="1">
        <v>44493</v>
      </c>
    </row>
    <row r="1029" spans="1:17" x14ac:dyDescent="0.3">
      <c r="A1029" t="s">
        <v>49</v>
      </c>
      <c r="B1029" t="s">
        <v>36</v>
      </c>
      <c r="C1029" t="s">
        <v>16</v>
      </c>
      <c r="D1029" t="s">
        <v>46</v>
      </c>
      <c r="E1029" t="s">
        <v>31</v>
      </c>
      <c r="F1029" s="9">
        <v>7.0000000000000007E-2</v>
      </c>
      <c r="G1029" s="10">
        <v>10731</v>
      </c>
      <c r="H1029">
        <v>7.32</v>
      </c>
      <c r="I1029" s="5">
        <f>ROUND(Marketing[[#This Row],[Clicks]]*Marketing[[#This Row],[Conversion_Rate]],0)</f>
        <v>60</v>
      </c>
      <c r="J1029" s="12">
        <f>Marketing[[#This Row],[Campaign_Cost]]/Marketing[[#This Row],[Customers]]</f>
        <v>178.85</v>
      </c>
      <c r="K1029" t="s">
        <v>19</v>
      </c>
      <c r="L1029" t="s">
        <v>50</v>
      </c>
      <c r="M1029">
        <v>857</v>
      </c>
      <c r="N1029">
        <v>2466</v>
      </c>
      <c r="O1029">
        <v>10</v>
      </c>
      <c r="P1029" t="s">
        <v>34</v>
      </c>
      <c r="Q1029" s="1">
        <v>44494</v>
      </c>
    </row>
    <row r="1030" spans="1:17" x14ac:dyDescent="0.3">
      <c r="A1030" t="s">
        <v>14</v>
      </c>
      <c r="B1030" t="s">
        <v>45</v>
      </c>
      <c r="C1030" t="s">
        <v>23</v>
      </c>
      <c r="D1030" t="s">
        <v>46</v>
      </c>
      <c r="E1030" t="s">
        <v>15</v>
      </c>
      <c r="F1030" s="9">
        <v>0.04</v>
      </c>
      <c r="G1030" s="10">
        <v>9273</v>
      </c>
      <c r="H1030">
        <v>5.0199999999999996</v>
      </c>
      <c r="I1030" s="5">
        <f>ROUND(Marketing[[#This Row],[Clicks]]*Marketing[[#This Row],[Conversion_Rate]],0)</f>
        <v>36</v>
      </c>
      <c r="J1030" s="12">
        <f>Marketing[[#This Row],[Campaign_Cost]]/Marketing[[#This Row],[Customers]]</f>
        <v>257.58333333333331</v>
      </c>
      <c r="K1030" t="s">
        <v>51</v>
      </c>
      <c r="L1030" t="s">
        <v>50</v>
      </c>
      <c r="M1030">
        <v>911</v>
      </c>
      <c r="N1030">
        <v>8189</v>
      </c>
      <c r="O1030">
        <v>4</v>
      </c>
      <c r="P1030" t="s">
        <v>42</v>
      </c>
      <c r="Q1030" s="1">
        <v>44495</v>
      </c>
    </row>
    <row r="1031" spans="1:17" x14ac:dyDescent="0.3">
      <c r="A1031" t="s">
        <v>28</v>
      </c>
      <c r="B1031" t="s">
        <v>45</v>
      </c>
      <c r="C1031" t="s">
        <v>30</v>
      </c>
      <c r="D1031" t="s">
        <v>46</v>
      </c>
      <c r="E1031" t="s">
        <v>15</v>
      </c>
      <c r="F1031" s="9">
        <v>7.0000000000000007E-2</v>
      </c>
      <c r="G1031" s="10">
        <v>15180</v>
      </c>
      <c r="H1031">
        <v>4.08</v>
      </c>
      <c r="I1031" s="5">
        <f>ROUND(Marketing[[#This Row],[Clicks]]*Marketing[[#This Row],[Conversion_Rate]],0)</f>
        <v>31</v>
      </c>
      <c r="J1031" s="12">
        <f>Marketing[[#This Row],[Campaign_Cost]]/Marketing[[#This Row],[Customers]]</f>
        <v>489.67741935483872</v>
      </c>
      <c r="K1031" t="s">
        <v>51</v>
      </c>
      <c r="L1031" t="s">
        <v>20</v>
      </c>
      <c r="M1031">
        <v>449</v>
      </c>
      <c r="N1031">
        <v>8299</v>
      </c>
      <c r="O1031">
        <v>10</v>
      </c>
      <c r="P1031" t="s">
        <v>42</v>
      </c>
      <c r="Q1031" s="1">
        <v>44496</v>
      </c>
    </row>
    <row r="1032" spans="1:17" x14ac:dyDescent="0.3">
      <c r="A1032" t="s">
        <v>28</v>
      </c>
      <c r="B1032" t="s">
        <v>36</v>
      </c>
      <c r="C1032" t="s">
        <v>37</v>
      </c>
      <c r="D1032" t="s">
        <v>17</v>
      </c>
      <c r="E1032" t="s">
        <v>41</v>
      </c>
      <c r="F1032" s="9">
        <v>0.13</v>
      </c>
      <c r="G1032" s="10">
        <v>7471</v>
      </c>
      <c r="H1032">
        <v>7.43</v>
      </c>
      <c r="I1032" s="5">
        <f>ROUND(Marketing[[#This Row],[Clicks]]*Marketing[[#This Row],[Conversion_Rate]],0)</f>
        <v>67</v>
      </c>
      <c r="J1032" s="12">
        <f>Marketing[[#This Row],[Campaign_Cost]]/Marketing[[#This Row],[Customers]]</f>
        <v>111.50746268656717</v>
      </c>
      <c r="K1032" t="s">
        <v>19</v>
      </c>
      <c r="L1032" t="s">
        <v>50</v>
      </c>
      <c r="M1032">
        <v>517</v>
      </c>
      <c r="N1032">
        <v>8909</v>
      </c>
      <c r="O1032">
        <v>1</v>
      </c>
      <c r="P1032" t="s">
        <v>21</v>
      </c>
      <c r="Q1032" s="1">
        <v>44497</v>
      </c>
    </row>
    <row r="1033" spans="1:17" x14ac:dyDescent="0.3">
      <c r="A1033" t="s">
        <v>49</v>
      </c>
      <c r="B1033" t="s">
        <v>29</v>
      </c>
      <c r="C1033" t="s">
        <v>37</v>
      </c>
      <c r="D1033" t="s">
        <v>40</v>
      </c>
      <c r="E1033" t="s">
        <v>18</v>
      </c>
      <c r="F1033" s="9">
        <v>0.02</v>
      </c>
      <c r="G1033" s="10">
        <v>16533</v>
      </c>
      <c r="H1033">
        <v>3.66</v>
      </c>
      <c r="I1033" s="5">
        <f>ROUND(Marketing[[#This Row],[Clicks]]*Marketing[[#This Row],[Conversion_Rate]],0)</f>
        <v>9</v>
      </c>
      <c r="J1033" s="12">
        <f>Marketing[[#This Row],[Campaign_Cost]]/Marketing[[#This Row],[Customers]]</f>
        <v>1837</v>
      </c>
      <c r="K1033" t="s">
        <v>32</v>
      </c>
      <c r="L1033" t="s">
        <v>39</v>
      </c>
      <c r="M1033">
        <v>443</v>
      </c>
      <c r="N1033">
        <v>8182</v>
      </c>
      <c r="O1033">
        <v>6</v>
      </c>
      <c r="P1033" t="s">
        <v>34</v>
      </c>
      <c r="Q1033" s="1">
        <v>44498</v>
      </c>
    </row>
    <row r="1034" spans="1:17" x14ac:dyDescent="0.3">
      <c r="A1034" t="s">
        <v>35</v>
      </c>
      <c r="B1034" t="s">
        <v>29</v>
      </c>
      <c r="C1034" t="s">
        <v>37</v>
      </c>
      <c r="D1034" t="s">
        <v>40</v>
      </c>
      <c r="E1034" t="s">
        <v>18</v>
      </c>
      <c r="F1034" s="9">
        <v>0.06</v>
      </c>
      <c r="G1034" s="10">
        <v>10500</v>
      </c>
      <c r="H1034">
        <v>2.0299999999999998</v>
      </c>
      <c r="I1034" s="5">
        <f>ROUND(Marketing[[#This Row],[Clicks]]*Marketing[[#This Row],[Conversion_Rate]],0)</f>
        <v>26</v>
      </c>
      <c r="J1034" s="12">
        <f>Marketing[[#This Row],[Campaign_Cost]]/Marketing[[#This Row],[Customers]]</f>
        <v>403.84615384615387</v>
      </c>
      <c r="K1034" t="s">
        <v>19</v>
      </c>
      <c r="L1034" t="s">
        <v>50</v>
      </c>
      <c r="M1034">
        <v>432</v>
      </c>
      <c r="N1034">
        <v>8910</v>
      </c>
      <c r="O1034">
        <v>5</v>
      </c>
      <c r="P1034" t="s">
        <v>27</v>
      </c>
      <c r="Q1034" s="1">
        <v>44499</v>
      </c>
    </row>
    <row r="1035" spans="1:17" x14ac:dyDescent="0.3">
      <c r="A1035" t="s">
        <v>49</v>
      </c>
      <c r="B1035" t="s">
        <v>15</v>
      </c>
      <c r="C1035" t="s">
        <v>30</v>
      </c>
      <c r="D1035" t="s">
        <v>46</v>
      </c>
      <c r="E1035" t="s">
        <v>43</v>
      </c>
      <c r="F1035" s="9">
        <v>0.13</v>
      </c>
      <c r="G1035" s="10">
        <v>13760</v>
      </c>
      <c r="H1035">
        <v>5.04</v>
      </c>
      <c r="I1035" s="5">
        <f>ROUND(Marketing[[#This Row],[Clicks]]*Marketing[[#This Row],[Conversion_Rate]],0)</f>
        <v>119</v>
      </c>
      <c r="J1035" s="12">
        <f>Marketing[[#This Row],[Campaign_Cost]]/Marketing[[#This Row],[Customers]]</f>
        <v>115.63025210084034</v>
      </c>
      <c r="K1035" t="s">
        <v>32</v>
      </c>
      <c r="L1035" t="s">
        <v>33</v>
      </c>
      <c r="M1035">
        <v>914</v>
      </c>
      <c r="N1035">
        <v>3650</v>
      </c>
      <c r="O1035">
        <v>6</v>
      </c>
      <c r="P1035" t="s">
        <v>27</v>
      </c>
      <c r="Q1035" s="1">
        <v>44500</v>
      </c>
    </row>
    <row r="1036" spans="1:17" x14ac:dyDescent="0.3">
      <c r="A1036" t="s">
        <v>28</v>
      </c>
      <c r="B1036" t="s">
        <v>29</v>
      </c>
      <c r="C1036" t="s">
        <v>23</v>
      </c>
      <c r="D1036" t="s">
        <v>17</v>
      </c>
      <c r="E1036" t="s">
        <v>48</v>
      </c>
      <c r="F1036" s="9">
        <v>0.02</v>
      </c>
      <c r="G1036" s="10">
        <v>7578</v>
      </c>
      <c r="H1036">
        <v>2.71</v>
      </c>
      <c r="I1036" s="5">
        <f>ROUND(Marketing[[#This Row],[Clicks]]*Marketing[[#This Row],[Conversion_Rate]],0)</f>
        <v>19</v>
      </c>
      <c r="J1036" s="12">
        <f>Marketing[[#This Row],[Campaign_Cost]]/Marketing[[#This Row],[Customers]]</f>
        <v>398.84210526315792</v>
      </c>
      <c r="K1036" t="s">
        <v>32</v>
      </c>
      <c r="L1036" t="s">
        <v>26</v>
      </c>
      <c r="M1036">
        <v>952</v>
      </c>
      <c r="N1036">
        <v>6371</v>
      </c>
      <c r="O1036">
        <v>6</v>
      </c>
      <c r="P1036" t="s">
        <v>34</v>
      </c>
      <c r="Q1036" s="1">
        <v>44501</v>
      </c>
    </row>
    <row r="1037" spans="1:17" x14ac:dyDescent="0.3">
      <c r="A1037" t="s">
        <v>35</v>
      </c>
      <c r="B1037" t="s">
        <v>47</v>
      </c>
      <c r="C1037" t="s">
        <v>52</v>
      </c>
      <c r="D1037" t="s">
        <v>46</v>
      </c>
      <c r="E1037" t="s">
        <v>48</v>
      </c>
      <c r="F1037" s="9">
        <v>0.13</v>
      </c>
      <c r="G1037" s="10">
        <v>19947</v>
      </c>
      <c r="H1037">
        <v>2.99</v>
      </c>
      <c r="I1037" s="5">
        <f>ROUND(Marketing[[#This Row],[Clicks]]*Marketing[[#This Row],[Conversion_Rate]],0)</f>
        <v>103</v>
      </c>
      <c r="J1037" s="12">
        <f>Marketing[[#This Row],[Campaign_Cost]]/Marketing[[#This Row],[Customers]]</f>
        <v>193.66019417475729</v>
      </c>
      <c r="K1037" t="s">
        <v>25</v>
      </c>
      <c r="L1037" t="s">
        <v>20</v>
      </c>
      <c r="M1037">
        <v>792</v>
      </c>
      <c r="N1037">
        <v>1952</v>
      </c>
      <c r="O1037">
        <v>10</v>
      </c>
      <c r="P1037" t="s">
        <v>27</v>
      </c>
      <c r="Q1037" s="1">
        <v>44502</v>
      </c>
    </row>
    <row r="1038" spans="1:17" x14ac:dyDescent="0.3">
      <c r="A1038" t="s">
        <v>22</v>
      </c>
      <c r="B1038" t="s">
        <v>36</v>
      </c>
      <c r="C1038" t="s">
        <v>16</v>
      </c>
      <c r="D1038" t="s">
        <v>17</v>
      </c>
      <c r="E1038" t="s">
        <v>15</v>
      </c>
      <c r="F1038" s="9">
        <v>0.06</v>
      </c>
      <c r="G1038" s="10">
        <v>15339</v>
      </c>
      <c r="H1038">
        <v>4.6100000000000003</v>
      </c>
      <c r="I1038" s="5">
        <f>ROUND(Marketing[[#This Row],[Clicks]]*Marketing[[#This Row],[Conversion_Rate]],0)</f>
        <v>60</v>
      </c>
      <c r="J1038" s="12">
        <f>Marketing[[#This Row],[Campaign_Cost]]/Marketing[[#This Row],[Customers]]</f>
        <v>255.65</v>
      </c>
      <c r="K1038" t="s">
        <v>32</v>
      </c>
      <c r="L1038" t="s">
        <v>39</v>
      </c>
      <c r="M1038">
        <v>998</v>
      </c>
      <c r="N1038">
        <v>8871</v>
      </c>
      <c r="O1038">
        <v>4</v>
      </c>
      <c r="P1038" t="s">
        <v>21</v>
      </c>
      <c r="Q1038" s="1">
        <v>44503</v>
      </c>
    </row>
    <row r="1039" spans="1:17" x14ac:dyDescent="0.3">
      <c r="A1039" t="s">
        <v>49</v>
      </c>
      <c r="B1039" t="s">
        <v>45</v>
      </c>
      <c r="C1039" t="s">
        <v>16</v>
      </c>
      <c r="D1039" t="s">
        <v>46</v>
      </c>
      <c r="E1039" t="s">
        <v>41</v>
      </c>
      <c r="F1039" s="9">
        <v>0.13</v>
      </c>
      <c r="G1039" s="10">
        <v>18421</v>
      </c>
      <c r="H1039">
        <v>7.95</v>
      </c>
      <c r="I1039" s="5">
        <f>ROUND(Marketing[[#This Row],[Clicks]]*Marketing[[#This Row],[Conversion_Rate]],0)</f>
        <v>45</v>
      </c>
      <c r="J1039" s="12">
        <f>Marketing[[#This Row],[Campaign_Cost]]/Marketing[[#This Row],[Customers]]</f>
        <v>409.35555555555555</v>
      </c>
      <c r="K1039" t="s">
        <v>32</v>
      </c>
      <c r="L1039" t="s">
        <v>20</v>
      </c>
      <c r="M1039">
        <v>343</v>
      </c>
      <c r="N1039">
        <v>1181</v>
      </c>
      <c r="O1039">
        <v>4</v>
      </c>
      <c r="P1039" t="s">
        <v>21</v>
      </c>
      <c r="Q1039" s="1">
        <v>44504</v>
      </c>
    </row>
    <row r="1040" spans="1:17" x14ac:dyDescent="0.3">
      <c r="A1040" t="s">
        <v>22</v>
      </c>
      <c r="B1040" t="s">
        <v>15</v>
      </c>
      <c r="C1040" t="s">
        <v>37</v>
      </c>
      <c r="D1040" t="s">
        <v>24</v>
      </c>
      <c r="E1040" t="s">
        <v>48</v>
      </c>
      <c r="F1040" s="9">
        <v>0.11</v>
      </c>
      <c r="G1040" s="10">
        <v>6121</v>
      </c>
      <c r="H1040">
        <v>5.58</v>
      </c>
      <c r="I1040" s="5">
        <f>ROUND(Marketing[[#This Row],[Clicks]]*Marketing[[#This Row],[Conversion_Rate]],0)</f>
        <v>100</v>
      </c>
      <c r="J1040" s="12">
        <f>Marketing[[#This Row],[Campaign_Cost]]/Marketing[[#This Row],[Customers]]</f>
        <v>61.21</v>
      </c>
      <c r="K1040" t="s">
        <v>19</v>
      </c>
      <c r="L1040" t="s">
        <v>39</v>
      </c>
      <c r="M1040">
        <v>913</v>
      </c>
      <c r="N1040">
        <v>6420</v>
      </c>
      <c r="O1040">
        <v>7</v>
      </c>
      <c r="P1040" t="s">
        <v>42</v>
      </c>
      <c r="Q1040" s="1">
        <v>44505</v>
      </c>
    </row>
    <row r="1041" spans="1:17" x14ac:dyDescent="0.3">
      <c r="A1041" t="s">
        <v>14</v>
      </c>
      <c r="B1041" t="s">
        <v>47</v>
      </c>
      <c r="C1041" t="s">
        <v>23</v>
      </c>
      <c r="D1041" t="s">
        <v>46</v>
      </c>
      <c r="E1041" t="s">
        <v>15</v>
      </c>
      <c r="F1041" s="9">
        <v>0.12</v>
      </c>
      <c r="G1041" s="10">
        <v>5650</v>
      </c>
      <c r="H1041">
        <v>5.47</v>
      </c>
      <c r="I1041" s="5">
        <f>ROUND(Marketing[[#This Row],[Clicks]]*Marketing[[#This Row],[Conversion_Rate]],0)</f>
        <v>60</v>
      </c>
      <c r="J1041" s="12">
        <f>Marketing[[#This Row],[Campaign_Cost]]/Marketing[[#This Row],[Customers]]</f>
        <v>94.166666666666671</v>
      </c>
      <c r="K1041" t="s">
        <v>32</v>
      </c>
      <c r="L1041" t="s">
        <v>33</v>
      </c>
      <c r="M1041">
        <v>500</v>
      </c>
      <c r="N1041">
        <v>4548</v>
      </c>
      <c r="O1041">
        <v>8</v>
      </c>
      <c r="P1041" t="s">
        <v>27</v>
      </c>
      <c r="Q1041" s="1">
        <v>44506</v>
      </c>
    </row>
    <row r="1042" spans="1:17" x14ac:dyDescent="0.3">
      <c r="A1042" t="s">
        <v>49</v>
      </c>
      <c r="B1042" t="s">
        <v>45</v>
      </c>
      <c r="C1042" t="s">
        <v>52</v>
      </c>
      <c r="D1042" t="s">
        <v>46</v>
      </c>
      <c r="E1042" t="s">
        <v>48</v>
      </c>
      <c r="F1042" s="9">
        <v>0.04</v>
      </c>
      <c r="G1042" s="10">
        <v>19324</v>
      </c>
      <c r="H1042">
        <v>7.98</v>
      </c>
      <c r="I1042" s="5">
        <f>ROUND(Marketing[[#This Row],[Clicks]]*Marketing[[#This Row],[Conversion_Rate]],0)</f>
        <v>35</v>
      </c>
      <c r="J1042" s="12">
        <f>Marketing[[#This Row],[Campaign_Cost]]/Marketing[[#This Row],[Customers]]</f>
        <v>552.11428571428576</v>
      </c>
      <c r="K1042" t="s">
        <v>51</v>
      </c>
      <c r="L1042" t="s">
        <v>33</v>
      </c>
      <c r="M1042">
        <v>886</v>
      </c>
      <c r="N1042">
        <v>2683</v>
      </c>
      <c r="O1042">
        <v>7</v>
      </c>
      <c r="P1042" t="s">
        <v>34</v>
      </c>
      <c r="Q1042" s="1">
        <v>44507</v>
      </c>
    </row>
    <row r="1043" spans="1:17" x14ac:dyDescent="0.3">
      <c r="A1043" t="s">
        <v>35</v>
      </c>
      <c r="B1043" t="s">
        <v>29</v>
      </c>
      <c r="C1043" t="s">
        <v>52</v>
      </c>
      <c r="D1043" t="s">
        <v>46</v>
      </c>
      <c r="E1043" t="s">
        <v>43</v>
      </c>
      <c r="F1043" s="9">
        <v>0.01</v>
      </c>
      <c r="G1043" s="10">
        <v>5402</v>
      </c>
      <c r="H1043">
        <v>3.93</v>
      </c>
      <c r="I1043" s="5">
        <f>ROUND(Marketing[[#This Row],[Clicks]]*Marketing[[#This Row],[Conversion_Rate]],0)</f>
        <v>2</v>
      </c>
      <c r="J1043" s="12">
        <f>Marketing[[#This Row],[Campaign_Cost]]/Marketing[[#This Row],[Customers]]</f>
        <v>2701</v>
      </c>
      <c r="K1043" t="s">
        <v>51</v>
      </c>
      <c r="L1043" t="s">
        <v>33</v>
      </c>
      <c r="M1043">
        <v>169</v>
      </c>
      <c r="N1043">
        <v>2894</v>
      </c>
      <c r="O1043">
        <v>5</v>
      </c>
      <c r="P1043" t="s">
        <v>21</v>
      </c>
      <c r="Q1043" s="1">
        <v>44508</v>
      </c>
    </row>
    <row r="1044" spans="1:17" x14ac:dyDescent="0.3">
      <c r="A1044" t="s">
        <v>35</v>
      </c>
      <c r="B1044" t="s">
        <v>36</v>
      </c>
      <c r="C1044" t="s">
        <v>16</v>
      </c>
      <c r="D1044" t="s">
        <v>46</v>
      </c>
      <c r="E1044" t="s">
        <v>41</v>
      </c>
      <c r="F1044" s="9">
        <v>7.0000000000000007E-2</v>
      </c>
      <c r="G1044" s="10">
        <v>14266</v>
      </c>
      <c r="H1044">
        <v>5.45</v>
      </c>
      <c r="I1044" s="5">
        <f>ROUND(Marketing[[#This Row],[Clicks]]*Marketing[[#This Row],[Conversion_Rate]],0)</f>
        <v>8</v>
      </c>
      <c r="J1044" s="12">
        <f>Marketing[[#This Row],[Campaign_Cost]]/Marketing[[#This Row],[Customers]]</f>
        <v>1783.25</v>
      </c>
      <c r="K1044" t="s">
        <v>51</v>
      </c>
      <c r="L1044" t="s">
        <v>20</v>
      </c>
      <c r="M1044">
        <v>115</v>
      </c>
      <c r="N1044">
        <v>3055</v>
      </c>
      <c r="O1044">
        <v>4</v>
      </c>
      <c r="P1044" t="s">
        <v>42</v>
      </c>
      <c r="Q1044" s="1">
        <v>44509</v>
      </c>
    </row>
    <row r="1045" spans="1:17" x14ac:dyDescent="0.3">
      <c r="A1045" t="s">
        <v>49</v>
      </c>
      <c r="B1045" t="s">
        <v>36</v>
      </c>
      <c r="C1045" t="s">
        <v>52</v>
      </c>
      <c r="D1045" t="s">
        <v>24</v>
      </c>
      <c r="E1045" t="s">
        <v>41</v>
      </c>
      <c r="F1045" s="9">
        <v>0.06</v>
      </c>
      <c r="G1045" s="10">
        <v>11083</v>
      </c>
      <c r="H1045">
        <v>6.26</v>
      </c>
      <c r="I1045" s="5">
        <f>ROUND(Marketing[[#This Row],[Clicks]]*Marketing[[#This Row],[Conversion_Rate]],0)</f>
        <v>42</v>
      </c>
      <c r="J1045" s="12">
        <f>Marketing[[#This Row],[Campaign_Cost]]/Marketing[[#This Row],[Customers]]</f>
        <v>263.88095238095241</v>
      </c>
      <c r="K1045" t="s">
        <v>32</v>
      </c>
      <c r="L1045" t="s">
        <v>26</v>
      </c>
      <c r="M1045">
        <v>708</v>
      </c>
      <c r="N1045">
        <v>6009</v>
      </c>
      <c r="O1045">
        <v>1</v>
      </c>
      <c r="P1045" t="s">
        <v>27</v>
      </c>
      <c r="Q1045" s="1">
        <v>44510</v>
      </c>
    </row>
    <row r="1046" spans="1:17" x14ac:dyDescent="0.3">
      <c r="A1046" t="s">
        <v>28</v>
      </c>
      <c r="B1046" t="s">
        <v>29</v>
      </c>
      <c r="C1046" t="s">
        <v>30</v>
      </c>
      <c r="D1046" t="s">
        <v>24</v>
      </c>
      <c r="E1046" t="s">
        <v>43</v>
      </c>
      <c r="F1046" s="9">
        <v>0.11</v>
      </c>
      <c r="G1046" s="10">
        <v>9871</v>
      </c>
      <c r="H1046">
        <v>5.16</v>
      </c>
      <c r="I1046" s="5">
        <f>ROUND(Marketing[[#This Row],[Clicks]]*Marketing[[#This Row],[Conversion_Rate]],0)</f>
        <v>81</v>
      </c>
      <c r="J1046" s="12">
        <f>Marketing[[#This Row],[Campaign_Cost]]/Marketing[[#This Row],[Customers]]</f>
        <v>121.8641975308642</v>
      </c>
      <c r="K1046" t="s">
        <v>19</v>
      </c>
      <c r="L1046" t="s">
        <v>33</v>
      </c>
      <c r="M1046">
        <v>738</v>
      </c>
      <c r="N1046">
        <v>1895</v>
      </c>
      <c r="O1046">
        <v>8</v>
      </c>
      <c r="P1046" t="s">
        <v>42</v>
      </c>
      <c r="Q1046" s="1">
        <v>44511</v>
      </c>
    </row>
    <row r="1047" spans="1:17" x14ac:dyDescent="0.3">
      <c r="A1047" t="s">
        <v>35</v>
      </c>
      <c r="B1047" t="s">
        <v>29</v>
      </c>
      <c r="C1047" t="s">
        <v>23</v>
      </c>
      <c r="D1047" t="s">
        <v>17</v>
      </c>
      <c r="E1047" t="s">
        <v>18</v>
      </c>
      <c r="F1047" s="9">
        <v>0.13</v>
      </c>
      <c r="G1047" s="10">
        <v>5661</v>
      </c>
      <c r="H1047">
        <v>3.42</v>
      </c>
      <c r="I1047" s="5">
        <f>ROUND(Marketing[[#This Row],[Clicks]]*Marketing[[#This Row],[Conversion_Rate]],0)</f>
        <v>119</v>
      </c>
      <c r="J1047" s="12">
        <f>Marketing[[#This Row],[Campaign_Cost]]/Marketing[[#This Row],[Customers]]</f>
        <v>47.571428571428569</v>
      </c>
      <c r="K1047" t="s">
        <v>32</v>
      </c>
      <c r="L1047" t="s">
        <v>39</v>
      </c>
      <c r="M1047">
        <v>913</v>
      </c>
      <c r="N1047">
        <v>6158</v>
      </c>
      <c r="O1047">
        <v>1</v>
      </c>
      <c r="P1047" t="s">
        <v>42</v>
      </c>
      <c r="Q1047" s="1">
        <v>44512</v>
      </c>
    </row>
    <row r="1048" spans="1:17" x14ac:dyDescent="0.3">
      <c r="A1048" t="s">
        <v>35</v>
      </c>
      <c r="B1048" t="s">
        <v>47</v>
      </c>
      <c r="C1048" t="s">
        <v>30</v>
      </c>
      <c r="D1048" t="s">
        <v>24</v>
      </c>
      <c r="E1048" t="s">
        <v>18</v>
      </c>
      <c r="F1048" s="9">
        <v>0.03</v>
      </c>
      <c r="G1048" s="10">
        <v>6384</v>
      </c>
      <c r="H1048">
        <v>5.66</v>
      </c>
      <c r="I1048" s="5">
        <f>ROUND(Marketing[[#This Row],[Clicks]]*Marketing[[#This Row],[Conversion_Rate]],0)</f>
        <v>18</v>
      </c>
      <c r="J1048" s="12">
        <f>Marketing[[#This Row],[Campaign_Cost]]/Marketing[[#This Row],[Customers]]</f>
        <v>354.66666666666669</v>
      </c>
      <c r="K1048" t="s">
        <v>25</v>
      </c>
      <c r="L1048" t="s">
        <v>33</v>
      </c>
      <c r="M1048">
        <v>605</v>
      </c>
      <c r="N1048">
        <v>3563</v>
      </c>
      <c r="O1048">
        <v>6</v>
      </c>
      <c r="P1048" t="s">
        <v>27</v>
      </c>
      <c r="Q1048" s="1">
        <v>44513</v>
      </c>
    </row>
    <row r="1049" spans="1:17" x14ac:dyDescent="0.3">
      <c r="A1049" t="s">
        <v>28</v>
      </c>
      <c r="B1049" t="s">
        <v>36</v>
      </c>
      <c r="C1049" t="s">
        <v>52</v>
      </c>
      <c r="D1049" t="s">
        <v>40</v>
      </c>
      <c r="E1049" t="s">
        <v>43</v>
      </c>
      <c r="F1049" s="9">
        <v>0.13</v>
      </c>
      <c r="G1049" s="10">
        <v>17513</v>
      </c>
      <c r="H1049">
        <v>7.32</v>
      </c>
      <c r="I1049" s="5">
        <f>ROUND(Marketing[[#This Row],[Clicks]]*Marketing[[#This Row],[Conversion_Rate]],0)</f>
        <v>125</v>
      </c>
      <c r="J1049" s="12">
        <f>Marketing[[#This Row],[Campaign_Cost]]/Marketing[[#This Row],[Customers]]</f>
        <v>140.10400000000001</v>
      </c>
      <c r="K1049" t="s">
        <v>32</v>
      </c>
      <c r="L1049" t="s">
        <v>26</v>
      </c>
      <c r="M1049">
        <v>958</v>
      </c>
      <c r="N1049">
        <v>5905</v>
      </c>
      <c r="O1049">
        <v>1</v>
      </c>
      <c r="P1049" t="s">
        <v>34</v>
      </c>
      <c r="Q1049" s="1">
        <v>44514</v>
      </c>
    </row>
    <row r="1050" spans="1:17" x14ac:dyDescent="0.3">
      <c r="A1050" t="s">
        <v>35</v>
      </c>
      <c r="B1050" t="s">
        <v>36</v>
      </c>
      <c r="C1050" t="s">
        <v>37</v>
      </c>
      <c r="D1050" t="s">
        <v>24</v>
      </c>
      <c r="E1050" t="s">
        <v>18</v>
      </c>
      <c r="F1050" s="9">
        <v>0.08</v>
      </c>
      <c r="G1050" s="10">
        <v>14596</v>
      </c>
      <c r="H1050">
        <v>2.0499999999999998</v>
      </c>
      <c r="I1050" s="5">
        <f>ROUND(Marketing[[#This Row],[Clicks]]*Marketing[[#This Row],[Conversion_Rate]],0)</f>
        <v>51</v>
      </c>
      <c r="J1050" s="12">
        <f>Marketing[[#This Row],[Campaign_Cost]]/Marketing[[#This Row],[Customers]]</f>
        <v>286.19607843137254</v>
      </c>
      <c r="K1050" t="s">
        <v>51</v>
      </c>
      <c r="L1050" t="s">
        <v>50</v>
      </c>
      <c r="M1050">
        <v>637</v>
      </c>
      <c r="N1050">
        <v>4212</v>
      </c>
      <c r="O1050">
        <v>9</v>
      </c>
      <c r="P1050" t="s">
        <v>27</v>
      </c>
      <c r="Q1050" s="1">
        <v>44515</v>
      </c>
    </row>
    <row r="1051" spans="1:17" x14ac:dyDescent="0.3">
      <c r="A1051" t="s">
        <v>22</v>
      </c>
      <c r="B1051" t="s">
        <v>47</v>
      </c>
      <c r="C1051" t="s">
        <v>52</v>
      </c>
      <c r="D1051" t="s">
        <v>24</v>
      </c>
      <c r="E1051" t="s">
        <v>15</v>
      </c>
      <c r="F1051" s="9">
        <v>0.14000000000000001</v>
      </c>
      <c r="G1051" s="10">
        <v>16057</v>
      </c>
      <c r="H1051">
        <v>6.59</v>
      </c>
      <c r="I1051" s="5">
        <f>ROUND(Marketing[[#This Row],[Clicks]]*Marketing[[#This Row],[Conversion_Rate]],0)</f>
        <v>47</v>
      </c>
      <c r="J1051" s="12">
        <f>Marketing[[#This Row],[Campaign_Cost]]/Marketing[[#This Row],[Customers]]</f>
        <v>341.63829787234044</v>
      </c>
      <c r="K1051" t="s">
        <v>51</v>
      </c>
      <c r="L1051" t="s">
        <v>26</v>
      </c>
      <c r="M1051">
        <v>338</v>
      </c>
      <c r="N1051">
        <v>5101</v>
      </c>
      <c r="O1051">
        <v>5</v>
      </c>
      <c r="P1051" t="s">
        <v>27</v>
      </c>
      <c r="Q1051" s="1">
        <v>44516</v>
      </c>
    </row>
    <row r="1052" spans="1:17" x14ac:dyDescent="0.3">
      <c r="A1052" t="s">
        <v>49</v>
      </c>
      <c r="B1052" t="s">
        <v>45</v>
      </c>
      <c r="C1052" t="s">
        <v>37</v>
      </c>
      <c r="D1052" t="s">
        <v>24</v>
      </c>
      <c r="E1052" t="s">
        <v>18</v>
      </c>
      <c r="F1052" s="9">
        <v>0.06</v>
      </c>
      <c r="G1052" s="10">
        <v>16052</v>
      </c>
      <c r="H1052">
        <v>4.28</v>
      </c>
      <c r="I1052" s="5">
        <f>ROUND(Marketing[[#This Row],[Clicks]]*Marketing[[#This Row],[Conversion_Rate]],0)</f>
        <v>50</v>
      </c>
      <c r="J1052" s="12">
        <f>Marketing[[#This Row],[Campaign_Cost]]/Marketing[[#This Row],[Customers]]</f>
        <v>321.04000000000002</v>
      </c>
      <c r="K1052" t="s">
        <v>51</v>
      </c>
      <c r="L1052" t="s">
        <v>39</v>
      </c>
      <c r="M1052">
        <v>832</v>
      </c>
      <c r="N1052">
        <v>6482</v>
      </c>
      <c r="O1052">
        <v>3</v>
      </c>
      <c r="P1052" t="s">
        <v>42</v>
      </c>
      <c r="Q1052" s="1">
        <v>44517</v>
      </c>
    </row>
    <row r="1053" spans="1:17" x14ac:dyDescent="0.3">
      <c r="A1053" t="s">
        <v>14</v>
      </c>
      <c r="B1053" t="s">
        <v>36</v>
      </c>
      <c r="C1053" t="s">
        <v>30</v>
      </c>
      <c r="D1053" t="s">
        <v>24</v>
      </c>
      <c r="E1053" t="s">
        <v>48</v>
      </c>
      <c r="F1053" s="9">
        <v>0.05</v>
      </c>
      <c r="G1053" s="10">
        <v>6649</v>
      </c>
      <c r="H1053">
        <v>3.08</v>
      </c>
      <c r="I1053" s="5">
        <f>ROUND(Marketing[[#This Row],[Clicks]]*Marketing[[#This Row],[Conversion_Rate]],0)</f>
        <v>39</v>
      </c>
      <c r="J1053" s="12">
        <f>Marketing[[#This Row],[Campaign_Cost]]/Marketing[[#This Row],[Customers]]</f>
        <v>170.48717948717947</v>
      </c>
      <c r="K1053" t="s">
        <v>32</v>
      </c>
      <c r="L1053" t="s">
        <v>26</v>
      </c>
      <c r="M1053">
        <v>771</v>
      </c>
      <c r="N1053">
        <v>1937</v>
      </c>
      <c r="O1053">
        <v>1</v>
      </c>
      <c r="P1053" t="s">
        <v>42</v>
      </c>
      <c r="Q1053" s="1">
        <v>44518</v>
      </c>
    </row>
    <row r="1054" spans="1:17" x14ac:dyDescent="0.3">
      <c r="A1054" t="s">
        <v>14</v>
      </c>
      <c r="B1054" t="s">
        <v>47</v>
      </c>
      <c r="C1054" t="s">
        <v>37</v>
      </c>
      <c r="D1054" t="s">
        <v>24</v>
      </c>
      <c r="E1054" t="s">
        <v>31</v>
      </c>
      <c r="F1054" s="9">
        <v>0.06</v>
      </c>
      <c r="G1054" s="10">
        <v>16334</v>
      </c>
      <c r="H1054">
        <v>2.84</v>
      </c>
      <c r="I1054" s="5">
        <f>ROUND(Marketing[[#This Row],[Clicks]]*Marketing[[#This Row],[Conversion_Rate]],0)</f>
        <v>39</v>
      </c>
      <c r="J1054" s="12">
        <f>Marketing[[#This Row],[Campaign_Cost]]/Marketing[[#This Row],[Customers]]</f>
        <v>418.82051282051282</v>
      </c>
      <c r="K1054" t="s">
        <v>19</v>
      </c>
      <c r="L1054" t="s">
        <v>33</v>
      </c>
      <c r="M1054">
        <v>653</v>
      </c>
      <c r="N1054">
        <v>4183</v>
      </c>
      <c r="O1054">
        <v>8</v>
      </c>
      <c r="P1054" t="s">
        <v>27</v>
      </c>
      <c r="Q1054" s="1">
        <v>44519</v>
      </c>
    </row>
    <row r="1055" spans="1:17" x14ac:dyDescent="0.3">
      <c r="A1055" t="s">
        <v>22</v>
      </c>
      <c r="B1055" t="s">
        <v>47</v>
      </c>
      <c r="C1055" t="s">
        <v>52</v>
      </c>
      <c r="D1055" t="s">
        <v>24</v>
      </c>
      <c r="E1055" t="s">
        <v>43</v>
      </c>
      <c r="F1055" s="9">
        <v>0.13</v>
      </c>
      <c r="G1055" s="10">
        <v>12462</v>
      </c>
      <c r="H1055">
        <v>6.2</v>
      </c>
      <c r="I1055" s="5">
        <f>ROUND(Marketing[[#This Row],[Clicks]]*Marketing[[#This Row],[Conversion_Rate]],0)</f>
        <v>128</v>
      </c>
      <c r="J1055" s="12">
        <f>Marketing[[#This Row],[Campaign_Cost]]/Marketing[[#This Row],[Customers]]</f>
        <v>97.359375</v>
      </c>
      <c r="K1055" t="s">
        <v>32</v>
      </c>
      <c r="L1055" t="s">
        <v>33</v>
      </c>
      <c r="M1055">
        <v>987</v>
      </c>
      <c r="N1055">
        <v>8465</v>
      </c>
      <c r="O1055">
        <v>2</v>
      </c>
      <c r="P1055" t="s">
        <v>27</v>
      </c>
      <c r="Q1055" s="1">
        <v>44520</v>
      </c>
    </row>
    <row r="1056" spans="1:17" x14ac:dyDescent="0.3">
      <c r="A1056" t="s">
        <v>28</v>
      </c>
      <c r="B1056" t="s">
        <v>15</v>
      </c>
      <c r="C1056" t="s">
        <v>30</v>
      </c>
      <c r="D1056" t="s">
        <v>17</v>
      </c>
      <c r="E1056" t="s">
        <v>43</v>
      </c>
      <c r="F1056" s="9">
        <v>0.08</v>
      </c>
      <c r="G1056" s="10">
        <v>13326</v>
      </c>
      <c r="H1056">
        <v>3.45</v>
      </c>
      <c r="I1056" s="5">
        <f>ROUND(Marketing[[#This Row],[Clicks]]*Marketing[[#This Row],[Conversion_Rate]],0)</f>
        <v>60</v>
      </c>
      <c r="J1056" s="12">
        <f>Marketing[[#This Row],[Campaign_Cost]]/Marketing[[#This Row],[Customers]]</f>
        <v>222.1</v>
      </c>
      <c r="K1056" t="s">
        <v>38</v>
      </c>
      <c r="L1056" t="s">
        <v>26</v>
      </c>
      <c r="M1056">
        <v>756</v>
      </c>
      <c r="N1056">
        <v>9149</v>
      </c>
      <c r="O1056">
        <v>5</v>
      </c>
      <c r="P1056" t="s">
        <v>34</v>
      </c>
      <c r="Q1056" s="1">
        <v>44521</v>
      </c>
    </row>
    <row r="1057" spans="1:17" x14ac:dyDescent="0.3">
      <c r="A1057" t="s">
        <v>14</v>
      </c>
      <c r="B1057" t="s">
        <v>36</v>
      </c>
      <c r="C1057" t="s">
        <v>30</v>
      </c>
      <c r="D1057" t="s">
        <v>40</v>
      </c>
      <c r="E1057" t="s">
        <v>41</v>
      </c>
      <c r="F1057" s="9">
        <v>0.12</v>
      </c>
      <c r="G1057" s="10">
        <v>8902</v>
      </c>
      <c r="H1057">
        <v>7.37</v>
      </c>
      <c r="I1057" s="5">
        <f>ROUND(Marketing[[#This Row],[Clicks]]*Marketing[[#This Row],[Conversion_Rate]],0)</f>
        <v>33</v>
      </c>
      <c r="J1057" s="12">
        <f>Marketing[[#This Row],[Campaign_Cost]]/Marketing[[#This Row],[Customers]]</f>
        <v>269.75757575757575</v>
      </c>
      <c r="K1057" t="s">
        <v>38</v>
      </c>
      <c r="L1057" t="s">
        <v>33</v>
      </c>
      <c r="M1057">
        <v>273</v>
      </c>
      <c r="N1057">
        <v>3784</v>
      </c>
      <c r="O1057">
        <v>9</v>
      </c>
      <c r="P1057" t="s">
        <v>44</v>
      </c>
      <c r="Q1057" s="1">
        <v>44522</v>
      </c>
    </row>
    <row r="1058" spans="1:17" x14ac:dyDescent="0.3">
      <c r="A1058" t="s">
        <v>28</v>
      </c>
      <c r="B1058" t="s">
        <v>47</v>
      </c>
      <c r="C1058" t="s">
        <v>37</v>
      </c>
      <c r="D1058" t="s">
        <v>46</v>
      </c>
      <c r="E1058" t="s">
        <v>41</v>
      </c>
      <c r="F1058" s="9">
        <v>0.03</v>
      </c>
      <c r="G1058" s="10">
        <v>9125</v>
      </c>
      <c r="H1058">
        <v>4.68</v>
      </c>
      <c r="I1058" s="5">
        <f>ROUND(Marketing[[#This Row],[Clicks]]*Marketing[[#This Row],[Conversion_Rate]],0)</f>
        <v>17</v>
      </c>
      <c r="J1058" s="12">
        <f>Marketing[[#This Row],[Campaign_Cost]]/Marketing[[#This Row],[Customers]]</f>
        <v>536.76470588235293</v>
      </c>
      <c r="K1058" t="s">
        <v>38</v>
      </c>
      <c r="L1058" t="s">
        <v>20</v>
      </c>
      <c r="M1058">
        <v>558</v>
      </c>
      <c r="N1058">
        <v>5336</v>
      </c>
      <c r="O1058">
        <v>1</v>
      </c>
      <c r="P1058" t="s">
        <v>21</v>
      </c>
      <c r="Q1058" s="1">
        <v>44523</v>
      </c>
    </row>
    <row r="1059" spans="1:17" x14ac:dyDescent="0.3">
      <c r="A1059" t="s">
        <v>28</v>
      </c>
      <c r="B1059" t="s">
        <v>45</v>
      </c>
      <c r="C1059" t="s">
        <v>23</v>
      </c>
      <c r="D1059" t="s">
        <v>17</v>
      </c>
      <c r="E1059" t="s">
        <v>31</v>
      </c>
      <c r="F1059" s="9">
        <v>0.15</v>
      </c>
      <c r="G1059" s="10">
        <v>11408</v>
      </c>
      <c r="H1059">
        <v>2.74</v>
      </c>
      <c r="I1059" s="5">
        <f>ROUND(Marketing[[#This Row],[Clicks]]*Marketing[[#This Row],[Conversion_Rate]],0)</f>
        <v>26</v>
      </c>
      <c r="J1059" s="12">
        <f>Marketing[[#This Row],[Campaign_Cost]]/Marketing[[#This Row],[Customers]]</f>
        <v>438.76923076923077</v>
      </c>
      <c r="K1059" t="s">
        <v>51</v>
      </c>
      <c r="L1059" t="s">
        <v>39</v>
      </c>
      <c r="M1059">
        <v>170</v>
      </c>
      <c r="N1059">
        <v>7670</v>
      </c>
      <c r="O1059">
        <v>3</v>
      </c>
      <c r="P1059" t="s">
        <v>42</v>
      </c>
      <c r="Q1059" s="1">
        <v>44524</v>
      </c>
    </row>
    <row r="1060" spans="1:17" x14ac:dyDescent="0.3">
      <c r="A1060" t="s">
        <v>14</v>
      </c>
      <c r="B1060" t="s">
        <v>45</v>
      </c>
      <c r="C1060" t="s">
        <v>30</v>
      </c>
      <c r="D1060" t="s">
        <v>17</v>
      </c>
      <c r="E1060" t="s">
        <v>18</v>
      </c>
      <c r="F1060" s="9">
        <v>0.14000000000000001</v>
      </c>
      <c r="G1060" s="10">
        <v>5199</v>
      </c>
      <c r="H1060">
        <v>7</v>
      </c>
      <c r="I1060" s="5">
        <f>ROUND(Marketing[[#This Row],[Clicks]]*Marketing[[#This Row],[Conversion_Rate]],0)</f>
        <v>101</v>
      </c>
      <c r="J1060" s="12">
        <f>Marketing[[#This Row],[Campaign_Cost]]/Marketing[[#This Row],[Customers]]</f>
        <v>51.475247524752476</v>
      </c>
      <c r="K1060" t="s">
        <v>38</v>
      </c>
      <c r="L1060" t="s">
        <v>39</v>
      </c>
      <c r="M1060">
        <v>719</v>
      </c>
      <c r="N1060">
        <v>3907</v>
      </c>
      <c r="O1060">
        <v>6</v>
      </c>
      <c r="P1060" t="s">
        <v>27</v>
      </c>
      <c r="Q1060" s="1">
        <v>44525</v>
      </c>
    </row>
    <row r="1061" spans="1:17" x14ac:dyDescent="0.3">
      <c r="A1061" t="s">
        <v>14</v>
      </c>
      <c r="B1061" t="s">
        <v>15</v>
      </c>
      <c r="C1061" t="s">
        <v>30</v>
      </c>
      <c r="D1061" t="s">
        <v>17</v>
      </c>
      <c r="E1061" t="s">
        <v>48</v>
      </c>
      <c r="F1061" s="9">
        <v>7.0000000000000007E-2</v>
      </c>
      <c r="G1061" s="10">
        <v>18797</v>
      </c>
      <c r="H1061">
        <v>4.2300000000000004</v>
      </c>
      <c r="I1061" s="5">
        <f>ROUND(Marketing[[#This Row],[Clicks]]*Marketing[[#This Row],[Conversion_Rate]],0)</f>
        <v>23</v>
      </c>
      <c r="J1061" s="12">
        <f>Marketing[[#This Row],[Campaign_Cost]]/Marketing[[#This Row],[Customers]]</f>
        <v>817.26086956521738</v>
      </c>
      <c r="K1061" t="s">
        <v>38</v>
      </c>
      <c r="L1061" t="s">
        <v>33</v>
      </c>
      <c r="M1061">
        <v>326</v>
      </c>
      <c r="N1061">
        <v>7544</v>
      </c>
      <c r="O1061">
        <v>2</v>
      </c>
      <c r="P1061" t="s">
        <v>21</v>
      </c>
      <c r="Q1061" s="1">
        <v>44526</v>
      </c>
    </row>
    <row r="1062" spans="1:17" x14ac:dyDescent="0.3">
      <c r="A1062" t="s">
        <v>49</v>
      </c>
      <c r="B1062" t="s">
        <v>15</v>
      </c>
      <c r="C1062" t="s">
        <v>30</v>
      </c>
      <c r="D1062" t="s">
        <v>40</v>
      </c>
      <c r="E1062" t="s">
        <v>48</v>
      </c>
      <c r="F1062" s="9">
        <v>0.06</v>
      </c>
      <c r="G1062" s="10">
        <v>16926</v>
      </c>
      <c r="H1062">
        <v>3.6</v>
      </c>
      <c r="I1062" s="5">
        <f>ROUND(Marketing[[#This Row],[Clicks]]*Marketing[[#This Row],[Conversion_Rate]],0)</f>
        <v>20</v>
      </c>
      <c r="J1062" s="12">
        <f>Marketing[[#This Row],[Campaign_Cost]]/Marketing[[#This Row],[Customers]]</f>
        <v>846.3</v>
      </c>
      <c r="K1062" t="s">
        <v>25</v>
      </c>
      <c r="L1062" t="s">
        <v>20</v>
      </c>
      <c r="M1062">
        <v>340</v>
      </c>
      <c r="N1062">
        <v>8754</v>
      </c>
      <c r="O1062">
        <v>3</v>
      </c>
      <c r="P1062" t="s">
        <v>27</v>
      </c>
      <c r="Q1062" s="1">
        <v>44527</v>
      </c>
    </row>
    <row r="1063" spans="1:17" x14ac:dyDescent="0.3">
      <c r="A1063" t="s">
        <v>14</v>
      </c>
      <c r="B1063" t="s">
        <v>29</v>
      </c>
      <c r="C1063" t="s">
        <v>52</v>
      </c>
      <c r="D1063" t="s">
        <v>46</v>
      </c>
      <c r="E1063" t="s">
        <v>15</v>
      </c>
      <c r="F1063" s="9">
        <v>0.03</v>
      </c>
      <c r="G1063" s="10">
        <v>14649</v>
      </c>
      <c r="H1063">
        <v>7.68</v>
      </c>
      <c r="I1063" s="5">
        <f>ROUND(Marketing[[#This Row],[Clicks]]*Marketing[[#This Row],[Conversion_Rate]],0)</f>
        <v>24</v>
      </c>
      <c r="J1063" s="12">
        <f>Marketing[[#This Row],[Campaign_Cost]]/Marketing[[#This Row],[Customers]]</f>
        <v>610.375</v>
      </c>
      <c r="K1063" t="s">
        <v>25</v>
      </c>
      <c r="L1063" t="s">
        <v>39</v>
      </c>
      <c r="M1063">
        <v>814</v>
      </c>
      <c r="N1063">
        <v>6084</v>
      </c>
      <c r="O1063">
        <v>8</v>
      </c>
      <c r="P1063" t="s">
        <v>44</v>
      </c>
      <c r="Q1063" s="1">
        <v>44528</v>
      </c>
    </row>
    <row r="1064" spans="1:17" x14ac:dyDescent="0.3">
      <c r="A1064" t="s">
        <v>22</v>
      </c>
      <c r="B1064" t="s">
        <v>36</v>
      </c>
      <c r="C1064" t="s">
        <v>16</v>
      </c>
      <c r="D1064" t="s">
        <v>24</v>
      </c>
      <c r="E1064" t="s">
        <v>43</v>
      </c>
      <c r="F1064" s="9">
        <v>0.14000000000000001</v>
      </c>
      <c r="G1064" s="10">
        <v>18902</v>
      </c>
      <c r="H1064">
        <v>5.0599999999999996</v>
      </c>
      <c r="I1064" s="5">
        <f>ROUND(Marketing[[#This Row],[Clicks]]*Marketing[[#This Row],[Conversion_Rate]],0)</f>
        <v>129</v>
      </c>
      <c r="J1064" s="12">
        <f>Marketing[[#This Row],[Campaign_Cost]]/Marketing[[#This Row],[Customers]]</f>
        <v>146.52713178294573</v>
      </c>
      <c r="K1064" t="s">
        <v>51</v>
      </c>
      <c r="L1064" t="s">
        <v>50</v>
      </c>
      <c r="M1064">
        <v>921</v>
      </c>
      <c r="N1064">
        <v>7989</v>
      </c>
      <c r="O1064">
        <v>8</v>
      </c>
      <c r="P1064" t="s">
        <v>27</v>
      </c>
      <c r="Q1064" s="1">
        <v>44529</v>
      </c>
    </row>
    <row r="1065" spans="1:17" x14ac:dyDescent="0.3">
      <c r="A1065" t="s">
        <v>49</v>
      </c>
      <c r="B1065" t="s">
        <v>29</v>
      </c>
      <c r="C1065" t="s">
        <v>16</v>
      </c>
      <c r="D1065" t="s">
        <v>24</v>
      </c>
      <c r="E1065" t="s">
        <v>31</v>
      </c>
      <c r="F1065" s="9">
        <v>7.0000000000000007E-2</v>
      </c>
      <c r="G1065" s="10">
        <v>5751</v>
      </c>
      <c r="H1065">
        <v>2.84</v>
      </c>
      <c r="I1065" s="5">
        <f>ROUND(Marketing[[#This Row],[Clicks]]*Marketing[[#This Row],[Conversion_Rate]],0)</f>
        <v>33</v>
      </c>
      <c r="J1065" s="12">
        <f>Marketing[[#This Row],[Campaign_Cost]]/Marketing[[#This Row],[Customers]]</f>
        <v>174.27272727272728</v>
      </c>
      <c r="K1065" t="s">
        <v>25</v>
      </c>
      <c r="L1065" t="s">
        <v>20</v>
      </c>
      <c r="M1065">
        <v>468</v>
      </c>
      <c r="N1065">
        <v>3069</v>
      </c>
      <c r="O1065">
        <v>3</v>
      </c>
      <c r="P1065" t="s">
        <v>42</v>
      </c>
      <c r="Q1065" s="1">
        <v>44530</v>
      </c>
    </row>
    <row r="1066" spans="1:17" x14ac:dyDescent="0.3">
      <c r="A1066" t="s">
        <v>14</v>
      </c>
      <c r="B1066" t="s">
        <v>29</v>
      </c>
      <c r="C1066" t="s">
        <v>16</v>
      </c>
      <c r="D1066" t="s">
        <v>24</v>
      </c>
      <c r="E1066" t="s">
        <v>31</v>
      </c>
      <c r="F1066" s="9">
        <v>0.05</v>
      </c>
      <c r="G1066" s="10">
        <v>18325</v>
      </c>
      <c r="H1066">
        <v>6.35</v>
      </c>
      <c r="I1066" s="5">
        <f>ROUND(Marketing[[#This Row],[Clicks]]*Marketing[[#This Row],[Conversion_Rate]],0)</f>
        <v>30</v>
      </c>
      <c r="J1066" s="12">
        <f>Marketing[[#This Row],[Campaign_Cost]]/Marketing[[#This Row],[Customers]]</f>
        <v>610.83333333333337</v>
      </c>
      <c r="K1066" t="s">
        <v>19</v>
      </c>
      <c r="L1066" t="s">
        <v>39</v>
      </c>
      <c r="M1066">
        <v>596</v>
      </c>
      <c r="N1066">
        <v>1902</v>
      </c>
      <c r="O1066">
        <v>8</v>
      </c>
      <c r="P1066" t="s">
        <v>34</v>
      </c>
      <c r="Q1066" s="1">
        <v>44531</v>
      </c>
    </row>
    <row r="1067" spans="1:17" x14ac:dyDescent="0.3">
      <c r="A1067" t="s">
        <v>49</v>
      </c>
      <c r="B1067" t="s">
        <v>36</v>
      </c>
      <c r="C1067" t="s">
        <v>23</v>
      </c>
      <c r="D1067" t="s">
        <v>17</v>
      </c>
      <c r="E1067" t="s">
        <v>43</v>
      </c>
      <c r="F1067" s="9">
        <v>0.14000000000000001</v>
      </c>
      <c r="G1067" s="10">
        <v>5475</v>
      </c>
      <c r="H1067">
        <v>7.69</v>
      </c>
      <c r="I1067" s="5">
        <f>ROUND(Marketing[[#This Row],[Clicks]]*Marketing[[#This Row],[Conversion_Rate]],0)</f>
        <v>26</v>
      </c>
      <c r="J1067" s="12">
        <f>Marketing[[#This Row],[Campaign_Cost]]/Marketing[[#This Row],[Customers]]</f>
        <v>210.57692307692307</v>
      </c>
      <c r="K1067" t="s">
        <v>51</v>
      </c>
      <c r="L1067" t="s">
        <v>50</v>
      </c>
      <c r="M1067">
        <v>188</v>
      </c>
      <c r="N1067">
        <v>8909</v>
      </c>
      <c r="O1067">
        <v>3</v>
      </c>
      <c r="P1067" t="s">
        <v>21</v>
      </c>
      <c r="Q1067" s="1">
        <v>44532</v>
      </c>
    </row>
    <row r="1068" spans="1:17" x14ac:dyDescent="0.3">
      <c r="A1068" t="s">
        <v>14</v>
      </c>
      <c r="B1068" t="s">
        <v>36</v>
      </c>
      <c r="C1068" t="s">
        <v>30</v>
      </c>
      <c r="D1068" t="s">
        <v>17</v>
      </c>
      <c r="E1068" t="s">
        <v>48</v>
      </c>
      <c r="F1068" s="9">
        <v>0.08</v>
      </c>
      <c r="G1068" s="10">
        <v>19191</v>
      </c>
      <c r="H1068">
        <v>3.63</v>
      </c>
      <c r="I1068" s="5">
        <f>ROUND(Marketing[[#This Row],[Clicks]]*Marketing[[#This Row],[Conversion_Rate]],0)</f>
        <v>34</v>
      </c>
      <c r="J1068" s="12">
        <f>Marketing[[#This Row],[Campaign_Cost]]/Marketing[[#This Row],[Customers]]</f>
        <v>564.44117647058829</v>
      </c>
      <c r="K1068" t="s">
        <v>19</v>
      </c>
      <c r="L1068" t="s">
        <v>20</v>
      </c>
      <c r="M1068">
        <v>431</v>
      </c>
      <c r="N1068">
        <v>1465</v>
      </c>
      <c r="O1068">
        <v>3</v>
      </c>
      <c r="P1068" t="s">
        <v>34</v>
      </c>
      <c r="Q1068" s="1">
        <v>44533</v>
      </c>
    </row>
    <row r="1069" spans="1:17" x14ac:dyDescent="0.3">
      <c r="A1069" t="s">
        <v>22</v>
      </c>
      <c r="B1069" t="s">
        <v>47</v>
      </c>
      <c r="C1069" t="s">
        <v>37</v>
      </c>
      <c r="D1069" t="s">
        <v>46</v>
      </c>
      <c r="E1069" t="s">
        <v>31</v>
      </c>
      <c r="F1069" s="9">
        <v>0.09</v>
      </c>
      <c r="G1069" s="10">
        <v>7993</v>
      </c>
      <c r="H1069">
        <v>5.03</v>
      </c>
      <c r="I1069" s="5">
        <f>ROUND(Marketing[[#This Row],[Clicks]]*Marketing[[#This Row],[Conversion_Rate]],0)</f>
        <v>14</v>
      </c>
      <c r="J1069" s="12">
        <f>Marketing[[#This Row],[Campaign_Cost]]/Marketing[[#This Row],[Customers]]</f>
        <v>570.92857142857144</v>
      </c>
      <c r="K1069" t="s">
        <v>19</v>
      </c>
      <c r="L1069" t="s">
        <v>20</v>
      </c>
      <c r="M1069">
        <v>155</v>
      </c>
      <c r="N1069">
        <v>6114</v>
      </c>
      <c r="O1069">
        <v>4</v>
      </c>
      <c r="P1069" t="s">
        <v>34</v>
      </c>
      <c r="Q1069" s="1">
        <v>44534</v>
      </c>
    </row>
    <row r="1070" spans="1:17" x14ac:dyDescent="0.3">
      <c r="A1070" t="s">
        <v>14</v>
      </c>
      <c r="B1070" t="s">
        <v>47</v>
      </c>
      <c r="C1070" t="s">
        <v>37</v>
      </c>
      <c r="D1070" t="s">
        <v>46</v>
      </c>
      <c r="E1070" t="s">
        <v>41</v>
      </c>
      <c r="F1070" s="9">
        <v>7.0000000000000007E-2</v>
      </c>
      <c r="G1070" s="10">
        <v>8980</v>
      </c>
      <c r="H1070">
        <v>6.94</v>
      </c>
      <c r="I1070" s="5">
        <f>ROUND(Marketing[[#This Row],[Clicks]]*Marketing[[#This Row],[Conversion_Rate]],0)</f>
        <v>68</v>
      </c>
      <c r="J1070" s="12">
        <f>Marketing[[#This Row],[Campaign_Cost]]/Marketing[[#This Row],[Customers]]</f>
        <v>132.05882352941177</v>
      </c>
      <c r="K1070" t="s">
        <v>32</v>
      </c>
      <c r="L1070" t="s">
        <v>33</v>
      </c>
      <c r="M1070">
        <v>965</v>
      </c>
      <c r="N1070">
        <v>4505</v>
      </c>
      <c r="O1070">
        <v>7</v>
      </c>
      <c r="P1070" t="s">
        <v>34</v>
      </c>
      <c r="Q1070" s="1">
        <v>44535</v>
      </c>
    </row>
    <row r="1071" spans="1:17" x14ac:dyDescent="0.3">
      <c r="A1071" t="s">
        <v>28</v>
      </c>
      <c r="B1071" t="s">
        <v>15</v>
      </c>
      <c r="C1071" t="s">
        <v>23</v>
      </c>
      <c r="D1071" t="s">
        <v>24</v>
      </c>
      <c r="E1071" t="s">
        <v>15</v>
      </c>
      <c r="F1071" s="9">
        <v>0.14000000000000001</v>
      </c>
      <c r="G1071" s="10">
        <v>15534</v>
      </c>
      <c r="H1071">
        <v>3.85</v>
      </c>
      <c r="I1071" s="5">
        <f>ROUND(Marketing[[#This Row],[Clicks]]*Marketing[[#This Row],[Conversion_Rate]],0)</f>
        <v>57</v>
      </c>
      <c r="J1071" s="12">
        <f>Marketing[[#This Row],[Campaign_Cost]]/Marketing[[#This Row],[Customers]]</f>
        <v>272.5263157894737</v>
      </c>
      <c r="K1071" t="s">
        <v>38</v>
      </c>
      <c r="L1071" t="s">
        <v>50</v>
      </c>
      <c r="M1071">
        <v>405</v>
      </c>
      <c r="N1071">
        <v>8649</v>
      </c>
      <c r="O1071">
        <v>2</v>
      </c>
      <c r="P1071" t="s">
        <v>44</v>
      </c>
      <c r="Q1071" s="1">
        <v>44536</v>
      </c>
    </row>
    <row r="1072" spans="1:17" x14ac:dyDescent="0.3">
      <c r="A1072" t="s">
        <v>35</v>
      </c>
      <c r="B1072" t="s">
        <v>47</v>
      </c>
      <c r="C1072" t="s">
        <v>30</v>
      </c>
      <c r="D1072" t="s">
        <v>24</v>
      </c>
      <c r="E1072" t="s">
        <v>43</v>
      </c>
      <c r="F1072" s="9">
        <v>0.11</v>
      </c>
      <c r="G1072" s="10">
        <v>7980</v>
      </c>
      <c r="H1072">
        <v>7.49</v>
      </c>
      <c r="I1072" s="5">
        <f>ROUND(Marketing[[#This Row],[Clicks]]*Marketing[[#This Row],[Conversion_Rate]],0)</f>
        <v>83</v>
      </c>
      <c r="J1072" s="12">
        <f>Marketing[[#This Row],[Campaign_Cost]]/Marketing[[#This Row],[Customers]]</f>
        <v>96.144578313253007</v>
      </c>
      <c r="K1072" t="s">
        <v>38</v>
      </c>
      <c r="L1072" t="s">
        <v>50</v>
      </c>
      <c r="M1072">
        <v>754</v>
      </c>
      <c r="N1072">
        <v>5957</v>
      </c>
      <c r="O1072">
        <v>1</v>
      </c>
      <c r="P1072" t="s">
        <v>21</v>
      </c>
      <c r="Q1072" s="1">
        <v>44537</v>
      </c>
    </row>
    <row r="1073" spans="1:17" x14ac:dyDescent="0.3">
      <c r="A1073" t="s">
        <v>14</v>
      </c>
      <c r="B1073" t="s">
        <v>29</v>
      </c>
      <c r="C1073" t="s">
        <v>16</v>
      </c>
      <c r="D1073" t="s">
        <v>24</v>
      </c>
      <c r="E1073" t="s">
        <v>31</v>
      </c>
      <c r="F1073" s="9">
        <v>0.08</v>
      </c>
      <c r="G1073" s="10">
        <v>5161</v>
      </c>
      <c r="H1073">
        <v>7.17</v>
      </c>
      <c r="I1073" s="5">
        <f>ROUND(Marketing[[#This Row],[Clicks]]*Marketing[[#This Row],[Conversion_Rate]],0)</f>
        <v>63</v>
      </c>
      <c r="J1073" s="12">
        <f>Marketing[[#This Row],[Campaign_Cost]]/Marketing[[#This Row],[Customers]]</f>
        <v>81.920634920634924</v>
      </c>
      <c r="K1073" t="s">
        <v>51</v>
      </c>
      <c r="L1073" t="s">
        <v>39</v>
      </c>
      <c r="M1073">
        <v>786</v>
      </c>
      <c r="N1073">
        <v>1961</v>
      </c>
      <c r="O1073">
        <v>5</v>
      </c>
      <c r="P1073" t="s">
        <v>21</v>
      </c>
      <c r="Q1073" s="1">
        <v>44538</v>
      </c>
    </row>
    <row r="1074" spans="1:17" x14ac:dyDescent="0.3">
      <c r="A1074" t="s">
        <v>35</v>
      </c>
      <c r="B1074" t="s">
        <v>15</v>
      </c>
      <c r="C1074" t="s">
        <v>23</v>
      </c>
      <c r="D1074" t="s">
        <v>24</v>
      </c>
      <c r="E1074" t="s">
        <v>41</v>
      </c>
      <c r="F1074" s="9">
        <v>0.11</v>
      </c>
      <c r="G1074" s="10">
        <v>16999</v>
      </c>
      <c r="H1074">
        <v>6</v>
      </c>
      <c r="I1074" s="5">
        <f>ROUND(Marketing[[#This Row],[Clicks]]*Marketing[[#This Row],[Conversion_Rate]],0)</f>
        <v>38</v>
      </c>
      <c r="J1074" s="12">
        <f>Marketing[[#This Row],[Campaign_Cost]]/Marketing[[#This Row],[Customers]]</f>
        <v>447.34210526315792</v>
      </c>
      <c r="K1074" t="s">
        <v>38</v>
      </c>
      <c r="L1074" t="s">
        <v>33</v>
      </c>
      <c r="M1074">
        <v>346</v>
      </c>
      <c r="N1074">
        <v>3558</v>
      </c>
      <c r="O1074">
        <v>5</v>
      </c>
      <c r="P1074" t="s">
        <v>42</v>
      </c>
      <c r="Q1074" s="1">
        <v>44539</v>
      </c>
    </row>
    <row r="1075" spans="1:17" x14ac:dyDescent="0.3">
      <c r="A1075" t="s">
        <v>14</v>
      </c>
      <c r="B1075" t="s">
        <v>36</v>
      </c>
      <c r="C1075" t="s">
        <v>16</v>
      </c>
      <c r="D1075" t="s">
        <v>24</v>
      </c>
      <c r="E1075" t="s">
        <v>41</v>
      </c>
      <c r="F1075" s="9">
        <v>0.02</v>
      </c>
      <c r="G1075" s="10">
        <v>8684</v>
      </c>
      <c r="H1075">
        <v>3.29</v>
      </c>
      <c r="I1075" s="5">
        <f>ROUND(Marketing[[#This Row],[Clicks]]*Marketing[[#This Row],[Conversion_Rate]],0)</f>
        <v>11</v>
      </c>
      <c r="J1075" s="12">
        <f>Marketing[[#This Row],[Campaign_Cost]]/Marketing[[#This Row],[Customers]]</f>
        <v>789.4545454545455</v>
      </c>
      <c r="K1075" t="s">
        <v>25</v>
      </c>
      <c r="L1075" t="s">
        <v>50</v>
      </c>
      <c r="M1075">
        <v>536</v>
      </c>
      <c r="N1075">
        <v>5612</v>
      </c>
      <c r="O1075">
        <v>7</v>
      </c>
      <c r="P1075" t="s">
        <v>21</v>
      </c>
      <c r="Q1075" s="1">
        <v>44540</v>
      </c>
    </row>
    <row r="1076" spans="1:17" x14ac:dyDescent="0.3">
      <c r="A1076" t="s">
        <v>49</v>
      </c>
      <c r="B1076" t="s">
        <v>36</v>
      </c>
      <c r="C1076" t="s">
        <v>37</v>
      </c>
      <c r="D1076" t="s">
        <v>24</v>
      </c>
      <c r="E1076" t="s">
        <v>41</v>
      </c>
      <c r="F1076" s="9">
        <v>0.14000000000000001</v>
      </c>
      <c r="G1076" s="10">
        <v>6548</v>
      </c>
      <c r="H1076">
        <v>5.41</v>
      </c>
      <c r="I1076" s="5">
        <f>ROUND(Marketing[[#This Row],[Clicks]]*Marketing[[#This Row],[Conversion_Rate]],0)</f>
        <v>82</v>
      </c>
      <c r="J1076" s="12">
        <f>Marketing[[#This Row],[Campaign_Cost]]/Marketing[[#This Row],[Customers]]</f>
        <v>79.853658536585371</v>
      </c>
      <c r="K1076" t="s">
        <v>25</v>
      </c>
      <c r="L1076" t="s">
        <v>20</v>
      </c>
      <c r="M1076">
        <v>583</v>
      </c>
      <c r="N1076">
        <v>1081</v>
      </c>
      <c r="O1076">
        <v>1</v>
      </c>
      <c r="P1076" t="s">
        <v>21</v>
      </c>
      <c r="Q1076" s="1">
        <v>44541</v>
      </c>
    </row>
    <row r="1077" spans="1:17" x14ac:dyDescent="0.3">
      <c r="A1077" t="s">
        <v>22</v>
      </c>
      <c r="B1077" t="s">
        <v>15</v>
      </c>
      <c r="C1077" t="s">
        <v>30</v>
      </c>
      <c r="D1077" t="s">
        <v>24</v>
      </c>
      <c r="E1077" t="s">
        <v>43</v>
      </c>
      <c r="F1077" s="9">
        <v>0.08</v>
      </c>
      <c r="G1077" s="10">
        <v>19584</v>
      </c>
      <c r="H1077">
        <v>5.86</v>
      </c>
      <c r="I1077" s="5">
        <f>ROUND(Marketing[[#This Row],[Clicks]]*Marketing[[#This Row],[Conversion_Rate]],0)</f>
        <v>72</v>
      </c>
      <c r="J1077" s="12">
        <f>Marketing[[#This Row],[Campaign_Cost]]/Marketing[[#This Row],[Customers]]</f>
        <v>272</v>
      </c>
      <c r="K1077" t="s">
        <v>25</v>
      </c>
      <c r="L1077" t="s">
        <v>50</v>
      </c>
      <c r="M1077">
        <v>895</v>
      </c>
      <c r="N1077">
        <v>2941</v>
      </c>
      <c r="O1077">
        <v>9</v>
      </c>
      <c r="P1077" t="s">
        <v>34</v>
      </c>
      <c r="Q1077" s="1">
        <v>44542</v>
      </c>
    </row>
    <row r="1078" spans="1:17" x14ac:dyDescent="0.3">
      <c r="A1078" t="s">
        <v>49</v>
      </c>
      <c r="B1078" t="s">
        <v>29</v>
      </c>
      <c r="C1078" t="s">
        <v>23</v>
      </c>
      <c r="D1078" t="s">
        <v>17</v>
      </c>
      <c r="E1078" t="s">
        <v>31</v>
      </c>
      <c r="F1078" s="9">
        <v>0.02</v>
      </c>
      <c r="G1078" s="10">
        <v>8779</v>
      </c>
      <c r="H1078">
        <v>2.68</v>
      </c>
      <c r="I1078" s="5">
        <f>ROUND(Marketing[[#This Row],[Clicks]]*Marketing[[#This Row],[Conversion_Rate]],0)</f>
        <v>4</v>
      </c>
      <c r="J1078" s="12">
        <f>Marketing[[#This Row],[Campaign_Cost]]/Marketing[[#This Row],[Customers]]</f>
        <v>2194.75</v>
      </c>
      <c r="K1078" t="s">
        <v>32</v>
      </c>
      <c r="L1078" t="s">
        <v>26</v>
      </c>
      <c r="M1078">
        <v>202</v>
      </c>
      <c r="N1078">
        <v>6358</v>
      </c>
      <c r="O1078">
        <v>2</v>
      </c>
      <c r="P1078" t="s">
        <v>34</v>
      </c>
      <c r="Q1078" s="1">
        <v>44543</v>
      </c>
    </row>
    <row r="1079" spans="1:17" x14ac:dyDescent="0.3">
      <c r="A1079" t="s">
        <v>35</v>
      </c>
      <c r="B1079" t="s">
        <v>29</v>
      </c>
      <c r="C1079" t="s">
        <v>16</v>
      </c>
      <c r="D1079" t="s">
        <v>17</v>
      </c>
      <c r="E1079" t="s">
        <v>41</v>
      </c>
      <c r="F1079" s="9">
        <v>7.0000000000000007E-2</v>
      </c>
      <c r="G1079" s="10">
        <v>19568</v>
      </c>
      <c r="H1079">
        <v>7.09</v>
      </c>
      <c r="I1079" s="5">
        <f>ROUND(Marketing[[#This Row],[Clicks]]*Marketing[[#This Row],[Conversion_Rate]],0)</f>
        <v>10</v>
      </c>
      <c r="J1079" s="12">
        <f>Marketing[[#This Row],[Campaign_Cost]]/Marketing[[#This Row],[Customers]]</f>
        <v>1956.8</v>
      </c>
      <c r="K1079" t="s">
        <v>38</v>
      </c>
      <c r="L1079" t="s">
        <v>39</v>
      </c>
      <c r="M1079">
        <v>140</v>
      </c>
      <c r="N1079">
        <v>4789</v>
      </c>
      <c r="O1079">
        <v>5</v>
      </c>
      <c r="P1079" t="s">
        <v>42</v>
      </c>
      <c r="Q1079" s="1">
        <v>44544</v>
      </c>
    </row>
    <row r="1080" spans="1:17" x14ac:dyDescent="0.3">
      <c r="A1080" t="s">
        <v>49</v>
      </c>
      <c r="B1080" t="s">
        <v>15</v>
      </c>
      <c r="C1080" t="s">
        <v>16</v>
      </c>
      <c r="D1080" t="s">
        <v>24</v>
      </c>
      <c r="E1080" t="s">
        <v>18</v>
      </c>
      <c r="F1080" s="9">
        <v>0.15</v>
      </c>
      <c r="G1080" s="10">
        <v>13953</v>
      </c>
      <c r="H1080">
        <v>7.49</v>
      </c>
      <c r="I1080" s="5">
        <f>ROUND(Marketing[[#This Row],[Clicks]]*Marketing[[#This Row],[Conversion_Rate]],0)</f>
        <v>147</v>
      </c>
      <c r="J1080" s="12">
        <f>Marketing[[#This Row],[Campaign_Cost]]/Marketing[[#This Row],[Customers]]</f>
        <v>94.91836734693878</v>
      </c>
      <c r="K1080" t="s">
        <v>19</v>
      </c>
      <c r="L1080" t="s">
        <v>39</v>
      </c>
      <c r="M1080">
        <v>981</v>
      </c>
      <c r="N1080">
        <v>7707</v>
      </c>
      <c r="O1080">
        <v>3</v>
      </c>
      <c r="P1080" t="s">
        <v>42</v>
      </c>
      <c r="Q1080" s="1">
        <v>44545</v>
      </c>
    </row>
    <row r="1081" spans="1:17" x14ac:dyDescent="0.3">
      <c r="A1081" t="s">
        <v>28</v>
      </c>
      <c r="B1081" t="s">
        <v>45</v>
      </c>
      <c r="C1081" t="s">
        <v>16</v>
      </c>
      <c r="D1081" t="s">
        <v>24</v>
      </c>
      <c r="E1081" t="s">
        <v>18</v>
      </c>
      <c r="F1081" s="9">
        <v>0.06</v>
      </c>
      <c r="G1081" s="10">
        <v>5852</v>
      </c>
      <c r="H1081">
        <v>6.99</v>
      </c>
      <c r="I1081" s="5">
        <f>ROUND(Marketing[[#This Row],[Clicks]]*Marketing[[#This Row],[Conversion_Rate]],0)</f>
        <v>8</v>
      </c>
      <c r="J1081" s="12">
        <f>Marketing[[#This Row],[Campaign_Cost]]/Marketing[[#This Row],[Customers]]</f>
        <v>731.5</v>
      </c>
      <c r="K1081" t="s">
        <v>38</v>
      </c>
      <c r="L1081" t="s">
        <v>39</v>
      </c>
      <c r="M1081">
        <v>130</v>
      </c>
      <c r="N1081">
        <v>4084</v>
      </c>
      <c r="O1081">
        <v>3</v>
      </c>
      <c r="P1081" t="s">
        <v>42</v>
      </c>
      <c r="Q1081" s="1">
        <v>44546</v>
      </c>
    </row>
    <row r="1082" spans="1:17" x14ac:dyDescent="0.3">
      <c r="A1082" t="s">
        <v>49</v>
      </c>
      <c r="B1082" t="s">
        <v>29</v>
      </c>
      <c r="C1082" t="s">
        <v>23</v>
      </c>
      <c r="D1082" t="s">
        <v>24</v>
      </c>
      <c r="E1082" t="s">
        <v>43</v>
      </c>
      <c r="F1082" s="9">
        <v>0.05</v>
      </c>
      <c r="G1082" s="10">
        <v>19102</v>
      </c>
      <c r="H1082">
        <v>2.25</v>
      </c>
      <c r="I1082" s="5">
        <f>ROUND(Marketing[[#This Row],[Clicks]]*Marketing[[#This Row],[Conversion_Rate]],0)</f>
        <v>32</v>
      </c>
      <c r="J1082" s="12">
        <f>Marketing[[#This Row],[Campaign_Cost]]/Marketing[[#This Row],[Customers]]</f>
        <v>596.9375</v>
      </c>
      <c r="K1082" t="s">
        <v>38</v>
      </c>
      <c r="L1082" t="s">
        <v>39</v>
      </c>
      <c r="M1082">
        <v>644</v>
      </c>
      <c r="N1082">
        <v>6303</v>
      </c>
      <c r="O1082">
        <v>7</v>
      </c>
      <c r="P1082" t="s">
        <v>21</v>
      </c>
      <c r="Q1082" s="1">
        <v>44547</v>
      </c>
    </row>
    <row r="1083" spans="1:17" x14ac:dyDescent="0.3">
      <c r="A1083" t="s">
        <v>28</v>
      </c>
      <c r="B1083" t="s">
        <v>47</v>
      </c>
      <c r="C1083" t="s">
        <v>52</v>
      </c>
      <c r="D1083" t="s">
        <v>40</v>
      </c>
      <c r="E1083" t="s">
        <v>31</v>
      </c>
      <c r="F1083" s="9">
        <v>0.01</v>
      </c>
      <c r="G1083" s="10">
        <v>13496</v>
      </c>
      <c r="H1083">
        <v>4.16</v>
      </c>
      <c r="I1083" s="5">
        <f>ROUND(Marketing[[#This Row],[Clicks]]*Marketing[[#This Row],[Conversion_Rate]],0)</f>
        <v>3</v>
      </c>
      <c r="J1083" s="12">
        <f>Marketing[[#This Row],[Campaign_Cost]]/Marketing[[#This Row],[Customers]]</f>
        <v>4498.666666666667</v>
      </c>
      <c r="K1083" t="s">
        <v>32</v>
      </c>
      <c r="L1083" t="s">
        <v>50</v>
      </c>
      <c r="M1083">
        <v>323</v>
      </c>
      <c r="N1083">
        <v>9354</v>
      </c>
      <c r="O1083">
        <v>5</v>
      </c>
      <c r="P1083" t="s">
        <v>27</v>
      </c>
      <c r="Q1083" s="1">
        <v>44548</v>
      </c>
    </row>
    <row r="1084" spans="1:17" x14ac:dyDescent="0.3">
      <c r="A1084" t="s">
        <v>22</v>
      </c>
      <c r="B1084" t="s">
        <v>36</v>
      </c>
      <c r="C1084" t="s">
        <v>23</v>
      </c>
      <c r="D1084" t="s">
        <v>17</v>
      </c>
      <c r="E1084" t="s">
        <v>18</v>
      </c>
      <c r="F1084" s="9">
        <v>0.09</v>
      </c>
      <c r="G1084" s="10">
        <v>19387</v>
      </c>
      <c r="H1084">
        <v>7.31</v>
      </c>
      <c r="I1084" s="5">
        <f>ROUND(Marketing[[#This Row],[Clicks]]*Marketing[[#This Row],[Conversion_Rate]],0)</f>
        <v>87</v>
      </c>
      <c r="J1084" s="12">
        <f>Marketing[[#This Row],[Campaign_Cost]]/Marketing[[#This Row],[Customers]]</f>
        <v>222.83908045977012</v>
      </c>
      <c r="K1084" t="s">
        <v>51</v>
      </c>
      <c r="L1084" t="s">
        <v>39</v>
      </c>
      <c r="M1084">
        <v>962</v>
      </c>
      <c r="N1084">
        <v>5420</v>
      </c>
      <c r="O1084">
        <v>8</v>
      </c>
      <c r="P1084" t="s">
        <v>21</v>
      </c>
      <c r="Q1084" s="1">
        <v>44549</v>
      </c>
    </row>
    <row r="1085" spans="1:17" x14ac:dyDescent="0.3">
      <c r="A1085" t="s">
        <v>14</v>
      </c>
      <c r="B1085" t="s">
        <v>45</v>
      </c>
      <c r="C1085" t="s">
        <v>23</v>
      </c>
      <c r="D1085" t="s">
        <v>17</v>
      </c>
      <c r="E1085" t="s">
        <v>48</v>
      </c>
      <c r="F1085" s="9">
        <v>0.03</v>
      </c>
      <c r="G1085" s="10">
        <v>16204</v>
      </c>
      <c r="H1085">
        <v>2.29</v>
      </c>
      <c r="I1085" s="5">
        <f>ROUND(Marketing[[#This Row],[Clicks]]*Marketing[[#This Row],[Conversion_Rate]],0)</f>
        <v>16</v>
      </c>
      <c r="J1085" s="12">
        <f>Marketing[[#This Row],[Campaign_Cost]]/Marketing[[#This Row],[Customers]]</f>
        <v>1012.75</v>
      </c>
      <c r="K1085" t="s">
        <v>38</v>
      </c>
      <c r="L1085" t="s">
        <v>39</v>
      </c>
      <c r="M1085">
        <v>531</v>
      </c>
      <c r="N1085">
        <v>7986</v>
      </c>
      <c r="O1085">
        <v>10</v>
      </c>
      <c r="P1085" t="s">
        <v>42</v>
      </c>
      <c r="Q1085" s="1">
        <v>44550</v>
      </c>
    </row>
    <row r="1086" spans="1:17" x14ac:dyDescent="0.3">
      <c r="A1086" t="s">
        <v>28</v>
      </c>
      <c r="B1086" t="s">
        <v>45</v>
      </c>
      <c r="C1086" t="s">
        <v>16</v>
      </c>
      <c r="D1086" t="s">
        <v>24</v>
      </c>
      <c r="E1086" t="s">
        <v>41</v>
      </c>
      <c r="F1086" s="9">
        <v>0.09</v>
      </c>
      <c r="G1086" s="10">
        <v>7916</v>
      </c>
      <c r="H1086">
        <v>7.26</v>
      </c>
      <c r="I1086" s="5">
        <f>ROUND(Marketing[[#This Row],[Clicks]]*Marketing[[#This Row],[Conversion_Rate]],0)</f>
        <v>41</v>
      </c>
      <c r="J1086" s="12">
        <f>Marketing[[#This Row],[Campaign_Cost]]/Marketing[[#This Row],[Customers]]</f>
        <v>193.07317073170731</v>
      </c>
      <c r="K1086" t="s">
        <v>51</v>
      </c>
      <c r="L1086" t="s">
        <v>26</v>
      </c>
      <c r="M1086">
        <v>458</v>
      </c>
      <c r="N1086">
        <v>5532</v>
      </c>
      <c r="O1086">
        <v>5</v>
      </c>
      <c r="P1086" t="s">
        <v>42</v>
      </c>
      <c r="Q1086" s="1">
        <v>44551</v>
      </c>
    </row>
    <row r="1087" spans="1:17" x14ac:dyDescent="0.3">
      <c r="A1087" t="s">
        <v>28</v>
      </c>
      <c r="B1087" t="s">
        <v>45</v>
      </c>
      <c r="C1087" t="s">
        <v>23</v>
      </c>
      <c r="D1087" t="s">
        <v>17</v>
      </c>
      <c r="E1087" t="s">
        <v>48</v>
      </c>
      <c r="F1087" s="9">
        <v>0.13</v>
      </c>
      <c r="G1087" s="10">
        <v>16357</v>
      </c>
      <c r="H1087">
        <v>5.83</v>
      </c>
      <c r="I1087" s="5">
        <f>ROUND(Marketing[[#This Row],[Clicks]]*Marketing[[#This Row],[Conversion_Rate]],0)</f>
        <v>65</v>
      </c>
      <c r="J1087" s="12">
        <f>Marketing[[#This Row],[Campaign_Cost]]/Marketing[[#This Row],[Customers]]</f>
        <v>251.64615384615385</v>
      </c>
      <c r="K1087" t="s">
        <v>38</v>
      </c>
      <c r="L1087" t="s">
        <v>20</v>
      </c>
      <c r="M1087">
        <v>497</v>
      </c>
      <c r="N1087">
        <v>3236</v>
      </c>
      <c r="O1087">
        <v>7</v>
      </c>
      <c r="P1087" t="s">
        <v>44</v>
      </c>
      <c r="Q1087" s="1">
        <v>44552</v>
      </c>
    </row>
    <row r="1088" spans="1:17" x14ac:dyDescent="0.3">
      <c r="A1088" t="s">
        <v>35</v>
      </c>
      <c r="B1088" t="s">
        <v>15</v>
      </c>
      <c r="C1088" t="s">
        <v>23</v>
      </c>
      <c r="D1088" t="s">
        <v>17</v>
      </c>
      <c r="E1088" t="s">
        <v>31</v>
      </c>
      <c r="F1088" s="9">
        <v>0.05</v>
      </c>
      <c r="G1088" s="10">
        <v>14641</v>
      </c>
      <c r="H1088">
        <v>6.17</v>
      </c>
      <c r="I1088" s="5">
        <f>ROUND(Marketing[[#This Row],[Clicks]]*Marketing[[#This Row],[Conversion_Rate]],0)</f>
        <v>41</v>
      </c>
      <c r="J1088" s="12">
        <f>Marketing[[#This Row],[Campaign_Cost]]/Marketing[[#This Row],[Customers]]</f>
        <v>357.09756097560978</v>
      </c>
      <c r="K1088" t="s">
        <v>32</v>
      </c>
      <c r="L1088" t="s">
        <v>20</v>
      </c>
      <c r="M1088">
        <v>826</v>
      </c>
      <c r="N1088">
        <v>6562</v>
      </c>
      <c r="O1088">
        <v>5</v>
      </c>
      <c r="P1088" t="s">
        <v>21</v>
      </c>
      <c r="Q1088" s="1">
        <v>44553</v>
      </c>
    </row>
    <row r="1089" spans="1:17" x14ac:dyDescent="0.3">
      <c r="A1089" t="s">
        <v>22</v>
      </c>
      <c r="B1089" t="s">
        <v>29</v>
      </c>
      <c r="C1089" t="s">
        <v>16</v>
      </c>
      <c r="D1089" t="s">
        <v>17</v>
      </c>
      <c r="E1089" t="s">
        <v>31</v>
      </c>
      <c r="F1089" s="9">
        <v>7.0000000000000007E-2</v>
      </c>
      <c r="G1089" s="10">
        <v>19269</v>
      </c>
      <c r="H1089">
        <v>5.64</v>
      </c>
      <c r="I1089" s="5">
        <f>ROUND(Marketing[[#This Row],[Clicks]]*Marketing[[#This Row],[Conversion_Rate]],0)</f>
        <v>42</v>
      </c>
      <c r="J1089" s="12">
        <f>Marketing[[#This Row],[Campaign_Cost]]/Marketing[[#This Row],[Customers]]</f>
        <v>458.78571428571428</v>
      </c>
      <c r="K1089" t="s">
        <v>25</v>
      </c>
      <c r="L1089" t="s">
        <v>50</v>
      </c>
      <c r="M1089">
        <v>606</v>
      </c>
      <c r="N1089">
        <v>3427</v>
      </c>
      <c r="O1089">
        <v>1</v>
      </c>
      <c r="P1089" t="s">
        <v>27</v>
      </c>
      <c r="Q1089" s="1">
        <v>44554</v>
      </c>
    </row>
    <row r="1090" spans="1:17" x14ac:dyDescent="0.3">
      <c r="A1090" t="s">
        <v>49</v>
      </c>
      <c r="B1090" t="s">
        <v>29</v>
      </c>
      <c r="C1090" t="s">
        <v>16</v>
      </c>
      <c r="D1090" t="s">
        <v>17</v>
      </c>
      <c r="E1090" t="s">
        <v>15</v>
      </c>
      <c r="F1090" s="9">
        <v>0.02</v>
      </c>
      <c r="G1090" s="10">
        <v>6072</v>
      </c>
      <c r="H1090">
        <v>6.56</v>
      </c>
      <c r="I1090" s="5">
        <f>ROUND(Marketing[[#This Row],[Clicks]]*Marketing[[#This Row],[Conversion_Rate]],0)</f>
        <v>13</v>
      </c>
      <c r="J1090" s="12">
        <f>Marketing[[#This Row],[Campaign_Cost]]/Marketing[[#This Row],[Customers]]</f>
        <v>467.07692307692309</v>
      </c>
      <c r="K1090" t="s">
        <v>19</v>
      </c>
      <c r="L1090" t="s">
        <v>39</v>
      </c>
      <c r="M1090">
        <v>637</v>
      </c>
      <c r="N1090">
        <v>6409</v>
      </c>
      <c r="O1090">
        <v>10</v>
      </c>
      <c r="P1090" t="s">
        <v>34</v>
      </c>
      <c r="Q1090" s="1">
        <v>44555</v>
      </c>
    </row>
    <row r="1091" spans="1:17" x14ac:dyDescent="0.3">
      <c r="A1091" t="s">
        <v>35</v>
      </c>
      <c r="B1091" t="s">
        <v>45</v>
      </c>
      <c r="C1091" t="s">
        <v>16</v>
      </c>
      <c r="D1091" t="s">
        <v>46</v>
      </c>
      <c r="E1091" t="s">
        <v>43</v>
      </c>
      <c r="F1091" s="9">
        <v>0.06</v>
      </c>
      <c r="G1091" s="10">
        <v>17093</v>
      </c>
      <c r="H1091">
        <v>5.93</v>
      </c>
      <c r="I1091" s="5">
        <f>ROUND(Marketing[[#This Row],[Clicks]]*Marketing[[#This Row],[Conversion_Rate]],0)</f>
        <v>45</v>
      </c>
      <c r="J1091" s="12">
        <f>Marketing[[#This Row],[Campaign_Cost]]/Marketing[[#This Row],[Customers]]</f>
        <v>379.84444444444443</v>
      </c>
      <c r="K1091" t="s">
        <v>19</v>
      </c>
      <c r="L1091" t="s">
        <v>50</v>
      </c>
      <c r="M1091">
        <v>748</v>
      </c>
      <c r="N1091">
        <v>5909</v>
      </c>
      <c r="O1091">
        <v>6</v>
      </c>
      <c r="P1091" t="s">
        <v>34</v>
      </c>
      <c r="Q1091" s="1">
        <v>44556</v>
      </c>
    </row>
    <row r="1092" spans="1:17" x14ac:dyDescent="0.3">
      <c r="A1092" t="s">
        <v>28</v>
      </c>
      <c r="B1092" t="s">
        <v>47</v>
      </c>
      <c r="C1092" t="s">
        <v>16</v>
      </c>
      <c r="D1092" t="s">
        <v>24</v>
      </c>
      <c r="E1092" t="s">
        <v>31</v>
      </c>
      <c r="F1092" s="9">
        <v>0.04</v>
      </c>
      <c r="G1092" s="10">
        <v>9762</v>
      </c>
      <c r="H1092">
        <v>7.48</v>
      </c>
      <c r="I1092" s="5">
        <f>ROUND(Marketing[[#This Row],[Clicks]]*Marketing[[#This Row],[Conversion_Rate]],0)</f>
        <v>28</v>
      </c>
      <c r="J1092" s="12">
        <f>Marketing[[#This Row],[Campaign_Cost]]/Marketing[[#This Row],[Customers]]</f>
        <v>348.64285714285717</v>
      </c>
      <c r="K1092" t="s">
        <v>19</v>
      </c>
      <c r="L1092" t="s">
        <v>39</v>
      </c>
      <c r="M1092">
        <v>691</v>
      </c>
      <c r="N1092">
        <v>9981</v>
      </c>
      <c r="O1092">
        <v>10</v>
      </c>
      <c r="P1092" t="s">
        <v>42</v>
      </c>
      <c r="Q1092" s="1">
        <v>44557</v>
      </c>
    </row>
    <row r="1093" spans="1:17" x14ac:dyDescent="0.3">
      <c r="A1093" t="s">
        <v>22</v>
      </c>
      <c r="B1093" t="s">
        <v>15</v>
      </c>
      <c r="C1093" t="s">
        <v>37</v>
      </c>
      <c r="D1093" t="s">
        <v>17</v>
      </c>
      <c r="E1093" t="s">
        <v>43</v>
      </c>
      <c r="F1093" s="9">
        <v>0.01</v>
      </c>
      <c r="G1093" s="10">
        <v>11964</v>
      </c>
      <c r="H1093">
        <v>3.32</v>
      </c>
      <c r="I1093" s="5">
        <f>ROUND(Marketing[[#This Row],[Clicks]]*Marketing[[#This Row],[Conversion_Rate]],0)</f>
        <v>5</v>
      </c>
      <c r="J1093" s="12">
        <f>Marketing[[#This Row],[Campaign_Cost]]/Marketing[[#This Row],[Customers]]</f>
        <v>2392.8000000000002</v>
      </c>
      <c r="K1093" t="s">
        <v>51</v>
      </c>
      <c r="L1093" t="s">
        <v>39</v>
      </c>
      <c r="M1093">
        <v>469</v>
      </c>
      <c r="N1093">
        <v>3793</v>
      </c>
      <c r="O1093">
        <v>9</v>
      </c>
      <c r="P1093" t="s">
        <v>21</v>
      </c>
      <c r="Q1093" s="1">
        <v>44558</v>
      </c>
    </row>
    <row r="1094" spans="1:17" x14ac:dyDescent="0.3">
      <c r="A1094" t="s">
        <v>49</v>
      </c>
      <c r="B1094" t="s">
        <v>47</v>
      </c>
      <c r="C1094" t="s">
        <v>16</v>
      </c>
      <c r="D1094" t="s">
        <v>24</v>
      </c>
      <c r="E1094" t="s">
        <v>41</v>
      </c>
      <c r="F1094" s="9">
        <v>0.08</v>
      </c>
      <c r="G1094" s="10">
        <v>18902</v>
      </c>
      <c r="H1094">
        <v>6.58</v>
      </c>
      <c r="I1094" s="5">
        <f>ROUND(Marketing[[#This Row],[Clicks]]*Marketing[[#This Row],[Conversion_Rate]],0)</f>
        <v>16</v>
      </c>
      <c r="J1094" s="12">
        <f>Marketing[[#This Row],[Campaign_Cost]]/Marketing[[#This Row],[Customers]]</f>
        <v>1181.375</v>
      </c>
      <c r="K1094" t="s">
        <v>25</v>
      </c>
      <c r="L1094" t="s">
        <v>39</v>
      </c>
      <c r="M1094">
        <v>204</v>
      </c>
      <c r="N1094">
        <v>3753</v>
      </c>
      <c r="O1094">
        <v>1</v>
      </c>
      <c r="P1094" t="s">
        <v>42</v>
      </c>
      <c r="Q1094" s="1">
        <v>44559</v>
      </c>
    </row>
    <row r="1095" spans="1:17" x14ac:dyDescent="0.3">
      <c r="A1095" t="s">
        <v>28</v>
      </c>
      <c r="B1095" t="s">
        <v>15</v>
      </c>
      <c r="C1095" t="s">
        <v>30</v>
      </c>
      <c r="D1095" t="s">
        <v>40</v>
      </c>
      <c r="E1095" t="s">
        <v>41</v>
      </c>
      <c r="F1095" s="9">
        <v>0.14000000000000001</v>
      </c>
      <c r="G1095" s="10">
        <v>13681</v>
      </c>
      <c r="H1095">
        <v>2.02</v>
      </c>
      <c r="I1095" s="5">
        <f>ROUND(Marketing[[#This Row],[Clicks]]*Marketing[[#This Row],[Conversion_Rate]],0)</f>
        <v>64</v>
      </c>
      <c r="J1095" s="12">
        <f>Marketing[[#This Row],[Campaign_Cost]]/Marketing[[#This Row],[Customers]]</f>
        <v>213.765625</v>
      </c>
      <c r="K1095" t="s">
        <v>51</v>
      </c>
      <c r="L1095" t="s">
        <v>39</v>
      </c>
      <c r="M1095">
        <v>460</v>
      </c>
      <c r="N1095">
        <v>1936</v>
      </c>
      <c r="O1095">
        <v>10</v>
      </c>
      <c r="P1095" t="s">
        <v>27</v>
      </c>
      <c r="Q1095" s="1">
        <v>44560</v>
      </c>
    </row>
    <row r="1096" spans="1:17" x14ac:dyDescent="0.3">
      <c r="A1096" t="s">
        <v>22</v>
      </c>
      <c r="B1096" t="s">
        <v>15</v>
      </c>
      <c r="C1096" t="s">
        <v>23</v>
      </c>
      <c r="D1096" t="s">
        <v>17</v>
      </c>
      <c r="E1096" t="s">
        <v>43</v>
      </c>
      <c r="F1096" s="9">
        <v>7.0000000000000007E-2</v>
      </c>
      <c r="G1096" s="10">
        <v>9320</v>
      </c>
      <c r="H1096">
        <v>2.5499999999999998</v>
      </c>
      <c r="I1096" s="5">
        <f>ROUND(Marketing[[#This Row],[Clicks]]*Marketing[[#This Row],[Conversion_Rate]],0)</f>
        <v>67</v>
      </c>
      <c r="J1096" s="12">
        <f>Marketing[[#This Row],[Campaign_Cost]]/Marketing[[#This Row],[Customers]]</f>
        <v>139.1044776119403</v>
      </c>
      <c r="K1096" t="s">
        <v>38</v>
      </c>
      <c r="L1096" t="s">
        <v>33</v>
      </c>
      <c r="M1096">
        <v>951</v>
      </c>
      <c r="N1096">
        <v>3500</v>
      </c>
      <c r="O1096">
        <v>5</v>
      </c>
      <c r="P1096" t="s">
        <v>44</v>
      </c>
      <c r="Q1096" s="1">
        <v>44561</v>
      </c>
    </row>
    <row r="1097" spans="1:17" x14ac:dyDescent="0.3">
      <c r="A1097" t="s">
        <v>22</v>
      </c>
      <c r="B1097" t="s">
        <v>45</v>
      </c>
      <c r="C1097" t="s">
        <v>30</v>
      </c>
      <c r="D1097" t="s">
        <v>46</v>
      </c>
      <c r="E1097" t="s">
        <v>15</v>
      </c>
      <c r="F1097" s="9">
        <v>0.02</v>
      </c>
      <c r="G1097" s="10">
        <v>16024</v>
      </c>
      <c r="H1097">
        <v>2.95</v>
      </c>
      <c r="I1097" s="5">
        <f>ROUND(Marketing[[#This Row],[Clicks]]*Marketing[[#This Row],[Conversion_Rate]],0)</f>
        <v>19</v>
      </c>
      <c r="J1097" s="12">
        <f>Marketing[[#This Row],[Campaign_Cost]]/Marketing[[#This Row],[Customers]]</f>
        <v>843.36842105263156</v>
      </c>
      <c r="K1097" t="s">
        <v>19</v>
      </c>
      <c r="L1097" t="s">
        <v>39</v>
      </c>
      <c r="M1097">
        <v>929</v>
      </c>
      <c r="N1097">
        <v>5720</v>
      </c>
      <c r="O1097">
        <v>3</v>
      </c>
      <c r="P1097" t="s">
        <v>42</v>
      </c>
      <c r="Q1097" s="1">
        <v>44197</v>
      </c>
    </row>
    <row r="1098" spans="1:17" x14ac:dyDescent="0.3">
      <c r="A1098" t="s">
        <v>14</v>
      </c>
      <c r="B1098" t="s">
        <v>36</v>
      </c>
      <c r="C1098" t="s">
        <v>52</v>
      </c>
      <c r="D1098" t="s">
        <v>40</v>
      </c>
      <c r="E1098" t="s">
        <v>43</v>
      </c>
      <c r="F1098" s="9">
        <v>0.11</v>
      </c>
      <c r="G1098" s="10">
        <v>15793</v>
      </c>
      <c r="H1098">
        <v>5.84</v>
      </c>
      <c r="I1098" s="5">
        <f>ROUND(Marketing[[#This Row],[Clicks]]*Marketing[[#This Row],[Conversion_Rate]],0)</f>
        <v>75</v>
      </c>
      <c r="J1098" s="12">
        <f>Marketing[[#This Row],[Campaign_Cost]]/Marketing[[#This Row],[Customers]]</f>
        <v>210.57333333333332</v>
      </c>
      <c r="K1098" t="s">
        <v>25</v>
      </c>
      <c r="L1098" t="s">
        <v>39</v>
      </c>
      <c r="M1098">
        <v>681</v>
      </c>
      <c r="N1098">
        <v>1586</v>
      </c>
      <c r="O1098">
        <v>3</v>
      </c>
      <c r="P1098" t="s">
        <v>27</v>
      </c>
      <c r="Q1098" s="1">
        <v>44198</v>
      </c>
    </row>
    <row r="1099" spans="1:17" x14ac:dyDescent="0.3">
      <c r="A1099" t="s">
        <v>35</v>
      </c>
      <c r="B1099" t="s">
        <v>45</v>
      </c>
      <c r="C1099" t="s">
        <v>23</v>
      </c>
      <c r="D1099" t="s">
        <v>24</v>
      </c>
      <c r="E1099" t="s">
        <v>18</v>
      </c>
      <c r="F1099" s="9">
        <v>0.03</v>
      </c>
      <c r="G1099" s="10">
        <v>7867</v>
      </c>
      <c r="H1099">
        <v>5.67</v>
      </c>
      <c r="I1099" s="5">
        <f>ROUND(Marketing[[#This Row],[Clicks]]*Marketing[[#This Row],[Conversion_Rate]],0)</f>
        <v>10</v>
      </c>
      <c r="J1099" s="12">
        <f>Marketing[[#This Row],[Campaign_Cost]]/Marketing[[#This Row],[Customers]]</f>
        <v>786.7</v>
      </c>
      <c r="K1099" t="s">
        <v>32</v>
      </c>
      <c r="L1099" t="s">
        <v>20</v>
      </c>
      <c r="M1099">
        <v>344</v>
      </c>
      <c r="N1099">
        <v>4687</v>
      </c>
      <c r="O1099">
        <v>3</v>
      </c>
      <c r="P1099" t="s">
        <v>34</v>
      </c>
      <c r="Q1099" s="1">
        <v>44199</v>
      </c>
    </row>
    <row r="1100" spans="1:17" x14ac:dyDescent="0.3">
      <c r="A1100" t="s">
        <v>22</v>
      </c>
      <c r="B1100" t="s">
        <v>36</v>
      </c>
      <c r="C1100" t="s">
        <v>30</v>
      </c>
      <c r="D1100" t="s">
        <v>17</v>
      </c>
      <c r="E1100" t="s">
        <v>31</v>
      </c>
      <c r="F1100" s="9">
        <v>0.05</v>
      </c>
      <c r="G1100" s="10">
        <v>16413</v>
      </c>
      <c r="H1100">
        <v>6.12</v>
      </c>
      <c r="I1100" s="5">
        <f>ROUND(Marketing[[#This Row],[Clicks]]*Marketing[[#This Row],[Conversion_Rate]],0)</f>
        <v>22</v>
      </c>
      <c r="J1100" s="12">
        <f>Marketing[[#This Row],[Campaign_Cost]]/Marketing[[#This Row],[Customers]]</f>
        <v>746.0454545454545</v>
      </c>
      <c r="K1100" t="s">
        <v>32</v>
      </c>
      <c r="L1100" t="s">
        <v>26</v>
      </c>
      <c r="M1100">
        <v>433</v>
      </c>
      <c r="N1100">
        <v>1151</v>
      </c>
      <c r="O1100">
        <v>7</v>
      </c>
      <c r="P1100" t="s">
        <v>42</v>
      </c>
      <c r="Q1100" s="1">
        <v>44200</v>
      </c>
    </row>
    <row r="1101" spans="1:17" x14ac:dyDescent="0.3">
      <c r="A1101" t="s">
        <v>49</v>
      </c>
      <c r="B1101" t="s">
        <v>47</v>
      </c>
      <c r="C1101" t="s">
        <v>16</v>
      </c>
      <c r="D1101" t="s">
        <v>40</v>
      </c>
      <c r="E1101" t="s">
        <v>43</v>
      </c>
      <c r="F1101" s="9">
        <v>7.0000000000000007E-2</v>
      </c>
      <c r="G1101" s="10">
        <v>16805</v>
      </c>
      <c r="H1101">
        <v>5.29</v>
      </c>
      <c r="I1101" s="5">
        <f>ROUND(Marketing[[#This Row],[Clicks]]*Marketing[[#This Row],[Conversion_Rate]],0)</f>
        <v>68</v>
      </c>
      <c r="J1101" s="12">
        <f>Marketing[[#This Row],[Campaign_Cost]]/Marketing[[#This Row],[Customers]]</f>
        <v>247.13235294117646</v>
      </c>
      <c r="K1101" t="s">
        <v>25</v>
      </c>
      <c r="L1101" t="s">
        <v>39</v>
      </c>
      <c r="M1101">
        <v>965</v>
      </c>
      <c r="N1101">
        <v>6252</v>
      </c>
      <c r="O1101">
        <v>3</v>
      </c>
      <c r="P1101" t="s">
        <v>42</v>
      </c>
      <c r="Q1101" s="1">
        <v>44201</v>
      </c>
    </row>
    <row r="1102" spans="1:17" x14ac:dyDescent="0.3">
      <c r="A1102" t="s">
        <v>14</v>
      </c>
      <c r="B1102" t="s">
        <v>29</v>
      </c>
      <c r="C1102" t="s">
        <v>37</v>
      </c>
      <c r="D1102" t="s">
        <v>46</v>
      </c>
      <c r="E1102" t="s">
        <v>43</v>
      </c>
      <c r="F1102" s="9">
        <v>0.14000000000000001</v>
      </c>
      <c r="G1102" s="10">
        <v>18698</v>
      </c>
      <c r="H1102">
        <v>7.99</v>
      </c>
      <c r="I1102" s="5">
        <f>ROUND(Marketing[[#This Row],[Clicks]]*Marketing[[#This Row],[Conversion_Rate]],0)</f>
        <v>139</v>
      </c>
      <c r="J1102" s="12">
        <f>Marketing[[#This Row],[Campaign_Cost]]/Marketing[[#This Row],[Customers]]</f>
        <v>134.5179856115108</v>
      </c>
      <c r="K1102" t="s">
        <v>32</v>
      </c>
      <c r="L1102" t="s">
        <v>39</v>
      </c>
      <c r="M1102">
        <v>994</v>
      </c>
      <c r="N1102">
        <v>8016</v>
      </c>
      <c r="O1102">
        <v>4</v>
      </c>
      <c r="P1102" t="s">
        <v>42</v>
      </c>
      <c r="Q1102" s="1">
        <v>44202</v>
      </c>
    </row>
    <row r="1103" spans="1:17" x14ac:dyDescent="0.3">
      <c r="A1103" t="s">
        <v>28</v>
      </c>
      <c r="B1103" t="s">
        <v>45</v>
      </c>
      <c r="C1103" t="s">
        <v>30</v>
      </c>
      <c r="D1103" t="s">
        <v>24</v>
      </c>
      <c r="E1103" t="s">
        <v>43</v>
      </c>
      <c r="F1103" s="9">
        <v>0.05</v>
      </c>
      <c r="G1103" s="10">
        <v>19242</v>
      </c>
      <c r="H1103">
        <v>3.42</v>
      </c>
      <c r="I1103" s="5">
        <f>ROUND(Marketing[[#This Row],[Clicks]]*Marketing[[#This Row],[Conversion_Rate]],0)</f>
        <v>36</v>
      </c>
      <c r="J1103" s="12">
        <f>Marketing[[#This Row],[Campaign_Cost]]/Marketing[[#This Row],[Customers]]</f>
        <v>534.5</v>
      </c>
      <c r="K1103" t="s">
        <v>19</v>
      </c>
      <c r="L1103" t="s">
        <v>20</v>
      </c>
      <c r="M1103">
        <v>721</v>
      </c>
      <c r="N1103">
        <v>3441</v>
      </c>
      <c r="O1103">
        <v>4</v>
      </c>
      <c r="P1103" t="s">
        <v>44</v>
      </c>
      <c r="Q1103" s="1">
        <v>44203</v>
      </c>
    </row>
    <row r="1104" spans="1:17" x14ac:dyDescent="0.3">
      <c r="A1104" t="s">
        <v>22</v>
      </c>
      <c r="B1104" t="s">
        <v>45</v>
      </c>
      <c r="C1104" t="s">
        <v>37</v>
      </c>
      <c r="D1104" t="s">
        <v>24</v>
      </c>
      <c r="E1104" t="s">
        <v>48</v>
      </c>
      <c r="F1104" s="9">
        <v>0.11</v>
      </c>
      <c r="G1104" s="10">
        <v>8254</v>
      </c>
      <c r="H1104">
        <v>3.66</v>
      </c>
      <c r="I1104" s="5">
        <f>ROUND(Marketing[[#This Row],[Clicks]]*Marketing[[#This Row],[Conversion_Rate]],0)</f>
        <v>46</v>
      </c>
      <c r="J1104" s="12">
        <f>Marketing[[#This Row],[Campaign_Cost]]/Marketing[[#This Row],[Customers]]</f>
        <v>179.43478260869566</v>
      </c>
      <c r="K1104" t="s">
        <v>19</v>
      </c>
      <c r="L1104" t="s">
        <v>26</v>
      </c>
      <c r="M1104">
        <v>414</v>
      </c>
      <c r="N1104">
        <v>1726</v>
      </c>
      <c r="O1104">
        <v>2</v>
      </c>
      <c r="P1104" t="s">
        <v>34</v>
      </c>
      <c r="Q1104" s="1">
        <v>44204</v>
      </c>
    </row>
    <row r="1105" spans="1:17" x14ac:dyDescent="0.3">
      <c r="A1105" t="s">
        <v>35</v>
      </c>
      <c r="B1105" t="s">
        <v>45</v>
      </c>
      <c r="C1105" t="s">
        <v>30</v>
      </c>
      <c r="D1105" t="s">
        <v>24</v>
      </c>
      <c r="E1105" t="s">
        <v>31</v>
      </c>
      <c r="F1105" s="9">
        <v>0.02</v>
      </c>
      <c r="G1105" s="10">
        <v>16525</v>
      </c>
      <c r="H1105">
        <v>4.9800000000000004</v>
      </c>
      <c r="I1105" s="5">
        <f>ROUND(Marketing[[#This Row],[Clicks]]*Marketing[[#This Row],[Conversion_Rate]],0)</f>
        <v>2</v>
      </c>
      <c r="J1105" s="12">
        <f>Marketing[[#This Row],[Campaign_Cost]]/Marketing[[#This Row],[Customers]]</f>
        <v>8262.5</v>
      </c>
      <c r="K1105" t="s">
        <v>25</v>
      </c>
      <c r="L1105" t="s">
        <v>39</v>
      </c>
      <c r="M1105">
        <v>107</v>
      </c>
      <c r="N1105">
        <v>3068</v>
      </c>
      <c r="O1105">
        <v>10</v>
      </c>
      <c r="P1105" t="s">
        <v>21</v>
      </c>
      <c r="Q1105" s="1">
        <v>44205</v>
      </c>
    </row>
    <row r="1106" spans="1:17" x14ac:dyDescent="0.3">
      <c r="A1106" t="s">
        <v>28</v>
      </c>
      <c r="B1106" t="s">
        <v>47</v>
      </c>
      <c r="C1106" t="s">
        <v>30</v>
      </c>
      <c r="D1106" t="s">
        <v>40</v>
      </c>
      <c r="E1106" t="s">
        <v>15</v>
      </c>
      <c r="F1106" s="9">
        <v>0.1</v>
      </c>
      <c r="G1106" s="10">
        <v>17111</v>
      </c>
      <c r="H1106">
        <v>6.79</v>
      </c>
      <c r="I1106" s="5">
        <f>ROUND(Marketing[[#This Row],[Clicks]]*Marketing[[#This Row],[Conversion_Rate]],0)</f>
        <v>45</v>
      </c>
      <c r="J1106" s="12">
        <f>Marketing[[#This Row],[Campaign_Cost]]/Marketing[[#This Row],[Customers]]</f>
        <v>380.24444444444447</v>
      </c>
      <c r="K1106" t="s">
        <v>19</v>
      </c>
      <c r="L1106" t="s">
        <v>50</v>
      </c>
      <c r="M1106">
        <v>445</v>
      </c>
      <c r="N1106">
        <v>6826</v>
      </c>
      <c r="O1106">
        <v>7</v>
      </c>
      <c r="P1106" t="s">
        <v>44</v>
      </c>
      <c r="Q1106" s="1">
        <v>44206</v>
      </c>
    </row>
    <row r="1107" spans="1:17" x14ac:dyDescent="0.3">
      <c r="A1107" t="s">
        <v>49</v>
      </c>
      <c r="B1107" t="s">
        <v>15</v>
      </c>
      <c r="C1107" t="s">
        <v>23</v>
      </c>
      <c r="D1107" t="s">
        <v>46</v>
      </c>
      <c r="E1107" t="s">
        <v>43</v>
      </c>
      <c r="F1107" s="9">
        <v>0.05</v>
      </c>
      <c r="G1107" s="10">
        <v>14379</v>
      </c>
      <c r="H1107">
        <v>2.46</v>
      </c>
      <c r="I1107" s="5">
        <f>ROUND(Marketing[[#This Row],[Clicks]]*Marketing[[#This Row],[Conversion_Rate]],0)</f>
        <v>43</v>
      </c>
      <c r="J1107" s="12">
        <f>Marketing[[#This Row],[Campaign_Cost]]/Marketing[[#This Row],[Customers]]</f>
        <v>334.39534883720933</v>
      </c>
      <c r="K1107" t="s">
        <v>25</v>
      </c>
      <c r="L1107" t="s">
        <v>39</v>
      </c>
      <c r="M1107">
        <v>865</v>
      </c>
      <c r="N1107">
        <v>5147</v>
      </c>
      <c r="O1107">
        <v>1</v>
      </c>
      <c r="P1107" t="s">
        <v>34</v>
      </c>
      <c r="Q1107" s="1">
        <v>44207</v>
      </c>
    </row>
    <row r="1108" spans="1:17" x14ac:dyDescent="0.3">
      <c r="A1108" t="s">
        <v>28</v>
      </c>
      <c r="B1108" t="s">
        <v>36</v>
      </c>
      <c r="C1108" t="s">
        <v>52</v>
      </c>
      <c r="D1108" t="s">
        <v>40</v>
      </c>
      <c r="E1108" t="s">
        <v>31</v>
      </c>
      <c r="F1108" s="9">
        <v>0.13</v>
      </c>
      <c r="G1108" s="10">
        <v>19873</v>
      </c>
      <c r="H1108">
        <v>6.12</v>
      </c>
      <c r="I1108" s="5">
        <f>ROUND(Marketing[[#This Row],[Clicks]]*Marketing[[#This Row],[Conversion_Rate]],0)</f>
        <v>110</v>
      </c>
      <c r="J1108" s="12">
        <f>Marketing[[#This Row],[Campaign_Cost]]/Marketing[[#This Row],[Customers]]</f>
        <v>180.66363636363636</v>
      </c>
      <c r="K1108" t="s">
        <v>25</v>
      </c>
      <c r="L1108" t="s">
        <v>20</v>
      </c>
      <c r="M1108">
        <v>846</v>
      </c>
      <c r="N1108">
        <v>7513</v>
      </c>
      <c r="O1108">
        <v>1</v>
      </c>
      <c r="P1108" t="s">
        <v>44</v>
      </c>
      <c r="Q1108" s="1">
        <v>44208</v>
      </c>
    </row>
    <row r="1109" spans="1:17" x14ac:dyDescent="0.3">
      <c r="A1109" t="s">
        <v>28</v>
      </c>
      <c r="B1109" t="s">
        <v>47</v>
      </c>
      <c r="C1109" t="s">
        <v>30</v>
      </c>
      <c r="D1109" t="s">
        <v>17</v>
      </c>
      <c r="E1109" t="s">
        <v>31</v>
      </c>
      <c r="F1109" s="9">
        <v>0.1</v>
      </c>
      <c r="G1109" s="10">
        <v>12913</v>
      </c>
      <c r="H1109">
        <v>3.41</v>
      </c>
      <c r="I1109" s="5">
        <f>ROUND(Marketing[[#This Row],[Clicks]]*Marketing[[#This Row],[Conversion_Rate]],0)</f>
        <v>20</v>
      </c>
      <c r="J1109" s="12">
        <f>Marketing[[#This Row],[Campaign_Cost]]/Marketing[[#This Row],[Customers]]</f>
        <v>645.65</v>
      </c>
      <c r="K1109" t="s">
        <v>38</v>
      </c>
      <c r="L1109" t="s">
        <v>50</v>
      </c>
      <c r="M1109">
        <v>196</v>
      </c>
      <c r="N1109">
        <v>3515</v>
      </c>
      <c r="O1109">
        <v>6</v>
      </c>
      <c r="P1109" t="s">
        <v>44</v>
      </c>
      <c r="Q1109" s="1">
        <v>44209</v>
      </c>
    </row>
    <row r="1110" spans="1:17" x14ac:dyDescent="0.3">
      <c r="A1110" t="s">
        <v>28</v>
      </c>
      <c r="B1110" t="s">
        <v>15</v>
      </c>
      <c r="C1110" t="s">
        <v>23</v>
      </c>
      <c r="D1110" t="s">
        <v>40</v>
      </c>
      <c r="E1110" t="s">
        <v>41</v>
      </c>
      <c r="F1110" s="9">
        <v>0.01</v>
      </c>
      <c r="G1110" s="10">
        <v>7847</v>
      </c>
      <c r="H1110">
        <v>3.62</v>
      </c>
      <c r="I1110" s="5">
        <f>ROUND(Marketing[[#This Row],[Clicks]]*Marketing[[#This Row],[Conversion_Rate]],0)</f>
        <v>5</v>
      </c>
      <c r="J1110" s="12">
        <f>Marketing[[#This Row],[Campaign_Cost]]/Marketing[[#This Row],[Customers]]</f>
        <v>1569.4</v>
      </c>
      <c r="K1110" t="s">
        <v>32</v>
      </c>
      <c r="L1110" t="s">
        <v>33</v>
      </c>
      <c r="M1110">
        <v>470</v>
      </c>
      <c r="N1110">
        <v>1494</v>
      </c>
      <c r="O1110">
        <v>4</v>
      </c>
      <c r="P1110" t="s">
        <v>27</v>
      </c>
      <c r="Q1110" s="1">
        <v>44210</v>
      </c>
    </row>
    <row r="1111" spans="1:17" x14ac:dyDescent="0.3">
      <c r="A1111" t="s">
        <v>28</v>
      </c>
      <c r="B1111" t="s">
        <v>15</v>
      </c>
      <c r="C1111" t="s">
        <v>23</v>
      </c>
      <c r="D1111" t="s">
        <v>24</v>
      </c>
      <c r="E1111" t="s">
        <v>43</v>
      </c>
      <c r="F1111" s="9">
        <v>0.13</v>
      </c>
      <c r="G1111" s="10">
        <v>5815</v>
      </c>
      <c r="H1111">
        <v>6.66</v>
      </c>
      <c r="I1111" s="5">
        <f>ROUND(Marketing[[#This Row],[Clicks]]*Marketing[[#This Row],[Conversion_Rate]],0)</f>
        <v>57</v>
      </c>
      <c r="J1111" s="12">
        <f>Marketing[[#This Row],[Campaign_Cost]]/Marketing[[#This Row],[Customers]]</f>
        <v>102.01754385964912</v>
      </c>
      <c r="K1111" t="s">
        <v>32</v>
      </c>
      <c r="L1111" t="s">
        <v>33</v>
      </c>
      <c r="M1111">
        <v>442</v>
      </c>
      <c r="N1111">
        <v>9213</v>
      </c>
      <c r="O1111">
        <v>1</v>
      </c>
      <c r="P1111" t="s">
        <v>34</v>
      </c>
      <c r="Q1111" s="1">
        <v>44211</v>
      </c>
    </row>
    <row r="1112" spans="1:17" x14ac:dyDescent="0.3">
      <c r="A1112" t="s">
        <v>35</v>
      </c>
      <c r="B1112" t="s">
        <v>47</v>
      </c>
      <c r="C1112" t="s">
        <v>37</v>
      </c>
      <c r="D1112" t="s">
        <v>17</v>
      </c>
      <c r="E1112" t="s">
        <v>18</v>
      </c>
      <c r="F1112" s="9">
        <v>0.1</v>
      </c>
      <c r="G1112" s="10">
        <v>17787</v>
      </c>
      <c r="H1112">
        <v>3.05</v>
      </c>
      <c r="I1112" s="5">
        <f>ROUND(Marketing[[#This Row],[Clicks]]*Marketing[[#This Row],[Conversion_Rate]],0)</f>
        <v>52</v>
      </c>
      <c r="J1112" s="12">
        <f>Marketing[[#This Row],[Campaign_Cost]]/Marketing[[#This Row],[Customers]]</f>
        <v>342.05769230769232</v>
      </c>
      <c r="K1112" t="s">
        <v>19</v>
      </c>
      <c r="L1112" t="s">
        <v>50</v>
      </c>
      <c r="M1112">
        <v>519</v>
      </c>
      <c r="N1112">
        <v>2919</v>
      </c>
      <c r="O1112">
        <v>1</v>
      </c>
      <c r="P1112" t="s">
        <v>27</v>
      </c>
      <c r="Q1112" s="1">
        <v>44212</v>
      </c>
    </row>
    <row r="1113" spans="1:17" x14ac:dyDescent="0.3">
      <c r="A1113" t="s">
        <v>35</v>
      </c>
      <c r="B1113" t="s">
        <v>47</v>
      </c>
      <c r="C1113" t="s">
        <v>37</v>
      </c>
      <c r="D1113" t="s">
        <v>24</v>
      </c>
      <c r="E1113" t="s">
        <v>41</v>
      </c>
      <c r="F1113" s="9">
        <v>0.15</v>
      </c>
      <c r="G1113" s="10">
        <v>17972</v>
      </c>
      <c r="H1113">
        <v>4.43</v>
      </c>
      <c r="I1113" s="5">
        <f>ROUND(Marketing[[#This Row],[Clicks]]*Marketing[[#This Row],[Conversion_Rate]],0)</f>
        <v>110</v>
      </c>
      <c r="J1113" s="12">
        <f>Marketing[[#This Row],[Campaign_Cost]]/Marketing[[#This Row],[Customers]]</f>
        <v>163.38181818181818</v>
      </c>
      <c r="K1113" t="s">
        <v>38</v>
      </c>
      <c r="L1113" t="s">
        <v>50</v>
      </c>
      <c r="M1113">
        <v>736</v>
      </c>
      <c r="N1113">
        <v>4806</v>
      </c>
      <c r="O1113">
        <v>4</v>
      </c>
      <c r="P1113" t="s">
        <v>44</v>
      </c>
      <c r="Q1113" s="1">
        <v>44213</v>
      </c>
    </row>
    <row r="1114" spans="1:17" x14ac:dyDescent="0.3">
      <c r="A1114" t="s">
        <v>14</v>
      </c>
      <c r="B1114" t="s">
        <v>36</v>
      </c>
      <c r="C1114" t="s">
        <v>23</v>
      </c>
      <c r="D1114" t="s">
        <v>17</v>
      </c>
      <c r="E1114" t="s">
        <v>48</v>
      </c>
      <c r="F1114" s="9">
        <v>0.02</v>
      </c>
      <c r="G1114" s="10">
        <v>6403</v>
      </c>
      <c r="H1114">
        <v>3.78</v>
      </c>
      <c r="I1114" s="5">
        <f>ROUND(Marketing[[#This Row],[Clicks]]*Marketing[[#This Row],[Conversion_Rate]],0)</f>
        <v>6</v>
      </c>
      <c r="J1114" s="12">
        <f>Marketing[[#This Row],[Campaign_Cost]]/Marketing[[#This Row],[Customers]]</f>
        <v>1067.1666666666667</v>
      </c>
      <c r="K1114" t="s">
        <v>32</v>
      </c>
      <c r="L1114" t="s">
        <v>39</v>
      </c>
      <c r="M1114">
        <v>295</v>
      </c>
      <c r="N1114">
        <v>5038</v>
      </c>
      <c r="O1114">
        <v>3</v>
      </c>
      <c r="P1114" t="s">
        <v>44</v>
      </c>
      <c r="Q1114" s="1">
        <v>44214</v>
      </c>
    </row>
    <row r="1115" spans="1:17" x14ac:dyDescent="0.3">
      <c r="A1115" t="s">
        <v>14</v>
      </c>
      <c r="B1115" t="s">
        <v>36</v>
      </c>
      <c r="C1115" t="s">
        <v>16</v>
      </c>
      <c r="D1115" t="s">
        <v>40</v>
      </c>
      <c r="E1115" t="s">
        <v>15</v>
      </c>
      <c r="F1115" s="9">
        <v>0.06</v>
      </c>
      <c r="G1115" s="10">
        <v>16146</v>
      </c>
      <c r="H1115">
        <v>4.04</v>
      </c>
      <c r="I1115" s="5">
        <f>ROUND(Marketing[[#This Row],[Clicks]]*Marketing[[#This Row],[Conversion_Rate]],0)</f>
        <v>34</v>
      </c>
      <c r="J1115" s="12">
        <f>Marketing[[#This Row],[Campaign_Cost]]/Marketing[[#This Row],[Customers]]</f>
        <v>474.88235294117646</v>
      </c>
      <c r="K1115" t="s">
        <v>38</v>
      </c>
      <c r="L1115" t="s">
        <v>20</v>
      </c>
      <c r="M1115">
        <v>559</v>
      </c>
      <c r="N1115">
        <v>7335</v>
      </c>
      <c r="O1115">
        <v>9</v>
      </c>
      <c r="P1115" t="s">
        <v>44</v>
      </c>
      <c r="Q1115" s="1">
        <v>44215</v>
      </c>
    </row>
    <row r="1116" spans="1:17" x14ac:dyDescent="0.3">
      <c r="A1116" t="s">
        <v>49</v>
      </c>
      <c r="B1116" t="s">
        <v>15</v>
      </c>
      <c r="C1116" t="s">
        <v>16</v>
      </c>
      <c r="D1116" t="s">
        <v>24</v>
      </c>
      <c r="E1116" t="s">
        <v>41</v>
      </c>
      <c r="F1116" s="9">
        <v>7.0000000000000007E-2</v>
      </c>
      <c r="G1116" s="10">
        <v>15607</v>
      </c>
      <c r="H1116">
        <v>3.48</v>
      </c>
      <c r="I1116" s="5">
        <f>ROUND(Marketing[[#This Row],[Clicks]]*Marketing[[#This Row],[Conversion_Rate]],0)</f>
        <v>44</v>
      </c>
      <c r="J1116" s="12">
        <f>Marketing[[#This Row],[Campaign_Cost]]/Marketing[[#This Row],[Customers]]</f>
        <v>354.70454545454544</v>
      </c>
      <c r="K1116" t="s">
        <v>38</v>
      </c>
      <c r="L1116" t="s">
        <v>26</v>
      </c>
      <c r="M1116">
        <v>632</v>
      </c>
      <c r="N1116">
        <v>8634</v>
      </c>
      <c r="O1116">
        <v>6</v>
      </c>
      <c r="P1116" t="s">
        <v>44</v>
      </c>
      <c r="Q1116" s="1">
        <v>44216</v>
      </c>
    </row>
    <row r="1117" spans="1:17" x14ac:dyDescent="0.3">
      <c r="A1117" t="s">
        <v>35</v>
      </c>
      <c r="B1117" t="s">
        <v>47</v>
      </c>
      <c r="C1117" t="s">
        <v>16</v>
      </c>
      <c r="D1117" t="s">
        <v>40</v>
      </c>
      <c r="E1117" t="s">
        <v>31</v>
      </c>
      <c r="F1117" s="9">
        <v>0.05</v>
      </c>
      <c r="G1117" s="10">
        <v>14985</v>
      </c>
      <c r="H1117">
        <v>5.6</v>
      </c>
      <c r="I1117" s="5">
        <f>ROUND(Marketing[[#This Row],[Clicks]]*Marketing[[#This Row],[Conversion_Rate]],0)</f>
        <v>11</v>
      </c>
      <c r="J1117" s="12">
        <f>Marketing[[#This Row],[Campaign_Cost]]/Marketing[[#This Row],[Customers]]</f>
        <v>1362.2727272727273</v>
      </c>
      <c r="K1117" t="s">
        <v>25</v>
      </c>
      <c r="L1117" t="s">
        <v>39</v>
      </c>
      <c r="M1117">
        <v>229</v>
      </c>
      <c r="N1117">
        <v>5185</v>
      </c>
      <c r="O1117">
        <v>3</v>
      </c>
      <c r="P1117" t="s">
        <v>44</v>
      </c>
      <c r="Q1117" s="1">
        <v>44217</v>
      </c>
    </row>
    <row r="1118" spans="1:17" x14ac:dyDescent="0.3">
      <c r="A1118" t="s">
        <v>14</v>
      </c>
      <c r="B1118" t="s">
        <v>45</v>
      </c>
      <c r="C1118" t="s">
        <v>52</v>
      </c>
      <c r="D1118" t="s">
        <v>24</v>
      </c>
      <c r="E1118" t="s">
        <v>18</v>
      </c>
      <c r="F1118" s="9">
        <v>0.06</v>
      </c>
      <c r="G1118" s="10">
        <v>17359</v>
      </c>
      <c r="H1118">
        <v>4.91</v>
      </c>
      <c r="I1118" s="5">
        <f>ROUND(Marketing[[#This Row],[Clicks]]*Marketing[[#This Row],[Conversion_Rate]],0)</f>
        <v>25</v>
      </c>
      <c r="J1118" s="12">
        <f>Marketing[[#This Row],[Campaign_Cost]]/Marketing[[#This Row],[Customers]]</f>
        <v>694.36</v>
      </c>
      <c r="K1118" t="s">
        <v>19</v>
      </c>
      <c r="L1118" t="s">
        <v>50</v>
      </c>
      <c r="M1118">
        <v>422</v>
      </c>
      <c r="N1118">
        <v>9092</v>
      </c>
      <c r="O1118">
        <v>7</v>
      </c>
      <c r="P1118" t="s">
        <v>42</v>
      </c>
      <c r="Q1118" s="1">
        <v>44218</v>
      </c>
    </row>
    <row r="1119" spans="1:17" x14ac:dyDescent="0.3">
      <c r="A1119" t="s">
        <v>28</v>
      </c>
      <c r="B1119" t="s">
        <v>36</v>
      </c>
      <c r="C1119" t="s">
        <v>52</v>
      </c>
      <c r="D1119" t="s">
        <v>17</v>
      </c>
      <c r="E1119" t="s">
        <v>18</v>
      </c>
      <c r="F1119" s="9">
        <v>0.11</v>
      </c>
      <c r="G1119" s="10">
        <v>9925</v>
      </c>
      <c r="H1119">
        <v>5.25</v>
      </c>
      <c r="I1119" s="5">
        <f>ROUND(Marketing[[#This Row],[Clicks]]*Marketing[[#This Row],[Conversion_Rate]],0)</f>
        <v>20</v>
      </c>
      <c r="J1119" s="12">
        <f>Marketing[[#This Row],[Campaign_Cost]]/Marketing[[#This Row],[Customers]]</f>
        <v>496.25</v>
      </c>
      <c r="K1119" t="s">
        <v>19</v>
      </c>
      <c r="L1119" t="s">
        <v>20</v>
      </c>
      <c r="M1119">
        <v>183</v>
      </c>
      <c r="N1119">
        <v>6148</v>
      </c>
      <c r="O1119">
        <v>4</v>
      </c>
      <c r="P1119" t="s">
        <v>34</v>
      </c>
      <c r="Q1119" s="1">
        <v>44219</v>
      </c>
    </row>
    <row r="1120" spans="1:17" x14ac:dyDescent="0.3">
      <c r="A1120" t="s">
        <v>35</v>
      </c>
      <c r="B1120" t="s">
        <v>47</v>
      </c>
      <c r="C1120" t="s">
        <v>52</v>
      </c>
      <c r="D1120" t="s">
        <v>24</v>
      </c>
      <c r="E1120" t="s">
        <v>48</v>
      </c>
      <c r="F1120" s="9">
        <v>0.04</v>
      </c>
      <c r="G1120" s="10">
        <v>9441</v>
      </c>
      <c r="H1120">
        <v>5.24</v>
      </c>
      <c r="I1120" s="5">
        <f>ROUND(Marketing[[#This Row],[Clicks]]*Marketing[[#This Row],[Conversion_Rate]],0)</f>
        <v>31</v>
      </c>
      <c r="J1120" s="12">
        <f>Marketing[[#This Row],[Campaign_Cost]]/Marketing[[#This Row],[Customers]]</f>
        <v>304.54838709677421</v>
      </c>
      <c r="K1120" t="s">
        <v>38</v>
      </c>
      <c r="L1120" t="s">
        <v>50</v>
      </c>
      <c r="M1120">
        <v>783</v>
      </c>
      <c r="N1120">
        <v>2998</v>
      </c>
      <c r="O1120">
        <v>3</v>
      </c>
      <c r="P1120" t="s">
        <v>34</v>
      </c>
      <c r="Q1120" s="1">
        <v>44220</v>
      </c>
    </row>
    <row r="1121" spans="1:17" x14ac:dyDescent="0.3">
      <c r="A1121" t="s">
        <v>22</v>
      </c>
      <c r="B1121" t="s">
        <v>29</v>
      </c>
      <c r="C1121" t="s">
        <v>37</v>
      </c>
      <c r="D1121" t="s">
        <v>40</v>
      </c>
      <c r="E1121" t="s">
        <v>15</v>
      </c>
      <c r="F1121" s="9">
        <v>0.02</v>
      </c>
      <c r="G1121" s="10">
        <v>16223</v>
      </c>
      <c r="H1121">
        <v>5.87</v>
      </c>
      <c r="I1121" s="5">
        <f>ROUND(Marketing[[#This Row],[Clicks]]*Marketing[[#This Row],[Conversion_Rate]],0)</f>
        <v>5</v>
      </c>
      <c r="J1121" s="12">
        <f>Marketing[[#This Row],[Campaign_Cost]]/Marketing[[#This Row],[Customers]]</f>
        <v>3244.6</v>
      </c>
      <c r="K1121" t="s">
        <v>51</v>
      </c>
      <c r="L1121" t="s">
        <v>50</v>
      </c>
      <c r="M1121">
        <v>271</v>
      </c>
      <c r="N1121">
        <v>4829</v>
      </c>
      <c r="O1121">
        <v>10</v>
      </c>
      <c r="P1121" t="s">
        <v>34</v>
      </c>
      <c r="Q1121" s="1">
        <v>44221</v>
      </c>
    </row>
    <row r="1122" spans="1:17" x14ac:dyDescent="0.3">
      <c r="A1122" t="s">
        <v>49</v>
      </c>
      <c r="B1122" t="s">
        <v>47</v>
      </c>
      <c r="C1122" t="s">
        <v>52</v>
      </c>
      <c r="D1122" t="s">
        <v>46</v>
      </c>
      <c r="E1122" t="s">
        <v>41</v>
      </c>
      <c r="F1122" s="9">
        <v>0.15</v>
      </c>
      <c r="G1122" s="10">
        <v>17378</v>
      </c>
      <c r="H1122">
        <v>7.61</v>
      </c>
      <c r="I1122" s="5">
        <f>ROUND(Marketing[[#This Row],[Clicks]]*Marketing[[#This Row],[Conversion_Rate]],0)</f>
        <v>90</v>
      </c>
      <c r="J1122" s="12">
        <f>Marketing[[#This Row],[Campaign_Cost]]/Marketing[[#This Row],[Customers]]</f>
        <v>193.0888888888889</v>
      </c>
      <c r="K1122" t="s">
        <v>38</v>
      </c>
      <c r="L1122" t="s">
        <v>50</v>
      </c>
      <c r="M1122">
        <v>599</v>
      </c>
      <c r="N1122">
        <v>1933</v>
      </c>
      <c r="O1122">
        <v>2</v>
      </c>
      <c r="P1122" t="s">
        <v>27</v>
      </c>
      <c r="Q1122" s="1">
        <v>44222</v>
      </c>
    </row>
    <row r="1123" spans="1:17" x14ac:dyDescent="0.3">
      <c r="A1123" t="s">
        <v>22</v>
      </c>
      <c r="B1123" t="s">
        <v>29</v>
      </c>
      <c r="C1123" t="s">
        <v>37</v>
      </c>
      <c r="D1123" t="s">
        <v>40</v>
      </c>
      <c r="E1123" t="s">
        <v>18</v>
      </c>
      <c r="F1123" s="9">
        <v>0.1</v>
      </c>
      <c r="G1123" s="10">
        <v>8972</v>
      </c>
      <c r="H1123">
        <v>6.26</v>
      </c>
      <c r="I1123" s="5">
        <f>ROUND(Marketing[[#This Row],[Clicks]]*Marketing[[#This Row],[Conversion_Rate]],0)</f>
        <v>44</v>
      </c>
      <c r="J1123" s="12">
        <f>Marketing[[#This Row],[Campaign_Cost]]/Marketing[[#This Row],[Customers]]</f>
        <v>203.90909090909091</v>
      </c>
      <c r="K1123" t="s">
        <v>32</v>
      </c>
      <c r="L1123" t="s">
        <v>39</v>
      </c>
      <c r="M1123">
        <v>441</v>
      </c>
      <c r="N1123">
        <v>6555</v>
      </c>
      <c r="O1123">
        <v>5</v>
      </c>
      <c r="P1123" t="s">
        <v>27</v>
      </c>
      <c r="Q1123" s="1">
        <v>44223</v>
      </c>
    </row>
    <row r="1124" spans="1:17" x14ac:dyDescent="0.3">
      <c r="A1124" t="s">
        <v>28</v>
      </c>
      <c r="B1124" t="s">
        <v>36</v>
      </c>
      <c r="C1124" t="s">
        <v>30</v>
      </c>
      <c r="D1124" t="s">
        <v>17</v>
      </c>
      <c r="E1124" t="s">
        <v>31</v>
      </c>
      <c r="F1124" s="9">
        <v>0.03</v>
      </c>
      <c r="G1124" s="10">
        <v>11862</v>
      </c>
      <c r="H1124">
        <v>3.96</v>
      </c>
      <c r="I1124" s="5">
        <f>ROUND(Marketing[[#This Row],[Clicks]]*Marketing[[#This Row],[Conversion_Rate]],0)</f>
        <v>7</v>
      </c>
      <c r="J1124" s="12">
        <f>Marketing[[#This Row],[Campaign_Cost]]/Marketing[[#This Row],[Customers]]</f>
        <v>1694.5714285714287</v>
      </c>
      <c r="K1124" t="s">
        <v>32</v>
      </c>
      <c r="L1124" t="s">
        <v>39</v>
      </c>
      <c r="M1124">
        <v>224</v>
      </c>
      <c r="N1124">
        <v>7841</v>
      </c>
      <c r="O1124">
        <v>6</v>
      </c>
      <c r="P1124" t="s">
        <v>21</v>
      </c>
      <c r="Q1124" s="1">
        <v>44224</v>
      </c>
    </row>
    <row r="1125" spans="1:17" x14ac:dyDescent="0.3">
      <c r="A1125" t="s">
        <v>22</v>
      </c>
      <c r="B1125" t="s">
        <v>36</v>
      </c>
      <c r="C1125" t="s">
        <v>37</v>
      </c>
      <c r="D1125" t="s">
        <v>17</v>
      </c>
      <c r="E1125" t="s">
        <v>48</v>
      </c>
      <c r="F1125" s="9">
        <v>0.05</v>
      </c>
      <c r="G1125" s="10">
        <v>7215</v>
      </c>
      <c r="H1125">
        <v>5.84</v>
      </c>
      <c r="I1125" s="5">
        <f>ROUND(Marketing[[#This Row],[Clicks]]*Marketing[[#This Row],[Conversion_Rate]],0)</f>
        <v>36</v>
      </c>
      <c r="J1125" s="12">
        <f>Marketing[[#This Row],[Campaign_Cost]]/Marketing[[#This Row],[Customers]]</f>
        <v>200.41666666666666</v>
      </c>
      <c r="K1125" t="s">
        <v>38</v>
      </c>
      <c r="L1125" t="s">
        <v>39</v>
      </c>
      <c r="M1125">
        <v>718</v>
      </c>
      <c r="N1125">
        <v>6491</v>
      </c>
      <c r="O1125">
        <v>1</v>
      </c>
      <c r="P1125" t="s">
        <v>42</v>
      </c>
      <c r="Q1125" s="1">
        <v>44225</v>
      </c>
    </row>
    <row r="1126" spans="1:17" x14ac:dyDescent="0.3">
      <c r="A1126" t="s">
        <v>28</v>
      </c>
      <c r="B1126" t="s">
        <v>29</v>
      </c>
      <c r="C1126" t="s">
        <v>30</v>
      </c>
      <c r="D1126" t="s">
        <v>46</v>
      </c>
      <c r="E1126" t="s">
        <v>31</v>
      </c>
      <c r="F1126" s="9">
        <v>7.0000000000000007E-2</v>
      </c>
      <c r="G1126" s="10">
        <v>14858</v>
      </c>
      <c r="H1126">
        <v>6.56</v>
      </c>
      <c r="I1126" s="5">
        <f>ROUND(Marketing[[#This Row],[Clicks]]*Marketing[[#This Row],[Conversion_Rate]],0)</f>
        <v>43</v>
      </c>
      <c r="J1126" s="12">
        <f>Marketing[[#This Row],[Campaign_Cost]]/Marketing[[#This Row],[Customers]]</f>
        <v>345.53488372093022</v>
      </c>
      <c r="K1126" t="s">
        <v>32</v>
      </c>
      <c r="L1126" t="s">
        <v>26</v>
      </c>
      <c r="M1126">
        <v>608</v>
      </c>
      <c r="N1126">
        <v>7267</v>
      </c>
      <c r="O1126">
        <v>6</v>
      </c>
      <c r="P1126" t="s">
        <v>27</v>
      </c>
      <c r="Q1126" s="1">
        <v>44226</v>
      </c>
    </row>
    <row r="1127" spans="1:17" x14ac:dyDescent="0.3">
      <c r="A1127" t="s">
        <v>49</v>
      </c>
      <c r="B1127" t="s">
        <v>36</v>
      </c>
      <c r="C1127" t="s">
        <v>23</v>
      </c>
      <c r="D1127" t="s">
        <v>40</v>
      </c>
      <c r="E1127" t="s">
        <v>41</v>
      </c>
      <c r="F1127" s="9">
        <v>0.08</v>
      </c>
      <c r="G1127" s="10">
        <v>11918</v>
      </c>
      <c r="H1127">
        <v>7.52</v>
      </c>
      <c r="I1127" s="5">
        <f>ROUND(Marketing[[#This Row],[Clicks]]*Marketing[[#This Row],[Conversion_Rate]],0)</f>
        <v>39</v>
      </c>
      <c r="J1127" s="12">
        <f>Marketing[[#This Row],[Campaign_Cost]]/Marketing[[#This Row],[Customers]]</f>
        <v>305.58974358974359</v>
      </c>
      <c r="K1127" t="s">
        <v>51</v>
      </c>
      <c r="L1127" t="s">
        <v>33</v>
      </c>
      <c r="M1127">
        <v>490</v>
      </c>
      <c r="N1127">
        <v>9394</v>
      </c>
      <c r="O1127">
        <v>9</v>
      </c>
      <c r="P1127" t="s">
        <v>42</v>
      </c>
      <c r="Q1127" s="1">
        <v>44227</v>
      </c>
    </row>
    <row r="1128" spans="1:17" x14ac:dyDescent="0.3">
      <c r="A1128" t="s">
        <v>28</v>
      </c>
      <c r="B1128" t="s">
        <v>29</v>
      </c>
      <c r="C1128" t="s">
        <v>37</v>
      </c>
      <c r="D1128" t="s">
        <v>40</v>
      </c>
      <c r="E1128" t="s">
        <v>41</v>
      </c>
      <c r="F1128" s="9">
        <v>0.01</v>
      </c>
      <c r="G1128" s="10">
        <v>17380</v>
      </c>
      <c r="H1128">
        <v>4.8600000000000003</v>
      </c>
      <c r="I1128" s="5">
        <f>ROUND(Marketing[[#This Row],[Clicks]]*Marketing[[#This Row],[Conversion_Rate]],0)</f>
        <v>3</v>
      </c>
      <c r="J1128" s="12">
        <f>Marketing[[#This Row],[Campaign_Cost]]/Marketing[[#This Row],[Customers]]</f>
        <v>5793.333333333333</v>
      </c>
      <c r="K1128" t="s">
        <v>38</v>
      </c>
      <c r="L1128" t="s">
        <v>33</v>
      </c>
      <c r="M1128">
        <v>303</v>
      </c>
      <c r="N1128">
        <v>4035</v>
      </c>
      <c r="O1128">
        <v>1</v>
      </c>
      <c r="P1128" t="s">
        <v>34</v>
      </c>
      <c r="Q1128" s="1">
        <v>44228</v>
      </c>
    </row>
    <row r="1129" spans="1:17" x14ac:dyDescent="0.3">
      <c r="A1129" t="s">
        <v>22</v>
      </c>
      <c r="B1129" t="s">
        <v>29</v>
      </c>
      <c r="C1129" t="s">
        <v>16</v>
      </c>
      <c r="D1129" t="s">
        <v>17</v>
      </c>
      <c r="E1129" t="s">
        <v>31</v>
      </c>
      <c r="F1129" s="9">
        <v>0.04</v>
      </c>
      <c r="G1129" s="10">
        <v>9649</v>
      </c>
      <c r="H1129">
        <v>5.63</v>
      </c>
      <c r="I1129" s="5">
        <f>ROUND(Marketing[[#This Row],[Clicks]]*Marketing[[#This Row],[Conversion_Rate]],0)</f>
        <v>25</v>
      </c>
      <c r="J1129" s="12">
        <f>Marketing[[#This Row],[Campaign_Cost]]/Marketing[[#This Row],[Customers]]</f>
        <v>385.96</v>
      </c>
      <c r="K1129" t="s">
        <v>32</v>
      </c>
      <c r="L1129" t="s">
        <v>33</v>
      </c>
      <c r="M1129">
        <v>624</v>
      </c>
      <c r="N1129">
        <v>3250</v>
      </c>
      <c r="O1129">
        <v>7</v>
      </c>
      <c r="P1129" t="s">
        <v>27</v>
      </c>
      <c r="Q1129" s="1">
        <v>44229</v>
      </c>
    </row>
    <row r="1130" spans="1:17" x14ac:dyDescent="0.3">
      <c r="A1130" t="s">
        <v>28</v>
      </c>
      <c r="B1130" t="s">
        <v>29</v>
      </c>
      <c r="C1130" t="s">
        <v>52</v>
      </c>
      <c r="D1130" t="s">
        <v>46</v>
      </c>
      <c r="E1130" t="s">
        <v>15</v>
      </c>
      <c r="F1130" s="9">
        <v>0.09</v>
      </c>
      <c r="G1130" s="10">
        <v>19192</v>
      </c>
      <c r="H1130">
        <v>6.02</v>
      </c>
      <c r="I1130" s="5">
        <f>ROUND(Marketing[[#This Row],[Clicks]]*Marketing[[#This Row],[Conversion_Rate]],0)</f>
        <v>84</v>
      </c>
      <c r="J1130" s="12">
        <f>Marketing[[#This Row],[Campaign_Cost]]/Marketing[[#This Row],[Customers]]</f>
        <v>228.47619047619048</v>
      </c>
      <c r="K1130" t="s">
        <v>19</v>
      </c>
      <c r="L1130" t="s">
        <v>50</v>
      </c>
      <c r="M1130">
        <v>930</v>
      </c>
      <c r="N1130">
        <v>8704</v>
      </c>
      <c r="O1130">
        <v>7</v>
      </c>
      <c r="P1130" t="s">
        <v>42</v>
      </c>
      <c r="Q1130" s="1">
        <v>44230</v>
      </c>
    </row>
    <row r="1131" spans="1:17" x14ac:dyDescent="0.3">
      <c r="A1131" t="s">
        <v>22</v>
      </c>
      <c r="B1131" t="s">
        <v>45</v>
      </c>
      <c r="C1131" t="s">
        <v>30</v>
      </c>
      <c r="D1131" t="s">
        <v>40</v>
      </c>
      <c r="E1131" t="s">
        <v>43</v>
      </c>
      <c r="F1131" s="9">
        <v>0.09</v>
      </c>
      <c r="G1131" s="10">
        <v>12752</v>
      </c>
      <c r="H1131">
        <v>7.14</v>
      </c>
      <c r="I1131" s="5">
        <f>ROUND(Marketing[[#This Row],[Clicks]]*Marketing[[#This Row],[Conversion_Rate]],0)</f>
        <v>54</v>
      </c>
      <c r="J1131" s="12">
        <f>Marketing[[#This Row],[Campaign_Cost]]/Marketing[[#This Row],[Customers]]</f>
        <v>236.14814814814815</v>
      </c>
      <c r="K1131" t="s">
        <v>19</v>
      </c>
      <c r="L1131" t="s">
        <v>50</v>
      </c>
      <c r="M1131">
        <v>599</v>
      </c>
      <c r="N1131">
        <v>5013</v>
      </c>
      <c r="O1131">
        <v>6</v>
      </c>
      <c r="P1131" t="s">
        <v>34</v>
      </c>
      <c r="Q1131" s="1">
        <v>44231</v>
      </c>
    </row>
    <row r="1132" spans="1:17" x14ac:dyDescent="0.3">
      <c r="A1132" t="s">
        <v>49</v>
      </c>
      <c r="B1132" t="s">
        <v>15</v>
      </c>
      <c r="C1132" t="s">
        <v>52</v>
      </c>
      <c r="D1132" t="s">
        <v>46</v>
      </c>
      <c r="E1132" t="s">
        <v>41</v>
      </c>
      <c r="F1132" s="9">
        <v>0.01</v>
      </c>
      <c r="G1132" s="10">
        <v>13448</v>
      </c>
      <c r="H1132">
        <v>4.8499999999999996</v>
      </c>
      <c r="I1132" s="5">
        <f>ROUND(Marketing[[#This Row],[Clicks]]*Marketing[[#This Row],[Conversion_Rate]],0)</f>
        <v>6</v>
      </c>
      <c r="J1132" s="12">
        <f>Marketing[[#This Row],[Campaign_Cost]]/Marketing[[#This Row],[Customers]]</f>
        <v>2241.3333333333335</v>
      </c>
      <c r="K1132" t="s">
        <v>38</v>
      </c>
      <c r="L1132" t="s">
        <v>20</v>
      </c>
      <c r="M1132">
        <v>645</v>
      </c>
      <c r="N1132">
        <v>4981</v>
      </c>
      <c r="O1132">
        <v>6</v>
      </c>
      <c r="P1132" t="s">
        <v>27</v>
      </c>
      <c r="Q1132" s="1">
        <v>44232</v>
      </c>
    </row>
    <row r="1133" spans="1:17" x14ac:dyDescent="0.3">
      <c r="A1133" t="s">
        <v>49</v>
      </c>
      <c r="B1133" t="s">
        <v>47</v>
      </c>
      <c r="C1133" t="s">
        <v>30</v>
      </c>
      <c r="D1133" t="s">
        <v>40</v>
      </c>
      <c r="E1133" t="s">
        <v>41</v>
      </c>
      <c r="F1133" s="9">
        <v>0.11</v>
      </c>
      <c r="G1133" s="10">
        <v>14134</v>
      </c>
      <c r="H1133">
        <v>4.82</v>
      </c>
      <c r="I1133" s="5">
        <f>ROUND(Marketing[[#This Row],[Clicks]]*Marketing[[#This Row],[Conversion_Rate]],0)</f>
        <v>106</v>
      </c>
      <c r="J1133" s="12">
        <f>Marketing[[#This Row],[Campaign_Cost]]/Marketing[[#This Row],[Customers]]</f>
        <v>133.33962264150944</v>
      </c>
      <c r="K1133" t="s">
        <v>32</v>
      </c>
      <c r="L1133" t="s">
        <v>39</v>
      </c>
      <c r="M1133">
        <v>964</v>
      </c>
      <c r="N1133">
        <v>9933</v>
      </c>
      <c r="O1133">
        <v>8</v>
      </c>
      <c r="P1133" t="s">
        <v>44</v>
      </c>
      <c r="Q1133" s="1">
        <v>44233</v>
      </c>
    </row>
    <row r="1134" spans="1:17" x14ac:dyDescent="0.3">
      <c r="A1134" t="s">
        <v>22</v>
      </c>
      <c r="B1134" t="s">
        <v>45</v>
      </c>
      <c r="C1134" t="s">
        <v>30</v>
      </c>
      <c r="D1134" t="s">
        <v>40</v>
      </c>
      <c r="E1134" t="s">
        <v>41</v>
      </c>
      <c r="F1134" s="9">
        <v>0.02</v>
      </c>
      <c r="G1134" s="10">
        <v>11417</v>
      </c>
      <c r="H1134">
        <v>5.89</v>
      </c>
      <c r="I1134" s="5">
        <f>ROUND(Marketing[[#This Row],[Clicks]]*Marketing[[#This Row],[Conversion_Rate]],0)</f>
        <v>15</v>
      </c>
      <c r="J1134" s="12">
        <f>Marketing[[#This Row],[Campaign_Cost]]/Marketing[[#This Row],[Customers]]</f>
        <v>761.13333333333333</v>
      </c>
      <c r="K1134" t="s">
        <v>25</v>
      </c>
      <c r="L1134" t="s">
        <v>26</v>
      </c>
      <c r="M1134">
        <v>755</v>
      </c>
      <c r="N1134">
        <v>8314</v>
      </c>
      <c r="O1134">
        <v>4</v>
      </c>
      <c r="P1134" t="s">
        <v>21</v>
      </c>
      <c r="Q1134" s="1">
        <v>44234</v>
      </c>
    </row>
    <row r="1135" spans="1:17" x14ac:dyDescent="0.3">
      <c r="A1135" t="s">
        <v>14</v>
      </c>
      <c r="B1135" t="s">
        <v>29</v>
      </c>
      <c r="C1135" t="s">
        <v>30</v>
      </c>
      <c r="D1135" t="s">
        <v>40</v>
      </c>
      <c r="E1135" t="s">
        <v>48</v>
      </c>
      <c r="F1135" s="9">
        <v>0.15</v>
      </c>
      <c r="G1135" s="10">
        <v>8905</v>
      </c>
      <c r="H1135">
        <v>6.33</v>
      </c>
      <c r="I1135" s="5">
        <f>ROUND(Marketing[[#This Row],[Clicks]]*Marketing[[#This Row],[Conversion_Rate]],0)</f>
        <v>57</v>
      </c>
      <c r="J1135" s="12">
        <f>Marketing[[#This Row],[Campaign_Cost]]/Marketing[[#This Row],[Customers]]</f>
        <v>156.2280701754386</v>
      </c>
      <c r="K1135" t="s">
        <v>51</v>
      </c>
      <c r="L1135" t="s">
        <v>39</v>
      </c>
      <c r="M1135">
        <v>378</v>
      </c>
      <c r="N1135">
        <v>5518</v>
      </c>
      <c r="O1135">
        <v>2</v>
      </c>
      <c r="P1135" t="s">
        <v>21</v>
      </c>
      <c r="Q1135" s="1">
        <v>44235</v>
      </c>
    </row>
    <row r="1136" spans="1:17" x14ac:dyDescent="0.3">
      <c r="A1136" t="s">
        <v>28</v>
      </c>
      <c r="B1136" t="s">
        <v>47</v>
      </c>
      <c r="C1136" t="s">
        <v>37</v>
      </c>
      <c r="D1136" t="s">
        <v>46</v>
      </c>
      <c r="E1136" t="s">
        <v>41</v>
      </c>
      <c r="F1136" s="9">
        <v>0.13</v>
      </c>
      <c r="G1136" s="10">
        <v>9545</v>
      </c>
      <c r="H1136">
        <v>3.23</v>
      </c>
      <c r="I1136" s="5">
        <f>ROUND(Marketing[[#This Row],[Clicks]]*Marketing[[#This Row],[Conversion_Rate]],0)</f>
        <v>34</v>
      </c>
      <c r="J1136" s="12">
        <f>Marketing[[#This Row],[Campaign_Cost]]/Marketing[[#This Row],[Customers]]</f>
        <v>280.73529411764707</v>
      </c>
      <c r="K1136" t="s">
        <v>32</v>
      </c>
      <c r="L1136" t="s">
        <v>26</v>
      </c>
      <c r="M1136">
        <v>263</v>
      </c>
      <c r="N1136">
        <v>2369</v>
      </c>
      <c r="O1136">
        <v>1</v>
      </c>
      <c r="P1136" t="s">
        <v>21</v>
      </c>
      <c r="Q1136" s="1">
        <v>44236</v>
      </c>
    </row>
    <row r="1137" spans="1:17" x14ac:dyDescent="0.3">
      <c r="A1137" t="s">
        <v>35</v>
      </c>
      <c r="B1137" t="s">
        <v>15</v>
      </c>
      <c r="C1137" t="s">
        <v>16</v>
      </c>
      <c r="D1137" t="s">
        <v>40</v>
      </c>
      <c r="E1137" t="s">
        <v>15</v>
      </c>
      <c r="F1137" s="9">
        <v>0.05</v>
      </c>
      <c r="G1137" s="10">
        <v>10596</v>
      </c>
      <c r="H1137">
        <v>2.0299999999999998</v>
      </c>
      <c r="I1137" s="5">
        <f>ROUND(Marketing[[#This Row],[Clicks]]*Marketing[[#This Row],[Conversion_Rate]],0)</f>
        <v>38</v>
      </c>
      <c r="J1137" s="12">
        <f>Marketing[[#This Row],[Campaign_Cost]]/Marketing[[#This Row],[Customers]]</f>
        <v>278.84210526315792</v>
      </c>
      <c r="K1137" t="s">
        <v>19</v>
      </c>
      <c r="L1137" t="s">
        <v>26</v>
      </c>
      <c r="M1137">
        <v>768</v>
      </c>
      <c r="N1137">
        <v>9505</v>
      </c>
      <c r="O1137">
        <v>2</v>
      </c>
      <c r="P1137" t="s">
        <v>21</v>
      </c>
      <c r="Q1137" s="1">
        <v>44237</v>
      </c>
    </row>
    <row r="1138" spans="1:17" x14ac:dyDescent="0.3">
      <c r="A1138" t="s">
        <v>22</v>
      </c>
      <c r="B1138" t="s">
        <v>45</v>
      </c>
      <c r="C1138" t="s">
        <v>16</v>
      </c>
      <c r="D1138" t="s">
        <v>40</v>
      </c>
      <c r="E1138" t="s">
        <v>41</v>
      </c>
      <c r="F1138" s="9">
        <v>0.1</v>
      </c>
      <c r="G1138" s="10">
        <v>13263</v>
      </c>
      <c r="H1138">
        <v>7.51</v>
      </c>
      <c r="I1138" s="5">
        <f>ROUND(Marketing[[#This Row],[Clicks]]*Marketing[[#This Row],[Conversion_Rate]],0)</f>
        <v>52</v>
      </c>
      <c r="J1138" s="12">
        <f>Marketing[[#This Row],[Campaign_Cost]]/Marketing[[#This Row],[Customers]]</f>
        <v>255.05769230769232</v>
      </c>
      <c r="K1138" t="s">
        <v>38</v>
      </c>
      <c r="L1138" t="s">
        <v>50</v>
      </c>
      <c r="M1138">
        <v>515</v>
      </c>
      <c r="N1138">
        <v>2644</v>
      </c>
      <c r="O1138">
        <v>7</v>
      </c>
      <c r="P1138" t="s">
        <v>42</v>
      </c>
      <c r="Q1138" s="1">
        <v>44238</v>
      </c>
    </row>
    <row r="1139" spans="1:17" x14ac:dyDescent="0.3">
      <c r="A1139" t="s">
        <v>49</v>
      </c>
      <c r="B1139" t="s">
        <v>29</v>
      </c>
      <c r="C1139" t="s">
        <v>52</v>
      </c>
      <c r="D1139" t="s">
        <v>46</v>
      </c>
      <c r="E1139" t="s">
        <v>48</v>
      </c>
      <c r="F1139" s="9">
        <v>0.02</v>
      </c>
      <c r="G1139" s="10">
        <v>8683</v>
      </c>
      <c r="H1139">
        <v>5.49</v>
      </c>
      <c r="I1139" s="5">
        <f>ROUND(Marketing[[#This Row],[Clicks]]*Marketing[[#This Row],[Conversion_Rate]],0)</f>
        <v>6</v>
      </c>
      <c r="J1139" s="12">
        <f>Marketing[[#This Row],[Campaign_Cost]]/Marketing[[#This Row],[Customers]]</f>
        <v>1447.1666666666667</v>
      </c>
      <c r="K1139" t="s">
        <v>32</v>
      </c>
      <c r="L1139" t="s">
        <v>20</v>
      </c>
      <c r="M1139">
        <v>290</v>
      </c>
      <c r="N1139">
        <v>9970</v>
      </c>
      <c r="O1139">
        <v>9</v>
      </c>
      <c r="P1139" t="s">
        <v>42</v>
      </c>
      <c r="Q1139" s="1">
        <v>44239</v>
      </c>
    </row>
    <row r="1140" spans="1:17" x14ac:dyDescent="0.3">
      <c r="A1140" t="s">
        <v>35</v>
      </c>
      <c r="B1140" t="s">
        <v>15</v>
      </c>
      <c r="C1140" t="s">
        <v>37</v>
      </c>
      <c r="D1140" t="s">
        <v>24</v>
      </c>
      <c r="E1140" t="s">
        <v>31</v>
      </c>
      <c r="F1140" s="9">
        <v>0.14000000000000001</v>
      </c>
      <c r="G1140" s="10">
        <v>14398</v>
      </c>
      <c r="H1140">
        <v>5.18</v>
      </c>
      <c r="I1140" s="5">
        <f>ROUND(Marketing[[#This Row],[Clicks]]*Marketing[[#This Row],[Conversion_Rate]],0)</f>
        <v>66</v>
      </c>
      <c r="J1140" s="12">
        <f>Marketing[[#This Row],[Campaign_Cost]]/Marketing[[#This Row],[Customers]]</f>
        <v>218.15151515151516</v>
      </c>
      <c r="K1140" t="s">
        <v>25</v>
      </c>
      <c r="L1140" t="s">
        <v>33</v>
      </c>
      <c r="M1140">
        <v>473</v>
      </c>
      <c r="N1140">
        <v>7580</v>
      </c>
      <c r="O1140">
        <v>9</v>
      </c>
      <c r="P1140" t="s">
        <v>42</v>
      </c>
      <c r="Q1140" s="1">
        <v>44240</v>
      </c>
    </row>
    <row r="1141" spans="1:17" x14ac:dyDescent="0.3">
      <c r="A1141" t="s">
        <v>49</v>
      </c>
      <c r="B1141" t="s">
        <v>45</v>
      </c>
      <c r="C1141" t="s">
        <v>52</v>
      </c>
      <c r="D1141" t="s">
        <v>40</v>
      </c>
      <c r="E1141" t="s">
        <v>31</v>
      </c>
      <c r="F1141" s="9">
        <v>0.15</v>
      </c>
      <c r="G1141" s="10">
        <v>19584</v>
      </c>
      <c r="H1141">
        <v>2.09</v>
      </c>
      <c r="I1141" s="5">
        <f>ROUND(Marketing[[#This Row],[Clicks]]*Marketing[[#This Row],[Conversion_Rate]],0)</f>
        <v>150</v>
      </c>
      <c r="J1141" s="12">
        <f>Marketing[[#This Row],[Campaign_Cost]]/Marketing[[#This Row],[Customers]]</f>
        <v>130.56</v>
      </c>
      <c r="K1141" t="s">
        <v>25</v>
      </c>
      <c r="L1141" t="s">
        <v>26</v>
      </c>
      <c r="M1141">
        <v>997</v>
      </c>
      <c r="N1141">
        <v>2857</v>
      </c>
      <c r="O1141">
        <v>8</v>
      </c>
      <c r="P1141" t="s">
        <v>27</v>
      </c>
      <c r="Q1141" s="1">
        <v>44241</v>
      </c>
    </row>
    <row r="1142" spans="1:17" x14ac:dyDescent="0.3">
      <c r="A1142" t="s">
        <v>22</v>
      </c>
      <c r="B1142" t="s">
        <v>45</v>
      </c>
      <c r="C1142" t="s">
        <v>37</v>
      </c>
      <c r="D1142" t="s">
        <v>40</v>
      </c>
      <c r="E1142" t="s">
        <v>15</v>
      </c>
      <c r="F1142" s="9">
        <v>0.08</v>
      </c>
      <c r="G1142" s="10">
        <v>19509</v>
      </c>
      <c r="H1142">
        <v>7.83</v>
      </c>
      <c r="I1142" s="5">
        <f>ROUND(Marketing[[#This Row],[Clicks]]*Marketing[[#This Row],[Conversion_Rate]],0)</f>
        <v>45</v>
      </c>
      <c r="J1142" s="12">
        <f>Marketing[[#This Row],[Campaign_Cost]]/Marketing[[#This Row],[Customers]]</f>
        <v>433.53333333333336</v>
      </c>
      <c r="K1142" t="s">
        <v>32</v>
      </c>
      <c r="L1142" t="s">
        <v>33</v>
      </c>
      <c r="M1142">
        <v>563</v>
      </c>
      <c r="N1142">
        <v>4062</v>
      </c>
      <c r="O1142">
        <v>2</v>
      </c>
      <c r="P1142" t="s">
        <v>34</v>
      </c>
      <c r="Q1142" s="1">
        <v>44242</v>
      </c>
    </row>
    <row r="1143" spans="1:17" x14ac:dyDescent="0.3">
      <c r="A1143" t="s">
        <v>28</v>
      </c>
      <c r="B1143" t="s">
        <v>47</v>
      </c>
      <c r="C1143" t="s">
        <v>37</v>
      </c>
      <c r="D1143" t="s">
        <v>17</v>
      </c>
      <c r="E1143" t="s">
        <v>41</v>
      </c>
      <c r="F1143" s="9">
        <v>0.1</v>
      </c>
      <c r="G1143" s="10">
        <v>14209</v>
      </c>
      <c r="H1143">
        <v>7.65</v>
      </c>
      <c r="I1143" s="5">
        <f>ROUND(Marketing[[#This Row],[Clicks]]*Marketing[[#This Row],[Conversion_Rate]],0)</f>
        <v>50</v>
      </c>
      <c r="J1143" s="12">
        <f>Marketing[[#This Row],[Campaign_Cost]]/Marketing[[#This Row],[Customers]]</f>
        <v>284.18</v>
      </c>
      <c r="K1143" t="s">
        <v>25</v>
      </c>
      <c r="L1143" t="s">
        <v>50</v>
      </c>
      <c r="M1143">
        <v>504</v>
      </c>
      <c r="N1143">
        <v>6662</v>
      </c>
      <c r="O1143">
        <v>8</v>
      </c>
      <c r="P1143" t="s">
        <v>21</v>
      </c>
      <c r="Q1143" s="1">
        <v>44243</v>
      </c>
    </row>
    <row r="1144" spans="1:17" x14ac:dyDescent="0.3">
      <c r="A1144" t="s">
        <v>49</v>
      </c>
      <c r="B1144" t="s">
        <v>29</v>
      </c>
      <c r="C1144" t="s">
        <v>37</v>
      </c>
      <c r="D1144" t="s">
        <v>46</v>
      </c>
      <c r="E1144" t="s">
        <v>31</v>
      </c>
      <c r="F1144" s="9">
        <v>0.05</v>
      </c>
      <c r="G1144" s="10">
        <v>11127</v>
      </c>
      <c r="H1144">
        <v>5.66</v>
      </c>
      <c r="I1144" s="5">
        <f>ROUND(Marketing[[#This Row],[Clicks]]*Marketing[[#This Row],[Conversion_Rate]],0)</f>
        <v>20</v>
      </c>
      <c r="J1144" s="12">
        <f>Marketing[[#This Row],[Campaign_Cost]]/Marketing[[#This Row],[Customers]]</f>
        <v>556.35</v>
      </c>
      <c r="K1144" t="s">
        <v>25</v>
      </c>
      <c r="L1144" t="s">
        <v>33</v>
      </c>
      <c r="M1144">
        <v>409</v>
      </c>
      <c r="N1144">
        <v>4617</v>
      </c>
      <c r="O1144">
        <v>5</v>
      </c>
      <c r="P1144" t="s">
        <v>21</v>
      </c>
      <c r="Q1144" s="1">
        <v>44244</v>
      </c>
    </row>
    <row r="1145" spans="1:17" x14ac:dyDescent="0.3">
      <c r="A1145" t="s">
        <v>28</v>
      </c>
      <c r="B1145" t="s">
        <v>47</v>
      </c>
      <c r="C1145" t="s">
        <v>52</v>
      </c>
      <c r="D1145" t="s">
        <v>17</v>
      </c>
      <c r="E1145" t="s">
        <v>43</v>
      </c>
      <c r="F1145" s="9">
        <v>0.12</v>
      </c>
      <c r="G1145" s="10">
        <v>19765</v>
      </c>
      <c r="H1145">
        <v>3.9</v>
      </c>
      <c r="I1145" s="5">
        <f>ROUND(Marketing[[#This Row],[Clicks]]*Marketing[[#This Row],[Conversion_Rate]],0)</f>
        <v>118</v>
      </c>
      <c r="J1145" s="12">
        <f>Marketing[[#This Row],[Campaign_Cost]]/Marketing[[#This Row],[Customers]]</f>
        <v>167.5</v>
      </c>
      <c r="K1145" t="s">
        <v>25</v>
      </c>
      <c r="L1145" t="s">
        <v>20</v>
      </c>
      <c r="M1145">
        <v>986</v>
      </c>
      <c r="N1145">
        <v>6331</v>
      </c>
      <c r="O1145">
        <v>7</v>
      </c>
      <c r="P1145" t="s">
        <v>34</v>
      </c>
      <c r="Q1145" s="1">
        <v>44245</v>
      </c>
    </row>
    <row r="1146" spans="1:17" x14ac:dyDescent="0.3">
      <c r="A1146" t="s">
        <v>49</v>
      </c>
      <c r="B1146" t="s">
        <v>36</v>
      </c>
      <c r="C1146" t="s">
        <v>16</v>
      </c>
      <c r="D1146" t="s">
        <v>46</v>
      </c>
      <c r="E1146" t="s">
        <v>15</v>
      </c>
      <c r="F1146" s="9">
        <v>0.09</v>
      </c>
      <c r="G1146" s="10">
        <v>5735</v>
      </c>
      <c r="H1146">
        <v>4.3099999999999996</v>
      </c>
      <c r="I1146" s="5">
        <f>ROUND(Marketing[[#This Row],[Clicks]]*Marketing[[#This Row],[Conversion_Rate]],0)</f>
        <v>73</v>
      </c>
      <c r="J1146" s="12">
        <f>Marketing[[#This Row],[Campaign_Cost]]/Marketing[[#This Row],[Customers]]</f>
        <v>78.561643835616437</v>
      </c>
      <c r="K1146" t="s">
        <v>25</v>
      </c>
      <c r="L1146" t="s">
        <v>50</v>
      </c>
      <c r="M1146">
        <v>806</v>
      </c>
      <c r="N1146">
        <v>2542</v>
      </c>
      <c r="O1146">
        <v>4</v>
      </c>
      <c r="P1146" t="s">
        <v>27</v>
      </c>
      <c r="Q1146" s="1">
        <v>44246</v>
      </c>
    </row>
    <row r="1147" spans="1:17" x14ac:dyDescent="0.3">
      <c r="A1147" t="s">
        <v>28</v>
      </c>
      <c r="B1147" t="s">
        <v>36</v>
      </c>
      <c r="C1147" t="s">
        <v>30</v>
      </c>
      <c r="D1147" t="s">
        <v>24</v>
      </c>
      <c r="E1147" t="s">
        <v>43</v>
      </c>
      <c r="F1147" s="9">
        <v>0.11</v>
      </c>
      <c r="G1147" s="10">
        <v>11503</v>
      </c>
      <c r="H1147">
        <v>5.51</v>
      </c>
      <c r="I1147" s="5">
        <f>ROUND(Marketing[[#This Row],[Clicks]]*Marketing[[#This Row],[Conversion_Rate]],0)</f>
        <v>11</v>
      </c>
      <c r="J1147" s="12">
        <f>Marketing[[#This Row],[Campaign_Cost]]/Marketing[[#This Row],[Customers]]</f>
        <v>1045.7272727272727</v>
      </c>
      <c r="K1147" t="s">
        <v>25</v>
      </c>
      <c r="L1147" t="s">
        <v>33</v>
      </c>
      <c r="M1147">
        <v>101</v>
      </c>
      <c r="N1147">
        <v>8500</v>
      </c>
      <c r="O1147">
        <v>2</v>
      </c>
      <c r="P1147" t="s">
        <v>44</v>
      </c>
      <c r="Q1147" s="1">
        <v>44247</v>
      </c>
    </row>
    <row r="1148" spans="1:17" x14ac:dyDescent="0.3">
      <c r="A1148" t="s">
        <v>49</v>
      </c>
      <c r="B1148" t="s">
        <v>15</v>
      </c>
      <c r="C1148" t="s">
        <v>52</v>
      </c>
      <c r="D1148" t="s">
        <v>40</v>
      </c>
      <c r="E1148" t="s">
        <v>18</v>
      </c>
      <c r="F1148" s="9">
        <v>0.13</v>
      </c>
      <c r="G1148" s="10">
        <v>17283</v>
      </c>
      <c r="H1148">
        <v>3.48</v>
      </c>
      <c r="I1148" s="5">
        <f>ROUND(Marketing[[#This Row],[Clicks]]*Marketing[[#This Row],[Conversion_Rate]],0)</f>
        <v>16</v>
      </c>
      <c r="J1148" s="12">
        <f>Marketing[[#This Row],[Campaign_Cost]]/Marketing[[#This Row],[Customers]]</f>
        <v>1080.1875</v>
      </c>
      <c r="K1148" t="s">
        <v>32</v>
      </c>
      <c r="L1148" t="s">
        <v>33</v>
      </c>
      <c r="M1148">
        <v>120</v>
      </c>
      <c r="N1148">
        <v>7828</v>
      </c>
      <c r="O1148">
        <v>7</v>
      </c>
      <c r="P1148" t="s">
        <v>42</v>
      </c>
      <c r="Q1148" s="1">
        <v>44248</v>
      </c>
    </row>
    <row r="1149" spans="1:17" x14ac:dyDescent="0.3">
      <c r="A1149" t="s">
        <v>14</v>
      </c>
      <c r="B1149" t="s">
        <v>29</v>
      </c>
      <c r="C1149" t="s">
        <v>30</v>
      </c>
      <c r="D1149" t="s">
        <v>40</v>
      </c>
      <c r="E1149" t="s">
        <v>48</v>
      </c>
      <c r="F1149" s="9">
        <v>0.13</v>
      </c>
      <c r="G1149" s="10">
        <v>19438</v>
      </c>
      <c r="H1149">
        <v>4.46</v>
      </c>
      <c r="I1149" s="5">
        <f>ROUND(Marketing[[#This Row],[Clicks]]*Marketing[[#This Row],[Conversion_Rate]],0)</f>
        <v>86</v>
      </c>
      <c r="J1149" s="12">
        <f>Marketing[[#This Row],[Campaign_Cost]]/Marketing[[#This Row],[Customers]]</f>
        <v>226.02325581395348</v>
      </c>
      <c r="K1149" t="s">
        <v>32</v>
      </c>
      <c r="L1149" t="s">
        <v>50</v>
      </c>
      <c r="M1149">
        <v>661</v>
      </c>
      <c r="N1149">
        <v>4671</v>
      </c>
      <c r="O1149">
        <v>2</v>
      </c>
      <c r="P1149" t="s">
        <v>44</v>
      </c>
      <c r="Q1149" s="1">
        <v>44249</v>
      </c>
    </row>
    <row r="1150" spans="1:17" x14ac:dyDescent="0.3">
      <c r="A1150" t="s">
        <v>22</v>
      </c>
      <c r="B1150" t="s">
        <v>15</v>
      </c>
      <c r="C1150" t="s">
        <v>37</v>
      </c>
      <c r="D1150" t="s">
        <v>46</v>
      </c>
      <c r="E1150" t="s">
        <v>18</v>
      </c>
      <c r="F1150" s="9">
        <v>0.04</v>
      </c>
      <c r="G1150" s="10">
        <v>15887</v>
      </c>
      <c r="H1150">
        <v>2.99</v>
      </c>
      <c r="I1150" s="5">
        <f>ROUND(Marketing[[#This Row],[Clicks]]*Marketing[[#This Row],[Conversion_Rate]],0)</f>
        <v>32</v>
      </c>
      <c r="J1150" s="12">
        <f>Marketing[[#This Row],[Campaign_Cost]]/Marketing[[#This Row],[Customers]]</f>
        <v>496.46875</v>
      </c>
      <c r="K1150" t="s">
        <v>51</v>
      </c>
      <c r="L1150" t="s">
        <v>39</v>
      </c>
      <c r="M1150">
        <v>796</v>
      </c>
      <c r="N1150">
        <v>2663</v>
      </c>
      <c r="O1150">
        <v>7</v>
      </c>
      <c r="P1150" t="s">
        <v>27</v>
      </c>
      <c r="Q1150" s="1">
        <v>44250</v>
      </c>
    </row>
    <row r="1151" spans="1:17" x14ac:dyDescent="0.3">
      <c r="A1151" t="s">
        <v>14</v>
      </c>
      <c r="B1151" t="s">
        <v>29</v>
      </c>
      <c r="C1151" t="s">
        <v>37</v>
      </c>
      <c r="D1151" t="s">
        <v>17</v>
      </c>
      <c r="E1151" t="s">
        <v>48</v>
      </c>
      <c r="F1151" s="9">
        <v>0.04</v>
      </c>
      <c r="G1151" s="10">
        <v>5161</v>
      </c>
      <c r="H1151">
        <v>5.67</v>
      </c>
      <c r="I1151" s="5">
        <f>ROUND(Marketing[[#This Row],[Clicks]]*Marketing[[#This Row],[Conversion_Rate]],0)</f>
        <v>36</v>
      </c>
      <c r="J1151" s="12">
        <f>Marketing[[#This Row],[Campaign_Cost]]/Marketing[[#This Row],[Customers]]</f>
        <v>143.36111111111111</v>
      </c>
      <c r="K1151" t="s">
        <v>19</v>
      </c>
      <c r="L1151" t="s">
        <v>26</v>
      </c>
      <c r="M1151">
        <v>893</v>
      </c>
      <c r="N1151">
        <v>4422</v>
      </c>
      <c r="O1151">
        <v>1</v>
      </c>
      <c r="P1151" t="s">
        <v>34</v>
      </c>
      <c r="Q1151" s="1">
        <v>44251</v>
      </c>
    </row>
    <row r="1152" spans="1:17" x14ac:dyDescent="0.3">
      <c r="A1152" t="s">
        <v>28</v>
      </c>
      <c r="B1152" t="s">
        <v>45</v>
      </c>
      <c r="C1152" t="s">
        <v>37</v>
      </c>
      <c r="D1152" t="s">
        <v>24</v>
      </c>
      <c r="E1152" t="s">
        <v>43</v>
      </c>
      <c r="F1152" s="9">
        <v>0.06</v>
      </c>
      <c r="G1152" s="10">
        <v>5477</v>
      </c>
      <c r="H1152">
        <v>3.24</v>
      </c>
      <c r="I1152" s="5">
        <f>ROUND(Marketing[[#This Row],[Clicks]]*Marketing[[#This Row],[Conversion_Rate]],0)</f>
        <v>44</v>
      </c>
      <c r="J1152" s="12">
        <f>Marketing[[#This Row],[Campaign_Cost]]/Marketing[[#This Row],[Customers]]</f>
        <v>124.47727272727273</v>
      </c>
      <c r="K1152" t="s">
        <v>51</v>
      </c>
      <c r="L1152" t="s">
        <v>33</v>
      </c>
      <c r="M1152">
        <v>728</v>
      </c>
      <c r="N1152">
        <v>4607</v>
      </c>
      <c r="O1152">
        <v>4</v>
      </c>
      <c r="P1152" t="s">
        <v>34</v>
      </c>
      <c r="Q1152" s="1">
        <v>44252</v>
      </c>
    </row>
    <row r="1153" spans="1:17" x14ac:dyDescent="0.3">
      <c r="A1153" t="s">
        <v>14</v>
      </c>
      <c r="B1153" t="s">
        <v>47</v>
      </c>
      <c r="C1153" t="s">
        <v>52</v>
      </c>
      <c r="D1153" t="s">
        <v>40</v>
      </c>
      <c r="E1153" t="s">
        <v>18</v>
      </c>
      <c r="F1153" s="9">
        <v>0.02</v>
      </c>
      <c r="G1153" s="10">
        <v>16392</v>
      </c>
      <c r="H1153">
        <v>7.86</v>
      </c>
      <c r="I1153" s="5">
        <f>ROUND(Marketing[[#This Row],[Clicks]]*Marketing[[#This Row],[Conversion_Rate]],0)</f>
        <v>18</v>
      </c>
      <c r="J1153" s="12">
        <f>Marketing[[#This Row],[Campaign_Cost]]/Marketing[[#This Row],[Customers]]</f>
        <v>910.66666666666663</v>
      </c>
      <c r="K1153" t="s">
        <v>51</v>
      </c>
      <c r="L1153" t="s">
        <v>50</v>
      </c>
      <c r="M1153">
        <v>892</v>
      </c>
      <c r="N1153">
        <v>4104</v>
      </c>
      <c r="O1153">
        <v>7</v>
      </c>
      <c r="P1153" t="s">
        <v>27</v>
      </c>
      <c r="Q1153" s="1">
        <v>44253</v>
      </c>
    </row>
    <row r="1154" spans="1:17" x14ac:dyDescent="0.3">
      <c r="A1154" t="s">
        <v>22</v>
      </c>
      <c r="B1154" t="s">
        <v>15</v>
      </c>
      <c r="C1154" t="s">
        <v>16</v>
      </c>
      <c r="D1154" t="s">
        <v>46</v>
      </c>
      <c r="E1154" t="s">
        <v>18</v>
      </c>
      <c r="F1154" s="9">
        <v>0.1</v>
      </c>
      <c r="G1154" s="10">
        <v>15726</v>
      </c>
      <c r="H1154">
        <v>2.25</v>
      </c>
      <c r="I1154" s="5">
        <f>ROUND(Marketing[[#This Row],[Clicks]]*Marketing[[#This Row],[Conversion_Rate]],0)</f>
        <v>17</v>
      </c>
      <c r="J1154" s="12">
        <f>Marketing[[#This Row],[Campaign_Cost]]/Marketing[[#This Row],[Customers]]</f>
        <v>925.05882352941171</v>
      </c>
      <c r="K1154" t="s">
        <v>38</v>
      </c>
      <c r="L1154" t="s">
        <v>26</v>
      </c>
      <c r="M1154">
        <v>167</v>
      </c>
      <c r="N1154">
        <v>9628</v>
      </c>
      <c r="O1154">
        <v>4</v>
      </c>
      <c r="P1154" t="s">
        <v>44</v>
      </c>
      <c r="Q1154" s="1">
        <v>44254</v>
      </c>
    </row>
    <row r="1155" spans="1:17" x14ac:dyDescent="0.3">
      <c r="A1155" t="s">
        <v>28</v>
      </c>
      <c r="B1155" t="s">
        <v>29</v>
      </c>
      <c r="C1155" t="s">
        <v>52</v>
      </c>
      <c r="D1155" t="s">
        <v>17</v>
      </c>
      <c r="E1155" t="s">
        <v>31</v>
      </c>
      <c r="F1155" s="9">
        <v>0.14000000000000001</v>
      </c>
      <c r="G1155" s="10">
        <v>9693</v>
      </c>
      <c r="H1155">
        <v>7.07</v>
      </c>
      <c r="I1155" s="5">
        <f>ROUND(Marketing[[#This Row],[Clicks]]*Marketing[[#This Row],[Conversion_Rate]],0)</f>
        <v>113</v>
      </c>
      <c r="J1155" s="12">
        <f>Marketing[[#This Row],[Campaign_Cost]]/Marketing[[#This Row],[Customers]]</f>
        <v>85.778761061946909</v>
      </c>
      <c r="K1155" t="s">
        <v>51</v>
      </c>
      <c r="L1155" t="s">
        <v>33</v>
      </c>
      <c r="M1155">
        <v>809</v>
      </c>
      <c r="N1155">
        <v>6847</v>
      </c>
      <c r="O1155">
        <v>8</v>
      </c>
      <c r="P1155" t="s">
        <v>21</v>
      </c>
      <c r="Q1155" s="1">
        <v>44255</v>
      </c>
    </row>
    <row r="1156" spans="1:17" x14ac:dyDescent="0.3">
      <c r="A1156" t="s">
        <v>35</v>
      </c>
      <c r="B1156" t="s">
        <v>45</v>
      </c>
      <c r="C1156" t="s">
        <v>30</v>
      </c>
      <c r="D1156" t="s">
        <v>40</v>
      </c>
      <c r="E1156" t="s">
        <v>48</v>
      </c>
      <c r="F1156" s="9">
        <v>0.13</v>
      </c>
      <c r="G1156" s="10">
        <v>17301</v>
      </c>
      <c r="H1156">
        <v>2.63</v>
      </c>
      <c r="I1156" s="5">
        <f>ROUND(Marketing[[#This Row],[Clicks]]*Marketing[[#This Row],[Conversion_Rate]],0)</f>
        <v>64</v>
      </c>
      <c r="J1156" s="12">
        <f>Marketing[[#This Row],[Campaign_Cost]]/Marketing[[#This Row],[Customers]]</f>
        <v>270.328125</v>
      </c>
      <c r="K1156" t="s">
        <v>19</v>
      </c>
      <c r="L1156" t="s">
        <v>33</v>
      </c>
      <c r="M1156">
        <v>493</v>
      </c>
      <c r="N1156">
        <v>1143</v>
      </c>
      <c r="O1156">
        <v>9</v>
      </c>
      <c r="P1156" t="s">
        <v>21</v>
      </c>
      <c r="Q1156" s="1">
        <v>44256</v>
      </c>
    </row>
    <row r="1157" spans="1:17" x14ac:dyDescent="0.3">
      <c r="A1157" t="s">
        <v>22</v>
      </c>
      <c r="B1157" t="s">
        <v>15</v>
      </c>
      <c r="C1157" t="s">
        <v>16</v>
      </c>
      <c r="D1157" t="s">
        <v>46</v>
      </c>
      <c r="E1157" t="s">
        <v>48</v>
      </c>
      <c r="F1157" s="9">
        <v>7.0000000000000007E-2</v>
      </c>
      <c r="G1157" s="10">
        <v>10528</v>
      </c>
      <c r="H1157">
        <v>7.86</v>
      </c>
      <c r="I1157" s="5">
        <f>ROUND(Marketing[[#This Row],[Clicks]]*Marketing[[#This Row],[Conversion_Rate]],0)</f>
        <v>36</v>
      </c>
      <c r="J1157" s="12">
        <f>Marketing[[#This Row],[Campaign_Cost]]/Marketing[[#This Row],[Customers]]</f>
        <v>292.44444444444446</v>
      </c>
      <c r="K1157" t="s">
        <v>51</v>
      </c>
      <c r="L1157" t="s">
        <v>33</v>
      </c>
      <c r="M1157">
        <v>519</v>
      </c>
      <c r="N1157">
        <v>2375</v>
      </c>
      <c r="O1157">
        <v>5</v>
      </c>
      <c r="P1157" t="s">
        <v>27</v>
      </c>
      <c r="Q1157" s="1">
        <v>44257</v>
      </c>
    </row>
    <row r="1158" spans="1:17" x14ac:dyDescent="0.3">
      <c r="A1158" t="s">
        <v>14</v>
      </c>
      <c r="B1158" t="s">
        <v>36</v>
      </c>
      <c r="C1158" t="s">
        <v>52</v>
      </c>
      <c r="D1158" t="s">
        <v>40</v>
      </c>
      <c r="E1158" t="s">
        <v>18</v>
      </c>
      <c r="F1158" s="9">
        <v>0.01</v>
      </c>
      <c r="G1158" s="10">
        <v>6939</v>
      </c>
      <c r="H1158">
        <v>5.87</v>
      </c>
      <c r="I1158" s="5">
        <f>ROUND(Marketing[[#This Row],[Clicks]]*Marketing[[#This Row],[Conversion_Rate]],0)</f>
        <v>9</v>
      </c>
      <c r="J1158" s="12">
        <f>Marketing[[#This Row],[Campaign_Cost]]/Marketing[[#This Row],[Customers]]</f>
        <v>771</v>
      </c>
      <c r="K1158" t="s">
        <v>25</v>
      </c>
      <c r="L1158" t="s">
        <v>26</v>
      </c>
      <c r="M1158">
        <v>868</v>
      </c>
      <c r="N1158">
        <v>9416</v>
      </c>
      <c r="O1158">
        <v>8</v>
      </c>
      <c r="P1158" t="s">
        <v>42</v>
      </c>
      <c r="Q1158" s="1">
        <v>44258</v>
      </c>
    </row>
    <row r="1159" spans="1:17" x14ac:dyDescent="0.3">
      <c r="A1159" t="s">
        <v>35</v>
      </c>
      <c r="B1159" t="s">
        <v>15</v>
      </c>
      <c r="C1159" t="s">
        <v>16</v>
      </c>
      <c r="D1159" t="s">
        <v>46</v>
      </c>
      <c r="E1159" t="s">
        <v>15</v>
      </c>
      <c r="F1159" s="9">
        <v>0.1</v>
      </c>
      <c r="G1159" s="10">
        <v>12367</v>
      </c>
      <c r="H1159">
        <v>3.35</v>
      </c>
      <c r="I1159" s="5">
        <f>ROUND(Marketing[[#This Row],[Clicks]]*Marketing[[#This Row],[Conversion_Rate]],0)</f>
        <v>30</v>
      </c>
      <c r="J1159" s="12">
        <f>Marketing[[#This Row],[Campaign_Cost]]/Marketing[[#This Row],[Customers]]</f>
        <v>412.23333333333335</v>
      </c>
      <c r="K1159" t="s">
        <v>25</v>
      </c>
      <c r="L1159" t="s">
        <v>26</v>
      </c>
      <c r="M1159">
        <v>299</v>
      </c>
      <c r="N1159">
        <v>1863</v>
      </c>
      <c r="O1159">
        <v>2</v>
      </c>
      <c r="P1159" t="s">
        <v>27</v>
      </c>
      <c r="Q1159" s="1">
        <v>44259</v>
      </c>
    </row>
    <row r="1160" spans="1:17" x14ac:dyDescent="0.3">
      <c r="A1160" t="s">
        <v>49</v>
      </c>
      <c r="B1160" t="s">
        <v>45</v>
      </c>
      <c r="C1160" t="s">
        <v>16</v>
      </c>
      <c r="D1160" t="s">
        <v>17</v>
      </c>
      <c r="E1160" t="s">
        <v>43</v>
      </c>
      <c r="F1160" s="9">
        <v>0.12</v>
      </c>
      <c r="G1160" s="10">
        <v>7910</v>
      </c>
      <c r="H1160">
        <v>3.27</v>
      </c>
      <c r="I1160" s="5">
        <f>ROUND(Marketing[[#This Row],[Clicks]]*Marketing[[#This Row],[Conversion_Rate]],0)</f>
        <v>94</v>
      </c>
      <c r="J1160" s="12">
        <f>Marketing[[#This Row],[Campaign_Cost]]/Marketing[[#This Row],[Customers]]</f>
        <v>84.148936170212764</v>
      </c>
      <c r="K1160" t="s">
        <v>51</v>
      </c>
      <c r="L1160" t="s">
        <v>50</v>
      </c>
      <c r="M1160">
        <v>786</v>
      </c>
      <c r="N1160">
        <v>9483</v>
      </c>
      <c r="O1160">
        <v>9</v>
      </c>
      <c r="P1160" t="s">
        <v>27</v>
      </c>
      <c r="Q1160" s="1">
        <v>44260</v>
      </c>
    </row>
    <row r="1161" spans="1:17" x14ac:dyDescent="0.3">
      <c r="A1161" t="s">
        <v>49</v>
      </c>
      <c r="B1161" t="s">
        <v>47</v>
      </c>
      <c r="C1161" t="s">
        <v>23</v>
      </c>
      <c r="D1161" t="s">
        <v>46</v>
      </c>
      <c r="E1161" t="s">
        <v>48</v>
      </c>
      <c r="F1161" s="9">
        <v>0.12</v>
      </c>
      <c r="G1161" s="10">
        <v>6708</v>
      </c>
      <c r="H1161">
        <v>2.2599999999999998</v>
      </c>
      <c r="I1161" s="5">
        <f>ROUND(Marketing[[#This Row],[Clicks]]*Marketing[[#This Row],[Conversion_Rate]],0)</f>
        <v>32</v>
      </c>
      <c r="J1161" s="12">
        <f>Marketing[[#This Row],[Campaign_Cost]]/Marketing[[#This Row],[Customers]]</f>
        <v>209.625</v>
      </c>
      <c r="K1161" t="s">
        <v>51</v>
      </c>
      <c r="L1161" t="s">
        <v>26</v>
      </c>
      <c r="M1161">
        <v>268</v>
      </c>
      <c r="N1161">
        <v>6272</v>
      </c>
      <c r="O1161">
        <v>8</v>
      </c>
      <c r="P1161" t="s">
        <v>42</v>
      </c>
      <c r="Q1161" s="1">
        <v>44261</v>
      </c>
    </row>
    <row r="1162" spans="1:17" x14ac:dyDescent="0.3">
      <c r="A1162" t="s">
        <v>35</v>
      </c>
      <c r="B1162" t="s">
        <v>36</v>
      </c>
      <c r="C1162" t="s">
        <v>23</v>
      </c>
      <c r="D1162" t="s">
        <v>40</v>
      </c>
      <c r="E1162" t="s">
        <v>41</v>
      </c>
      <c r="F1162" s="9">
        <v>0.1</v>
      </c>
      <c r="G1162" s="10">
        <v>7666</v>
      </c>
      <c r="H1162">
        <v>5.44</v>
      </c>
      <c r="I1162" s="5">
        <f>ROUND(Marketing[[#This Row],[Clicks]]*Marketing[[#This Row],[Conversion_Rate]],0)</f>
        <v>28</v>
      </c>
      <c r="J1162" s="12">
        <f>Marketing[[#This Row],[Campaign_Cost]]/Marketing[[#This Row],[Customers]]</f>
        <v>273.78571428571428</v>
      </c>
      <c r="K1162" t="s">
        <v>32</v>
      </c>
      <c r="L1162" t="s">
        <v>20</v>
      </c>
      <c r="M1162">
        <v>284</v>
      </c>
      <c r="N1162">
        <v>7676</v>
      </c>
      <c r="O1162">
        <v>7</v>
      </c>
      <c r="P1162" t="s">
        <v>42</v>
      </c>
      <c r="Q1162" s="1">
        <v>44262</v>
      </c>
    </row>
    <row r="1163" spans="1:17" x14ac:dyDescent="0.3">
      <c r="A1163" t="s">
        <v>28</v>
      </c>
      <c r="B1163" t="s">
        <v>36</v>
      </c>
      <c r="C1163" t="s">
        <v>16</v>
      </c>
      <c r="D1163" t="s">
        <v>17</v>
      </c>
      <c r="E1163" t="s">
        <v>48</v>
      </c>
      <c r="F1163" s="9">
        <v>0.01</v>
      </c>
      <c r="G1163" s="10">
        <v>5252</v>
      </c>
      <c r="H1163">
        <v>5.28</v>
      </c>
      <c r="I1163" s="5">
        <f>ROUND(Marketing[[#This Row],[Clicks]]*Marketing[[#This Row],[Conversion_Rate]],0)</f>
        <v>2</v>
      </c>
      <c r="J1163" s="12">
        <f>Marketing[[#This Row],[Campaign_Cost]]/Marketing[[#This Row],[Customers]]</f>
        <v>2626</v>
      </c>
      <c r="K1163" t="s">
        <v>25</v>
      </c>
      <c r="L1163" t="s">
        <v>39</v>
      </c>
      <c r="M1163">
        <v>190</v>
      </c>
      <c r="N1163">
        <v>7902</v>
      </c>
      <c r="O1163">
        <v>3</v>
      </c>
      <c r="P1163" t="s">
        <v>44</v>
      </c>
      <c r="Q1163" s="1">
        <v>44263</v>
      </c>
    </row>
    <row r="1164" spans="1:17" x14ac:dyDescent="0.3">
      <c r="A1164" t="s">
        <v>49</v>
      </c>
      <c r="B1164" t="s">
        <v>47</v>
      </c>
      <c r="C1164" t="s">
        <v>16</v>
      </c>
      <c r="D1164" t="s">
        <v>46</v>
      </c>
      <c r="E1164" t="s">
        <v>41</v>
      </c>
      <c r="F1164" s="9">
        <v>0.11</v>
      </c>
      <c r="G1164" s="10">
        <v>19256</v>
      </c>
      <c r="H1164">
        <v>2.3199999999999998</v>
      </c>
      <c r="I1164" s="5">
        <f>ROUND(Marketing[[#This Row],[Clicks]]*Marketing[[#This Row],[Conversion_Rate]],0)</f>
        <v>103</v>
      </c>
      <c r="J1164" s="12">
        <f>Marketing[[#This Row],[Campaign_Cost]]/Marketing[[#This Row],[Customers]]</f>
        <v>186.95145631067962</v>
      </c>
      <c r="K1164" t="s">
        <v>32</v>
      </c>
      <c r="L1164" t="s">
        <v>20</v>
      </c>
      <c r="M1164">
        <v>937</v>
      </c>
      <c r="N1164">
        <v>1215</v>
      </c>
      <c r="O1164">
        <v>1</v>
      </c>
      <c r="P1164" t="s">
        <v>21</v>
      </c>
      <c r="Q1164" s="1">
        <v>44264</v>
      </c>
    </row>
    <row r="1165" spans="1:17" x14ac:dyDescent="0.3">
      <c r="A1165" t="s">
        <v>22</v>
      </c>
      <c r="B1165" t="s">
        <v>36</v>
      </c>
      <c r="C1165" t="s">
        <v>30</v>
      </c>
      <c r="D1165" t="s">
        <v>24</v>
      </c>
      <c r="E1165" t="s">
        <v>43</v>
      </c>
      <c r="F1165" s="9">
        <v>0.09</v>
      </c>
      <c r="G1165" s="10">
        <v>18364</v>
      </c>
      <c r="H1165">
        <v>2</v>
      </c>
      <c r="I1165" s="5">
        <f>ROUND(Marketing[[#This Row],[Clicks]]*Marketing[[#This Row],[Conversion_Rate]],0)</f>
        <v>63</v>
      </c>
      <c r="J1165" s="12">
        <f>Marketing[[#This Row],[Campaign_Cost]]/Marketing[[#This Row],[Customers]]</f>
        <v>291.49206349206349</v>
      </c>
      <c r="K1165" t="s">
        <v>32</v>
      </c>
      <c r="L1165" t="s">
        <v>20</v>
      </c>
      <c r="M1165">
        <v>704</v>
      </c>
      <c r="N1165">
        <v>5626</v>
      </c>
      <c r="O1165">
        <v>5</v>
      </c>
      <c r="P1165" t="s">
        <v>44</v>
      </c>
      <c r="Q1165" s="1">
        <v>44265</v>
      </c>
    </row>
    <row r="1166" spans="1:17" x14ac:dyDescent="0.3">
      <c r="A1166" t="s">
        <v>28</v>
      </c>
      <c r="B1166" t="s">
        <v>15</v>
      </c>
      <c r="C1166" t="s">
        <v>16</v>
      </c>
      <c r="D1166" t="s">
        <v>46</v>
      </c>
      <c r="E1166" t="s">
        <v>48</v>
      </c>
      <c r="F1166" s="9">
        <v>0.14000000000000001</v>
      </c>
      <c r="G1166" s="10">
        <v>10702</v>
      </c>
      <c r="H1166">
        <v>6.18</v>
      </c>
      <c r="I1166" s="5">
        <f>ROUND(Marketing[[#This Row],[Clicks]]*Marketing[[#This Row],[Conversion_Rate]],0)</f>
        <v>36</v>
      </c>
      <c r="J1166" s="12">
        <f>Marketing[[#This Row],[Campaign_Cost]]/Marketing[[#This Row],[Customers]]</f>
        <v>297.27777777777777</v>
      </c>
      <c r="K1166" t="s">
        <v>32</v>
      </c>
      <c r="L1166" t="s">
        <v>26</v>
      </c>
      <c r="M1166">
        <v>254</v>
      </c>
      <c r="N1166">
        <v>8482</v>
      </c>
      <c r="O1166">
        <v>7</v>
      </c>
      <c r="P1166" t="s">
        <v>42</v>
      </c>
      <c r="Q1166" s="1">
        <v>44266</v>
      </c>
    </row>
    <row r="1167" spans="1:17" x14ac:dyDescent="0.3">
      <c r="A1167" t="s">
        <v>14</v>
      </c>
      <c r="B1167" t="s">
        <v>15</v>
      </c>
      <c r="C1167" t="s">
        <v>30</v>
      </c>
      <c r="D1167" t="s">
        <v>17</v>
      </c>
      <c r="E1167" t="s">
        <v>18</v>
      </c>
      <c r="F1167" s="9">
        <v>0.1</v>
      </c>
      <c r="G1167" s="10">
        <v>5520</v>
      </c>
      <c r="H1167">
        <v>7.9</v>
      </c>
      <c r="I1167" s="5">
        <f>ROUND(Marketing[[#This Row],[Clicks]]*Marketing[[#This Row],[Conversion_Rate]],0)</f>
        <v>26</v>
      </c>
      <c r="J1167" s="12">
        <f>Marketing[[#This Row],[Campaign_Cost]]/Marketing[[#This Row],[Customers]]</f>
        <v>212.30769230769232</v>
      </c>
      <c r="K1167" t="s">
        <v>25</v>
      </c>
      <c r="L1167" t="s">
        <v>26</v>
      </c>
      <c r="M1167">
        <v>257</v>
      </c>
      <c r="N1167">
        <v>4779</v>
      </c>
      <c r="O1167">
        <v>10</v>
      </c>
      <c r="P1167" t="s">
        <v>21</v>
      </c>
      <c r="Q1167" s="1">
        <v>44267</v>
      </c>
    </row>
    <row r="1168" spans="1:17" x14ac:dyDescent="0.3">
      <c r="A1168" t="s">
        <v>28</v>
      </c>
      <c r="B1168" t="s">
        <v>36</v>
      </c>
      <c r="C1168" t="s">
        <v>16</v>
      </c>
      <c r="D1168" t="s">
        <v>24</v>
      </c>
      <c r="E1168" t="s">
        <v>43</v>
      </c>
      <c r="F1168" s="9">
        <v>0.09</v>
      </c>
      <c r="G1168" s="10">
        <v>19294</v>
      </c>
      <c r="H1168">
        <v>5.68</v>
      </c>
      <c r="I1168" s="5">
        <f>ROUND(Marketing[[#This Row],[Clicks]]*Marketing[[#This Row],[Conversion_Rate]],0)</f>
        <v>74</v>
      </c>
      <c r="J1168" s="12">
        <f>Marketing[[#This Row],[Campaign_Cost]]/Marketing[[#This Row],[Customers]]</f>
        <v>260.72972972972974</v>
      </c>
      <c r="K1168" t="s">
        <v>25</v>
      </c>
      <c r="L1168" t="s">
        <v>20</v>
      </c>
      <c r="M1168">
        <v>825</v>
      </c>
      <c r="N1168">
        <v>8314</v>
      </c>
      <c r="O1168">
        <v>9</v>
      </c>
      <c r="P1168" t="s">
        <v>27</v>
      </c>
      <c r="Q1168" s="1">
        <v>44268</v>
      </c>
    </row>
    <row r="1169" spans="1:17" x14ac:dyDescent="0.3">
      <c r="A1169" t="s">
        <v>14</v>
      </c>
      <c r="B1169" t="s">
        <v>45</v>
      </c>
      <c r="C1169" t="s">
        <v>23</v>
      </c>
      <c r="D1169" t="s">
        <v>46</v>
      </c>
      <c r="E1169" t="s">
        <v>43</v>
      </c>
      <c r="F1169" s="9">
        <v>0.12</v>
      </c>
      <c r="G1169" s="10">
        <v>15356</v>
      </c>
      <c r="H1169">
        <v>4.6399999999999997</v>
      </c>
      <c r="I1169" s="5">
        <f>ROUND(Marketing[[#This Row],[Clicks]]*Marketing[[#This Row],[Conversion_Rate]],0)</f>
        <v>109</v>
      </c>
      <c r="J1169" s="12">
        <f>Marketing[[#This Row],[Campaign_Cost]]/Marketing[[#This Row],[Customers]]</f>
        <v>140.88073394495413</v>
      </c>
      <c r="K1169" t="s">
        <v>51</v>
      </c>
      <c r="L1169" t="s">
        <v>39</v>
      </c>
      <c r="M1169">
        <v>905</v>
      </c>
      <c r="N1169">
        <v>3116</v>
      </c>
      <c r="O1169">
        <v>5</v>
      </c>
      <c r="P1169" t="s">
        <v>42</v>
      </c>
      <c r="Q1169" s="1">
        <v>44269</v>
      </c>
    </row>
    <row r="1170" spans="1:17" x14ac:dyDescent="0.3">
      <c r="A1170" t="s">
        <v>35</v>
      </c>
      <c r="B1170" t="s">
        <v>15</v>
      </c>
      <c r="C1170" t="s">
        <v>52</v>
      </c>
      <c r="D1170" t="s">
        <v>24</v>
      </c>
      <c r="E1170" t="s">
        <v>41</v>
      </c>
      <c r="F1170" s="9">
        <v>0.03</v>
      </c>
      <c r="G1170" s="10">
        <v>6684</v>
      </c>
      <c r="H1170">
        <v>6.5</v>
      </c>
      <c r="I1170" s="5">
        <f>ROUND(Marketing[[#This Row],[Clicks]]*Marketing[[#This Row],[Conversion_Rate]],0)</f>
        <v>25</v>
      </c>
      <c r="J1170" s="12">
        <f>Marketing[[#This Row],[Campaign_Cost]]/Marketing[[#This Row],[Customers]]</f>
        <v>267.36</v>
      </c>
      <c r="K1170" t="s">
        <v>19</v>
      </c>
      <c r="L1170" t="s">
        <v>20</v>
      </c>
      <c r="M1170">
        <v>824</v>
      </c>
      <c r="N1170">
        <v>3850</v>
      </c>
      <c r="O1170">
        <v>7</v>
      </c>
      <c r="P1170" t="s">
        <v>44</v>
      </c>
      <c r="Q1170" s="1">
        <v>44270</v>
      </c>
    </row>
    <row r="1171" spans="1:17" x14ac:dyDescent="0.3">
      <c r="A1171" t="s">
        <v>49</v>
      </c>
      <c r="B1171" t="s">
        <v>47</v>
      </c>
      <c r="C1171" t="s">
        <v>30</v>
      </c>
      <c r="D1171" t="s">
        <v>46</v>
      </c>
      <c r="E1171" t="s">
        <v>15</v>
      </c>
      <c r="F1171" s="9">
        <v>0.03</v>
      </c>
      <c r="G1171" s="10">
        <v>6440</v>
      </c>
      <c r="H1171">
        <v>5.21</v>
      </c>
      <c r="I1171" s="5">
        <f>ROUND(Marketing[[#This Row],[Clicks]]*Marketing[[#This Row],[Conversion_Rate]],0)</f>
        <v>26</v>
      </c>
      <c r="J1171" s="12">
        <f>Marketing[[#This Row],[Campaign_Cost]]/Marketing[[#This Row],[Customers]]</f>
        <v>247.69230769230768</v>
      </c>
      <c r="K1171" t="s">
        <v>51</v>
      </c>
      <c r="L1171" t="s">
        <v>33</v>
      </c>
      <c r="M1171">
        <v>883</v>
      </c>
      <c r="N1171">
        <v>5190</v>
      </c>
      <c r="O1171">
        <v>4</v>
      </c>
      <c r="P1171" t="s">
        <v>42</v>
      </c>
      <c r="Q1171" s="1">
        <v>44271</v>
      </c>
    </row>
    <row r="1172" spans="1:17" x14ac:dyDescent="0.3">
      <c r="A1172" t="s">
        <v>28</v>
      </c>
      <c r="B1172" t="s">
        <v>29</v>
      </c>
      <c r="C1172" t="s">
        <v>52</v>
      </c>
      <c r="D1172" t="s">
        <v>17</v>
      </c>
      <c r="E1172" t="s">
        <v>15</v>
      </c>
      <c r="F1172" s="9">
        <v>0.06</v>
      </c>
      <c r="G1172" s="10">
        <v>10205</v>
      </c>
      <c r="H1172">
        <v>5.33</v>
      </c>
      <c r="I1172" s="5">
        <f>ROUND(Marketing[[#This Row],[Clicks]]*Marketing[[#This Row],[Conversion_Rate]],0)</f>
        <v>49</v>
      </c>
      <c r="J1172" s="12">
        <f>Marketing[[#This Row],[Campaign_Cost]]/Marketing[[#This Row],[Customers]]</f>
        <v>208.26530612244898</v>
      </c>
      <c r="K1172" t="s">
        <v>51</v>
      </c>
      <c r="L1172" t="s">
        <v>26</v>
      </c>
      <c r="M1172">
        <v>823</v>
      </c>
      <c r="N1172">
        <v>3836</v>
      </c>
      <c r="O1172">
        <v>9</v>
      </c>
      <c r="P1172" t="s">
        <v>27</v>
      </c>
      <c r="Q1172" s="1">
        <v>44272</v>
      </c>
    </row>
    <row r="1173" spans="1:17" x14ac:dyDescent="0.3">
      <c r="A1173" t="s">
        <v>49</v>
      </c>
      <c r="B1173" t="s">
        <v>29</v>
      </c>
      <c r="C1173" t="s">
        <v>23</v>
      </c>
      <c r="D1173" t="s">
        <v>17</v>
      </c>
      <c r="E1173" t="s">
        <v>48</v>
      </c>
      <c r="F1173" s="9">
        <v>0.09</v>
      </c>
      <c r="G1173" s="10">
        <v>12273</v>
      </c>
      <c r="H1173">
        <v>6.41</v>
      </c>
      <c r="I1173" s="5">
        <f>ROUND(Marketing[[#This Row],[Clicks]]*Marketing[[#This Row],[Conversion_Rate]],0)</f>
        <v>59</v>
      </c>
      <c r="J1173" s="12">
        <f>Marketing[[#This Row],[Campaign_Cost]]/Marketing[[#This Row],[Customers]]</f>
        <v>208.01694915254237</v>
      </c>
      <c r="K1173" t="s">
        <v>19</v>
      </c>
      <c r="L1173" t="s">
        <v>50</v>
      </c>
      <c r="M1173">
        <v>656</v>
      </c>
      <c r="N1173">
        <v>5109</v>
      </c>
      <c r="O1173">
        <v>3</v>
      </c>
      <c r="P1173" t="s">
        <v>44</v>
      </c>
      <c r="Q1173" s="1">
        <v>44273</v>
      </c>
    </row>
    <row r="1174" spans="1:17" x14ac:dyDescent="0.3">
      <c r="A1174" t="s">
        <v>28</v>
      </c>
      <c r="B1174" t="s">
        <v>29</v>
      </c>
      <c r="C1174" t="s">
        <v>30</v>
      </c>
      <c r="D1174" t="s">
        <v>40</v>
      </c>
      <c r="E1174" t="s">
        <v>41</v>
      </c>
      <c r="F1174" s="9">
        <v>0.04</v>
      </c>
      <c r="G1174" s="10">
        <v>18230</v>
      </c>
      <c r="H1174">
        <v>5.25</v>
      </c>
      <c r="I1174" s="5">
        <f>ROUND(Marketing[[#This Row],[Clicks]]*Marketing[[#This Row],[Conversion_Rate]],0)</f>
        <v>39</v>
      </c>
      <c r="J1174" s="12">
        <f>Marketing[[#This Row],[Campaign_Cost]]/Marketing[[#This Row],[Customers]]</f>
        <v>467.43589743589746</v>
      </c>
      <c r="K1174" t="s">
        <v>38</v>
      </c>
      <c r="L1174" t="s">
        <v>39</v>
      </c>
      <c r="M1174">
        <v>972</v>
      </c>
      <c r="N1174">
        <v>7060</v>
      </c>
      <c r="O1174">
        <v>6</v>
      </c>
      <c r="P1174" t="s">
        <v>44</v>
      </c>
      <c r="Q1174" s="1">
        <v>44274</v>
      </c>
    </row>
    <row r="1175" spans="1:17" x14ac:dyDescent="0.3">
      <c r="A1175" t="s">
        <v>22</v>
      </c>
      <c r="B1175" t="s">
        <v>36</v>
      </c>
      <c r="C1175" t="s">
        <v>52</v>
      </c>
      <c r="D1175" t="s">
        <v>17</v>
      </c>
      <c r="E1175" t="s">
        <v>48</v>
      </c>
      <c r="F1175" s="9">
        <v>0.03</v>
      </c>
      <c r="G1175" s="10">
        <v>6437</v>
      </c>
      <c r="H1175">
        <v>5.29</v>
      </c>
      <c r="I1175" s="5">
        <f>ROUND(Marketing[[#This Row],[Clicks]]*Marketing[[#This Row],[Conversion_Rate]],0)</f>
        <v>13</v>
      </c>
      <c r="J1175" s="12">
        <f>Marketing[[#This Row],[Campaign_Cost]]/Marketing[[#This Row],[Customers]]</f>
        <v>495.15384615384613</v>
      </c>
      <c r="K1175" t="s">
        <v>51</v>
      </c>
      <c r="L1175" t="s">
        <v>33</v>
      </c>
      <c r="M1175">
        <v>426</v>
      </c>
      <c r="N1175">
        <v>2249</v>
      </c>
      <c r="O1175">
        <v>4</v>
      </c>
      <c r="P1175" t="s">
        <v>44</v>
      </c>
      <c r="Q1175" s="1">
        <v>44275</v>
      </c>
    </row>
    <row r="1176" spans="1:17" x14ac:dyDescent="0.3">
      <c r="A1176" t="s">
        <v>22</v>
      </c>
      <c r="B1176" t="s">
        <v>15</v>
      </c>
      <c r="C1176" t="s">
        <v>30</v>
      </c>
      <c r="D1176" t="s">
        <v>40</v>
      </c>
      <c r="E1176" t="s">
        <v>18</v>
      </c>
      <c r="F1176" s="9">
        <v>0.12</v>
      </c>
      <c r="G1176" s="10">
        <v>17550</v>
      </c>
      <c r="H1176">
        <v>7.01</v>
      </c>
      <c r="I1176" s="5">
        <f>ROUND(Marketing[[#This Row],[Clicks]]*Marketing[[#This Row],[Conversion_Rate]],0)</f>
        <v>20</v>
      </c>
      <c r="J1176" s="12">
        <f>Marketing[[#This Row],[Campaign_Cost]]/Marketing[[#This Row],[Customers]]</f>
        <v>877.5</v>
      </c>
      <c r="K1176" t="s">
        <v>38</v>
      </c>
      <c r="L1176" t="s">
        <v>39</v>
      </c>
      <c r="M1176">
        <v>163</v>
      </c>
      <c r="N1176">
        <v>4992</v>
      </c>
      <c r="O1176">
        <v>4</v>
      </c>
      <c r="P1176" t="s">
        <v>34</v>
      </c>
      <c r="Q1176" s="1">
        <v>44276</v>
      </c>
    </row>
    <row r="1177" spans="1:17" x14ac:dyDescent="0.3">
      <c r="A1177" t="s">
        <v>22</v>
      </c>
      <c r="B1177" t="s">
        <v>45</v>
      </c>
      <c r="C1177" t="s">
        <v>23</v>
      </c>
      <c r="D1177" t="s">
        <v>40</v>
      </c>
      <c r="E1177" t="s">
        <v>48</v>
      </c>
      <c r="F1177" s="9">
        <v>0.1</v>
      </c>
      <c r="G1177" s="10">
        <v>15111</v>
      </c>
      <c r="H1177">
        <v>3.62</v>
      </c>
      <c r="I1177" s="5">
        <f>ROUND(Marketing[[#This Row],[Clicks]]*Marketing[[#This Row],[Conversion_Rate]],0)</f>
        <v>98</v>
      </c>
      <c r="J1177" s="12">
        <f>Marketing[[#This Row],[Campaign_Cost]]/Marketing[[#This Row],[Customers]]</f>
        <v>154.19387755102042</v>
      </c>
      <c r="K1177" t="s">
        <v>38</v>
      </c>
      <c r="L1177" t="s">
        <v>50</v>
      </c>
      <c r="M1177">
        <v>979</v>
      </c>
      <c r="N1177">
        <v>7222</v>
      </c>
      <c r="O1177">
        <v>9</v>
      </c>
      <c r="P1177" t="s">
        <v>34</v>
      </c>
      <c r="Q1177" s="1">
        <v>44277</v>
      </c>
    </row>
    <row r="1178" spans="1:17" x14ac:dyDescent="0.3">
      <c r="A1178" t="s">
        <v>22</v>
      </c>
      <c r="B1178" t="s">
        <v>45</v>
      </c>
      <c r="C1178" t="s">
        <v>23</v>
      </c>
      <c r="D1178" t="s">
        <v>24</v>
      </c>
      <c r="E1178" t="s">
        <v>43</v>
      </c>
      <c r="F1178" s="9">
        <v>0.06</v>
      </c>
      <c r="G1178" s="10">
        <v>5111</v>
      </c>
      <c r="H1178">
        <v>5.31</v>
      </c>
      <c r="I1178" s="5">
        <f>ROUND(Marketing[[#This Row],[Clicks]]*Marketing[[#This Row],[Conversion_Rate]],0)</f>
        <v>55</v>
      </c>
      <c r="J1178" s="12">
        <f>Marketing[[#This Row],[Campaign_Cost]]/Marketing[[#This Row],[Customers]]</f>
        <v>92.927272727272722</v>
      </c>
      <c r="K1178" t="s">
        <v>51</v>
      </c>
      <c r="L1178" t="s">
        <v>26</v>
      </c>
      <c r="M1178">
        <v>918</v>
      </c>
      <c r="N1178">
        <v>5611</v>
      </c>
      <c r="O1178">
        <v>9</v>
      </c>
      <c r="P1178" t="s">
        <v>44</v>
      </c>
      <c r="Q1178" s="1">
        <v>44278</v>
      </c>
    </row>
    <row r="1179" spans="1:17" x14ac:dyDescent="0.3">
      <c r="A1179" t="s">
        <v>49</v>
      </c>
      <c r="B1179" t="s">
        <v>29</v>
      </c>
      <c r="C1179" t="s">
        <v>52</v>
      </c>
      <c r="D1179" t="s">
        <v>24</v>
      </c>
      <c r="E1179" t="s">
        <v>15</v>
      </c>
      <c r="F1179" s="9">
        <v>0.09</v>
      </c>
      <c r="G1179" s="10">
        <v>9373</v>
      </c>
      <c r="H1179">
        <v>2.77</v>
      </c>
      <c r="I1179" s="5">
        <f>ROUND(Marketing[[#This Row],[Clicks]]*Marketing[[#This Row],[Conversion_Rate]],0)</f>
        <v>36</v>
      </c>
      <c r="J1179" s="12">
        <f>Marketing[[#This Row],[Campaign_Cost]]/Marketing[[#This Row],[Customers]]</f>
        <v>260.36111111111109</v>
      </c>
      <c r="K1179" t="s">
        <v>19</v>
      </c>
      <c r="L1179" t="s">
        <v>20</v>
      </c>
      <c r="M1179">
        <v>395</v>
      </c>
      <c r="N1179">
        <v>5952</v>
      </c>
      <c r="O1179">
        <v>9</v>
      </c>
      <c r="P1179" t="s">
        <v>27</v>
      </c>
      <c r="Q1179" s="1">
        <v>44279</v>
      </c>
    </row>
    <row r="1180" spans="1:17" x14ac:dyDescent="0.3">
      <c r="A1180" t="s">
        <v>28</v>
      </c>
      <c r="B1180" t="s">
        <v>47</v>
      </c>
      <c r="C1180" t="s">
        <v>52</v>
      </c>
      <c r="D1180" t="s">
        <v>40</v>
      </c>
      <c r="E1180" t="s">
        <v>48</v>
      </c>
      <c r="F1180" s="9">
        <v>0.09</v>
      </c>
      <c r="G1180" s="10">
        <v>7834</v>
      </c>
      <c r="H1180">
        <v>2.36</v>
      </c>
      <c r="I1180" s="5">
        <f>ROUND(Marketing[[#This Row],[Clicks]]*Marketing[[#This Row],[Conversion_Rate]],0)</f>
        <v>54</v>
      </c>
      <c r="J1180" s="12">
        <f>Marketing[[#This Row],[Campaign_Cost]]/Marketing[[#This Row],[Customers]]</f>
        <v>145.07407407407408</v>
      </c>
      <c r="K1180" t="s">
        <v>38</v>
      </c>
      <c r="L1180" t="s">
        <v>39</v>
      </c>
      <c r="M1180">
        <v>601</v>
      </c>
      <c r="N1180">
        <v>3533</v>
      </c>
      <c r="O1180">
        <v>8</v>
      </c>
      <c r="P1180" t="s">
        <v>21</v>
      </c>
      <c r="Q1180" s="1">
        <v>44280</v>
      </c>
    </row>
    <row r="1181" spans="1:17" x14ac:dyDescent="0.3">
      <c r="A1181" t="s">
        <v>22</v>
      </c>
      <c r="B1181" t="s">
        <v>29</v>
      </c>
      <c r="C1181" t="s">
        <v>52</v>
      </c>
      <c r="D1181" t="s">
        <v>17</v>
      </c>
      <c r="E1181" t="s">
        <v>41</v>
      </c>
      <c r="F1181" s="9">
        <v>0.06</v>
      </c>
      <c r="G1181" s="10">
        <v>18131</v>
      </c>
      <c r="H1181">
        <v>5.7</v>
      </c>
      <c r="I1181" s="5">
        <f>ROUND(Marketing[[#This Row],[Clicks]]*Marketing[[#This Row],[Conversion_Rate]],0)</f>
        <v>49</v>
      </c>
      <c r="J1181" s="12">
        <f>Marketing[[#This Row],[Campaign_Cost]]/Marketing[[#This Row],[Customers]]</f>
        <v>370.0204081632653</v>
      </c>
      <c r="K1181" t="s">
        <v>32</v>
      </c>
      <c r="L1181" t="s">
        <v>26</v>
      </c>
      <c r="M1181">
        <v>812</v>
      </c>
      <c r="N1181">
        <v>8953</v>
      </c>
      <c r="O1181">
        <v>4</v>
      </c>
      <c r="P1181" t="s">
        <v>27</v>
      </c>
      <c r="Q1181" s="1">
        <v>44281</v>
      </c>
    </row>
    <row r="1182" spans="1:17" x14ac:dyDescent="0.3">
      <c r="A1182" t="s">
        <v>35</v>
      </c>
      <c r="B1182" t="s">
        <v>45</v>
      </c>
      <c r="C1182" t="s">
        <v>16</v>
      </c>
      <c r="D1182" t="s">
        <v>40</v>
      </c>
      <c r="E1182" t="s">
        <v>15</v>
      </c>
      <c r="F1182" s="9">
        <v>0.08</v>
      </c>
      <c r="G1182" s="10">
        <v>9160</v>
      </c>
      <c r="H1182">
        <v>6.21</v>
      </c>
      <c r="I1182" s="5">
        <f>ROUND(Marketing[[#This Row],[Clicks]]*Marketing[[#This Row],[Conversion_Rate]],0)</f>
        <v>51</v>
      </c>
      <c r="J1182" s="12">
        <f>Marketing[[#This Row],[Campaign_Cost]]/Marketing[[#This Row],[Customers]]</f>
        <v>179.60784313725489</v>
      </c>
      <c r="K1182" t="s">
        <v>19</v>
      </c>
      <c r="L1182" t="s">
        <v>26</v>
      </c>
      <c r="M1182">
        <v>640</v>
      </c>
      <c r="N1182">
        <v>3840</v>
      </c>
      <c r="O1182">
        <v>10</v>
      </c>
      <c r="P1182" t="s">
        <v>34</v>
      </c>
      <c r="Q1182" s="1">
        <v>44282</v>
      </c>
    </row>
    <row r="1183" spans="1:17" x14ac:dyDescent="0.3">
      <c r="A1183" t="s">
        <v>35</v>
      </c>
      <c r="B1183" t="s">
        <v>29</v>
      </c>
      <c r="C1183" t="s">
        <v>37</v>
      </c>
      <c r="D1183" t="s">
        <v>24</v>
      </c>
      <c r="E1183" t="s">
        <v>48</v>
      </c>
      <c r="F1183" s="9">
        <v>0.06</v>
      </c>
      <c r="G1183" s="10">
        <v>8411</v>
      </c>
      <c r="H1183">
        <v>2.66</v>
      </c>
      <c r="I1183" s="5">
        <f>ROUND(Marketing[[#This Row],[Clicks]]*Marketing[[#This Row],[Conversion_Rate]],0)</f>
        <v>10</v>
      </c>
      <c r="J1183" s="12">
        <f>Marketing[[#This Row],[Campaign_Cost]]/Marketing[[#This Row],[Customers]]</f>
        <v>841.1</v>
      </c>
      <c r="K1183" t="s">
        <v>51</v>
      </c>
      <c r="L1183" t="s">
        <v>50</v>
      </c>
      <c r="M1183">
        <v>161</v>
      </c>
      <c r="N1183">
        <v>7493</v>
      </c>
      <c r="O1183">
        <v>8</v>
      </c>
      <c r="P1183" t="s">
        <v>42</v>
      </c>
      <c r="Q1183" s="1">
        <v>44283</v>
      </c>
    </row>
    <row r="1184" spans="1:17" x14ac:dyDescent="0.3">
      <c r="A1184" t="s">
        <v>49</v>
      </c>
      <c r="B1184" t="s">
        <v>45</v>
      </c>
      <c r="C1184" t="s">
        <v>37</v>
      </c>
      <c r="D1184" t="s">
        <v>24</v>
      </c>
      <c r="E1184" t="s">
        <v>18</v>
      </c>
      <c r="F1184" s="9">
        <v>0.02</v>
      </c>
      <c r="G1184" s="10">
        <v>10862</v>
      </c>
      <c r="H1184">
        <v>4.34</v>
      </c>
      <c r="I1184" s="5">
        <f>ROUND(Marketing[[#This Row],[Clicks]]*Marketing[[#This Row],[Conversion_Rate]],0)</f>
        <v>10</v>
      </c>
      <c r="J1184" s="12">
        <f>Marketing[[#This Row],[Campaign_Cost]]/Marketing[[#This Row],[Customers]]</f>
        <v>1086.2</v>
      </c>
      <c r="K1184" t="s">
        <v>32</v>
      </c>
      <c r="L1184" t="s">
        <v>20</v>
      </c>
      <c r="M1184">
        <v>515</v>
      </c>
      <c r="N1184">
        <v>7070</v>
      </c>
      <c r="O1184">
        <v>6</v>
      </c>
      <c r="P1184" t="s">
        <v>21</v>
      </c>
      <c r="Q1184" s="1">
        <v>44284</v>
      </c>
    </row>
    <row r="1185" spans="1:17" x14ac:dyDescent="0.3">
      <c r="A1185" t="s">
        <v>22</v>
      </c>
      <c r="B1185" t="s">
        <v>15</v>
      </c>
      <c r="C1185" t="s">
        <v>23</v>
      </c>
      <c r="D1185" t="s">
        <v>46</v>
      </c>
      <c r="E1185" t="s">
        <v>31</v>
      </c>
      <c r="F1185" s="9">
        <v>0.08</v>
      </c>
      <c r="G1185" s="10">
        <v>8422</v>
      </c>
      <c r="H1185">
        <v>3.42</v>
      </c>
      <c r="I1185" s="5">
        <f>ROUND(Marketing[[#This Row],[Clicks]]*Marketing[[#This Row],[Conversion_Rate]],0)</f>
        <v>61</v>
      </c>
      <c r="J1185" s="12">
        <f>Marketing[[#This Row],[Campaign_Cost]]/Marketing[[#This Row],[Customers]]</f>
        <v>138.0655737704918</v>
      </c>
      <c r="K1185" t="s">
        <v>25</v>
      </c>
      <c r="L1185" t="s">
        <v>50</v>
      </c>
      <c r="M1185">
        <v>758</v>
      </c>
      <c r="N1185">
        <v>1455</v>
      </c>
      <c r="O1185">
        <v>7</v>
      </c>
      <c r="P1185" t="s">
        <v>44</v>
      </c>
      <c r="Q1185" s="1">
        <v>44285</v>
      </c>
    </row>
    <row r="1186" spans="1:17" x14ac:dyDescent="0.3">
      <c r="A1186" t="s">
        <v>35</v>
      </c>
      <c r="B1186" t="s">
        <v>45</v>
      </c>
      <c r="C1186" t="s">
        <v>30</v>
      </c>
      <c r="D1186" t="s">
        <v>24</v>
      </c>
      <c r="E1186" t="s">
        <v>15</v>
      </c>
      <c r="F1186" s="9">
        <v>0.06</v>
      </c>
      <c r="G1186" s="10">
        <v>18330</v>
      </c>
      <c r="H1186">
        <v>4.57</v>
      </c>
      <c r="I1186" s="5">
        <f>ROUND(Marketing[[#This Row],[Clicks]]*Marketing[[#This Row],[Conversion_Rate]],0)</f>
        <v>9</v>
      </c>
      <c r="J1186" s="12">
        <f>Marketing[[#This Row],[Campaign_Cost]]/Marketing[[#This Row],[Customers]]</f>
        <v>2036.6666666666667</v>
      </c>
      <c r="K1186" t="s">
        <v>32</v>
      </c>
      <c r="L1186" t="s">
        <v>26</v>
      </c>
      <c r="M1186">
        <v>156</v>
      </c>
      <c r="N1186">
        <v>5696</v>
      </c>
      <c r="O1186">
        <v>3</v>
      </c>
      <c r="P1186" t="s">
        <v>42</v>
      </c>
      <c r="Q1186" s="1">
        <v>44286</v>
      </c>
    </row>
    <row r="1187" spans="1:17" x14ac:dyDescent="0.3">
      <c r="A1187" t="s">
        <v>28</v>
      </c>
      <c r="B1187" t="s">
        <v>47</v>
      </c>
      <c r="C1187" t="s">
        <v>37</v>
      </c>
      <c r="D1187" t="s">
        <v>24</v>
      </c>
      <c r="E1187" t="s">
        <v>18</v>
      </c>
      <c r="F1187" s="9">
        <v>0.05</v>
      </c>
      <c r="G1187" s="10">
        <v>19233</v>
      </c>
      <c r="H1187">
        <v>3.65</v>
      </c>
      <c r="I1187" s="5">
        <f>ROUND(Marketing[[#This Row],[Clicks]]*Marketing[[#This Row],[Conversion_Rate]],0)</f>
        <v>6</v>
      </c>
      <c r="J1187" s="12">
        <f>Marketing[[#This Row],[Campaign_Cost]]/Marketing[[#This Row],[Customers]]</f>
        <v>3205.5</v>
      </c>
      <c r="K1187" t="s">
        <v>25</v>
      </c>
      <c r="L1187" t="s">
        <v>20</v>
      </c>
      <c r="M1187">
        <v>122</v>
      </c>
      <c r="N1187">
        <v>8862</v>
      </c>
      <c r="O1187">
        <v>5</v>
      </c>
      <c r="P1187" t="s">
        <v>21</v>
      </c>
      <c r="Q1187" s="1">
        <v>44287</v>
      </c>
    </row>
    <row r="1188" spans="1:17" x14ac:dyDescent="0.3">
      <c r="A1188" t="s">
        <v>14</v>
      </c>
      <c r="B1188" t="s">
        <v>36</v>
      </c>
      <c r="C1188" t="s">
        <v>52</v>
      </c>
      <c r="D1188" t="s">
        <v>46</v>
      </c>
      <c r="E1188" t="s">
        <v>18</v>
      </c>
      <c r="F1188" s="9">
        <v>0.15</v>
      </c>
      <c r="G1188" s="10">
        <v>7237</v>
      </c>
      <c r="H1188">
        <v>7.02</v>
      </c>
      <c r="I1188" s="5">
        <f>ROUND(Marketing[[#This Row],[Clicks]]*Marketing[[#This Row],[Conversion_Rate]],0)</f>
        <v>54</v>
      </c>
      <c r="J1188" s="12">
        <f>Marketing[[#This Row],[Campaign_Cost]]/Marketing[[#This Row],[Customers]]</f>
        <v>134.0185185185185</v>
      </c>
      <c r="K1188" t="s">
        <v>32</v>
      </c>
      <c r="L1188" t="s">
        <v>33</v>
      </c>
      <c r="M1188">
        <v>357</v>
      </c>
      <c r="N1188">
        <v>2674</v>
      </c>
      <c r="O1188">
        <v>10</v>
      </c>
      <c r="P1188" t="s">
        <v>44</v>
      </c>
      <c r="Q1188" s="1">
        <v>44288</v>
      </c>
    </row>
    <row r="1189" spans="1:17" x14ac:dyDescent="0.3">
      <c r="A1189" t="s">
        <v>49</v>
      </c>
      <c r="B1189" t="s">
        <v>47</v>
      </c>
      <c r="C1189" t="s">
        <v>37</v>
      </c>
      <c r="D1189" t="s">
        <v>17</v>
      </c>
      <c r="E1189" t="s">
        <v>41</v>
      </c>
      <c r="F1189" s="9">
        <v>0.02</v>
      </c>
      <c r="G1189" s="10">
        <v>10286</v>
      </c>
      <c r="H1189">
        <v>3.72</v>
      </c>
      <c r="I1189" s="5">
        <f>ROUND(Marketing[[#This Row],[Clicks]]*Marketing[[#This Row],[Conversion_Rate]],0)</f>
        <v>9</v>
      </c>
      <c r="J1189" s="12">
        <f>Marketing[[#This Row],[Campaign_Cost]]/Marketing[[#This Row],[Customers]]</f>
        <v>1142.8888888888889</v>
      </c>
      <c r="K1189" t="s">
        <v>25</v>
      </c>
      <c r="L1189" t="s">
        <v>20</v>
      </c>
      <c r="M1189">
        <v>440</v>
      </c>
      <c r="N1189">
        <v>1835</v>
      </c>
      <c r="O1189">
        <v>3</v>
      </c>
      <c r="P1189" t="s">
        <v>27</v>
      </c>
      <c r="Q1189" s="1">
        <v>44289</v>
      </c>
    </row>
    <row r="1190" spans="1:17" x14ac:dyDescent="0.3">
      <c r="A1190" t="s">
        <v>28</v>
      </c>
      <c r="B1190" t="s">
        <v>29</v>
      </c>
      <c r="C1190" t="s">
        <v>37</v>
      </c>
      <c r="D1190" t="s">
        <v>24</v>
      </c>
      <c r="E1190" t="s">
        <v>15</v>
      </c>
      <c r="F1190" s="9">
        <v>0.04</v>
      </c>
      <c r="G1190" s="10">
        <v>18227</v>
      </c>
      <c r="H1190">
        <v>4.8600000000000003</v>
      </c>
      <c r="I1190" s="5">
        <f>ROUND(Marketing[[#This Row],[Clicks]]*Marketing[[#This Row],[Conversion_Rate]],0)</f>
        <v>38</v>
      </c>
      <c r="J1190" s="12">
        <f>Marketing[[#This Row],[Campaign_Cost]]/Marketing[[#This Row],[Customers]]</f>
        <v>479.65789473684208</v>
      </c>
      <c r="K1190" t="s">
        <v>38</v>
      </c>
      <c r="L1190" t="s">
        <v>39</v>
      </c>
      <c r="M1190">
        <v>962</v>
      </c>
      <c r="N1190">
        <v>5137</v>
      </c>
      <c r="O1190">
        <v>5</v>
      </c>
      <c r="P1190" t="s">
        <v>42</v>
      </c>
      <c r="Q1190" s="1">
        <v>44290</v>
      </c>
    </row>
    <row r="1191" spans="1:17" x14ac:dyDescent="0.3">
      <c r="A1191" t="s">
        <v>14</v>
      </c>
      <c r="B1191" t="s">
        <v>47</v>
      </c>
      <c r="C1191" t="s">
        <v>37</v>
      </c>
      <c r="D1191" t="s">
        <v>46</v>
      </c>
      <c r="E1191" t="s">
        <v>43</v>
      </c>
      <c r="F1191" s="9">
        <v>0.03</v>
      </c>
      <c r="G1191" s="10">
        <v>14614</v>
      </c>
      <c r="H1191">
        <v>2.41</v>
      </c>
      <c r="I1191" s="5">
        <f>ROUND(Marketing[[#This Row],[Clicks]]*Marketing[[#This Row],[Conversion_Rate]],0)</f>
        <v>14</v>
      </c>
      <c r="J1191" s="12">
        <f>Marketing[[#This Row],[Campaign_Cost]]/Marketing[[#This Row],[Customers]]</f>
        <v>1043.8571428571429</v>
      </c>
      <c r="K1191" t="s">
        <v>19</v>
      </c>
      <c r="L1191" t="s">
        <v>26</v>
      </c>
      <c r="M1191">
        <v>468</v>
      </c>
      <c r="N1191">
        <v>6010</v>
      </c>
      <c r="O1191">
        <v>9</v>
      </c>
      <c r="P1191" t="s">
        <v>42</v>
      </c>
      <c r="Q1191" s="1">
        <v>44291</v>
      </c>
    </row>
    <row r="1192" spans="1:17" x14ac:dyDescent="0.3">
      <c r="A1192" t="s">
        <v>28</v>
      </c>
      <c r="B1192" t="s">
        <v>36</v>
      </c>
      <c r="C1192" t="s">
        <v>52</v>
      </c>
      <c r="D1192" t="s">
        <v>24</v>
      </c>
      <c r="E1192" t="s">
        <v>15</v>
      </c>
      <c r="F1192" s="9">
        <v>0.11</v>
      </c>
      <c r="G1192" s="10">
        <v>15690</v>
      </c>
      <c r="H1192">
        <v>3.72</v>
      </c>
      <c r="I1192" s="5">
        <f>ROUND(Marketing[[#This Row],[Clicks]]*Marketing[[#This Row],[Conversion_Rate]],0)</f>
        <v>56</v>
      </c>
      <c r="J1192" s="12">
        <f>Marketing[[#This Row],[Campaign_Cost]]/Marketing[[#This Row],[Customers]]</f>
        <v>280.17857142857144</v>
      </c>
      <c r="K1192" t="s">
        <v>32</v>
      </c>
      <c r="L1192" t="s">
        <v>33</v>
      </c>
      <c r="M1192">
        <v>510</v>
      </c>
      <c r="N1192">
        <v>1815</v>
      </c>
      <c r="O1192">
        <v>6</v>
      </c>
      <c r="P1192" t="s">
        <v>34</v>
      </c>
      <c r="Q1192" s="1">
        <v>44292</v>
      </c>
    </row>
    <row r="1193" spans="1:17" x14ac:dyDescent="0.3">
      <c r="A1193" t="s">
        <v>22</v>
      </c>
      <c r="B1193" t="s">
        <v>47</v>
      </c>
      <c r="C1193" t="s">
        <v>23</v>
      </c>
      <c r="D1193" t="s">
        <v>17</v>
      </c>
      <c r="E1193" t="s">
        <v>43</v>
      </c>
      <c r="F1193" s="9">
        <v>0.04</v>
      </c>
      <c r="G1193" s="10">
        <v>15047</v>
      </c>
      <c r="H1193">
        <v>6.73</v>
      </c>
      <c r="I1193" s="5">
        <f>ROUND(Marketing[[#This Row],[Clicks]]*Marketing[[#This Row],[Conversion_Rate]],0)</f>
        <v>17</v>
      </c>
      <c r="J1193" s="12">
        <f>Marketing[[#This Row],[Campaign_Cost]]/Marketing[[#This Row],[Customers]]</f>
        <v>885.11764705882354</v>
      </c>
      <c r="K1193" t="s">
        <v>38</v>
      </c>
      <c r="L1193" t="s">
        <v>33</v>
      </c>
      <c r="M1193">
        <v>419</v>
      </c>
      <c r="N1193">
        <v>8498</v>
      </c>
      <c r="O1193">
        <v>1</v>
      </c>
      <c r="P1193" t="s">
        <v>44</v>
      </c>
      <c r="Q1193" s="1">
        <v>44293</v>
      </c>
    </row>
    <row r="1194" spans="1:17" x14ac:dyDescent="0.3">
      <c r="A1194" t="s">
        <v>35</v>
      </c>
      <c r="B1194" t="s">
        <v>47</v>
      </c>
      <c r="C1194" t="s">
        <v>52</v>
      </c>
      <c r="D1194" t="s">
        <v>46</v>
      </c>
      <c r="E1194" t="s">
        <v>18</v>
      </c>
      <c r="F1194" s="9">
        <v>0.15</v>
      </c>
      <c r="G1194" s="10">
        <v>19216</v>
      </c>
      <c r="H1194">
        <v>6.52</v>
      </c>
      <c r="I1194" s="5">
        <f>ROUND(Marketing[[#This Row],[Clicks]]*Marketing[[#This Row],[Conversion_Rate]],0)</f>
        <v>75</v>
      </c>
      <c r="J1194" s="12">
        <f>Marketing[[#This Row],[Campaign_Cost]]/Marketing[[#This Row],[Customers]]</f>
        <v>256.21333333333331</v>
      </c>
      <c r="K1194" t="s">
        <v>25</v>
      </c>
      <c r="L1194" t="s">
        <v>33</v>
      </c>
      <c r="M1194">
        <v>503</v>
      </c>
      <c r="N1194">
        <v>2413</v>
      </c>
      <c r="O1194">
        <v>9</v>
      </c>
      <c r="P1194" t="s">
        <v>27</v>
      </c>
      <c r="Q1194" s="1">
        <v>44294</v>
      </c>
    </row>
    <row r="1195" spans="1:17" x14ac:dyDescent="0.3">
      <c r="A1195" t="s">
        <v>49</v>
      </c>
      <c r="B1195" t="s">
        <v>36</v>
      </c>
      <c r="C1195" t="s">
        <v>23</v>
      </c>
      <c r="D1195" t="s">
        <v>24</v>
      </c>
      <c r="E1195" t="s">
        <v>18</v>
      </c>
      <c r="F1195" s="9">
        <v>0.12</v>
      </c>
      <c r="G1195" s="10">
        <v>18954</v>
      </c>
      <c r="H1195">
        <v>6.71</v>
      </c>
      <c r="I1195" s="5">
        <f>ROUND(Marketing[[#This Row],[Clicks]]*Marketing[[#This Row],[Conversion_Rate]],0)</f>
        <v>12</v>
      </c>
      <c r="J1195" s="12">
        <f>Marketing[[#This Row],[Campaign_Cost]]/Marketing[[#This Row],[Customers]]</f>
        <v>1579.5</v>
      </c>
      <c r="K1195" t="s">
        <v>32</v>
      </c>
      <c r="L1195" t="s">
        <v>33</v>
      </c>
      <c r="M1195">
        <v>103</v>
      </c>
      <c r="N1195">
        <v>5640</v>
      </c>
      <c r="O1195">
        <v>9</v>
      </c>
      <c r="P1195" t="s">
        <v>27</v>
      </c>
      <c r="Q1195" s="1">
        <v>44295</v>
      </c>
    </row>
    <row r="1196" spans="1:17" x14ac:dyDescent="0.3">
      <c r="A1196" t="s">
        <v>49</v>
      </c>
      <c r="B1196" t="s">
        <v>36</v>
      </c>
      <c r="C1196" t="s">
        <v>16</v>
      </c>
      <c r="D1196" t="s">
        <v>17</v>
      </c>
      <c r="E1196" t="s">
        <v>43</v>
      </c>
      <c r="F1196" s="9">
        <v>0.13</v>
      </c>
      <c r="G1196" s="10">
        <v>15225</v>
      </c>
      <c r="H1196">
        <v>4.8899999999999997</v>
      </c>
      <c r="I1196" s="5">
        <f>ROUND(Marketing[[#This Row],[Clicks]]*Marketing[[#This Row],[Conversion_Rate]],0)</f>
        <v>35</v>
      </c>
      <c r="J1196" s="12">
        <f>Marketing[[#This Row],[Campaign_Cost]]/Marketing[[#This Row],[Customers]]</f>
        <v>435</v>
      </c>
      <c r="K1196" t="s">
        <v>38</v>
      </c>
      <c r="L1196" t="s">
        <v>20</v>
      </c>
      <c r="M1196">
        <v>273</v>
      </c>
      <c r="N1196">
        <v>3357</v>
      </c>
      <c r="O1196">
        <v>9</v>
      </c>
      <c r="P1196" t="s">
        <v>27</v>
      </c>
      <c r="Q1196" s="1">
        <v>44296</v>
      </c>
    </row>
    <row r="1197" spans="1:17" x14ac:dyDescent="0.3">
      <c r="A1197" t="s">
        <v>14</v>
      </c>
      <c r="B1197" t="s">
        <v>47</v>
      </c>
      <c r="C1197" t="s">
        <v>30</v>
      </c>
      <c r="D1197" t="s">
        <v>46</v>
      </c>
      <c r="E1197" t="s">
        <v>15</v>
      </c>
      <c r="F1197" s="9">
        <v>7.0000000000000007E-2</v>
      </c>
      <c r="G1197" s="10">
        <v>9135</v>
      </c>
      <c r="H1197">
        <v>4.22</v>
      </c>
      <c r="I1197" s="5">
        <f>ROUND(Marketing[[#This Row],[Clicks]]*Marketing[[#This Row],[Conversion_Rate]],0)</f>
        <v>27</v>
      </c>
      <c r="J1197" s="12">
        <f>Marketing[[#This Row],[Campaign_Cost]]/Marketing[[#This Row],[Customers]]</f>
        <v>338.33333333333331</v>
      </c>
      <c r="K1197" t="s">
        <v>38</v>
      </c>
      <c r="L1197" t="s">
        <v>26</v>
      </c>
      <c r="M1197">
        <v>384</v>
      </c>
      <c r="N1197">
        <v>4130</v>
      </c>
      <c r="O1197">
        <v>8</v>
      </c>
      <c r="P1197" t="s">
        <v>21</v>
      </c>
      <c r="Q1197" s="1">
        <v>44297</v>
      </c>
    </row>
    <row r="1198" spans="1:17" x14ac:dyDescent="0.3">
      <c r="A1198" t="s">
        <v>49</v>
      </c>
      <c r="B1198" t="s">
        <v>45</v>
      </c>
      <c r="C1198" t="s">
        <v>52</v>
      </c>
      <c r="D1198" t="s">
        <v>24</v>
      </c>
      <c r="E1198" t="s">
        <v>48</v>
      </c>
      <c r="F1198" s="9">
        <v>0.09</v>
      </c>
      <c r="G1198" s="10">
        <v>5725</v>
      </c>
      <c r="H1198">
        <v>2.12</v>
      </c>
      <c r="I1198" s="5">
        <f>ROUND(Marketing[[#This Row],[Clicks]]*Marketing[[#This Row],[Conversion_Rate]],0)</f>
        <v>70</v>
      </c>
      <c r="J1198" s="12">
        <f>Marketing[[#This Row],[Campaign_Cost]]/Marketing[[#This Row],[Customers]]</f>
        <v>81.785714285714292</v>
      </c>
      <c r="K1198" t="s">
        <v>19</v>
      </c>
      <c r="L1198" t="s">
        <v>20</v>
      </c>
      <c r="M1198">
        <v>783</v>
      </c>
      <c r="N1198">
        <v>2198</v>
      </c>
      <c r="O1198">
        <v>4</v>
      </c>
      <c r="P1198" t="s">
        <v>42</v>
      </c>
      <c r="Q1198" s="1">
        <v>44298</v>
      </c>
    </row>
    <row r="1199" spans="1:17" x14ac:dyDescent="0.3">
      <c r="A1199" t="s">
        <v>22</v>
      </c>
      <c r="B1199" t="s">
        <v>29</v>
      </c>
      <c r="C1199" t="s">
        <v>30</v>
      </c>
      <c r="D1199" t="s">
        <v>40</v>
      </c>
      <c r="E1199" t="s">
        <v>43</v>
      </c>
      <c r="F1199" s="9">
        <v>0.15</v>
      </c>
      <c r="G1199" s="10">
        <v>13571</v>
      </c>
      <c r="H1199">
        <v>3.98</v>
      </c>
      <c r="I1199" s="5">
        <f>ROUND(Marketing[[#This Row],[Clicks]]*Marketing[[#This Row],[Conversion_Rate]],0)</f>
        <v>133</v>
      </c>
      <c r="J1199" s="12">
        <f>Marketing[[#This Row],[Campaign_Cost]]/Marketing[[#This Row],[Customers]]</f>
        <v>102.0375939849624</v>
      </c>
      <c r="K1199" t="s">
        <v>32</v>
      </c>
      <c r="L1199" t="s">
        <v>33</v>
      </c>
      <c r="M1199">
        <v>884</v>
      </c>
      <c r="N1199">
        <v>9638</v>
      </c>
      <c r="O1199">
        <v>2</v>
      </c>
      <c r="P1199" t="s">
        <v>21</v>
      </c>
      <c r="Q1199" s="1">
        <v>44299</v>
      </c>
    </row>
    <row r="1200" spans="1:17" x14ac:dyDescent="0.3">
      <c r="A1200" t="s">
        <v>28</v>
      </c>
      <c r="B1200" t="s">
        <v>15</v>
      </c>
      <c r="C1200" t="s">
        <v>37</v>
      </c>
      <c r="D1200" t="s">
        <v>17</v>
      </c>
      <c r="E1200" t="s">
        <v>41</v>
      </c>
      <c r="F1200" s="9">
        <v>0.06</v>
      </c>
      <c r="G1200" s="10">
        <v>19735</v>
      </c>
      <c r="H1200">
        <v>7.58</v>
      </c>
      <c r="I1200" s="5">
        <f>ROUND(Marketing[[#This Row],[Clicks]]*Marketing[[#This Row],[Conversion_Rate]],0)</f>
        <v>11</v>
      </c>
      <c r="J1200" s="12">
        <f>Marketing[[#This Row],[Campaign_Cost]]/Marketing[[#This Row],[Customers]]</f>
        <v>1794.090909090909</v>
      </c>
      <c r="K1200" t="s">
        <v>51</v>
      </c>
      <c r="L1200" t="s">
        <v>20</v>
      </c>
      <c r="M1200">
        <v>186</v>
      </c>
      <c r="N1200">
        <v>2223</v>
      </c>
      <c r="O1200">
        <v>6</v>
      </c>
      <c r="P1200" t="s">
        <v>21</v>
      </c>
      <c r="Q1200" s="1">
        <v>44300</v>
      </c>
    </row>
    <row r="1201" spans="1:17" x14ac:dyDescent="0.3">
      <c r="A1201" t="s">
        <v>28</v>
      </c>
      <c r="B1201" t="s">
        <v>36</v>
      </c>
      <c r="C1201" t="s">
        <v>23</v>
      </c>
      <c r="D1201" t="s">
        <v>46</v>
      </c>
      <c r="E1201" t="s">
        <v>43</v>
      </c>
      <c r="F1201" s="9">
        <v>0.06</v>
      </c>
      <c r="G1201" s="10">
        <v>6397</v>
      </c>
      <c r="H1201">
        <v>5.91</v>
      </c>
      <c r="I1201" s="5">
        <f>ROUND(Marketing[[#This Row],[Clicks]]*Marketing[[#This Row],[Conversion_Rate]],0)</f>
        <v>39</v>
      </c>
      <c r="J1201" s="12">
        <f>Marketing[[#This Row],[Campaign_Cost]]/Marketing[[#This Row],[Customers]]</f>
        <v>164.02564102564102</v>
      </c>
      <c r="K1201" t="s">
        <v>38</v>
      </c>
      <c r="L1201" t="s">
        <v>33</v>
      </c>
      <c r="M1201">
        <v>655</v>
      </c>
      <c r="N1201">
        <v>4663</v>
      </c>
      <c r="O1201">
        <v>4</v>
      </c>
      <c r="P1201" t="s">
        <v>42</v>
      </c>
      <c r="Q1201" s="1">
        <v>44301</v>
      </c>
    </row>
    <row r="1202" spans="1:17" x14ac:dyDescent="0.3">
      <c r="A1202" t="s">
        <v>22</v>
      </c>
      <c r="B1202" t="s">
        <v>29</v>
      </c>
      <c r="C1202" t="s">
        <v>23</v>
      </c>
      <c r="D1202" t="s">
        <v>46</v>
      </c>
      <c r="E1202" t="s">
        <v>41</v>
      </c>
      <c r="F1202" s="9">
        <v>0.12</v>
      </c>
      <c r="G1202" s="10">
        <v>17670</v>
      </c>
      <c r="H1202">
        <v>7.12</v>
      </c>
      <c r="I1202" s="5">
        <f>ROUND(Marketing[[#This Row],[Clicks]]*Marketing[[#This Row],[Conversion_Rate]],0)</f>
        <v>91</v>
      </c>
      <c r="J1202" s="12">
        <f>Marketing[[#This Row],[Campaign_Cost]]/Marketing[[#This Row],[Customers]]</f>
        <v>194.17582417582418</v>
      </c>
      <c r="K1202" t="s">
        <v>32</v>
      </c>
      <c r="L1202" t="s">
        <v>39</v>
      </c>
      <c r="M1202">
        <v>759</v>
      </c>
      <c r="N1202">
        <v>7663</v>
      </c>
      <c r="O1202">
        <v>3</v>
      </c>
      <c r="P1202" t="s">
        <v>21</v>
      </c>
      <c r="Q1202" s="1">
        <v>44302</v>
      </c>
    </row>
    <row r="1203" spans="1:17" x14ac:dyDescent="0.3">
      <c r="A1203" t="s">
        <v>35</v>
      </c>
      <c r="B1203" t="s">
        <v>36</v>
      </c>
      <c r="C1203" t="s">
        <v>23</v>
      </c>
      <c r="D1203" t="s">
        <v>40</v>
      </c>
      <c r="E1203" t="s">
        <v>48</v>
      </c>
      <c r="F1203" s="9">
        <v>0.04</v>
      </c>
      <c r="G1203" s="10">
        <v>9212</v>
      </c>
      <c r="H1203">
        <v>6.3</v>
      </c>
      <c r="I1203" s="5">
        <f>ROUND(Marketing[[#This Row],[Clicks]]*Marketing[[#This Row],[Conversion_Rate]],0)</f>
        <v>5</v>
      </c>
      <c r="J1203" s="12">
        <f>Marketing[[#This Row],[Campaign_Cost]]/Marketing[[#This Row],[Customers]]</f>
        <v>1842.4</v>
      </c>
      <c r="K1203" t="s">
        <v>51</v>
      </c>
      <c r="L1203" t="s">
        <v>26</v>
      </c>
      <c r="M1203">
        <v>118</v>
      </c>
      <c r="N1203">
        <v>8405</v>
      </c>
      <c r="O1203">
        <v>4</v>
      </c>
      <c r="P1203" t="s">
        <v>34</v>
      </c>
      <c r="Q1203" s="1">
        <v>44303</v>
      </c>
    </row>
    <row r="1204" spans="1:17" x14ac:dyDescent="0.3">
      <c r="A1204" t="s">
        <v>49</v>
      </c>
      <c r="B1204" t="s">
        <v>45</v>
      </c>
      <c r="C1204" t="s">
        <v>37</v>
      </c>
      <c r="D1204" t="s">
        <v>17</v>
      </c>
      <c r="E1204" t="s">
        <v>48</v>
      </c>
      <c r="F1204" s="9">
        <v>0.01</v>
      </c>
      <c r="G1204" s="10">
        <v>16546</v>
      </c>
      <c r="H1204">
        <v>4.0199999999999996</v>
      </c>
      <c r="I1204" s="5">
        <f>ROUND(Marketing[[#This Row],[Clicks]]*Marketing[[#This Row],[Conversion_Rate]],0)</f>
        <v>8</v>
      </c>
      <c r="J1204" s="12">
        <f>Marketing[[#This Row],[Campaign_Cost]]/Marketing[[#This Row],[Customers]]</f>
        <v>2068.25</v>
      </c>
      <c r="K1204" t="s">
        <v>32</v>
      </c>
      <c r="L1204" t="s">
        <v>26</v>
      </c>
      <c r="M1204">
        <v>757</v>
      </c>
      <c r="N1204">
        <v>2053</v>
      </c>
      <c r="O1204">
        <v>7</v>
      </c>
      <c r="P1204" t="s">
        <v>42</v>
      </c>
      <c r="Q1204" s="1">
        <v>44304</v>
      </c>
    </row>
    <row r="1205" spans="1:17" x14ac:dyDescent="0.3">
      <c r="A1205" t="s">
        <v>28</v>
      </c>
      <c r="B1205" t="s">
        <v>45</v>
      </c>
      <c r="C1205" t="s">
        <v>30</v>
      </c>
      <c r="D1205" t="s">
        <v>24</v>
      </c>
      <c r="E1205" t="s">
        <v>15</v>
      </c>
      <c r="F1205" s="9">
        <v>0.14000000000000001</v>
      </c>
      <c r="G1205" s="10">
        <v>8200</v>
      </c>
      <c r="H1205">
        <v>3.58</v>
      </c>
      <c r="I1205" s="5">
        <f>ROUND(Marketing[[#This Row],[Clicks]]*Marketing[[#This Row],[Conversion_Rate]],0)</f>
        <v>109</v>
      </c>
      <c r="J1205" s="12">
        <f>Marketing[[#This Row],[Campaign_Cost]]/Marketing[[#This Row],[Customers]]</f>
        <v>75.22935779816514</v>
      </c>
      <c r="K1205" t="s">
        <v>51</v>
      </c>
      <c r="L1205" t="s">
        <v>39</v>
      </c>
      <c r="M1205">
        <v>775</v>
      </c>
      <c r="N1205">
        <v>6975</v>
      </c>
      <c r="O1205">
        <v>10</v>
      </c>
      <c r="P1205" t="s">
        <v>34</v>
      </c>
      <c r="Q1205" s="1">
        <v>44305</v>
      </c>
    </row>
    <row r="1206" spans="1:17" x14ac:dyDescent="0.3">
      <c r="A1206" t="s">
        <v>14</v>
      </c>
      <c r="B1206" t="s">
        <v>15</v>
      </c>
      <c r="C1206" t="s">
        <v>37</v>
      </c>
      <c r="D1206" t="s">
        <v>46</v>
      </c>
      <c r="E1206" t="s">
        <v>41</v>
      </c>
      <c r="F1206" s="9">
        <v>0.12</v>
      </c>
      <c r="G1206" s="10">
        <v>10159</v>
      </c>
      <c r="H1206">
        <v>3.45</v>
      </c>
      <c r="I1206" s="5">
        <f>ROUND(Marketing[[#This Row],[Clicks]]*Marketing[[#This Row],[Conversion_Rate]],0)</f>
        <v>42</v>
      </c>
      <c r="J1206" s="12">
        <f>Marketing[[#This Row],[Campaign_Cost]]/Marketing[[#This Row],[Customers]]</f>
        <v>241.88095238095238</v>
      </c>
      <c r="K1206" t="s">
        <v>25</v>
      </c>
      <c r="L1206" t="s">
        <v>20</v>
      </c>
      <c r="M1206">
        <v>349</v>
      </c>
      <c r="N1206">
        <v>8179</v>
      </c>
      <c r="O1206">
        <v>7</v>
      </c>
      <c r="P1206" t="s">
        <v>44</v>
      </c>
      <c r="Q1206" s="1">
        <v>44306</v>
      </c>
    </row>
    <row r="1207" spans="1:17" x14ac:dyDescent="0.3">
      <c r="A1207" t="s">
        <v>28</v>
      </c>
      <c r="B1207" t="s">
        <v>47</v>
      </c>
      <c r="C1207" t="s">
        <v>23</v>
      </c>
      <c r="D1207" t="s">
        <v>24</v>
      </c>
      <c r="E1207" t="s">
        <v>41</v>
      </c>
      <c r="F1207" s="9">
        <v>0.05</v>
      </c>
      <c r="G1207" s="10">
        <v>5712</v>
      </c>
      <c r="H1207">
        <v>4.41</v>
      </c>
      <c r="I1207" s="5">
        <f>ROUND(Marketing[[#This Row],[Clicks]]*Marketing[[#This Row],[Conversion_Rate]],0)</f>
        <v>29</v>
      </c>
      <c r="J1207" s="12">
        <f>Marketing[[#This Row],[Campaign_Cost]]/Marketing[[#This Row],[Customers]]</f>
        <v>196.9655172413793</v>
      </c>
      <c r="K1207" t="s">
        <v>51</v>
      </c>
      <c r="L1207" t="s">
        <v>33</v>
      </c>
      <c r="M1207">
        <v>573</v>
      </c>
      <c r="N1207">
        <v>8646</v>
      </c>
      <c r="O1207">
        <v>2</v>
      </c>
      <c r="P1207" t="s">
        <v>34</v>
      </c>
      <c r="Q1207" s="1">
        <v>44307</v>
      </c>
    </row>
    <row r="1208" spans="1:17" x14ac:dyDescent="0.3">
      <c r="A1208" t="s">
        <v>28</v>
      </c>
      <c r="B1208" t="s">
        <v>45</v>
      </c>
      <c r="C1208" t="s">
        <v>16</v>
      </c>
      <c r="D1208" t="s">
        <v>24</v>
      </c>
      <c r="E1208" t="s">
        <v>43</v>
      </c>
      <c r="F1208" s="9">
        <v>0.14000000000000001</v>
      </c>
      <c r="G1208" s="10">
        <v>10229</v>
      </c>
      <c r="H1208">
        <v>3.91</v>
      </c>
      <c r="I1208" s="5">
        <f>ROUND(Marketing[[#This Row],[Clicks]]*Marketing[[#This Row],[Conversion_Rate]],0)</f>
        <v>116</v>
      </c>
      <c r="J1208" s="12">
        <f>Marketing[[#This Row],[Campaign_Cost]]/Marketing[[#This Row],[Customers]]</f>
        <v>88.181034482758619</v>
      </c>
      <c r="K1208" t="s">
        <v>32</v>
      </c>
      <c r="L1208" t="s">
        <v>26</v>
      </c>
      <c r="M1208">
        <v>831</v>
      </c>
      <c r="N1208">
        <v>5825</v>
      </c>
      <c r="O1208">
        <v>8</v>
      </c>
      <c r="P1208" t="s">
        <v>44</v>
      </c>
      <c r="Q1208" s="1">
        <v>44308</v>
      </c>
    </row>
    <row r="1209" spans="1:17" x14ac:dyDescent="0.3">
      <c r="A1209" t="s">
        <v>49</v>
      </c>
      <c r="B1209" t="s">
        <v>45</v>
      </c>
      <c r="C1209" t="s">
        <v>23</v>
      </c>
      <c r="D1209" t="s">
        <v>24</v>
      </c>
      <c r="E1209" t="s">
        <v>18</v>
      </c>
      <c r="F1209" s="9">
        <v>0.15</v>
      </c>
      <c r="G1209" s="10">
        <v>10358</v>
      </c>
      <c r="H1209">
        <v>3.87</v>
      </c>
      <c r="I1209" s="5">
        <f>ROUND(Marketing[[#This Row],[Clicks]]*Marketing[[#This Row],[Conversion_Rate]],0)</f>
        <v>148</v>
      </c>
      <c r="J1209" s="12">
        <f>Marketing[[#This Row],[Campaign_Cost]]/Marketing[[#This Row],[Customers]]</f>
        <v>69.986486486486484</v>
      </c>
      <c r="K1209" t="s">
        <v>38</v>
      </c>
      <c r="L1209" t="s">
        <v>26</v>
      </c>
      <c r="M1209">
        <v>985</v>
      </c>
      <c r="N1209">
        <v>6974</v>
      </c>
      <c r="O1209">
        <v>10</v>
      </c>
      <c r="P1209" t="s">
        <v>42</v>
      </c>
      <c r="Q1209" s="1">
        <v>44309</v>
      </c>
    </row>
    <row r="1210" spans="1:17" x14ac:dyDescent="0.3">
      <c r="A1210" t="s">
        <v>35</v>
      </c>
      <c r="B1210" t="s">
        <v>45</v>
      </c>
      <c r="C1210" t="s">
        <v>30</v>
      </c>
      <c r="D1210" t="s">
        <v>17</v>
      </c>
      <c r="E1210" t="s">
        <v>18</v>
      </c>
      <c r="F1210" s="9">
        <v>0.1</v>
      </c>
      <c r="G1210" s="10">
        <v>10783</v>
      </c>
      <c r="H1210">
        <v>5.24</v>
      </c>
      <c r="I1210" s="5">
        <f>ROUND(Marketing[[#This Row],[Clicks]]*Marketing[[#This Row],[Conversion_Rate]],0)</f>
        <v>72</v>
      </c>
      <c r="J1210" s="12">
        <f>Marketing[[#This Row],[Campaign_Cost]]/Marketing[[#This Row],[Customers]]</f>
        <v>149.76388888888889</v>
      </c>
      <c r="K1210" t="s">
        <v>25</v>
      </c>
      <c r="L1210" t="s">
        <v>39</v>
      </c>
      <c r="M1210">
        <v>715</v>
      </c>
      <c r="N1210">
        <v>3450</v>
      </c>
      <c r="O1210">
        <v>9</v>
      </c>
      <c r="P1210" t="s">
        <v>27</v>
      </c>
      <c r="Q1210" s="1">
        <v>44310</v>
      </c>
    </row>
    <row r="1211" spans="1:17" x14ac:dyDescent="0.3">
      <c r="A1211" t="s">
        <v>28</v>
      </c>
      <c r="B1211" t="s">
        <v>47</v>
      </c>
      <c r="C1211" t="s">
        <v>52</v>
      </c>
      <c r="D1211" t="s">
        <v>24</v>
      </c>
      <c r="E1211" t="s">
        <v>48</v>
      </c>
      <c r="F1211" s="9">
        <v>0.11</v>
      </c>
      <c r="G1211" s="10">
        <v>11096</v>
      </c>
      <c r="H1211">
        <v>4.51</v>
      </c>
      <c r="I1211" s="5">
        <f>ROUND(Marketing[[#This Row],[Clicks]]*Marketing[[#This Row],[Conversion_Rate]],0)</f>
        <v>89</v>
      </c>
      <c r="J1211" s="12">
        <f>Marketing[[#This Row],[Campaign_Cost]]/Marketing[[#This Row],[Customers]]</f>
        <v>124.67415730337079</v>
      </c>
      <c r="K1211" t="s">
        <v>51</v>
      </c>
      <c r="L1211" t="s">
        <v>33</v>
      </c>
      <c r="M1211">
        <v>806</v>
      </c>
      <c r="N1211">
        <v>4353</v>
      </c>
      <c r="O1211">
        <v>7</v>
      </c>
      <c r="P1211" t="s">
        <v>27</v>
      </c>
      <c r="Q1211" s="1">
        <v>44311</v>
      </c>
    </row>
    <row r="1212" spans="1:17" x14ac:dyDescent="0.3">
      <c r="A1212" t="s">
        <v>22</v>
      </c>
      <c r="B1212" t="s">
        <v>45</v>
      </c>
      <c r="C1212" t="s">
        <v>52</v>
      </c>
      <c r="D1212" t="s">
        <v>24</v>
      </c>
      <c r="E1212" t="s">
        <v>41</v>
      </c>
      <c r="F1212" s="9">
        <v>0.05</v>
      </c>
      <c r="G1212" s="10">
        <v>11780</v>
      </c>
      <c r="H1212">
        <v>5.45</v>
      </c>
      <c r="I1212" s="5">
        <f>ROUND(Marketing[[#This Row],[Clicks]]*Marketing[[#This Row],[Conversion_Rate]],0)</f>
        <v>19</v>
      </c>
      <c r="J1212" s="12">
        <f>Marketing[[#This Row],[Campaign_Cost]]/Marketing[[#This Row],[Customers]]</f>
        <v>620</v>
      </c>
      <c r="K1212" t="s">
        <v>38</v>
      </c>
      <c r="L1212" t="s">
        <v>26</v>
      </c>
      <c r="M1212">
        <v>376</v>
      </c>
      <c r="N1212">
        <v>6635</v>
      </c>
      <c r="O1212">
        <v>5</v>
      </c>
      <c r="P1212" t="s">
        <v>27</v>
      </c>
      <c r="Q1212" s="1">
        <v>44312</v>
      </c>
    </row>
    <row r="1213" spans="1:17" x14ac:dyDescent="0.3">
      <c r="A1213" t="s">
        <v>35</v>
      </c>
      <c r="B1213" t="s">
        <v>15</v>
      </c>
      <c r="C1213" t="s">
        <v>52</v>
      </c>
      <c r="D1213" t="s">
        <v>46</v>
      </c>
      <c r="E1213" t="s">
        <v>15</v>
      </c>
      <c r="F1213" s="9">
        <v>0.04</v>
      </c>
      <c r="G1213" s="10">
        <v>12054</v>
      </c>
      <c r="H1213">
        <v>6.48</v>
      </c>
      <c r="I1213" s="5">
        <f>ROUND(Marketing[[#This Row],[Clicks]]*Marketing[[#This Row],[Conversion_Rate]],0)</f>
        <v>6</v>
      </c>
      <c r="J1213" s="12">
        <f>Marketing[[#This Row],[Campaign_Cost]]/Marketing[[#This Row],[Customers]]</f>
        <v>2009</v>
      </c>
      <c r="K1213" t="s">
        <v>32</v>
      </c>
      <c r="L1213" t="s">
        <v>20</v>
      </c>
      <c r="M1213">
        <v>140</v>
      </c>
      <c r="N1213">
        <v>4599</v>
      </c>
      <c r="O1213">
        <v>8</v>
      </c>
      <c r="P1213" t="s">
        <v>27</v>
      </c>
      <c r="Q1213" s="1">
        <v>44313</v>
      </c>
    </row>
    <row r="1214" spans="1:17" x14ac:dyDescent="0.3">
      <c r="A1214" t="s">
        <v>49</v>
      </c>
      <c r="B1214" t="s">
        <v>15</v>
      </c>
      <c r="C1214" t="s">
        <v>23</v>
      </c>
      <c r="D1214" t="s">
        <v>24</v>
      </c>
      <c r="E1214" t="s">
        <v>15</v>
      </c>
      <c r="F1214" s="9">
        <v>0.06</v>
      </c>
      <c r="G1214" s="10">
        <v>15947</v>
      </c>
      <c r="H1214">
        <v>5.73</v>
      </c>
      <c r="I1214" s="5">
        <f>ROUND(Marketing[[#This Row],[Clicks]]*Marketing[[#This Row],[Conversion_Rate]],0)</f>
        <v>12</v>
      </c>
      <c r="J1214" s="12">
        <f>Marketing[[#This Row],[Campaign_Cost]]/Marketing[[#This Row],[Customers]]</f>
        <v>1328.9166666666667</v>
      </c>
      <c r="K1214" t="s">
        <v>38</v>
      </c>
      <c r="L1214" t="s">
        <v>20</v>
      </c>
      <c r="M1214">
        <v>198</v>
      </c>
      <c r="N1214">
        <v>1820</v>
      </c>
      <c r="O1214">
        <v>1</v>
      </c>
      <c r="P1214" t="s">
        <v>42</v>
      </c>
      <c r="Q1214" s="1">
        <v>44314</v>
      </c>
    </row>
    <row r="1215" spans="1:17" x14ac:dyDescent="0.3">
      <c r="A1215" t="s">
        <v>28</v>
      </c>
      <c r="B1215" t="s">
        <v>29</v>
      </c>
      <c r="C1215" t="s">
        <v>30</v>
      </c>
      <c r="D1215" t="s">
        <v>46</v>
      </c>
      <c r="E1215" t="s">
        <v>48</v>
      </c>
      <c r="F1215" s="9">
        <v>0.09</v>
      </c>
      <c r="G1215" s="10">
        <v>13432</v>
      </c>
      <c r="H1215">
        <v>2.81</v>
      </c>
      <c r="I1215" s="5">
        <f>ROUND(Marketing[[#This Row],[Clicks]]*Marketing[[#This Row],[Conversion_Rate]],0)</f>
        <v>78</v>
      </c>
      <c r="J1215" s="12">
        <f>Marketing[[#This Row],[Campaign_Cost]]/Marketing[[#This Row],[Customers]]</f>
        <v>172.2051282051282</v>
      </c>
      <c r="K1215" t="s">
        <v>51</v>
      </c>
      <c r="L1215" t="s">
        <v>39</v>
      </c>
      <c r="M1215">
        <v>868</v>
      </c>
      <c r="N1215">
        <v>2221</v>
      </c>
      <c r="O1215">
        <v>9</v>
      </c>
      <c r="P1215" t="s">
        <v>42</v>
      </c>
      <c r="Q1215" s="1">
        <v>44315</v>
      </c>
    </row>
    <row r="1216" spans="1:17" x14ac:dyDescent="0.3">
      <c r="A1216" t="s">
        <v>14</v>
      </c>
      <c r="B1216" t="s">
        <v>45</v>
      </c>
      <c r="C1216" t="s">
        <v>16</v>
      </c>
      <c r="D1216" t="s">
        <v>40</v>
      </c>
      <c r="E1216" t="s">
        <v>43</v>
      </c>
      <c r="F1216" s="9">
        <v>0.06</v>
      </c>
      <c r="G1216" s="10">
        <v>12031</v>
      </c>
      <c r="H1216">
        <v>7.41</v>
      </c>
      <c r="I1216" s="5">
        <f>ROUND(Marketing[[#This Row],[Clicks]]*Marketing[[#This Row],[Conversion_Rate]],0)</f>
        <v>31</v>
      </c>
      <c r="J1216" s="12">
        <f>Marketing[[#This Row],[Campaign_Cost]]/Marketing[[#This Row],[Customers]]</f>
        <v>388.09677419354841</v>
      </c>
      <c r="K1216" t="s">
        <v>32</v>
      </c>
      <c r="L1216" t="s">
        <v>26</v>
      </c>
      <c r="M1216">
        <v>513</v>
      </c>
      <c r="N1216">
        <v>9586</v>
      </c>
      <c r="O1216">
        <v>5</v>
      </c>
      <c r="P1216" t="s">
        <v>42</v>
      </c>
      <c r="Q1216" s="1">
        <v>44316</v>
      </c>
    </row>
    <row r="1217" spans="1:17" x14ac:dyDescent="0.3">
      <c r="A1217" t="s">
        <v>35</v>
      </c>
      <c r="B1217" t="s">
        <v>47</v>
      </c>
      <c r="C1217" t="s">
        <v>52</v>
      </c>
      <c r="D1217" t="s">
        <v>17</v>
      </c>
      <c r="E1217" t="s">
        <v>48</v>
      </c>
      <c r="F1217" s="9">
        <v>0.06</v>
      </c>
      <c r="G1217" s="10">
        <v>8340</v>
      </c>
      <c r="H1217">
        <v>5.18</v>
      </c>
      <c r="I1217" s="5">
        <f>ROUND(Marketing[[#This Row],[Clicks]]*Marketing[[#This Row],[Conversion_Rate]],0)</f>
        <v>28</v>
      </c>
      <c r="J1217" s="12">
        <f>Marketing[[#This Row],[Campaign_Cost]]/Marketing[[#This Row],[Customers]]</f>
        <v>297.85714285714283</v>
      </c>
      <c r="K1217" t="s">
        <v>51</v>
      </c>
      <c r="L1217" t="s">
        <v>50</v>
      </c>
      <c r="M1217">
        <v>463</v>
      </c>
      <c r="N1217">
        <v>7047</v>
      </c>
      <c r="O1217">
        <v>2</v>
      </c>
      <c r="P1217" t="s">
        <v>27</v>
      </c>
      <c r="Q1217" s="1">
        <v>44317</v>
      </c>
    </row>
    <row r="1218" spans="1:17" x14ac:dyDescent="0.3">
      <c r="A1218" t="s">
        <v>49</v>
      </c>
      <c r="B1218" t="s">
        <v>15</v>
      </c>
      <c r="C1218" t="s">
        <v>23</v>
      </c>
      <c r="D1218" t="s">
        <v>17</v>
      </c>
      <c r="E1218" t="s">
        <v>15</v>
      </c>
      <c r="F1218" s="9">
        <v>0.12</v>
      </c>
      <c r="G1218" s="10">
        <v>9014</v>
      </c>
      <c r="H1218">
        <v>2.19</v>
      </c>
      <c r="I1218" s="5">
        <f>ROUND(Marketing[[#This Row],[Clicks]]*Marketing[[#This Row],[Conversion_Rate]],0)</f>
        <v>58</v>
      </c>
      <c r="J1218" s="12">
        <f>Marketing[[#This Row],[Campaign_Cost]]/Marketing[[#This Row],[Customers]]</f>
        <v>155.41379310344828</v>
      </c>
      <c r="K1218" t="s">
        <v>25</v>
      </c>
      <c r="L1218" t="s">
        <v>33</v>
      </c>
      <c r="M1218">
        <v>481</v>
      </c>
      <c r="N1218">
        <v>8990</v>
      </c>
      <c r="O1218">
        <v>5</v>
      </c>
      <c r="P1218" t="s">
        <v>34</v>
      </c>
      <c r="Q1218" s="1">
        <v>44318</v>
      </c>
    </row>
    <row r="1219" spans="1:17" x14ac:dyDescent="0.3">
      <c r="A1219" t="s">
        <v>14</v>
      </c>
      <c r="B1219" t="s">
        <v>29</v>
      </c>
      <c r="C1219" t="s">
        <v>37</v>
      </c>
      <c r="D1219" t="s">
        <v>46</v>
      </c>
      <c r="E1219" t="s">
        <v>18</v>
      </c>
      <c r="F1219" s="9">
        <v>7.0000000000000007E-2</v>
      </c>
      <c r="G1219" s="10">
        <v>11977</v>
      </c>
      <c r="H1219">
        <v>5.08</v>
      </c>
      <c r="I1219" s="5">
        <f>ROUND(Marketing[[#This Row],[Clicks]]*Marketing[[#This Row],[Conversion_Rate]],0)</f>
        <v>15</v>
      </c>
      <c r="J1219" s="12">
        <f>Marketing[[#This Row],[Campaign_Cost]]/Marketing[[#This Row],[Customers]]</f>
        <v>798.4666666666667</v>
      </c>
      <c r="K1219" t="s">
        <v>19</v>
      </c>
      <c r="L1219" t="s">
        <v>20</v>
      </c>
      <c r="M1219">
        <v>216</v>
      </c>
      <c r="N1219">
        <v>8693</v>
      </c>
      <c r="O1219">
        <v>5</v>
      </c>
      <c r="P1219" t="s">
        <v>34</v>
      </c>
      <c r="Q1219" s="1">
        <v>44319</v>
      </c>
    </row>
    <row r="1220" spans="1:17" x14ac:dyDescent="0.3">
      <c r="A1220" t="s">
        <v>28</v>
      </c>
      <c r="B1220" t="s">
        <v>15</v>
      </c>
      <c r="C1220" t="s">
        <v>30</v>
      </c>
      <c r="D1220" t="s">
        <v>40</v>
      </c>
      <c r="E1220" t="s">
        <v>48</v>
      </c>
      <c r="F1220" s="9">
        <v>0.02</v>
      </c>
      <c r="G1220" s="10">
        <v>12675</v>
      </c>
      <c r="H1220">
        <v>4.8600000000000003</v>
      </c>
      <c r="I1220" s="5">
        <f>ROUND(Marketing[[#This Row],[Clicks]]*Marketing[[#This Row],[Conversion_Rate]],0)</f>
        <v>12</v>
      </c>
      <c r="J1220" s="12">
        <f>Marketing[[#This Row],[Campaign_Cost]]/Marketing[[#This Row],[Customers]]</f>
        <v>1056.25</v>
      </c>
      <c r="K1220" t="s">
        <v>19</v>
      </c>
      <c r="L1220" t="s">
        <v>26</v>
      </c>
      <c r="M1220">
        <v>611</v>
      </c>
      <c r="N1220">
        <v>1114</v>
      </c>
      <c r="O1220">
        <v>5</v>
      </c>
      <c r="P1220" t="s">
        <v>34</v>
      </c>
      <c r="Q1220" s="1">
        <v>44320</v>
      </c>
    </row>
    <row r="1221" spans="1:17" x14ac:dyDescent="0.3">
      <c r="A1221" t="s">
        <v>22</v>
      </c>
      <c r="B1221" t="s">
        <v>15</v>
      </c>
      <c r="C1221" t="s">
        <v>16</v>
      </c>
      <c r="D1221" t="s">
        <v>46</v>
      </c>
      <c r="E1221" t="s">
        <v>48</v>
      </c>
      <c r="F1221" s="9">
        <v>0.14000000000000001</v>
      </c>
      <c r="G1221" s="10">
        <v>11215</v>
      </c>
      <c r="H1221">
        <v>3.34</v>
      </c>
      <c r="I1221" s="5">
        <f>ROUND(Marketing[[#This Row],[Clicks]]*Marketing[[#This Row],[Conversion_Rate]],0)</f>
        <v>96</v>
      </c>
      <c r="J1221" s="12">
        <f>Marketing[[#This Row],[Campaign_Cost]]/Marketing[[#This Row],[Customers]]</f>
        <v>116.82291666666667</v>
      </c>
      <c r="K1221" t="s">
        <v>38</v>
      </c>
      <c r="L1221" t="s">
        <v>39</v>
      </c>
      <c r="M1221">
        <v>688</v>
      </c>
      <c r="N1221">
        <v>5640</v>
      </c>
      <c r="O1221">
        <v>4</v>
      </c>
      <c r="P1221" t="s">
        <v>27</v>
      </c>
      <c r="Q1221" s="1">
        <v>44321</v>
      </c>
    </row>
    <row r="1222" spans="1:17" x14ac:dyDescent="0.3">
      <c r="A1222" t="s">
        <v>49</v>
      </c>
      <c r="B1222" t="s">
        <v>29</v>
      </c>
      <c r="C1222" t="s">
        <v>30</v>
      </c>
      <c r="D1222" t="s">
        <v>17</v>
      </c>
      <c r="E1222" t="s">
        <v>15</v>
      </c>
      <c r="F1222" s="9">
        <v>0.04</v>
      </c>
      <c r="G1222" s="10">
        <v>5685</v>
      </c>
      <c r="H1222">
        <v>5.74</v>
      </c>
      <c r="I1222" s="5">
        <f>ROUND(Marketing[[#This Row],[Clicks]]*Marketing[[#This Row],[Conversion_Rate]],0)</f>
        <v>17</v>
      </c>
      <c r="J1222" s="12">
        <f>Marketing[[#This Row],[Campaign_Cost]]/Marketing[[#This Row],[Customers]]</f>
        <v>334.41176470588238</v>
      </c>
      <c r="K1222" t="s">
        <v>32</v>
      </c>
      <c r="L1222" t="s">
        <v>33</v>
      </c>
      <c r="M1222">
        <v>435</v>
      </c>
      <c r="N1222">
        <v>2918</v>
      </c>
      <c r="O1222">
        <v>4</v>
      </c>
      <c r="P1222" t="s">
        <v>42</v>
      </c>
      <c r="Q1222" s="1">
        <v>44322</v>
      </c>
    </row>
    <row r="1223" spans="1:17" x14ac:dyDescent="0.3">
      <c r="A1223" t="s">
        <v>22</v>
      </c>
      <c r="B1223" t="s">
        <v>29</v>
      </c>
      <c r="C1223" t="s">
        <v>52</v>
      </c>
      <c r="D1223" t="s">
        <v>40</v>
      </c>
      <c r="E1223" t="s">
        <v>48</v>
      </c>
      <c r="F1223" s="9">
        <v>0.01</v>
      </c>
      <c r="G1223" s="10">
        <v>13989</v>
      </c>
      <c r="H1223">
        <v>2.88</v>
      </c>
      <c r="I1223" s="5">
        <f>ROUND(Marketing[[#This Row],[Clicks]]*Marketing[[#This Row],[Conversion_Rate]],0)</f>
        <v>8</v>
      </c>
      <c r="J1223" s="12">
        <f>Marketing[[#This Row],[Campaign_Cost]]/Marketing[[#This Row],[Customers]]</f>
        <v>1748.625</v>
      </c>
      <c r="K1223" t="s">
        <v>25</v>
      </c>
      <c r="L1223" t="s">
        <v>33</v>
      </c>
      <c r="M1223">
        <v>837</v>
      </c>
      <c r="N1223">
        <v>7303</v>
      </c>
      <c r="O1223">
        <v>3</v>
      </c>
      <c r="P1223" t="s">
        <v>44</v>
      </c>
      <c r="Q1223" s="1">
        <v>44323</v>
      </c>
    </row>
    <row r="1224" spans="1:17" x14ac:dyDescent="0.3">
      <c r="A1224" t="s">
        <v>49</v>
      </c>
      <c r="B1224" t="s">
        <v>15</v>
      </c>
      <c r="C1224" t="s">
        <v>16</v>
      </c>
      <c r="D1224" t="s">
        <v>46</v>
      </c>
      <c r="E1224" t="s">
        <v>31</v>
      </c>
      <c r="F1224" s="9">
        <v>0.11</v>
      </c>
      <c r="G1224" s="10">
        <v>12484</v>
      </c>
      <c r="H1224">
        <v>5.77</v>
      </c>
      <c r="I1224" s="5">
        <f>ROUND(Marketing[[#This Row],[Clicks]]*Marketing[[#This Row],[Conversion_Rate]],0)</f>
        <v>24</v>
      </c>
      <c r="J1224" s="12">
        <f>Marketing[[#This Row],[Campaign_Cost]]/Marketing[[#This Row],[Customers]]</f>
        <v>520.16666666666663</v>
      </c>
      <c r="K1224" t="s">
        <v>38</v>
      </c>
      <c r="L1224" t="s">
        <v>39</v>
      </c>
      <c r="M1224">
        <v>222</v>
      </c>
      <c r="N1224">
        <v>1622</v>
      </c>
      <c r="O1224">
        <v>9</v>
      </c>
      <c r="P1224" t="s">
        <v>21</v>
      </c>
      <c r="Q1224" s="1">
        <v>44324</v>
      </c>
    </row>
    <row r="1225" spans="1:17" x14ac:dyDescent="0.3">
      <c r="A1225" t="s">
        <v>28</v>
      </c>
      <c r="B1225" t="s">
        <v>47</v>
      </c>
      <c r="C1225" t="s">
        <v>30</v>
      </c>
      <c r="D1225" t="s">
        <v>46</v>
      </c>
      <c r="E1225" t="s">
        <v>48</v>
      </c>
      <c r="F1225" s="9">
        <v>0.08</v>
      </c>
      <c r="G1225" s="10">
        <v>9270</v>
      </c>
      <c r="H1225">
        <v>3.27</v>
      </c>
      <c r="I1225" s="5">
        <f>ROUND(Marketing[[#This Row],[Clicks]]*Marketing[[#This Row],[Conversion_Rate]],0)</f>
        <v>79</v>
      </c>
      <c r="J1225" s="12">
        <f>Marketing[[#This Row],[Campaign_Cost]]/Marketing[[#This Row],[Customers]]</f>
        <v>117.34177215189874</v>
      </c>
      <c r="K1225" t="s">
        <v>19</v>
      </c>
      <c r="L1225" t="s">
        <v>26</v>
      </c>
      <c r="M1225">
        <v>987</v>
      </c>
      <c r="N1225">
        <v>9060</v>
      </c>
      <c r="O1225">
        <v>10</v>
      </c>
      <c r="P1225" t="s">
        <v>42</v>
      </c>
      <c r="Q1225" s="1">
        <v>44325</v>
      </c>
    </row>
    <row r="1226" spans="1:17" x14ac:dyDescent="0.3">
      <c r="A1226" t="s">
        <v>28</v>
      </c>
      <c r="B1226" t="s">
        <v>15</v>
      </c>
      <c r="C1226" t="s">
        <v>23</v>
      </c>
      <c r="D1226" t="s">
        <v>46</v>
      </c>
      <c r="E1226" t="s">
        <v>41</v>
      </c>
      <c r="F1226" s="9">
        <v>0.1</v>
      </c>
      <c r="G1226" s="10">
        <v>10539</v>
      </c>
      <c r="H1226">
        <v>3.27</v>
      </c>
      <c r="I1226" s="5">
        <f>ROUND(Marketing[[#This Row],[Clicks]]*Marketing[[#This Row],[Conversion_Rate]],0)</f>
        <v>91</v>
      </c>
      <c r="J1226" s="12">
        <f>Marketing[[#This Row],[Campaign_Cost]]/Marketing[[#This Row],[Customers]]</f>
        <v>115.81318681318682</v>
      </c>
      <c r="K1226" t="s">
        <v>51</v>
      </c>
      <c r="L1226" t="s">
        <v>20</v>
      </c>
      <c r="M1226">
        <v>908</v>
      </c>
      <c r="N1226">
        <v>2673</v>
      </c>
      <c r="O1226">
        <v>2</v>
      </c>
      <c r="P1226" t="s">
        <v>44</v>
      </c>
      <c r="Q1226" s="1">
        <v>44326</v>
      </c>
    </row>
    <row r="1227" spans="1:17" x14ac:dyDescent="0.3">
      <c r="A1227" t="s">
        <v>22</v>
      </c>
      <c r="B1227" t="s">
        <v>36</v>
      </c>
      <c r="C1227" t="s">
        <v>37</v>
      </c>
      <c r="D1227" t="s">
        <v>40</v>
      </c>
      <c r="E1227" t="s">
        <v>48</v>
      </c>
      <c r="F1227" s="9">
        <v>0.01</v>
      </c>
      <c r="G1227" s="10">
        <v>7599</v>
      </c>
      <c r="H1227">
        <v>3.31</v>
      </c>
      <c r="I1227" s="5">
        <f>ROUND(Marketing[[#This Row],[Clicks]]*Marketing[[#This Row],[Conversion_Rate]],0)</f>
        <v>5</v>
      </c>
      <c r="J1227" s="12">
        <f>Marketing[[#This Row],[Campaign_Cost]]/Marketing[[#This Row],[Customers]]</f>
        <v>1519.8</v>
      </c>
      <c r="K1227" t="s">
        <v>32</v>
      </c>
      <c r="L1227" t="s">
        <v>50</v>
      </c>
      <c r="M1227">
        <v>506</v>
      </c>
      <c r="N1227">
        <v>8733</v>
      </c>
      <c r="O1227">
        <v>9</v>
      </c>
      <c r="P1227" t="s">
        <v>42</v>
      </c>
      <c r="Q1227" s="1">
        <v>44327</v>
      </c>
    </row>
    <row r="1228" spans="1:17" x14ac:dyDescent="0.3">
      <c r="A1228" t="s">
        <v>49</v>
      </c>
      <c r="B1228" t="s">
        <v>36</v>
      </c>
      <c r="C1228" t="s">
        <v>52</v>
      </c>
      <c r="D1228" t="s">
        <v>40</v>
      </c>
      <c r="E1228" t="s">
        <v>41</v>
      </c>
      <c r="F1228" s="9">
        <v>7.0000000000000007E-2</v>
      </c>
      <c r="G1228" s="10">
        <v>18233</v>
      </c>
      <c r="H1228">
        <v>5.85</v>
      </c>
      <c r="I1228" s="5">
        <f>ROUND(Marketing[[#This Row],[Clicks]]*Marketing[[#This Row],[Conversion_Rate]],0)</f>
        <v>22</v>
      </c>
      <c r="J1228" s="12">
        <f>Marketing[[#This Row],[Campaign_Cost]]/Marketing[[#This Row],[Customers]]</f>
        <v>828.77272727272725</v>
      </c>
      <c r="K1228" t="s">
        <v>19</v>
      </c>
      <c r="L1228" t="s">
        <v>39</v>
      </c>
      <c r="M1228">
        <v>317</v>
      </c>
      <c r="N1228">
        <v>1822</v>
      </c>
      <c r="O1228">
        <v>6</v>
      </c>
      <c r="P1228" t="s">
        <v>34</v>
      </c>
      <c r="Q1228" s="1">
        <v>44328</v>
      </c>
    </row>
    <row r="1229" spans="1:17" x14ac:dyDescent="0.3">
      <c r="A1229" t="s">
        <v>28</v>
      </c>
      <c r="B1229" t="s">
        <v>45</v>
      </c>
      <c r="C1229" t="s">
        <v>30</v>
      </c>
      <c r="D1229" t="s">
        <v>46</v>
      </c>
      <c r="E1229" t="s">
        <v>43</v>
      </c>
      <c r="F1229" s="9">
        <v>0.11</v>
      </c>
      <c r="G1229" s="10">
        <v>16358</v>
      </c>
      <c r="H1229">
        <v>3.74</v>
      </c>
      <c r="I1229" s="5">
        <f>ROUND(Marketing[[#This Row],[Clicks]]*Marketing[[#This Row],[Conversion_Rate]],0)</f>
        <v>16</v>
      </c>
      <c r="J1229" s="12">
        <f>Marketing[[#This Row],[Campaign_Cost]]/Marketing[[#This Row],[Customers]]</f>
        <v>1022.375</v>
      </c>
      <c r="K1229" t="s">
        <v>25</v>
      </c>
      <c r="L1229" t="s">
        <v>33</v>
      </c>
      <c r="M1229">
        <v>144</v>
      </c>
      <c r="N1229">
        <v>6270</v>
      </c>
      <c r="O1229">
        <v>5</v>
      </c>
      <c r="P1229" t="s">
        <v>27</v>
      </c>
      <c r="Q1229" s="1">
        <v>44329</v>
      </c>
    </row>
    <row r="1230" spans="1:17" x14ac:dyDescent="0.3">
      <c r="A1230" t="s">
        <v>28</v>
      </c>
      <c r="B1230" t="s">
        <v>36</v>
      </c>
      <c r="C1230" t="s">
        <v>23</v>
      </c>
      <c r="D1230" t="s">
        <v>40</v>
      </c>
      <c r="E1230" t="s">
        <v>31</v>
      </c>
      <c r="F1230" s="9">
        <v>0.14000000000000001</v>
      </c>
      <c r="G1230" s="10">
        <v>14642</v>
      </c>
      <c r="H1230">
        <v>7.4</v>
      </c>
      <c r="I1230" s="5">
        <f>ROUND(Marketing[[#This Row],[Clicks]]*Marketing[[#This Row],[Conversion_Rate]],0)</f>
        <v>115</v>
      </c>
      <c r="J1230" s="12">
        <f>Marketing[[#This Row],[Campaign_Cost]]/Marketing[[#This Row],[Customers]]</f>
        <v>127.32173913043478</v>
      </c>
      <c r="K1230" t="s">
        <v>38</v>
      </c>
      <c r="L1230" t="s">
        <v>20</v>
      </c>
      <c r="M1230">
        <v>822</v>
      </c>
      <c r="N1230">
        <v>2687</v>
      </c>
      <c r="O1230">
        <v>9</v>
      </c>
      <c r="P1230" t="s">
        <v>42</v>
      </c>
      <c r="Q1230" s="1">
        <v>44330</v>
      </c>
    </row>
    <row r="1231" spans="1:17" x14ac:dyDescent="0.3">
      <c r="A1231" t="s">
        <v>49</v>
      </c>
      <c r="B1231" t="s">
        <v>15</v>
      </c>
      <c r="C1231" t="s">
        <v>37</v>
      </c>
      <c r="D1231" t="s">
        <v>40</v>
      </c>
      <c r="E1231" t="s">
        <v>41</v>
      </c>
      <c r="F1231" s="9">
        <v>0.12</v>
      </c>
      <c r="G1231" s="10">
        <v>14796</v>
      </c>
      <c r="H1231">
        <v>4.07</v>
      </c>
      <c r="I1231" s="5">
        <f>ROUND(Marketing[[#This Row],[Clicks]]*Marketing[[#This Row],[Conversion_Rate]],0)</f>
        <v>40</v>
      </c>
      <c r="J1231" s="12">
        <f>Marketing[[#This Row],[Campaign_Cost]]/Marketing[[#This Row],[Customers]]</f>
        <v>369.9</v>
      </c>
      <c r="K1231" t="s">
        <v>32</v>
      </c>
      <c r="L1231" t="s">
        <v>39</v>
      </c>
      <c r="M1231">
        <v>337</v>
      </c>
      <c r="N1231">
        <v>2216</v>
      </c>
      <c r="O1231">
        <v>8</v>
      </c>
      <c r="P1231" t="s">
        <v>44</v>
      </c>
      <c r="Q1231" s="1">
        <v>44331</v>
      </c>
    </row>
    <row r="1232" spans="1:17" x14ac:dyDescent="0.3">
      <c r="A1232" t="s">
        <v>35</v>
      </c>
      <c r="B1232" t="s">
        <v>15</v>
      </c>
      <c r="C1232" t="s">
        <v>37</v>
      </c>
      <c r="D1232" t="s">
        <v>40</v>
      </c>
      <c r="E1232" t="s">
        <v>15</v>
      </c>
      <c r="F1232" s="9">
        <v>0.05</v>
      </c>
      <c r="G1232" s="10">
        <v>6747</v>
      </c>
      <c r="H1232">
        <v>7.67</v>
      </c>
      <c r="I1232" s="5">
        <f>ROUND(Marketing[[#This Row],[Clicks]]*Marketing[[#This Row],[Conversion_Rate]],0)</f>
        <v>19</v>
      </c>
      <c r="J1232" s="12">
        <f>Marketing[[#This Row],[Campaign_Cost]]/Marketing[[#This Row],[Customers]]</f>
        <v>355.10526315789474</v>
      </c>
      <c r="K1232" t="s">
        <v>32</v>
      </c>
      <c r="L1232" t="s">
        <v>39</v>
      </c>
      <c r="M1232">
        <v>387</v>
      </c>
      <c r="N1232">
        <v>5694</v>
      </c>
      <c r="O1232">
        <v>10</v>
      </c>
      <c r="P1232" t="s">
        <v>21</v>
      </c>
      <c r="Q1232" s="1">
        <v>44332</v>
      </c>
    </row>
    <row r="1233" spans="1:17" x14ac:dyDescent="0.3">
      <c r="A1233" t="s">
        <v>22</v>
      </c>
      <c r="B1233" t="s">
        <v>47</v>
      </c>
      <c r="C1233" t="s">
        <v>37</v>
      </c>
      <c r="D1233" t="s">
        <v>17</v>
      </c>
      <c r="E1233" t="s">
        <v>41</v>
      </c>
      <c r="F1233" s="9">
        <v>0.02</v>
      </c>
      <c r="G1233" s="10">
        <v>19111</v>
      </c>
      <c r="H1233">
        <v>4.0599999999999996</v>
      </c>
      <c r="I1233" s="5">
        <f>ROUND(Marketing[[#This Row],[Clicks]]*Marketing[[#This Row],[Conversion_Rate]],0)</f>
        <v>13</v>
      </c>
      <c r="J1233" s="12">
        <f>Marketing[[#This Row],[Campaign_Cost]]/Marketing[[#This Row],[Customers]]</f>
        <v>1470.0769230769231</v>
      </c>
      <c r="K1233" t="s">
        <v>19</v>
      </c>
      <c r="L1233" t="s">
        <v>50</v>
      </c>
      <c r="M1233">
        <v>670</v>
      </c>
      <c r="N1233">
        <v>3982</v>
      </c>
      <c r="O1233">
        <v>3</v>
      </c>
      <c r="P1233" t="s">
        <v>21</v>
      </c>
      <c r="Q1233" s="1">
        <v>44333</v>
      </c>
    </row>
    <row r="1234" spans="1:17" x14ac:dyDescent="0.3">
      <c r="A1234" t="s">
        <v>22</v>
      </c>
      <c r="B1234" t="s">
        <v>36</v>
      </c>
      <c r="C1234" t="s">
        <v>23</v>
      </c>
      <c r="D1234" t="s">
        <v>40</v>
      </c>
      <c r="E1234" t="s">
        <v>41</v>
      </c>
      <c r="F1234" s="9">
        <v>0.14000000000000001</v>
      </c>
      <c r="G1234" s="10">
        <v>16051</v>
      </c>
      <c r="H1234">
        <v>3.7</v>
      </c>
      <c r="I1234" s="5">
        <f>ROUND(Marketing[[#This Row],[Clicks]]*Marketing[[#This Row],[Conversion_Rate]],0)</f>
        <v>109</v>
      </c>
      <c r="J1234" s="12">
        <f>Marketing[[#This Row],[Campaign_Cost]]/Marketing[[#This Row],[Customers]]</f>
        <v>147.25688073394497</v>
      </c>
      <c r="K1234" t="s">
        <v>32</v>
      </c>
      <c r="L1234" t="s">
        <v>20</v>
      </c>
      <c r="M1234">
        <v>777</v>
      </c>
      <c r="N1234">
        <v>1596</v>
      </c>
      <c r="O1234">
        <v>3</v>
      </c>
      <c r="P1234" t="s">
        <v>42</v>
      </c>
      <c r="Q1234" s="1">
        <v>44334</v>
      </c>
    </row>
    <row r="1235" spans="1:17" x14ac:dyDescent="0.3">
      <c r="A1235" t="s">
        <v>22</v>
      </c>
      <c r="B1235" t="s">
        <v>45</v>
      </c>
      <c r="C1235" t="s">
        <v>23</v>
      </c>
      <c r="D1235" t="s">
        <v>24</v>
      </c>
      <c r="E1235" t="s">
        <v>48</v>
      </c>
      <c r="F1235" s="9">
        <v>0.06</v>
      </c>
      <c r="G1235" s="10">
        <v>5214</v>
      </c>
      <c r="H1235">
        <v>7.03</v>
      </c>
      <c r="I1235" s="5">
        <f>ROUND(Marketing[[#This Row],[Clicks]]*Marketing[[#This Row],[Conversion_Rate]],0)</f>
        <v>52</v>
      </c>
      <c r="J1235" s="12">
        <f>Marketing[[#This Row],[Campaign_Cost]]/Marketing[[#This Row],[Customers]]</f>
        <v>100.26923076923077</v>
      </c>
      <c r="K1235" t="s">
        <v>19</v>
      </c>
      <c r="L1235" t="s">
        <v>33</v>
      </c>
      <c r="M1235">
        <v>869</v>
      </c>
      <c r="N1235">
        <v>5462</v>
      </c>
      <c r="O1235">
        <v>1</v>
      </c>
      <c r="P1235" t="s">
        <v>42</v>
      </c>
      <c r="Q1235" s="1">
        <v>44335</v>
      </c>
    </row>
    <row r="1236" spans="1:17" x14ac:dyDescent="0.3">
      <c r="A1236" t="s">
        <v>49</v>
      </c>
      <c r="B1236" t="s">
        <v>15</v>
      </c>
      <c r="C1236" t="s">
        <v>23</v>
      </c>
      <c r="D1236" t="s">
        <v>40</v>
      </c>
      <c r="E1236" t="s">
        <v>31</v>
      </c>
      <c r="F1236" s="9">
        <v>0.15</v>
      </c>
      <c r="G1236" s="10">
        <v>11348</v>
      </c>
      <c r="H1236">
        <v>6.21</v>
      </c>
      <c r="I1236" s="5">
        <f>ROUND(Marketing[[#This Row],[Clicks]]*Marketing[[#This Row],[Conversion_Rate]],0)</f>
        <v>62</v>
      </c>
      <c r="J1236" s="12">
        <f>Marketing[[#This Row],[Campaign_Cost]]/Marketing[[#This Row],[Customers]]</f>
        <v>183.03225806451613</v>
      </c>
      <c r="K1236" t="s">
        <v>19</v>
      </c>
      <c r="L1236" t="s">
        <v>26</v>
      </c>
      <c r="M1236">
        <v>414</v>
      </c>
      <c r="N1236">
        <v>3758</v>
      </c>
      <c r="O1236">
        <v>7</v>
      </c>
      <c r="P1236" t="s">
        <v>27</v>
      </c>
      <c r="Q1236" s="1">
        <v>44336</v>
      </c>
    </row>
    <row r="1237" spans="1:17" x14ac:dyDescent="0.3">
      <c r="A1237" t="s">
        <v>22</v>
      </c>
      <c r="B1237" t="s">
        <v>47</v>
      </c>
      <c r="C1237" t="s">
        <v>23</v>
      </c>
      <c r="D1237" t="s">
        <v>24</v>
      </c>
      <c r="E1237" t="s">
        <v>15</v>
      </c>
      <c r="F1237" s="9">
        <v>0.14000000000000001</v>
      </c>
      <c r="G1237" s="10">
        <v>18357</v>
      </c>
      <c r="H1237">
        <v>2.74</v>
      </c>
      <c r="I1237" s="5">
        <f>ROUND(Marketing[[#This Row],[Clicks]]*Marketing[[#This Row],[Conversion_Rate]],0)</f>
        <v>55</v>
      </c>
      <c r="J1237" s="12">
        <f>Marketing[[#This Row],[Campaign_Cost]]/Marketing[[#This Row],[Customers]]</f>
        <v>333.76363636363635</v>
      </c>
      <c r="K1237" t="s">
        <v>25</v>
      </c>
      <c r="L1237" t="s">
        <v>26</v>
      </c>
      <c r="M1237">
        <v>395</v>
      </c>
      <c r="N1237">
        <v>3038</v>
      </c>
      <c r="O1237">
        <v>1</v>
      </c>
      <c r="P1237" t="s">
        <v>34</v>
      </c>
      <c r="Q1237" s="1">
        <v>44337</v>
      </c>
    </row>
    <row r="1238" spans="1:17" x14ac:dyDescent="0.3">
      <c r="A1238" t="s">
        <v>28</v>
      </c>
      <c r="B1238" t="s">
        <v>29</v>
      </c>
      <c r="C1238" t="s">
        <v>37</v>
      </c>
      <c r="D1238" t="s">
        <v>24</v>
      </c>
      <c r="E1238" t="s">
        <v>18</v>
      </c>
      <c r="F1238" s="9">
        <v>0.06</v>
      </c>
      <c r="G1238" s="10">
        <v>17071</v>
      </c>
      <c r="H1238">
        <v>6.77</v>
      </c>
      <c r="I1238" s="5">
        <f>ROUND(Marketing[[#This Row],[Clicks]]*Marketing[[#This Row],[Conversion_Rate]],0)</f>
        <v>46</v>
      </c>
      <c r="J1238" s="12">
        <f>Marketing[[#This Row],[Campaign_Cost]]/Marketing[[#This Row],[Customers]]</f>
        <v>371.10869565217394</v>
      </c>
      <c r="K1238" t="s">
        <v>51</v>
      </c>
      <c r="L1238" t="s">
        <v>33</v>
      </c>
      <c r="M1238">
        <v>772</v>
      </c>
      <c r="N1238">
        <v>1724</v>
      </c>
      <c r="O1238">
        <v>10</v>
      </c>
      <c r="P1238" t="s">
        <v>34</v>
      </c>
      <c r="Q1238" s="1">
        <v>44338</v>
      </c>
    </row>
    <row r="1239" spans="1:17" x14ac:dyDescent="0.3">
      <c r="A1239" t="s">
        <v>22</v>
      </c>
      <c r="B1239" t="s">
        <v>15</v>
      </c>
      <c r="C1239" t="s">
        <v>30</v>
      </c>
      <c r="D1239" t="s">
        <v>24</v>
      </c>
      <c r="E1239" t="s">
        <v>15</v>
      </c>
      <c r="F1239" s="9">
        <v>0.09</v>
      </c>
      <c r="G1239" s="10">
        <v>18435</v>
      </c>
      <c r="H1239">
        <v>7.91</v>
      </c>
      <c r="I1239" s="5">
        <f>ROUND(Marketing[[#This Row],[Clicks]]*Marketing[[#This Row],[Conversion_Rate]],0)</f>
        <v>33</v>
      </c>
      <c r="J1239" s="12">
        <f>Marketing[[#This Row],[Campaign_Cost]]/Marketing[[#This Row],[Customers]]</f>
        <v>558.63636363636363</v>
      </c>
      <c r="K1239" t="s">
        <v>25</v>
      </c>
      <c r="L1239" t="s">
        <v>50</v>
      </c>
      <c r="M1239">
        <v>366</v>
      </c>
      <c r="N1239">
        <v>5170</v>
      </c>
      <c r="O1239">
        <v>2</v>
      </c>
      <c r="P1239" t="s">
        <v>42</v>
      </c>
      <c r="Q1239" s="1">
        <v>44339</v>
      </c>
    </row>
    <row r="1240" spans="1:17" x14ac:dyDescent="0.3">
      <c r="A1240" t="s">
        <v>35</v>
      </c>
      <c r="B1240" t="s">
        <v>29</v>
      </c>
      <c r="C1240" t="s">
        <v>37</v>
      </c>
      <c r="D1240" t="s">
        <v>17</v>
      </c>
      <c r="E1240" t="s">
        <v>41</v>
      </c>
      <c r="F1240" s="9">
        <v>0.14000000000000001</v>
      </c>
      <c r="G1240" s="10">
        <v>10240</v>
      </c>
      <c r="H1240">
        <v>5.97</v>
      </c>
      <c r="I1240" s="5">
        <f>ROUND(Marketing[[#This Row],[Clicks]]*Marketing[[#This Row],[Conversion_Rate]],0)</f>
        <v>122</v>
      </c>
      <c r="J1240" s="12">
        <f>Marketing[[#This Row],[Campaign_Cost]]/Marketing[[#This Row],[Customers]]</f>
        <v>83.93442622950819</v>
      </c>
      <c r="K1240" t="s">
        <v>51</v>
      </c>
      <c r="L1240" t="s">
        <v>39</v>
      </c>
      <c r="M1240">
        <v>868</v>
      </c>
      <c r="N1240">
        <v>3410</v>
      </c>
      <c r="O1240">
        <v>8</v>
      </c>
      <c r="P1240" t="s">
        <v>34</v>
      </c>
      <c r="Q1240" s="1">
        <v>44340</v>
      </c>
    </row>
    <row r="1241" spans="1:17" x14ac:dyDescent="0.3">
      <c r="A1241" t="s">
        <v>35</v>
      </c>
      <c r="B1241" t="s">
        <v>15</v>
      </c>
      <c r="C1241" t="s">
        <v>23</v>
      </c>
      <c r="D1241" t="s">
        <v>46</v>
      </c>
      <c r="E1241" t="s">
        <v>31</v>
      </c>
      <c r="F1241" s="9">
        <v>0.13</v>
      </c>
      <c r="G1241" s="10">
        <v>12126</v>
      </c>
      <c r="H1241">
        <v>7.53</v>
      </c>
      <c r="I1241" s="5">
        <f>ROUND(Marketing[[#This Row],[Clicks]]*Marketing[[#This Row],[Conversion_Rate]],0)</f>
        <v>79</v>
      </c>
      <c r="J1241" s="12">
        <f>Marketing[[#This Row],[Campaign_Cost]]/Marketing[[#This Row],[Customers]]</f>
        <v>153.49367088607596</v>
      </c>
      <c r="K1241" t="s">
        <v>51</v>
      </c>
      <c r="L1241" t="s">
        <v>26</v>
      </c>
      <c r="M1241">
        <v>605</v>
      </c>
      <c r="N1241">
        <v>8048</v>
      </c>
      <c r="O1241">
        <v>6</v>
      </c>
      <c r="P1241" t="s">
        <v>44</v>
      </c>
      <c r="Q1241" s="1">
        <v>44341</v>
      </c>
    </row>
    <row r="1242" spans="1:17" x14ac:dyDescent="0.3">
      <c r="A1242" t="s">
        <v>22</v>
      </c>
      <c r="B1242" t="s">
        <v>36</v>
      </c>
      <c r="C1242" t="s">
        <v>23</v>
      </c>
      <c r="D1242" t="s">
        <v>46</v>
      </c>
      <c r="E1242" t="s">
        <v>48</v>
      </c>
      <c r="F1242" s="9">
        <v>0.11</v>
      </c>
      <c r="G1242" s="10">
        <v>16198</v>
      </c>
      <c r="H1242">
        <v>6.34</v>
      </c>
      <c r="I1242" s="5">
        <f>ROUND(Marketing[[#This Row],[Clicks]]*Marketing[[#This Row],[Conversion_Rate]],0)</f>
        <v>73</v>
      </c>
      <c r="J1242" s="12">
        <f>Marketing[[#This Row],[Campaign_Cost]]/Marketing[[#This Row],[Customers]]</f>
        <v>221.89041095890411</v>
      </c>
      <c r="K1242" t="s">
        <v>51</v>
      </c>
      <c r="L1242" t="s">
        <v>50</v>
      </c>
      <c r="M1242">
        <v>667</v>
      </c>
      <c r="N1242">
        <v>7095</v>
      </c>
      <c r="O1242">
        <v>10</v>
      </c>
      <c r="P1242" t="s">
        <v>34</v>
      </c>
      <c r="Q1242" s="1">
        <v>44342</v>
      </c>
    </row>
    <row r="1243" spans="1:17" x14ac:dyDescent="0.3">
      <c r="A1243" t="s">
        <v>49</v>
      </c>
      <c r="B1243" t="s">
        <v>36</v>
      </c>
      <c r="C1243" t="s">
        <v>23</v>
      </c>
      <c r="D1243" t="s">
        <v>46</v>
      </c>
      <c r="E1243" t="s">
        <v>31</v>
      </c>
      <c r="F1243" s="9">
        <v>0.09</v>
      </c>
      <c r="G1243" s="10">
        <v>16123</v>
      </c>
      <c r="H1243">
        <v>7.78</v>
      </c>
      <c r="I1243" s="5">
        <f>ROUND(Marketing[[#This Row],[Clicks]]*Marketing[[#This Row],[Conversion_Rate]],0)</f>
        <v>25</v>
      </c>
      <c r="J1243" s="12">
        <f>Marketing[[#This Row],[Campaign_Cost]]/Marketing[[#This Row],[Customers]]</f>
        <v>644.91999999999996</v>
      </c>
      <c r="K1243" t="s">
        <v>19</v>
      </c>
      <c r="L1243" t="s">
        <v>50</v>
      </c>
      <c r="M1243">
        <v>282</v>
      </c>
      <c r="N1243">
        <v>5001</v>
      </c>
      <c r="O1243">
        <v>7</v>
      </c>
      <c r="P1243" t="s">
        <v>44</v>
      </c>
      <c r="Q1243" s="1">
        <v>44343</v>
      </c>
    </row>
    <row r="1244" spans="1:17" x14ac:dyDescent="0.3">
      <c r="A1244" t="s">
        <v>35</v>
      </c>
      <c r="B1244" t="s">
        <v>36</v>
      </c>
      <c r="C1244" t="s">
        <v>23</v>
      </c>
      <c r="D1244" t="s">
        <v>46</v>
      </c>
      <c r="E1244" t="s">
        <v>18</v>
      </c>
      <c r="F1244" s="9">
        <v>0.06</v>
      </c>
      <c r="G1244" s="10">
        <v>13308</v>
      </c>
      <c r="H1244">
        <v>7.56</v>
      </c>
      <c r="I1244" s="5">
        <f>ROUND(Marketing[[#This Row],[Clicks]]*Marketing[[#This Row],[Conversion_Rate]],0)</f>
        <v>34</v>
      </c>
      <c r="J1244" s="12">
        <f>Marketing[[#This Row],[Campaign_Cost]]/Marketing[[#This Row],[Customers]]</f>
        <v>391.41176470588238</v>
      </c>
      <c r="K1244" t="s">
        <v>38</v>
      </c>
      <c r="L1244" t="s">
        <v>50</v>
      </c>
      <c r="M1244">
        <v>571</v>
      </c>
      <c r="N1244">
        <v>3118</v>
      </c>
      <c r="O1244">
        <v>10</v>
      </c>
      <c r="P1244" t="s">
        <v>44</v>
      </c>
      <c r="Q1244" s="1">
        <v>44344</v>
      </c>
    </row>
    <row r="1245" spans="1:17" x14ac:dyDescent="0.3">
      <c r="A1245" t="s">
        <v>35</v>
      </c>
      <c r="B1245" t="s">
        <v>47</v>
      </c>
      <c r="C1245" t="s">
        <v>23</v>
      </c>
      <c r="D1245" t="s">
        <v>24</v>
      </c>
      <c r="E1245" t="s">
        <v>41</v>
      </c>
      <c r="F1245" s="9">
        <v>0.11</v>
      </c>
      <c r="G1245" s="10">
        <v>5665</v>
      </c>
      <c r="H1245">
        <v>4.22</v>
      </c>
      <c r="I1245" s="5">
        <f>ROUND(Marketing[[#This Row],[Clicks]]*Marketing[[#This Row],[Conversion_Rate]],0)</f>
        <v>27</v>
      </c>
      <c r="J1245" s="12">
        <f>Marketing[[#This Row],[Campaign_Cost]]/Marketing[[#This Row],[Customers]]</f>
        <v>209.81481481481481</v>
      </c>
      <c r="K1245" t="s">
        <v>19</v>
      </c>
      <c r="L1245" t="s">
        <v>50</v>
      </c>
      <c r="M1245">
        <v>241</v>
      </c>
      <c r="N1245">
        <v>3266</v>
      </c>
      <c r="O1245">
        <v>2</v>
      </c>
      <c r="P1245" t="s">
        <v>21</v>
      </c>
      <c r="Q1245" s="1">
        <v>44345</v>
      </c>
    </row>
    <row r="1246" spans="1:17" x14ac:dyDescent="0.3">
      <c r="A1246" t="s">
        <v>35</v>
      </c>
      <c r="B1246" t="s">
        <v>29</v>
      </c>
      <c r="C1246" t="s">
        <v>16</v>
      </c>
      <c r="D1246" t="s">
        <v>24</v>
      </c>
      <c r="E1246" t="s">
        <v>31</v>
      </c>
      <c r="F1246" s="9">
        <v>0.15</v>
      </c>
      <c r="G1246" s="10">
        <v>13060</v>
      </c>
      <c r="H1246">
        <v>6.6</v>
      </c>
      <c r="I1246" s="5">
        <f>ROUND(Marketing[[#This Row],[Clicks]]*Marketing[[#This Row],[Conversion_Rate]],0)</f>
        <v>50</v>
      </c>
      <c r="J1246" s="12">
        <f>Marketing[[#This Row],[Campaign_Cost]]/Marketing[[#This Row],[Customers]]</f>
        <v>261.2</v>
      </c>
      <c r="K1246" t="s">
        <v>19</v>
      </c>
      <c r="L1246" t="s">
        <v>26</v>
      </c>
      <c r="M1246">
        <v>334</v>
      </c>
      <c r="N1246">
        <v>4892</v>
      </c>
      <c r="O1246">
        <v>6</v>
      </c>
      <c r="P1246" t="s">
        <v>42</v>
      </c>
      <c r="Q1246" s="1">
        <v>44346</v>
      </c>
    </row>
    <row r="1247" spans="1:17" x14ac:dyDescent="0.3">
      <c r="A1247" t="s">
        <v>35</v>
      </c>
      <c r="B1247" t="s">
        <v>47</v>
      </c>
      <c r="C1247" t="s">
        <v>37</v>
      </c>
      <c r="D1247" t="s">
        <v>40</v>
      </c>
      <c r="E1247" t="s">
        <v>31</v>
      </c>
      <c r="F1247" s="9">
        <v>7.0000000000000007E-2</v>
      </c>
      <c r="G1247" s="10">
        <v>16729</v>
      </c>
      <c r="H1247">
        <v>5.65</v>
      </c>
      <c r="I1247" s="5">
        <f>ROUND(Marketing[[#This Row],[Clicks]]*Marketing[[#This Row],[Conversion_Rate]],0)</f>
        <v>63</v>
      </c>
      <c r="J1247" s="12">
        <f>Marketing[[#This Row],[Campaign_Cost]]/Marketing[[#This Row],[Customers]]</f>
        <v>265.53968253968253</v>
      </c>
      <c r="K1247" t="s">
        <v>25</v>
      </c>
      <c r="L1247" t="s">
        <v>50</v>
      </c>
      <c r="M1247">
        <v>906</v>
      </c>
      <c r="N1247">
        <v>1004</v>
      </c>
      <c r="O1247">
        <v>10</v>
      </c>
      <c r="P1247" t="s">
        <v>34</v>
      </c>
      <c r="Q1247" s="1">
        <v>44347</v>
      </c>
    </row>
    <row r="1248" spans="1:17" x14ac:dyDescent="0.3">
      <c r="A1248" t="s">
        <v>14</v>
      </c>
      <c r="B1248" t="s">
        <v>15</v>
      </c>
      <c r="C1248" t="s">
        <v>23</v>
      </c>
      <c r="D1248" t="s">
        <v>46</v>
      </c>
      <c r="E1248" t="s">
        <v>18</v>
      </c>
      <c r="F1248" s="9">
        <v>0.06</v>
      </c>
      <c r="G1248" s="10">
        <v>6095</v>
      </c>
      <c r="H1248">
        <v>2.58</v>
      </c>
      <c r="I1248" s="5">
        <f>ROUND(Marketing[[#This Row],[Clicks]]*Marketing[[#This Row],[Conversion_Rate]],0)</f>
        <v>20</v>
      </c>
      <c r="J1248" s="12">
        <f>Marketing[[#This Row],[Campaign_Cost]]/Marketing[[#This Row],[Customers]]</f>
        <v>304.75</v>
      </c>
      <c r="K1248" t="s">
        <v>19</v>
      </c>
      <c r="L1248" t="s">
        <v>20</v>
      </c>
      <c r="M1248">
        <v>330</v>
      </c>
      <c r="N1248">
        <v>8440</v>
      </c>
      <c r="O1248">
        <v>7</v>
      </c>
      <c r="P1248" t="s">
        <v>44</v>
      </c>
      <c r="Q1248" s="1">
        <v>44348</v>
      </c>
    </row>
    <row r="1249" spans="1:17" x14ac:dyDescent="0.3">
      <c r="A1249" t="s">
        <v>22</v>
      </c>
      <c r="B1249" t="s">
        <v>36</v>
      </c>
      <c r="C1249" t="s">
        <v>37</v>
      </c>
      <c r="D1249" t="s">
        <v>17</v>
      </c>
      <c r="E1249" t="s">
        <v>41</v>
      </c>
      <c r="F1249" s="9">
        <v>0.02</v>
      </c>
      <c r="G1249" s="10">
        <v>16296</v>
      </c>
      <c r="H1249">
        <v>3.13</v>
      </c>
      <c r="I1249" s="5">
        <f>ROUND(Marketing[[#This Row],[Clicks]]*Marketing[[#This Row],[Conversion_Rate]],0)</f>
        <v>16</v>
      </c>
      <c r="J1249" s="12">
        <f>Marketing[[#This Row],[Campaign_Cost]]/Marketing[[#This Row],[Customers]]</f>
        <v>1018.5</v>
      </c>
      <c r="K1249" t="s">
        <v>25</v>
      </c>
      <c r="L1249" t="s">
        <v>20</v>
      </c>
      <c r="M1249">
        <v>790</v>
      </c>
      <c r="N1249">
        <v>9439</v>
      </c>
      <c r="O1249">
        <v>1</v>
      </c>
      <c r="P1249" t="s">
        <v>34</v>
      </c>
      <c r="Q1249" s="1">
        <v>44349</v>
      </c>
    </row>
    <row r="1250" spans="1:17" x14ac:dyDescent="0.3">
      <c r="A1250" t="s">
        <v>35</v>
      </c>
      <c r="B1250" t="s">
        <v>45</v>
      </c>
      <c r="C1250" t="s">
        <v>16</v>
      </c>
      <c r="D1250" t="s">
        <v>46</v>
      </c>
      <c r="E1250" t="s">
        <v>43</v>
      </c>
      <c r="F1250" s="9">
        <v>0.08</v>
      </c>
      <c r="G1250" s="10">
        <v>6267</v>
      </c>
      <c r="H1250">
        <v>5.5</v>
      </c>
      <c r="I1250" s="5">
        <f>ROUND(Marketing[[#This Row],[Clicks]]*Marketing[[#This Row],[Conversion_Rate]],0)</f>
        <v>24</v>
      </c>
      <c r="J1250" s="12">
        <f>Marketing[[#This Row],[Campaign_Cost]]/Marketing[[#This Row],[Customers]]</f>
        <v>261.125</v>
      </c>
      <c r="K1250" t="s">
        <v>25</v>
      </c>
      <c r="L1250" t="s">
        <v>39</v>
      </c>
      <c r="M1250">
        <v>300</v>
      </c>
      <c r="N1250">
        <v>9784</v>
      </c>
      <c r="O1250">
        <v>1</v>
      </c>
      <c r="P1250" t="s">
        <v>27</v>
      </c>
      <c r="Q1250" s="1">
        <v>44350</v>
      </c>
    </row>
    <row r="1251" spans="1:17" x14ac:dyDescent="0.3">
      <c r="A1251" t="s">
        <v>49</v>
      </c>
      <c r="B1251" t="s">
        <v>36</v>
      </c>
      <c r="C1251" t="s">
        <v>16</v>
      </c>
      <c r="D1251" t="s">
        <v>24</v>
      </c>
      <c r="E1251" t="s">
        <v>41</v>
      </c>
      <c r="F1251" s="9">
        <v>0.11</v>
      </c>
      <c r="G1251" s="10">
        <v>15307</v>
      </c>
      <c r="H1251">
        <v>3.03</v>
      </c>
      <c r="I1251" s="5">
        <f>ROUND(Marketing[[#This Row],[Clicks]]*Marketing[[#This Row],[Conversion_Rate]],0)</f>
        <v>62</v>
      </c>
      <c r="J1251" s="12">
        <f>Marketing[[#This Row],[Campaign_Cost]]/Marketing[[#This Row],[Customers]]</f>
        <v>246.88709677419354</v>
      </c>
      <c r="K1251" t="s">
        <v>25</v>
      </c>
      <c r="L1251" t="s">
        <v>20</v>
      </c>
      <c r="M1251">
        <v>560</v>
      </c>
      <c r="N1251">
        <v>8180</v>
      </c>
      <c r="O1251">
        <v>7</v>
      </c>
      <c r="P1251" t="s">
        <v>21</v>
      </c>
      <c r="Q1251" s="1">
        <v>44351</v>
      </c>
    </row>
    <row r="1252" spans="1:17" x14ac:dyDescent="0.3">
      <c r="A1252" t="s">
        <v>35</v>
      </c>
      <c r="B1252" t="s">
        <v>47</v>
      </c>
      <c r="C1252" t="s">
        <v>52</v>
      </c>
      <c r="D1252" t="s">
        <v>40</v>
      </c>
      <c r="E1252" t="s">
        <v>31</v>
      </c>
      <c r="F1252" s="9">
        <v>0.04</v>
      </c>
      <c r="G1252" s="10">
        <v>14116</v>
      </c>
      <c r="H1252">
        <v>6.28</v>
      </c>
      <c r="I1252" s="5">
        <f>ROUND(Marketing[[#This Row],[Clicks]]*Marketing[[#This Row],[Conversion_Rate]],0)</f>
        <v>10</v>
      </c>
      <c r="J1252" s="12">
        <f>Marketing[[#This Row],[Campaign_Cost]]/Marketing[[#This Row],[Customers]]</f>
        <v>1411.6</v>
      </c>
      <c r="K1252" t="s">
        <v>32</v>
      </c>
      <c r="L1252" t="s">
        <v>50</v>
      </c>
      <c r="M1252">
        <v>244</v>
      </c>
      <c r="N1252">
        <v>3565</v>
      </c>
      <c r="O1252">
        <v>5</v>
      </c>
      <c r="P1252" t="s">
        <v>44</v>
      </c>
      <c r="Q1252" s="1">
        <v>44352</v>
      </c>
    </row>
    <row r="1253" spans="1:17" x14ac:dyDescent="0.3">
      <c r="A1253" t="s">
        <v>49</v>
      </c>
      <c r="B1253" t="s">
        <v>15</v>
      </c>
      <c r="C1253" t="s">
        <v>23</v>
      </c>
      <c r="D1253" t="s">
        <v>17</v>
      </c>
      <c r="E1253" t="s">
        <v>18</v>
      </c>
      <c r="F1253" s="9">
        <v>0.03</v>
      </c>
      <c r="G1253" s="10">
        <v>16101</v>
      </c>
      <c r="H1253">
        <v>6.12</v>
      </c>
      <c r="I1253" s="5">
        <f>ROUND(Marketing[[#This Row],[Clicks]]*Marketing[[#This Row],[Conversion_Rate]],0)</f>
        <v>26</v>
      </c>
      <c r="J1253" s="12">
        <f>Marketing[[#This Row],[Campaign_Cost]]/Marketing[[#This Row],[Customers]]</f>
        <v>619.26923076923072</v>
      </c>
      <c r="K1253" t="s">
        <v>19</v>
      </c>
      <c r="L1253" t="s">
        <v>39</v>
      </c>
      <c r="M1253">
        <v>851</v>
      </c>
      <c r="N1253">
        <v>5365</v>
      </c>
      <c r="O1253">
        <v>9</v>
      </c>
      <c r="P1253" t="s">
        <v>42</v>
      </c>
      <c r="Q1253" s="1">
        <v>44353</v>
      </c>
    </row>
    <row r="1254" spans="1:17" x14ac:dyDescent="0.3">
      <c r="A1254" t="s">
        <v>22</v>
      </c>
      <c r="B1254" t="s">
        <v>45</v>
      </c>
      <c r="C1254" t="s">
        <v>23</v>
      </c>
      <c r="D1254" t="s">
        <v>17</v>
      </c>
      <c r="E1254" t="s">
        <v>43</v>
      </c>
      <c r="F1254" s="9">
        <v>0.06</v>
      </c>
      <c r="G1254" s="10">
        <v>14863</v>
      </c>
      <c r="H1254">
        <v>2.34</v>
      </c>
      <c r="I1254" s="5">
        <f>ROUND(Marketing[[#This Row],[Clicks]]*Marketing[[#This Row],[Conversion_Rate]],0)</f>
        <v>34</v>
      </c>
      <c r="J1254" s="12">
        <f>Marketing[[#This Row],[Campaign_Cost]]/Marketing[[#This Row],[Customers]]</f>
        <v>437.14705882352939</v>
      </c>
      <c r="K1254" t="s">
        <v>25</v>
      </c>
      <c r="L1254" t="s">
        <v>39</v>
      </c>
      <c r="M1254">
        <v>566</v>
      </c>
      <c r="N1254">
        <v>7998</v>
      </c>
      <c r="O1254">
        <v>7</v>
      </c>
      <c r="P1254" t="s">
        <v>44</v>
      </c>
      <c r="Q1254" s="1">
        <v>44354</v>
      </c>
    </row>
    <row r="1255" spans="1:17" x14ac:dyDescent="0.3">
      <c r="A1255" t="s">
        <v>35</v>
      </c>
      <c r="B1255" t="s">
        <v>29</v>
      </c>
      <c r="C1255" t="s">
        <v>30</v>
      </c>
      <c r="D1255" t="s">
        <v>40</v>
      </c>
      <c r="E1255" t="s">
        <v>18</v>
      </c>
      <c r="F1255" s="9">
        <v>0.08</v>
      </c>
      <c r="G1255" s="10">
        <v>9277</v>
      </c>
      <c r="H1255">
        <v>4.2699999999999996</v>
      </c>
      <c r="I1255" s="5">
        <f>ROUND(Marketing[[#This Row],[Clicks]]*Marketing[[#This Row],[Conversion_Rate]],0)</f>
        <v>77</v>
      </c>
      <c r="J1255" s="12">
        <f>Marketing[[#This Row],[Campaign_Cost]]/Marketing[[#This Row],[Customers]]</f>
        <v>120.48051948051948</v>
      </c>
      <c r="K1255" t="s">
        <v>25</v>
      </c>
      <c r="L1255" t="s">
        <v>33</v>
      </c>
      <c r="M1255">
        <v>965</v>
      </c>
      <c r="N1255">
        <v>6798</v>
      </c>
      <c r="O1255">
        <v>3</v>
      </c>
      <c r="P1255" t="s">
        <v>27</v>
      </c>
      <c r="Q1255" s="1">
        <v>44355</v>
      </c>
    </row>
    <row r="1256" spans="1:17" x14ac:dyDescent="0.3">
      <c r="A1256" t="s">
        <v>49</v>
      </c>
      <c r="B1256" t="s">
        <v>45</v>
      </c>
      <c r="C1256" t="s">
        <v>52</v>
      </c>
      <c r="D1256" t="s">
        <v>24</v>
      </c>
      <c r="E1256" t="s">
        <v>48</v>
      </c>
      <c r="F1256" s="9">
        <v>7.0000000000000007E-2</v>
      </c>
      <c r="G1256" s="10">
        <v>12535</v>
      </c>
      <c r="H1256">
        <v>5.91</v>
      </c>
      <c r="I1256" s="5">
        <f>ROUND(Marketing[[#This Row],[Clicks]]*Marketing[[#This Row],[Conversion_Rate]],0)</f>
        <v>29</v>
      </c>
      <c r="J1256" s="12">
        <f>Marketing[[#This Row],[Campaign_Cost]]/Marketing[[#This Row],[Customers]]</f>
        <v>432.24137931034483</v>
      </c>
      <c r="K1256" t="s">
        <v>38</v>
      </c>
      <c r="L1256" t="s">
        <v>33</v>
      </c>
      <c r="M1256">
        <v>415</v>
      </c>
      <c r="N1256">
        <v>1824</v>
      </c>
      <c r="O1256">
        <v>9</v>
      </c>
      <c r="P1256" t="s">
        <v>42</v>
      </c>
      <c r="Q1256" s="1">
        <v>44356</v>
      </c>
    </row>
    <row r="1257" spans="1:17" x14ac:dyDescent="0.3">
      <c r="A1257" t="s">
        <v>35</v>
      </c>
      <c r="B1257" t="s">
        <v>15</v>
      </c>
      <c r="C1257" t="s">
        <v>16</v>
      </c>
      <c r="D1257" t="s">
        <v>40</v>
      </c>
      <c r="E1257" t="s">
        <v>48</v>
      </c>
      <c r="F1257" s="9">
        <v>0.03</v>
      </c>
      <c r="G1257" s="10">
        <v>18550</v>
      </c>
      <c r="H1257">
        <v>5.99</v>
      </c>
      <c r="I1257" s="5">
        <f>ROUND(Marketing[[#This Row],[Clicks]]*Marketing[[#This Row],[Conversion_Rate]],0)</f>
        <v>13</v>
      </c>
      <c r="J1257" s="12">
        <f>Marketing[[#This Row],[Campaign_Cost]]/Marketing[[#This Row],[Customers]]</f>
        <v>1426.9230769230769</v>
      </c>
      <c r="K1257" t="s">
        <v>32</v>
      </c>
      <c r="L1257" t="s">
        <v>26</v>
      </c>
      <c r="M1257">
        <v>428</v>
      </c>
      <c r="N1257">
        <v>7371</v>
      </c>
      <c r="O1257">
        <v>9</v>
      </c>
      <c r="P1257" t="s">
        <v>21</v>
      </c>
      <c r="Q1257" s="1">
        <v>44357</v>
      </c>
    </row>
    <row r="1258" spans="1:17" x14ac:dyDescent="0.3">
      <c r="A1258" t="s">
        <v>49</v>
      </c>
      <c r="B1258" t="s">
        <v>45</v>
      </c>
      <c r="C1258" t="s">
        <v>23</v>
      </c>
      <c r="D1258" t="s">
        <v>40</v>
      </c>
      <c r="E1258" t="s">
        <v>31</v>
      </c>
      <c r="F1258" s="9">
        <v>0.03</v>
      </c>
      <c r="G1258" s="10">
        <v>8149</v>
      </c>
      <c r="H1258">
        <v>2.75</v>
      </c>
      <c r="I1258" s="5">
        <f>ROUND(Marketing[[#This Row],[Clicks]]*Marketing[[#This Row],[Conversion_Rate]],0)</f>
        <v>15</v>
      </c>
      <c r="J1258" s="12">
        <f>Marketing[[#This Row],[Campaign_Cost]]/Marketing[[#This Row],[Customers]]</f>
        <v>543.26666666666665</v>
      </c>
      <c r="K1258" t="s">
        <v>32</v>
      </c>
      <c r="L1258" t="s">
        <v>50</v>
      </c>
      <c r="M1258">
        <v>487</v>
      </c>
      <c r="N1258">
        <v>6102</v>
      </c>
      <c r="O1258">
        <v>2</v>
      </c>
      <c r="P1258" t="s">
        <v>21</v>
      </c>
      <c r="Q1258" s="1">
        <v>44358</v>
      </c>
    </row>
    <row r="1259" spans="1:17" x14ac:dyDescent="0.3">
      <c r="A1259" t="s">
        <v>22</v>
      </c>
      <c r="B1259" t="s">
        <v>36</v>
      </c>
      <c r="C1259" t="s">
        <v>52</v>
      </c>
      <c r="D1259" t="s">
        <v>17</v>
      </c>
      <c r="E1259" t="s">
        <v>15</v>
      </c>
      <c r="F1259" s="9">
        <v>0.06</v>
      </c>
      <c r="G1259" s="10">
        <v>13310</v>
      </c>
      <c r="H1259">
        <v>3.16</v>
      </c>
      <c r="I1259" s="5">
        <f>ROUND(Marketing[[#This Row],[Clicks]]*Marketing[[#This Row],[Conversion_Rate]],0)</f>
        <v>20</v>
      </c>
      <c r="J1259" s="12">
        <f>Marketing[[#This Row],[Campaign_Cost]]/Marketing[[#This Row],[Customers]]</f>
        <v>665.5</v>
      </c>
      <c r="K1259" t="s">
        <v>19</v>
      </c>
      <c r="L1259" t="s">
        <v>50</v>
      </c>
      <c r="M1259">
        <v>334</v>
      </c>
      <c r="N1259">
        <v>3350</v>
      </c>
      <c r="O1259">
        <v>8</v>
      </c>
      <c r="P1259" t="s">
        <v>44</v>
      </c>
      <c r="Q1259" s="1">
        <v>44359</v>
      </c>
    </row>
    <row r="1260" spans="1:17" x14ac:dyDescent="0.3">
      <c r="A1260" t="s">
        <v>22</v>
      </c>
      <c r="B1260" t="s">
        <v>15</v>
      </c>
      <c r="C1260" t="s">
        <v>16</v>
      </c>
      <c r="D1260" t="s">
        <v>46</v>
      </c>
      <c r="E1260" t="s">
        <v>31</v>
      </c>
      <c r="F1260" s="9">
        <v>0.09</v>
      </c>
      <c r="G1260" s="10">
        <v>16130</v>
      </c>
      <c r="H1260">
        <v>6.96</v>
      </c>
      <c r="I1260" s="5">
        <f>ROUND(Marketing[[#This Row],[Clicks]]*Marketing[[#This Row],[Conversion_Rate]],0)</f>
        <v>82</v>
      </c>
      <c r="J1260" s="12">
        <f>Marketing[[#This Row],[Campaign_Cost]]/Marketing[[#This Row],[Customers]]</f>
        <v>196.70731707317074</v>
      </c>
      <c r="K1260" t="s">
        <v>38</v>
      </c>
      <c r="L1260" t="s">
        <v>33</v>
      </c>
      <c r="M1260">
        <v>912</v>
      </c>
      <c r="N1260">
        <v>8343</v>
      </c>
      <c r="O1260">
        <v>6</v>
      </c>
      <c r="P1260" t="s">
        <v>44</v>
      </c>
      <c r="Q1260" s="1">
        <v>44360</v>
      </c>
    </row>
    <row r="1261" spans="1:17" x14ac:dyDescent="0.3">
      <c r="A1261" t="s">
        <v>49</v>
      </c>
      <c r="B1261" t="s">
        <v>15</v>
      </c>
      <c r="C1261" t="s">
        <v>23</v>
      </c>
      <c r="D1261" t="s">
        <v>40</v>
      </c>
      <c r="E1261" t="s">
        <v>15</v>
      </c>
      <c r="F1261" s="9">
        <v>0.08</v>
      </c>
      <c r="G1261" s="10">
        <v>11288</v>
      </c>
      <c r="H1261">
        <v>2.29</v>
      </c>
      <c r="I1261" s="5">
        <f>ROUND(Marketing[[#This Row],[Clicks]]*Marketing[[#This Row],[Conversion_Rate]],0)</f>
        <v>46</v>
      </c>
      <c r="J1261" s="12">
        <f>Marketing[[#This Row],[Campaign_Cost]]/Marketing[[#This Row],[Customers]]</f>
        <v>245.39130434782609</v>
      </c>
      <c r="K1261" t="s">
        <v>32</v>
      </c>
      <c r="L1261" t="s">
        <v>39</v>
      </c>
      <c r="M1261">
        <v>577</v>
      </c>
      <c r="N1261">
        <v>5936</v>
      </c>
      <c r="O1261">
        <v>8</v>
      </c>
      <c r="P1261" t="s">
        <v>27</v>
      </c>
      <c r="Q1261" s="1">
        <v>44361</v>
      </c>
    </row>
    <row r="1262" spans="1:17" x14ac:dyDescent="0.3">
      <c r="A1262" t="s">
        <v>22</v>
      </c>
      <c r="B1262" t="s">
        <v>45</v>
      </c>
      <c r="C1262" t="s">
        <v>52</v>
      </c>
      <c r="D1262" t="s">
        <v>17</v>
      </c>
      <c r="E1262" t="s">
        <v>31</v>
      </c>
      <c r="F1262" s="9">
        <v>0.1</v>
      </c>
      <c r="G1262" s="10">
        <v>18218</v>
      </c>
      <c r="H1262">
        <v>3.86</v>
      </c>
      <c r="I1262" s="5">
        <f>ROUND(Marketing[[#This Row],[Clicks]]*Marketing[[#This Row],[Conversion_Rate]],0)</f>
        <v>45</v>
      </c>
      <c r="J1262" s="12">
        <f>Marketing[[#This Row],[Campaign_Cost]]/Marketing[[#This Row],[Customers]]</f>
        <v>404.84444444444443</v>
      </c>
      <c r="K1262" t="s">
        <v>25</v>
      </c>
      <c r="L1262" t="s">
        <v>20</v>
      </c>
      <c r="M1262">
        <v>452</v>
      </c>
      <c r="N1262">
        <v>4033</v>
      </c>
      <c r="O1262">
        <v>5</v>
      </c>
      <c r="P1262" t="s">
        <v>27</v>
      </c>
      <c r="Q1262" s="1">
        <v>44362</v>
      </c>
    </row>
    <row r="1263" spans="1:17" x14ac:dyDescent="0.3">
      <c r="A1263" t="s">
        <v>35</v>
      </c>
      <c r="B1263" t="s">
        <v>29</v>
      </c>
      <c r="C1263" t="s">
        <v>23</v>
      </c>
      <c r="D1263" t="s">
        <v>17</v>
      </c>
      <c r="E1263" t="s">
        <v>43</v>
      </c>
      <c r="F1263" s="9">
        <v>0.02</v>
      </c>
      <c r="G1263" s="10">
        <v>5708</v>
      </c>
      <c r="H1263">
        <v>3.72</v>
      </c>
      <c r="I1263" s="5">
        <f>ROUND(Marketing[[#This Row],[Clicks]]*Marketing[[#This Row],[Conversion_Rate]],0)</f>
        <v>7</v>
      </c>
      <c r="J1263" s="12">
        <f>Marketing[[#This Row],[Campaign_Cost]]/Marketing[[#This Row],[Customers]]</f>
        <v>815.42857142857144</v>
      </c>
      <c r="K1263" t="s">
        <v>19</v>
      </c>
      <c r="L1263" t="s">
        <v>39</v>
      </c>
      <c r="M1263">
        <v>345</v>
      </c>
      <c r="N1263">
        <v>7102</v>
      </c>
      <c r="O1263">
        <v>6</v>
      </c>
      <c r="P1263" t="s">
        <v>27</v>
      </c>
      <c r="Q1263" s="1">
        <v>44363</v>
      </c>
    </row>
    <row r="1264" spans="1:17" x14ac:dyDescent="0.3">
      <c r="A1264" t="s">
        <v>14</v>
      </c>
      <c r="B1264" t="s">
        <v>15</v>
      </c>
      <c r="C1264" t="s">
        <v>30</v>
      </c>
      <c r="D1264" t="s">
        <v>17</v>
      </c>
      <c r="E1264" t="s">
        <v>18</v>
      </c>
      <c r="F1264" s="9">
        <v>0.12</v>
      </c>
      <c r="G1264" s="10">
        <v>11855</v>
      </c>
      <c r="H1264">
        <v>2.66</v>
      </c>
      <c r="I1264" s="5">
        <f>ROUND(Marketing[[#This Row],[Clicks]]*Marketing[[#This Row],[Conversion_Rate]],0)</f>
        <v>13</v>
      </c>
      <c r="J1264" s="12">
        <f>Marketing[[#This Row],[Campaign_Cost]]/Marketing[[#This Row],[Customers]]</f>
        <v>911.92307692307691</v>
      </c>
      <c r="K1264" t="s">
        <v>19</v>
      </c>
      <c r="L1264" t="s">
        <v>20</v>
      </c>
      <c r="M1264">
        <v>105</v>
      </c>
      <c r="N1264">
        <v>2234</v>
      </c>
      <c r="O1264">
        <v>8</v>
      </c>
      <c r="P1264" t="s">
        <v>27</v>
      </c>
      <c r="Q1264" s="1">
        <v>44364</v>
      </c>
    </row>
    <row r="1265" spans="1:17" x14ac:dyDescent="0.3">
      <c r="A1265" t="s">
        <v>22</v>
      </c>
      <c r="B1265" t="s">
        <v>36</v>
      </c>
      <c r="C1265" t="s">
        <v>37</v>
      </c>
      <c r="D1265" t="s">
        <v>24</v>
      </c>
      <c r="E1265" t="s">
        <v>18</v>
      </c>
      <c r="F1265" s="9">
        <v>0.12</v>
      </c>
      <c r="G1265" s="10">
        <v>18287</v>
      </c>
      <c r="H1265">
        <v>6.53</v>
      </c>
      <c r="I1265" s="5">
        <f>ROUND(Marketing[[#This Row],[Clicks]]*Marketing[[#This Row],[Conversion_Rate]],0)</f>
        <v>19</v>
      </c>
      <c r="J1265" s="12">
        <f>Marketing[[#This Row],[Campaign_Cost]]/Marketing[[#This Row],[Customers]]</f>
        <v>962.47368421052636</v>
      </c>
      <c r="K1265" t="s">
        <v>38</v>
      </c>
      <c r="L1265" t="s">
        <v>26</v>
      </c>
      <c r="M1265">
        <v>157</v>
      </c>
      <c r="N1265">
        <v>5905</v>
      </c>
      <c r="O1265">
        <v>5</v>
      </c>
      <c r="P1265" t="s">
        <v>42</v>
      </c>
      <c r="Q1265" s="1">
        <v>44365</v>
      </c>
    </row>
    <row r="1266" spans="1:17" x14ac:dyDescent="0.3">
      <c r="A1266" t="s">
        <v>49</v>
      </c>
      <c r="B1266" t="s">
        <v>47</v>
      </c>
      <c r="C1266" t="s">
        <v>30</v>
      </c>
      <c r="D1266" t="s">
        <v>46</v>
      </c>
      <c r="E1266" t="s">
        <v>15</v>
      </c>
      <c r="F1266" s="9">
        <v>0.02</v>
      </c>
      <c r="G1266" s="10">
        <v>11618</v>
      </c>
      <c r="H1266">
        <v>6.73</v>
      </c>
      <c r="I1266" s="5">
        <f>ROUND(Marketing[[#This Row],[Clicks]]*Marketing[[#This Row],[Conversion_Rate]],0)</f>
        <v>15</v>
      </c>
      <c r="J1266" s="12">
        <f>Marketing[[#This Row],[Campaign_Cost]]/Marketing[[#This Row],[Customers]]</f>
        <v>774.5333333333333</v>
      </c>
      <c r="K1266" t="s">
        <v>19</v>
      </c>
      <c r="L1266" t="s">
        <v>20</v>
      </c>
      <c r="M1266">
        <v>746</v>
      </c>
      <c r="N1266">
        <v>4190</v>
      </c>
      <c r="O1266">
        <v>8</v>
      </c>
      <c r="P1266" t="s">
        <v>21</v>
      </c>
      <c r="Q1266" s="1">
        <v>44366</v>
      </c>
    </row>
    <row r="1267" spans="1:17" x14ac:dyDescent="0.3">
      <c r="A1267" t="s">
        <v>35</v>
      </c>
      <c r="B1267" t="s">
        <v>45</v>
      </c>
      <c r="C1267" t="s">
        <v>52</v>
      </c>
      <c r="D1267" t="s">
        <v>40</v>
      </c>
      <c r="E1267" t="s">
        <v>31</v>
      </c>
      <c r="F1267" s="9">
        <v>0.11</v>
      </c>
      <c r="G1267" s="10">
        <v>6238</v>
      </c>
      <c r="H1267">
        <v>4.9000000000000004</v>
      </c>
      <c r="I1267" s="5">
        <f>ROUND(Marketing[[#This Row],[Clicks]]*Marketing[[#This Row],[Conversion_Rate]],0)</f>
        <v>109</v>
      </c>
      <c r="J1267" s="12">
        <f>Marketing[[#This Row],[Campaign_Cost]]/Marketing[[#This Row],[Customers]]</f>
        <v>57.22935779816514</v>
      </c>
      <c r="K1267" t="s">
        <v>32</v>
      </c>
      <c r="L1267" t="s">
        <v>20</v>
      </c>
      <c r="M1267">
        <v>989</v>
      </c>
      <c r="N1267">
        <v>5228</v>
      </c>
      <c r="O1267">
        <v>6</v>
      </c>
      <c r="P1267" t="s">
        <v>27</v>
      </c>
      <c r="Q1267" s="1">
        <v>44367</v>
      </c>
    </row>
    <row r="1268" spans="1:17" x14ac:dyDescent="0.3">
      <c r="A1268" t="s">
        <v>35</v>
      </c>
      <c r="B1268" t="s">
        <v>15</v>
      </c>
      <c r="C1268" t="s">
        <v>37</v>
      </c>
      <c r="D1268" t="s">
        <v>46</v>
      </c>
      <c r="E1268" t="s">
        <v>15</v>
      </c>
      <c r="F1268" s="9">
        <v>0.12</v>
      </c>
      <c r="G1268" s="10">
        <v>15848</v>
      </c>
      <c r="H1268">
        <v>7.26</v>
      </c>
      <c r="I1268" s="5">
        <f>ROUND(Marketing[[#This Row],[Clicks]]*Marketing[[#This Row],[Conversion_Rate]],0)</f>
        <v>105</v>
      </c>
      <c r="J1268" s="12">
        <f>Marketing[[#This Row],[Campaign_Cost]]/Marketing[[#This Row],[Customers]]</f>
        <v>150.93333333333334</v>
      </c>
      <c r="K1268" t="s">
        <v>25</v>
      </c>
      <c r="L1268" t="s">
        <v>26</v>
      </c>
      <c r="M1268">
        <v>877</v>
      </c>
      <c r="N1268">
        <v>3471</v>
      </c>
      <c r="O1268">
        <v>1</v>
      </c>
      <c r="P1268" t="s">
        <v>44</v>
      </c>
      <c r="Q1268" s="1">
        <v>44368</v>
      </c>
    </row>
    <row r="1269" spans="1:17" x14ac:dyDescent="0.3">
      <c r="A1269" t="s">
        <v>14</v>
      </c>
      <c r="B1269" t="s">
        <v>29</v>
      </c>
      <c r="C1269" t="s">
        <v>37</v>
      </c>
      <c r="D1269" t="s">
        <v>24</v>
      </c>
      <c r="E1269" t="s">
        <v>43</v>
      </c>
      <c r="F1269" s="9">
        <v>0.04</v>
      </c>
      <c r="G1269" s="10">
        <v>5928</v>
      </c>
      <c r="H1269">
        <v>7.53</v>
      </c>
      <c r="I1269" s="5">
        <f>ROUND(Marketing[[#This Row],[Clicks]]*Marketing[[#This Row],[Conversion_Rate]],0)</f>
        <v>32</v>
      </c>
      <c r="J1269" s="12">
        <f>Marketing[[#This Row],[Campaign_Cost]]/Marketing[[#This Row],[Customers]]</f>
        <v>185.25</v>
      </c>
      <c r="K1269" t="s">
        <v>32</v>
      </c>
      <c r="L1269" t="s">
        <v>50</v>
      </c>
      <c r="M1269">
        <v>795</v>
      </c>
      <c r="N1269">
        <v>7633</v>
      </c>
      <c r="O1269">
        <v>7</v>
      </c>
      <c r="P1269" t="s">
        <v>21</v>
      </c>
      <c r="Q1269" s="1">
        <v>44369</v>
      </c>
    </row>
    <row r="1270" spans="1:17" x14ac:dyDescent="0.3">
      <c r="A1270" t="s">
        <v>22</v>
      </c>
      <c r="B1270" t="s">
        <v>15</v>
      </c>
      <c r="C1270" t="s">
        <v>37</v>
      </c>
      <c r="D1270" t="s">
        <v>24</v>
      </c>
      <c r="E1270" t="s">
        <v>15</v>
      </c>
      <c r="F1270" s="9">
        <v>0.1</v>
      </c>
      <c r="G1270" s="10">
        <v>6252</v>
      </c>
      <c r="H1270">
        <v>6.28</v>
      </c>
      <c r="I1270" s="5">
        <f>ROUND(Marketing[[#This Row],[Clicks]]*Marketing[[#This Row],[Conversion_Rate]],0)</f>
        <v>63</v>
      </c>
      <c r="J1270" s="12">
        <f>Marketing[[#This Row],[Campaign_Cost]]/Marketing[[#This Row],[Customers]]</f>
        <v>99.238095238095241</v>
      </c>
      <c r="K1270" t="s">
        <v>32</v>
      </c>
      <c r="L1270" t="s">
        <v>33</v>
      </c>
      <c r="M1270">
        <v>629</v>
      </c>
      <c r="N1270">
        <v>4581</v>
      </c>
      <c r="O1270">
        <v>2</v>
      </c>
      <c r="P1270" t="s">
        <v>42</v>
      </c>
      <c r="Q1270" s="1">
        <v>44370</v>
      </c>
    </row>
    <row r="1271" spans="1:17" x14ac:dyDescent="0.3">
      <c r="A1271" t="s">
        <v>22</v>
      </c>
      <c r="B1271" t="s">
        <v>15</v>
      </c>
      <c r="C1271" t="s">
        <v>23</v>
      </c>
      <c r="D1271" t="s">
        <v>17</v>
      </c>
      <c r="E1271" t="s">
        <v>41</v>
      </c>
      <c r="F1271" s="9">
        <v>0.1</v>
      </c>
      <c r="G1271" s="10">
        <v>6796</v>
      </c>
      <c r="H1271">
        <v>6.65</v>
      </c>
      <c r="I1271" s="5">
        <f>ROUND(Marketing[[#This Row],[Clicks]]*Marketing[[#This Row],[Conversion_Rate]],0)</f>
        <v>24</v>
      </c>
      <c r="J1271" s="12">
        <f>Marketing[[#This Row],[Campaign_Cost]]/Marketing[[#This Row],[Customers]]</f>
        <v>283.16666666666669</v>
      </c>
      <c r="K1271" t="s">
        <v>32</v>
      </c>
      <c r="L1271" t="s">
        <v>50</v>
      </c>
      <c r="M1271">
        <v>238</v>
      </c>
      <c r="N1271">
        <v>3730</v>
      </c>
      <c r="O1271">
        <v>10</v>
      </c>
      <c r="P1271" t="s">
        <v>44</v>
      </c>
      <c r="Q1271" s="1">
        <v>44371</v>
      </c>
    </row>
    <row r="1272" spans="1:17" x14ac:dyDescent="0.3">
      <c r="A1272" t="s">
        <v>22</v>
      </c>
      <c r="B1272" t="s">
        <v>15</v>
      </c>
      <c r="C1272" t="s">
        <v>30</v>
      </c>
      <c r="D1272" t="s">
        <v>40</v>
      </c>
      <c r="E1272" t="s">
        <v>48</v>
      </c>
      <c r="F1272" s="9">
        <v>0.1</v>
      </c>
      <c r="G1272" s="10">
        <v>9895</v>
      </c>
      <c r="H1272">
        <v>4.5599999999999996</v>
      </c>
      <c r="I1272" s="5">
        <f>ROUND(Marketing[[#This Row],[Clicks]]*Marketing[[#This Row],[Conversion_Rate]],0)</f>
        <v>27</v>
      </c>
      <c r="J1272" s="12">
        <f>Marketing[[#This Row],[Campaign_Cost]]/Marketing[[#This Row],[Customers]]</f>
        <v>366.48148148148147</v>
      </c>
      <c r="K1272" t="s">
        <v>32</v>
      </c>
      <c r="L1272" t="s">
        <v>33</v>
      </c>
      <c r="M1272">
        <v>272</v>
      </c>
      <c r="N1272">
        <v>7435</v>
      </c>
      <c r="O1272">
        <v>5</v>
      </c>
      <c r="P1272" t="s">
        <v>21</v>
      </c>
      <c r="Q1272" s="1">
        <v>44372</v>
      </c>
    </row>
    <row r="1273" spans="1:17" x14ac:dyDescent="0.3">
      <c r="A1273" t="s">
        <v>28</v>
      </c>
      <c r="B1273" t="s">
        <v>29</v>
      </c>
      <c r="C1273" t="s">
        <v>37</v>
      </c>
      <c r="D1273" t="s">
        <v>17</v>
      </c>
      <c r="E1273" t="s">
        <v>18</v>
      </c>
      <c r="F1273" s="9">
        <v>0.12</v>
      </c>
      <c r="G1273" s="10">
        <v>18104</v>
      </c>
      <c r="H1273">
        <v>5.45</v>
      </c>
      <c r="I1273" s="5">
        <f>ROUND(Marketing[[#This Row],[Clicks]]*Marketing[[#This Row],[Conversion_Rate]],0)</f>
        <v>44</v>
      </c>
      <c r="J1273" s="12">
        <f>Marketing[[#This Row],[Campaign_Cost]]/Marketing[[#This Row],[Customers]]</f>
        <v>411.45454545454544</v>
      </c>
      <c r="K1273" t="s">
        <v>19</v>
      </c>
      <c r="L1273" t="s">
        <v>50</v>
      </c>
      <c r="M1273">
        <v>368</v>
      </c>
      <c r="N1273">
        <v>5530</v>
      </c>
      <c r="O1273">
        <v>5</v>
      </c>
      <c r="P1273" t="s">
        <v>27</v>
      </c>
      <c r="Q1273" s="1">
        <v>44373</v>
      </c>
    </row>
    <row r="1274" spans="1:17" x14ac:dyDescent="0.3">
      <c r="A1274" t="s">
        <v>49</v>
      </c>
      <c r="B1274" t="s">
        <v>47</v>
      </c>
      <c r="C1274" t="s">
        <v>52</v>
      </c>
      <c r="D1274" t="s">
        <v>17</v>
      </c>
      <c r="E1274" t="s">
        <v>43</v>
      </c>
      <c r="F1274" s="9">
        <v>0.03</v>
      </c>
      <c r="G1274" s="10">
        <v>8859</v>
      </c>
      <c r="H1274">
        <v>7</v>
      </c>
      <c r="I1274" s="5">
        <f>ROUND(Marketing[[#This Row],[Clicks]]*Marketing[[#This Row],[Conversion_Rate]],0)</f>
        <v>30</v>
      </c>
      <c r="J1274" s="12">
        <f>Marketing[[#This Row],[Campaign_Cost]]/Marketing[[#This Row],[Customers]]</f>
        <v>295.3</v>
      </c>
      <c r="K1274" t="s">
        <v>25</v>
      </c>
      <c r="L1274" t="s">
        <v>20</v>
      </c>
      <c r="M1274">
        <v>992</v>
      </c>
      <c r="N1274">
        <v>7574</v>
      </c>
      <c r="O1274">
        <v>9</v>
      </c>
      <c r="P1274" t="s">
        <v>21</v>
      </c>
      <c r="Q1274" s="1">
        <v>44374</v>
      </c>
    </row>
    <row r="1275" spans="1:17" x14ac:dyDescent="0.3">
      <c r="A1275" t="s">
        <v>35</v>
      </c>
      <c r="B1275" t="s">
        <v>47</v>
      </c>
      <c r="C1275" t="s">
        <v>30</v>
      </c>
      <c r="D1275" t="s">
        <v>24</v>
      </c>
      <c r="E1275" t="s">
        <v>48</v>
      </c>
      <c r="F1275" s="9">
        <v>0.09</v>
      </c>
      <c r="G1275" s="10">
        <v>14503</v>
      </c>
      <c r="H1275">
        <v>6.64</v>
      </c>
      <c r="I1275" s="5">
        <f>ROUND(Marketing[[#This Row],[Clicks]]*Marketing[[#This Row],[Conversion_Rate]],0)</f>
        <v>20</v>
      </c>
      <c r="J1275" s="12">
        <f>Marketing[[#This Row],[Campaign_Cost]]/Marketing[[#This Row],[Customers]]</f>
        <v>725.15</v>
      </c>
      <c r="K1275" t="s">
        <v>19</v>
      </c>
      <c r="L1275" t="s">
        <v>33</v>
      </c>
      <c r="M1275">
        <v>221</v>
      </c>
      <c r="N1275">
        <v>3567</v>
      </c>
      <c r="O1275">
        <v>5</v>
      </c>
      <c r="P1275" t="s">
        <v>42</v>
      </c>
      <c r="Q1275" s="1">
        <v>44375</v>
      </c>
    </row>
    <row r="1276" spans="1:17" x14ac:dyDescent="0.3">
      <c r="A1276" t="s">
        <v>22</v>
      </c>
      <c r="B1276" t="s">
        <v>36</v>
      </c>
      <c r="C1276" t="s">
        <v>16</v>
      </c>
      <c r="D1276" t="s">
        <v>17</v>
      </c>
      <c r="E1276" t="s">
        <v>15</v>
      </c>
      <c r="F1276" s="9">
        <v>7.0000000000000007E-2</v>
      </c>
      <c r="G1276" s="10">
        <v>10743</v>
      </c>
      <c r="H1276">
        <v>5.03</v>
      </c>
      <c r="I1276" s="5">
        <f>ROUND(Marketing[[#This Row],[Clicks]]*Marketing[[#This Row],[Conversion_Rate]],0)</f>
        <v>53</v>
      </c>
      <c r="J1276" s="12">
        <f>Marketing[[#This Row],[Campaign_Cost]]/Marketing[[#This Row],[Customers]]</f>
        <v>202.69811320754718</v>
      </c>
      <c r="K1276" t="s">
        <v>25</v>
      </c>
      <c r="L1276" t="s">
        <v>39</v>
      </c>
      <c r="M1276">
        <v>752</v>
      </c>
      <c r="N1276">
        <v>1807</v>
      </c>
      <c r="O1276">
        <v>6</v>
      </c>
      <c r="P1276" t="s">
        <v>27</v>
      </c>
      <c r="Q1276" s="1">
        <v>44376</v>
      </c>
    </row>
    <row r="1277" spans="1:17" x14ac:dyDescent="0.3">
      <c r="A1277" t="s">
        <v>28</v>
      </c>
      <c r="B1277" t="s">
        <v>15</v>
      </c>
      <c r="C1277" t="s">
        <v>16</v>
      </c>
      <c r="D1277" t="s">
        <v>40</v>
      </c>
      <c r="E1277" t="s">
        <v>18</v>
      </c>
      <c r="F1277" s="9">
        <v>0.04</v>
      </c>
      <c r="G1277" s="10">
        <v>17569</v>
      </c>
      <c r="H1277">
        <v>4.26</v>
      </c>
      <c r="I1277" s="5">
        <f>ROUND(Marketing[[#This Row],[Clicks]]*Marketing[[#This Row],[Conversion_Rate]],0)</f>
        <v>36</v>
      </c>
      <c r="J1277" s="12">
        <f>Marketing[[#This Row],[Campaign_Cost]]/Marketing[[#This Row],[Customers]]</f>
        <v>488.02777777777777</v>
      </c>
      <c r="K1277" t="s">
        <v>25</v>
      </c>
      <c r="L1277" t="s">
        <v>33</v>
      </c>
      <c r="M1277">
        <v>895</v>
      </c>
      <c r="N1277">
        <v>2185</v>
      </c>
      <c r="O1277">
        <v>5</v>
      </c>
      <c r="P1277" t="s">
        <v>44</v>
      </c>
      <c r="Q1277" s="1">
        <v>44377</v>
      </c>
    </row>
    <row r="1278" spans="1:17" x14ac:dyDescent="0.3">
      <c r="A1278" t="s">
        <v>28</v>
      </c>
      <c r="B1278" t="s">
        <v>15</v>
      </c>
      <c r="C1278" t="s">
        <v>16</v>
      </c>
      <c r="D1278" t="s">
        <v>46</v>
      </c>
      <c r="E1278" t="s">
        <v>41</v>
      </c>
      <c r="F1278" s="9">
        <v>7.0000000000000007E-2</v>
      </c>
      <c r="G1278" s="10">
        <v>11926</v>
      </c>
      <c r="H1278">
        <v>2.39</v>
      </c>
      <c r="I1278" s="5">
        <f>ROUND(Marketing[[#This Row],[Clicks]]*Marketing[[#This Row],[Conversion_Rate]],0)</f>
        <v>44</v>
      </c>
      <c r="J1278" s="12">
        <f>Marketing[[#This Row],[Campaign_Cost]]/Marketing[[#This Row],[Customers]]</f>
        <v>271.04545454545456</v>
      </c>
      <c r="K1278" t="s">
        <v>32</v>
      </c>
      <c r="L1278" t="s">
        <v>20</v>
      </c>
      <c r="M1278">
        <v>631</v>
      </c>
      <c r="N1278">
        <v>1485</v>
      </c>
      <c r="O1278">
        <v>3</v>
      </c>
      <c r="P1278" t="s">
        <v>34</v>
      </c>
      <c r="Q1278" s="1">
        <v>44378</v>
      </c>
    </row>
    <row r="1279" spans="1:17" x14ac:dyDescent="0.3">
      <c r="A1279" t="s">
        <v>22</v>
      </c>
      <c r="B1279" t="s">
        <v>36</v>
      </c>
      <c r="C1279" t="s">
        <v>52</v>
      </c>
      <c r="D1279" t="s">
        <v>24</v>
      </c>
      <c r="E1279" t="s">
        <v>41</v>
      </c>
      <c r="F1279" s="9">
        <v>0.03</v>
      </c>
      <c r="G1279" s="10">
        <v>14374</v>
      </c>
      <c r="H1279">
        <v>4.1399999999999997</v>
      </c>
      <c r="I1279" s="5">
        <f>ROUND(Marketing[[#This Row],[Clicks]]*Marketing[[#This Row],[Conversion_Rate]],0)</f>
        <v>26</v>
      </c>
      <c r="J1279" s="12">
        <f>Marketing[[#This Row],[Campaign_Cost]]/Marketing[[#This Row],[Customers]]</f>
        <v>552.84615384615381</v>
      </c>
      <c r="K1279" t="s">
        <v>25</v>
      </c>
      <c r="L1279" t="s">
        <v>20</v>
      </c>
      <c r="M1279">
        <v>865</v>
      </c>
      <c r="N1279">
        <v>8480</v>
      </c>
      <c r="O1279">
        <v>7</v>
      </c>
      <c r="P1279" t="s">
        <v>42</v>
      </c>
      <c r="Q1279" s="1">
        <v>44379</v>
      </c>
    </row>
    <row r="1280" spans="1:17" x14ac:dyDescent="0.3">
      <c r="A1280" t="s">
        <v>14</v>
      </c>
      <c r="B1280" t="s">
        <v>15</v>
      </c>
      <c r="C1280" t="s">
        <v>30</v>
      </c>
      <c r="D1280" t="s">
        <v>24</v>
      </c>
      <c r="E1280" t="s">
        <v>15</v>
      </c>
      <c r="F1280" s="9">
        <v>0.01</v>
      </c>
      <c r="G1280" s="10">
        <v>9887</v>
      </c>
      <c r="H1280">
        <v>4.68</v>
      </c>
      <c r="I1280" s="5">
        <f>ROUND(Marketing[[#This Row],[Clicks]]*Marketing[[#This Row],[Conversion_Rate]],0)</f>
        <v>5</v>
      </c>
      <c r="J1280" s="12">
        <f>Marketing[[#This Row],[Campaign_Cost]]/Marketing[[#This Row],[Customers]]</f>
        <v>1977.4</v>
      </c>
      <c r="K1280" t="s">
        <v>51</v>
      </c>
      <c r="L1280" t="s">
        <v>26</v>
      </c>
      <c r="M1280">
        <v>501</v>
      </c>
      <c r="N1280">
        <v>8783</v>
      </c>
      <c r="O1280">
        <v>8</v>
      </c>
      <c r="P1280" t="s">
        <v>44</v>
      </c>
      <c r="Q1280" s="1">
        <v>44380</v>
      </c>
    </row>
    <row r="1281" spans="1:17" x14ac:dyDescent="0.3">
      <c r="A1281" t="s">
        <v>22</v>
      </c>
      <c r="B1281" t="s">
        <v>45</v>
      </c>
      <c r="C1281" t="s">
        <v>23</v>
      </c>
      <c r="D1281" t="s">
        <v>46</v>
      </c>
      <c r="E1281" t="s">
        <v>43</v>
      </c>
      <c r="F1281" s="9">
        <v>0.12</v>
      </c>
      <c r="G1281" s="10">
        <v>8325</v>
      </c>
      <c r="H1281">
        <v>6.76</v>
      </c>
      <c r="I1281" s="5">
        <f>ROUND(Marketing[[#This Row],[Clicks]]*Marketing[[#This Row],[Conversion_Rate]],0)</f>
        <v>102</v>
      </c>
      <c r="J1281" s="12">
        <f>Marketing[[#This Row],[Campaign_Cost]]/Marketing[[#This Row],[Customers]]</f>
        <v>81.617647058823536</v>
      </c>
      <c r="K1281" t="s">
        <v>19</v>
      </c>
      <c r="L1281" t="s">
        <v>39</v>
      </c>
      <c r="M1281">
        <v>852</v>
      </c>
      <c r="N1281">
        <v>3570</v>
      </c>
      <c r="O1281">
        <v>6</v>
      </c>
      <c r="P1281" t="s">
        <v>44</v>
      </c>
      <c r="Q1281" s="1">
        <v>44381</v>
      </c>
    </row>
    <row r="1282" spans="1:17" x14ac:dyDescent="0.3">
      <c r="A1282" t="s">
        <v>22</v>
      </c>
      <c r="B1282" t="s">
        <v>15</v>
      </c>
      <c r="C1282" t="s">
        <v>52</v>
      </c>
      <c r="D1282" t="s">
        <v>17</v>
      </c>
      <c r="E1282" t="s">
        <v>15</v>
      </c>
      <c r="F1282" s="9">
        <v>7.0000000000000007E-2</v>
      </c>
      <c r="G1282" s="10">
        <v>13432</v>
      </c>
      <c r="H1282">
        <v>3.34</v>
      </c>
      <c r="I1282" s="5">
        <f>ROUND(Marketing[[#This Row],[Clicks]]*Marketing[[#This Row],[Conversion_Rate]],0)</f>
        <v>14</v>
      </c>
      <c r="J1282" s="12">
        <f>Marketing[[#This Row],[Campaign_Cost]]/Marketing[[#This Row],[Customers]]</f>
        <v>959.42857142857144</v>
      </c>
      <c r="K1282" t="s">
        <v>32</v>
      </c>
      <c r="L1282" t="s">
        <v>20</v>
      </c>
      <c r="M1282">
        <v>197</v>
      </c>
      <c r="N1282">
        <v>5963</v>
      </c>
      <c r="O1282">
        <v>7</v>
      </c>
      <c r="P1282" t="s">
        <v>27</v>
      </c>
      <c r="Q1282" s="1">
        <v>44382</v>
      </c>
    </row>
    <row r="1283" spans="1:17" x14ac:dyDescent="0.3">
      <c r="A1283" t="s">
        <v>35</v>
      </c>
      <c r="B1283" t="s">
        <v>15</v>
      </c>
      <c r="C1283" t="s">
        <v>30</v>
      </c>
      <c r="D1283" t="s">
        <v>24</v>
      </c>
      <c r="E1283" t="s">
        <v>48</v>
      </c>
      <c r="F1283" s="9">
        <v>0.03</v>
      </c>
      <c r="G1283" s="10">
        <v>12460</v>
      </c>
      <c r="H1283">
        <v>4.8899999999999997</v>
      </c>
      <c r="I1283" s="5">
        <f>ROUND(Marketing[[#This Row],[Clicks]]*Marketing[[#This Row],[Conversion_Rate]],0)</f>
        <v>16</v>
      </c>
      <c r="J1283" s="12">
        <f>Marketing[[#This Row],[Campaign_Cost]]/Marketing[[#This Row],[Customers]]</f>
        <v>778.75</v>
      </c>
      <c r="K1283" t="s">
        <v>38</v>
      </c>
      <c r="L1283" t="s">
        <v>50</v>
      </c>
      <c r="M1283">
        <v>548</v>
      </c>
      <c r="N1283">
        <v>2500</v>
      </c>
      <c r="O1283">
        <v>9</v>
      </c>
      <c r="P1283" t="s">
        <v>44</v>
      </c>
      <c r="Q1283" s="1">
        <v>44383</v>
      </c>
    </row>
    <row r="1284" spans="1:17" x14ac:dyDescent="0.3">
      <c r="A1284" t="s">
        <v>28</v>
      </c>
      <c r="B1284" t="s">
        <v>45</v>
      </c>
      <c r="C1284" t="s">
        <v>37</v>
      </c>
      <c r="D1284" t="s">
        <v>46</v>
      </c>
      <c r="E1284" t="s">
        <v>15</v>
      </c>
      <c r="F1284" s="9">
        <v>0.11</v>
      </c>
      <c r="G1284" s="10">
        <v>8952</v>
      </c>
      <c r="H1284">
        <v>2.27</v>
      </c>
      <c r="I1284" s="5">
        <f>ROUND(Marketing[[#This Row],[Clicks]]*Marketing[[#This Row],[Conversion_Rate]],0)</f>
        <v>59</v>
      </c>
      <c r="J1284" s="12">
        <f>Marketing[[#This Row],[Campaign_Cost]]/Marketing[[#This Row],[Customers]]</f>
        <v>151.72881355932202</v>
      </c>
      <c r="K1284" t="s">
        <v>19</v>
      </c>
      <c r="L1284" t="s">
        <v>50</v>
      </c>
      <c r="M1284">
        <v>536</v>
      </c>
      <c r="N1284">
        <v>7119</v>
      </c>
      <c r="O1284">
        <v>4</v>
      </c>
      <c r="P1284" t="s">
        <v>44</v>
      </c>
      <c r="Q1284" s="1">
        <v>44384</v>
      </c>
    </row>
    <row r="1285" spans="1:17" x14ac:dyDescent="0.3">
      <c r="A1285" t="s">
        <v>35</v>
      </c>
      <c r="B1285" t="s">
        <v>15</v>
      </c>
      <c r="C1285" t="s">
        <v>30</v>
      </c>
      <c r="D1285" t="s">
        <v>40</v>
      </c>
      <c r="E1285" t="s">
        <v>43</v>
      </c>
      <c r="F1285" s="9">
        <v>0.02</v>
      </c>
      <c r="G1285" s="10">
        <v>10898</v>
      </c>
      <c r="H1285">
        <v>5.21</v>
      </c>
      <c r="I1285" s="5">
        <f>ROUND(Marketing[[#This Row],[Clicks]]*Marketing[[#This Row],[Conversion_Rate]],0)</f>
        <v>16</v>
      </c>
      <c r="J1285" s="12">
        <f>Marketing[[#This Row],[Campaign_Cost]]/Marketing[[#This Row],[Customers]]</f>
        <v>681.125</v>
      </c>
      <c r="K1285" t="s">
        <v>32</v>
      </c>
      <c r="L1285" t="s">
        <v>33</v>
      </c>
      <c r="M1285">
        <v>821</v>
      </c>
      <c r="N1285">
        <v>4209</v>
      </c>
      <c r="O1285">
        <v>3</v>
      </c>
      <c r="P1285" t="s">
        <v>21</v>
      </c>
      <c r="Q1285" s="1">
        <v>44385</v>
      </c>
    </row>
    <row r="1286" spans="1:17" x14ac:dyDescent="0.3">
      <c r="A1286" t="s">
        <v>28</v>
      </c>
      <c r="B1286" t="s">
        <v>15</v>
      </c>
      <c r="C1286" t="s">
        <v>52</v>
      </c>
      <c r="D1286" t="s">
        <v>17</v>
      </c>
      <c r="E1286" t="s">
        <v>18</v>
      </c>
      <c r="F1286" s="9">
        <v>0.14000000000000001</v>
      </c>
      <c r="G1286" s="10">
        <v>10707</v>
      </c>
      <c r="H1286">
        <v>7.04</v>
      </c>
      <c r="I1286" s="5">
        <f>ROUND(Marketing[[#This Row],[Clicks]]*Marketing[[#This Row],[Conversion_Rate]],0)</f>
        <v>36</v>
      </c>
      <c r="J1286" s="12">
        <f>Marketing[[#This Row],[Campaign_Cost]]/Marketing[[#This Row],[Customers]]</f>
        <v>297.41666666666669</v>
      </c>
      <c r="K1286" t="s">
        <v>32</v>
      </c>
      <c r="L1286" t="s">
        <v>33</v>
      </c>
      <c r="M1286">
        <v>254</v>
      </c>
      <c r="N1286">
        <v>7406</v>
      </c>
      <c r="O1286">
        <v>6</v>
      </c>
      <c r="P1286" t="s">
        <v>44</v>
      </c>
      <c r="Q1286" s="1">
        <v>44386</v>
      </c>
    </row>
    <row r="1287" spans="1:17" x14ac:dyDescent="0.3">
      <c r="A1287" t="s">
        <v>14</v>
      </c>
      <c r="B1287" t="s">
        <v>47</v>
      </c>
      <c r="C1287" t="s">
        <v>23</v>
      </c>
      <c r="D1287" t="s">
        <v>40</v>
      </c>
      <c r="E1287" t="s">
        <v>18</v>
      </c>
      <c r="F1287" s="9">
        <v>0.14000000000000001</v>
      </c>
      <c r="G1287" s="10">
        <v>8395</v>
      </c>
      <c r="H1287">
        <v>5.18</v>
      </c>
      <c r="I1287" s="5">
        <f>ROUND(Marketing[[#This Row],[Clicks]]*Marketing[[#This Row],[Conversion_Rate]],0)</f>
        <v>67</v>
      </c>
      <c r="J1287" s="12">
        <f>Marketing[[#This Row],[Campaign_Cost]]/Marketing[[#This Row],[Customers]]</f>
        <v>125.29850746268657</v>
      </c>
      <c r="K1287" t="s">
        <v>38</v>
      </c>
      <c r="L1287" t="s">
        <v>26</v>
      </c>
      <c r="M1287">
        <v>478</v>
      </c>
      <c r="N1287">
        <v>7786</v>
      </c>
      <c r="O1287">
        <v>4</v>
      </c>
      <c r="P1287" t="s">
        <v>42</v>
      </c>
      <c r="Q1287" s="1">
        <v>44387</v>
      </c>
    </row>
    <row r="1288" spans="1:17" x14ac:dyDescent="0.3">
      <c r="A1288" t="s">
        <v>35</v>
      </c>
      <c r="B1288" t="s">
        <v>15</v>
      </c>
      <c r="C1288" t="s">
        <v>23</v>
      </c>
      <c r="D1288" t="s">
        <v>17</v>
      </c>
      <c r="E1288" t="s">
        <v>31</v>
      </c>
      <c r="F1288" s="9">
        <v>0.01</v>
      </c>
      <c r="G1288" s="10">
        <v>10584</v>
      </c>
      <c r="H1288">
        <v>6.12</v>
      </c>
      <c r="I1288" s="5">
        <f>ROUND(Marketing[[#This Row],[Clicks]]*Marketing[[#This Row],[Conversion_Rate]],0)</f>
        <v>6</v>
      </c>
      <c r="J1288" s="12">
        <f>Marketing[[#This Row],[Campaign_Cost]]/Marketing[[#This Row],[Customers]]</f>
        <v>1764</v>
      </c>
      <c r="K1288" t="s">
        <v>51</v>
      </c>
      <c r="L1288" t="s">
        <v>50</v>
      </c>
      <c r="M1288">
        <v>557</v>
      </c>
      <c r="N1288">
        <v>2592</v>
      </c>
      <c r="O1288">
        <v>3</v>
      </c>
      <c r="P1288" t="s">
        <v>21</v>
      </c>
      <c r="Q1288" s="1">
        <v>44388</v>
      </c>
    </row>
    <row r="1289" spans="1:17" x14ac:dyDescent="0.3">
      <c r="A1289" t="s">
        <v>14</v>
      </c>
      <c r="B1289" t="s">
        <v>15</v>
      </c>
      <c r="C1289" t="s">
        <v>37</v>
      </c>
      <c r="D1289" t="s">
        <v>40</v>
      </c>
      <c r="E1289" t="s">
        <v>43</v>
      </c>
      <c r="F1289" s="9">
        <v>0.15</v>
      </c>
      <c r="G1289" s="10">
        <v>7380</v>
      </c>
      <c r="H1289">
        <v>2.06</v>
      </c>
      <c r="I1289" s="5">
        <f>ROUND(Marketing[[#This Row],[Clicks]]*Marketing[[#This Row],[Conversion_Rate]],0)</f>
        <v>25</v>
      </c>
      <c r="J1289" s="12">
        <f>Marketing[[#This Row],[Campaign_Cost]]/Marketing[[#This Row],[Customers]]</f>
        <v>295.2</v>
      </c>
      <c r="K1289" t="s">
        <v>19</v>
      </c>
      <c r="L1289" t="s">
        <v>33</v>
      </c>
      <c r="M1289">
        <v>167</v>
      </c>
      <c r="N1289">
        <v>1664</v>
      </c>
      <c r="O1289">
        <v>1</v>
      </c>
      <c r="P1289" t="s">
        <v>44</v>
      </c>
      <c r="Q1289" s="1">
        <v>44389</v>
      </c>
    </row>
    <row r="1290" spans="1:17" x14ac:dyDescent="0.3">
      <c r="A1290" t="s">
        <v>22</v>
      </c>
      <c r="B1290" t="s">
        <v>36</v>
      </c>
      <c r="C1290" t="s">
        <v>37</v>
      </c>
      <c r="D1290" t="s">
        <v>24</v>
      </c>
      <c r="E1290" t="s">
        <v>43</v>
      </c>
      <c r="F1290" s="9">
        <v>0.1</v>
      </c>
      <c r="G1290" s="10">
        <v>15133</v>
      </c>
      <c r="H1290">
        <v>5.77</v>
      </c>
      <c r="I1290" s="5">
        <f>ROUND(Marketing[[#This Row],[Clicks]]*Marketing[[#This Row],[Conversion_Rate]],0)</f>
        <v>94</v>
      </c>
      <c r="J1290" s="12">
        <f>Marketing[[#This Row],[Campaign_Cost]]/Marketing[[#This Row],[Customers]]</f>
        <v>160.98936170212767</v>
      </c>
      <c r="K1290" t="s">
        <v>51</v>
      </c>
      <c r="L1290" t="s">
        <v>50</v>
      </c>
      <c r="M1290">
        <v>942</v>
      </c>
      <c r="N1290">
        <v>4659</v>
      </c>
      <c r="O1290">
        <v>5</v>
      </c>
      <c r="P1290" t="s">
        <v>21</v>
      </c>
      <c r="Q1290" s="1">
        <v>44390</v>
      </c>
    </row>
    <row r="1291" spans="1:17" x14ac:dyDescent="0.3">
      <c r="A1291" t="s">
        <v>28</v>
      </c>
      <c r="B1291" t="s">
        <v>15</v>
      </c>
      <c r="C1291" t="s">
        <v>52</v>
      </c>
      <c r="D1291" t="s">
        <v>17</v>
      </c>
      <c r="E1291" t="s">
        <v>48</v>
      </c>
      <c r="F1291" s="9">
        <v>0.08</v>
      </c>
      <c r="G1291" s="10">
        <v>5915</v>
      </c>
      <c r="H1291">
        <v>5.93</v>
      </c>
      <c r="I1291" s="5">
        <f>ROUND(Marketing[[#This Row],[Clicks]]*Marketing[[#This Row],[Conversion_Rate]],0)</f>
        <v>40</v>
      </c>
      <c r="J1291" s="12">
        <f>Marketing[[#This Row],[Campaign_Cost]]/Marketing[[#This Row],[Customers]]</f>
        <v>147.875</v>
      </c>
      <c r="K1291" t="s">
        <v>51</v>
      </c>
      <c r="L1291" t="s">
        <v>50</v>
      </c>
      <c r="M1291">
        <v>497</v>
      </c>
      <c r="N1291">
        <v>5947</v>
      </c>
      <c r="O1291">
        <v>3</v>
      </c>
      <c r="P1291" t="s">
        <v>42</v>
      </c>
      <c r="Q1291" s="1">
        <v>44391</v>
      </c>
    </row>
    <row r="1292" spans="1:17" x14ac:dyDescent="0.3">
      <c r="A1292" t="s">
        <v>49</v>
      </c>
      <c r="B1292" t="s">
        <v>29</v>
      </c>
      <c r="C1292" t="s">
        <v>23</v>
      </c>
      <c r="D1292" t="s">
        <v>24</v>
      </c>
      <c r="E1292" t="s">
        <v>15</v>
      </c>
      <c r="F1292" s="9">
        <v>0.04</v>
      </c>
      <c r="G1292" s="10">
        <v>10986</v>
      </c>
      <c r="H1292">
        <v>4.1500000000000004</v>
      </c>
      <c r="I1292" s="5">
        <f>ROUND(Marketing[[#This Row],[Clicks]]*Marketing[[#This Row],[Conversion_Rate]],0)</f>
        <v>14</v>
      </c>
      <c r="J1292" s="12">
        <f>Marketing[[#This Row],[Campaign_Cost]]/Marketing[[#This Row],[Customers]]</f>
        <v>784.71428571428567</v>
      </c>
      <c r="K1292" t="s">
        <v>25</v>
      </c>
      <c r="L1292" t="s">
        <v>39</v>
      </c>
      <c r="M1292">
        <v>341</v>
      </c>
      <c r="N1292">
        <v>9594</v>
      </c>
      <c r="O1292">
        <v>5</v>
      </c>
      <c r="P1292" t="s">
        <v>27</v>
      </c>
      <c r="Q1292" s="1">
        <v>44392</v>
      </c>
    </row>
    <row r="1293" spans="1:17" x14ac:dyDescent="0.3">
      <c r="A1293" t="s">
        <v>35</v>
      </c>
      <c r="B1293" t="s">
        <v>47</v>
      </c>
      <c r="C1293" t="s">
        <v>30</v>
      </c>
      <c r="D1293" t="s">
        <v>46</v>
      </c>
      <c r="E1293" t="s">
        <v>15</v>
      </c>
      <c r="F1293" s="9">
        <v>0.03</v>
      </c>
      <c r="G1293" s="10">
        <v>10887</v>
      </c>
      <c r="H1293">
        <v>5.23</v>
      </c>
      <c r="I1293" s="5">
        <f>ROUND(Marketing[[#This Row],[Clicks]]*Marketing[[#This Row],[Conversion_Rate]],0)</f>
        <v>24</v>
      </c>
      <c r="J1293" s="12">
        <f>Marketing[[#This Row],[Campaign_Cost]]/Marketing[[#This Row],[Customers]]</f>
        <v>453.625</v>
      </c>
      <c r="K1293" t="s">
        <v>51</v>
      </c>
      <c r="L1293" t="s">
        <v>39</v>
      </c>
      <c r="M1293">
        <v>804</v>
      </c>
      <c r="N1293">
        <v>8062</v>
      </c>
      <c r="O1293">
        <v>8</v>
      </c>
      <c r="P1293" t="s">
        <v>21</v>
      </c>
      <c r="Q1293" s="1">
        <v>44393</v>
      </c>
    </row>
    <row r="1294" spans="1:17" x14ac:dyDescent="0.3">
      <c r="A1294" t="s">
        <v>28</v>
      </c>
      <c r="B1294" t="s">
        <v>15</v>
      </c>
      <c r="C1294" t="s">
        <v>37</v>
      </c>
      <c r="D1294" t="s">
        <v>24</v>
      </c>
      <c r="E1294" t="s">
        <v>41</v>
      </c>
      <c r="F1294" s="9">
        <v>0.15</v>
      </c>
      <c r="G1294" s="10">
        <v>5790</v>
      </c>
      <c r="H1294">
        <v>7.21</v>
      </c>
      <c r="I1294" s="5">
        <f>ROUND(Marketing[[#This Row],[Clicks]]*Marketing[[#This Row],[Conversion_Rate]],0)</f>
        <v>86</v>
      </c>
      <c r="J1294" s="12">
        <f>Marketing[[#This Row],[Campaign_Cost]]/Marketing[[#This Row],[Customers]]</f>
        <v>67.325581395348834</v>
      </c>
      <c r="K1294" t="s">
        <v>25</v>
      </c>
      <c r="L1294" t="s">
        <v>39</v>
      </c>
      <c r="M1294">
        <v>573</v>
      </c>
      <c r="N1294">
        <v>6648</v>
      </c>
      <c r="O1294">
        <v>9</v>
      </c>
      <c r="P1294" t="s">
        <v>21</v>
      </c>
      <c r="Q1294" s="1">
        <v>44394</v>
      </c>
    </row>
    <row r="1295" spans="1:17" x14ac:dyDescent="0.3">
      <c r="A1295" t="s">
        <v>14</v>
      </c>
      <c r="B1295" t="s">
        <v>15</v>
      </c>
      <c r="C1295" t="s">
        <v>30</v>
      </c>
      <c r="D1295" t="s">
        <v>46</v>
      </c>
      <c r="E1295" t="s">
        <v>15</v>
      </c>
      <c r="F1295" s="9">
        <v>0.09</v>
      </c>
      <c r="G1295" s="10">
        <v>11754</v>
      </c>
      <c r="H1295">
        <v>4.4400000000000004</v>
      </c>
      <c r="I1295" s="5">
        <f>ROUND(Marketing[[#This Row],[Clicks]]*Marketing[[#This Row],[Conversion_Rate]],0)</f>
        <v>73</v>
      </c>
      <c r="J1295" s="12">
        <f>Marketing[[#This Row],[Campaign_Cost]]/Marketing[[#This Row],[Customers]]</f>
        <v>161.01369863013699</v>
      </c>
      <c r="K1295" t="s">
        <v>19</v>
      </c>
      <c r="L1295" t="s">
        <v>33</v>
      </c>
      <c r="M1295">
        <v>810</v>
      </c>
      <c r="N1295">
        <v>4274</v>
      </c>
      <c r="O1295">
        <v>3</v>
      </c>
      <c r="P1295" t="s">
        <v>44</v>
      </c>
      <c r="Q1295" s="1">
        <v>44395</v>
      </c>
    </row>
    <row r="1296" spans="1:17" x14ac:dyDescent="0.3">
      <c r="A1296" t="s">
        <v>49</v>
      </c>
      <c r="B1296" t="s">
        <v>15</v>
      </c>
      <c r="C1296" t="s">
        <v>52</v>
      </c>
      <c r="D1296" t="s">
        <v>24</v>
      </c>
      <c r="E1296" t="s">
        <v>48</v>
      </c>
      <c r="F1296" s="9">
        <v>0.03</v>
      </c>
      <c r="G1296" s="10">
        <v>5547</v>
      </c>
      <c r="H1296">
        <v>6.94</v>
      </c>
      <c r="I1296" s="5">
        <f>ROUND(Marketing[[#This Row],[Clicks]]*Marketing[[#This Row],[Conversion_Rate]],0)</f>
        <v>13</v>
      </c>
      <c r="J1296" s="12">
        <f>Marketing[[#This Row],[Campaign_Cost]]/Marketing[[#This Row],[Customers]]</f>
        <v>426.69230769230768</v>
      </c>
      <c r="K1296" t="s">
        <v>38</v>
      </c>
      <c r="L1296" t="s">
        <v>50</v>
      </c>
      <c r="M1296">
        <v>418</v>
      </c>
      <c r="N1296">
        <v>2397</v>
      </c>
      <c r="O1296">
        <v>6</v>
      </c>
      <c r="P1296" t="s">
        <v>42</v>
      </c>
      <c r="Q1296" s="1">
        <v>44396</v>
      </c>
    </row>
    <row r="1297" spans="1:17" x14ac:dyDescent="0.3">
      <c r="A1297" t="s">
        <v>14</v>
      </c>
      <c r="B1297" t="s">
        <v>15</v>
      </c>
      <c r="C1297" t="s">
        <v>52</v>
      </c>
      <c r="D1297" t="s">
        <v>17</v>
      </c>
      <c r="E1297" t="s">
        <v>41</v>
      </c>
      <c r="F1297" s="9">
        <v>0.11</v>
      </c>
      <c r="G1297" s="10">
        <v>7649</v>
      </c>
      <c r="H1297">
        <v>7.6</v>
      </c>
      <c r="I1297" s="5">
        <f>ROUND(Marketing[[#This Row],[Clicks]]*Marketing[[#This Row],[Conversion_Rate]],0)</f>
        <v>66</v>
      </c>
      <c r="J1297" s="12">
        <f>Marketing[[#This Row],[Campaign_Cost]]/Marketing[[#This Row],[Customers]]</f>
        <v>115.89393939393939</v>
      </c>
      <c r="K1297" t="s">
        <v>32</v>
      </c>
      <c r="L1297" t="s">
        <v>33</v>
      </c>
      <c r="M1297">
        <v>601</v>
      </c>
      <c r="N1297">
        <v>5735</v>
      </c>
      <c r="O1297">
        <v>6</v>
      </c>
      <c r="P1297" t="s">
        <v>44</v>
      </c>
      <c r="Q1297" s="1">
        <v>44397</v>
      </c>
    </row>
    <row r="1298" spans="1:17" x14ac:dyDescent="0.3">
      <c r="A1298" t="s">
        <v>35</v>
      </c>
      <c r="B1298" t="s">
        <v>29</v>
      </c>
      <c r="C1298" t="s">
        <v>30</v>
      </c>
      <c r="D1298" t="s">
        <v>17</v>
      </c>
      <c r="E1298" t="s">
        <v>41</v>
      </c>
      <c r="F1298" s="9">
        <v>0.15</v>
      </c>
      <c r="G1298" s="10">
        <v>17171</v>
      </c>
      <c r="H1298">
        <v>2.69</v>
      </c>
      <c r="I1298" s="5">
        <f>ROUND(Marketing[[#This Row],[Clicks]]*Marketing[[#This Row],[Conversion_Rate]],0)</f>
        <v>133</v>
      </c>
      <c r="J1298" s="12">
        <f>Marketing[[#This Row],[Campaign_Cost]]/Marketing[[#This Row],[Customers]]</f>
        <v>129.10526315789474</v>
      </c>
      <c r="K1298" t="s">
        <v>19</v>
      </c>
      <c r="L1298" t="s">
        <v>50</v>
      </c>
      <c r="M1298">
        <v>888</v>
      </c>
      <c r="N1298">
        <v>9348</v>
      </c>
      <c r="O1298">
        <v>4</v>
      </c>
      <c r="P1298" t="s">
        <v>42</v>
      </c>
      <c r="Q1298" s="1">
        <v>44398</v>
      </c>
    </row>
    <row r="1299" spans="1:17" x14ac:dyDescent="0.3">
      <c r="A1299" t="s">
        <v>22</v>
      </c>
      <c r="B1299" t="s">
        <v>47</v>
      </c>
      <c r="C1299" t="s">
        <v>30</v>
      </c>
      <c r="D1299" t="s">
        <v>17</v>
      </c>
      <c r="E1299" t="s">
        <v>41</v>
      </c>
      <c r="F1299" s="9">
        <v>0.11</v>
      </c>
      <c r="G1299" s="10">
        <v>12348</v>
      </c>
      <c r="H1299">
        <v>3.54</v>
      </c>
      <c r="I1299" s="5">
        <f>ROUND(Marketing[[#This Row],[Clicks]]*Marketing[[#This Row],[Conversion_Rate]],0)</f>
        <v>67</v>
      </c>
      <c r="J1299" s="12">
        <f>Marketing[[#This Row],[Campaign_Cost]]/Marketing[[#This Row],[Customers]]</f>
        <v>184.29850746268656</v>
      </c>
      <c r="K1299" t="s">
        <v>32</v>
      </c>
      <c r="L1299" t="s">
        <v>26</v>
      </c>
      <c r="M1299">
        <v>608</v>
      </c>
      <c r="N1299">
        <v>7469</v>
      </c>
      <c r="O1299">
        <v>2</v>
      </c>
      <c r="P1299" t="s">
        <v>27</v>
      </c>
      <c r="Q1299" s="1">
        <v>44399</v>
      </c>
    </row>
    <row r="1300" spans="1:17" x14ac:dyDescent="0.3">
      <c r="A1300" t="s">
        <v>35</v>
      </c>
      <c r="B1300" t="s">
        <v>47</v>
      </c>
      <c r="C1300" t="s">
        <v>30</v>
      </c>
      <c r="D1300" t="s">
        <v>40</v>
      </c>
      <c r="E1300" t="s">
        <v>41</v>
      </c>
      <c r="F1300" s="9">
        <v>0.08</v>
      </c>
      <c r="G1300" s="10">
        <v>11913</v>
      </c>
      <c r="H1300">
        <v>7.14</v>
      </c>
      <c r="I1300" s="5">
        <f>ROUND(Marketing[[#This Row],[Clicks]]*Marketing[[#This Row],[Conversion_Rate]],0)</f>
        <v>63</v>
      </c>
      <c r="J1300" s="12">
        <f>Marketing[[#This Row],[Campaign_Cost]]/Marketing[[#This Row],[Customers]]</f>
        <v>189.0952380952381</v>
      </c>
      <c r="K1300" t="s">
        <v>38</v>
      </c>
      <c r="L1300" t="s">
        <v>26</v>
      </c>
      <c r="M1300">
        <v>789</v>
      </c>
      <c r="N1300">
        <v>7249</v>
      </c>
      <c r="O1300">
        <v>8</v>
      </c>
      <c r="P1300" t="s">
        <v>44</v>
      </c>
      <c r="Q1300" s="1">
        <v>44400</v>
      </c>
    </row>
    <row r="1301" spans="1:17" x14ac:dyDescent="0.3">
      <c r="A1301" t="s">
        <v>22</v>
      </c>
      <c r="B1301" t="s">
        <v>15</v>
      </c>
      <c r="C1301" t="s">
        <v>23</v>
      </c>
      <c r="D1301" t="s">
        <v>17</v>
      </c>
      <c r="E1301" t="s">
        <v>43</v>
      </c>
      <c r="F1301" s="9">
        <v>0.14000000000000001</v>
      </c>
      <c r="G1301" s="10">
        <v>6667</v>
      </c>
      <c r="H1301">
        <v>6.29</v>
      </c>
      <c r="I1301" s="5">
        <f>ROUND(Marketing[[#This Row],[Clicks]]*Marketing[[#This Row],[Conversion_Rate]],0)</f>
        <v>107</v>
      </c>
      <c r="J1301" s="12">
        <f>Marketing[[#This Row],[Campaign_Cost]]/Marketing[[#This Row],[Customers]]</f>
        <v>62.308411214953274</v>
      </c>
      <c r="K1301" t="s">
        <v>32</v>
      </c>
      <c r="L1301" t="s">
        <v>50</v>
      </c>
      <c r="M1301">
        <v>762</v>
      </c>
      <c r="N1301">
        <v>5469</v>
      </c>
      <c r="O1301">
        <v>9</v>
      </c>
      <c r="P1301" t="s">
        <v>21</v>
      </c>
      <c r="Q1301" s="1">
        <v>44401</v>
      </c>
    </row>
    <row r="1302" spans="1:17" x14ac:dyDescent="0.3">
      <c r="A1302" t="s">
        <v>14</v>
      </c>
      <c r="B1302" t="s">
        <v>15</v>
      </c>
      <c r="C1302" t="s">
        <v>37</v>
      </c>
      <c r="D1302" t="s">
        <v>17</v>
      </c>
      <c r="E1302" t="s">
        <v>43</v>
      </c>
      <c r="F1302" s="9">
        <v>0.14000000000000001</v>
      </c>
      <c r="G1302" s="10">
        <v>14660</v>
      </c>
      <c r="H1302">
        <v>4.0599999999999996</v>
      </c>
      <c r="I1302" s="5">
        <f>ROUND(Marketing[[#This Row],[Clicks]]*Marketing[[#This Row],[Conversion_Rate]],0)</f>
        <v>38</v>
      </c>
      <c r="J1302" s="12">
        <f>Marketing[[#This Row],[Campaign_Cost]]/Marketing[[#This Row],[Customers]]</f>
        <v>385.78947368421052</v>
      </c>
      <c r="K1302" t="s">
        <v>38</v>
      </c>
      <c r="L1302" t="s">
        <v>50</v>
      </c>
      <c r="M1302">
        <v>273</v>
      </c>
      <c r="N1302">
        <v>4775</v>
      </c>
      <c r="O1302">
        <v>7</v>
      </c>
      <c r="P1302" t="s">
        <v>44</v>
      </c>
      <c r="Q1302" s="1">
        <v>44402</v>
      </c>
    </row>
    <row r="1303" spans="1:17" x14ac:dyDescent="0.3">
      <c r="A1303" t="s">
        <v>14</v>
      </c>
      <c r="B1303" t="s">
        <v>47</v>
      </c>
      <c r="C1303" t="s">
        <v>37</v>
      </c>
      <c r="D1303" t="s">
        <v>24</v>
      </c>
      <c r="E1303" t="s">
        <v>15</v>
      </c>
      <c r="F1303" s="9">
        <v>0.12</v>
      </c>
      <c r="G1303" s="10">
        <v>8139</v>
      </c>
      <c r="H1303">
        <v>2.04</v>
      </c>
      <c r="I1303" s="5">
        <f>ROUND(Marketing[[#This Row],[Clicks]]*Marketing[[#This Row],[Conversion_Rate]],0)</f>
        <v>108</v>
      </c>
      <c r="J1303" s="12">
        <f>Marketing[[#This Row],[Campaign_Cost]]/Marketing[[#This Row],[Customers]]</f>
        <v>75.361111111111114</v>
      </c>
      <c r="K1303" t="s">
        <v>38</v>
      </c>
      <c r="L1303" t="s">
        <v>39</v>
      </c>
      <c r="M1303">
        <v>899</v>
      </c>
      <c r="N1303">
        <v>6510</v>
      </c>
      <c r="O1303">
        <v>5</v>
      </c>
      <c r="P1303" t="s">
        <v>34</v>
      </c>
      <c r="Q1303" s="1">
        <v>44403</v>
      </c>
    </row>
    <row r="1304" spans="1:17" x14ac:dyDescent="0.3">
      <c r="A1304" t="s">
        <v>22</v>
      </c>
      <c r="B1304" t="s">
        <v>45</v>
      </c>
      <c r="C1304" t="s">
        <v>23</v>
      </c>
      <c r="D1304" t="s">
        <v>46</v>
      </c>
      <c r="E1304" t="s">
        <v>41</v>
      </c>
      <c r="F1304" s="9">
        <v>0.12</v>
      </c>
      <c r="G1304" s="10">
        <v>14458</v>
      </c>
      <c r="H1304">
        <v>6.2</v>
      </c>
      <c r="I1304" s="5">
        <f>ROUND(Marketing[[#This Row],[Clicks]]*Marketing[[#This Row],[Conversion_Rate]],0)</f>
        <v>90</v>
      </c>
      <c r="J1304" s="12">
        <f>Marketing[[#This Row],[Campaign_Cost]]/Marketing[[#This Row],[Customers]]</f>
        <v>160.64444444444445</v>
      </c>
      <c r="K1304" t="s">
        <v>38</v>
      </c>
      <c r="L1304" t="s">
        <v>50</v>
      </c>
      <c r="M1304">
        <v>747</v>
      </c>
      <c r="N1304">
        <v>3517</v>
      </c>
      <c r="O1304">
        <v>9</v>
      </c>
      <c r="P1304" t="s">
        <v>34</v>
      </c>
      <c r="Q1304" s="1">
        <v>44404</v>
      </c>
    </row>
    <row r="1305" spans="1:17" x14ac:dyDescent="0.3">
      <c r="A1305" t="s">
        <v>49</v>
      </c>
      <c r="B1305" t="s">
        <v>29</v>
      </c>
      <c r="C1305" t="s">
        <v>37</v>
      </c>
      <c r="D1305" t="s">
        <v>24</v>
      </c>
      <c r="E1305" t="s">
        <v>15</v>
      </c>
      <c r="F1305" s="9">
        <v>0.08</v>
      </c>
      <c r="G1305" s="10">
        <v>12913</v>
      </c>
      <c r="H1305">
        <v>6.38</v>
      </c>
      <c r="I1305" s="5">
        <f>ROUND(Marketing[[#This Row],[Clicks]]*Marketing[[#This Row],[Conversion_Rate]],0)</f>
        <v>22</v>
      </c>
      <c r="J1305" s="12">
        <f>Marketing[[#This Row],[Campaign_Cost]]/Marketing[[#This Row],[Customers]]</f>
        <v>586.9545454545455</v>
      </c>
      <c r="K1305" t="s">
        <v>38</v>
      </c>
      <c r="L1305" t="s">
        <v>39</v>
      </c>
      <c r="M1305">
        <v>270</v>
      </c>
      <c r="N1305">
        <v>7095</v>
      </c>
      <c r="O1305">
        <v>6</v>
      </c>
      <c r="P1305" t="s">
        <v>34</v>
      </c>
      <c r="Q1305" s="1">
        <v>44405</v>
      </c>
    </row>
    <row r="1306" spans="1:17" x14ac:dyDescent="0.3">
      <c r="A1306" t="s">
        <v>49</v>
      </c>
      <c r="B1306" t="s">
        <v>15</v>
      </c>
      <c r="C1306" t="s">
        <v>52</v>
      </c>
      <c r="D1306" t="s">
        <v>17</v>
      </c>
      <c r="E1306" t="s">
        <v>15</v>
      </c>
      <c r="F1306" s="9">
        <v>0.03</v>
      </c>
      <c r="G1306" s="10">
        <v>5381</v>
      </c>
      <c r="H1306">
        <v>5.48</v>
      </c>
      <c r="I1306" s="5">
        <f>ROUND(Marketing[[#This Row],[Clicks]]*Marketing[[#This Row],[Conversion_Rate]],0)</f>
        <v>10</v>
      </c>
      <c r="J1306" s="12">
        <f>Marketing[[#This Row],[Campaign_Cost]]/Marketing[[#This Row],[Customers]]</f>
        <v>538.1</v>
      </c>
      <c r="K1306" t="s">
        <v>25</v>
      </c>
      <c r="L1306" t="s">
        <v>39</v>
      </c>
      <c r="M1306">
        <v>321</v>
      </c>
      <c r="N1306">
        <v>2376</v>
      </c>
      <c r="O1306">
        <v>8</v>
      </c>
      <c r="P1306" t="s">
        <v>42</v>
      </c>
      <c r="Q1306" s="1">
        <v>44406</v>
      </c>
    </row>
    <row r="1307" spans="1:17" x14ac:dyDescent="0.3">
      <c r="A1307" t="s">
        <v>14</v>
      </c>
      <c r="B1307" t="s">
        <v>36</v>
      </c>
      <c r="C1307" t="s">
        <v>23</v>
      </c>
      <c r="D1307" t="s">
        <v>17</v>
      </c>
      <c r="E1307" t="s">
        <v>48</v>
      </c>
      <c r="F1307" s="9">
        <v>0.12</v>
      </c>
      <c r="G1307" s="10">
        <v>8149</v>
      </c>
      <c r="H1307">
        <v>7.58</v>
      </c>
      <c r="I1307" s="5">
        <f>ROUND(Marketing[[#This Row],[Clicks]]*Marketing[[#This Row],[Conversion_Rate]],0)</f>
        <v>101</v>
      </c>
      <c r="J1307" s="12">
        <f>Marketing[[#This Row],[Campaign_Cost]]/Marketing[[#This Row],[Customers]]</f>
        <v>80.683168316831683</v>
      </c>
      <c r="K1307" t="s">
        <v>25</v>
      </c>
      <c r="L1307" t="s">
        <v>39</v>
      </c>
      <c r="M1307">
        <v>843</v>
      </c>
      <c r="N1307">
        <v>2541</v>
      </c>
      <c r="O1307">
        <v>6</v>
      </c>
      <c r="P1307" t="s">
        <v>44</v>
      </c>
      <c r="Q1307" s="1">
        <v>44407</v>
      </c>
    </row>
    <row r="1308" spans="1:17" x14ac:dyDescent="0.3">
      <c r="A1308" t="s">
        <v>49</v>
      </c>
      <c r="B1308" t="s">
        <v>45</v>
      </c>
      <c r="C1308" t="s">
        <v>52</v>
      </c>
      <c r="D1308" t="s">
        <v>46</v>
      </c>
      <c r="E1308" t="s">
        <v>15</v>
      </c>
      <c r="F1308" s="9">
        <v>0.14000000000000001</v>
      </c>
      <c r="G1308" s="10">
        <v>19289</v>
      </c>
      <c r="H1308">
        <v>3.07</v>
      </c>
      <c r="I1308" s="5">
        <f>ROUND(Marketing[[#This Row],[Clicks]]*Marketing[[#This Row],[Conversion_Rate]],0)</f>
        <v>131</v>
      </c>
      <c r="J1308" s="12">
        <f>Marketing[[#This Row],[Campaign_Cost]]/Marketing[[#This Row],[Customers]]</f>
        <v>147.24427480916032</v>
      </c>
      <c r="K1308" t="s">
        <v>51</v>
      </c>
      <c r="L1308" t="s">
        <v>39</v>
      </c>
      <c r="M1308">
        <v>934</v>
      </c>
      <c r="N1308">
        <v>1129</v>
      </c>
      <c r="O1308">
        <v>7</v>
      </c>
      <c r="P1308" t="s">
        <v>34</v>
      </c>
      <c r="Q1308" s="1">
        <v>44408</v>
      </c>
    </row>
    <row r="1309" spans="1:17" x14ac:dyDescent="0.3">
      <c r="A1309" t="s">
        <v>22</v>
      </c>
      <c r="B1309" t="s">
        <v>29</v>
      </c>
      <c r="C1309" t="s">
        <v>30</v>
      </c>
      <c r="D1309" t="s">
        <v>17</v>
      </c>
      <c r="E1309" t="s">
        <v>41</v>
      </c>
      <c r="F1309" s="9">
        <v>0.11</v>
      </c>
      <c r="G1309" s="10">
        <v>8735</v>
      </c>
      <c r="H1309">
        <v>5.2</v>
      </c>
      <c r="I1309" s="5">
        <f>ROUND(Marketing[[#This Row],[Clicks]]*Marketing[[#This Row],[Conversion_Rate]],0)</f>
        <v>49</v>
      </c>
      <c r="J1309" s="12">
        <f>Marketing[[#This Row],[Campaign_Cost]]/Marketing[[#This Row],[Customers]]</f>
        <v>178.26530612244898</v>
      </c>
      <c r="K1309" t="s">
        <v>38</v>
      </c>
      <c r="L1309" t="s">
        <v>20</v>
      </c>
      <c r="M1309">
        <v>447</v>
      </c>
      <c r="N1309">
        <v>9463</v>
      </c>
      <c r="O1309">
        <v>2</v>
      </c>
      <c r="P1309" t="s">
        <v>27</v>
      </c>
      <c r="Q1309" s="1">
        <v>44409</v>
      </c>
    </row>
    <row r="1310" spans="1:17" x14ac:dyDescent="0.3">
      <c r="A1310" t="s">
        <v>14</v>
      </c>
      <c r="B1310" t="s">
        <v>45</v>
      </c>
      <c r="C1310" t="s">
        <v>52</v>
      </c>
      <c r="D1310" t="s">
        <v>46</v>
      </c>
      <c r="E1310" t="s">
        <v>41</v>
      </c>
      <c r="F1310" s="9">
        <v>0.05</v>
      </c>
      <c r="G1310" s="10">
        <v>13284</v>
      </c>
      <c r="H1310">
        <v>6.35</v>
      </c>
      <c r="I1310" s="5">
        <f>ROUND(Marketing[[#This Row],[Clicks]]*Marketing[[#This Row],[Conversion_Rate]],0)</f>
        <v>46</v>
      </c>
      <c r="J1310" s="12">
        <f>Marketing[[#This Row],[Campaign_Cost]]/Marketing[[#This Row],[Customers]]</f>
        <v>288.78260869565219</v>
      </c>
      <c r="K1310" t="s">
        <v>51</v>
      </c>
      <c r="L1310" t="s">
        <v>39</v>
      </c>
      <c r="M1310">
        <v>925</v>
      </c>
      <c r="N1310">
        <v>5345</v>
      </c>
      <c r="O1310">
        <v>5</v>
      </c>
      <c r="P1310" t="s">
        <v>44</v>
      </c>
      <c r="Q1310" s="1">
        <v>44410</v>
      </c>
    </row>
    <row r="1311" spans="1:17" x14ac:dyDescent="0.3">
      <c r="A1311" t="s">
        <v>14</v>
      </c>
      <c r="B1311" t="s">
        <v>36</v>
      </c>
      <c r="C1311" t="s">
        <v>16</v>
      </c>
      <c r="D1311" t="s">
        <v>40</v>
      </c>
      <c r="E1311" t="s">
        <v>41</v>
      </c>
      <c r="F1311" s="9">
        <v>0.14000000000000001</v>
      </c>
      <c r="G1311" s="10">
        <v>17183</v>
      </c>
      <c r="H1311">
        <v>5.8</v>
      </c>
      <c r="I1311" s="5">
        <f>ROUND(Marketing[[#This Row],[Clicks]]*Marketing[[#This Row],[Conversion_Rate]],0)</f>
        <v>128</v>
      </c>
      <c r="J1311" s="12">
        <f>Marketing[[#This Row],[Campaign_Cost]]/Marketing[[#This Row],[Customers]]</f>
        <v>134.2421875</v>
      </c>
      <c r="K1311" t="s">
        <v>25</v>
      </c>
      <c r="L1311" t="s">
        <v>50</v>
      </c>
      <c r="M1311">
        <v>917</v>
      </c>
      <c r="N1311">
        <v>6758</v>
      </c>
      <c r="O1311">
        <v>7</v>
      </c>
      <c r="P1311" t="s">
        <v>44</v>
      </c>
      <c r="Q1311" s="1">
        <v>44411</v>
      </c>
    </row>
    <row r="1312" spans="1:17" x14ac:dyDescent="0.3">
      <c r="A1312" t="s">
        <v>49</v>
      </c>
      <c r="B1312" t="s">
        <v>47</v>
      </c>
      <c r="C1312" t="s">
        <v>52</v>
      </c>
      <c r="D1312" t="s">
        <v>46</v>
      </c>
      <c r="E1312" t="s">
        <v>18</v>
      </c>
      <c r="F1312" s="9">
        <v>7.0000000000000007E-2</v>
      </c>
      <c r="G1312" s="10">
        <v>7586</v>
      </c>
      <c r="H1312">
        <v>7.9</v>
      </c>
      <c r="I1312" s="5">
        <f>ROUND(Marketing[[#This Row],[Clicks]]*Marketing[[#This Row],[Conversion_Rate]],0)</f>
        <v>47</v>
      </c>
      <c r="J1312" s="12">
        <f>Marketing[[#This Row],[Campaign_Cost]]/Marketing[[#This Row],[Customers]]</f>
        <v>161.40425531914894</v>
      </c>
      <c r="K1312" t="s">
        <v>51</v>
      </c>
      <c r="L1312" t="s">
        <v>33</v>
      </c>
      <c r="M1312">
        <v>670</v>
      </c>
      <c r="N1312">
        <v>9138</v>
      </c>
      <c r="O1312">
        <v>1</v>
      </c>
      <c r="P1312" t="s">
        <v>27</v>
      </c>
      <c r="Q1312" s="1">
        <v>44412</v>
      </c>
    </row>
    <row r="1313" spans="1:17" x14ac:dyDescent="0.3">
      <c r="A1313" t="s">
        <v>35</v>
      </c>
      <c r="B1313" t="s">
        <v>47</v>
      </c>
      <c r="C1313" t="s">
        <v>30</v>
      </c>
      <c r="D1313" t="s">
        <v>24</v>
      </c>
      <c r="E1313" t="s">
        <v>41</v>
      </c>
      <c r="F1313" s="9">
        <v>0.14000000000000001</v>
      </c>
      <c r="G1313" s="10">
        <v>15513</v>
      </c>
      <c r="H1313">
        <v>6.15</v>
      </c>
      <c r="I1313" s="5">
        <f>ROUND(Marketing[[#This Row],[Clicks]]*Marketing[[#This Row],[Conversion_Rate]],0)</f>
        <v>44</v>
      </c>
      <c r="J1313" s="12">
        <f>Marketing[[#This Row],[Campaign_Cost]]/Marketing[[#This Row],[Customers]]</f>
        <v>352.56818181818181</v>
      </c>
      <c r="K1313" t="s">
        <v>38</v>
      </c>
      <c r="L1313" t="s">
        <v>26</v>
      </c>
      <c r="M1313">
        <v>315</v>
      </c>
      <c r="N1313">
        <v>8368</v>
      </c>
      <c r="O1313">
        <v>6</v>
      </c>
      <c r="P1313" t="s">
        <v>27</v>
      </c>
      <c r="Q1313" s="1">
        <v>44413</v>
      </c>
    </row>
    <row r="1314" spans="1:17" x14ac:dyDescent="0.3">
      <c r="A1314" t="s">
        <v>22</v>
      </c>
      <c r="B1314" t="s">
        <v>29</v>
      </c>
      <c r="C1314" t="s">
        <v>30</v>
      </c>
      <c r="D1314" t="s">
        <v>46</v>
      </c>
      <c r="E1314" t="s">
        <v>43</v>
      </c>
      <c r="F1314" s="9">
        <v>0.06</v>
      </c>
      <c r="G1314" s="10">
        <v>16345</v>
      </c>
      <c r="H1314">
        <v>2.97</v>
      </c>
      <c r="I1314" s="5">
        <f>ROUND(Marketing[[#This Row],[Clicks]]*Marketing[[#This Row],[Conversion_Rate]],0)</f>
        <v>20</v>
      </c>
      <c r="J1314" s="12">
        <f>Marketing[[#This Row],[Campaign_Cost]]/Marketing[[#This Row],[Customers]]</f>
        <v>817.25</v>
      </c>
      <c r="K1314" t="s">
        <v>25</v>
      </c>
      <c r="L1314" t="s">
        <v>20</v>
      </c>
      <c r="M1314">
        <v>341</v>
      </c>
      <c r="N1314">
        <v>9981</v>
      </c>
      <c r="O1314">
        <v>10</v>
      </c>
      <c r="P1314" t="s">
        <v>21</v>
      </c>
      <c r="Q1314" s="1">
        <v>44414</v>
      </c>
    </row>
    <row r="1315" spans="1:17" x14ac:dyDescent="0.3">
      <c r="A1315" t="s">
        <v>14</v>
      </c>
      <c r="B1315" t="s">
        <v>45</v>
      </c>
      <c r="C1315" t="s">
        <v>16</v>
      </c>
      <c r="D1315" t="s">
        <v>40</v>
      </c>
      <c r="E1315" t="s">
        <v>48</v>
      </c>
      <c r="F1315" s="9">
        <v>7.0000000000000007E-2</v>
      </c>
      <c r="G1315" s="10">
        <v>18485</v>
      </c>
      <c r="H1315">
        <v>5.16</v>
      </c>
      <c r="I1315" s="5">
        <f>ROUND(Marketing[[#This Row],[Clicks]]*Marketing[[#This Row],[Conversion_Rate]],0)</f>
        <v>61</v>
      </c>
      <c r="J1315" s="12">
        <f>Marketing[[#This Row],[Campaign_Cost]]/Marketing[[#This Row],[Customers]]</f>
        <v>303.03278688524591</v>
      </c>
      <c r="K1315" t="s">
        <v>38</v>
      </c>
      <c r="L1315" t="s">
        <v>33</v>
      </c>
      <c r="M1315">
        <v>867</v>
      </c>
      <c r="N1315">
        <v>4034</v>
      </c>
      <c r="O1315">
        <v>7</v>
      </c>
      <c r="P1315" t="s">
        <v>42</v>
      </c>
      <c r="Q1315" s="1">
        <v>44415</v>
      </c>
    </row>
    <row r="1316" spans="1:17" x14ac:dyDescent="0.3">
      <c r="A1316" t="s">
        <v>49</v>
      </c>
      <c r="B1316" t="s">
        <v>47</v>
      </c>
      <c r="C1316" t="s">
        <v>23</v>
      </c>
      <c r="D1316" t="s">
        <v>40</v>
      </c>
      <c r="E1316" t="s">
        <v>48</v>
      </c>
      <c r="F1316" s="9">
        <v>0.11</v>
      </c>
      <c r="G1316" s="10">
        <v>8617</v>
      </c>
      <c r="H1316">
        <v>3.34</v>
      </c>
      <c r="I1316" s="5">
        <f>ROUND(Marketing[[#This Row],[Clicks]]*Marketing[[#This Row],[Conversion_Rate]],0)</f>
        <v>73</v>
      </c>
      <c r="J1316" s="12">
        <f>Marketing[[#This Row],[Campaign_Cost]]/Marketing[[#This Row],[Customers]]</f>
        <v>118.04109589041096</v>
      </c>
      <c r="K1316" t="s">
        <v>51</v>
      </c>
      <c r="L1316" t="s">
        <v>50</v>
      </c>
      <c r="M1316">
        <v>665</v>
      </c>
      <c r="N1316">
        <v>5374</v>
      </c>
      <c r="O1316">
        <v>2</v>
      </c>
      <c r="P1316" t="s">
        <v>21</v>
      </c>
      <c r="Q1316" s="1">
        <v>44416</v>
      </c>
    </row>
    <row r="1317" spans="1:17" x14ac:dyDescent="0.3">
      <c r="A1317" t="s">
        <v>35</v>
      </c>
      <c r="B1317" t="s">
        <v>45</v>
      </c>
      <c r="C1317" t="s">
        <v>52</v>
      </c>
      <c r="D1317" t="s">
        <v>24</v>
      </c>
      <c r="E1317" t="s">
        <v>41</v>
      </c>
      <c r="F1317" s="9">
        <v>0.13</v>
      </c>
      <c r="G1317" s="10">
        <v>19022</v>
      </c>
      <c r="H1317">
        <v>2.0699999999999998</v>
      </c>
      <c r="I1317" s="5">
        <f>ROUND(Marketing[[#This Row],[Clicks]]*Marketing[[#This Row],[Conversion_Rate]],0)</f>
        <v>77</v>
      </c>
      <c r="J1317" s="12">
        <f>Marketing[[#This Row],[Campaign_Cost]]/Marketing[[#This Row],[Customers]]</f>
        <v>247.03896103896105</v>
      </c>
      <c r="K1317" t="s">
        <v>38</v>
      </c>
      <c r="L1317" t="s">
        <v>26</v>
      </c>
      <c r="M1317">
        <v>590</v>
      </c>
      <c r="N1317">
        <v>1976</v>
      </c>
      <c r="O1317">
        <v>8</v>
      </c>
      <c r="P1317" t="s">
        <v>27</v>
      </c>
      <c r="Q1317" s="1">
        <v>44417</v>
      </c>
    </row>
    <row r="1318" spans="1:17" x14ac:dyDescent="0.3">
      <c r="A1318" t="s">
        <v>35</v>
      </c>
      <c r="B1318" t="s">
        <v>47</v>
      </c>
      <c r="C1318" t="s">
        <v>52</v>
      </c>
      <c r="D1318" t="s">
        <v>24</v>
      </c>
      <c r="E1318" t="s">
        <v>31</v>
      </c>
      <c r="F1318" s="9">
        <v>7.0000000000000007E-2</v>
      </c>
      <c r="G1318" s="10">
        <v>5969</v>
      </c>
      <c r="H1318">
        <v>7.96</v>
      </c>
      <c r="I1318" s="5">
        <f>ROUND(Marketing[[#This Row],[Clicks]]*Marketing[[#This Row],[Conversion_Rate]],0)</f>
        <v>44</v>
      </c>
      <c r="J1318" s="12">
        <f>Marketing[[#This Row],[Campaign_Cost]]/Marketing[[#This Row],[Customers]]</f>
        <v>135.65909090909091</v>
      </c>
      <c r="K1318" t="s">
        <v>32</v>
      </c>
      <c r="L1318" t="s">
        <v>50</v>
      </c>
      <c r="M1318">
        <v>631</v>
      </c>
      <c r="N1318">
        <v>3370</v>
      </c>
      <c r="O1318">
        <v>8</v>
      </c>
      <c r="P1318" t="s">
        <v>21</v>
      </c>
      <c r="Q1318" s="1">
        <v>44418</v>
      </c>
    </row>
    <row r="1319" spans="1:17" x14ac:dyDescent="0.3">
      <c r="A1319" t="s">
        <v>49</v>
      </c>
      <c r="B1319" t="s">
        <v>15</v>
      </c>
      <c r="C1319" t="s">
        <v>16</v>
      </c>
      <c r="D1319" t="s">
        <v>46</v>
      </c>
      <c r="E1319" t="s">
        <v>41</v>
      </c>
      <c r="F1319" s="9">
        <v>0.02</v>
      </c>
      <c r="G1319" s="10">
        <v>10776</v>
      </c>
      <c r="H1319">
        <v>7.22</v>
      </c>
      <c r="I1319" s="5">
        <f>ROUND(Marketing[[#This Row],[Clicks]]*Marketing[[#This Row],[Conversion_Rate]],0)</f>
        <v>15</v>
      </c>
      <c r="J1319" s="12">
        <f>Marketing[[#This Row],[Campaign_Cost]]/Marketing[[#This Row],[Customers]]</f>
        <v>718.4</v>
      </c>
      <c r="K1319" t="s">
        <v>38</v>
      </c>
      <c r="L1319" t="s">
        <v>26</v>
      </c>
      <c r="M1319">
        <v>734</v>
      </c>
      <c r="N1319">
        <v>9643</v>
      </c>
      <c r="O1319">
        <v>3</v>
      </c>
      <c r="P1319" t="s">
        <v>42</v>
      </c>
      <c r="Q1319" s="1">
        <v>44419</v>
      </c>
    </row>
    <row r="1320" spans="1:17" x14ac:dyDescent="0.3">
      <c r="A1320" t="s">
        <v>22</v>
      </c>
      <c r="B1320" t="s">
        <v>29</v>
      </c>
      <c r="C1320" t="s">
        <v>52</v>
      </c>
      <c r="D1320" t="s">
        <v>40</v>
      </c>
      <c r="E1320" t="s">
        <v>41</v>
      </c>
      <c r="F1320" s="9">
        <v>0.11</v>
      </c>
      <c r="G1320" s="10">
        <v>15607</v>
      </c>
      <c r="H1320">
        <v>7.84</v>
      </c>
      <c r="I1320" s="5">
        <f>ROUND(Marketing[[#This Row],[Clicks]]*Marketing[[#This Row],[Conversion_Rate]],0)</f>
        <v>103</v>
      </c>
      <c r="J1320" s="12">
        <f>Marketing[[#This Row],[Campaign_Cost]]/Marketing[[#This Row],[Customers]]</f>
        <v>151.52427184466021</v>
      </c>
      <c r="K1320" t="s">
        <v>51</v>
      </c>
      <c r="L1320" t="s">
        <v>26</v>
      </c>
      <c r="M1320">
        <v>934</v>
      </c>
      <c r="N1320">
        <v>5880</v>
      </c>
      <c r="O1320">
        <v>2</v>
      </c>
      <c r="P1320" t="s">
        <v>21</v>
      </c>
      <c r="Q1320" s="1">
        <v>44420</v>
      </c>
    </row>
    <row r="1321" spans="1:17" x14ac:dyDescent="0.3">
      <c r="A1321" t="s">
        <v>35</v>
      </c>
      <c r="B1321" t="s">
        <v>29</v>
      </c>
      <c r="C1321" t="s">
        <v>52</v>
      </c>
      <c r="D1321" t="s">
        <v>17</v>
      </c>
      <c r="E1321" t="s">
        <v>31</v>
      </c>
      <c r="F1321" s="9">
        <v>0.01</v>
      </c>
      <c r="G1321" s="10">
        <v>15219</v>
      </c>
      <c r="H1321">
        <v>4.62</v>
      </c>
      <c r="I1321" s="5">
        <f>ROUND(Marketing[[#This Row],[Clicks]]*Marketing[[#This Row],[Conversion_Rate]],0)</f>
        <v>3</v>
      </c>
      <c r="J1321" s="12">
        <f>Marketing[[#This Row],[Campaign_Cost]]/Marketing[[#This Row],[Customers]]</f>
        <v>5073</v>
      </c>
      <c r="K1321" t="s">
        <v>51</v>
      </c>
      <c r="L1321" t="s">
        <v>33</v>
      </c>
      <c r="M1321">
        <v>271</v>
      </c>
      <c r="N1321">
        <v>6601</v>
      </c>
      <c r="O1321">
        <v>1</v>
      </c>
      <c r="P1321" t="s">
        <v>21</v>
      </c>
      <c r="Q1321" s="1">
        <v>44421</v>
      </c>
    </row>
    <row r="1322" spans="1:17" x14ac:dyDescent="0.3">
      <c r="A1322" t="s">
        <v>28</v>
      </c>
      <c r="B1322" t="s">
        <v>15</v>
      </c>
      <c r="C1322" t="s">
        <v>16</v>
      </c>
      <c r="D1322" t="s">
        <v>40</v>
      </c>
      <c r="E1322" t="s">
        <v>15</v>
      </c>
      <c r="F1322" s="9">
        <v>0.14000000000000001</v>
      </c>
      <c r="G1322" s="10">
        <v>10080</v>
      </c>
      <c r="H1322">
        <v>6.22</v>
      </c>
      <c r="I1322" s="5">
        <f>ROUND(Marketing[[#This Row],[Clicks]]*Marketing[[#This Row],[Conversion_Rate]],0)</f>
        <v>98</v>
      </c>
      <c r="J1322" s="12">
        <f>Marketing[[#This Row],[Campaign_Cost]]/Marketing[[#This Row],[Customers]]</f>
        <v>102.85714285714286</v>
      </c>
      <c r="K1322" t="s">
        <v>25</v>
      </c>
      <c r="L1322" t="s">
        <v>50</v>
      </c>
      <c r="M1322">
        <v>697</v>
      </c>
      <c r="N1322">
        <v>3221</v>
      </c>
      <c r="O1322">
        <v>4</v>
      </c>
      <c r="P1322" t="s">
        <v>27</v>
      </c>
      <c r="Q1322" s="1">
        <v>44422</v>
      </c>
    </row>
    <row r="1323" spans="1:17" x14ac:dyDescent="0.3">
      <c r="A1323" t="s">
        <v>28</v>
      </c>
      <c r="B1323" t="s">
        <v>29</v>
      </c>
      <c r="C1323" t="s">
        <v>23</v>
      </c>
      <c r="D1323" t="s">
        <v>24</v>
      </c>
      <c r="E1323" t="s">
        <v>15</v>
      </c>
      <c r="F1323" s="9">
        <v>0.05</v>
      </c>
      <c r="G1323" s="10">
        <v>18114</v>
      </c>
      <c r="H1323">
        <v>7.46</v>
      </c>
      <c r="I1323" s="5">
        <f>ROUND(Marketing[[#This Row],[Clicks]]*Marketing[[#This Row],[Conversion_Rate]],0)</f>
        <v>34</v>
      </c>
      <c r="J1323" s="12">
        <f>Marketing[[#This Row],[Campaign_Cost]]/Marketing[[#This Row],[Customers]]</f>
        <v>532.76470588235293</v>
      </c>
      <c r="K1323" t="s">
        <v>19</v>
      </c>
      <c r="L1323" t="s">
        <v>20</v>
      </c>
      <c r="M1323">
        <v>670</v>
      </c>
      <c r="N1323">
        <v>1439</v>
      </c>
      <c r="O1323">
        <v>4</v>
      </c>
      <c r="P1323" t="s">
        <v>42</v>
      </c>
      <c r="Q1323" s="1">
        <v>44423</v>
      </c>
    </row>
    <row r="1324" spans="1:17" x14ac:dyDescent="0.3">
      <c r="A1324" t="s">
        <v>35</v>
      </c>
      <c r="B1324" t="s">
        <v>36</v>
      </c>
      <c r="C1324" t="s">
        <v>23</v>
      </c>
      <c r="D1324" t="s">
        <v>40</v>
      </c>
      <c r="E1324" t="s">
        <v>48</v>
      </c>
      <c r="F1324" s="9">
        <v>0.14000000000000001</v>
      </c>
      <c r="G1324" s="10">
        <v>9058</v>
      </c>
      <c r="H1324">
        <v>5.67</v>
      </c>
      <c r="I1324" s="5">
        <f>ROUND(Marketing[[#This Row],[Clicks]]*Marketing[[#This Row],[Conversion_Rate]],0)</f>
        <v>72</v>
      </c>
      <c r="J1324" s="12">
        <f>Marketing[[#This Row],[Campaign_Cost]]/Marketing[[#This Row],[Customers]]</f>
        <v>125.80555555555556</v>
      </c>
      <c r="K1324" t="s">
        <v>38</v>
      </c>
      <c r="L1324" t="s">
        <v>33</v>
      </c>
      <c r="M1324">
        <v>514</v>
      </c>
      <c r="N1324">
        <v>1551</v>
      </c>
      <c r="O1324">
        <v>6</v>
      </c>
      <c r="P1324" t="s">
        <v>42</v>
      </c>
      <c r="Q1324" s="1">
        <v>44424</v>
      </c>
    </row>
    <row r="1325" spans="1:17" x14ac:dyDescent="0.3">
      <c r="A1325" t="s">
        <v>22</v>
      </c>
      <c r="B1325" t="s">
        <v>47</v>
      </c>
      <c r="C1325" t="s">
        <v>23</v>
      </c>
      <c r="D1325" t="s">
        <v>24</v>
      </c>
      <c r="E1325" t="s">
        <v>43</v>
      </c>
      <c r="F1325" s="9">
        <v>0.03</v>
      </c>
      <c r="G1325" s="10">
        <v>13314</v>
      </c>
      <c r="H1325">
        <v>3.59</v>
      </c>
      <c r="I1325" s="5">
        <f>ROUND(Marketing[[#This Row],[Clicks]]*Marketing[[#This Row],[Conversion_Rate]],0)</f>
        <v>20</v>
      </c>
      <c r="J1325" s="12">
        <f>Marketing[[#This Row],[Campaign_Cost]]/Marketing[[#This Row],[Customers]]</f>
        <v>665.7</v>
      </c>
      <c r="K1325" t="s">
        <v>32</v>
      </c>
      <c r="L1325" t="s">
        <v>39</v>
      </c>
      <c r="M1325">
        <v>682</v>
      </c>
      <c r="N1325">
        <v>4634</v>
      </c>
      <c r="O1325">
        <v>3</v>
      </c>
      <c r="P1325" t="s">
        <v>34</v>
      </c>
      <c r="Q1325" s="1">
        <v>44425</v>
      </c>
    </row>
    <row r="1326" spans="1:17" x14ac:dyDescent="0.3">
      <c r="A1326" t="s">
        <v>35</v>
      </c>
      <c r="B1326" t="s">
        <v>36</v>
      </c>
      <c r="C1326" t="s">
        <v>16</v>
      </c>
      <c r="D1326" t="s">
        <v>40</v>
      </c>
      <c r="E1326" t="s">
        <v>15</v>
      </c>
      <c r="F1326" s="9">
        <v>0.08</v>
      </c>
      <c r="G1326" s="10">
        <v>11203</v>
      </c>
      <c r="H1326">
        <v>2.93</v>
      </c>
      <c r="I1326" s="5">
        <f>ROUND(Marketing[[#This Row],[Clicks]]*Marketing[[#This Row],[Conversion_Rate]],0)</f>
        <v>58</v>
      </c>
      <c r="J1326" s="12">
        <f>Marketing[[#This Row],[Campaign_Cost]]/Marketing[[#This Row],[Customers]]</f>
        <v>193.15517241379311</v>
      </c>
      <c r="K1326" t="s">
        <v>51</v>
      </c>
      <c r="L1326" t="s">
        <v>39</v>
      </c>
      <c r="M1326">
        <v>730</v>
      </c>
      <c r="N1326">
        <v>5815</v>
      </c>
      <c r="O1326">
        <v>5</v>
      </c>
      <c r="P1326" t="s">
        <v>42</v>
      </c>
      <c r="Q1326" s="1">
        <v>44426</v>
      </c>
    </row>
    <row r="1327" spans="1:17" x14ac:dyDescent="0.3">
      <c r="A1327" t="s">
        <v>14</v>
      </c>
      <c r="B1327" t="s">
        <v>36</v>
      </c>
      <c r="C1327" t="s">
        <v>52</v>
      </c>
      <c r="D1327" t="s">
        <v>17</v>
      </c>
      <c r="E1327" t="s">
        <v>41</v>
      </c>
      <c r="F1327" s="9">
        <v>0.04</v>
      </c>
      <c r="G1327" s="10">
        <v>7388</v>
      </c>
      <c r="H1327">
        <v>3.19</v>
      </c>
      <c r="I1327" s="5">
        <f>ROUND(Marketing[[#This Row],[Clicks]]*Marketing[[#This Row],[Conversion_Rate]],0)</f>
        <v>22</v>
      </c>
      <c r="J1327" s="12">
        <f>Marketing[[#This Row],[Campaign_Cost]]/Marketing[[#This Row],[Customers]]</f>
        <v>335.81818181818181</v>
      </c>
      <c r="K1327" t="s">
        <v>32</v>
      </c>
      <c r="L1327" t="s">
        <v>50</v>
      </c>
      <c r="M1327">
        <v>560</v>
      </c>
      <c r="N1327">
        <v>4839</v>
      </c>
      <c r="O1327">
        <v>2</v>
      </c>
      <c r="P1327" t="s">
        <v>27</v>
      </c>
      <c r="Q1327" s="1">
        <v>44427</v>
      </c>
    </row>
    <row r="1328" spans="1:17" x14ac:dyDescent="0.3">
      <c r="A1328" t="s">
        <v>14</v>
      </c>
      <c r="B1328" t="s">
        <v>29</v>
      </c>
      <c r="C1328" t="s">
        <v>30</v>
      </c>
      <c r="D1328" t="s">
        <v>46</v>
      </c>
      <c r="E1328" t="s">
        <v>41</v>
      </c>
      <c r="F1328" s="9">
        <v>0.14000000000000001</v>
      </c>
      <c r="G1328" s="10">
        <v>19150</v>
      </c>
      <c r="H1328">
        <v>6.92</v>
      </c>
      <c r="I1328" s="5">
        <f>ROUND(Marketing[[#This Row],[Clicks]]*Marketing[[#This Row],[Conversion_Rate]],0)</f>
        <v>133</v>
      </c>
      <c r="J1328" s="12">
        <f>Marketing[[#This Row],[Campaign_Cost]]/Marketing[[#This Row],[Customers]]</f>
        <v>143.98496240601503</v>
      </c>
      <c r="K1328" t="s">
        <v>51</v>
      </c>
      <c r="L1328" t="s">
        <v>26</v>
      </c>
      <c r="M1328">
        <v>951</v>
      </c>
      <c r="N1328">
        <v>2497</v>
      </c>
      <c r="O1328">
        <v>10</v>
      </c>
      <c r="P1328" t="s">
        <v>27</v>
      </c>
      <c r="Q1328" s="1">
        <v>44428</v>
      </c>
    </row>
    <row r="1329" spans="1:17" x14ac:dyDescent="0.3">
      <c r="A1329" t="s">
        <v>14</v>
      </c>
      <c r="B1329" t="s">
        <v>15</v>
      </c>
      <c r="C1329" t="s">
        <v>37</v>
      </c>
      <c r="D1329" t="s">
        <v>17</v>
      </c>
      <c r="E1329" t="s">
        <v>18</v>
      </c>
      <c r="F1329" s="9">
        <v>7.0000000000000007E-2</v>
      </c>
      <c r="G1329" s="10">
        <v>5950</v>
      </c>
      <c r="H1329">
        <v>2.0699999999999998</v>
      </c>
      <c r="I1329" s="5">
        <f>ROUND(Marketing[[#This Row],[Clicks]]*Marketing[[#This Row],[Conversion_Rate]],0)</f>
        <v>60</v>
      </c>
      <c r="J1329" s="12">
        <f>Marketing[[#This Row],[Campaign_Cost]]/Marketing[[#This Row],[Customers]]</f>
        <v>99.166666666666671</v>
      </c>
      <c r="K1329" t="s">
        <v>25</v>
      </c>
      <c r="L1329" t="s">
        <v>20</v>
      </c>
      <c r="M1329">
        <v>850</v>
      </c>
      <c r="N1329">
        <v>6686</v>
      </c>
      <c r="O1329">
        <v>6</v>
      </c>
      <c r="P1329" t="s">
        <v>44</v>
      </c>
      <c r="Q1329" s="1">
        <v>44429</v>
      </c>
    </row>
    <row r="1330" spans="1:17" x14ac:dyDescent="0.3">
      <c r="A1330" t="s">
        <v>35</v>
      </c>
      <c r="B1330" t="s">
        <v>36</v>
      </c>
      <c r="C1330" t="s">
        <v>30</v>
      </c>
      <c r="D1330" t="s">
        <v>24</v>
      </c>
      <c r="E1330" t="s">
        <v>31</v>
      </c>
      <c r="F1330" s="9">
        <v>0.11</v>
      </c>
      <c r="G1330" s="10">
        <v>8052</v>
      </c>
      <c r="H1330">
        <v>5.49</v>
      </c>
      <c r="I1330" s="5">
        <f>ROUND(Marketing[[#This Row],[Clicks]]*Marketing[[#This Row],[Conversion_Rate]],0)</f>
        <v>102</v>
      </c>
      <c r="J1330" s="12">
        <f>Marketing[[#This Row],[Campaign_Cost]]/Marketing[[#This Row],[Customers]]</f>
        <v>78.941176470588232</v>
      </c>
      <c r="K1330" t="s">
        <v>38</v>
      </c>
      <c r="L1330" t="s">
        <v>33</v>
      </c>
      <c r="M1330">
        <v>927</v>
      </c>
      <c r="N1330">
        <v>9865</v>
      </c>
      <c r="O1330">
        <v>1</v>
      </c>
      <c r="P1330" t="s">
        <v>21</v>
      </c>
      <c r="Q1330" s="1">
        <v>44430</v>
      </c>
    </row>
    <row r="1331" spans="1:17" x14ac:dyDescent="0.3">
      <c r="A1331" t="s">
        <v>22</v>
      </c>
      <c r="B1331" t="s">
        <v>45</v>
      </c>
      <c r="C1331" t="s">
        <v>23</v>
      </c>
      <c r="D1331" t="s">
        <v>24</v>
      </c>
      <c r="E1331" t="s">
        <v>15</v>
      </c>
      <c r="F1331" s="9">
        <v>0.06</v>
      </c>
      <c r="G1331" s="10">
        <v>8357</v>
      </c>
      <c r="H1331">
        <v>3.99</v>
      </c>
      <c r="I1331" s="5">
        <f>ROUND(Marketing[[#This Row],[Clicks]]*Marketing[[#This Row],[Conversion_Rate]],0)</f>
        <v>9</v>
      </c>
      <c r="J1331" s="12">
        <f>Marketing[[#This Row],[Campaign_Cost]]/Marketing[[#This Row],[Customers]]</f>
        <v>928.55555555555554</v>
      </c>
      <c r="K1331" t="s">
        <v>38</v>
      </c>
      <c r="L1331" t="s">
        <v>26</v>
      </c>
      <c r="M1331">
        <v>144</v>
      </c>
      <c r="N1331">
        <v>1721</v>
      </c>
      <c r="O1331">
        <v>2</v>
      </c>
      <c r="P1331" t="s">
        <v>44</v>
      </c>
      <c r="Q1331" s="1">
        <v>44431</v>
      </c>
    </row>
    <row r="1332" spans="1:17" x14ac:dyDescent="0.3">
      <c r="A1332" t="s">
        <v>49</v>
      </c>
      <c r="B1332" t="s">
        <v>47</v>
      </c>
      <c r="C1332" t="s">
        <v>16</v>
      </c>
      <c r="D1332" t="s">
        <v>24</v>
      </c>
      <c r="E1332" t="s">
        <v>48</v>
      </c>
      <c r="F1332" s="9">
        <v>0.05</v>
      </c>
      <c r="G1332" s="10">
        <v>19386</v>
      </c>
      <c r="H1332">
        <v>6.17</v>
      </c>
      <c r="I1332" s="5">
        <f>ROUND(Marketing[[#This Row],[Clicks]]*Marketing[[#This Row],[Conversion_Rate]],0)</f>
        <v>21</v>
      </c>
      <c r="J1332" s="12">
        <f>Marketing[[#This Row],[Campaign_Cost]]/Marketing[[#This Row],[Customers]]</f>
        <v>923.14285714285711</v>
      </c>
      <c r="K1332" t="s">
        <v>19</v>
      </c>
      <c r="L1332" t="s">
        <v>26</v>
      </c>
      <c r="M1332">
        <v>425</v>
      </c>
      <c r="N1332">
        <v>1212</v>
      </c>
      <c r="O1332">
        <v>6</v>
      </c>
      <c r="P1332" t="s">
        <v>27</v>
      </c>
      <c r="Q1332" s="1">
        <v>44432</v>
      </c>
    </row>
    <row r="1333" spans="1:17" x14ac:dyDescent="0.3">
      <c r="A1333" t="s">
        <v>14</v>
      </c>
      <c r="B1333" t="s">
        <v>36</v>
      </c>
      <c r="C1333" t="s">
        <v>30</v>
      </c>
      <c r="D1333" t="s">
        <v>24</v>
      </c>
      <c r="E1333" t="s">
        <v>43</v>
      </c>
      <c r="F1333" s="9">
        <v>0.12</v>
      </c>
      <c r="G1333" s="10">
        <v>7636</v>
      </c>
      <c r="H1333">
        <v>4.9000000000000004</v>
      </c>
      <c r="I1333" s="5">
        <f>ROUND(Marketing[[#This Row],[Clicks]]*Marketing[[#This Row],[Conversion_Rate]],0)</f>
        <v>40</v>
      </c>
      <c r="J1333" s="12">
        <f>Marketing[[#This Row],[Campaign_Cost]]/Marketing[[#This Row],[Customers]]</f>
        <v>190.9</v>
      </c>
      <c r="K1333" t="s">
        <v>38</v>
      </c>
      <c r="L1333" t="s">
        <v>50</v>
      </c>
      <c r="M1333">
        <v>335</v>
      </c>
      <c r="N1333">
        <v>7053</v>
      </c>
      <c r="O1333">
        <v>1</v>
      </c>
      <c r="P1333" t="s">
        <v>34</v>
      </c>
      <c r="Q1333" s="1">
        <v>44433</v>
      </c>
    </row>
    <row r="1334" spans="1:17" x14ac:dyDescent="0.3">
      <c r="A1334" t="s">
        <v>22</v>
      </c>
      <c r="B1334" t="s">
        <v>45</v>
      </c>
      <c r="C1334" t="s">
        <v>37</v>
      </c>
      <c r="D1334" t="s">
        <v>46</v>
      </c>
      <c r="E1334" t="s">
        <v>48</v>
      </c>
      <c r="F1334" s="9">
        <v>0.1</v>
      </c>
      <c r="G1334" s="10">
        <v>18242</v>
      </c>
      <c r="H1334">
        <v>5.7</v>
      </c>
      <c r="I1334" s="5">
        <f>ROUND(Marketing[[#This Row],[Clicks]]*Marketing[[#This Row],[Conversion_Rate]],0)</f>
        <v>72</v>
      </c>
      <c r="J1334" s="12">
        <f>Marketing[[#This Row],[Campaign_Cost]]/Marketing[[#This Row],[Customers]]</f>
        <v>253.36111111111111</v>
      </c>
      <c r="K1334" t="s">
        <v>38</v>
      </c>
      <c r="L1334" t="s">
        <v>26</v>
      </c>
      <c r="M1334">
        <v>717</v>
      </c>
      <c r="N1334">
        <v>7812</v>
      </c>
      <c r="O1334">
        <v>1</v>
      </c>
      <c r="P1334" t="s">
        <v>44</v>
      </c>
      <c r="Q1334" s="1">
        <v>44434</v>
      </c>
    </row>
    <row r="1335" spans="1:17" x14ac:dyDescent="0.3">
      <c r="A1335" t="s">
        <v>49</v>
      </c>
      <c r="B1335" t="s">
        <v>15</v>
      </c>
      <c r="C1335" t="s">
        <v>37</v>
      </c>
      <c r="D1335" t="s">
        <v>40</v>
      </c>
      <c r="E1335" t="s">
        <v>41</v>
      </c>
      <c r="F1335" s="9">
        <v>0.01</v>
      </c>
      <c r="G1335" s="10">
        <v>11335</v>
      </c>
      <c r="H1335">
        <v>4.7699999999999996</v>
      </c>
      <c r="I1335" s="5">
        <f>ROUND(Marketing[[#This Row],[Clicks]]*Marketing[[#This Row],[Conversion_Rate]],0)</f>
        <v>3</v>
      </c>
      <c r="J1335" s="12">
        <f>Marketing[[#This Row],[Campaign_Cost]]/Marketing[[#This Row],[Customers]]</f>
        <v>3778.3333333333335</v>
      </c>
      <c r="K1335" t="s">
        <v>51</v>
      </c>
      <c r="L1335" t="s">
        <v>39</v>
      </c>
      <c r="M1335">
        <v>319</v>
      </c>
      <c r="N1335">
        <v>1557</v>
      </c>
      <c r="O1335">
        <v>2</v>
      </c>
      <c r="P1335" t="s">
        <v>42</v>
      </c>
      <c r="Q1335" s="1">
        <v>44435</v>
      </c>
    </row>
    <row r="1336" spans="1:17" x14ac:dyDescent="0.3">
      <c r="A1336" t="s">
        <v>49</v>
      </c>
      <c r="B1336" t="s">
        <v>29</v>
      </c>
      <c r="C1336" t="s">
        <v>52</v>
      </c>
      <c r="D1336" t="s">
        <v>17</v>
      </c>
      <c r="E1336" t="s">
        <v>43</v>
      </c>
      <c r="F1336" s="9">
        <v>0.12</v>
      </c>
      <c r="G1336" s="10">
        <v>14893</v>
      </c>
      <c r="H1336">
        <v>2.31</v>
      </c>
      <c r="I1336" s="5">
        <f>ROUND(Marketing[[#This Row],[Clicks]]*Marketing[[#This Row],[Conversion_Rate]],0)</f>
        <v>97</v>
      </c>
      <c r="J1336" s="12">
        <f>Marketing[[#This Row],[Campaign_Cost]]/Marketing[[#This Row],[Customers]]</f>
        <v>153.53608247422682</v>
      </c>
      <c r="K1336" t="s">
        <v>38</v>
      </c>
      <c r="L1336" t="s">
        <v>33</v>
      </c>
      <c r="M1336">
        <v>811</v>
      </c>
      <c r="N1336">
        <v>5812</v>
      </c>
      <c r="O1336">
        <v>7</v>
      </c>
      <c r="P1336" t="s">
        <v>44</v>
      </c>
      <c r="Q1336" s="1">
        <v>44436</v>
      </c>
    </row>
    <row r="1337" spans="1:17" x14ac:dyDescent="0.3">
      <c r="A1337" t="s">
        <v>28</v>
      </c>
      <c r="B1337" t="s">
        <v>47</v>
      </c>
      <c r="C1337" t="s">
        <v>30</v>
      </c>
      <c r="D1337" t="s">
        <v>17</v>
      </c>
      <c r="E1337" t="s">
        <v>41</v>
      </c>
      <c r="F1337" s="9">
        <v>0.08</v>
      </c>
      <c r="G1337" s="10">
        <v>13044</v>
      </c>
      <c r="H1337">
        <v>6.85</v>
      </c>
      <c r="I1337" s="5">
        <f>ROUND(Marketing[[#This Row],[Clicks]]*Marketing[[#This Row],[Conversion_Rate]],0)</f>
        <v>21</v>
      </c>
      <c r="J1337" s="12">
        <f>Marketing[[#This Row],[Campaign_Cost]]/Marketing[[#This Row],[Customers]]</f>
        <v>621.14285714285711</v>
      </c>
      <c r="K1337" t="s">
        <v>25</v>
      </c>
      <c r="L1337" t="s">
        <v>26</v>
      </c>
      <c r="M1337">
        <v>259</v>
      </c>
      <c r="N1337">
        <v>2521</v>
      </c>
      <c r="O1337">
        <v>10</v>
      </c>
      <c r="P1337" t="s">
        <v>44</v>
      </c>
      <c r="Q1337" s="1">
        <v>44437</v>
      </c>
    </row>
    <row r="1338" spans="1:17" x14ac:dyDescent="0.3">
      <c r="A1338" t="s">
        <v>22</v>
      </c>
      <c r="B1338" t="s">
        <v>47</v>
      </c>
      <c r="C1338" t="s">
        <v>23</v>
      </c>
      <c r="D1338" t="s">
        <v>17</v>
      </c>
      <c r="E1338" t="s">
        <v>41</v>
      </c>
      <c r="F1338" s="9">
        <v>0.08</v>
      </c>
      <c r="G1338" s="10">
        <v>12661</v>
      </c>
      <c r="H1338">
        <v>5.46</v>
      </c>
      <c r="I1338" s="5">
        <f>ROUND(Marketing[[#This Row],[Clicks]]*Marketing[[#This Row],[Conversion_Rate]],0)</f>
        <v>52</v>
      </c>
      <c r="J1338" s="12">
        <f>Marketing[[#This Row],[Campaign_Cost]]/Marketing[[#This Row],[Customers]]</f>
        <v>243.48076923076923</v>
      </c>
      <c r="K1338" t="s">
        <v>25</v>
      </c>
      <c r="L1338" t="s">
        <v>33</v>
      </c>
      <c r="M1338">
        <v>647</v>
      </c>
      <c r="N1338">
        <v>9407</v>
      </c>
      <c r="O1338">
        <v>7</v>
      </c>
      <c r="P1338" t="s">
        <v>27</v>
      </c>
      <c r="Q1338" s="1">
        <v>44438</v>
      </c>
    </row>
    <row r="1339" spans="1:17" x14ac:dyDescent="0.3">
      <c r="A1339" t="s">
        <v>35</v>
      </c>
      <c r="B1339" t="s">
        <v>36</v>
      </c>
      <c r="C1339" t="s">
        <v>30</v>
      </c>
      <c r="D1339" t="s">
        <v>24</v>
      </c>
      <c r="E1339" t="s">
        <v>43</v>
      </c>
      <c r="F1339" s="9">
        <v>7.0000000000000007E-2</v>
      </c>
      <c r="G1339" s="10">
        <v>7115</v>
      </c>
      <c r="H1339">
        <v>5.17</v>
      </c>
      <c r="I1339" s="5">
        <f>ROUND(Marketing[[#This Row],[Clicks]]*Marketing[[#This Row],[Conversion_Rate]],0)</f>
        <v>15</v>
      </c>
      <c r="J1339" s="12">
        <f>Marketing[[#This Row],[Campaign_Cost]]/Marketing[[#This Row],[Customers]]</f>
        <v>474.33333333333331</v>
      </c>
      <c r="K1339" t="s">
        <v>51</v>
      </c>
      <c r="L1339" t="s">
        <v>33</v>
      </c>
      <c r="M1339">
        <v>219</v>
      </c>
      <c r="N1339">
        <v>3032</v>
      </c>
      <c r="O1339">
        <v>3</v>
      </c>
      <c r="P1339" t="s">
        <v>27</v>
      </c>
      <c r="Q1339" s="1">
        <v>44439</v>
      </c>
    </row>
    <row r="1340" spans="1:17" x14ac:dyDescent="0.3">
      <c r="A1340" t="s">
        <v>49</v>
      </c>
      <c r="B1340" t="s">
        <v>29</v>
      </c>
      <c r="C1340" t="s">
        <v>30</v>
      </c>
      <c r="D1340" t="s">
        <v>24</v>
      </c>
      <c r="E1340" t="s">
        <v>31</v>
      </c>
      <c r="F1340" s="9">
        <v>0.01</v>
      </c>
      <c r="G1340" s="10">
        <v>16084</v>
      </c>
      <c r="H1340">
        <v>7.75</v>
      </c>
      <c r="I1340" s="5">
        <f>ROUND(Marketing[[#This Row],[Clicks]]*Marketing[[#This Row],[Conversion_Rate]],0)</f>
        <v>10</v>
      </c>
      <c r="J1340" s="12">
        <f>Marketing[[#This Row],[Campaign_Cost]]/Marketing[[#This Row],[Customers]]</f>
        <v>1608.4</v>
      </c>
      <c r="K1340" t="s">
        <v>51</v>
      </c>
      <c r="L1340" t="s">
        <v>50</v>
      </c>
      <c r="M1340">
        <v>994</v>
      </c>
      <c r="N1340">
        <v>3271</v>
      </c>
      <c r="O1340">
        <v>1</v>
      </c>
      <c r="P1340" t="s">
        <v>44</v>
      </c>
      <c r="Q1340" s="1">
        <v>44440</v>
      </c>
    </row>
    <row r="1341" spans="1:17" x14ac:dyDescent="0.3">
      <c r="A1341" t="s">
        <v>22</v>
      </c>
      <c r="B1341" t="s">
        <v>29</v>
      </c>
      <c r="C1341" t="s">
        <v>30</v>
      </c>
      <c r="D1341" t="s">
        <v>40</v>
      </c>
      <c r="E1341" t="s">
        <v>31</v>
      </c>
      <c r="F1341" s="9">
        <v>0.1</v>
      </c>
      <c r="G1341" s="10">
        <v>7942</v>
      </c>
      <c r="H1341">
        <v>2.94</v>
      </c>
      <c r="I1341" s="5">
        <f>ROUND(Marketing[[#This Row],[Clicks]]*Marketing[[#This Row],[Conversion_Rate]],0)</f>
        <v>95</v>
      </c>
      <c r="J1341" s="12">
        <f>Marketing[[#This Row],[Campaign_Cost]]/Marketing[[#This Row],[Customers]]</f>
        <v>83.6</v>
      </c>
      <c r="K1341" t="s">
        <v>19</v>
      </c>
      <c r="L1341" t="s">
        <v>33</v>
      </c>
      <c r="M1341">
        <v>949</v>
      </c>
      <c r="N1341">
        <v>7626</v>
      </c>
      <c r="O1341">
        <v>2</v>
      </c>
      <c r="P1341" t="s">
        <v>21</v>
      </c>
      <c r="Q1341" s="1">
        <v>44441</v>
      </c>
    </row>
    <row r="1342" spans="1:17" x14ac:dyDescent="0.3">
      <c r="A1342" t="s">
        <v>35</v>
      </c>
      <c r="B1342" t="s">
        <v>29</v>
      </c>
      <c r="C1342" t="s">
        <v>52</v>
      </c>
      <c r="D1342" t="s">
        <v>40</v>
      </c>
      <c r="E1342" t="s">
        <v>41</v>
      </c>
      <c r="F1342" s="9">
        <v>0.06</v>
      </c>
      <c r="G1342" s="10">
        <v>5826</v>
      </c>
      <c r="H1342">
        <v>4.04</v>
      </c>
      <c r="I1342" s="5">
        <f>ROUND(Marketing[[#This Row],[Clicks]]*Marketing[[#This Row],[Conversion_Rate]],0)</f>
        <v>54</v>
      </c>
      <c r="J1342" s="12">
        <f>Marketing[[#This Row],[Campaign_Cost]]/Marketing[[#This Row],[Customers]]</f>
        <v>107.88888888888889</v>
      </c>
      <c r="K1342" t="s">
        <v>38</v>
      </c>
      <c r="L1342" t="s">
        <v>26</v>
      </c>
      <c r="M1342">
        <v>908</v>
      </c>
      <c r="N1342">
        <v>2991</v>
      </c>
      <c r="O1342">
        <v>5</v>
      </c>
      <c r="P1342" t="s">
        <v>21</v>
      </c>
      <c r="Q1342" s="1">
        <v>44442</v>
      </c>
    </row>
    <row r="1343" spans="1:17" x14ac:dyDescent="0.3">
      <c r="A1343" t="s">
        <v>22</v>
      </c>
      <c r="B1343" t="s">
        <v>47</v>
      </c>
      <c r="C1343" t="s">
        <v>52</v>
      </c>
      <c r="D1343" t="s">
        <v>17</v>
      </c>
      <c r="E1343" t="s">
        <v>31</v>
      </c>
      <c r="F1343" s="9">
        <v>0.03</v>
      </c>
      <c r="G1343" s="10">
        <v>10650</v>
      </c>
      <c r="H1343">
        <v>2.63</v>
      </c>
      <c r="I1343" s="5">
        <f>ROUND(Marketing[[#This Row],[Clicks]]*Marketing[[#This Row],[Conversion_Rate]],0)</f>
        <v>19</v>
      </c>
      <c r="J1343" s="12">
        <f>Marketing[[#This Row],[Campaign_Cost]]/Marketing[[#This Row],[Customers]]</f>
        <v>560.52631578947364</v>
      </c>
      <c r="K1343" t="s">
        <v>51</v>
      </c>
      <c r="L1343" t="s">
        <v>33</v>
      </c>
      <c r="M1343">
        <v>649</v>
      </c>
      <c r="N1343">
        <v>9998</v>
      </c>
      <c r="O1343">
        <v>3</v>
      </c>
      <c r="P1343" t="s">
        <v>42</v>
      </c>
      <c r="Q1343" s="1">
        <v>44443</v>
      </c>
    </row>
    <row r="1344" spans="1:17" x14ac:dyDescent="0.3">
      <c r="A1344" t="s">
        <v>22</v>
      </c>
      <c r="B1344" t="s">
        <v>29</v>
      </c>
      <c r="C1344" t="s">
        <v>30</v>
      </c>
      <c r="D1344" t="s">
        <v>40</v>
      </c>
      <c r="E1344" t="s">
        <v>48</v>
      </c>
      <c r="F1344" s="9">
        <v>0.02</v>
      </c>
      <c r="G1344" s="10">
        <v>16998</v>
      </c>
      <c r="H1344">
        <v>6.25</v>
      </c>
      <c r="I1344" s="5">
        <f>ROUND(Marketing[[#This Row],[Clicks]]*Marketing[[#This Row],[Conversion_Rate]],0)</f>
        <v>8</v>
      </c>
      <c r="J1344" s="12">
        <f>Marketing[[#This Row],[Campaign_Cost]]/Marketing[[#This Row],[Customers]]</f>
        <v>2124.75</v>
      </c>
      <c r="K1344" t="s">
        <v>25</v>
      </c>
      <c r="L1344" t="s">
        <v>39</v>
      </c>
      <c r="M1344">
        <v>391</v>
      </c>
      <c r="N1344">
        <v>6662</v>
      </c>
      <c r="O1344">
        <v>5</v>
      </c>
      <c r="P1344" t="s">
        <v>44</v>
      </c>
      <c r="Q1344" s="1">
        <v>44444</v>
      </c>
    </row>
    <row r="1345" spans="1:17" x14ac:dyDescent="0.3">
      <c r="A1345" t="s">
        <v>22</v>
      </c>
      <c r="B1345" t="s">
        <v>36</v>
      </c>
      <c r="C1345" t="s">
        <v>30</v>
      </c>
      <c r="D1345" t="s">
        <v>24</v>
      </c>
      <c r="E1345" t="s">
        <v>31</v>
      </c>
      <c r="F1345" s="9">
        <v>0.1</v>
      </c>
      <c r="G1345" s="10">
        <v>17838</v>
      </c>
      <c r="H1345">
        <v>5.42</v>
      </c>
      <c r="I1345" s="5">
        <f>ROUND(Marketing[[#This Row],[Clicks]]*Marketing[[#This Row],[Conversion_Rate]],0)</f>
        <v>89</v>
      </c>
      <c r="J1345" s="12">
        <f>Marketing[[#This Row],[Campaign_Cost]]/Marketing[[#This Row],[Customers]]</f>
        <v>200.42696629213484</v>
      </c>
      <c r="K1345" t="s">
        <v>51</v>
      </c>
      <c r="L1345" t="s">
        <v>26</v>
      </c>
      <c r="M1345">
        <v>888</v>
      </c>
      <c r="N1345">
        <v>2758</v>
      </c>
      <c r="O1345">
        <v>6</v>
      </c>
      <c r="P1345" t="s">
        <v>27</v>
      </c>
      <c r="Q1345" s="1">
        <v>44445</v>
      </c>
    </row>
    <row r="1346" spans="1:17" x14ac:dyDescent="0.3">
      <c r="A1346" t="s">
        <v>14</v>
      </c>
      <c r="B1346" t="s">
        <v>29</v>
      </c>
      <c r="C1346" t="s">
        <v>52</v>
      </c>
      <c r="D1346" t="s">
        <v>46</v>
      </c>
      <c r="E1346" t="s">
        <v>48</v>
      </c>
      <c r="F1346" s="9">
        <v>0.14000000000000001</v>
      </c>
      <c r="G1346" s="10">
        <v>8670</v>
      </c>
      <c r="H1346">
        <v>5.14</v>
      </c>
      <c r="I1346" s="5">
        <f>ROUND(Marketing[[#This Row],[Clicks]]*Marketing[[#This Row],[Conversion_Rate]],0)</f>
        <v>75</v>
      </c>
      <c r="J1346" s="12">
        <f>Marketing[[#This Row],[Campaign_Cost]]/Marketing[[#This Row],[Customers]]</f>
        <v>115.6</v>
      </c>
      <c r="K1346" t="s">
        <v>19</v>
      </c>
      <c r="L1346" t="s">
        <v>33</v>
      </c>
      <c r="M1346">
        <v>538</v>
      </c>
      <c r="N1346">
        <v>2979</v>
      </c>
      <c r="O1346">
        <v>4</v>
      </c>
      <c r="P1346" t="s">
        <v>27</v>
      </c>
      <c r="Q1346" s="1">
        <v>44446</v>
      </c>
    </row>
    <row r="1347" spans="1:17" x14ac:dyDescent="0.3">
      <c r="A1347" t="s">
        <v>28</v>
      </c>
      <c r="B1347" t="s">
        <v>36</v>
      </c>
      <c r="C1347" t="s">
        <v>52</v>
      </c>
      <c r="D1347" t="s">
        <v>17</v>
      </c>
      <c r="E1347" t="s">
        <v>43</v>
      </c>
      <c r="F1347" s="9">
        <v>0.04</v>
      </c>
      <c r="G1347" s="10">
        <v>19326</v>
      </c>
      <c r="H1347">
        <v>5.1100000000000003</v>
      </c>
      <c r="I1347" s="5">
        <f>ROUND(Marketing[[#This Row],[Clicks]]*Marketing[[#This Row],[Conversion_Rate]],0)</f>
        <v>6</v>
      </c>
      <c r="J1347" s="12">
        <f>Marketing[[#This Row],[Campaign_Cost]]/Marketing[[#This Row],[Customers]]</f>
        <v>3221</v>
      </c>
      <c r="K1347" t="s">
        <v>19</v>
      </c>
      <c r="L1347" t="s">
        <v>20</v>
      </c>
      <c r="M1347">
        <v>155</v>
      </c>
      <c r="N1347">
        <v>5811</v>
      </c>
      <c r="O1347">
        <v>3</v>
      </c>
      <c r="P1347" t="s">
        <v>44</v>
      </c>
      <c r="Q1347" s="1">
        <v>44447</v>
      </c>
    </row>
    <row r="1348" spans="1:17" x14ac:dyDescent="0.3">
      <c r="A1348" t="s">
        <v>14</v>
      </c>
      <c r="B1348" t="s">
        <v>29</v>
      </c>
      <c r="C1348" t="s">
        <v>30</v>
      </c>
      <c r="D1348" t="s">
        <v>24</v>
      </c>
      <c r="E1348" t="s">
        <v>48</v>
      </c>
      <c r="F1348" s="9">
        <v>0.04</v>
      </c>
      <c r="G1348" s="10">
        <v>19781</v>
      </c>
      <c r="H1348">
        <v>3.77</v>
      </c>
      <c r="I1348" s="5">
        <f>ROUND(Marketing[[#This Row],[Clicks]]*Marketing[[#This Row],[Conversion_Rate]],0)</f>
        <v>23</v>
      </c>
      <c r="J1348" s="12">
        <f>Marketing[[#This Row],[Campaign_Cost]]/Marketing[[#This Row],[Customers]]</f>
        <v>860.04347826086962</v>
      </c>
      <c r="K1348" t="s">
        <v>38</v>
      </c>
      <c r="L1348" t="s">
        <v>20</v>
      </c>
      <c r="M1348">
        <v>579</v>
      </c>
      <c r="N1348">
        <v>8550</v>
      </c>
      <c r="O1348">
        <v>9</v>
      </c>
      <c r="P1348" t="s">
        <v>44</v>
      </c>
      <c r="Q1348" s="1">
        <v>44448</v>
      </c>
    </row>
    <row r="1349" spans="1:17" x14ac:dyDescent="0.3">
      <c r="A1349" t="s">
        <v>49</v>
      </c>
      <c r="B1349" t="s">
        <v>29</v>
      </c>
      <c r="C1349" t="s">
        <v>16</v>
      </c>
      <c r="D1349" t="s">
        <v>46</v>
      </c>
      <c r="E1349" t="s">
        <v>43</v>
      </c>
      <c r="F1349" s="9">
        <v>0.06</v>
      </c>
      <c r="G1349" s="10">
        <v>7424</v>
      </c>
      <c r="H1349">
        <v>7.02</v>
      </c>
      <c r="I1349" s="5">
        <f>ROUND(Marketing[[#This Row],[Clicks]]*Marketing[[#This Row],[Conversion_Rate]],0)</f>
        <v>12</v>
      </c>
      <c r="J1349" s="12">
        <f>Marketing[[#This Row],[Campaign_Cost]]/Marketing[[#This Row],[Customers]]</f>
        <v>618.66666666666663</v>
      </c>
      <c r="K1349" t="s">
        <v>19</v>
      </c>
      <c r="L1349" t="s">
        <v>50</v>
      </c>
      <c r="M1349">
        <v>192</v>
      </c>
      <c r="N1349">
        <v>4746</v>
      </c>
      <c r="O1349">
        <v>4</v>
      </c>
      <c r="P1349" t="s">
        <v>21</v>
      </c>
      <c r="Q1349" s="1">
        <v>44449</v>
      </c>
    </row>
    <row r="1350" spans="1:17" x14ac:dyDescent="0.3">
      <c r="A1350" t="s">
        <v>35</v>
      </c>
      <c r="B1350" t="s">
        <v>47</v>
      </c>
      <c r="C1350" t="s">
        <v>52</v>
      </c>
      <c r="D1350" t="s">
        <v>24</v>
      </c>
      <c r="E1350" t="s">
        <v>41</v>
      </c>
      <c r="F1350" s="9">
        <v>0.02</v>
      </c>
      <c r="G1350" s="10">
        <v>15420</v>
      </c>
      <c r="H1350">
        <v>6.11</v>
      </c>
      <c r="I1350" s="5">
        <f>ROUND(Marketing[[#This Row],[Clicks]]*Marketing[[#This Row],[Conversion_Rate]],0)</f>
        <v>12</v>
      </c>
      <c r="J1350" s="12">
        <f>Marketing[[#This Row],[Campaign_Cost]]/Marketing[[#This Row],[Customers]]</f>
        <v>1285</v>
      </c>
      <c r="K1350" t="s">
        <v>25</v>
      </c>
      <c r="L1350" t="s">
        <v>20</v>
      </c>
      <c r="M1350">
        <v>578</v>
      </c>
      <c r="N1350">
        <v>8279</v>
      </c>
      <c r="O1350">
        <v>3</v>
      </c>
      <c r="P1350" t="s">
        <v>21</v>
      </c>
      <c r="Q1350" s="1">
        <v>44450</v>
      </c>
    </row>
    <row r="1351" spans="1:17" x14ac:dyDescent="0.3">
      <c r="A1351" t="s">
        <v>49</v>
      </c>
      <c r="B1351" t="s">
        <v>29</v>
      </c>
      <c r="C1351" t="s">
        <v>30</v>
      </c>
      <c r="D1351" t="s">
        <v>24</v>
      </c>
      <c r="E1351" t="s">
        <v>15</v>
      </c>
      <c r="F1351" s="9">
        <v>0.08</v>
      </c>
      <c r="G1351" s="10">
        <v>16255</v>
      </c>
      <c r="H1351">
        <v>6.69</v>
      </c>
      <c r="I1351" s="5">
        <f>ROUND(Marketing[[#This Row],[Clicks]]*Marketing[[#This Row],[Conversion_Rate]],0)</f>
        <v>14</v>
      </c>
      <c r="J1351" s="12">
        <f>Marketing[[#This Row],[Campaign_Cost]]/Marketing[[#This Row],[Customers]]</f>
        <v>1161.0714285714287</v>
      </c>
      <c r="K1351" t="s">
        <v>19</v>
      </c>
      <c r="L1351" t="s">
        <v>33</v>
      </c>
      <c r="M1351">
        <v>169</v>
      </c>
      <c r="N1351">
        <v>7752</v>
      </c>
      <c r="O1351">
        <v>4</v>
      </c>
      <c r="P1351" t="s">
        <v>21</v>
      </c>
      <c r="Q1351" s="1">
        <v>44451</v>
      </c>
    </row>
    <row r="1352" spans="1:17" x14ac:dyDescent="0.3">
      <c r="A1352" t="s">
        <v>49</v>
      </c>
      <c r="B1352" t="s">
        <v>45</v>
      </c>
      <c r="C1352" t="s">
        <v>37</v>
      </c>
      <c r="D1352" t="s">
        <v>46</v>
      </c>
      <c r="E1352" t="s">
        <v>18</v>
      </c>
      <c r="F1352" s="9">
        <v>0.15</v>
      </c>
      <c r="G1352" s="10">
        <v>12875</v>
      </c>
      <c r="H1352">
        <v>4.2</v>
      </c>
      <c r="I1352" s="5">
        <f>ROUND(Marketing[[#This Row],[Clicks]]*Marketing[[#This Row],[Conversion_Rate]],0)</f>
        <v>54</v>
      </c>
      <c r="J1352" s="12">
        <f>Marketing[[#This Row],[Campaign_Cost]]/Marketing[[#This Row],[Customers]]</f>
        <v>238.42592592592592</v>
      </c>
      <c r="K1352" t="s">
        <v>32</v>
      </c>
      <c r="L1352" t="s">
        <v>33</v>
      </c>
      <c r="M1352">
        <v>363</v>
      </c>
      <c r="N1352">
        <v>7896</v>
      </c>
      <c r="O1352">
        <v>3</v>
      </c>
      <c r="P1352" t="s">
        <v>44</v>
      </c>
      <c r="Q1352" s="1">
        <v>44452</v>
      </c>
    </row>
    <row r="1353" spans="1:17" x14ac:dyDescent="0.3">
      <c r="A1353" t="s">
        <v>49</v>
      </c>
      <c r="B1353" t="s">
        <v>29</v>
      </c>
      <c r="C1353" t="s">
        <v>30</v>
      </c>
      <c r="D1353" t="s">
        <v>17</v>
      </c>
      <c r="E1353" t="s">
        <v>41</v>
      </c>
      <c r="F1353" s="9">
        <v>0.11</v>
      </c>
      <c r="G1353" s="10">
        <v>6358</v>
      </c>
      <c r="H1353">
        <v>6.06</v>
      </c>
      <c r="I1353" s="5">
        <f>ROUND(Marketing[[#This Row],[Clicks]]*Marketing[[#This Row],[Conversion_Rate]],0)</f>
        <v>50</v>
      </c>
      <c r="J1353" s="12">
        <f>Marketing[[#This Row],[Campaign_Cost]]/Marketing[[#This Row],[Customers]]</f>
        <v>127.16</v>
      </c>
      <c r="K1353" t="s">
        <v>38</v>
      </c>
      <c r="L1353" t="s">
        <v>39</v>
      </c>
      <c r="M1353">
        <v>454</v>
      </c>
      <c r="N1353">
        <v>2163</v>
      </c>
      <c r="O1353">
        <v>2</v>
      </c>
      <c r="P1353" t="s">
        <v>27</v>
      </c>
      <c r="Q1353" s="1">
        <v>44453</v>
      </c>
    </row>
    <row r="1354" spans="1:17" x14ac:dyDescent="0.3">
      <c r="A1354" t="s">
        <v>22</v>
      </c>
      <c r="B1354" t="s">
        <v>15</v>
      </c>
      <c r="C1354" t="s">
        <v>23</v>
      </c>
      <c r="D1354" t="s">
        <v>17</v>
      </c>
      <c r="E1354" t="s">
        <v>31</v>
      </c>
      <c r="F1354" s="9">
        <v>0.12</v>
      </c>
      <c r="G1354" s="10">
        <v>5515</v>
      </c>
      <c r="H1354">
        <v>3.24</v>
      </c>
      <c r="I1354" s="5">
        <f>ROUND(Marketing[[#This Row],[Clicks]]*Marketing[[#This Row],[Conversion_Rate]],0)</f>
        <v>100</v>
      </c>
      <c r="J1354" s="12">
        <f>Marketing[[#This Row],[Campaign_Cost]]/Marketing[[#This Row],[Customers]]</f>
        <v>55.15</v>
      </c>
      <c r="K1354" t="s">
        <v>25</v>
      </c>
      <c r="L1354" t="s">
        <v>20</v>
      </c>
      <c r="M1354">
        <v>831</v>
      </c>
      <c r="N1354">
        <v>6260</v>
      </c>
      <c r="O1354">
        <v>5</v>
      </c>
      <c r="P1354" t="s">
        <v>27</v>
      </c>
      <c r="Q1354" s="1">
        <v>44454</v>
      </c>
    </row>
    <row r="1355" spans="1:17" x14ac:dyDescent="0.3">
      <c r="A1355" t="s">
        <v>14</v>
      </c>
      <c r="B1355" t="s">
        <v>47</v>
      </c>
      <c r="C1355" t="s">
        <v>30</v>
      </c>
      <c r="D1355" t="s">
        <v>46</v>
      </c>
      <c r="E1355" t="s">
        <v>48</v>
      </c>
      <c r="F1355" s="9">
        <v>0.14000000000000001</v>
      </c>
      <c r="G1355" s="10">
        <v>15676</v>
      </c>
      <c r="H1355">
        <v>3.46</v>
      </c>
      <c r="I1355" s="5">
        <f>ROUND(Marketing[[#This Row],[Clicks]]*Marketing[[#This Row],[Conversion_Rate]],0)</f>
        <v>54</v>
      </c>
      <c r="J1355" s="12">
        <f>Marketing[[#This Row],[Campaign_Cost]]/Marketing[[#This Row],[Customers]]</f>
        <v>290.2962962962963</v>
      </c>
      <c r="K1355" t="s">
        <v>38</v>
      </c>
      <c r="L1355" t="s">
        <v>26</v>
      </c>
      <c r="M1355">
        <v>384</v>
      </c>
      <c r="N1355">
        <v>6068</v>
      </c>
      <c r="O1355">
        <v>1</v>
      </c>
      <c r="P1355" t="s">
        <v>42</v>
      </c>
      <c r="Q1355" s="1">
        <v>44455</v>
      </c>
    </row>
    <row r="1356" spans="1:17" x14ac:dyDescent="0.3">
      <c r="A1356" t="s">
        <v>22</v>
      </c>
      <c r="B1356" t="s">
        <v>47</v>
      </c>
      <c r="C1356" t="s">
        <v>52</v>
      </c>
      <c r="D1356" t="s">
        <v>24</v>
      </c>
      <c r="E1356" t="s">
        <v>48</v>
      </c>
      <c r="F1356" s="9">
        <v>0.02</v>
      </c>
      <c r="G1356" s="10">
        <v>15373</v>
      </c>
      <c r="H1356">
        <v>7.22</v>
      </c>
      <c r="I1356" s="5">
        <f>ROUND(Marketing[[#This Row],[Clicks]]*Marketing[[#This Row],[Conversion_Rate]],0)</f>
        <v>8</v>
      </c>
      <c r="J1356" s="12">
        <f>Marketing[[#This Row],[Campaign_Cost]]/Marketing[[#This Row],[Customers]]</f>
        <v>1921.625</v>
      </c>
      <c r="K1356" t="s">
        <v>51</v>
      </c>
      <c r="L1356" t="s">
        <v>33</v>
      </c>
      <c r="M1356">
        <v>408</v>
      </c>
      <c r="N1356">
        <v>5251</v>
      </c>
      <c r="O1356">
        <v>10</v>
      </c>
      <c r="P1356" t="s">
        <v>27</v>
      </c>
      <c r="Q1356" s="1">
        <v>44456</v>
      </c>
    </row>
    <row r="1357" spans="1:17" x14ac:dyDescent="0.3">
      <c r="A1357" t="s">
        <v>49</v>
      </c>
      <c r="B1357" t="s">
        <v>47</v>
      </c>
      <c r="C1357" t="s">
        <v>30</v>
      </c>
      <c r="D1357" t="s">
        <v>40</v>
      </c>
      <c r="E1357" t="s">
        <v>18</v>
      </c>
      <c r="F1357" s="9">
        <v>0.14000000000000001</v>
      </c>
      <c r="G1357" s="10">
        <v>12131</v>
      </c>
      <c r="H1357">
        <v>5.82</v>
      </c>
      <c r="I1357" s="5">
        <f>ROUND(Marketing[[#This Row],[Clicks]]*Marketing[[#This Row],[Conversion_Rate]],0)</f>
        <v>81</v>
      </c>
      <c r="J1357" s="12">
        <f>Marketing[[#This Row],[Campaign_Cost]]/Marketing[[#This Row],[Customers]]</f>
        <v>149.76543209876544</v>
      </c>
      <c r="K1357" t="s">
        <v>19</v>
      </c>
      <c r="L1357" t="s">
        <v>20</v>
      </c>
      <c r="M1357">
        <v>577</v>
      </c>
      <c r="N1357">
        <v>8997</v>
      </c>
      <c r="O1357">
        <v>6</v>
      </c>
      <c r="P1357" t="s">
        <v>44</v>
      </c>
      <c r="Q1357" s="1">
        <v>44457</v>
      </c>
    </row>
    <row r="1358" spans="1:17" x14ac:dyDescent="0.3">
      <c r="A1358" t="s">
        <v>14</v>
      </c>
      <c r="B1358" t="s">
        <v>15</v>
      </c>
      <c r="C1358" t="s">
        <v>30</v>
      </c>
      <c r="D1358" t="s">
        <v>24</v>
      </c>
      <c r="E1358" t="s">
        <v>41</v>
      </c>
      <c r="F1358" s="9">
        <v>0.09</v>
      </c>
      <c r="G1358" s="10">
        <v>7151</v>
      </c>
      <c r="H1358">
        <v>7.13</v>
      </c>
      <c r="I1358" s="5">
        <f>ROUND(Marketing[[#This Row],[Clicks]]*Marketing[[#This Row],[Conversion_Rate]],0)</f>
        <v>75</v>
      </c>
      <c r="J1358" s="12">
        <f>Marketing[[#This Row],[Campaign_Cost]]/Marketing[[#This Row],[Customers]]</f>
        <v>95.346666666666664</v>
      </c>
      <c r="K1358" t="s">
        <v>38</v>
      </c>
      <c r="L1358" t="s">
        <v>39</v>
      </c>
      <c r="M1358">
        <v>834</v>
      </c>
      <c r="N1358">
        <v>9304</v>
      </c>
      <c r="O1358">
        <v>5</v>
      </c>
      <c r="P1358" t="s">
        <v>34</v>
      </c>
      <c r="Q1358" s="1">
        <v>44458</v>
      </c>
    </row>
    <row r="1359" spans="1:17" x14ac:dyDescent="0.3">
      <c r="A1359" t="s">
        <v>35</v>
      </c>
      <c r="B1359" t="s">
        <v>15</v>
      </c>
      <c r="C1359" t="s">
        <v>23</v>
      </c>
      <c r="D1359" t="s">
        <v>17</v>
      </c>
      <c r="E1359" t="s">
        <v>31</v>
      </c>
      <c r="F1359" s="9">
        <v>0.14000000000000001</v>
      </c>
      <c r="G1359" s="10">
        <v>9826</v>
      </c>
      <c r="H1359">
        <v>6.46</v>
      </c>
      <c r="I1359" s="5">
        <f>ROUND(Marketing[[#This Row],[Clicks]]*Marketing[[#This Row],[Conversion_Rate]],0)</f>
        <v>28</v>
      </c>
      <c r="J1359" s="12">
        <f>Marketing[[#This Row],[Campaign_Cost]]/Marketing[[#This Row],[Customers]]</f>
        <v>350.92857142857144</v>
      </c>
      <c r="K1359" t="s">
        <v>25</v>
      </c>
      <c r="L1359" t="s">
        <v>50</v>
      </c>
      <c r="M1359">
        <v>203</v>
      </c>
      <c r="N1359">
        <v>6759</v>
      </c>
      <c r="O1359">
        <v>3</v>
      </c>
      <c r="P1359" t="s">
        <v>34</v>
      </c>
      <c r="Q1359" s="1">
        <v>44459</v>
      </c>
    </row>
    <row r="1360" spans="1:17" x14ac:dyDescent="0.3">
      <c r="A1360" t="s">
        <v>49</v>
      </c>
      <c r="B1360" t="s">
        <v>29</v>
      </c>
      <c r="C1360" t="s">
        <v>23</v>
      </c>
      <c r="D1360" t="s">
        <v>40</v>
      </c>
      <c r="E1360" t="s">
        <v>18</v>
      </c>
      <c r="F1360" s="9">
        <v>0.14000000000000001</v>
      </c>
      <c r="G1360" s="10">
        <v>12732</v>
      </c>
      <c r="H1360">
        <v>6.26</v>
      </c>
      <c r="I1360" s="5">
        <f>ROUND(Marketing[[#This Row],[Clicks]]*Marketing[[#This Row],[Conversion_Rate]],0)</f>
        <v>60</v>
      </c>
      <c r="J1360" s="12">
        <f>Marketing[[#This Row],[Campaign_Cost]]/Marketing[[#This Row],[Customers]]</f>
        <v>212.2</v>
      </c>
      <c r="K1360" t="s">
        <v>32</v>
      </c>
      <c r="L1360" t="s">
        <v>26</v>
      </c>
      <c r="M1360">
        <v>429</v>
      </c>
      <c r="N1360">
        <v>8299</v>
      </c>
      <c r="O1360">
        <v>10</v>
      </c>
      <c r="P1360" t="s">
        <v>44</v>
      </c>
      <c r="Q1360" s="1">
        <v>44460</v>
      </c>
    </row>
    <row r="1361" spans="1:17" x14ac:dyDescent="0.3">
      <c r="A1361" t="s">
        <v>22</v>
      </c>
      <c r="B1361" t="s">
        <v>15</v>
      </c>
      <c r="C1361" t="s">
        <v>23</v>
      </c>
      <c r="D1361" t="s">
        <v>17</v>
      </c>
      <c r="E1361" t="s">
        <v>48</v>
      </c>
      <c r="F1361" s="9">
        <v>0.01</v>
      </c>
      <c r="G1361" s="10">
        <v>5066</v>
      </c>
      <c r="H1361">
        <v>4.93</v>
      </c>
      <c r="I1361" s="5">
        <f>ROUND(Marketing[[#This Row],[Clicks]]*Marketing[[#This Row],[Conversion_Rate]],0)</f>
        <v>2</v>
      </c>
      <c r="J1361" s="12">
        <f>Marketing[[#This Row],[Campaign_Cost]]/Marketing[[#This Row],[Customers]]</f>
        <v>2533</v>
      </c>
      <c r="K1361" t="s">
        <v>38</v>
      </c>
      <c r="L1361" t="s">
        <v>50</v>
      </c>
      <c r="M1361">
        <v>151</v>
      </c>
      <c r="N1361">
        <v>3567</v>
      </c>
      <c r="O1361">
        <v>7</v>
      </c>
      <c r="P1361" t="s">
        <v>21</v>
      </c>
      <c r="Q1361" s="1">
        <v>44461</v>
      </c>
    </row>
    <row r="1362" spans="1:17" x14ac:dyDescent="0.3">
      <c r="A1362" t="s">
        <v>22</v>
      </c>
      <c r="B1362" t="s">
        <v>47</v>
      </c>
      <c r="C1362" t="s">
        <v>52</v>
      </c>
      <c r="D1362" t="s">
        <v>40</v>
      </c>
      <c r="E1362" t="s">
        <v>31</v>
      </c>
      <c r="F1362" s="9">
        <v>0.01</v>
      </c>
      <c r="G1362" s="10">
        <v>12095</v>
      </c>
      <c r="H1362">
        <v>5.85</v>
      </c>
      <c r="I1362" s="5">
        <f>ROUND(Marketing[[#This Row],[Clicks]]*Marketing[[#This Row],[Conversion_Rate]],0)</f>
        <v>6</v>
      </c>
      <c r="J1362" s="12">
        <f>Marketing[[#This Row],[Campaign_Cost]]/Marketing[[#This Row],[Customers]]</f>
        <v>2015.8333333333333</v>
      </c>
      <c r="K1362" t="s">
        <v>38</v>
      </c>
      <c r="L1362" t="s">
        <v>33</v>
      </c>
      <c r="M1362">
        <v>613</v>
      </c>
      <c r="N1362">
        <v>6300</v>
      </c>
      <c r="O1362">
        <v>2</v>
      </c>
      <c r="P1362" t="s">
        <v>27</v>
      </c>
      <c r="Q1362" s="1">
        <v>44462</v>
      </c>
    </row>
    <row r="1363" spans="1:17" x14ac:dyDescent="0.3">
      <c r="A1363" t="s">
        <v>35</v>
      </c>
      <c r="B1363" t="s">
        <v>15</v>
      </c>
      <c r="C1363" t="s">
        <v>16</v>
      </c>
      <c r="D1363" t="s">
        <v>17</v>
      </c>
      <c r="E1363" t="s">
        <v>41</v>
      </c>
      <c r="F1363" s="9">
        <v>0.02</v>
      </c>
      <c r="G1363" s="10">
        <v>15577</v>
      </c>
      <c r="H1363">
        <v>2.23</v>
      </c>
      <c r="I1363" s="5">
        <f>ROUND(Marketing[[#This Row],[Clicks]]*Marketing[[#This Row],[Conversion_Rate]],0)</f>
        <v>18</v>
      </c>
      <c r="J1363" s="12">
        <f>Marketing[[#This Row],[Campaign_Cost]]/Marketing[[#This Row],[Customers]]</f>
        <v>865.38888888888891</v>
      </c>
      <c r="K1363" t="s">
        <v>19</v>
      </c>
      <c r="L1363" t="s">
        <v>39</v>
      </c>
      <c r="M1363">
        <v>906</v>
      </c>
      <c r="N1363">
        <v>8752</v>
      </c>
      <c r="O1363">
        <v>5</v>
      </c>
      <c r="P1363" t="s">
        <v>44</v>
      </c>
      <c r="Q1363" s="1">
        <v>44463</v>
      </c>
    </row>
    <row r="1364" spans="1:17" x14ac:dyDescent="0.3">
      <c r="A1364" t="s">
        <v>14</v>
      </c>
      <c r="B1364" t="s">
        <v>36</v>
      </c>
      <c r="C1364" t="s">
        <v>16</v>
      </c>
      <c r="D1364" t="s">
        <v>17</v>
      </c>
      <c r="E1364" t="s">
        <v>31</v>
      </c>
      <c r="F1364" s="9">
        <v>0.05</v>
      </c>
      <c r="G1364" s="10">
        <v>8134</v>
      </c>
      <c r="H1364">
        <v>4.97</v>
      </c>
      <c r="I1364" s="5">
        <f>ROUND(Marketing[[#This Row],[Clicks]]*Marketing[[#This Row],[Conversion_Rate]],0)</f>
        <v>31</v>
      </c>
      <c r="J1364" s="12">
        <f>Marketing[[#This Row],[Campaign_Cost]]/Marketing[[#This Row],[Customers]]</f>
        <v>262.38709677419354</v>
      </c>
      <c r="K1364" t="s">
        <v>38</v>
      </c>
      <c r="L1364" t="s">
        <v>33</v>
      </c>
      <c r="M1364">
        <v>628</v>
      </c>
      <c r="N1364">
        <v>1668</v>
      </c>
      <c r="O1364">
        <v>6</v>
      </c>
      <c r="P1364" t="s">
        <v>42</v>
      </c>
      <c r="Q1364" s="1">
        <v>44464</v>
      </c>
    </row>
    <row r="1365" spans="1:17" x14ac:dyDescent="0.3">
      <c r="A1365" t="s">
        <v>35</v>
      </c>
      <c r="B1365" t="s">
        <v>45</v>
      </c>
      <c r="C1365" t="s">
        <v>23</v>
      </c>
      <c r="D1365" t="s">
        <v>17</v>
      </c>
      <c r="E1365" t="s">
        <v>41</v>
      </c>
      <c r="F1365" s="9">
        <v>0.11</v>
      </c>
      <c r="G1365" s="10">
        <v>14489</v>
      </c>
      <c r="H1365">
        <v>7.44</v>
      </c>
      <c r="I1365" s="5">
        <f>ROUND(Marketing[[#This Row],[Clicks]]*Marketing[[#This Row],[Conversion_Rate]],0)</f>
        <v>44</v>
      </c>
      <c r="J1365" s="12">
        <f>Marketing[[#This Row],[Campaign_Cost]]/Marketing[[#This Row],[Customers]]</f>
        <v>329.29545454545456</v>
      </c>
      <c r="K1365" t="s">
        <v>51</v>
      </c>
      <c r="L1365" t="s">
        <v>20</v>
      </c>
      <c r="M1365">
        <v>404</v>
      </c>
      <c r="N1365">
        <v>1442</v>
      </c>
      <c r="O1365">
        <v>4</v>
      </c>
      <c r="P1365" t="s">
        <v>34</v>
      </c>
      <c r="Q1365" s="1">
        <v>44465</v>
      </c>
    </row>
    <row r="1366" spans="1:17" x14ac:dyDescent="0.3">
      <c r="A1366" t="s">
        <v>22</v>
      </c>
      <c r="B1366" t="s">
        <v>45</v>
      </c>
      <c r="C1366" t="s">
        <v>23</v>
      </c>
      <c r="D1366" t="s">
        <v>24</v>
      </c>
      <c r="E1366" t="s">
        <v>43</v>
      </c>
      <c r="F1366" s="9">
        <v>0.1</v>
      </c>
      <c r="G1366" s="10">
        <v>15059</v>
      </c>
      <c r="H1366">
        <v>2.91</v>
      </c>
      <c r="I1366" s="5">
        <f>ROUND(Marketing[[#This Row],[Clicks]]*Marketing[[#This Row],[Conversion_Rate]],0)</f>
        <v>99</v>
      </c>
      <c r="J1366" s="12">
        <f>Marketing[[#This Row],[Campaign_Cost]]/Marketing[[#This Row],[Customers]]</f>
        <v>152.11111111111111</v>
      </c>
      <c r="K1366" t="s">
        <v>19</v>
      </c>
      <c r="L1366" t="s">
        <v>20</v>
      </c>
      <c r="M1366">
        <v>993</v>
      </c>
      <c r="N1366">
        <v>4021</v>
      </c>
      <c r="O1366">
        <v>10</v>
      </c>
      <c r="P1366" t="s">
        <v>34</v>
      </c>
      <c r="Q1366" s="1">
        <v>44466</v>
      </c>
    </row>
    <row r="1367" spans="1:17" x14ac:dyDescent="0.3">
      <c r="A1367" t="s">
        <v>22</v>
      </c>
      <c r="B1367" t="s">
        <v>47</v>
      </c>
      <c r="C1367" t="s">
        <v>30</v>
      </c>
      <c r="D1367" t="s">
        <v>17</v>
      </c>
      <c r="E1367" t="s">
        <v>15</v>
      </c>
      <c r="F1367" s="9">
        <v>0.03</v>
      </c>
      <c r="G1367" s="10">
        <v>6360</v>
      </c>
      <c r="H1367">
        <v>3.7</v>
      </c>
      <c r="I1367" s="5">
        <f>ROUND(Marketing[[#This Row],[Clicks]]*Marketing[[#This Row],[Conversion_Rate]],0)</f>
        <v>20</v>
      </c>
      <c r="J1367" s="12">
        <f>Marketing[[#This Row],[Campaign_Cost]]/Marketing[[#This Row],[Customers]]</f>
        <v>318</v>
      </c>
      <c r="K1367" t="s">
        <v>25</v>
      </c>
      <c r="L1367" t="s">
        <v>50</v>
      </c>
      <c r="M1367">
        <v>654</v>
      </c>
      <c r="N1367">
        <v>3251</v>
      </c>
      <c r="O1367">
        <v>9</v>
      </c>
      <c r="P1367" t="s">
        <v>34</v>
      </c>
      <c r="Q1367" s="1">
        <v>44467</v>
      </c>
    </row>
    <row r="1368" spans="1:17" x14ac:dyDescent="0.3">
      <c r="A1368" t="s">
        <v>28</v>
      </c>
      <c r="B1368" t="s">
        <v>29</v>
      </c>
      <c r="C1368" t="s">
        <v>30</v>
      </c>
      <c r="D1368" t="s">
        <v>40</v>
      </c>
      <c r="E1368" t="s">
        <v>15</v>
      </c>
      <c r="F1368" s="9">
        <v>0.12</v>
      </c>
      <c r="G1368" s="10">
        <v>7266</v>
      </c>
      <c r="H1368">
        <v>3.16</v>
      </c>
      <c r="I1368" s="5">
        <f>ROUND(Marketing[[#This Row],[Clicks]]*Marketing[[#This Row],[Conversion_Rate]],0)</f>
        <v>60</v>
      </c>
      <c r="J1368" s="12">
        <f>Marketing[[#This Row],[Campaign_Cost]]/Marketing[[#This Row],[Customers]]</f>
        <v>121.1</v>
      </c>
      <c r="K1368" t="s">
        <v>32</v>
      </c>
      <c r="L1368" t="s">
        <v>50</v>
      </c>
      <c r="M1368">
        <v>497</v>
      </c>
      <c r="N1368">
        <v>5273</v>
      </c>
      <c r="O1368">
        <v>2</v>
      </c>
      <c r="P1368" t="s">
        <v>34</v>
      </c>
      <c r="Q1368" s="1">
        <v>44468</v>
      </c>
    </row>
    <row r="1369" spans="1:17" x14ac:dyDescent="0.3">
      <c r="A1369" t="s">
        <v>22</v>
      </c>
      <c r="B1369" t="s">
        <v>45</v>
      </c>
      <c r="C1369" t="s">
        <v>30</v>
      </c>
      <c r="D1369" t="s">
        <v>40</v>
      </c>
      <c r="E1369" t="s">
        <v>41</v>
      </c>
      <c r="F1369" s="9">
        <v>0.03</v>
      </c>
      <c r="G1369" s="10">
        <v>18544</v>
      </c>
      <c r="H1369">
        <v>2.93</v>
      </c>
      <c r="I1369" s="5">
        <f>ROUND(Marketing[[#This Row],[Clicks]]*Marketing[[#This Row],[Conversion_Rate]],0)</f>
        <v>4</v>
      </c>
      <c r="J1369" s="12">
        <f>Marketing[[#This Row],[Campaign_Cost]]/Marketing[[#This Row],[Customers]]</f>
        <v>4636</v>
      </c>
      <c r="K1369" t="s">
        <v>38</v>
      </c>
      <c r="L1369" t="s">
        <v>26</v>
      </c>
      <c r="M1369">
        <v>134</v>
      </c>
      <c r="N1369">
        <v>2194</v>
      </c>
      <c r="O1369">
        <v>10</v>
      </c>
      <c r="P1369" t="s">
        <v>21</v>
      </c>
      <c r="Q1369" s="1">
        <v>44469</v>
      </c>
    </row>
    <row r="1370" spans="1:17" x14ac:dyDescent="0.3">
      <c r="A1370" t="s">
        <v>28</v>
      </c>
      <c r="B1370" t="s">
        <v>47</v>
      </c>
      <c r="C1370" t="s">
        <v>23</v>
      </c>
      <c r="D1370" t="s">
        <v>46</v>
      </c>
      <c r="E1370" t="s">
        <v>41</v>
      </c>
      <c r="F1370" s="9">
        <v>0.12</v>
      </c>
      <c r="G1370" s="10">
        <v>14239</v>
      </c>
      <c r="H1370">
        <v>5.08</v>
      </c>
      <c r="I1370" s="5">
        <f>ROUND(Marketing[[#This Row],[Clicks]]*Marketing[[#This Row],[Conversion_Rate]],0)</f>
        <v>27</v>
      </c>
      <c r="J1370" s="12">
        <f>Marketing[[#This Row],[Campaign_Cost]]/Marketing[[#This Row],[Customers]]</f>
        <v>527.37037037037032</v>
      </c>
      <c r="K1370" t="s">
        <v>19</v>
      </c>
      <c r="L1370" t="s">
        <v>50</v>
      </c>
      <c r="M1370">
        <v>221</v>
      </c>
      <c r="N1370">
        <v>2675</v>
      </c>
      <c r="O1370">
        <v>2</v>
      </c>
      <c r="P1370" t="s">
        <v>21</v>
      </c>
      <c r="Q1370" s="1">
        <v>44470</v>
      </c>
    </row>
    <row r="1371" spans="1:17" x14ac:dyDescent="0.3">
      <c r="A1371" t="s">
        <v>49</v>
      </c>
      <c r="B1371" t="s">
        <v>47</v>
      </c>
      <c r="C1371" t="s">
        <v>30</v>
      </c>
      <c r="D1371" t="s">
        <v>24</v>
      </c>
      <c r="E1371" t="s">
        <v>15</v>
      </c>
      <c r="F1371" s="9">
        <v>0.09</v>
      </c>
      <c r="G1371" s="10">
        <v>10370</v>
      </c>
      <c r="H1371">
        <v>6.64</v>
      </c>
      <c r="I1371" s="5">
        <f>ROUND(Marketing[[#This Row],[Clicks]]*Marketing[[#This Row],[Conversion_Rate]],0)</f>
        <v>67</v>
      </c>
      <c r="J1371" s="12">
        <f>Marketing[[#This Row],[Campaign_Cost]]/Marketing[[#This Row],[Customers]]</f>
        <v>154.77611940298507</v>
      </c>
      <c r="K1371" t="s">
        <v>51</v>
      </c>
      <c r="L1371" t="s">
        <v>50</v>
      </c>
      <c r="M1371">
        <v>748</v>
      </c>
      <c r="N1371">
        <v>9165</v>
      </c>
      <c r="O1371">
        <v>5</v>
      </c>
      <c r="P1371" t="s">
        <v>42</v>
      </c>
      <c r="Q1371" s="1">
        <v>44471</v>
      </c>
    </row>
    <row r="1372" spans="1:17" x14ac:dyDescent="0.3">
      <c r="A1372" t="s">
        <v>35</v>
      </c>
      <c r="B1372" t="s">
        <v>29</v>
      </c>
      <c r="C1372" t="s">
        <v>23</v>
      </c>
      <c r="D1372" t="s">
        <v>46</v>
      </c>
      <c r="E1372" t="s">
        <v>41</v>
      </c>
      <c r="F1372" s="9">
        <v>0.1</v>
      </c>
      <c r="G1372" s="10">
        <v>17493</v>
      </c>
      <c r="H1372">
        <v>7.64</v>
      </c>
      <c r="I1372" s="5">
        <f>ROUND(Marketing[[#This Row],[Clicks]]*Marketing[[#This Row],[Conversion_Rate]],0)</f>
        <v>37</v>
      </c>
      <c r="J1372" s="12">
        <f>Marketing[[#This Row],[Campaign_Cost]]/Marketing[[#This Row],[Customers]]</f>
        <v>472.7837837837838</v>
      </c>
      <c r="K1372" t="s">
        <v>51</v>
      </c>
      <c r="L1372" t="s">
        <v>50</v>
      </c>
      <c r="M1372">
        <v>369</v>
      </c>
      <c r="N1372">
        <v>1706</v>
      </c>
      <c r="O1372">
        <v>3</v>
      </c>
      <c r="P1372" t="s">
        <v>42</v>
      </c>
      <c r="Q1372" s="1">
        <v>44472</v>
      </c>
    </row>
    <row r="1373" spans="1:17" x14ac:dyDescent="0.3">
      <c r="A1373" t="s">
        <v>28</v>
      </c>
      <c r="B1373" t="s">
        <v>36</v>
      </c>
      <c r="C1373" t="s">
        <v>52</v>
      </c>
      <c r="D1373" t="s">
        <v>24</v>
      </c>
      <c r="E1373" t="s">
        <v>15</v>
      </c>
      <c r="F1373" s="9">
        <v>0.04</v>
      </c>
      <c r="G1373" s="10">
        <v>17133</v>
      </c>
      <c r="H1373">
        <v>2.16</v>
      </c>
      <c r="I1373" s="5">
        <f>ROUND(Marketing[[#This Row],[Clicks]]*Marketing[[#This Row],[Conversion_Rate]],0)</f>
        <v>37</v>
      </c>
      <c r="J1373" s="12">
        <f>Marketing[[#This Row],[Campaign_Cost]]/Marketing[[#This Row],[Customers]]</f>
        <v>463.05405405405406</v>
      </c>
      <c r="K1373" t="s">
        <v>25</v>
      </c>
      <c r="L1373" t="s">
        <v>33</v>
      </c>
      <c r="M1373">
        <v>936</v>
      </c>
      <c r="N1373">
        <v>5644</v>
      </c>
      <c r="O1373">
        <v>7</v>
      </c>
      <c r="P1373" t="s">
        <v>34</v>
      </c>
      <c r="Q1373" s="1">
        <v>44473</v>
      </c>
    </row>
    <row r="1374" spans="1:17" x14ac:dyDescent="0.3">
      <c r="A1374" t="s">
        <v>49</v>
      </c>
      <c r="B1374" t="s">
        <v>36</v>
      </c>
      <c r="C1374" t="s">
        <v>37</v>
      </c>
      <c r="D1374" t="s">
        <v>17</v>
      </c>
      <c r="E1374" t="s">
        <v>41</v>
      </c>
      <c r="F1374" s="9">
        <v>0.08</v>
      </c>
      <c r="G1374" s="10">
        <v>10896</v>
      </c>
      <c r="H1374">
        <v>6.67</v>
      </c>
      <c r="I1374" s="5">
        <f>ROUND(Marketing[[#This Row],[Clicks]]*Marketing[[#This Row],[Conversion_Rate]],0)</f>
        <v>64</v>
      </c>
      <c r="J1374" s="12">
        <f>Marketing[[#This Row],[Campaign_Cost]]/Marketing[[#This Row],[Customers]]</f>
        <v>170.25</v>
      </c>
      <c r="K1374" t="s">
        <v>32</v>
      </c>
      <c r="L1374" t="s">
        <v>20</v>
      </c>
      <c r="M1374">
        <v>799</v>
      </c>
      <c r="N1374">
        <v>7233</v>
      </c>
      <c r="O1374">
        <v>4</v>
      </c>
      <c r="P1374" t="s">
        <v>21</v>
      </c>
      <c r="Q1374" s="1">
        <v>44474</v>
      </c>
    </row>
    <row r="1375" spans="1:17" x14ac:dyDescent="0.3">
      <c r="A1375" t="s">
        <v>28</v>
      </c>
      <c r="B1375" t="s">
        <v>36</v>
      </c>
      <c r="C1375" t="s">
        <v>23</v>
      </c>
      <c r="D1375" t="s">
        <v>24</v>
      </c>
      <c r="E1375" t="s">
        <v>18</v>
      </c>
      <c r="F1375" s="9">
        <v>0.03</v>
      </c>
      <c r="G1375" s="10">
        <v>17088</v>
      </c>
      <c r="H1375">
        <v>7.09</v>
      </c>
      <c r="I1375" s="5">
        <f>ROUND(Marketing[[#This Row],[Clicks]]*Marketing[[#This Row],[Conversion_Rate]],0)</f>
        <v>7</v>
      </c>
      <c r="J1375" s="12">
        <f>Marketing[[#This Row],[Campaign_Cost]]/Marketing[[#This Row],[Customers]]</f>
        <v>2441.1428571428573</v>
      </c>
      <c r="K1375" t="s">
        <v>51</v>
      </c>
      <c r="L1375" t="s">
        <v>33</v>
      </c>
      <c r="M1375">
        <v>241</v>
      </c>
      <c r="N1375">
        <v>9598</v>
      </c>
      <c r="O1375">
        <v>7</v>
      </c>
      <c r="P1375" t="s">
        <v>44</v>
      </c>
      <c r="Q1375" s="1">
        <v>44475</v>
      </c>
    </row>
    <row r="1376" spans="1:17" x14ac:dyDescent="0.3">
      <c r="A1376" t="s">
        <v>22</v>
      </c>
      <c r="B1376" t="s">
        <v>36</v>
      </c>
      <c r="C1376" t="s">
        <v>30</v>
      </c>
      <c r="D1376" t="s">
        <v>17</v>
      </c>
      <c r="E1376" t="s">
        <v>43</v>
      </c>
      <c r="F1376" s="9">
        <v>0.12</v>
      </c>
      <c r="G1376" s="10">
        <v>10683</v>
      </c>
      <c r="H1376">
        <v>2.37</v>
      </c>
      <c r="I1376" s="5">
        <f>ROUND(Marketing[[#This Row],[Clicks]]*Marketing[[#This Row],[Conversion_Rate]],0)</f>
        <v>18</v>
      </c>
      <c r="J1376" s="12">
        <f>Marketing[[#This Row],[Campaign_Cost]]/Marketing[[#This Row],[Customers]]</f>
        <v>593.5</v>
      </c>
      <c r="K1376" t="s">
        <v>25</v>
      </c>
      <c r="L1376" t="s">
        <v>50</v>
      </c>
      <c r="M1376">
        <v>150</v>
      </c>
      <c r="N1376">
        <v>2376</v>
      </c>
      <c r="O1376">
        <v>2</v>
      </c>
      <c r="P1376" t="s">
        <v>34</v>
      </c>
      <c r="Q1376" s="1">
        <v>44476</v>
      </c>
    </row>
    <row r="1377" spans="1:17" x14ac:dyDescent="0.3">
      <c r="A1377" t="s">
        <v>49</v>
      </c>
      <c r="B1377" t="s">
        <v>15</v>
      </c>
      <c r="C1377" t="s">
        <v>52</v>
      </c>
      <c r="D1377" t="s">
        <v>17</v>
      </c>
      <c r="E1377" t="s">
        <v>15</v>
      </c>
      <c r="F1377" s="9">
        <v>0.14000000000000001</v>
      </c>
      <c r="G1377" s="10">
        <v>13654</v>
      </c>
      <c r="H1377">
        <v>4.82</v>
      </c>
      <c r="I1377" s="5">
        <f>ROUND(Marketing[[#This Row],[Clicks]]*Marketing[[#This Row],[Conversion_Rate]],0)</f>
        <v>86</v>
      </c>
      <c r="J1377" s="12">
        <f>Marketing[[#This Row],[Campaign_Cost]]/Marketing[[#This Row],[Customers]]</f>
        <v>158.76744186046511</v>
      </c>
      <c r="K1377" t="s">
        <v>38</v>
      </c>
      <c r="L1377" t="s">
        <v>26</v>
      </c>
      <c r="M1377">
        <v>614</v>
      </c>
      <c r="N1377">
        <v>3705</v>
      </c>
      <c r="O1377">
        <v>4</v>
      </c>
      <c r="P1377" t="s">
        <v>42</v>
      </c>
      <c r="Q1377" s="1">
        <v>44477</v>
      </c>
    </row>
    <row r="1378" spans="1:17" x14ac:dyDescent="0.3">
      <c r="A1378" t="s">
        <v>35</v>
      </c>
      <c r="B1378" t="s">
        <v>45</v>
      </c>
      <c r="C1378" t="s">
        <v>30</v>
      </c>
      <c r="D1378" t="s">
        <v>24</v>
      </c>
      <c r="E1378" t="s">
        <v>31</v>
      </c>
      <c r="F1378" s="9">
        <v>0.06</v>
      </c>
      <c r="G1378" s="10">
        <v>17232</v>
      </c>
      <c r="H1378">
        <v>3.27</v>
      </c>
      <c r="I1378" s="5">
        <f>ROUND(Marketing[[#This Row],[Clicks]]*Marketing[[#This Row],[Conversion_Rate]],0)</f>
        <v>38</v>
      </c>
      <c r="J1378" s="12">
        <f>Marketing[[#This Row],[Campaign_Cost]]/Marketing[[#This Row],[Customers]]</f>
        <v>453.4736842105263</v>
      </c>
      <c r="K1378" t="s">
        <v>25</v>
      </c>
      <c r="L1378" t="s">
        <v>39</v>
      </c>
      <c r="M1378">
        <v>640</v>
      </c>
      <c r="N1378">
        <v>4872</v>
      </c>
      <c r="O1378">
        <v>9</v>
      </c>
      <c r="P1378" t="s">
        <v>44</v>
      </c>
      <c r="Q1378" s="1">
        <v>44478</v>
      </c>
    </row>
    <row r="1379" spans="1:17" x14ac:dyDescent="0.3">
      <c r="A1379" t="s">
        <v>35</v>
      </c>
      <c r="B1379" t="s">
        <v>47</v>
      </c>
      <c r="C1379" t="s">
        <v>23</v>
      </c>
      <c r="D1379" t="s">
        <v>24</v>
      </c>
      <c r="E1379" t="s">
        <v>41</v>
      </c>
      <c r="F1379" s="9">
        <v>0.03</v>
      </c>
      <c r="G1379" s="10">
        <v>17598</v>
      </c>
      <c r="H1379">
        <v>2.5</v>
      </c>
      <c r="I1379" s="5">
        <f>ROUND(Marketing[[#This Row],[Clicks]]*Marketing[[#This Row],[Conversion_Rate]],0)</f>
        <v>20</v>
      </c>
      <c r="J1379" s="12">
        <f>Marketing[[#This Row],[Campaign_Cost]]/Marketing[[#This Row],[Customers]]</f>
        <v>879.9</v>
      </c>
      <c r="K1379" t="s">
        <v>25</v>
      </c>
      <c r="L1379" t="s">
        <v>20</v>
      </c>
      <c r="M1379">
        <v>674</v>
      </c>
      <c r="N1379">
        <v>4116</v>
      </c>
      <c r="O1379">
        <v>3</v>
      </c>
      <c r="P1379" t="s">
        <v>42</v>
      </c>
      <c r="Q1379" s="1">
        <v>44479</v>
      </c>
    </row>
    <row r="1380" spans="1:17" x14ac:dyDescent="0.3">
      <c r="A1380" t="s">
        <v>22</v>
      </c>
      <c r="B1380" t="s">
        <v>15</v>
      </c>
      <c r="C1380" t="s">
        <v>30</v>
      </c>
      <c r="D1380" t="s">
        <v>40</v>
      </c>
      <c r="E1380" t="s">
        <v>48</v>
      </c>
      <c r="F1380" s="9">
        <v>0.01</v>
      </c>
      <c r="G1380" s="10">
        <v>18795</v>
      </c>
      <c r="H1380">
        <v>2.4300000000000002</v>
      </c>
      <c r="I1380" s="5">
        <f>ROUND(Marketing[[#This Row],[Clicks]]*Marketing[[#This Row],[Conversion_Rate]],0)</f>
        <v>9</v>
      </c>
      <c r="J1380" s="12">
        <f>Marketing[[#This Row],[Campaign_Cost]]/Marketing[[#This Row],[Customers]]</f>
        <v>2088.3333333333335</v>
      </c>
      <c r="K1380" t="s">
        <v>51</v>
      </c>
      <c r="L1380" t="s">
        <v>50</v>
      </c>
      <c r="M1380">
        <v>949</v>
      </c>
      <c r="N1380">
        <v>7338</v>
      </c>
      <c r="O1380">
        <v>4</v>
      </c>
      <c r="P1380" t="s">
        <v>44</v>
      </c>
      <c r="Q1380" s="1">
        <v>44480</v>
      </c>
    </row>
    <row r="1381" spans="1:17" x14ac:dyDescent="0.3">
      <c r="A1381" t="s">
        <v>35</v>
      </c>
      <c r="B1381" t="s">
        <v>15</v>
      </c>
      <c r="C1381" t="s">
        <v>52</v>
      </c>
      <c r="D1381" t="s">
        <v>17</v>
      </c>
      <c r="E1381" t="s">
        <v>43</v>
      </c>
      <c r="F1381" s="9">
        <v>0.04</v>
      </c>
      <c r="G1381" s="10">
        <v>10826</v>
      </c>
      <c r="H1381">
        <v>3.37</v>
      </c>
      <c r="I1381" s="5">
        <f>ROUND(Marketing[[#This Row],[Clicks]]*Marketing[[#This Row],[Conversion_Rate]],0)</f>
        <v>34</v>
      </c>
      <c r="J1381" s="12">
        <f>Marketing[[#This Row],[Campaign_Cost]]/Marketing[[#This Row],[Customers]]</f>
        <v>318.41176470588238</v>
      </c>
      <c r="K1381" t="s">
        <v>51</v>
      </c>
      <c r="L1381" t="s">
        <v>33</v>
      </c>
      <c r="M1381">
        <v>855</v>
      </c>
      <c r="N1381">
        <v>5149</v>
      </c>
      <c r="O1381">
        <v>9</v>
      </c>
      <c r="P1381" t="s">
        <v>34</v>
      </c>
      <c r="Q1381" s="1">
        <v>44481</v>
      </c>
    </row>
    <row r="1382" spans="1:17" x14ac:dyDescent="0.3">
      <c r="A1382" t="s">
        <v>28</v>
      </c>
      <c r="B1382" t="s">
        <v>36</v>
      </c>
      <c r="C1382" t="s">
        <v>52</v>
      </c>
      <c r="D1382" t="s">
        <v>46</v>
      </c>
      <c r="E1382" t="s">
        <v>41</v>
      </c>
      <c r="F1382" s="9">
        <v>0.04</v>
      </c>
      <c r="G1382" s="10">
        <v>5615</v>
      </c>
      <c r="H1382">
        <v>2</v>
      </c>
      <c r="I1382" s="5">
        <f>ROUND(Marketing[[#This Row],[Clicks]]*Marketing[[#This Row],[Conversion_Rate]],0)</f>
        <v>14</v>
      </c>
      <c r="J1382" s="12">
        <f>Marketing[[#This Row],[Campaign_Cost]]/Marketing[[#This Row],[Customers]]</f>
        <v>401.07142857142856</v>
      </c>
      <c r="K1382" t="s">
        <v>25</v>
      </c>
      <c r="L1382" t="s">
        <v>50</v>
      </c>
      <c r="M1382">
        <v>359</v>
      </c>
      <c r="N1382">
        <v>3159</v>
      </c>
      <c r="O1382">
        <v>10</v>
      </c>
      <c r="P1382" t="s">
        <v>44</v>
      </c>
      <c r="Q1382" s="1">
        <v>44482</v>
      </c>
    </row>
    <row r="1383" spans="1:17" x14ac:dyDescent="0.3">
      <c r="A1383" t="s">
        <v>14</v>
      </c>
      <c r="B1383" t="s">
        <v>45</v>
      </c>
      <c r="C1383" t="s">
        <v>23</v>
      </c>
      <c r="D1383" t="s">
        <v>40</v>
      </c>
      <c r="E1383" t="s">
        <v>41</v>
      </c>
      <c r="F1383" s="9">
        <v>0.11</v>
      </c>
      <c r="G1383" s="10">
        <v>16604</v>
      </c>
      <c r="H1383">
        <v>5.39</v>
      </c>
      <c r="I1383" s="5">
        <f>ROUND(Marketing[[#This Row],[Clicks]]*Marketing[[#This Row],[Conversion_Rate]],0)</f>
        <v>98</v>
      </c>
      <c r="J1383" s="12">
        <f>Marketing[[#This Row],[Campaign_Cost]]/Marketing[[#This Row],[Customers]]</f>
        <v>169.42857142857142</v>
      </c>
      <c r="K1383" t="s">
        <v>32</v>
      </c>
      <c r="L1383" t="s">
        <v>50</v>
      </c>
      <c r="M1383">
        <v>895</v>
      </c>
      <c r="N1383">
        <v>8738</v>
      </c>
      <c r="O1383">
        <v>3</v>
      </c>
      <c r="P1383" t="s">
        <v>34</v>
      </c>
      <c r="Q1383" s="1">
        <v>44483</v>
      </c>
    </row>
    <row r="1384" spans="1:17" x14ac:dyDescent="0.3">
      <c r="A1384" t="s">
        <v>49</v>
      </c>
      <c r="B1384" t="s">
        <v>45</v>
      </c>
      <c r="C1384" t="s">
        <v>16</v>
      </c>
      <c r="D1384" t="s">
        <v>17</v>
      </c>
      <c r="E1384" t="s">
        <v>43</v>
      </c>
      <c r="F1384" s="9">
        <v>0.03</v>
      </c>
      <c r="G1384" s="10">
        <v>15809</v>
      </c>
      <c r="H1384">
        <v>5.7</v>
      </c>
      <c r="I1384" s="5">
        <f>ROUND(Marketing[[#This Row],[Clicks]]*Marketing[[#This Row],[Conversion_Rate]],0)</f>
        <v>14</v>
      </c>
      <c r="J1384" s="12">
        <f>Marketing[[#This Row],[Campaign_Cost]]/Marketing[[#This Row],[Customers]]</f>
        <v>1129.2142857142858</v>
      </c>
      <c r="K1384" t="s">
        <v>32</v>
      </c>
      <c r="L1384" t="s">
        <v>26</v>
      </c>
      <c r="M1384">
        <v>478</v>
      </c>
      <c r="N1384">
        <v>8731</v>
      </c>
      <c r="O1384">
        <v>10</v>
      </c>
      <c r="P1384" t="s">
        <v>42</v>
      </c>
      <c r="Q1384" s="1">
        <v>44484</v>
      </c>
    </row>
    <row r="1385" spans="1:17" x14ac:dyDescent="0.3">
      <c r="A1385" t="s">
        <v>22</v>
      </c>
      <c r="B1385" t="s">
        <v>45</v>
      </c>
      <c r="C1385" t="s">
        <v>23</v>
      </c>
      <c r="D1385" t="s">
        <v>46</v>
      </c>
      <c r="E1385" t="s">
        <v>15</v>
      </c>
      <c r="F1385" s="9">
        <v>0.06</v>
      </c>
      <c r="G1385" s="10">
        <v>6171</v>
      </c>
      <c r="H1385">
        <v>2.68</v>
      </c>
      <c r="I1385" s="5">
        <f>ROUND(Marketing[[#This Row],[Clicks]]*Marketing[[#This Row],[Conversion_Rate]],0)</f>
        <v>19</v>
      </c>
      <c r="J1385" s="12">
        <f>Marketing[[#This Row],[Campaign_Cost]]/Marketing[[#This Row],[Customers]]</f>
        <v>324.78947368421052</v>
      </c>
      <c r="K1385" t="s">
        <v>25</v>
      </c>
      <c r="L1385" t="s">
        <v>39</v>
      </c>
      <c r="M1385">
        <v>322</v>
      </c>
      <c r="N1385">
        <v>9977</v>
      </c>
      <c r="O1385">
        <v>8</v>
      </c>
      <c r="P1385" t="s">
        <v>21</v>
      </c>
      <c r="Q1385" s="1">
        <v>44485</v>
      </c>
    </row>
    <row r="1386" spans="1:17" x14ac:dyDescent="0.3">
      <c r="A1386" t="s">
        <v>49</v>
      </c>
      <c r="B1386" t="s">
        <v>45</v>
      </c>
      <c r="C1386" t="s">
        <v>16</v>
      </c>
      <c r="D1386" t="s">
        <v>17</v>
      </c>
      <c r="E1386" t="s">
        <v>15</v>
      </c>
      <c r="F1386" s="9">
        <v>0.08</v>
      </c>
      <c r="G1386" s="10">
        <v>18563</v>
      </c>
      <c r="H1386">
        <v>4.88</v>
      </c>
      <c r="I1386" s="5">
        <f>ROUND(Marketing[[#This Row],[Clicks]]*Marketing[[#This Row],[Conversion_Rate]],0)</f>
        <v>12</v>
      </c>
      <c r="J1386" s="12">
        <f>Marketing[[#This Row],[Campaign_Cost]]/Marketing[[#This Row],[Customers]]</f>
        <v>1546.9166666666667</v>
      </c>
      <c r="K1386" t="s">
        <v>51</v>
      </c>
      <c r="L1386" t="s">
        <v>20</v>
      </c>
      <c r="M1386">
        <v>153</v>
      </c>
      <c r="N1386">
        <v>9046</v>
      </c>
      <c r="O1386">
        <v>9</v>
      </c>
      <c r="P1386" t="s">
        <v>21</v>
      </c>
      <c r="Q1386" s="1">
        <v>44486</v>
      </c>
    </row>
    <row r="1387" spans="1:17" x14ac:dyDescent="0.3">
      <c r="A1387" t="s">
        <v>28</v>
      </c>
      <c r="B1387" t="s">
        <v>29</v>
      </c>
      <c r="C1387" t="s">
        <v>37</v>
      </c>
      <c r="D1387" t="s">
        <v>17</v>
      </c>
      <c r="E1387" t="s">
        <v>15</v>
      </c>
      <c r="F1387" s="9">
        <v>0.06</v>
      </c>
      <c r="G1387" s="10">
        <v>9613</v>
      </c>
      <c r="H1387">
        <v>3.61</v>
      </c>
      <c r="I1387" s="5">
        <f>ROUND(Marketing[[#This Row],[Clicks]]*Marketing[[#This Row],[Conversion_Rate]],0)</f>
        <v>60</v>
      </c>
      <c r="J1387" s="12">
        <f>Marketing[[#This Row],[Campaign_Cost]]/Marketing[[#This Row],[Customers]]</f>
        <v>160.21666666666667</v>
      </c>
      <c r="K1387" t="s">
        <v>25</v>
      </c>
      <c r="L1387" t="s">
        <v>33</v>
      </c>
      <c r="M1387">
        <v>999</v>
      </c>
      <c r="N1387">
        <v>5612</v>
      </c>
      <c r="O1387">
        <v>8</v>
      </c>
      <c r="P1387" t="s">
        <v>42</v>
      </c>
      <c r="Q1387" s="1">
        <v>44487</v>
      </c>
    </row>
    <row r="1388" spans="1:17" x14ac:dyDescent="0.3">
      <c r="A1388" t="s">
        <v>35</v>
      </c>
      <c r="B1388" t="s">
        <v>29</v>
      </c>
      <c r="C1388" t="s">
        <v>23</v>
      </c>
      <c r="D1388" t="s">
        <v>24</v>
      </c>
      <c r="E1388" t="s">
        <v>18</v>
      </c>
      <c r="F1388" s="9">
        <v>0.06</v>
      </c>
      <c r="G1388" s="10">
        <v>15992</v>
      </c>
      <c r="H1388">
        <v>6.24</v>
      </c>
      <c r="I1388" s="5">
        <f>ROUND(Marketing[[#This Row],[Clicks]]*Marketing[[#This Row],[Conversion_Rate]],0)</f>
        <v>6</v>
      </c>
      <c r="J1388" s="12">
        <f>Marketing[[#This Row],[Campaign_Cost]]/Marketing[[#This Row],[Customers]]</f>
        <v>2665.3333333333335</v>
      </c>
      <c r="K1388" t="s">
        <v>51</v>
      </c>
      <c r="L1388" t="s">
        <v>26</v>
      </c>
      <c r="M1388">
        <v>108</v>
      </c>
      <c r="N1388">
        <v>5590</v>
      </c>
      <c r="O1388">
        <v>5</v>
      </c>
      <c r="P1388" t="s">
        <v>27</v>
      </c>
      <c r="Q1388" s="1">
        <v>44488</v>
      </c>
    </row>
    <row r="1389" spans="1:17" x14ac:dyDescent="0.3">
      <c r="A1389" t="s">
        <v>28</v>
      </c>
      <c r="B1389" t="s">
        <v>29</v>
      </c>
      <c r="C1389" t="s">
        <v>37</v>
      </c>
      <c r="D1389" t="s">
        <v>40</v>
      </c>
      <c r="E1389" t="s">
        <v>15</v>
      </c>
      <c r="F1389" s="9">
        <v>0.12</v>
      </c>
      <c r="G1389" s="10">
        <v>11824</v>
      </c>
      <c r="H1389">
        <v>2.54</v>
      </c>
      <c r="I1389" s="5">
        <f>ROUND(Marketing[[#This Row],[Clicks]]*Marketing[[#This Row],[Conversion_Rate]],0)</f>
        <v>62</v>
      </c>
      <c r="J1389" s="12">
        <f>Marketing[[#This Row],[Campaign_Cost]]/Marketing[[#This Row],[Customers]]</f>
        <v>190.70967741935485</v>
      </c>
      <c r="K1389" t="s">
        <v>38</v>
      </c>
      <c r="L1389" t="s">
        <v>20</v>
      </c>
      <c r="M1389">
        <v>515</v>
      </c>
      <c r="N1389">
        <v>4375</v>
      </c>
      <c r="O1389">
        <v>7</v>
      </c>
      <c r="P1389" t="s">
        <v>44</v>
      </c>
      <c r="Q1389" s="1">
        <v>44489</v>
      </c>
    </row>
    <row r="1390" spans="1:17" x14ac:dyDescent="0.3">
      <c r="A1390" t="s">
        <v>14</v>
      </c>
      <c r="B1390" t="s">
        <v>45</v>
      </c>
      <c r="C1390" t="s">
        <v>37</v>
      </c>
      <c r="D1390" t="s">
        <v>17</v>
      </c>
      <c r="E1390" t="s">
        <v>15</v>
      </c>
      <c r="F1390" s="9">
        <v>0.09</v>
      </c>
      <c r="G1390" s="10">
        <v>17415</v>
      </c>
      <c r="H1390">
        <v>4.3099999999999996</v>
      </c>
      <c r="I1390" s="5">
        <f>ROUND(Marketing[[#This Row],[Clicks]]*Marketing[[#This Row],[Conversion_Rate]],0)</f>
        <v>40</v>
      </c>
      <c r="J1390" s="12">
        <f>Marketing[[#This Row],[Campaign_Cost]]/Marketing[[#This Row],[Customers]]</f>
        <v>435.375</v>
      </c>
      <c r="K1390" t="s">
        <v>51</v>
      </c>
      <c r="L1390" t="s">
        <v>33</v>
      </c>
      <c r="M1390">
        <v>440</v>
      </c>
      <c r="N1390">
        <v>4515</v>
      </c>
      <c r="O1390">
        <v>2</v>
      </c>
      <c r="P1390" t="s">
        <v>34</v>
      </c>
      <c r="Q1390" s="1">
        <v>44490</v>
      </c>
    </row>
    <row r="1391" spans="1:17" x14ac:dyDescent="0.3">
      <c r="A1391" t="s">
        <v>35</v>
      </c>
      <c r="B1391" t="s">
        <v>15</v>
      </c>
      <c r="C1391" t="s">
        <v>23</v>
      </c>
      <c r="D1391" t="s">
        <v>17</v>
      </c>
      <c r="E1391" t="s">
        <v>18</v>
      </c>
      <c r="F1391" s="9">
        <v>0.12</v>
      </c>
      <c r="G1391" s="10">
        <v>12019</v>
      </c>
      <c r="H1391">
        <v>6.34</v>
      </c>
      <c r="I1391" s="5">
        <f>ROUND(Marketing[[#This Row],[Clicks]]*Marketing[[#This Row],[Conversion_Rate]],0)</f>
        <v>77</v>
      </c>
      <c r="J1391" s="12">
        <f>Marketing[[#This Row],[Campaign_Cost]]/Marketing[[#This Row],[Customers]]</f>
        <v>156.09090909090909</v>
      </c>
      <c r="K1391" t="s">
        <v>32</v>
      </c>
      <c r="L1391" t="s">
        <v>20</v>
      </c>
      <c r="M1391">
        <v>638</v>
      </c>
      <c r="N1391">
        <v>6482</v>
      </c>
      <c r="O1391">
        <v>2</v>
      </c>
      <c r="P1391" t="s">
        <v>42</v>
      </c>
      <c r="Q1391" s="1">
        <v>44491</v>
      </c>
    </row>
    <row r="1392" spans="1:17" x14ac:dyDescent="0.3">
      <c r="A1392" t="s">
        <v>28</v>
      </c>
      <c r="B1392" t="s">
        <v>45</v>
      </c>
      <c r="C1392" t="s">
        <v>37</v>
      </c>
      <c r="D1392" t="s">
        <v>24</v>
      </c>
      <c r="E1392" t="s">
        <v>18</v>
      </c>
      <c r="F1392" s="9">
        <v>0.04</v>
      </c>
      <c r="G1392" s="10">
        <v>7612</v>
      </c>
      <c r="H1392">
        <v>4.8600000000000003</v>
      </c>
      <c r="I1392" s="5">
        <f>ROUND(Marketing[[#This Row],[Clicks]]*Marketing[[#This Row],[Conversion_Rate]],0)</f>
        <v>13</v>
      </c>
      <c r="J1392" s="12">
        <f>Marketing[[#This Row],[Campaign_Cost]]/Marketing[[#This Row],[Customers]]</f>
        <v>585.53846153846155</v>
      </c>
      <c r="K1392" t="s">
        <v>25</v>
      </c>
      <c r="L1392" t="s">
        <v>50</v>
      </c>
      <c r="M1392">
        <v>332</v>
      </c>
      <c r="N1392">
        <v>5567</v>
      </c>
      <c r="O1392">
        <v>2</v>
      </c>
      <c r="P1392" t="s">
        <v>27</v>
      </c>
      <c r="Q1392" s="1">
        <v>44492</v>
      </c>
    </row>
    <row r="1393" spans="1:17" x14ac:dyDescent="0.3">
      <c r="A1393" t="s">
        <v>28</v>
      </c>
      <c r="B1393" t="s">
        <v>29</v>
      </c>
      <c r="C1393" t="s">
        <v>52</v>
      </c>
      <c r="D1393" t="s">
        <v>46</v>
      </c>
      <c r="E1393" t="s">
        <v>43</v>
      </c>
      <c r="F1393" s="9">
        <v>7.0000000000000007E-2</v>
      </c>
      <c r="G1393" s="10">
        <v>10094</v>
      </c>
      <c r="H1393">
        <v>4.49</v>
      </c>
      <c r="I1393" s="5">
        <f>ROUND(Marketing[[#This Row],[Clicks]]*Marketing[[#This Row],[Conversion_Rate]],0)</f>
        <v>48</v>
      </c>
      <c r="J1393" s="12">
        <f>Marketing[[#This Row],[Campaign_Cost]]/Marketing[[#This Row],[Customers]]</f>
        <v>210.29166666666666</v>
      </c>
      <c r="K1393" t="s">
        <v>51</v>
      </c>
      <c r="L1393" t="s">
        <v>20</v>
      </c>
      <c r="M1393">
        <v>680</v>
      </c>
      <c r="N1393">
        <v>9806</v>
      </c>
      <c r="O1393">
        <v>6</v>
      </c>
      <c r="P1393" t="s">
        <v>42</v>
      </c>
      <c r="Q1393" s="1">
        <v>44493</v>
      </c>
    </row>
    <row r="1394" spans="1:17" x14ac:dyDescent="0.3">
      <c r="A1394" t="s">
        <v>49</v>
      </c>
      <c r="B1394" t="s">
        <v>29</v>
      </c>
      <c r="C1394" t="s">
        <v>23</v>
      </c>
      <c r="D1394" t="s">
        <v>46</v>
      </c>
      <c r="E1394" t="s">
        <v>31</v>
      </c>
      <c r="F1394" s="9">
        <v>0.04</v>
      </c>
      <c r="G1394" s="10">
        <v>19546</v>
      </c>
      <c r="H1394">
        <v>2.71</v>
      </c>
      <c r="I1394" s="5">
        <f>ROUND(Marketing[[#This Row],[Clicks]]*Marketing[[#This Row],[Conversion_Rate]],0)</f>
        <v>34</v>
      </c>
      <c r="J1394" s="12">
        <f>Marketing[[#This Row],[Campaign_Cost]]/Marketing[[#This Row],[Customers]]</f>
        <v>574.88235294117646</v>
      </c>
      <c r="K1394" t="s">
        <v>32</v>
      </c>
      <c r="L1394" t="s">
        <v>26</v>
      </c>
      <c r="M1394">
        <v>838</v>
      </c>
      <c r="N1394">
        <v>7910</v>
      </c>
      <c r="O1394">
        <v>3</v>
      </c>
      <c r="P1394" t="s">
        <v>42</v>
      </c>
      <c r="Q1394" s="1">
        <v>44494</v>
      </c>
    </row>
    <row r="1395" spans="1:17" x14ac:dyDescent="0.3">
      <c r="A1395" t="s">
        <v>28</v>
      </c>
      <c r="B1395" t="s">
        <v>47</v>
      </c>
      <c r="C1395" t="s">
        <v>52</v>
      </c>
      <c r="D1395" t="s">
        <v>46</v>
      </c>
      <c r="E1395" t="s">
        <v>31</v>
      </c>
      <c r="F1395" s="9">
        <v>0.11</v>
      </c>
      <c r="G1395" s="10">
        <v>14465</v>
      </c>
      <c r="H1395">
        <v>7.16</v>
      </c>
      <c r="I1395" s="5">
        <f>ROUND(Marketing[[#This Row],[Clicks]]*Marketing[[#This Row],[Conversion_Rate]],0)</f>
        <v>61</v>
      </c>
      <c r="J1395" s="12">
        <f>Marketing[[#This Row],[Campaign_Cost]]/Marketing[[#This Row],[Customers]]</f>
        <v>237.13114754098362</v>
      </c>
      <c r="K1395" t="s">
        <v>19</v>
      </c>
      <c r="L1395" t="s">
        <v>33</v>
      </c>
      <c r="M1395">
        <v>556</v>
      </c>
      <c r="N1395">
        <v>2045</v>
      </c>
      <c r="O1395">
        <v>8</v>
      </c>
      <c r="P1395" t="s">
        <v>42</v>
      </c>
      <c r="Q1395" s="1">
        <v>44495</v>
      </c>
    </row>
    <row r="1396" spans="1:17" x14ac:dyDescent="0.3">
      <c r="A1396" t="s">
        <v>14</v>
      </c>
      <c r="B1396" t="s">
        <v>45</v>
      </c>
      <c r="C1396" t="s">
        <v>16</v>
      </c>
      <c r="D1396" t="s">
        <v>24</v>
      </c>
      <c r="E1396" t="s">
        <v>15</v>
      </c>
      <c r="F1396" s="9">
        <v>7.0000000000000007E-2</v>
      </c>
      <c r="G1396" s="10">
        <v>6464</v>
      </c>
      <c r="H1396">
        <v>7.26</v>
      </c>
      <c r="I1396" s="5">
        <f>ROUND(Marketing[[#This Row],[Clicks]]*Marketing[[#This Row],[Conversion_Rate]],0)</f>
        <v>12</v>
      </c>
      <c r="J1396" s="12">
        <f>Marketing[[#This Row],[Campaign_Cost]]/Marketing[[#This Row],[Customers]]</f>
        <v>538.66666666666663</v>
      </c>
      <c r="K1396" t="s">
        <v>51</v>
      </c>
      <c r="L1396" t="s">
        <v>50</v>
      </c>
      <c r="M1396">
        <v>170</v>
      </c>
      <c r="N1396">
        <v>1129</v>
      </c>
      <c r="O1396">
        <v>4</v>
      </c>
      <c r="P1396" t="s">
        <v>27</v>
      </c>
      <c r="Q1396" s="1">
        <v>44496</v>
      </c>
    </row>
    <row r="1397" spans="1:17" x14ac:dyDescent="0.3">
      <c r="A1397" t="s">
        <v>22</v>
      </c>
      <c r="B1397" t="s">
        <v>47</v>
      </c>
      <c r="C1397" t="s">
        <v>16</v>
      </c>
      <c r="D1397" t="s">
        <v>24</v>
      </c>
      <c r="E1397" t="s">
        <v>41</v>
      </c>
      <c r="F1397" s="9">
        <v>0.13</v>
      </c>
      <c r="G1397" s="10">
        <v>14567</v>
      </c>
      <c r="H1397">
        <v>4.12</v>
      </c>
      <c r="I1397" s="5">
        <f>ROUND(Marketing[[#This Row],[Clicks]]*Marketing[[#This Row],[Conversion_Rate]],0)</f>
        <v>107</v>
      </c>
      <c r="J1397" s="12">
        <f>Marketing[[#This Row],[Campaign_Cost]]/Marketing[[#This Row],[Customers]]</f>
        <v>136.14018691588785</v>
      </c>
      <c r="K1397" t="s">
        <v>19</v>
      </c>
      <c r="L1397" t="s">
        <v>39</v>
      </c>
      <c r="M1397">
        <v>822</v>
      </c>
      <c r="N1397">
        <v>4933</v>
      </c>
      <c r="O1397">
        <v>3</v>
      </c>
      <c r="P1397" t="s">
        <v>21</v>
      </c>
      <c r="Q1397" s="1">
        <v>44497</v>
      </c>
    </row>
    <row r="1398" spans="1:17" x14ac:dyDescent="0.3">
      <c r="A1398" t="s">
        <v>14</v>
      </c>
      <c r="B1398" t="s">
        <v>36</v>
      </c>
      <c r="C1398" t="s">
        <v>30</v>
      </c>
      <c r="D1398" t="s">
        <v>46</v>
      </c>
      <c r="E1398" t="s">
        <v>31</v>
      </c>
      <c r="F1398" s="9">
        <v>0.09</v>
      </c>
      <c r="G1398" s="10">
        <v>10954</v>
      </c>
      <c r="H1398">
        <v>4.87</v>
      </c>
      <c r="I1398" s="5">
        <f>ROUND(Marketing[[#This Row],[Clicks]]*Marketing[[#This Row],[Conversion_Rate]],0)</f>
        <v>89</v>
      </c>
      <c r="J1398" s="12">
        <f>Marketing[[#This Row],[Campaign_Cost]]/Marketing[[#This Row],[Customers]]</f>
        <v>123.07865168539325</v>
      </c>
      <c r="K1398" t="s">
        <v>19</v>
      </c>
      <c r="L1398" t="s">
        <v>39</v>
      </c>
      <c r="M1398">
        <v>990</v>
      </c>
      <c r="N1398">
        <v>8909</v>
      </c>
      <c r="O1398">
        <v>8</v>
      </c>
      <c r="P1398" t="s">
        <v>42</v>
      </c>
      <c r="Q1398" s="1">
        <v>44498</v>
      </c>
    </row>
    <row r="1399" spans="1:17" x14ac:dyDescent="0.3">
      <c r="A1399" t="s">
        <v>22</v>
      </c>
      <c r="B1399" t="s">
        <v>47</v>
      </c>
      <c r="C1399" t="s">
        <v>23</v>
      </c>
      <c r="D1399" t="s">
        <v>40</v>
      </c>
      <c r="E1399" t="s">
        <v>31</v>
      </c>
      <c r="F1399" s="9">
        <v>0.08</v>
      </c>
      <c r="G1399" s="10">
        <v>6003</v>
      </c>
      <c r="H1399">
        <v>7.36</v>
      </c>
      <c r="I1399" s="5">
        <f>ROUND(Marketing[[#This Row],[Clicks]]*Marketing[[#This Row],[Conversion_Rate]],0)</f>
        <v>58</v>
      </c>
      <c r="J1399" s="12">
        <f>Marketing[[#This Row],[Campaign_Cost]]/Marketing[[#This Row],[Customers]]</f>
        <v>103.5</v>
      </c>
      <c r="K1399" t="s">
        <v>51</v>
      </c>
      <c r="L1399" t="s">
        <v>20</v>
      </c>
      <c r="M1399">
        <v>726</v>
      </c>
      <c r="N1399">
        <v>8605</v>
      </c>
      <c r="O1399">
        <v>9</v>
      </c>
      <c r="P1399" t="s">
        <v>44</v>
      </c>
      <c r="Q1399" s="1">
        <v>44499</v>
      </c>
    </row>
    <row r="1400" spans="1:17" x14ac:dyDescent="0.3">
      <c r="A1400" t="s">
        <v>22</v>
      </c>
      <c r="B1400" t="s">
        <v>45</v>
      </c>
      <c r="C1400" t="s">
        <v>37</v>
      </c>
      <c r="D1400" t="s">
        <v>24</v>
      </c>
      <c r="E1400" t="s">
        <v>18</v>
      </c>
      <c r="F1400" s="9">
        <v>0.04</v>
      </c>
      <c r="G1400" s="10">
        <v>10336</v>
      </c>
      <c r="H1400">
        <v>2.98</v>
      </c>
      <c r="I1400" s="5">
        <f>ROUND(Marketing[[#This Row],[Clicks]]*Marketing[[#This Row],[Conversion_Rate]],0)</f>
        <v>22</v>
      </c>
      <c r="J1400" s="12">
        <f>Marketing[[#This Row],[Campaign_Cost]]/Marketing[[#This Row],[Customers]]</f>
        <v>469.81818181818181</v>
      </c>
      <c r="K1400" t="s">
        <v>51</v>
      </c>
      <c r="L1400" t="s">
        <v>26</v>
      </c>
      <c r="M1400">
        <v>561</v>
      </c>
      <c r="N1400">
        <v>3756</v>
      </c>
      <c r="O1400">
        <v>5</v>
      </c>
      <c r="P1400" t="s">
        <v>27</v>
      </c>
      <c r="Q1400" s="1">
        <v>44500</v>
      </c>
    </row>
    <row r="1401" spans="1:17" x14ac:dyDescent="0.3">
      <c r="A1401" t="s">
        <v>49</v>
      </c>
      <c r="B1401" t="s">
        <v>45</v>
      </c>
      <c r="C1401" t="s">
        <v>30</v>
      </c>
      <c r="D1401" t="s">
        <v>24</v>
      </c>
      <c r="E1401" t="s">
        <v>48</v>
      </c>
      <c r="F1401" s="9">
        <v>0.11</v>
      </c>
      <c r="G1401" s="10">
        <v>11471</v>
      </c>
      <c r="H1401">
        <v>7.97</v>
      </c>
      <c r="I1401" s="5">
        <f>ROUND(Marketing[[#This Row],[Clicks]]*Marketing[[#This Row],[Conversion_Rate]],0)</f>
        <v>109</v>
      </c>
      <c r="J1401" s="12">
        <f>Marketing[[#This Row],[Campaign_Cost]]/Marketing[[#This Row],[Customers]]</f>
        <v>105.23853211009174</v>
      </c>
      <c r="K1401" t="s">
        <v>51</v>
      </c>
      <c r="L1401" t="s">
        <v>20</v>
      </c>
      <c r="M1401">
        <v>990</v>
      </c>
      <c r="N1401">
        <v>3294</v>
      </c>
      <c r="O1401">
        <v>4</v>
      </c>
      <c r="P1401" t="s">
        <v>34</v>
      </c>
      <c r="Q1401" s="1">
        <v>44501</v>
      </c>
    </row>
    <row r="1402" spans="1:17" x14ac:dyDescent="0.3">
      <c r="A1402" t="s">
        <v>28</v>
      </c>
      <c r="B1402" t="s">
        <v>45</v>
      </c>
      <c r="C1402" t="s">
        <v>23</v>
      </c>
      <c r="D1402" t="s">
        <v>46</v>
      </c>
      <c r="E1402" t="s">
        <v>31</v>
      </c>
      <c r="F1402" s="9">
        <v>0.1</v>
      </c>
      <c r="G1402" s="10">
        <v>16800</v>
      </c>
      <c r="H1402">
        <v>6.76</v>
      </c>
      <c r="I1402" s="5">
        <f>ROUND(Marketing[[#This Row],[Clicks]]*Marketing[[#This Row],[Conversion_Rate]],0)</f>
        <v>63</v>
      </c>
      <c r="J1402" s="12">
        <f>Marketing[[#This Row],[Campaign_Cost]]/Marketing[[#This Row],[Customers]]</f>
        <v>266.66666666666669</v>
      </c>
      <c r="K1402" t="s">
        <v>32</v>
      </c>
      <c r="L1402" t="s">
        <v>20</v>
      </c>
      <c r="M1402">
        <v>629</v>
      </c>
      <c r="N1402">
        <v>6501</v>
      </c>
      <c r="O1402">
        <v>4</v>
      </c>
      <c r="P1402" t="s">
        <v>42</v>
      </c>
      <c r="Q1402" s="1">
        <v>44502</v>
      </c>
    </row>
    <row r="1403" spans="1:17" x14ac:dyDescent="0.3">
      <c r="A1403" t="s">
        <v>35</v>
      </c>
      <c r="B1403" t="s">
        <v>47</v>
      </c>
      <c r="C1403" t="s">
        <v>30</v>
      </c>
      <c r="D1403" t="s">
        <v>24</v>
      </c>
      <c r="E1403" t="s">
        <v>31</v>
      </c>
      <c r="F1403" s="9">
        <v>0.04</v>
      </c>
      <c r="G1403" s="10">
        <v>7487</v>
      </c>
      <c r="H1403">
        <v>4.0199999999999996</v>
      </c>
      <c r="I1403" s="5">
        <f>ROUND(Marketing[[#This Row],[Clicks]]*Marketing[[#This Row],[Conversion_Rate]],0)</f>
        <v>9</v>
      </c>
      <c r="J1403" s="12">
        <f>Marketing[[#This Row],[Campaign_Cost]]/Marketing[[#This Row],[Customers]]</f>
        <v>831.88888888888891</v>
      </c>
      <c r="K1403" t="s">
        <v>51</v>
      </c>
      <c r="L1403" t="s">
        <v>39</v>
      </c>
      <c r="M1403">
        <v>233</v>
      </c>
      <c r="N1403">
        <v>9875</v>
      </c>
      <c r="O1403">
        <v>10</v>
      </c>
      <c r="P1403" t="s">
        <v>27</v>
      </c>
      <c r="Q1403" s="1">
        <v>44503</v>
      </c>
    </row>
    <row r="1404" spans="1:17" x14ac:dyDescent="0.3">
      <c r="A1404" t="s">
        <v>22</v>
      </c>
      <c r="B1404" t="s">
        <v>45</v>
      </c>
      <c r="C1404" t="s">
        <v>23</v>
      </c>
      <c r="D1404" t="s">
        <v>24</v>
      </c>
      <c r="E1404" t="s">
        <v>18</v>
      </c>
      <c r="F1404" s="9">
        <v>0.12</v>
      </c>
      <c r="G1404" s="10">
        <v>15710</v>
      </c>
      <c r="H1404">
        <v>7.32</v>
      </c>
      <c r="I1404" s="5">
        <f>ROUND(Marketing[[#This Row],[Clicks]]*Marketing[[#This Row],[Conversion_Rate]],0)</f>
        <v>46</v>
      </c>
      <c r="J1404" s="12">
        <f>Marketing[[#This Row],[Campaign_Cost]]/Marketing[[#This Row],[Customers]]</f>
        <v>341.52173913043481</v>
      </c>
      <c r="K1404" t="s">
        <v>19</v>
      </c>
      <c r="L1404" t="s">
        <v>50</v>
      </c>
      <c r="M1404">
        <v>381</v>
      </c>
      <c r="N1404">
        <v>4714</v>
      </c>
      <c r="O1404">
        <v>9</v>
      </c>
      <c r="P1404" t="s">
        <v>34</v>
      </c>
      <c r="Q1404" s="1">
        <v>44504</v>
      </c>
    </row>
    <row r="1405" spans="1:17" x14ac:dyDescent="0.3">
      <c r="A1405" t="s">
        <v>28</v>
      </c>
      <c r="B1405" t="s">
        <v>36</v>
      </c>
      <c r="C1405" t="s">
        <v>16</v>
      </c>
      <c r="D1405" t="s">
        <v>46</v>
      </c>
      <c r="E1405" t="s">
        <v>15</v>
      </c>
      <c r="F1405" s="9">
        <v>0.01</v>
      </c>
      <c r="G1405" s="10">
        <v>14924</v>
      </c>
      <c r="H1405">
        <v>4.62</v>
      </c>
      <c r="I1405" s="5">
        <f>ROUND(Marketing[[#This Row],[Clicks]]*Marketing[[#This Row],[Conversion_Rate]],0)</f>
        <v>8</v>
      </c>
      <c r="J1405" s="12">
        <f>Marketing[[#This Row],[Campaign_Cost]]/Marketing[[#This Row],[Customers]]</f>
        <v>1865.5</v>
      </c>
      <c r="K1405" t="s">
        <v>51</v>
      </c>
      <c r="L1405" t="s">
        <v>33</v>
      </c>
      <c r="M1405">
        <v>819</v>
      </c>
      <c r="N1405">
        <v>9709</v>
      </c>
      <c r="O1405">
        <v>9</v>
      </c>
      <c r="P1405" t="s">
        <v>42</v>
      </c>
      <c r="Q1405" s="1">
        <v>44505</v>
      </c>
    </row>
    <row r="1406" spans="1:17" x14ac:dyDescent="0.3">
      <c r="A1406" t="s">
        <v>49</v>
      </c>
      <c r="B1406" t="s">
        <v>47</v>
      </c>
      <c r="C1406" t="s">
        <v>37</v>
      </c>
      <c r="D1406" t="s">
        <v>17</v>
      </c>
      <c r="E1406" t="s">
        <v>41</v>
      </c>
      <c r="F1406" s="9">
        <v>0.02</v>
      </c>
      <c r="G1406" s="10">
        <v>10609</v>
      </c>
      <c r="H1406">
        <v>7.82</v>
      </c>
      <c r="I1406" s="5">
        <f>ROUND(Marketing[[#This Row],[Clicks]]*Marketing[[#This Row],[Conversion_Rate]],0)</f>
        <v>14</v>
      </c>
      <c r="J1406" s="12">
        <f>Marketing[[#This Row],[Campaign_Cost]]/Marketing[[#This Row],[Customers]]</f>
        <v>757.78571428571433</v>
      </c>
      <c r="K1406" t="s">
        <v>51</v>
      </c>
      <c r="L1406" t="s">
        <v>26</v>
      </c>
      <c r="M1406">
        <v>706</v>
      </c>
      <c r="N1406">
        <v>9926</v>
      </c>
      <c r="O1406">
        <v>3</v>
      </c>
      <c r="P1406" t="s">
        <v>34</v>
      </c>
      <c r="Q1406" s="1">
        <v>44506</v>
      </c>
    </row>
    <row r="1407" spans="1:17" x14ac:dyDescent="0.3">
      <c r="A1407" t="s">
        <v>49</v>
      </c>
      <c r="B1407" t="s">
        <v>29</v>
      </c>
      <c r="C1407" t="s">
        <v>23</v>
      </c>
      <c r="D1407" t="s">
        <v>17</v>
      </c>
      <c r="E1407" t="s">
        <v>41</v>
      </c>
      <c r="F1407" s="9">
        <v>0.08</v>
      </c>
      <c r="G1407" s="10">
        <v>14939</v>
      </c>
      <c r="H1407">
        <v>6.05</v>
      </c>
      <c r="I1407" s="5">
        <f>ROUND(Marketing[[#This Row],[Clicks]]*Marketing[[#This Row],[Conversion_Rate]],0)</f>
        <v>11</v>
      </c>
      <c r="J1407" s="12">
        <f>Marketing[[#This Row],[Campaign_Cost]]/Marketing[[#This Row],[Customers]]</f>
        <v>1358.090909090909</v>
      </c>
      <c r="K1407" t="s">
        <v>25</v>
      </c>
      <c r="L1407" t="s">
        <v>39</v>
      </c>
      <c r="M1407">
        <v>138</v>
      </c>
      <c r="N1407">
        <v>5878</v>
      </c>
      <c r="O1407">
        <v>7</v>
      </c>
      <c r="P1407" t="s">
        <v>34</v>
      </c>
      <c r="Q1407" s="1">
        <v>44507</v>
      </c>
    </row>
    <row r="1408" spans="1:17" x14ac:dyDescent="0.3">
      <c r="A1408" t="s">
        <v>49</v>
      </c>
      <c r="B1408" t="s">
        <v>29</v>
      </c>
      <c r="C1408" t="s">
        <v>52</v>
      </c>
      <c r="D1408" t="s">
        <v>46</v>
      </c>
      <c r="E1408" t="s">
        <v>48</v>
      </c>
      <c r="F1408" s="9">
        <v>0.09</v>
      </c>
      <c r="G1408" s="10">
        <v>5793</v>
      </c>
      <c r="H1408">
        <v>6.11</v>
      </c>
      <c r="I1408" s="5">
        <f>ROUND(Marketing[[#This Row],[Clicks]]*Marketing[[#This Row],[Conversion_Rate]],0)</f>
        <v>65</v>
      </c>
      <c r="J1408" s="12">
        <f>Marketing[[#This Row],[Campaign_Cost]]/Marketing[[#This Row],[Customers]]</f>
        <v>89.123076923076923</v>
      </c>
      <c r="K1408" t="s">
        <v>25</v>
      </c>
      <c r="L1408" t="s">
        <v>50</v>
      </c>
      <c r="M1408">
        <v>726</v>
      </c>
      <c r="N1408">
        <v>3946</v>
      </c>
      <c r="O1408">
        <v>9</v>
      </c>
      <c r="P1408" t="s">
        <v>44</v>
      </c>
      <c r="Q1408" s="1">
        <v>44508</v>
      </c>
    </row>
    <row r="1409" spans="1:17" x14ac:dyDescent="0.3">
      <c r="A1409" t="s">
        <v>28</v>
      </c>
      <c r="B1409" t="s">
        <v>47</v>
      </c>
      <c r="C1409" t="s">
        <v>52</v>
      </c>
      <c r="D1409" t="s">
        <v>24</v>
      </c>
      <c r="E1409" t="s">
        <v>31</v>
      </c>
      <c r="F1409" s="9">
        <v>0.1</v>
      </c>
      <c r="G1409" s="10">
        <v>8037</v>
      </c>
      <c r="H1409">
        <v>4.03</v>
      </c>
      <c r="I1409" s="5">
        <f>ROUND(Marketing[[#This Row],[Clicks]]*Marketing[[#This Row],[Conversion_Rate]],0)</f>
        <v>68</v>
      </c>
      <c r="J1409" s="12">
        <f>Marketing[[#This Row],[Campaign_Cost]]/Marketing[[#This Row],[Customers]]</f>
        <v>118.19117647058823</v>
      </c>
      <c r="K1409" t="s">
        <v>32</v>
      </c>
      <c r="L1409" t="s">
        <v>50</v>
      </c>
      <c r="M1409">
        <v>676</v>
      </c>
      <c r="N1409">
        <v>1157</v>
      </c>
      <c r="O1409">
        <v>10</v>
      </c>
      <c r="P1409" t="s">
        <v>21</v>
      </c>
      <c r="Q1409" s="1">
        <v>44509</v>
      </c>
    </row>
    <row r="1410" spans="1:17" x14ac:dyDescent="0.3">
      <c r="A1410" t="s">
        <v>35</v>
      </c>
      <c r="B1410" t="s">
        <v>45</v>
      </c>
      <c r="C1410" t="s">
        <v>30</v>
      </c>
      <c r="D1410" t="s">
        <v>24</v>
      </c>
      <c r="E1410" t="s">
        <v>31</v>
      </c>
      <c r="F1410" s="9">
        <v>0.13</v>
      </c>
      <c r="G1410" s="10">
        <v>15512</v>
      </c>
      <c r="H1410">
        <v>5.49</v>
      </c>
      <c r="I1410" s="5">
        <f>ROUND(Marketing[[#This Row],[Clicks]]*Marketing[[#This Row],[Conversion_Rate]],0)</f>
        <v>46</v>
      </c>
      <c r="J1410" s="12">
        <f>Marketing[[#This Row],[Campaign_Cost]]/Marketing[[#This Row],[Customers]]</f>
        <v>337.21739130434781</v>
      </c>
      <c r="K1410" t="s">
        <v>38</v>
      </c>
      <c r="L1410" t="s">
        <v>39</v>
      </c>
      <c r="M1410">
        <v>352</v>
      </c>
      <c r="N1410">
        <v>7412</v>
      </c>
      <c r="O1410">
        <v>1</v>
      </c>
      <c r="P1410" t="s">
        <v>27</v>
      </c>
      <c r="Q1410" s="1">
        <v>44510</v>
      </c>
    </row>
    <row r="1411" spans="1:17" x14ac:dyDescent="0.3">
      <c r="A1411" t="s">
        <v>35</v>
      </c>
      <c r="B1411" t="s">
        <v>15</v>
      </c>
      <c r="C1411" t="s">
        <v>30</v>
      </c>
      <c r="D1411" t="s">
        <v>24</v>
      </c>
      <c r="E1411" t="s">
        <v>31</v>
      </c>
      <c r="F1411" s="9">
        <v>0.15</v>
      </c>
      <c r="G1411" s="10">
        <v>17266</v>
      </c>
      <c r="H1411">
        <v>7.55</v>
      </c>
      <c r="I1411" s="5">
        <f>ROUND(Marketing[[#This Row],[Clicks]]*Marketing[[#This Row],[Conversion_Rate]],0)</f>
        <v>147</v>
      </c>
      <c r="J1411" s="12">
        <f>Marketing[[#This Row],[Campaign_Cost]]/Marketing[[#This Row],[Customers]]</f>
        <v>117.45578231292517</v>
      </c>
      <c r="K1411" t="s">
        <v>25</v>
      </c>
      <c r="L1411" t="s">
        <v>39</v>
      </c>
      <c r="M1411">
        <v>977</v>
      </c>
      <c r="N1411">
        <v>9567</v>
      </c>
      <c r="O1411">
        <v>4</v>
      </c>
      <c r="P1411" t="s">
        <v>27</v>
      </c>
      <c r="Q1411" s="1">
        <v>44511</v>
      </c>
    </row>
    <row r="1412" spans="1:17" x14ac:dyDescent="0.3">
      <c r="A1412" t="s">
        <v>49</v>
      </c>
      <c r="B1412" t="s">
        <v>36</v>
      </c>
      <c r="C1412" t="s">
        <v>23</v>
      </c>
      <c r="D1412" t="s">
        <v>17</v>
      </c>
      <c r="E1412" t="s">
        <v>48</v>
      </c>
      <c r="F1412" s="9">
        <v>0.13</v>
      </c>
      <c r="G1412" s="10">
        <v>9700</v>
      </c>
      <c r="H1412">
        <v>6.61</v>
      </c>
      <c r="I1412" s="5">
        <f>ROUND(Marketing[[#This Row],[Clicks]]*Marketing[[#This Row],[Conversion_Rate]],0)</f>
        <v>38</v>
      </c>
      <c r="J1412" s="12">
        <f>Marketing[[#This Row],[Campaign_Cost]]/Marketing[[#This Row],[Customers]]</f>
        <v>255.26315789473685</v>
      </c>
      <c r="K1412" t="s">
        <v>38</v>
      </c>
      <c r="L1412" t="s">
        <v>20</v>
      </c>
      <c r="M1412">
        <v>294</v>
      </c>
      <c r="N1412">
        <v>3352</v>
      </c>
      <c r="O1412">
        <v>6</v>
      </c>
      <c r="P1412" t="s">
        <v>42</v>
      </c>
      <c r="Q1412" s="1">
        <v>44512</v>
      </c>
    </row>
    <row r="1413" spans="1:17" x14ac:dyDescent="0.3">
      <c r="A1413" t="s">
        <v>49</v>
      </c>
      <c r="B1413" t="s">
        <v>36</v>
      </c>
      <c r="C1413" t="s">
        <v>30</v>
      </c>
      <c r="D1413" t="s">
        <v>40</v>
      </c>
      <c r="E1413" t="s">
        <v>15</v>
      </c>
      <c r="F1413" s="9">
        <v>0.03</v>
      </c>
      <c r="G1413" s="10">
        <v>10387</v>
      </c>
      <c r="H1413">
        <v>6.77</v>
      </c>
      <c r="I1413" s="5">
        <f>ROUND(Marketing[[#This Row],[Clicks]]*Marketing[[#This Row],[Conversion_Rate]],0)</f>
        <v>22</v>
      </c>
      <c r="J1413" s="12">
        <f>Marketing[[#This Row],[Campaign_Cost]]/Marketing[[#This Row],[Customers]]</f>
        <v>472.13636363636363</v>
      </c>
      <c r="K1413" t="s">
        <v>32</v>
      </c>
      <c r="L1413" t="s">
        <v>20</v>
      </c>
      <c r="M1413">
        <v>722</v>
      </c>
      <c r="N1413">
        <v>6216</v>
      </c>
      <c r="O1413">
        <v>9</v>
      </c>
      <c r="P1413" t="s">
        <v>34</v>
      </c>
      <c r="Q1413" s="1">
        <v>44513</v>
      </c>
    </row>
    <row r="1414" spans="1:17" x14ac:dyDescent="0.3">
      <c r="A1414" t="s">
        <v>14</v>
      </c>
      <c r="B1414" t="s">
        <v>15</v>
      </c>
      <c r="C1414" t="s">
        <v>16</v>
      </c>
      <c r="D1414" t="s">
        <v>17</v>
      </c>
      <c r="E1414" t="s">
        <v>18</v>
      </c>
      <c r="F1414" s="9">
        <v>0.13</v>
      </c>
      <c r="G1414" s="10">
        <v>8201</v>
      </c>
      <c r="H1414">
        <v>4.66</v>
      </c>
      <c r="I1414" s="5">
        <f>ROUND(Marketing[[#This Row],[Clicks]]*Marketing[[#This Row],[Conversion_Rate]],0)</f>
        <v>33</v>
      </c>
      <c r="J1414" s="12">
        <f>Marketing[[#This Row],[Campaign_Cost]]/Marketing[[#This Row],[Customers]]</f>
        <v>248.5151515151515</v>
      </c>
      <c r="K1414" t="s">
        <v>25</v>
      </c>
      <c r="L1414" t="s">
        <v>26</v>
      </c>
      <c r="M1414">
        <v>250</v>
      </c>
      <c r="N1414">
        <v>5862</v>
      </c>
      <c r="O1414">
        <v>5</v>
      </c>
      <c r="P1414" t="s">
        <v>42</v>
      </c>
      <c r="Q1414" s="1">
        <v>44514</v>
      </c>
    </row>
    <row r="1415" spans="1:17" x14ac:dyDescent="0.3">
      <c r="A1415" t="s">
        <v>28</v>
      </c>
      <c r="B1415" t="s">
        <v>15</v>
      </c>
      <c r="C1415" t="s">
        <v>23</v>
      </c>
      <c r="D1415" t="s">
        <v>46</v>
      </c>
      <c r="E1415" t="s">
        <v>15</v>
      </c>
      <c r="F1415" s="9">
        <v>0.03</v>
      </c>
      <c r="G1415" s="10">
        <v>8674</v>
      </c>
      <c r="H1415">
        <v>5.85</v>
      </c>
      <c r="I1415" s="5">
        <f>ROUND(Marketing[[#This Row],[Clicks]]*Marketing[[#This Row],[Conversion_Rate]],0)</f>
        <v>22</v>
      </c>
      <c r="J1415" s="12">
        <f>Marketing[[#This Row],[Campaign_Cost]]/Marketing[[#This Row],[Customers]]</f>
        <v>394.27272727272725</v>
      </c>
      <c r="K1415" t="s">
        <v>19</v>
      </c>
      <c r="L1415" t="s">
        <v>50</v>
      </c>
      <c r="M1415">
        <v>731</v>
      </c>
      <c r="N1415">
        <v>4675</v>
      </c>
      <c r="O1415">
        <v>9</v>
      </c>
      <c r="P1415" t="s">
        <v>44</v>
      </c>
      <c r="Q1415" s="1">
        <v>44515</v>
      </c>
    </row>
    <row r="1416" spans="1:17" x14ac:dyDescent="0.3">
      <c r="A1416" t="s">
        <v>14</v>
      </c>
      <c r="B1416" t="s">
        <v>47</v>
      </c>
      <c r="C1416" t="s">
        <v>16</v>
      </c>
      <c r="D1416" t="s">
        <v>46</v>
      </c>
      <c r="E1416" t="s">
        <v>43</v>
      </c>
      <c r="F1416" s="9">
        <v>0.12</v>
      </c>
      <c r="G1416" s="10">
        <v>18358</v>
      </c>
      <c r="H1416">
        <v>4.29</v>
      </c>
      <c r="I1416" s="5">
        <f>ROUND(Marketing[[#This Row],[Clicks]]*Marketing[[#This Row],[Conversion_Rate]],0)</f>
        <v>27</v>
      </c>
      <c r="J1416" s="12">
        <f>Marketing[[#This Row],[Campaign_Cost]]/Marketing[[#This Row],[Customers]]</f>
        <v>679.92592592592598</v>
      </c>
      <c r="K1416" t="s">
        <v>19</v>
      </c>
      <c r="L1416" t="s">
        <v>26</v>
      </c>
      <c r="M1416">
        <v>221</v>
      </c>
      <c r="N1416">
        <v>5357</v>
      </c>
      <c r="O1416">
        <v>4</v>
      </c>
      <c r="P1416" t="s">
        <v>27</v>
      </c>
      <c r="Q1416" s="1">
        <v>44516</v>
      </c>
    </row>
    <row r="1417" spans="1:17" x14ac:dyDescent="0.3">
      <c r="A1417" t="s">
        <v>28</v>
      </c>
      <c r="B1417" t="s">
        <v>36</v>
      </c>
      <c r="C1417" t="s">
        <v>37</v>
      </c>
      <c r="D1417" t="s">
        <v>40</v>
      </c>
      <c r="E1417" t="s">
        <v>15</v>
      </c>
      <c r="F1417" s="9">
        <v>0.12</v>
      </c>
      <c r="G1417" s="10">
        <v>7188</v>
      </c>
      <c r="H1417">
        <v>4.16</v>
      </c>
      <c r="I1417" s="5">
        <f>ROUND(Marketing[[#This Row],[Clicks]]*Marketing[[#This Row],[Conversion_Rate]],0)</f>
        <v>22</v>
      </c>
      <c r="J1417" s="12">
        <f>Marketing[[#This Row],[Campaign_Cost]]/Marketing[[#This Row],[Customers]]</f>
        <v>326.72727272727275</v>
      </c>
      <c r="K1417" t="s">
        <v>19</v>
      </c>
      <c r="L1417" t="s">
        <v>50</v>
      </c>
      <c r="M1417">
        <v>182</v>
      </c>
      <c r="N1417">
        <v>4644</v>
      </c>
      <c r="O1417">
        <v>3</v>
      </c>
      <c r="P1417" t="s">
        <v>42</v>
      </c>
      <c r="Q1417" s="1">
        <v>44517</v>
      </c>
    </row>
    <row r="1418" spans="1:17" x14ac:dyDescent="0.3">
      <c r="A1418" t="s">
        <v>35</v>
      </c>
      <c r="B1418" t="s">
        <v>45</v>
      </c>
      <c r="C1418" t="s">
        <v>52</v>
      </c>
      <c r="D1418" t="s">
        <v>17</v>
      </c>
      <c r="E1418" t="s">
        <v>48</v>
      </c>
      <c r="F1418" s="9">
        <v>0.04</v>
      </c>
      <c r="G1418" s="10">
        <v>10426</v>
      </c>
      <c r="H1418">
        <v>7.48</v>
      </c>
      <c r="I1418" s="5">
        <f>ROUND(Marketing[[#This Row],[Clicks]]*Marketing[[#This Row],[Conversion_Rate]],0)</f>
        <v>17</v>
      </c>
      <c r="J1418" s="12">
        <f>Marketing[[#This Row],[Campaign_Cost]]/Marketing[[#This Row],[Customers]]</f>
        <v>613.29411764705878</v>
      </c>
      <c r="K1418" t="s">
        <v>51</v>
      </c>
      <c r="L1418" t="s">
        <v>26</v>
      </c>
      <c r="M1418">
        <v>428</v>
      </c>
      <c r="N1418">
        <v>4413</v>
      </c>
      <c r="O1418">
        <v>10</v>
      </c>
      <c r="P1418" t="s">
        <v>44</v>
      </c>
      <c r="Q1418" s="1">
        <v>44518</v>
      </c>
    </row>
    <row r="1419" spans="1:17" x14ac:dyDescent="0.3">
      <c r="A1419" t="s">
        <v>22</v>
      </c>
      <c r="B1419" t="s">
        <v>15</v>
      </c>
      <c r="C1419" t="s">
        <v>23</v>
      </c>
      <c r="D1419" t="s">
        <v>17</v>
      </c>
      <c r="E1419" t="s">
        <v>15</v>
      </c>
      <c r="F1419" s="9">
        <v>0.05</v>
      </c>
      <c r="G1419" s="10">
        <v>14363</v>
      </c>
      <c r="H1419">
        <v>6.68</v>
      </c>
      <c r="I1419" s="5">
        <f>ROUND(Marketing[[#This Row],[Clicks]]*Marketing[[#This Row],[Conversion_Rate]],0)</f>
        <v>40</v>
      </c>
      <c r="J1419" s="12">
        <f>Marketing[[#This Row],[Campaign_Cost]]/Marketing[[#This Row],[Customers]]</f>
        <v>359.07499999999999</v>
      </c>
      <c r="K1419" t="s">
        <v>25</v>
      </c>
      <c r="L1419" t="s">
        <v>26</v>
      </c>
      <c r="M1419">
        <v>797</v>
      </c>
      <c r="N1419">
        <v>4606</v>
      </c>
      <c r="O1419">
        <v>10</v>
      </c>
      <c r="P1419" t="s">
        <v>34</v>
      </c>
      <c r="Q1419" s="1">
        <v>44519</v>
      </c>
    </row>
    <row r="1420" spans="1:17" x14ac:dyDescent="0.3">
      <c r="A1420" t="s">
        <v>28</v>
      </c>
      <c r="B1420" t="s">
        <v>45</v>
      </c>
      <c r="C1420" t="s">
        <v>23</v>
      </c>
      <c r="D1420" t="s">
        <v>24</v>
      </c>
      <c r="E1420" t="s">
        <v>43</v>
      </c>
      <c r="F1420" s="9">
        <v>0.01</v>
      </c>
      <c r="G1420" s="10">
        <v>11244</v>
      </c>
      <c r="H1420">
        <v>3.72</v>
      </c>
      <c r="I1420" s="5">
        <f>ROUND(Marketing[[#This Row],[Clicks]]*Marketing[[#This Row],[Conversion_Rate]],0)</f>
        <v>7</v>
      </c>
      <c r="J1420" s="12">
        <f>Marketing[[#This Row],[Campaign_Cost]]/Marketing[[#This Row],[Customers]]</f>
        <v>1606.2857142857142</v>
      </c>
      <c r="K1420" t="s">
        <v>25</v>
      </c>
      <c r="L1420" t="s">
        <v>26</v>
      </c>
      <c r="M1420">
        <v>691</v>
      </c>
      <c r="N1420">
        <v>5877</v>
      </c>
      <c r="O1420">
        <v>1</v>
      </c>
      <c r="P1420" t="s">
        <v>44</v>
      </c>
      <c r="Q1420" s="1">
        <v>44520</v>
      </c>
    </row>
    <row r="1421" spans="1:17" x14ac:dyDescent="0.3">
      <c r="A1421" t="s">
        <v>49</v>
      </c>
      <c r="B1421" t="s">
        <v>29</v>
      </c>
      <c r="C1421" t="s">
        <v>37</v>
      </c>
      <c r="D1421" t="s">
        <v>17</v>
      </c>
      <c r="E1421" t="s">
        <v>18</v>
      </c>
      <c r="F1421" s="9">
        <v>7.0000000000000007E-2</v>
      </c>
      <c r="G1421" s="10">
        <v>11182</v>
      </c>
      <c r="H1421">
        <v>4.41</v>
      </c>
      <c r="I1421" s="5">
        <f>ROUND(Marketing[[#This Row],[Clicks]]*Marketing[[#This Row],[Conversion_Rate]],0)</f>
        <v>67</v>
      </c>
      <c r="J1421" s="12">
        <f>Marketing[[#This Row],[Campaign_Cost]]/Marketing[[#This Row],[Customers]]</f>
        <v>166.8955223880597</v>
      </c>
      <c r="K1421" t="s">
        <v>32</v>
      </c>
      <c r="L1421" t="s">
        <v>20</v>
      </c>
      <c r="M1421">
        <v>959</v>
      </c>
      <c r="N1421">
        <v>1218</v>
      </c>
      <c r="O1421">
        <v>7</v>
      </c>
      <c r="P1421" t="s">
        <v>34</v>
      </c>
      <c r="Q1421" s="1">
        <v>44521</v>
      </c>
    </row>
    <row r="1422" spans="1:17" x14ac:dyDescent="0.3">
      <c r="A1422" t="s">
        <v>14</v>
      </c>
      <c r="B1422" t="s">
        <v>36</v>
      </c>
      <c r="C1422" t="s">
        <v>30</v>
      </c>
      <c r="D1422" t="s">
        <v>17</v>
      </c>
      <c r="E1422" t="s">
        <v>48</v>
      </c>
      <c r="F1422" s="9">
        <v>0.05</v>
      </c>
      <c r="G1422" s="10">
        <v>10740</v>
      </c>
      <c r="H1422">
        <v>5.16</v>
      </c>
      <c r="I1422" s="5">
        <f>ROUND(Marketing[[#This Row],[Clicks]]*Marketing[[#This Row],[Conversion_Rate]],0)</f>
        <v>30</v>
      </c>
      <c r="J1422" s="12">
        <f>Marketing[[#This Row],[Campaign_Cost]]/Marketing[[#This Row],[Customers]]</f>
        <v>358</v>
      </c>
      <c r="K1422" t="s">
        <v>25</v>
      </c>
      <c r="L1422" t="s">
        <v>50</v>
      </c>
      <c r="M1422">
        <v>594</v>
      </c>
      <c r="N1422">
        <v>1206</v>
      </c>
      <c r="O1422">
        <v>3</v>
      </c>
      <c r="P1422" t="s">
        <v>27</v>
      </c>
      <c r="Q1422" s="1">
        <v>44522</v>
      </c>
    </row>
    <row r="1423" spans="1:17" x14ac:dyDescent="0.3">
      <c r="A1423" t="s">
        <v>28</v>
      </c>
      <c r="B1423" t="s">
        <v>36</v>
      </c>
      <c r="C1423" t="s">
        <v>52</v>
      </c>
      <c r="D1423" t="s">
        <v>17</v>
      </c>
      <c r="E1423" t="s">
        <v>43</v>
      </c>
      <c r="F1423" s="9">
        <v>0.01</v>
      </c>
      <c r="G1423" s="10">
        <v>5597</v>
      </c>
      <c r="H1423">
        <v>3.83</v>
      </c>
      <c r="I1423" s="5">
        <f>ROUND(Marketing[[#This Row],[Clicks]]*Marketing[[#This Row],[Conversion_Rate]],0)</f>
        <v>7</v>
      </c>
      <c r="J1423" s="12">
        <f>Marketing[[#This Row],[Campaign_Cost]]/Marketing[[#This Row],[Customers]]</f>
        <v>799.57142857142856</v>
      </c>
      <c r="K1423" t="s">
        <v>38</v>
      </c>
      <c r="L1423" t="s">
        <v>39</v>
      </c>
      <c r="M1423">
        <v>672</v>
      </c>
      <c r="N1423">
        <v>6608</v>
      </c>
      <c r="O1423">
        <v>4</v>
      </c>
      <c r="P1423" t="s">
        <v>44</v>
      </c>
      <c r="Q1423" s="1">
        <v>44523</v>
      </c>
    </row>
    <row r="1424" spans="1:17" x14ac:dyDescent="0.3">
      <c r="A1424" t="s">
        <v>22</v>
      </c>
      <c r="B1424" t="s">
        <v>15</v>
      </c>
      <c r="C1424" t="s">
        <v>23</v>
      </c>
      <c r="D1424" t="s">
        <v>24</v>
      </c>
      <c r="E1424" t="s">
        <v>43</v>
      </c>
      <c r="F1424" s="9">
        <v>0.02</v>
      </c>
      <c r="G1424" s="10">
        <v>15088</v>
      </c>
      <c r="H1424">
        <v>4.9000000000000004</v>
      </c>
      <c r="I1424" s="5">
        <f>ROUND(Marketing[[#This Row],[Clicks]]*Marketing[[#This Row],[Conversion_Rate]],0)</f>
        <v>5</v>
      </c>
      <c r="J1424" s="12">
        <f>Marketing[[#This Row],[Campaign_Cost]]/Marketing[[#This Row],[Customers]]</f>
        <v>3017.6</v>
      </c>
      <c r="K1424" t="s">
        <v>19</v>
      </c>
      <c r="L1424" t="s">
        <v>50</v>
      </c>
      <c r="M1424">
        <v>248</v>
      </c>
      <c r="N1424">
        <v>9279</v>
      </c>
      <c r="O1424">
        <v>1</v>
      </c>
      <c r="P1424" t="s">
        <v>44</v>
      </c>
      <c r="Q1424" s="1">
        <v>44524</v>
      </c>
    </row>
    <row r="1425" spans="1:17" x14ac:dyDescent="0.3">
      <c r="A1425" t="s">
        <v>35</v>
      </c>
      <c r="B1425" t="s">
        <v>47</v>
      </c>
      <c r="C1425" t="s">
        <v>52</v>
      </c>
      <c r="D1425" t="s">
        <v>24</v>
      </c>
      <c r="E1425" t="s">
        <v>41</v>
      </c>
      <c r="F1425" s="9">
        <v>0.06</v>
      </c>
      <c r="G1425" s="10">
        <v>8336</v>
      </c>
      <c r="H1425">
        <v>3.4</v>
      </c>
      <c r="I1425" s="5">
        <f>ROUND(Marketing[[#This Row],[Clicks]]*Marketing[[#This Row],[Conversion_Rate]],0)</f>
        <v>26</v>
      </c>
      <c r="J1425" s="12">
        <f>Marketing[[#This Row],[Campaign_Cost]]/Marketing[[#This Row],[Customers]]</f>
        <v>320.61538461538464</v>
      </c>
      <c r="K1425" t="s">
        <v>38</v>
      </c>
      <c r="L1425" t="s">
        <v>50</v>
      </c>
      <c r="M1425">
        <v>426</v>
      </c>
      <c r="N1425">
        <v>3081</v>
      </c>
      <c r="O1425">
        <v>1</v>
      </c>
      <c r="P1425" t="s">
        <v>44</v>
      </c>
      <c r="Q1425" s="1">
        <v>44525</v>
      </c>
    </row>
    <row r="1426" spans="1:17" x14ac:dyDescent="0.3">
      <c r="A1426" t="s">
        <v>22</v>
      </c>
      <c r="B1426" t="s">
        <v>45</v>
      </c>
      <c r="C1426" t="s">
        <v>30</v>
      </c>
      <c r="D1426" t="s">
        <v>40</v>
      </c>
      <c r="E1426" t="s">
        <v>15</v>
      </c>
      <c r="F1426" s="9">
        <v>0.14000000000000001</v>
      </c>
      <c r="G1426" s="10">
        <v>13825</v>
      </c>
      <c r="H1426">
        <v>2.5499999999999998</v>
      </c>
      <c r="I1426" s="5">
        <f>ROUND(Marketing[[#This Row],[Clicks]]*Marketing[[#This Row],[Conversion_Rate]],0)</f>
        <v>110</v>
      </c>
      <c r="J1426" s="12">
        <f>Marketing[[#This Row],[Campaign_Cost]]/Marketing[[#This Row],[Customers]]</f>
        <v>125.68181818181819</v>
      </c>
      <c r="K1426" t="s">
        <v>38</v>
      </c>
      <c r="L1426" t="s">
        <v>39</v>
      </c>
      <c r="M1426">
        <v>783</v>
      </c>
      <c r="N1426">
        <v>8810</v>
      </c>
      <c r="O1426">
        <v>5</v>
      </c>
      <c r="P1426" t="s">
        <v>27</v>
      </c>
      <c r="Q1426" s="1">
        <v>44526</v>
      </c>
    </row>
    <row r="1427" spans="1:17" x14ac:dyDescent="0.3">
      <c r="A1427" t="s">
        <v>35</v>
      </c>
      <c r="B1427" t="s">
        <v>47</v>
      </c>
      <c r="C1427" t="s">
        <v>16</v>
      </c>
      <c r="D1427" t="s">
        <v>24</v>
      </c>
      <c r="E1427" t="s">
        <v>48</v>
      </c>
      <c r="F1427" s="9">
        <v>0.04</v>
      </c>
      <c r="G1427" s="10">
        <v>9370</v>
      </c>
      <c r="H1427">
        <v>6.5</v>
      </c>
      <c r="I1427" s="5">
        <f>ROUND(Marketing[[#This Row],[Clicks]]*Marketing[[#This Row],[Conversion_Rate]],0)</f>
        <v>5</v>
      </c>
      <c r="J1427" s="12">
        <f>Marketing[[#This Row],[Campaign_Cost]]/Marketing[[#This Row],[Customers]]</f>
        <v>1874</v>
      </c>
      <c r="K1427" t="s">
        <v>25</v>
      </c>
      <c r="L1427" t="s">
        <v>26</v>
      </c>
      <c r="M1427">
        <v>116</v>
      </c>
      <c r="N1427">
        <v>8835</v>
      </c>
      <c r="O1427">
        <v>6</v>
      </c>
      <c r="P1427" t="s">
        <v>44</v>
      </c>
      <c r="Q1427" s="1">
        <v>44527</v>
      </c>
    </row>
    <row r="1428" spans="1:17" x14ac:dyDescent="0.3">
      <c r="A1428" t="s">
        <v>22</v>
      </c>
      <c r="B1428" t="s">
        <v>36</v>
      </c>
      <c r="C1428" t="s">
        <v>52</v>
      </c>
      <c r="D1428" t="s">
        <v>17</v>
      </c>
      <c r="E1428" t="s">
        <v>15</v>
      </c>
      <c r="F1428" s="9">
        <v>0.13</v>
      </c>
      <c r="G1428" s="10">
        <v>19027</v>
      </c>
      <c r="H1428">
        <v>7.02</v>
      </c>
      <c r="I1428" s="5">
        <f>ROUND(Marketing[[#This Row],[Clicks]]*Marketing[[#This Row],[Conversion_Rate]],0)</f>
        <v>45</v>
      </c>
      <c r="J1428" s="12">
        <f>Marketing[[#This Row],[Campaign_Cost]]/Marketing[[#This Row],[Customers]]</f>
        <v>422.82222222222219</v>
      </c>
      <c r="K1428" t="s">
        <v>32</v>
      </c>
      <c r="L1428" t="s">
        <v>39</v>
      </c>
      <c r="M1428">
        <v>347</v>
      </c>
      <c r="N1428">
        <v>5440</v>
      </c>
      <c r="O1428">
        <v>2</v>
      </c>
      <c r="P1428" t="s">
        <v>44</v>
      </c>
      <c r="Q1428" s="1">
        <v>44528</v>
      </c>
    </row>
    <row r="1429" spans="1:17" x14ac:dyDescent="0.3">
      <c r="A1429" t="s">
        <v>14</v>
      </c>
      <c r="B1429" t="s">
        <v>15</v>
      </c>
      <c r="C1429" t="s">
        <v>16</v>
      </c>
      <c r="D1429" t="s">
        <v>46</v>
      </c>
      <c r="E1429" t="s">
        <v>31</v>
      </c>
      <c r="F1429" s="9">
        <v>0.13</v>
      </c>
      <c r="G1429" s="10">
        <v>7363</v>
      </c>
      <c r="H1429">
        <v>5.3</v>
      </c>
      <c r="I1429" s="5">
        <f>ROUND(Marketing[[#This Row],[Clicks]]*Marketing[[#This Row],[Conversion_Rate]],0)</f>
        <v>41</v>
      </c>
      <c r="J1429" s="12">
        <f>Marketing[[#This Row],[Campaign_Cost]]/Marketing[[#This Row],[Customers]]</f>
        <v>179.58536585365854</v>
      </c>
      <c r="K1429" t="s">
        <v>19</v>
      </c>
      <c r="L1429" t="s">
        <v>50</v>
      </c>
      <c r="M1429">
        <v>314</v>
      </c>
      <c r="N1429">
        <v>5134</v>
      </c>
      <c r="O1429">
        <v>6</v>
      </c>
      <c r="P1429" t="s">
        <v>34</v>
      </c>
      <c r="Q1429" s="1">
        <v>44529</v>
      </c>
    </row>
    <row r="1430" spans="1:17" x14ac:dyDescent="0.3">
      <c r="A1430" t="s">
        <v>22</v>
      </c>
      <c r="B1430" t="s">
        <v>15</v>
      </c>
      <c r="C1430" t="s">
        <v>16</v>
      </c>
      <c r="D1430" t="s">
        <v>24</v>
      </c>
      <c r="E1430" t="s">
        <v>31</v>
      </c>
      <c r="F1430" s="9">
        <v>0.06</v>
      </c>
      <c r="G1430" s="10">
        <v>13275</v>
      </c>
      <c r="H1430">
        <v>7.95</v>
      </c>
      <c r="I1430" s="5">
        <f>ROUND(Marketing[[#This Row],[Clicks]]*Marketing[[#This Row],[Conversion_Rate]],0)</f>
        <v>12</v>
      </c>
      <c r="J1430" s="12">
        <f>Marketing[[#This Row],[Campaign_Cost]]/Marketing[[#This Row],[Customers]]</f>
        <v>1106.25</v>
      </c>
      <c r="K1430" t="s">
        <v>19</v>
      </c>
      <c r="L1430" t="s">
        <v>20</v>
      </c>
      <c r="M1430">
        <v>193</v>
      </c>
      <c r="N1430">
        <v>8429</v>
      </c>
      <c r="O1430">
        <v>7</v>
      </c>
      <c r="P1430" t="s">
        <v>42</v>
      </c>
      <c r="Q1430" s="1">
        <v>44530</v>
      </c>
    </row>
    <row r="1431" spans="1:17" x14ac:dyDescent="0.3">
      <c r="A1431" t="s">
        <v>49</v>
      </c>
      <c r="B1431" t="s">
        <v>36</v>
      </c>
      <c r="C1431" t="s">
        <v>16</v>
      </c>
      <c r="D1431" t="s">
        <v>17</v>
      </c>
      <c r="E1431" t="s">
        <v>43</v>
      </c>
      <c r="F1431" s="9">
        <v>0.08</v>
      </c>
      <c r="G1431" s="10">
        <v>12364</v>
      </c>
      <c r="H1431">
        <v>6.17</v>
      </c>
      <c r="I1431" s="5">
        <f>ROUND(Marketing[[#This Row],[Clicks]]*Marketing[[#This Row],[Conversion_Rate]],0)</f>
        <v>50</v>
      </c>
      <c r="J1431" s="12">
        <f>Marketing[[#This Row],[Campaign_Cost]]/Marketing[[#This Row],[Customers]]</f>
        <v>247.28</v>
      </c>
      <c r="K1431" t="s">
        <v>32</v>
      </c>
      <c r="L1431" t="s">
        <v>20</v>
      </c>
      <c r="M1431">
        <v>628</v>
      </c>
      <c r="N1431">
        <v>3512</v>
      </c>
      <c r="O1431">
        <v>10</v>
      </c>
      <c r="P1431" t="s">
        <v>27</v>
      </c>
      <c r="Q1431" s="1">
        <v>44531</v>
      </c>
    </row>
    <row r="1432" spans="1:17" x14ac:dyDescent="0.3">
      <c r="A1432" t="s">
        <v>49</v>
      </c>
      <c r="B1432" t="s">
        <v>47</v>
      </c>
      <c r="C1432" t="s">
        <v>30</v>
      </c>
      <c r="D1432" t="s">
        <v>40</v>
      </c>
      <c r="E1432" t="s">
        <v>15</v>
      </c>
      <c r="F1432" s="9">
        <v>0.1</v>
      </c>
      <c r="G1432" s="10">
        <v>17078</v>
      </c>
      <c r="H1432">
        <v>4.26</v>
      </c>
      <c r="I1432" s="5">
        <f>ROUND(Marketing[[#This Row],[Clicks]]*Marketing[[#This Row],[Conversion_Rate]],0)</f>
        <v>16</v>
      </c>
      <c r="J1432" s="12">
        <f>Marketing[[#This Row],[Campaign_Cost]]/Marketing[[#This Row],[Customers]]</f>
        <v>1067.375</v>
      </c>
      <c r="K1432" t="s">
        <v>19</v>
      </c>
      <c r="L1432" t="s">
        <v>33</v>
      </c>
      <c r="M1432">
        <v>156</v>
      </c>
      <c r="N1432">
        <v>5376</v>
      </c>
      <c r="O1432">
        <v>8</v>
      </c>
      <c r="P1432" t="s">
        <v>42</v>
      </c>
      <c r="Q1432" s="1">
        <v>44532</v>
      </c>
    </row>
    <row r="1433" spans="1:17" x14ac:dyDescent="0.3">
      <c r="A1433" t="s">
        <v>35</v>
      </c>
      <c r="B1433" t="s">
        <v>45</v>
      </c>
      <c r="C1433" t="s">
        <v>37</v>
      </c>
      <c r="D1433" t="s">
        <v>24</v>
      </c>
      <c r="E1433" t="s">
        <v>41</v>
      </c>
      <c r="F1433" s="9">
        <v>0.04</v>
      </c>
      <c r="G1433" s="10">
        <v>7839</v>
      </c>
      <c r="H1433">
        <v>4.18</v>
      </c>
      <c r="I1433" s="5">
        <f>ROUND(Marketing[[#This Row],[Clicks]]*Marketing[[#This Row],[Conversion_Rate]],0)</f>
        <v>25</v>
      </c>
      <c r="J1433" s="12">
        <f>Marketing[[#This Row],[Campaign_Cost]]/Marketing[[#This Row],[Customers]]</f>
        <v>313.56</v>
      </c>
      <c r="K1433" t="s">
        <v>38</v>
      </c>
      <c r="L1433" t="s">
        <v>39</v>
      </c>
      <c r="M1433">
        <v>637</v>
      </c>
      <c r="N1433">
        <v>7973</v>
      </c>
      <c r="O1433">
        <v>5</v>
      </c>
      <c r="P1433" t="s">
        <v>21</v>
      </c>
      <c r="Q1433" s="1">
        <v>44533</v>
      </c>
    </row>
    <row r="1434" spans="1:17" x14ac:dyDescent="0.3">
      <c r="A1434" t="s">
        <v>49</v>
      </c>
      <c r="B1434" t="s">
        <v>45</v>
      </c>
      <c r="C1434" t="s">
        <v>30</v>
      </c>
      <c r="D1434" t="s">
        <v>24</v>
      </c>
      <c r="E1434" t="s">
        <v>31</v>
      </c>
      <c r="F1434" s="9">
        <v>0.11</v>
      </c>
      <c r="G1434" s="10">
        <v>9959</v>
      </c>
      <c r="H1434">
        <v>6.33</v>
      </c>
      <c r="I1434" s="5">
        <f>ROUND(Marketing[[#This Row],[Clicks]]*Marketing[[#This Row],[Conversion_Rate]],0)</f>
        <v>57</v>
      </c>
      <c r="J1434" s="12">
        <f>Marketing[[#This Row],[Campaign_Cost]]/Marketing[[#This Row],[Customers]]</f>
        <v>174.71929824561403</v>
      </c>
      <c r="K1434" t="s">
        <v>19</v>
      </c>
      <c r="L1434" t="s">
        <v>26</v>
      </c>
      <c r="M1434">
        <v>514</v>
      </c>
      <c r="N1434">
        <v>2561</v>
      </c>
      <c r="O1434">
        <v>6</v>
      </c>
      <c r="P1434" t="s">
        <v>42</v>
      </c>
      <c r="Q1434" s="1">
        <v>44534</v>
      </c>
    </row>
    <row r="1435" spans="1:17" x14ac:dyDescent="0.3">
      <c r="A1435" t="s">
        <v>49</v>
      </c>
      <c r="B1435" t="s">
        <v>29</v>
      </c>
      <c r="C1435" t="s">
        <v>23</v>
      </c>
      <c r="D1435" t="s">
        <v>24</v>
      </c>
      <c r="E1435" t="s">
        <v>15</v>
      </c>
      <c r="F1435" s="9">
        <v>0.06</v>
      </c>
      <c r="G1435" s="10">
        <v>6595</v>
      </c>
      <c r="H1435">
        <v>4.72</v>
      </c>
      <c r="I1435" s="5">
        <f>ROUND(Marketing[[#This Row],[Clicks]]*Marketing[[#This Row],[Conversion_Rate]],0)</f>
        <v>38</v>
      </c>
      <c r="J1435" s="12">
        <f>Marketing[[#This Row],[Campaign_Cost]]/Marketing[[#This Row],[Customers]]</f>
        <v>173.55263157894737</v>
      </c>
      <c r="K1435" t="s">
        <v>25</v>
      </c>
      <c r="L1435" t="s">
        <v>33</v>
      </c>
      <c r="M1435">
        <v>637</v>
      </c>
      <c r="N1435">
        <v>1106</v>
      </c>
      <c r="O1435">
        <v>5</v>
      </c>
      <c r="P1435" t="s">
        <v>34</v>
      </c>
      <c r="Q1435" s="1">
        <v>44535</v>
      </c>
    </row>
    <row r="1436" spans="1:17" x14ac:dyDescent="0.3">
      <c r="A1436" t="s">
        <v>22</v>
      </c>
      <c r="B1436" t="s">
        <v>47</v>
      </c>
      <c r="C1436" t="s">
        <v>16</v>
      </c>
      <c r="D1436" t="s">
        <v>46</v>
      </c>
      <c r="E1436" t="s">
        <v>31</v>
      </c>
      <c r="F1436" s="9">
        <v>0.11</v>
      </c>
      <c r="G1436" s="10">
        <v>13531</v>
      </c>
      <c r="H1436">
        <v>2.58</v>
      </c>
      <c r="I1436" s="5">
        <f>ROUND(Marketing[[#This Row],[Clicks]]*Marketing[[#This Row],[Conversion_Rate]],0)</f>
        <v>68</v>
      </c>
      <c r="J1436" s="12">
        <f>Marketing[[#This Row],[Campaign_Cost]]/Marketing[[#This Row],[Customers]]</f>
        <v>198.98529411764707</v>
      </c>
      <c r="K1436" t="s">
        <v>25</v>
      </c>
      <c r="L1436" t="s">
        <v>50</v>
      </c>
      <c r="M1436">
        <v>615</v>
      </c>
      <c r="N1436">
        <v>5131</v>
      </c>
      <c r="O1436">
        <v>7</v>
      </c>
      <c r="P1436" t="s">
        <v>42</v>
      </c>
      <c r="Q1436" s="1">
        <v>44536</v>
      </c>
    </row>
    <row r="1437" spans="1:17" x14ac:dyDescent="0.3">
      <c r="A1437" t="s">
        <v>22</v>
      </c>
      <c r="B1437" t="s">
        <v>29</v>
      </c>
      <c r="C1437" t="s">
        <v>37</v>
      </c>
      <c r="D1437" t="s">
        <v>40</v>
      </c>
      <c r="E1437" t="s">
        <v>48</v>
      </c>
      <c r="F1437" s="9">
        <v>0.06</v>
      </c>
      <c r="G1437" s="10">
        <v>19057</v>
      </c>
      <c r="H1437">
        <v>7.48</v>
      </c>
      <c r="I1437" s="5">
        <f>ROUND(Marketing[[#This Row],[Clicks]]*Marketing[[#This Row],[Conversion_Rate]],0)</f>
        <v>7</v>
      </c>
      <c r="J1437" s="12">
        <f>Marketing[[#This Row],[Campaign_Cost]]/Marketing[[#This Row],[Customers]]</f>
        <v>2722.4285714285716</v>
      </c>
      <c r="K1437" t="s">
        <v>25</v>
      </c>
      <c r="L1437" t="s">
        <v>50</v>
      </c>
      <c r="M1437">
        <v>115</v>
      </c>
      <c r="N1437">
        <v>1861</v>
      </c>
      <c r="O1437">
        <v>8</v>
      </c>
      <c r="P1437" t="s">
        <v>42</v>
      </c>
      <c r="Q1437" s="1">
        <v>44537</v>
      </c>
    </row>
    <row r="1438" spans="1:17" x14ac:dyDescent="0.3">
      <c r="A1438" t="s">
        <v>49</v>
      </c>
      <c r="B1438" t="s">
        <v>45</v>
      </c>
      <c r="C1438" t="s">
        <v>37</v>
      </c>
      <c r="D1438" t="s">
        <v>40</v>
      </c>
      <c r="E1438" t="s">
        <v>31</v>
      </c>
      <c r="F1438" s="9">
        <v>0.14000000000000001</v>
      </c>
      <c r="G1438" s="10">
        <v>12633</v>
      </c>
      <c r="H1438">
        <v>2.11</v>
      </c>
      <c r="I1438" s="5">
        <f>ROUND(Marketing[[#This Row],[Clicks]]*Marketing[[#This Row],[Conversion_Rate]],0)</f>
        <v>75</v>
      </c>
      <c r="J1438" s="12">
        <f>Marketing[[#This Row],[Campaign_Cost]]/Marketing[[#This Row],[Customers]]</f>
        <v>168.44</v>
      </c>
      <c r="K1438" t="s">
        <v>51</v>
      </c>
      <c r="L1438" t="s">
        <v>39</v>
      </c>
      <c r="M1438">
        <v>533</v>
      </c>
      <c r="N1438">
        <v>4332</v>
      </c>
      <c r="O1438">
        <v>5</v>
      </c>
      <c r="P1438" t="s">
        <v>27</v>
      </c>
      <c r="Q1438" s="1">
        <v>44538</v>
      </c>
    </row>
    <row r="1439" spans="1:17" x14ac:dyDescent="0.3">
      <c r="A1439" t="s">
        <v>22</v>
      </c>
      <c r="B1439" t="s">
        <v>15</v>
      </c>
      <c r="C1439" t="s">
        <v>16</v>
      </c>
      <c r="D1439" t="s">
        <v>17</v>
      </c>
      <c r="E1439" t="s">
        <v>48</v>
      </c>
      <c r="F1439" s="9">
        <v>0.1</v>
      </c>
      <c r="G1439" s="10">
        <v>6163</v>
      </c>
      <c r="H1439">
        <v>7.96</v>
      </c>
      <c r="I1439" s="5">
        <f>ROUND(Marketing[[#This Row],[Clicks]]*Marketing[[#This Row],[Conversion_Rate]],0)</f>
        <v>43</v>
      </c>
      <c r="J1439" s="12">
        <f>Marketing[[#This Row],[Campaign_Cost]]/Marketing[[#This Row],[Customers]]</f>
        <v>143.32558139534885</v>
      </c>
      <c r="K1439" t="s">
        <v>32</v>
      </c>
      <c r="L1439" t="s">
        <v>50</v>
      </c>
      <c r="M1439">
        <v>432</v>
      </c>
      <c r="N1439">
        <v>9291</v>
      </c>
      <c r="O1439">
        <v>8</v>
      </c>
      <c r="P1439" t="s">
        <v>27</v>
      </c>
      <c r="Q1439" s="1">
        <v>44539</v>
      </c>
    </row>
    <row r="1440" spans="1:17" x14ac:dyDescent="0.3">
      <c r="A1440" t="s">
        <v>49</v>
      </c>
      <c r="B1440" t="s">
        <v>47</v>
      </c>
      <c r="C1440" t="s">
        <v>23</v>
      </c>
      <c r="D1440" t="s">
        <v>40</v>
      </c>
      <c r="E1440" t="s">
        <v>43</v>
      </c>
      <c r="F1440" s="9">
        <v>0.1</v>
      </c>
      <c r="G1440" s="10">
        <v>8749</v>
      </c>
      <c r="H1440">
        <v>7.53</v>
      </c>
      <c r="I1440" s="5">
        <f>ROUND(Marketing[[#This Row],[Clicks]]*Marketing[[#This Row],[Conversion_Rate]],0)</f>
        <v>36</v>
      </c>
      <c r="J1440" s="12">
        <f>Marketing[[#This Row],[Campaign_Cost]]/Marketing[[#This Row],[Customers]]</f>
        <v>243.02777777777777</v>
      </c>
      <c r="K1440" t="s">
        <v>32</v>
      </c>
      <c r="L1440" t="s">
        <v>20</v>
      </c>
      <c r="M1440">
        <v>356</v>
      </c>
      <c r="N1440">
        <v>5948</v>
      </c>
      <c r="O1440">
        <v>9</v>
      </c>
      <c r="P1440" t="s">
        <v>21</v>
      </c>
      <c r="Q1440" s="1">
        <v>44540</v>
      </c>
    </row>
    <row r="1441" spans="1:17" x14ac:dyDescent="0.3">
      <c r="A1441" t="s">
        <v>14</v>
      </c>
      <c r="B1441" t="s">
        <v>45</v>
      </c>
      <c r="C1441" t="s">
        <v>23</v>
      </c>
      <c r="D1441" t="s">
        <v>46</v>
      </c>
      <c r="E1441" t="s">
        <v>41</v>
      </c>
      <c r="F1441" s="9">
        <v>0.02</v>
      </c>
      <c r="G1441" s="10">
        <v>6786</v>
      </c>
      <c r="H1441">
        <v>7.81</v>
      </c>
      <c r="I1441" s="5">
        <f>ROUND(Marketing[[#This Row],[Clicks]]*Marketing[[#This Row],[Conversion_Rate]],0)</f>
        <v>16</v>
      </c>
      <c r="J1441" s="12">
        <f>Marketing[[#This Row],[Campaign_Cost]]/Marketing[[#This Row],[Customers]]</f>
        <v>424.125</v>
      </c>
      <c r="K1441" t="s">
        <v>25</v>
      </c>
      <c r="L1441" t="s">
        <v>26</v>
      </c>
      <c r="M1441">
        <v>799</v>
      </c>
      <c r="N1441">
        <v>3481</v>
      </c>
      <c r="O1441">
        <v>8</v>
      </c>
      <c r="P1441" t="s">
        <v>34</v>
      </c>
      <c r="Q1441" s="1">
        <v>44541</v>
      </c>
    </row>
    <row r="1442" spans="1:17" x14ac:dyDescent="0.3">
      <c r="A1442" t="s">
        <v>49</v>
      </c>
      <c r="B1442" t="s">
        <v>15</v>
      </c>
      <c r="C1442" t="s">
        <v>52</v>
      </c>
      <c r="D1442" t="s">
        <v>24</v>
      </c>
      <c r="E1442" t="s">
        <v>31</v>
      </c>
      <c r="F1442" s="9">
        <v>0.09</v>
      </c>
      <c r="G1442" s="10">
        <v>17055</v>
      </c>
      <c r="H1442">
        <v>5.58</v>
      </c>
      <c r="I1442" s="5">
        <f>ROUND(Marketing[[#This Row],[Clicks]]*Marketing[[#This Row],[Conversion_Rate]],0)</f>
        <v>23</v>
      </c>
      <c r="J1442" s="12">
        <f>Marketing[[#This Row],[Campaign_Cost]]/Marketing[[#This Row],[Customers]]</f>
        <v>741.52173913043475</v>
      </c>
      <c r="K1442" t="s">
        <v>38</v>
      </c>
      <c r="L1442" t="s">
        <v>33</v>
      </c>
      <c r="M1442">
        <v>255</v>
      </c>
      <c r="N1442">
        <v>2479</v>
      </c>
      <c r="O1442">
        <v>2</v>
      </c>
      <c r="P1442" t="s">
        <v>44</v>
      </c>
      <c r="Q1442" s="1">
        <v>44542</v>
      </c>
    </row>
    <row r="1443" spans="1:17" x14ac:dyDescent="0.3">
      <c r="A1443" t="s">
        <v>28</v>
      </c>
      <c r="B1443" t="s">
        <v>29</v>
      </c>
      <c r="C1443" t="s">
        <v>52</v>
      </c>
      <c r="D1443" t="s">
        <v>17</v>
      </c>
      <c r="E1443" t="s">
        <v>18</v>
      </c>
      <c r="F1443" s="9">
        <v>0.09</v>
      </c>
      <c r="G1443" s="10">
        <v>15834</v>
      </c>
      <c r="H1443">
        <v>6.37</v>
      </c>
      <c r="I1443" s="5">
        <f>ROUND(Marketing[[#This Row],[Clicks]]*Marketing[[#This Row],[Conversion_Rate]],0)</f>
        <v>64</v>
      </c>
      <c r="J1443" s="12">
        <f>Marketing[[#This Row],[Campaign_Cost]]/Marketing[[#This Row],[Customers]]</f>
        <v>247.40625</v>
      </c>
      <c r="K1443" t="s">
        <v>25</v>
      </c>
      <c r="L1443" t="s">
        <v>39</v>
      </c>
      <c r="M1443">
        <v>706</v>
      </c>
      <c r="N1443">
        <v>7573</v>
      </c>
      <c r="O1443">
        <v>7</v>
      </c>
      <c r="P1443" t="s">
        <v>44</v>
      </c>
      <c r="Q1443" s="1">
        <v>44543</v>
      </c>
    </row>
    <row r="1444" spans="1:17" x14ac:dyDescent="0.3">
      <c r="A1444" t="s">
        <v>22</v>
      </c>
      <c r="B1444" t="s">
        <v>29</v>
      </c>
      <c r="C1444" t="s">
        <v>37</v>
      </c>
      <c r="D1444" t="s">
        <v>17</v>
      </c>
      <c r="E1444" t="s">
        <v>18</v>
      </c>
      <c r="F1444" s="9">
        <v>0.03</v>
      </c>
      <c r="G1444" s="10">
        <v>10993</v>
      </c>
      <c r="H1444">
        <v>2.8</v>
      </c>
      <c r="I1444" s="5">
        <f>ROUND(Marketing[[#This Row],[Clicks]]*Marketing[[#This Row],[Conversion_Rate]],0)</f>
        <v>30</v>
      </c>
      <c r="J1444" s="12">
        <f>Marketing[[#This Row],[Campaign_Cost]]/Marketing[[#This Row],[Customers]]</f>
        <v>366.43333333333334</v>
      </c>
      <c r="K1444" t="s">
        <v>19</v>
      </c>
      <c r="L1444" t="s">
        <v>33</v>
      </c>
      <c r="M1444">
        <v>999</v>
      </c>
      <c r="N1444">
        <v>5600</v>
      </c>
      <c r="O1444">
        <v>3</v>
      </c>
      <c r="P1444" t="s">
        <v>21</v>
      </c>
      <c r="Q1444" s="1">
        <v>44544</v>
      </c>
    </row>
    <row r="1445" spans="1:17" x14ac:dyDescent="0.3">
      <c r="A1445" t="s">
        <v>22</v>
      </c>
      <c r="B1445" t="s">
        <v>29</v>
      </c>
      <c r="C1445" t="s">
        <v>16</v>
      </c>
      <c r="D1445" t="s">
        <v>24</v>
      </c>
      <c r="E1445" t="s">
        <v>15</v>
      </c>
      <c r="F1445" s="9">
        <v>0.01</v>
      </c>
      <c r="G1445" s="10">
        <v>6960</v>
      </c>
      <c r="H1445">
        <v>5.66</v>
      </c>
      <c r="I1445" s="5">
        <f>ROUND(Marketing[[#This Row],[Clicks]]*Marketing[[#This Row],[Conversion_Rate]],0)</f>
        <v>6</v>
      </c>
      <c r="J1445" s="12">
        <f>Marketing[[#This Row],[Campaign_Cost]]/Marketing[[#This Row],[Customers]]</f>
        <v>1160</v>
      </c>
      <c r="K1445" t="s">
        <v>51</v>
      </c>
      <c r="L1445" t="s">
        <v>26</v>
      </c>
      <c r="M1445">
        <v>587</v>
      </c>
      <c r="N1445">
        <v>3895</v>
      </c>
      <c r="O1445">
        <v>8</v>
      </c>
      <c r="P1445" t="s">
        <v>44</v>
      </c>
      <c r="Q1445" s="1">
        <v>44545</v>
      </c>
    </row>
    <row r="1446" spans="1:17" x14ac:dyDescent="0.3">
      <c r="A1446" t="s">
        <v>14</v>
      </c>
      <c r="B1446" t="s">
        <v>15</v>
      </c>
      <c r="C1446" t="s">
        <v>52</v>
      </c>
      <c r="D1446" t="s">
        <v>24</v>
      </c>
      <c r="E1446" t="s">
        <v>15</v>
      </c>
      <c r="F1446" s="9">
        <v>0.04</v>
      </c>
      <c r="G1446" s="10">
        <v>13319</v>
      </c>
      <c r="H1446">
        <v>5.14</v>
      </c>
      <c r="I1446" s="5">
        <f>ROUND(Marketing[[#This Row],[Clicks]]*Marketing[[#This Row],[Conversion_Rate]],0)</f>
        <v>23</v>
      </c>
      <c r="J1446" s="12">
        <f>Marketing[[#This Row],[Campaign_Cost]]/Marketing[[#This Row],[Customers]]</f>
        <v>579.08695652173913</v>
      </c>
      <c r="K1446" t="s">
        <v>25</v>
      </c>
      <c r="L1446" t="s">
        <v>33</v>
      </c>
      <c r="M1446">
        <v>565</v>
      </c>
      <c r="N1446">
        <v>5694</v>
      </c>
      <c r="O1446">
        <v>10</v>
      </c>
      <c r="P1446" t="s">
        <v>21</v>
      </c>
      <c r="Q1446" s="1">
        <v>44546</v>
      </c>
    </row>
    <row r="1447" spans="1:17" x14ac:dyDescent="0.3">
      <c r="A1447" t="s">
        <v>14</v>
      </c>
      <c r="B1447" t="s">
        <v>45</v>
      </c>
      <c r="C1447" t="s">
        <v>16</v>
      </c>
      <c r="D1447" t="s">
        <v>24</v>
      </c>
      <c r="E1447" t="s">
        <v>41</v>
      </c>
      <c r="F1447" s="9">
        <v>0.11</v>
      </c>
      <c r="G1447" s="10">
        <v>5970</v>
      </c>
      <c r="H1447">
        <v>3.75</v>
      </c>
      <c r="I1447" s="5">
        <f>ROUND(Marketing[[#This Row],[Clicks]]*Marketing[[#This Row],[Conversion_Rate]],0)</f>
        <v>48</v>
      </c>
      <c r="J1447" s="12">
        <f>Marketing[[#This Row],[Campaign_Cost]]/Marketing[[#This Row],[Customers]]</f>
        <v>124.375</v>
      </c>
      <c r="K1447" t="s">
        <v>25</v>
      </c>
      <c r="L1447" t="s">
        <v>39</v>
      </c>
      <c r="M1447">
        <v>440</v>
      </c>
      <c r="N1447">
        <v>3088</v>
      </c>
      <c r="O1447">
        <v>8</v>
      </c>
      <c r="P1447" t="s">
        <v>27</v>
      </c>
      <c r="Q1447" s="1">
        <v>44547</v>
      </c>
    </row>
    <row r="1448" spans="1:17" x14ac:dyDescent="0.3">
      <c r="A1448" t="s">
        <v>22</v>
      </c>
      <c r="B1448" t="s">
        <v>45</v>
      </c>
      <c r="C1448" t="s">
        <v>52</v>
      </c>
      <c r="D1448" t="s">
        <v>46</v>
      </c>
      <c r="E1448" t="s">
        <v>15</v>
      </c>
      <c r="F1448" s="9">
        <v>0.06</v>
      </c>
      <c r="G1448" s="10">
        <v>13419</v>
      </c>
      <c r="H1448">
        <v>4.25</v>
      </c>
      <c r="I1448" s="5">
        <f>ROUND(Marketing[[#This Row],[Clicks]]*Marketing[[#This Row],[Conversion_Rate]],0)</f>
        <v>24</v>
      </c>
      <c r="J1448" s="12">
        <f>Marketing[[#This Row],[Campaign_Cost]]/Marketing[[#This Row],[Customers]]</f>
        <v>559.125</v>
      </c>
      <c r="K1448" t="s">
        <v>38</v>
      </c>
      <c r="L1448" t="s">
        <v>20</v>
      </c>
      <c r="M1448">
        <v>405</v>
      </c>
      <c r="N1448">
        <v>8967</v>
      </c>
      <c r="O1448">
        <v>2</v>
      </c>
      <c r="P1448" t="s">
        <v>42</v>
      </c>
      <c r="Q1448" s="1">
        <v>44548</v>
      </c>
    </row>
    <row r="1449" spans="1:17" x14ac:dyDescent="0.3">
      <c r="A1449" t="s">
        <v>49</v>
      </c>
      <c r="B1449" t="s">
        <v>45</v>
      </c>
      <c r="C1449" t="s">
        <v>37</v>
      </c>
      <c r="D1449" t="s">
        <v>40</v>
      </c>
      <c r="E1449" t="s">
        <v>41</v>
      </c>
      <c r="F1449" s="9">
        <v>0.04</v>
      </c>
      <c r="G1449" s="10">
        <v>14075</v>
      </c>
      <c r="H1449">
        <v>5.1100000000000003</v>
      </c>
      <c r="I1449" s="5">
        <f>ROUND(Marketing[[#This Row],[Clicks]]*Marketing[[#This Row],[Conversion_Rate]],0)</f>
        <v>11</v>
      </c>
      <c r="J1449" s="12">
        <f>Marketing[[#This Row],[Campaign_Cost]]/Marketing[[#This Row],[Customers]]</f>
        <v>1279.5454545454545</v>
      </c>
      <c r="K1449" t="s">
        <v>25</v>
      </c>
      <c r="L1449" t="s">
        <v>50</v>
      </c>
      <c r="M1449">
        <v>268</v>
      </c>
      <c r="N1449">
        <v>4817</v>
      </c>
      <c r="O1449">
        <v>2</v>
      </c>
      <c r="P1449" t="s">
        <v>21</v>
      </c>
      <c r="Q1449" s="1">
        <v>44549</v>
      </c>
    </row>
    <row r="1450" spans="1:17" x14ac:dyDescent="0.3">
      <c r="A1450" t="s">
        <v>28</v>
      </c>
      <c r="B1450" t="s">
        <v>36</v>
      </c>
      <c r="C1450" t="s">
        <v>23</v>
      </c>
      <c r="D1450" t="s">
        <v>46</v>
      </c>
      <c r="E1450" t="s">
        <v>48</v>
      </c>
      <c r="F1450" s="9">
        <v>0.09</v>
      </c>
      <c r="G1450" s="10">
        <v>13506</v>
      </c>
      <c r="H1450">
        <v>3.83</v>
      </c>
      <c r="I1450" s="5">
        <f>ROUND(Marketing[[#This Row],[Clicks]]*Marketing[[#This Row],[Conversion_Rate]],0)</f>
        <v>46</v>
      </c>
      <c r="J1450" s="12">
        <f>Marketing[[#This Row],[Campaign_Cost]]/Marketing[[#This Row],[Customers]]</f>
        <v>293.60869565217394</v>
      </c>
      <c r="K1450" t="s">
        <v>25</v>
      </c>
      <c r="L1450" t="s">
        <v>39</v>
      </c>
      <c r="M1450">
        <v>515</v>
      </c>
      <c r="N1450">
        <v>8550</v>
      </c>
      <c r="O1450">
        <v>7</v>
      </c>
      <c r="P1450" t="s">
        <v>21</v>
      </c>
      <c r="Q1450" s="1">
        <v>44550</v>
      </c>
    </row>
    <row r="1451" spans="1:17" x14ac:dyDescent="0.3">
      <c r="A1451" t="s">
        <v>14</v>
      </c>
      <c r="B1451" t="s">
        <v>47</v>
      </c>
      <c r="C1451" t="s">
        <v>16</v>
      </c>
      <c r="D1451" t="s">
        <v>24</v>
      </c>
      <c r="E1451" t="s">
        <v>15</v>
      </c>
      <c r="F1451" s="9">
        <v>0.06</v>
      </c>
      <c r="G1451" s="10">
        <v>6134</v>
      </c>
      <c r="H1451">
        <v>7.21</v>
      </c>
      <c r="I1451" s="5">
        <f>ROUND(Marketing[[#This Row],[Clicks]]*Marketing[[#This Row],[Conversion_Rate]],0)</f>
        <v>51</v>
      </c>
      <c r="J1451" s="12">
        <f>Marketing[[#This Row],[Campaign_Cost]]/Marketing[[#This Row],[Customers]]</f>
        <v>120.27450980392157</v>
      </c>
      <c r="K1451" t="s">
        <v>32</v>
      </c>
      <c r="L1451" t="s">
        <v>39</v>
      </c>
      <c r="M1451">
        <v>847</v>
      </c>
      <c r="N1451">
        <v>9467</v>
      </c>
      <c r="O1451">
        <v>1</v>
      </c>
      <c r="P1451" t="s">
        <v>44</v>
      </c>
      <c r="Q1451" s="1">
        <v>44551</v>
      </c>
    </row>
    <row r="1452" spans="1:17" x14ac:dyDescent="0.3">
      <c r="A1452" t="s">
        <v>35</v>
      </c>
      <c r="B1452" t="s">
        <v>15</v>
      </c>
      <c r="C1452" t="s">
        <v>30</v>
      </c>
      <c r="D1452" t="s">
        <v>17</v>
      </c>
      <c r="E1452" t="s">
        <v>41</v>
      </c>
      <c r="F1452" s="9">
        <v>0.06</v>
      </c>
      <c r="G1452" s="10">
        <v>10084</v>
      </c>
      <c r="H1452">
        <v>4.55</v>
      </c>
      <c r="I1452" s="5">
        <f>ROUND(Marketing[[#This Row],[Clicks]]*Marketing[[#This Row],[Conversion_Rate]],0)</f>
        <v>20</v>
      </c>
      <c r="J1452" s="12">
        <f>Marketing[[#This Row],[Campaign_Cost]]/Marketing[[#This Row],[Customers]]</f>
        <v>504.2</v>
      </c>
      <c r="K1452" t="s">
        <v>32</v>
      </c>
      <c r="L1452" t="s">
        <v>39</v>
      </c>
      <c r="M1452">
        <v>341</v>
      </c>
      <c r="N1452">
        <v>6547</v>
      </c>
      <c r="O1452">
        <v>9</v>
      </c>
      <c r="P1452" t="s">
        <v>44</v>
      </c>
      <c r="Q1452" s="1">
        <v>44552</v>
      </c>
    </row>
    <row r="1453" spans="1:17" x14ac:dyDescent="0.3">
      <c r="A1453" t="s">
        <v>14</v>
      </c>
      <c r="B1453" t="s">
        <v>45</v>
      </c>
      <c r="C1453" t="s">
        <v>23</v>
      </c>
      <c r="D1453" t="s">
        <v>46</v>
      </c>
      <c r="E1453" t="s">
        <v>18</v>
      </c>
      <c r="F1453" s="9">
        <v>0.11</v>
      </c>
      <c r="G1453" s="10">
        <v>18988</v>
      </c>
      <c r="H1453">
        <v>6.12</v>
      </c>
      <c r="I1453" s="5">
        <f>ROUND(Marketing[[#This Row],[Clicks]]*Marketing[[#This Row],[Conversion_Rate]],0)</f>
        <v>52</v>
      </c>
      <c r="J1453" s="12">
        <f>Marketing[[#This Row],[Campaign_Cost]]/Marketing[[#This Row],[Customers]]</f>
        <v>365.15384615384613</v>
      </c>
      <c r="K1453" t="s">
        <v>19</v>
      </c>
      <c r="L1453" t="s">
        <v>39</v>
      </c>
      <c r="M1453">
        <v>474</v>
      </c>
      <c r="N1453">
        <v>9227</v>
      </c>
      <c r="O1453">
        <v>5</v>
      </c>
      <c r="P1453" t="s">
        <v>27</v>
      </c>
      <c r="Q1453" s="1">
        <v>44553</v>
      </c>
    </row>
    <row r="1454" spans="1:17" x14ac:dyDescent="0.3">
      <c r="A1454" t="s">
        <v>14</v>
      </c>
      <c r="B1454" t="s">
        <v>36</v>
      </c>
      <c r="C1454" t="s">
        <v>30</v>
      </c>
      <c r="D1454" t="s">
        <v>24</v>
      </c>
      <c r="E1454" t="s">
        <v>48</v>
      </c>
      <c r="F1454" s="9">
        <v>0.1</v>
      </c>
      <c r="G1454" s="10">
        <v>8660</v>
      </c>
      <c r="H1454">
        <v>4.72</v>
      </c>
      <c r="I1454" s="5">
        <f>ROUND(Marketing[[#This Row],[Clicks]]*Marketing[[#This Row],[Conversion_Rate]],0)</f>
        <v>72</v>
      </c>
      <c r="J1454" s="12">
        <f>Marketing[[#This Row],[Campaign_Cost]]/Marketing[[#This Row],[Customers]]</f>
        <v>120.27777777777777</v>
      </c>
      <c r="K1454" t="s">
        <v>51</v>
      </c>
      <c r="L1454" t="s">
        <v>50</v>
      </c>
      <c r="M1454">
        <v>724</v>
      </c>
      <c r="N1454">
        <v>3369</v>
      </c>
      <c r="O1454">
        <v>7</v>
      </c>
      <c r="P1454" t="s">
        <v>44</v>
      </c>
      <c r="Q1454" s="1">
        <v>44554</v>
      </c>
    </row>
    <row r="1455" spans="1:17" x14ac:dyDescent="0.3">
      <c r="A1455" t="s">
        <v>49</v>
      </c>
      <c r="B1455" t="s">
        <v>29</v>
      </c>
      <c r="C1455" t="s">
        <v>52</v>
      </c>
      <c r="D1455" t="s">
        <v>46</v>
      </c>
      <c r="E1455" t="s">
        <v>41</v>
      </c>
      <c r="F1455" s="9">
        <v>0.06</v>
      </c>
      <c r="G1455" s="10">
        <v>18198</v>
      </c>
      <c r="H1455">
        <v>5.0599999999999996</v>
      </c>
      <c r="I1455" s="5">
        <f>ROUND(Marketing[[#This Row],[Clicks]]*Marketing[[#This Row],[Conversion_Rate]],0)</f>
        <v>20</v>
      </c>
      <c r="J1455" s="12">
        <f>Marketing[[#This Row],[Campaign_Cost]]/Marketing[[#This Row],[Customers]]</f>
        <v>909.9</v>
      </c>
      <c r="K1455" t="s">
        <v>19</v>
      </c>
      <c r="L1455" t="s">
        <v>39</v>
      </c>
      <c r="M1455">
        <v>339</v>
      </c>
      <c r="N1455">
        <v>5883</v>
      </c>
      <c r="O1455">
        <v>6</v>
      </c>
      <c r="P1455" t="s">
        <v>42</v>
      </c>
      <c r="Q1455" s="1">
        <v>44555</v>
      </c>
    </row>
    <row r="1456" spans="1:17" x14ac:dyDescent="0.3">
      <c r="A1456" t="s">
        <v>49</v>
      </c>
      <c r="B1456" t="s">
        <v>45</v>
      </c>
      <c r="C1456" t="s">
        <v>30</v>
      </c>
      <c r="D1456" t="s">
        <v>46</v>
      </c>
      <c r="E1456" t="s">
        <v>41</v>
      </c>
      <c r="F1456" s="9">
        <v>0.04</v>
      </c>
      <c r="G1456" s="10">
        <v>13019</v>
      </c>
      <c r="H1456">
        <v>3.49</v>
      </c>
      <c r="I1456" s="5">
        <f>ROUND(Marketing[[#This Row],[Clicks]]*Marketing[[#This Row],[Conversion_Rate]],0)</f>
        <v>16</v>
      </c>
      <c r="J1456" s="12">
        <f>Marketing[[#This Row],[Campaign_Cost]]/Marketing[[#This Row],[Customers]]</f>
        <v>813.6875</v>
      </c>
      <c r="K1456" t="s">
        <v>51</v>
      </c>
      <c r="L1456" t="s">
        <v>33</v>
      </c>
      <c r="M1456">
        <v>393</v>
      </c>
      <c r="N1456">
        <v>7888</v>
      </c>
      <c r="O1456">
        <v>8</v>
      </c>
      <c r="P1456" t="s">
        <v>34</v>
      </c>
      <c r="Q1456" s="1">
        <v>44556</v>
      </c>
    </row>
    <row r="1457" spans="1:17" x14ac:dyDescent="0.3">
      <c r="A1457" t="s">
        <v>35</v>
      </c>
      <c r="B1457" t="s">
        <v>45</v>
      </c>
      <c r="C1457" t="s">
        <v>23</v>
      </c>
      <c r="D1457" t="s">
        <v>46</v>
      </c>
      <c r="E1457" t="s">
        <v>43</v>
      </c>
      <c r="F1457" s="9">
        <v>0.04</v>
      </c>
      <c r="G1457" s="10">
        <v>17550</v>
      </c>
      <c r="H1457">
        <v>5.81</v>
      </c>
      <c r="I1457" s="5">
        <f>ROUND(Marketing[[#This Row],[Clicks]]*Marketing[[#This Row],[Conversion_Rate]],0)</f>
        <v>34</v>
      </c>
      <c r="J1457" s="12">
        <f>Marketing[[#This Row],[Campaign_Cost]]/Marketing[[#This Row],[Customers]]</f>
        <v>516.17647058823525</v>
      </c>
      <c r="K1457" t="s">
        <v>38</v>
      </c>
      <c r="L1457" t="s">
        <v>20</v>
      </c>
      <c r="M1457">
        <v>851</v>
      </c>
      <c r="N1457">
        <v>4987</v>
      </c>
      <c r="O1457">
        <v>10</v>
      </c>
      <c r="P1457" t="s">
        <v>21</v>
      </c>
      <c r="Q1457" s="1">
        <v>44557</v>
      </c>
    </row>
    <row r="1458" spans="1:17" x14ac:dyDescent="0.3">
      <c r="A1458" t="s">
        <v>49</v>
      </c>
      <c r="B1458" t="s">
        <v>47</v>
      </c>
      <c r="C1458" t="s">
        <v>23</v>
      </c>
      <c r="D1458" t="s">
        <v>17</v>
      </c>
      <c r="E1458" t="s">
        <v>31</v>
      </c>
      <c r="F1458" s="9">
        <v>0.04</v>
      </c>
      <c r="G1458" s="10">
        <v>8990</v>
      </c>
      <c r="H1458">
        <v>5.96</v>
      </c>
      <c r="I1458" s="5">
        <f>ROUND(Marketing[[#This Row],[Clicks]]*Marketing[[#This Row],[Conversion_Rate]],0)</f>
        <v>31</v>
      </c>
      <c r="J1458" s="12">
        <f>Marketing[[#This Row],[Campaign_Cost]]/Marketing[[#This Row],[Customers]]</f>
        <v>290</v>
      </c>
      <c r="K1458" t="s">
        <v>25</v>
      </c>
      <c r="L1458" t="s">
        <v>39</v>
      </c>
      <c r="M1458">
        <v>785</v>
      </c>
      <c r="N1458">
        <v>8949</v>
      </c>
      <c r="O1458">
        <v>2</v>
      </c>
      <c r="P1458" t="s">
        <v>44</v>
      </c>
      <c r="Q1458" s="1">
        <v>44558</v>
      </c>
    </row>
    <row r="1459" spans="1:17" x14ac:dyDescent="0.3">
      <c r="A1459" t="s">
        <v>35</v>
      </c>
      <c r="B1459" t="s">
        <v>36</v>
      </c>
      <c r="C1459" t="s">
        <v>23</v>
      </c>
      <c r="D1459" t="s">
        <v>24</v>
      </c>
      <c r="E1459" t="s">
        <v>41</v>
      </c>
      <c r="F1459" s="9">
        <v>0.12</v>
      </c>
      <c r="G1459" s="10">
        <v>15289</v>
      </c>
      <c r="H1459">
        <v>6.04</v>
      </c>
      <c r="I1459" s="5">
        <f>ROUND(Marketing[[#This Row],[Clicks]]*Marketing[[#This Row],[Conversion_Rate]],0)</f>
        <v>86</v>
      </c>
      <c r="J1459" s="12">
        <f>Marketing[[#This Row],[Campaign_Cost]]/Marketing[[#This Row],[Customers]]</f>
        <v>177.77906976744185</v>
      </c>
      <c r="K1459" t="s">
        <v>38</v>
      </c>
      <c r="L1459" t="s">
        <v>50</v>
      </c>
      <c r="M1459">
        <v>715</v>
      </c>
      <c r="N1459">
        <v>5090</v>
      </c>
      <c r="O1459">
        <v>1</v>
      </c>
      <c r="P1459" t="s">
        <v>44</v>
      </c>
      <c r="Q1459" s="1">
        <v>44559</v>
      </c>
    </row>
    <row r="1460" spans="1:17" x14ac:dyDescent="0.3">
      <c r="A1460" t="s">
        <v>28</v>
      </c>
      <c r="B1460" t="s">
        <v>47</v>
      </c>
      <c r="C1460" t="s">
        <v>37</v>
      </c>
      <c r="D1460" t="s">
        <v>40</v>
      </c>
      <c r="E1460" t="s">
        <v>15</v>
      </c>
      <c r="F1460" s="9">
        <v>0.03</v>
      </c>
      <c r="G1460" s="10">
        <v>6665</v>
      </c>
      <c r="H1460">
        <v>4.79</v>
      </c>
      <c r="I1460" s="5">
        <f>ROUND(Marketing[[#This Row],[Clicks]]*Marketing[[#This Row],[Conversion_Rate]],0)</f>
        <v>29</v>
      </c>
      <c r="J1460" s="12">
        <f>Marketing[[#This Row],[Campaign_Cost]]/Marketing[[#This Row],[Customers]]</f>
        <v>229.82758620689654</v>
      </c>
      <c r="K1460" t="s">
        <v>32</v>
      </c>
      <c r="L1460" t="s">
        <v>26</v>
      </c>
      <c r="M1460">
        <v>959</v>
      </c>
      <c r="N1460">
        <v>8106</v>
      </c>
      <c r="O1460">
        <v>1</v>
      </c>
      <c r="P1460" t="s">
        <v>44</v>
      </c>
      <c r="Q1460" s="1">
        <v>44560</v>
      </c>
    </row>
    <row r="1461" spans="1:17" x14ac:dyDescent="0.3">
      <c r="A1461" t="s">
        <v>28</v>
      </c>
      <c r="B1461" t="s">
        <v>47</v>
      </c>
      <c r="C1461" t="s">
        <v>23</v>
      </c>
      <c r="D1461" t="s">
        <v>24</v>
      </c>
      <c r="E1461" t="s">
        <v>41</v>
      </c>
      <c r="F1461" s="9">
        <v>7.0000000000000007E-2</v>
      </c>
      <c r="G1461" s="10">
        <v>15440</v>
      </c>
      <c r="H1461">
        <v>2.15</v>
      </c>
      <c r="I1461" s="5">
        <f>ROUND(Marketing[[#This Row],[Clicks]]*Marketing[[#This Row],[Conversion_Rate]],0)</f>
        <v>57</v>
      </c>
      <c r="J1461" s="12">
        <f>Marketing[[#This Row],[Campaign_Cost]]/Marketing[[#This Row],[Customers]]</f>
        <v>270.87719298245617</v>
      </c>
      <c r="K1461" t="s">
        <v>51</v>
      </c>
      <c r="L1461" t="s">
        <v>20</v>
      </c>
      <c r="M1461">
        <v>813</v>
      </c>
      <c r="N1461">
        <v>2656</v>
      </c>
      <c r="O1461">
        <v>4</v>
      </c>
      <c r="P1461" t="s">
        <v>44</v>
      </c>
      <c r="Q1461" s="1">
        <v>44561</v>
      </c>
    </row>
    <row r="1462" spans="1:17" x14ac:dyDescent="0.3">
      <c r="A1462" t="s">
        <v>49</v>
      </c>
      <c r="B1462" t="s">
        <v>15</v>
      </c>
      <c r="C1462" t="s">
        <v>16</v>
      </c>
      <c r="D1462" t="s">
        <v>17</v>
      </c>
      <c r="E1462" t="s">
        <v>15</v>
      </c>
      <c r="F1462" s="9">
        <v>0.1</v>
      </c>
      <c r="G1462" s="10">
        <v>7738</v>
      </c>
      <c r="H1462">
        <v>7.42</v>
      </c>
      <c r="I1462" s="5">
        <f>ROUND(Marketing[[#This Row],[Clicks]]*Marketing[[#This Row],[Conversion_Rate]],0)</f>
        <v>100</v>
      </c>
      <c r="J1462" s="12">
        <f>Marketing[[#This Row],[Campaign_Cost]]/Marketing[[#This Row],[Customers]]</f>
        <v>77.38</v>
      </c>
      <c r="K1462" t="s">
        <v>38</v>
      </c>
      <c r="L1462" t="s">
        <v>39</v>
      </c>
      <c r="M1462">
        <v>999</v>
      </c>
      <c r="N1462">
        <v>5489</v>
      </c>
      <c r="O1462">
        <v>7</v>
      </c>
      <c r="P1462" t="s">
        <v>42</v>
      </c>
      <c r="Q1462" s="1">
        <v>44197</v>
      </c>
    </row>
    <row r="1463" spans="1:17" x14ac:dyDescent="0.3">
      <c r="A1463" t="s">
        <v>28</v>
      </c>
      <c r="B1463" t="s">
        <v>45</v>
      </c>
      <c r="C1463" t="s">
        <v>30</v>
      </c>
      <c r="D1463" t="s">
        <v>17</v>
      </c>
      <c r="E1463" t="s">
        <v>18</v>
      </c>
      <c r="F1463" s="9">
        <v>0.05</v>
      </c>
      <c r="G1463" s="10">
        <v>11694</v>
      </c>
      <c r="H1463">
        <v>6.99</v>
      </c>
      <c r="I1463" s="5">
        <f>ROUND(Marketing[[#This Row],[Clicks]]*Marketing[[#This Row],[Conversion_Rate]],0)</f>
        <v>49</v>
      </c>
      <c r="J1463" s="12">
        <f>Marketing[[#This Row],[Campaign_Cost]]/Marketing[[#This Row],[Customers]]</f>
        <v>238.65306122448979</v>
      </c>
      <c r="K1463" t="s">
        <v>25</v>
      </c>
      <c r="L1463" t="s">
        <v>33</v>
      </c>
      <c r="M1463">
        <v>970</v>
      </c>
      <c r="N1463">
        <v>5949</v>
      </c>
      <c r="O1463">
        <v>2</v>
      </c>
      <c r="P1463" t="s">
        <v>27</v>
      </c>
      <c r="Q1463" s="1">
        <v>44198</v>
      </c>
    </row>
    <row r="1464" spans="1:17" x14ac:dyDescent="0.3">
      <c r="A1464" t="s">
        <v>35</v>
      </c>
      <c r="B1464" t="s">
        <v>29</v>
      </c>
      <c r="C1464" t="s">
        <v>30</v>
      </c>
      <c r="D1464" t="s">
        <v>40</v>
      </c>
      <c r="E1464" t="s">
        <v>18</v>
      </c>
      <c r="F1464" s="9">
        <v>0.06</v>
      </c>
      <c r="G1464" s="10">
        <v>17393</v>
      </c>
      <c r="H1464">
        <v>3.26</v>
      </c>
      <c r="I1464" s="5">
        <f>ROUND(Marketing[[#This Row],[Clicks]]*Marketing[[#This Row],[Conversion_Rate]],0)</f>
        <v>54</v>
      </c>
      <c r="J1464" s="12">
        <f>Marketing[[#This Row],[Campaign_Cost]]/Marketing[[#This Row],[Customers]]</f>
        <v>322.09259259259261</v>
      </c>
      <c r="K1464" t="s">
        <v>32</v>
      </c>
      <c r="L1464" t="s">
        <v>26</v>
      </c>
      <c r="M1464">
        <v>895</v>
      </c>
      <c r="N1464">
        <v>2934</v>
      </c>
      <c r="O1464">
        <v>8</v>
      </c>
      <c r="P1464" t="s">
        <v>21</v>
      </c>
      <c r="Q1464" s="1">
        <v>44199</v>
      </c>
    </row>
    <row r="1465" spans="1:17" x14ac:dyDescent="0.3">
      <c r="A1465" t="s">
        <v>35</v>
      </c>
      <c r="B1465" t="s">
        <v>29</v>
      </c>
      <c r="C1465" t="s">
        <v>30</v>
      </c>
      <c r="D1465" t="s">
        <v>17</v>
      </c>
      <c r="E1465" t="s">
        <v>48</v>
      </c>
      <c r="F1465" s="9">
        <v>0.09</v>
      </c>
      <c r="G1465" s="10">
        <v>12014</v>
      </c>
      <c r="H1465">
        <v>4.16</v>
      </c>
      <c r="I1465" s="5">
        <f>ROUND(Marketing[[#This Row],[Clicks]]*Marketing[[#This Row],[Conversion_Rate]],0)</f>
        <v>43</v>
      </c>
      <c r="J1465" s="12">
        <f>Marketing[[#This Row],[Campaign_Cost]]/Marketing[[#This Row],[Customers]]</f>
        <v>279.39534883720933</v>
      </c>
      <c r="K1465" t="s">
        <v>19</v>
      </c>
      <c r="L1465" t="s">
        <v>20</v>
      </c>
      <c r="M1465">
        <v>477</v>
      </c>
      <c r="N1465">
        <v>2055</v>
      </c>
      <c r="O1465">
        <v>9</v>
      </c>
      <c r="P1465" t="s">
        <v>42</v>
      </c>
      <c r="Q1465" s="1">
        <v>44200</v>
      </c>
    </row>
    <row r="1466" spans="1:17" x14ac:dyDescent="0.3">
      <c r="A1466" t="s">
        <v>35</v>
      </c>
      <c r="B1466" t="s">
        <v>47</v>
      </c>
      <c r="C1466" t="s">
        <v>23</v>
      </c>
      <c r="D1466" t="s">
        <v>24</v>
      </c>
      <c r="E1466" t="s">
        <v>15</v>
      </c>
      <c r="F1466" s="9">
        <v>0.11</v>
      </c>
      <c r="G1466" s="10">
        <v>9317</v>
      </c>
      <c r="H1466">
        <v>4.1900000000000004</v>
      </c>
      <c r="I1466" s="5">
        <f>ROUND(Marketing[[#This Row],[Clicks]]*Marketing[[#This Row],[Conversion_Rate]],0)</f>
        <v>36</v>
      </c>
      <c r="J1466" s="12">
        <f>Marketing[[#This Row],[Campaign_Cost]]/Marketing[[#This Row],[Customers]]</f>
        <v>258.80555555555554</v>
      </c>
      <c r="K1466" t="s">
        <v>51</v>
      </c>
      <c r="L1466" t="s">
        <v>26</v>
      </c>
      <c r="M1466">
        <v>331</v>
      </c>
      <c r="N1466">
        <v>1453</v>
      </c>
      <c r="O1466">
        <v>9</v>
      </c>
      <c r="P1466" t="s">
        <v>34</v>
      </c>
      <c r="Q1466" s="1">
        <v>44201</v>
      </c>
    </row>
    <row r="1467" spans="1:17" x14ac:dyDescent="0.3">
      <c r="A1467" t="s">
        <v>22</v>
      </c>
      <c r="B1467" t="s">
        <v>47</v>
      </c>
      <c r="C1467" t="s">
        <v>23</v>
      </c>
      <c r="D1467" t="s">
        <v>24</v>
      </c>
      <c r="E1467" t="s">
        <v>15</v>
      </c>
      <c r="F1467" s="9">
        <v>0.05</v>
      </c>
      <c r="G1467" s="10">
        <v>18736</v>
      </c>
      <c r="H1467">
        <v>3.64</v>
      </c>
      <c r="I1467" s="5">
        <f>ROUND(Marketing[[#This Row],[Clicks]]*Marketing[[#This Row],[Conversion_Rate]],0)</f>
        <v>17</v>
      </c>
      <c r="J1467" s="12">
        <f>Marketing[[#This Row],[Campaign_Cost]]/Marketing[[#This Row],[Customers]]</f>
        <v>1102.1176470588234</v>
      </c>
      <c r="K1467" t="s">
        <v>38</v>
      </c>
      <c r="L1467" t="s">
        <v>26</v>
      </c>
      <c r="M1467">
        <v>339</v>
      </c>
      <c r="N1467">
        <v>4614</v>
      </c>
      <c r="O1467">
        <v>10</v>
      </c>
      <c r="P1467" t="s">
        <v>27</v>
      </c>
      <c r="Q1467" s="1">
        <v>44202</v>
      </c>
    </row>
    <row r="1468" spans="1:17" x14ac:dyDescent="0.3">
      <c r="A1468" t="s">
        <v>35</v>
      </c>
      <c r="B1468" t="s">
        <v>29</v>
      </c>
      <c r="C1468" t="s">
        <v>16</v>
      </c>
      <c r="D1468" t="s">
        <v>46</v>
      </c>
      <c r="E1468" t="s">
        <v>15</v>
      </c>
      <c r="F1468" s="9">
        <v>0.11</v>
      </c>
      <c r="G1468" s="10">
        <v>7773</v>
      </c>
      <c r="H1468">
        <v>5.97</v>
      </c>
      <c r="I1468" s="5">
        <f>ROUND(Marketing[[#This Row],[Clicks]]*Marketing[[#This Row],[Conversion_Rate]],0)</f>
        <v>16</v>
      </c>
      <c r="J1468" s="12">
        <f>Marketing[[#This Row],[Campaign_Cost]]/Marketing[[#This Row],[Customers]]</f>
        <v>485.8125</v>
      </c>
      <c r="K1468" t="s">
        <v>25</v>
      </c>
      <c r="L1468" t="s">
        <v>26</v>
      </c>
      <c r="M1468">
        <v>146</v>
      </c>
      <c r="N1468">
        <v>3573</v>
      </c>
      <c r="O1468">
        <v>9</v>
      </c>
      <c r="P1468" t="s">
        <v>44</v>
      </c>
      <c r="Q1468" s="1">
        <v>44203</v>
      </c>
    </row>
    <row r="1469" spans="1:17" x14ac:dyDescent="0.3">
      <c r="A1469" t="s">
        <v>49</v>
      </c>
      <c r="B1469" t="s">
        <v>15</v>
      </c>
      <c r="C1469" t="s">
        <v>37</v>
      </c>
      <c r="D1469" t="s">
        <v>40</v>
      </c>
      <c r="E1469" t="s">
        <v>48</v>
      </c>
      <c r="F1469" s="9">
        <v>0.02</v>
      </c>
      <c r="G1469" s="10">
        <v>7595</v>
      </c>
      <c r="H1469">
        <v>4.68</v>
      </c>
      <c r="I1469" s="5">
        <f>ROUND(Marketing[[#This Row],[Clicks]]*Marketing[[#This Row],[Conversion_Rate]],0)</f>
        <v>12</v>
      </c>
      <c r="J1469" s="12">
        <f>Marketing[[#This Row],[Campaign_Cost]]/Marketing[[#This Row],[Customers]]</f>
        <v>632.91666666666663</v>
      </c>
      <c r="K1469" t="s">
        <v>38</v>
      </c>
      <c r="L1469" t="s">
        <v>39</v>
      </c>
      <c r="M1469">
        <v>597</v>
      </c>
      <c r="N1469">
        <v>6535</v>
      </c>
      <c r="O1469">
        <v>4</v>
      </c>
      <c r="P1469" t="s">
        <v>21</v>
      </c>
      <c r="Q1469" s="1">
        <v>44204</v>
      </c>
    </row>
    <row r="1470" spans="1:17" x14ac:dyDescent="0.3">
      <c r="A1470" t="s">
        <v>28</v>
      </c>
      <c r="B1470" t="s">
        <v>36</v>
      </c>
      <c r="C1470" t="s">
        <v>16</v>
      </c>
      <c r="D1470" t="s">
        <v>17</v>
      </c>
      <c r="E1470" t="s">
        <v>15</v>
      </c>
      <c r="F1470" s="9">
        <v>0.12</v>
      </c>
      <c r="G1470" s="10">
        <v>10631</v>
      </c>
      <c r="H1470">
        <v>4.76</v>
      </c>
      <c r="I1470" s="5">
        <f>ROUND(Marketing[[#This Row],[Clicks]]*Marketing[[#This Row],[Conversion_Rate]],0)</f>
        <v>24</v>
      </c>
      <c r="J1470" s="12">
        <f>Marketing[[#This Row],[Campaign_Cost]]/Marketing[[#This Row],[Customers]]</f>
        <v>442.95833333333331</v>
      </c>
      <c r="K1470" t="s">
        <v>19</v>
      </c>
      <c r="L1470" t="s">
        <v>20</v>
      </c>
      <c r="M1470">
        <v>198</v>
      </c>
      <c r="N1470">
        <v>5859</v>
      </c>
      <c r="O1470">
        <v>7</v>
      </c>
      <c r="P1470" t="s">
        <v>42</v>
      </c>
      <c r="Q1470" s="1">
        <v>44205</v>
      </c>
    </row>
    <row r="1471" spans="1:17" x14ac:dyDescent="0.3">
      <c r="A1471" t="s">
        <v>49</v>
      </c>
      <c r="B1471" t="s">
        <v>36</v>
      </c>
      <c r="C1471" t="s">
        <v>30</v>
      </c>
      <c r="D1471" t="s">
        <v>17</v>
      </c>
      <c r="E1471" t="s">
        <v>41</v>
      </c>
      <c r="F1471" s="9">
        <v>0.05</v>
      </c>
      <c r="G1471" s="10">
        <v>5498</v>
      </c>
      <c r="H1471">
        <v>4.91</v>
      </c>
      <c r="I1471" s="5">
        <f>ROUND(Marketing[[#This Row],[Clicks]]*Marketing[[#This Row],[Conversion_Rate]],0)</f>
        <v>18</v>
      </c>
      <c r="J1471" s="12">
        <f>Marketing[[#This Row],[Campaign_Cost]]/Marketing[[#This Row],[Customers]]</f>
        <v>305.44444444444446</v>
      </c>
      <c r="K1471" t="s">
        <v>25</v>
      </c>
      <c r="L1471" t="s">
        <v>39</v>
      </c>
      <c r="M1471">
        <v>352</v>
      </c>
      <c r="N1471">
        <v>1852</v>
      </c>
      <c r="O1471">
        <v>5</v>
      </c>
      <c r="P1471" t="s">
        <v>21</v>
      </c>
      <c r="Q1471" s="1">
        <v>44206</v>
      </c>
    </row>
    <row r="1472" spans="1:17" x14ac:dyDescent="0.3">
      <c r="A1472" t="s">
        <v>28</v>
      </c>
      <c r="B1472" t="s">
        <v>29</v>
      </c>
      <c r="C1472" t="s">
        <v>23</v>
      </c>
      <c r="D1472" t="s">
        <v>17</v>
      </c>
      <c r="E1472" t="s">
        <v>43</v>
      </c>
      <c r="F1472" s="9">
        <v>0.05</v>
      </c>
      <c r="G1472" s="10">
        <v>16401</v>
      </c>
      <c r="H1472">
        <v>4.5599999999999996</v>
      </c>
      <c r="I1472" s="5">
        <f>ROUND(Marketing[[#This Row],[Clicks]]*Marketing[[#This Row],[Conversion_Rate]],0)</f>
        <v>34</v>
      </c>
      <c r="J1472" s="12">
        <f>Marketing[[#This Row],[Campaign_Cost]]/Marketing[[#This Row],[Customers]]</f>
        <v>482.38235294117646</v>
      </c>
      <c r="K1472" t="s">
        <v>51</v>
      </c>
      <c r="L1472" t="s">
        <v>26</v>
      </c>
      <c r="M1472">
        <v>676</v>
      </c>
      <c r="N1472">
        <v>9040</v>
      </c>
      <c r="O1472">
        <v>5</v>
      </c>
      <c r="P1472" t="s">
        <v>21</v>
      </c>
      <c r="Q1472" s="1">
        <v>44207</v>
      </c>
    </row>
    <row r="1473" spans="1:17" x14ac:dyDescent="0.3">
      <c r="A1473" t="s">
        <v>14</v>
      </c>
      <c r="B1473" t="s">
        <v>29</v>
      </c>
      <c r="C1473" t="s">
        <v>52</v>
      </c>
      <c r="D1473" t="s">
        <v>17</v>
      </c>
      <c r="E1473" t="s">
        <v>15</v>
      </c>
      <c r="F1473" s="9">
        <v>7.0000000000000007E-2</v>
      </c>
      <c r="G1473" s="10">
        <v>13019</v>
      </c>
      <c r="H1473">
        <v>2.96</v>
      </c>
      <c r="I1473" s="5">
        <f>ROUND(Marketing[[#This Row],[Clicks]]*Marketing[[#This Row],[Conversion_Rate]],0)</f>
        <v>15</v>
      </c>
      <c r="J1473" s="12">
        <f>Marketing[[#This Row],[Campaign_Cost]]/Marketing[[#This Row],[Customers]]</f>
        <v>867.93333333333328</v>
      </c>
      <c r="K1473" t="s">
        <v>32</v>
      </c>
      <c r="L1473" t="s">
        <v>39</v>
      </c>
      <c r="M1473">
        <v>211</v>
      </c>
      <c r="N1473">
        <v>2928</v>
      </c>
      <c r="O1473">
        <v>10</v>
      </c>
      <c r="P1473" t="s">
        <v>34</v>
      </c>
      <c r="Q1473" s="1">
        <v>44208</v>
      </c>
    </row>
    <row r="1474" spans="1:17" x14ac:dyDescent="0.3">
      <c r="A1474" t="s">
        <v>14</v>
      </c>
      <c r="B1474" t="s">
        <v>47</v>
      </c>
      <c r="C1474" t="s">
        <v>52</v>
      </c>
      <c r="D1474" t="s">
        <v>24</v>
      </c>
      <c r="E1474" t="s">
        <v>15</v>
      </c>
      <c r="F1474" s="9">
        <v>0.01</v>
      </c>
      <c r="G1474" s="10">
        <v>7215</v>
      </c>
      <c r="H1474">
        <v>7.32</v>
      </c>
      <c r="I1474" s="5">
        <f>ROUND(Marketing[[#This Row],[Clicks]]*Marketing[[#This Row],[Conversion_Rate]],0)</f>
        <v>6</v>
      </c>
      <c r="J1474" s="12">
        <f>Marketing[[#This Row],[Campaign_Cost]]/Marketing[[#This Row],[Customers]]</f>
        <v>1202.5</v>
      </c>
      <c r="K1474" t="s">
        <v>38</v>
      </c>
      <c r="L1474" t="s">
        <v>50</v>
      </c>
      <c r="M1474">
        <v>616</v>
      </c>
      <c r="N1474">
        <v>9826</v>
      </c>
      <c r="O1474">
        <v>1</v>
      </c>
      <c r="P1474" t="s">
        <v>44</v>
      </c>
      <c r="Q1474" s="1">
        <v>44209</v>
      </c>
    </row>
    <row r="1475" spans="1:17" x14ac:dyDescent="0.3">
      <c r="A1475" t="s">
        <v>35</v>
      </c>
      <c r="B1475" t="s">
        <v>15</v>
      </c>
      <c r="C1475" t="s">
        <v>52</v>
      </c>
      <c r="D1475" t="s">
        <v>24</v>
      </c>
      <c r="E1475" t="s">
        <v>31</v>
      </c>
      <c r="F1475" s="9">
        <v>0.1</v>
      </c>
      <c r="G1475" s="10">
        <v>13603</v>
      </c>
      <c r="H1475">
        <v>4.13</v>
      </c>
      <c r="I1475" s="5">
        <f>ROUND(Marketing[[#This Row],[Clicks]]*Marketing[[#This Row],[Conversion_Rate]],0)</f>
        <v>35</v>
      </c>
      <c r="J1475" s="12">
        <f>Marketing[[#This Row],[Campaign_Cost]]/Marketing[[#This Row],[Customers]]</f>
        <v>388.65714285714284</v>
      </c>
      <c r="K1475" t="s">
        <v>32</v>
      </c>
      <c r="L1475" t="s">
        <v>26</v>
      </c>
      <c r="M1475">
        <v>346</v>
      </c>
      <c r="N1475">
        <v>9327</v>
      </c>
      <c r="O1475">
        <v>1</v>
      </c>
      <c r="P1475" t="s">
        <v>21</v>
      </c>
      <c r="Q1475" s="1">
        <v>44210</v>
      </c>
    </row>
    <row r="1476" spans="1:17" x14ac:dyDescent="0.3">
      <c r="A1476" t="s">
        <v>14</v>
      </c>
      <c r="B1476" t="s">
        <v>36</v>
      </c>
      <c r="C1476" t="s">
        <v>16</v>
      </c>
      <c r="D1476" t="s">
        <v>46</v>
      </c>
      <c r="E1476" t="s">
        <v>41</v>
      </c>
      <c r="F1476" s="9">
        <v>0.09</v>
      </c>
      <c r="G1476" s="10">
        <v>18249</v>
      </c>
      <c r="H1476">
        <v>3.19</v>
      </c>
      <c r="I1476" s="5">
        <f>ROUND(Marketing[[#This Row],[Clicks]]*Marketing[[#This Row],[Conversion_Rate]],0)</f>
        <v>9</v>
      </c>
      <c r="J1476" s="12">
        <f>Marketing[[#This Row],[Campaign_Cost]]/Marketing[[#This Row],[Customers]]</f>
        <v>2027.6666666666667</v>
      </c>
      <c r="K1476" t="s">
        <v>25</v>
      </c>
      <c r="L1476" t="s">
        <v>26</v>
      </c>
      <c r="M1476">
        <v>104</v>
      </c>
      <c r="N1476">
        <v>6969</v>
      </c>
      <c r="O1476">
        <v>4</v>
      </c>
      <c r="P1476" t="s">
        <v>34</v>
      </c>
      <c r="Q1476" s="1">
        <v>44211</v>
      </c>
    </row>
    <row r="1477" spans="1:17" x14ac:dyDescent="0.3">
      <c r="A1477" t="s">
        <v>35</v>
      </c>
      <c r="B1477" t="s">
        <v>47</v>
      </c>
      <c r="C1477" t="s">
        <v>37</v>
      </c>
      <c r="D1477" t="s">
        <v>24</v>
      </c>
      <c r="E1477" t="s">
        <v>15</v>
      </c>
      <c r="F1477" s="9">
        <v>0.14000000000000001</v>
      </c>
      <c r="G1477" s="10">
        <v>11648</v>
      </c>
      <c r="H1477">
        <v>3.41</v>
      </c>
      <c r="I1477" s="5">
        <f>ROUND(Marketing[[#This Row],[Clicks]]*Marketing[[#This Row],[Conversion_Rate]],0)</f>
        <v>97</v>
      </c>
      <c r="J1477" s="12">
        <f>Marketing[[#This Row],[Campaign_Cost]]/Marketing[[#This Row],[Customers]]</f>
        <v>120.08247422680412</v>
      </c>
      <c r="K1477" t="s">
        <v>32</v>
      </c>
      <c r="L1477" t="s">
        <v>50</v>
      </c>
      <c r="M1477">
        <v>696</v>
      </c>
      <c r="N1477">
        <v>3025</v>
      </c>
      <c r="O1477">
        <v>9</v>
      </c>
      <c r="P1477" t="s">
        <v>34</v>
      </c>
      <c r="Q1477" s="1">
        <v>44212</v>
      </c>
    </row>
    <row r="1478" spans="1:17" x14ac:dyDescent="0.3">
      <c r="A1478" t="s">
        <v>22</v>
      </c>
      <c r="B1478" t="s">
        <v>29</v>
      </c>
      <c r="C1478" t="s">
        <v>37</v>
      </c>
      <c r="D1478" t="s">
        <v>17</v>
      </c>
      <c r="E1478" t="s">
        <v>15</v>
      </c>
      <c r="F1478" s="9">
        <v>0.05</v>
      </c>
      <c r="G1478" s="10">
        <v>6410</v>
      </c>
      <c r="H1478">
        <v>2.77</v>
      </c>
      <c r="I1478" s="5">
        <f>ROUND(Marketing[[#This Row],[Clicks]]*Marketing[[#This Row],[Conversion_Rate]],0)</f>
        <v>15</v>
      </c>
      <c r="J1478" s="12">
        <f>Marketing[[#This Row],[Campaign_Cost]]/Marketing[[#This Row],[Customers]]</f>
        <v>427.33333333333331</v>
      </c>
      <c r="K1478" t="s">
        <v>51</v>
      </c>
      <c r="L1478" t="s">
        <v>26</v>
      </c>
      <c r="M1478">
        <v>301</v>
      </c>
      <c r="N1478">
        <v>4085</v>
      </c>
      <c r="O1478">
        <v>1</v>
      </c>
      <c r="P1478" t="s">
        <v>44</v>
      </c>
      <c r="Q1478" s="1">
        <v>44213</v>
      </c>
    </row>
    <row r="1479" spans="1:17" x14ac:dyDescent="0.3">
      <c r="A1479" t="s">
        <v>22</v>
      </c>
      <c r="B1479" t="s">
        <v>45</v>
      </c>
      <c r="C1479" t="s">
        <v>16</v>
      </c>
      <c r="D1479" t="s">
        <v>17</v>
      </c>
      <c r="E1479" t="s">
        <v>48</v>
      </c>
      <c r="F1479" s="9">
        <v>0.05</v>
      </c>
      <c r="G1479" s="10">
        <v>14476</v>
      </c>
      <c r="H1479">
        <v>7.18</v>
      </c>
      <c r="I1479" s="5">
        <f>ROUND(Marketing[[#This Row],[Clicks]]*Marketing[[#This Row],[Conversion_Rate]],0)</f>
        <v>45</v>
      </c>
      <c r="J1479" s="12">
        <f>Marketing[[#This Row],[Campaign_Cost]]/Marketing[[#This Row],[Customers]]</f>
        <v>321.68888888888887</v>
      </c>
      <c r="K1479" t="s">
        <v>25</v>
      </c>
      <c r="L1479" t="s">
        <v>33</v>
      </c>
      <c r="M1479">
        <v>904</v>
      </c>
      <c r="N1479">
        <v>1003</v>
      </c>
      <c r="O1479">
        <v>3</v>
      </c>
      <c r="P1479" t="s">
        <v>21</v>
      </c>
      <c r="Q1479" s="1">
        <v>44214</v>
      </c>
    </row>
    <row r="1480" spans="1:17" x14ac:dyDescent="0.3">
      <c r="A1480" t="s">
        <v>22</v>
      </c>
      <c r="B1480" t="s">
        <v>47</v>
      </c>
      <c r="C1480" t="s">
        <v>23</v>
      </c>
      <c r="D1480" t="s">
        <v>17</v>
      </c>
      <c r="E1480" t="s">
        <v>43</v>
      </c>
      <c r="F1480" s="9">
        <v>0.14000000000000001</v>
      </c>
      <c r="G1480" s="10">
        <v>19597</v>
      </c>
      <c r="H1480">
        <v>5.37</v>
      </c>
      <c r="I1480" s="5">
        <f>ROUND(Marketing[[#This Row],[Clicks]]*Marketing[[#This Row],[Conversion_Rate]],0)</f>
        <v>23</v>
      </c>
      <c r="J1480" s="12">
        <f>Marketing[[#This Row],[Campaign_Cost]]/Marketing[[#This Row],[Customers]]</f>
        <v>852.04347826086962</v>
      </c>
      <c r="K1480" t="s">
        <v>32</v>
      </c>
      <c r="L1480" t="s">
        <v>26</v>
      </c>
      <c r="M1480">
        <v>163</v>
      </c>
      <c r="N1480">
        <v>3150</v>
      </c>
      <c r="O1480">
        <v>3</v>
      </c>
      <c r="P1480" t="s">
        <v>42</v>
      </c>
      <c r="Q1480" s="1">
        <v>44215</v>
      </c>
    </row>
    <row r="1481" spans="1:17" x14ac:dyDescent="0.3">
      <c r="A1481" t="s">
        <v>14</v>
      </c>
      <c r="B1481" t="s">
        <v>15</v>
      </c>
      <c r="C1481" t="s">
        <v>16</v>
      </c>
      <c r="D1481" t="s">
        <v>24</v>
      </c>
      <c r="E1481" t="s">
        <v>48</v>
      </c>
      <c r="F1481" s="9">
        <v>0.14000000000000001</v>
      </c>
      <c r="G1481" s="10">
        <v>7795</v>
      </c>
      <c r="H1481">
        <v>6.39</v>
      </c>
      <c r="I1481" s="5">
        <f>ROUND(Marketing[[#This Row],[Clicks]]*Marketing[[#This Row],[Conversion_Rate]],0)</f>
        <v>45</v>
      </c>
      <c r="J1481" s="12">
        <f>Marketing[[#This Row],[Campaign_Cost]]/Marketing[[#This Row],[Customers]]</f>
        <v>173.22222222222223</v>
      </c>
      <c r="K1481" t="s">
        <v>25</v>
      </c>
      <c r="L1481" t="s">
        <v>20</v>
      </c>
      <c r="M1481">
        <v>323</v>
      </c>
      <c r="N1481">
        <v>4262</v>
      </c>
      <c r="O1481">
        <v>6</v>
      </c>
      <c r="P1481" t="s">
        <v>34</v>
      </c>
      <c r="Q1481" s="1">
        <v>44216</v>
      </c>
    </row>
    <row r="1482" spans="1:17" x14ac:dyDescent="0.3">
      <c r="A1482" t="s">
        <v>14</v>
      </c>
      <c r="B1482" t="s">
        <v>36</v>
      </c>
      <c r="C1482" t="s">
        <v>16</v>
      </c>
      <c r="D1482" t="s">
        <v>46</v>
      </c>
      <c r="E1482" t="s">
        <v>15</v>
      </c>
      <c r="F1482" s="9">
        <v>0.12</v>
      </c>
      <c r="G1482" s="10">
        <v>19921</v>
      </c>
      <c r="H1482">
        <v>4.07</v>
      </c>
      <c r="I1482" s="5">
        <f>ROUND(Marketing[[#This Row],[Clicks]]*Marketing[[#This Row],[Conversion_Rate]],0)</f>
        <v>106</v>
      </c>
      <c r="J1482" s="12">
        <f>Marketing[[#This Row],[Campaign_Cost]]/Marketing[[#This Row],[Customers]]</f>
        <v>187.93396226415095</v>
      </c>
      <c r="K1482" t="s">
        <v>32</v>
      </c>
      <c r="L1482" t="s">
        <v>20</v>
      </c>
      <c r="M1482">
        <v>884</v>
      </c>
      <c r="N1482">
        <v>2980</v>
      </c>
      <c r="O1482">
        <v>7</v>
      </c>
      <c r="P1482" t="s">
        <v>44</v>
      </c>
      <c r="Q1482" s="1">
        <v>44217</v>
      </c>
    </row>
    <row r="1483" spans="1:17" x14ac:dyDescent="0.3">
      <c r="A1483" t="s">
        <v>22</v>
      </c>
      <c r="B1483" t="s">
        <v>36</v>
      </c>
      <c r="C1483" t="s">
        <v>52</v>
      </c>
      <c r="D1483" t="s">
        <v>17</v>
      </c>
      <c r="E1483" t="s">
        <v>48</v>
      </c>
      <c r="F1483" s="9">
        <v>0.02</v>
      </c>
      <c r="G1483" s="10">
        <v>16232</v>
      </c>
      <c r="H1483">
        <v>4.3099999999999996</v>
      </c>
      <c r="I1483" s="5">
        <f>ROUND(Marketing[[#This Row],[Clicks]]*Marketing[[#This Row],[Conversion_Rate]],0)</f>
        <v>16</v>
      </c>
      <c r="J1483" s="12">
        <f>Marketing[[#This Row],[Campaign_Cost]]/Marketing[[#This Row],[Customers]]</f>
        <v>1014.5</v>
      </c>
      <c r="K1483" t="s">
        <v>19</v>
      </c>
      <c r="L1483" t="s">
        <v>50</v>
      </c>
      <c r="M1483">
        <v>810</v>
      </c>
      <c r="N1483">
        <v>8579</v>
      </c>
      <c r="O1483">
        <v>4</v>
      </c>
      <c r="P1483" t="s">
        <v>27</v>
      </c>
      <c r="Q1483" s="1">
        <v>44218</v>
      </c>
    </row>
    <row r="1484" spans="1:17" x14ac:dyDescent="0.3">
      <c r="A1484" t="s">
        <v>22</v>
      </c>
      <c r="B1484" t="s">
        <v>36</v>
      </c>
      <c r="C1484" t="s">
        <v>37</v>
      </c>
      <c r="D1484" t="s">
        <v>24</v>
      </c>
      <c r="E1484" t="s">
        <v>15</v>
      </c>
      <c r="F1484" s="9">
        <v>0.01</v>
      </c>
      <c r="G1484" s="10">
        <v>8691</v>
      </c>
      <c r="H1484">
        <v>2.74</v>
      </c>
      <c r="I1484" s="5">
        <f>ROUND(Marketing[[#This Row],[Clicks]]*Marketing[[#This Row],[Conversion_Rate]],0)</f>
        <v>2</v>
      </c>
      <c r="J1484" s="12">
        <f>Marketing[[#This Row],[Campaign_Cost]]/Marketing[[#This Row],[Customers]]</f>
        <v>4345.5</v>
      </c>
      <c r="K1484" t="s">
        <v>25</v>
      </c>
      <c r="L1484" t="s">
        <v>26</v>
      </c>
      <c r="M1484">
        <v>193</v>
      </c>
      <c r="N1484">
        <v>5942</v>
      </c>
      <c r="O1484">
        <v>3</v>
      </c>
      <c r="P1484" t="s">
        <v>44</v>
      </c>
      <c r="Q1484" s="1">
        <v>44219</v>
      </c>
    </row>
    <row r="1485" spans="1:17" x14ac:dyDescent="0.3">
      <c r="A1485" t="s">
        <v>22</v>
      </c>
      <c r="B1485" t="s">
        <v>15</v>
      </c>
      <c r="C1485" t="s">
        <v>52</v>
      </c>
      <c r="D1485" t="s">
        <v>17</v>
      </c>
      <c r="E1485" t="s">
        <v>31</v>
      </c>
      <c r="F1485" s="9">
        <v>0.15</v>
      </c>
      <c r="G1485" s="10">
        <v>13628</v>
      </c>
      <c r="H1485">
        <v>3.39</v>
      </c>
      <c r="I1485" s="5">
        <f>ROUND(Marketing[[#This Row],[Clicks]]*Marketing[[#This Row],[Conversion_Rate]],0)</f>
        <v>114</v>
      </c>
      <c r="J1485" s="12">
        <f>Marketing[[#This Row],[Campaign_Cost]]/Marketing[[#This Row],[Customers]]</f>
        <v>119.54385964912281</v>
      </c>
      <c r="K1485" t="s">
        <v>51</v>
      </c>
      <c r="L1485" t="s">
        <v>26</v>
      </c>
      <c r="M1485">
        <v>759</v>
      </c>
      <c r="N1485">
        <v>2217</v>
      </c>
      <c r="O1485">
        <v>3</v>
      </c>
      <c r="P1485" t="s">
        <v>27</v>
      </c>
      <c r="Q1485" s="1">
        <v>44220</v>
      </c>
    </row>
    <row r="1486" spans="1:17" x14ac:dyDescent="0.3">
      <c r="A1486" t="s">
        <v>28</v>
      </c>
      <c r="B1486" t="s">
        <v>36</v>
      </c>
      <c r="C1486" t="s">
        <v>23</v>
      </c>
      <c r="D1486" t="s">
        <v>24</v>
      </c>
      <c r="E1486" t="s">
        <v>18</v>
      </c>
      <c r="F1486" s="9">
        <v>0.04</v>
      </c>
      <c r="G1486" s="10">
        <v>13808</v>
      </c>
      <c r="H1486">
        <v>4.8499999999999996</v>
      </c>
      <c r="I1486" s="5">
        <f>ROUND(Marketing[[#This Row],[Clicks]]*Marketing[[#This Row],[Conversion_Rate]],0)</f>
        <v>39</v>
      </c>
      <c r="J1486" s="12">
        <f>Marketing[[#This Row],[Campaign_Cost]]/Marketing[[#This Row],[Customers]]</f>
        <v>354.05128205128204</v>
      </c>
      <c r="K1486" t="s">
        <v>19</v>
      </c>
      <c r="L1486" t="s">
        <v>33</v>
      </c>
      <c r="M1486">
        <v>981</v>
      </c>
      <c r="N1486">
        <v>5515</v>
      </c>
      <c r="O1486">
        <v>2</v>
      </c>
      <c r="P1486" t="s">
        <v>42</v>
      </c>
      <c r="Q1486" s="1">
        <v>44221</v>
      </c>
    </row>
    <row r="1487" spans="1:17" x14ac:dyDescent="0.3">
      <c r="A1487" t="s">
        <v>14</v>
      </c>
      <c r="B1487" t="s">
        <v>36</v>
      </c>
      <c r="C1487" t="s">
        <v>52</v>
      </c>
      <c r="D1487" t="s">
        <v>46</v>
      </c>
      <c r="E1487" t="s">
        <v>41</v>
      </c>
      <c r="F1487" s="9">
        <v>0.02</v>
      </c>
      <c r="G1487" s="10">
        <v>17342</v>
      </c>
      <c r="H1487">
        <v>4.4800000000000004</v>
      </c>
      <c r="I1487" s="5">
        <f>ROUND(Marketing[[#This Row],[Clicks]]*Marketing[[#This Row],[Conversion_Rate]],0)</f>
        <v>17</v>
      </c>
      <c r="J1487" s="12">
        <f>Marketing[[#This Row],[Campaign_Cost]]/Marketing[[#This Row],[Customers]]</f>
        <v>1020.1176470588235</v>
      </c>
      <c r="K1487" t="s">
        <v>32</v>
      </c>
      <c r="L1487" t="s">
        <v>50</v>
      </c>
      <c r="M1487">
        <v>866</v>
      </c>
      <c r="N1487">
        <v>5734</v>
      </c>
      <c r="O1487">
        <v>9</v>
      </c>
      <c r="P1487" t="s">
        <v>44</v>
      </c>
      <c r="Q1487" s="1">
        <v>44222</v>
      </c>
    </row>
    <row r="1488" spans="1:17" x14ac:dyDescent="0.3">
      <c r="A1488" t="s">
        <v>49</v>
      </c>
      <c r="B1488" t="s">
        <v>15</v>
      </c>
      <c r="C1488" t="s">
        <v>52</v>
      </c>
      <c r="D1488" t="s">
        <v>17</v>
      </c>
      <c r="E1488" t="s">
        <v>43</v>
      </c>
      <c r="F1488" s="9">
        <v>0.15</v>
      </c>
      <c r="G1488" s="10">
        <v>16696</v>
      </c>
      <c r="H1488">
        <v>6.62</v>
      </c>
      <c r="I1488" s="5">
        <f>ROUND(Marketing[[#This Row],[Clicks]]*Marketing[[#This Row],[Conversion_Rate]],0)</f>
        <v>85</v>
      </c>
      <c r="J1488" s="12">
        <f>Marketing[[#This Row],[Campaign_Cost]]/Marketing[[#This Row],[Customers]]</f>
        <v>196.42352941176472</v>
      </c>
      <c r="K1488" t="s">
        <v>19</v>
      </c>
      <c r="L1488" t="s">
        <v>33</v>
      </c>
      <c r="M1488">
        <v>565</v>
      </c>
      <c r="N1488">
        <v>7191</v>
      </c>
      <c r="O1488">
        <v>9</v>
      </c>
      <c r="P1488" t="s">
        <v>44</v>
      </c>
      <c r="Q1488" s="1">
        <v>44223</v>
      </c>
    </row>
    <row r="1489" spans="1:17" x14ac:dyDescent="0.3">
      <c r="A1489" t="s">
        <v>22</v>
      </c>
      <c r="B1489" t="s">
        <v>29</v>
      </c>
      <c r="C1489" t="s">
        <v>16</v>
      </c>
      <c r="D1489" t="s">
        <v>24</v>
      </c>
      <c r="E1489" t="s">
        <v>18</v>
      </c>
      <c r="F1489" s="9">
        <v>0.12</v>
      </c>
      <c r="G1489" s="10">
        <v>12023</v>
      </c>
      <c r="H1489">
        <v>6.69</v>
      </c>
      <c r="I1489" s="5">
        <f>ROUND(Marketing[[#This Row],[Clicks]]*Marketing[[#This Row],[Conversion_Rate]],0)</f>
        <v>112</v>
      </c>
      <c r="J1489" s="12">
        <f>Marketing[[#This Row],[Campaign_Cost]]/Marketing[[#This Row],[Customers]]</f>
        <v>107.34821428571429</v>
      </c>
      <c r="K1489" t="s">
        <v>25</v>
      </c>
      <c r="L1489" t="s">
        <v>39</v>
      </c>
      <c r="M1489">
        <v>930</v>
      </c>
      <c r="N1489">
        <v>5020</v>
      </c>
      <c r="O1489">
        <v>5</v>
      </c>
      <c r="P1489" t="s">
        <v>27</v>
      </c>
      <c r="Q1489" s="1">
        <v>44224</v>
      </c>
    </row>
    <row r="1490" spans="1:17" x14ac:dyDescent="0.3">
      <c r="A1490" t="s">
        <v>49</v>
      </c>
      <c r="B1490" t="s">
        <v>15</v>
      </c>
      <c r="C1490" t="s">
        <v>23</v>
      </c>
      <c r="D1490" t="s">
        <v>46</v>
      </c>
      <c r="E1490" t="s">
        <v>43</v>
      </c>
      <c r="F1490" s="9">
        <v>0.08</v>
      </c>
      <c r="G1490" s="10">
        <v>15553</v>
      </c>
      <c r="H1490">
        <v>4.0599999999999996</v>
      </c>
      <c r="I1490" s="5">
        <f>ROUND(Marketing[[#This Row],[Clicks]]*Marketing[[#This Row],[Conversion_Rate]],0)</f>
        <v>24</v>
      </c>
      <c r="J1490" s="12">
        <f>Marketing[[#This Row],[Campaign_Cost]]/Marketing[[#This Row],[Customers]]</f>
        <v>648.04166666666663</v>
      </c>
      <c r="K1490" t="s">
        <v>25</v>
      </c>
      <c r="L1490" t="s">
        <v>26</v>
      </c>
      <c r="M1490">
        <v>295</v>
      </c>
      <c r="N1490">
        <v>3096</v>
      </c>
      <c r="O1490">
        <v>10</v>
      </c>
      <c r="P1490" t="s">
        <v>27</v>
      </c>
      <c r="Q1490" s="1">
        <v>44225</v>
      </c>
    </row>
    <row r="1491" spans="1:17" x14ac:dyDescent="0.3">
      <c r="A1491" t="s">
        <v>22</v>
      </c>
      <c r="B1491" t="s">
        <v>36</v>
      </c>
      <c r="C1491" t="s">
        <v>23</v>
      </c>
      <c r="D1491" t="s">
        <v>40</v>
      </c>
      <c r="E1491" t="s">
        <v>41</v>
      </c>
      <c r="F1491" s="9">
        <v>0.02</v>
      </c>
      <c r="G1491" s="10">
        <v>5818</v>
      </c>
      <c r="H1491">
        <v>2.78</v>
      </c>
      <c r="I1491" s="5">
        <f>ROUND(Marketing[[#This Row],[Clicks]]*Marketing[[#This Row],[Conversion_Rate]],0)</f>
        <v>8</v>
      </c>
      <c r="J1491" s="12">
        <f>Marketing[[#This Row],[Campaign_Cost]]/Marketing[[#This Row],[Customers]]</f>
        <v>727.25</v>
      </c>
      <c r="K1491" t="s">
        <v>32</v>
      </c>
      <c r="L1491" t="s">
        <v>39</v>
      </c>
      <c r="M1491">
        <v>380</v>
      </c>
      <c r="N1491">
        <v>2732</v>
      </c>
      <c r="O1491">
        <v>1</v>
      </c>
      <c r="P1491" t="s">
        <v>34</v>
      </c>
      <c r="Q1491" s="1">
        <v>44226</v>
      </c>
    </row>
    <row r="1492" spans="1:17" x14ac:dyDescent="0.3">
      <c r="A1492" t="s">
        <v>35</v>
      </c>
      <c r="B1492" t="s">
        <v>47</v>
      </c>
      <c r="C1492" t="s">
        <v>23</v>
      </c>
      <c r="D1492" t="s">
        <v>46</v>
      </c>
      <c r="E1492" t="s">
        <v>15</v>
      </c>
      <c r="F1492" s="9">
        <v>0.09</v>
      </c>
      <c r="G1492" s="10">
        <v>5581</v>
      </c>
      <c r="H1492">
        <v>4.4400000000000004</v>
      </c>
      <c r="I1492" s="5">
        <f>ROUND(Marketing[[#This Row],[Clicks]]*Marketing[[#This Row],[Conversion_Rate]],0)</f>
        <v>45</v>
      </c>
      <c r="J1492" s="12">
        <f>Marketing[[#This Row],[Campaign_Cost]]/Marketing[[#This Row],[Customers]]</f>
        <v>124.02222222222223</v>
      </c>
      <c r="K1492" t="s">
        <v>32</v>
      </c>
      <c r="L1492" t="s">
        <v>33</v>
      </c>
      <c r="M1492">
        <v>497</v>
      </c>
      <c r="N1492">
        <v>9679</v>
      </c>
      <c r="O1492">
        <v>2</v>
      </c>
      <c r="P1492" t="s">
        <v>34</v>
      </c>
      <c r="Q1492" s="1">
        <v>44227</v>
      </c>
    </row>
    <row r="1493" spans="1:17" x14ac:dyDescent="0.3">
      <c r="A1493" t="s">
        <v>35</v>
      </c>
      <c r="B1493" t="s">
        <v>47</v>
      </c>
      <c r="C1493" t="s">
        <v>52</v>
      </c>
      <c r="D1493" t="s">
        <v>24</v>
      </c>
      <c r="E1493" t="s">
        <v>41</v>
      </c>
      <c r="F1493" s="9">
        <v>0.02</v>
      </c>
      <c r="G1493" s="10">
        <v>19613</v>
      </c>
      <c r="H1493">
        <v>2.08</v>
      </c>
      <c r="I1493" s="5">
        <f>ROUND(Marketing[[#This Row],[Clicks]]*Marketing[[#This Row],[Conversion_Rate]],0)</f>
        <v>17</v>
      </c>
      <c r="J1493" s="12">
        <f>Marketing[[#This Row],[Campaign_Cost]]/Marketing[[#This Row],[Customers]]</f>
        <v>1153.7058823529412</v>
      </c>
      <c r="K1493" t="s">
        <v>19</v>
      </c>
      <c r="L1493" t="s">
        <v>50</v>
      </c>
      <c r="M1493">
        <v>832</v>
      </c>
      <c r="N1493">
        <v>5899</v>
      </c>
      <c r="O1493">
        <v>1</v>
      </c>
      <c r="P1493" t="s">
        <v>21</v>
      </c>
      <c r="Q1493" s="1">
        <v>44228</v>
      </c>
    </row>
    <row r="1494" spans="1:17" x14ac:dyDescent="0.3">
      <c r="A1494" t="s">
        <v>49</v>
      </c>
      <c r="B1494" t="s">
        <v>15</v>
      </c>
      <c r="C1494" t="s">
        <v>23</v>
      </c>
      <c r="D1494" t="s">
        <v>17</v>
      </c>
      <c r="E1494" t="s">
        <v>48</v>
      </c>
      <c r="F1494" s="9">
        <v>0.14000000000000001</v>
      </c>
      <c r="G1494" s="10">
        <v>10353</v>
      </c>
      <c r="H1494">
        <v>5.55</v>
      </c>
      <c r="I1494" s="5">
        <f>ROUND(Marketing[[#This Row],[Clicks]]*Marketing[[#This Row],[Conversion_Rate]],0)</f>
        <v>128</v>
      </c>
      <c r="J1494" s="12">
        <f>Marketing[[#This Row],[Campaign_Cost]]/Marketing[[#This Row],[Customers]]</f>
        <v>80.8828125</v>
      </c>
      <c r="K1494" t="s">
        <v>32</v>
      </c>
      <c r="L1494" t="s">
        <v>39</v>
      </c>
      <c r="M1494">
        <v>912</v>
      </c>
      <c r="N1494">
        <v>2116</v>
      </c>
      <c r="O1494">
        <v>9</v>
      </c>
      <c r="P1494" t="s">
        <v>44</v>
      </c>
      <c r="Q1494" s="1">
        <v>44229</v>
      </c>
    </row>
    <row r="1495" spans="1:17" x14ac:dyDescent="0.3">
      <c r="A1495" t="s">
        <v>49</v>
      </c>
      <c r="B1495" t="s">
        <v>15</v>
      </c>
      <c r="C1495" t="s">
        <v>52</v>
      </c>
      <c r="D1495" t="s">
        <v>46</v>
      </c>
      <c r="E1495" t="s">
        <v>31</v>
      </c>
      <c r="F1495" s="9">
        <v>0.11</v>
      </c>
      <c r="G1495" s="10">
        <v>16905</v>
      </c>
      <c r="H1495">
        <v>5.45</v>
      </c>
      <c r="I1495" s="5">
        <f>ROUND(Marketing[[#This Row],[Clicks]]*Marketing[[#This Row],[Conversion_Rate]],0)</f>
        <v>20</v>
      </c>
      <c r="J1495" s="12">
        <f>Marketing[[#This Row],[Campaign_Cost]]/Marketing[[#This Row],[Customers]]</f>
        <v>845.25</v>
      </c>
      <c r="K1495" t="s">
        <v>25</v>
      </c>
      <c r="L1495" t="s">
        <v>26</v>
      </c>
      <c r="M1495">
        <v>180</v>
      </c>
      <c r="N1495">
        <v>7965</v>
      </c>
      <c r="O1495">
        <v>10</v>
      </c>
      <c r="P1495" t="s">
        <v>21</v>
      </c>
      <c r="Q1495" s="1">
        <v>44230</v>
      </c>
    </row>
    <row r="1496" spans="1:17" x14ac:dyDescent="0.3">
      <c r="A1496" t="s">
        <v>14</v>
      </c>
      <c r="B1496" t="s">
        <v>29</v>
      </c>
      <c r="C1496" t="s">
        <v>16</v>
      </c>
      <c r="D1496" t="s">
        <v>17</v>
      </c>
      <c r="E1496" t="s">
        <v>41</v>
      </c>
      <c r="F1496" s="9">
        <v>0.1</v>
      </c>
      <c r="G1496" s="10">
        <v>8326</v>
      </c>
      <c r="H1496">
        <v>7.67</v>
      </c>
      <c r="I1496" s="5">
        <f>ROUND(Marketing[[#This Row],[Clicks]]*Marketing[[#This Row],[Conversion_Rate]],0)</f>
        <v>77</v>
      </c>
      <c r="J1496" s="12">
        <f>Marketing[[#This Row],[Campaign_Cost]]/Marketing[[#This Row],[Customers]]</f>
        <v>108.12987012987013</v>
      </c>
      <c r="K1496" t="s">
        <v>51</v>
      </c>
      <c r="L1496" t="s">
        <v>20</v>
      </c>
      <c r="M1496">
        <v>767</v>
      </c>
      <c r="N1496">
        <v>3631</v>
      </c>
      <c r="O1496">
        <v>2</v>
      </c>
      <c r="P1496" t="s">
        <v>21</v>
      </c>
      <c r="Q1496" s="1">
        <v>44231</v>
      </c>
    </row>
    <row r="1497" spans="1:17" x14ac:dyDescent="0.3">
      <c r="A1497" t="s">
        <v>49</v>
      </c>
      <c r="B1497" t="s">
        <v>36</v>
      </c>
      <c r="C1497" t="s">
        <v>37</v>
      </c>
      <c r="D1497" t="s">
        <v>24</v>
      </c>
      <c r="E1497" t="s">
        <v>18</v>
      </c>
      <c r="F1497" s="9">
        <v>0.09</v>
      </c>
      <c r="G1497" s="10">
        <v>18771</v>
      </c>
      <c r="H1497">
        <v>4.26</v>
      </c>
      <c r="I1497" s="5">
        <f>ROUND(Marketing[[#This Row],[Clicks]]*Marketing[[#This Row],[Conversion_Rate]],0)</f>
        <v>63</v>
      </c>
      <c r="J1497" s="12">
        <f>Marketing[[#This Row],[Campaign_Cost]]/Marketing[[#This Row],[Customers]]</f>
        <v>297.95238095238096</v>
      </c>
      <c r="K1497" t="s">
        <v>25</v>
      </c>
      <c r="L1497" t="s">
        <v>33</v>
      </c>
      <c r="M1497">
        <v>701</v>
      </c>
      <c r="N1497">
        <v>6715</v>
      </c>
      <c r="O1497">
        <v>9</v>
      </c>
      <c r="P1497" t="s">
        <v>27</v>
      </c>
      <c r="Q1497" s="1">
        <v>44232</v>
      </c>
    </row>
    <row r="1498" spans="1:17" x14ac:dyDescent="0.3">
      <c r="A1498" t="s">
        <v>49</v>
      </c>
      <c r="B1498" t="s">
        <v>36</v>
      </c>
      <c r="C1498" t="s">
        <v>52</v>
      </c>
      <c r="D1498" t="s">
        <v>17</v>
      </c>
      <c r="E1498" t="s">
        <v>41</v>
      </c>
      <c r="F1498" s="9">
        <v>0.12</v>
      </c>
      <c r="G1498" s="10">
        <v>5591</v>
      </c>
      <c r="H1498">
        <v>4.9800000000000004</v>
      </c>
      <c r="I1498" s="5">
        <f>ROUND(Marketing[[#This Row],[Clicks]]*Marketing[[#This Row],[Conversion_Rate]],0)</f>
        <v>91</v>
      </c>
      <c r="J1498" s="12">
        <f>Marketing[[#This Row],[Campaign_Cost]]/Marketing[[#This Row],[Customers]]</f>
        <v>61.439560439560438</v>
      </c>
      <c r="K1498" t="s">
        <v>32</v>
      </c>
      <c r="L1498" t="s">
        <v>33</v>
      </c>
      <c r="M1498">
        <v>761</v>
      </c>
      <c r="N1498">
        <v>9484</v>
      </c>
      <c r="O1498">
        <v>3</v>
      </c>
      <c r="P1498" t="s">
        <v>21</v>
      </c>
      <c r="Q1498" s="1">
        <v>44233</v>
      </c>
    </row>
    <row r="1499" spans="1:17" x14ac:dyDescent="0.3">
      <c r="A1499" t="s">
        <v>22</v>
      </c>
      <c r="B1499" t="s">
        <v>29</v>
      </c>
      <c r="C1499" t="s">
        <v>37</v>
      </c>
      <c r="D1499" t="s">
        <v>17</v>
      </c>
      <c r="E1499" t="s">
        <v>18</v>
      </c>
      <c r="F1499" s="9">
        <v>0.12</v>
      </c>
      <c r="G1499" s="10">
        <v>13324</v>
      </c>
      <c r="H1499">
        <v>2.73</v>
      </c>
      <c r="I1499" s="5">
        <f>ROUND(Marketing[[#This Row],[Clicks]]*Marketing[[#This Row],[Conversion_Rate]],0)</f>
        <v>108</v>
      </c>
      <c r="J1499" s="12">
        <f>Marketing[[#This Row],[Campaign_Cost]]/Marketing[[#This Row],[Customers]]</f>
        <v>123.37037037037037</v>
      </c>
      <c r="K1499" t="s">
        <v>19</v>
      </c>
      <c r="L1499" t="s">
        <v>50</v>
      </c>
      <c r="M1499">
        <v>898</v>
      </c>
      <c r="N1499">
        <v>6975</v>
      </c>
      <c r="O1499">
        <v>2</v>
      </c>
      <c r="P1499" t="s">
        <v>27</v>
      </c>
      <c r="Q1499" s="1">
        <v>44234</v>
      </c>
    </row>
    <row r="1500" spans="1:17" x14ac:dyDescent="0.3">
      <c r="A1500" t="s">
        <v>28</v>
      </c>
      <c r="B1500" t="s">
        <v>29</v>
      </c>
      <c r="C1500" t="s">
        <v>16</v>
      </c>
      <c r="D1500" t="s">
        <v>24</v>
      </c>
      <c r="E1500" t="s">
        <v>15</v>
      </c>
      <c r="F1500" s="9">
        <v>0.06</v>
      </c>
      <c r="G1500" s="10">
        <v>13757</v>
      </c>
      <c r="H1500">
        <v>6.22</v>
      </c>
      <c r="I1500" s="5">
        <f>ROUND(Marketing[[#This Row],[Clicks]]*Marketing[[#This Row],[Conversion_Rate]],0)</f>
        <v>24</v>
      </c>
      <c r="J1500" s="12">
        <f>Marketing[[#This Row],[Campaign_Cost]]/Marketing[[#This Row],[Customers]]</f>
        <v>573.20833333333337</v>
      </c>
      <c r="K1500" t="s">
        <v>32</v>
      </c>
      <c r="L1500" t="s">
        <v>20</v>
      </c>
      <c r="M1500">
        <v>397</v>
      </c>
      <c r="N1500">
        <v>7940</v>
      </c>
      <c r="O1500">
        <v>9</v>
      </c>
      <c r="P1500" t="s">
        <v>44</v>
      </c>
      <c r="Q1500" s="1">
        <v>44235</v>
      </c>
    </row>
    <row r="1501" spans="1:17" x14ac:dyDescent="0.3">
      <c r="A1501" t="s">
        <v>35</v>
      </c>
      <c r="B1501" t="s">
        <v>15</v>
      </c>
      <c r="C1501" t="s">
        <v>23</v>
      </c>
      <c r="D1501" t="s">
        <v>24</v>
      </c>
      <c r="E1501" t="s">
        <v>43</v>
      </c>
      <c r="F1501" s="9">
        <v>0.05</v>
      </c>
      <c r="G1501" s="10">
        <v>9487</v>
      </c>
      <c r="H1501">
        <v>7.45</v>
      </c>
      <c r="I1501" s="5">
        <f>ROUND(Marketing[[#This Row],[Clicks]]*Marketing[[#This Row],[Conversion_Rate]],0)</f>
        <v>47</v>
      </c>
      <c r="J1501" s="12">
        <f>Marketing[[#This Row],[Campaign_Cost]]/Marketing[[#This Row],[Customers]]</f>
        <v>201.85106382978722</v>
      </c>
      <c r="K1501" t="s">
        <v>32</v>
      </c>
      <c r="L1501" t="s">
        <v>39</v>
      </c>
      <c r="M1501">
        <v>945</v>
      </c>
      <c r="N1501">
        <v>4138</v>
      </c>
      <c r="O1501">
        <v>5</v>
      </c>
      <c r="P1501" t="s">
        <v>27</v>
      </c>
      <c r="Q1501" s="1">
        <v>44236</v>
      </c>
    </row>
    <row r="1502" spans="1:17" x14ac:dyDescent="0.3">
      <c r="A1502" t="s">
        <v>14</v>
      </c>
      <c r="B1502" t="s">
        <v>47</v>
      </c>
      <c r="C1502" t="s">
        <v>23</v>
      </c>
      <c r="D1502" t="s">
        <v>17</v>
      </c>
      <c r="E1502" t="s">
        <v>15</v>
      </c>
      <c r="F1502" s="9">
        <v>0.05</v>
      </c>
      <c r="G1502" s="10">
        <v>19721</v>
      </c>
      <c r="H1502">
        <v>7.45</v>
      </c>
      <c r="I1502" s="5">
        <f>ROUND(Marketing[[#This Row],[Clicks]]*Marketing[[#This Row],[Conversion_Rate]],0)</f>
        <v>45</v>
      </c>
      <c r="J1502" s="12">
        <f>Marketing[[#This Row],[Campaign_Cost]]/Marketing[[#This Row],[Customers]]</f>
        <v>438.24444444444447</v>
      </c>
      <c r="K1502" t="s">
        <v>38</v>
      </c>
      <c r="L1502" t="s">
        <v>26</v>
      </c>
      <c r="M1502">
        <v>893</v>
      </c>
      <c r="N1502">
        <v>9614</v>
      </c>
      <c r="O1502">
        <v>5</v>
      </c>
      <c r="P1502" t="s">
        <v>27</v>
      </c>
      <c r="Q1502" s="1">
        <v>44237</v>
      </c>
    </row>
    <row r="1503" spans="1:17" x14ac:dyDescent="0.3">
      <c r="A1503" t="s">
        <v>14</v>
      </c>
      <c r="B1503" t="s">
        <v>47</v>
      </c>
      <c r="C1503" t="s">
        <v>16</v>
      </c>
      <c r="D1503" t="s">
        <v>46</v>
      </c>
      <c r="E1503" t="s">
        <v>15</v>
      </c>
      <c r="F1503" s="9">
        <v>0.1</v>
      </c>
      <c r="G1503" s="10">
        <v>13686</v>
      </c>
      <c r="H1503">
        <v>5.9</v>
      </c>
      <c r="I1503" s="5">
        <f>ROUND(Marketing[[#This Row],[Clicks]]*Marketing[[#This Row],[Conversion_Rate]],0)</f>
        <v>48</v>
      </c>
      <c r="J1503" s="12">
        <f>Marketing[[#This Row],[Campaign_Cost]]/Marketing[[#This Row],[Customers]]</f>
        <v>285.125</v>
      </c>
      <c r="K1503" t="s">
        <v>32</v>
      </c>
      <c r="L1503" t="s">
        <v>33</v>
      </c>
      <c r="M1503">
        <v>479</v>
      </c>
      <c r="N1503">
        <v>4501</v>
      </c>
      <c r="O1503">
        <v>1</v>
      </c>
      <c r="P1503" t="s">
        <v>44</v>
      </c>
      <c r="Q1503" s="1">
        <v>44238</v>
      </c>
    </row>
    <row r="1504" spans="1:17" x14ac:dyDescent="0.3">
      <c r="A1504" t="s">
        <v>22</v>
      </c>
      <c r="B1504" t="s">
        <v>45</v>
      </c>
      <c r="C1504" t="s">
        <v>37</v>
      </c>
      <c r="D1504" t="s">
        <v>46</v>
      </c>
      <c r="E1504" t="s">
        <v>31</v>
      </c>
      <c r="F1504" s="9">
        <v>0.03</v>
      </c>
      <c r="G1504" s="10">
        <v>10066</v>
      </c>
      <c r="H1504">
        <v>3.6</v>
      </c>
      <c r="I1504" s="5">
        <f>ROUND(Marketing[[#This Row],[Clicks]]*Marketing[[#This Row],[Conversion_Rate]],0)</f>
        <v>3</v>
      </c>
      <c r="J1504" s="12">
        <f>Marketing[[#This Row],[Campaign_Cost]]/Marketing[[#This Row],[Customers]]</f>
        <v>3355.3333333333335</v>
      </c>
      <c r="K1504" t="s">
        <v>32</v>
      </c>
      <c r="L1504" t="s">
        <v>50</v>
      </c>
      <c r="M1504">
        <v>111</v>
      </c>
      <c r="N1504">
        <v>1740</v>
      </c>
      <c r="O1504">
        <v>4</v>
      </c>
      <c r="P1504" t="s">
        <v>42</v>
      </c>
      <c r="Q1504" s="1">
        <v>44239</v>
      </c>
    </row>
    <row r="1505" spans="1:17" x14ac:dyDescent="0.3">
      <c r="A1505" t="s">
        <v>35</v>
      </c>
      <c r="B1505" t="s">
        <v>47</v>
      </c>
      <c r="C1505" t="s">
        <v>37</v>
      </c>
      <c r="D1505" t="s">
        <v>17</v>
      </c>
      <c r="E1505" t="s">
        <v>18</v>
      </c>
      <c r="F1505" s="9">
        <v>0.03</v>
      </c>
      <c r="G1505" s="10">
        <v>16120</v>
      </c>
      <c r="H1505">
        <v>4.16</v>
      </c>
      <c r="I1505" s="5">
        <f>ROUND(Marketing[[#This Row],[Clicks]]*Marketing[[#This Row],[Conversion_Rate]],0)</f>
        <v>15</v>
      </c>
      <c r="J1505" s="12">
        <f>Marketing[[#This Row],[Campaign_Cost]]/Marketing[[#This Row],[Customers]]</f>
        <v>1074.6666666666667</v>
      </c>
      <c r="K1505" t="s">
        <v>25</v>
      </c>
      <c r="L1505" t="s">
        <v>39</v>
      </c>
      <c r="M1505">
        <v>495</v>
      </c>
      <c r="N1505">
        <v>5114</v>
      </c>
      <c r="O1505">
        <v>2</v>
      </c>
      <c r="P1505" t="s">
        <v>21</v>
      </c>
      <c r="Q1505" s="1">
        <v>44240</v>
      </c>
    </row>
    <row r="1506" spans="1:17" x14ac:dyDescent="0.3">
      <c r="A1506" t="s">
        <v>35</v>
      </c>
      <c r="B1506" t="s">
        <v>45</v>
      </c>
      <c r="C1506" t="s">
        <v>23</v>
      </c>
      <c r="D1506" t="s">
        <v>46</v>
      </c>
      <c r="E1506" t="s">
        <v>41</v>
      </c>
      <c r="F1506" s="9">
        <v>0.08</v>
      </c>
      <c r="G1506" s="10">
        <v>8875</v>
      </c>
      <c r="H1506">
        <v>2.2200000000000002</v>
      </c>
      <c r="I1506" s="5">
        <f>ROUND(Marketing[[#This Row],[Clicks]]*Marketing[[#This Row],[Conversion_Rate]],0)</f>
        <v>15</v>
      </c>
      <c r="J1506" s="12">
        <f>Marketing[[#This Row],[Campaign_Cost]]/Marketing[[#This Row],[Customers]]</f>
        <v>591.66666666666663</v>
      </c>
      <c r="K1506" t="s">
        <v>19</v>
      </c>
      <c r="L1506" t="s">
        <v>33</v>
      </c>
      <c r="M1506">
        <v>185</v>
      </c>
      <c r="N1506">
        <v>2090</v>
      </c>
      <c r="O1506">
        <v>6</v>
      </c>
      <c r="P1506" t="s">
        <v>44</v>
      </c>
      <c r="Q1506" s="1">
        <v>44241</v>
      </c>
    </row>
    <row r="1507" spans="1:17" x14ac:dyDescent="0.3">
      <c r="A1507" t="s">
        <v>49</v>
      </c>
      <c r="B1507" t="s">
        <v>15</v>
      </c>
      <c r="C1507" t="s">
        <v>30</v>
      </c>
      <c r="D1507" t="s">
        <v>24</v>
      </c>
      <c r="E1507" t="s">
        <v>43</v>
      </c>
      <c r="F1507" s="9">
        <v>0.13</v>
      </c>
      <c r="G1507" s="10">
        <v>13496</v>
      </c>
      <c r="H1507">
        <v>2.19</v>
      </c>
      <c r="I1507" s="5">
        <f>ROUND(Marketing[[#This Row],[Clicks]]*Marketing[[#This Row],[Conversion_Rate]],0)</f>
        <v>75</v>
      </c>
      <c r="J1507" s="12">
        <f>Marketing[[#This Row],[Campaign_Cost]]/Marketing[[#This Row],[Customers]]</f>
        <v>179.94666666666666</v>
      </c>
      <c r="K1507" t="s">
        <v>19</v>
      </c>
      <c r="L1507" t="s">
        <v>26</v>
      </c>
      <c r="M1507">
        <v>575</v>
      </c>
      <c r="N1507">
        <v>2408</v>
      </c>
      <c r="O1507">
        <v>7</v>
      </c>
      <c r="P1507" t="s">
        <v>44</v>
      </c>
      <c r="Q1507" s="1">
        <v>44242</v>
      </c>
    </row>
    <row r="1508" spans="1:17" x14ac:dyDescent="0.3">
      <c r="A1508" t="s">
        <v>14</v>
      </c>
      <c r="B1508" t="s">
        <v>36</v>
      </c>
      <c r="C1508" t="s">
        <v>16</v>
      </c>
      <c r="D1508" t="s">
        <v>40</v>
      </c>
      <c r="E1508" t="s">
        <v>15</v>
      </c>
      <c r="F1508" s="9">
        <v>0.09</v>
      </c>
      <c r="G1508" s="10">
        <v>11964</v>
      </c>
      <c r="H1508">
        <v>5.91</v>
      </c>
      <c r="I1508" s="5">
        <f>ROUND(Marketing[[#This Row],[Clicks]]*Marketing[[#This Row],[Conversion_Rate]],0)</f>
        <v>80</v>
      </c>
      <c r="J1508" s="12">
        <f>Marketing[[#This Row],[Campaign_Cost]]/Marketing[[#This Row],[Customers]]</f>
        <v>149.55000000000001</v>
      </c>
      <c r="K1508" t="s">
        <v>19</v>
      </c>
      <c r="L1508" t="s">
        <v>50</v>
      </c>
      <c r="M1508">
        <v>892</v>
      </c>
      <c r="N1508">
        <v>7440</v>
      </c>
      <c r="O1508">
        <v>3</v>
      </c>
      <c r="P1508" t="s">
        <v>34</v>
      </c>
      <c r="Q1508" s="1">
        <v>44243</v>
      </c>
    </row>
    <row r="1509" spans="1:17" x14ac:dyDescent="0.3">
      <c r="A1509" t="s">
        <v>35</v>
      </c>
      <c r="B1509" t="s">
        <v>47</v>
      </c>
      <c r="C1509" t="s">
        <v>30</v>
      </c>
      <c r="D1509" t="s">
        <v>40</v>
      </c>
      <c r="E1509" t="s">
        <v>15</v>
      </c>
      <c r="F1509" s="9">
        <v>0.06</v>
      </c>
      <c r="G1509" s="10">
        <v>15466</v>
      </c>
      <c r="H1509">
        <v>4.71</v>
      </c>
      <c r="I1509" s="5">
        <f>ROUND(Marketing[[#This Row],[Clicks]]*Marketing[[#This Row],[Conversion_Rate]],0)</f>
        <v>8</v>
      </c>
      <c r="J1509" s="12">
        <f>Marketing[[#This Row],[Campaign_Cost]]/Marketing[[#This Row],[Customers]]</f>
        <v>1933.25</v>
      </c>
      <c r="K1509" t="s">
        <v>32</v>
      </c>
      <c r="L1509" t="s">
        <v>50</v>
      </c>
      <c r="M1509">
        <v>129</v>
      </c>
      <c r="N1509">
        <v>9035</v>
      </c>
      <c r="O1509">
        <v>10</v>
      </c>
      <c r="P1509" t="s">
        <v>27</v>
      </c>
      <c r="Q1509" s="1">
        <v>44244</v>
      </c>
    </row>
    <row r="1510" spans="1:17" x14ac:dyDescent="0.3">
      <c r="A1510" t="s">
        <v>14</v>
      </c>
      <c r="B1510" t="s">
        <v>15</v>
      </c>
      <c r="C1510" t="s">
        <v>52</v>
      </c>
      <c r="D1510" t="s">
        <v>24</v>
      </c>
      <c r="E1510" t="s">
        <v>15</v>
      </c>
      <c r="F1510" s="9">
        <v>0.11</v>
      </c>
      <c r="G1510" s="10">
        <v>11278</v>
      </c>
      <c r="H1510">
        <v>2.1800000000000002</v>
      </c>
      <c r="I1510" s="5">
        <f>ROUND(Marketing[[#This Row],[Clicks]]*Marketing[[#This Row],[Conversion_Rate]],0)</f>
        <v>76</v>
      </c>
      <c r="J1510" s="12">
        <f>Marketing[[#This Row],[Campaign_Cost]]/Marketing[[#This Row],[Customers]]</f>
        <v>148.39473684210526</v>
      </c>
      <c r="K1510" t="s">
        <v>51</v>
      </c>
      <c r="L1510" t="s">
        <v>20</v>
      </c>
      <c r="M1510">
        <v>693</v>
      </c>
      <c r="N1510">
        <v>3660</v>
      </c>
      <c r="O1510">
        <v>10</v>
      </c>
      <c r="P1510" t="s">
        <v>44</v>
      </c>
      <c r="Q1510" s="1">
        <v>44245</v>
      </c>
    </row>
    <row r="1511" spans="1:17" x14ac:dyDescent="0.3">
      <c r="A1511" t="s">
        <v>14</v>
      </c>
      <c r="B1511" t="s">
        <v>29</v>
      </c>
      <c r="C1511" t="s">
        <v>30</v>
      </c>
      <c r="D1511" t="s">
        <v>46</v>
      </c>
      <c r="E1511" t="s">
        <v>48</v>
      </c>
      <c r="F1511" s="9">
        <v>0.14000000000000001</v>
      </c>
      <c r="G1511" s="10">
        <v>12501</v>
      </c>
      <c r="H1511">
        <v>7.97</v>
      </c>
      <c r="I1511" s="5">
        <f>ROUND(Marketing[[#This Row],[Clicks]]*Marketing[[#This Row],[Conversion_Rate]],0)</f>
        <v>88</v>
      </c>
      <c r="J1511" s="12">
        <f>Marketing[[#This Row],[Campaign_Cost]]/Marketing[[#This Row],[Customers]]</f>
        <v>142.05681818181819</v>
      </c>
      <c r="K1511" t="s">
        <v>38</v>
      </c>
      <c r="L1511" t="s">
        <v>20</v>
      </c>
      <c r="M1511">
        <v>626</v>
      </c>
      <c r="N1511">
        <v>9190</v>
      </c>
      <c r="O1511">
        <v>6</v>
      </c>
      <c r="P1511" t="s">
        <v>34</v>
      </c>
      <c r="Q1511" s="1">
        <v>44246</v>
      </c>
    </row>
    <row r="1512" spans="1:17" x14ac:dyDescent="0.3">
      <c r="A1512" t="s">
        <v>49</v>
      </c>
      <c r="B1512" t="s">
        <v>15</v>
      </c>
      <c r="C1512" t="s">
        <v>16</v>
      </c>
      <c r="D1512" t="s">
        <v>46</v>
      </c>
      <c r="E1512" t="s">
        <v>31</v>
      </c>
      <c r="F1512" s="9">
        <v>0.02</v>
      </c>
      <c r="G1512" s="10">
        <v>13955</v>
      </c>
      <c r="H1512">
        <v>2.82</v>
      </c>
      <c r="I1512" s="5">
        <f>ROUND(Marketing[[#This Row],[Clicks]]*Marketing[[#This Row],[Conversion_Rate]],0)</f>
        <v>10</v>
      </c>
      <c r="J1512" s="12">
        <f>Marketing[[#This Row],[Campaign_Cost]]/Marketing[[#This Row],[Customers]]</f>
        <v>1395.5</v>
      </c>
      <c r="K1512" t="s">
        <v>51</v>
      </c>
      <c r="L1512" t="s">
        <v>50</v>
      </c>
      <c r="M1512">
        <v>512</v>
      </c>
      <c r="N1512">
        <v>8155</v>
      </c>
      <c r="O1512">
        <v>3</v>
      </c>
      <c r="P1512" t="s">
        <v>34</v>
      </c>
      <c r="Q1512" s="1">
        <v>44247</v>
      </c>
    </row>
    <row r="1513" spans="1:17" x14ac:dyDescent="0.3">
      <c r="A1513" t="s">
        <v>14</v>
      </c>
      <c r="B1513" t="s">
        <v>29</v>
      </c>
      <c r="C1513" t="s">
        <v>16</v>
      </c>
      <c r="D1513" t="s">
        <v>24</v>
      </c>
      <c r="E1513" t="s">
        <v>15</v>
      </c>
      <c r="F1513" s="9">
        <v>0.04</v>
      </c>
      <c r="G1513" s="10">
        <v>14006</v>
      </c>
      <c r="H1513">
        <v>7.83</v>
      </c>
      <c r="I1513" s="5">
        <f>ROUND(Marketing[[#This Row],[Clicks]]*Marketing[[#This Row],[Conversion_Rate]],0)</f>
        <v>20</v>
      </c>
      <c r="J1513" s="12">
        <f>Marketing[[#This Row],[Campaign_Cost]]/Marketing[[#This Row],[Customers]]</f>
        <v>700.3</v>
      </c>
      <c r="K1513" t="s">
        <v>38</v>
      </c>
      <c r="L1513" t="s">
        <v>39</v>
      </c>
      <c r="M1513">
        <v>498</v>
      </c>
      <c r="N1513">
        <v>7946</v>
      </c>
      <c r="O1513">
        <v>4</v>
      </c>
      <c r="P1513" t="s">
        <v>34</v>
      </c>
      <c r="Q1513" s="1">
        <v>44248</v>
      </c>
    </row>
    <row r="1514" spans="1:17" x14ac:dyDescent="0.3">
      <c r="A1514" t="s">
        <v>28</v>
      </c>
      <c r="B1514" t="s">
        <v>15</v>
      </c>
      <c r="C1514" t="s">
        <v>52</v>
      </c>
      <c r="D1514" t="s">
        <v>46</v>
      </c>
      <c r="E1514" t="s">
        <v>43</v>
      </c>
      <c r="F1514" s="9">
        <v>0.08</v>
      </c>
      <c r="G1514" s="10">
        <v>14175</v>
      </c>
      <c r="H1514">
        <v>3.59</v>
      </c>
      <c r="I1514" s="5">
        <f>ROUND(Marketing[[#This Row],[Clicks]]*Marketing[[#This Row],[Conversion_Rate]],0)</f>
        <v>47</v>
      </c>
      <c r="J1514" s="12">
        <f>Marketing[[#This Row],[Campaign_Cost]]/Marketing[[#This Row],[Customers]]</f>
        <v>301.59574468085106</v>
      </c>
      <c r="K1514" t="s">
        <v>51</v>
      </c>
      <c r="L1514" t="s">
        <v>33</v>
      </c>
      <c r="M1514">
        <v>587</v>
      </c>
      <c r="N1514">
        <v>4266</v>
      </c>
      <c r="O1514">
        <v>3</v>
      </c>
      <c r="P1514" t="s">
        <v>42</v>
      </c>
      <c r="Q1514" s="1">
        <v>44249</v>
      </c>
    </row>
    <row r="1515" spans="1:17" x14ac:dyDescent="0.3">
      <c r="A1515" t="s">
        <v>49</v>
      </c>
      <c r="B1515" t="s">
        <v>29</v>
      </c>
      <c r="C1515" t="s">
        <v>52</v>
      </c>
      <c r="D1515" t="s">
        <v>46</v>
      </c>
      <c r="E1515" t="s">
        <v>18</v>
      </c>
      <c r="F1515" s="9">
        <v>0.14000000000000001</v>
      </c>
      <c r="G1515" s="10">
        <v>9447</v>
      </c>
      <c r="H1515">
        <v>6.28</v>
      </c>
      <c r="I1515" s="5">
        <f>ROUND(Marketing[[#This Row],[Clicks]]*Marketing[[#This Row],[Conversion_Rate]],0)</f>
        <v>97</v>
      </c>
      <c r="J1515" s="12">
        <f>Marketing[[#This Row],[Campaign_Cost]]/Marketing[[#This Row],[Customers]]</f>
        <v>97.391752577319593</v>
      </c>
      <c r="K1515" t="s">
        <v>38</v>
      </c>
      <c r="L1515" t="s">
        <v>39</v>
      </c>
      <c r="M1515">
        <v>693</v>
      </c>
      <c r="N1515">
        <v>4892</v>
      </c>
      <c r="O1515">
        <v>2</v>
      </c>
      <c r="P1515" t="s">
        <v>21</v>
      </c>
      <c r="Q1515" s="1">
        <v>44250</v>
      </c>
    </row>
    <row r="1516" spans="1:17" x14ac:dyDescent="0.3">
      <c r="A1516" t="s">
        <v>14</v>
      </c>
      <c r="B1516" t="s">
        <v>36</v>
      </c>
      <c r="C1516" t="s">
        <v>37</v>
      </c>
      <c r="D1516" t="s">
        <v>24</v>
      </c>
      <c r="E1516" t="s">
        <v>43</v>
      </c>
      <c r="F1516" s="9">
        <v>0.11</v>
      </c>
      <c r="G1516" s="10">
        <v>5618</v>
      </c>
      <c r="H1516">
        <v>4.83</v>
      </c>
      <c r="I1516" s="5">
        <f>ROUND(Marketing[[#This Row],[Clicks]]*Marketing[[#This Row],[Conversion_Rate]],0)</f>
        <v>81</v>
      </c>
      <c r="J1516" s="12">
        <f>Marketing[[#This Row],[Campaign_Cost]]/Marketing[[#This Row],[Customers]]</f>
        <v>69.358024691358025</v>
      </c>
      <c r="K1516" t="s">
        <v>25</v>
      </c>
      <c r="L1516" t="s">
        <v>33</v>
      </c>
      <c r="M1516">
        <v>738</v>
      </c>
      <c r="N1516">
        <v>6151</v>
      </c>
      <c r="O1516">
        <v>5</v>
      </c>
      <c r="P1516" t="s">
        <v>42</v>
      </c>
      <c r="Q1516" s="1">
        <v>44251</v>
      </c>
    </row>
    <row r="1517" spans="1:17" x14ac:dyDescent="0.3">
      <c r="A1517" t="s">
        <v>28</v>
      </c>
      <c r="B1517" t="s">
        <v>15</v>
      </c>
      <c r="C1517" t="s">
        <v>23</v>
      </c>
      <c r="D1517" t="s">
        <v>24</v>
      </c>
      <c r="E1517" t="s">
        <v>48</v>
      </c>
      <c r="F1517" s="9">
        <v>0.06</v>
      </c>
      <c r="G1517" s="10">
        <v>13456</v>
      </c>
      <c r="H1517">
        <v>6.62</v>
      </c>
      <c r="I1517" s="5">
        <f>ROUND(Marketing[[#This Row],[Clicks]]*Marketing[[#This Row],[Conversion_Rate]],0)</f>
        <v>56</v>
      </c>
      <c r="J1517" s="12">
        <f>Marketing[[#This Row],[Campaign_Cost]]/Marketing[[#This Row],[Customers]]</f>
        <v>240.28571428571428</v>
      </c>
      <c r="K1517" t="s">
        <v>38</v>
      </c>
      <c r="L1517" t="s">
        <v>20</v>
      </c>
      <c r="M1517">
        <v>925</v>
      </c>
      <c r="N1517">
        <v>8790</v>
      </c>
      <c r="O1517">
        <v>7</v>
      </c>
      <c r="P1517" t="s">
        <v>27</v>
      </c>
      <c r="Q1517" s="1">
        <v>44252</v>
      </c>
    </row>
    <row r="1518" spans="1:17" x14ac:dyDescent="0.3">
      <c r="A1518" t="s">
        <v>35</v>
      </c>
      <c r="B1518" t="s">
        <v>29</v>
      </c>
      <c r="C1518" t="s">
        <v>23</v>
      </c>
      <c r="D1518" t="s">
        <v>46</v>
      </c>
      <c r="E1518" t="s">
        <v>15</v>
      </c>
      <c r="F1518" s="9">
        <v>0.08</v>
      </c>
      <c r="G1518" s="10">
        <v>19274</v>
      </c>
      <c r="H1518">
        <v>3.32</v>
      </c>
      <c r="I1518" s="5">
        <f>ROUND(Marketing[[#This Row],[Clicks]]*Marketing[[#This Row],[Conversion_Rate]],0)</f>
        <v>33</v>
      </c>
      <c r="J1518" s="12">
        <f>Marketing[[#This Row],[Campaign_Cost]]/Marketing[[#This Row],[Customers]]</f>
        <v>584.06060606060601</v>
      </c>
      <c r="K1518" t="s">
        <v>19</v>
      </c>
      <c r="L1518" t="s">
        <v>50</v>
      </c>
      <c r="M1518">
        <v>408</v>
      </c>
      <c r="N1518">
        <v>5183</v>
      </c>
      <c r="O1518">
        <v>8</v>
      </c>
      <c r="P1518" t="s">
        <v>21</v>
      </c>
      <c r="Q1518" s="1">
        <v>44253</v>
      </c>
    </row>
    <row r="1519" spans="1:17" x14ac:dyDescent="0.3">
      <c r="A1519" t="s">
        <v>22</v>
      </c>
      <c r="B1519" t="s">
        <v>15</v>
      </c>
      <c r="C1519" t="s">
        <v>37</v>
      </c>
      <c r="D1519" t="s">
        <v>40</v>
      </c>
      <c r="E1519" t="s">
        <v>43</v>
      </c>
      <c r="F1519" s="9">
        <v>0.1</v>
      </c>
      <c r="G1519" s="10">
        <v>19932</v>
      </c>
      <c r="H1519">
        <v>4.38</v>
      </c>
      <c r="I1519" s="5">
        <f>ROUND(Marketing[[#This Row],[Clicks]]*Marketing[[#This Row],[Conversion_Rate]],0)</f>
        <v>73</v>
      </c>
      <c r="J1519" s="12">
        <f>Marketing[[#This Row],[Campaign_Cost]]/Marketing[[#This Row],[Customers]]</f>
        <v>273.04109589041099</v>
      </c>
      <c r="K1519" t="s">
        <v>51</v>
      </c>
      <c r="L1519" t="s">
        <v>26</v>
      </c>
      <c r="M1519">
        <v>730</v>
      </c>
      <c r="N1519">
        <v>8081</v>
      </c>
      <c r="O1519">
        <v>6</v>
      </c>
      <c r="P1519" t="s">
        <v>42</v>
      </c>
      <c r="Q1519" s="1">
        <v>44254</v>
      </c>
    </row>
    <row r="1520" spans="1:17" x14ac:dyDescent="0.3">
      <c r="A1520" t="s">
        <v>28</v>
      </c>
      <c r="B1520" t="s">
        <v>47</v>
      </c>
      <c r="C1520" t="s">
        <v>37</v>
      </c>
      <c r="D1520" t="s">
        <v>40</v>
      </c>
      <c r="E1520" t="s">
        <v>41</v>
      </c>
      <c r="F1520" s="9">
        <v>0.01</v>
      </c>
      <c r="G1520" s="10">
        <v>13451</v>
      </c>
      <c r="H1520">
        <v>3.48</v>
      </c>
      <c r="I1520" s="5">
        <f>ROUND(Marketing[[#This Row],[Clicks]]*Marketing[[#This Row],[Conversion_Rate]],0)</f>
        <v>8</v>
      </c>
      <c r="J1520" s="12">
        <f>Marketing[[#This Row],[Campaign_Cost]]/Marketing[[#This Row],[Customers]]</f>
        <v>1681.375</v>
      </c>
      <c r="K1520" t="s">
        <v>19</v>
      </c>
      <c r="L1520" t="s">
        <v>50</v>
      </c>
      <c r="M1520">
        <v>762</v>
      </c>
      <c r="N1520">
        <v>4209</v>
      </c>
      <c r="O1520">
        <v>4</v>
      </c>
      <c r="P1520" t="s">
        <v>27</v>
      </c>
      <c r="Q1520" s="1">
        <v>44255</v>
      </c>
    </row>
    <row r="1521" spans="1:17" x14ac:dyDescent="0.3">
      <c r="A1521" t="s">
        <v>14</v>
      </c>
      <c r="B1521" t="s">
        <v>15</v>
      </c>
      <c r="C1521" t="s">
        <v>52</v>
      </c>
      <c r="D1521" t="s">
        <v>40</v>
      </c>
      <c r="E1521" t="s">
        <v>41</v>
      </c>
      <c r="F1521" s="9">
        <v>0.08</v>
      </c>
      <c r="G1521" s="10">
        <v>10497</v>
      </c>
      <c r="H1521">
        <v>3.73</v>
      </c>
      <c r="I1521" s="5">
        <f>ROUND(Marketing[[#This Row],[Clicks]]*Marketing[[#This Row],[Conversion_Rate]],0)</f>
        <v>62</v>
      </c>
      <c r="J1521" s="12">
        <f>Marketing[[#This Row],[Campaign_Cost]]/Marketing[[#This Row],[Customers]]</f>
        <v>169.30645161290323</v>
      </c>
      <c r="K1521" t="s">
        <v>51</v>
      </c>
      <c r="L1521" t="s">
        <v>50</v>
      </c>
      <c r="M1521">
        <v>779</v>
      </c>
      <c r="N1521">
        <v>3072</v>
      </c>
      <c r="O1521">
        <v>6</v>
      </c>
      <c r="P1521" t="s">
        <v>42</v>
      </c>
      <c r="Q1521" s="1">
        <v>44256</v>
      </c>
    </row>
    <row r="1522" spans="1:17" x14ac:dyDescent="0.3">
      <c r="A1522" t="s">
        <v>14</v>
      </c>
      <c r="B1522" t="s">
        <v>36</v>
      </c>
      <c r="C1522" t="s">
        <v>30</v>
      </c>
      <c r="D1522" t="s">
        <v>46</v>
      </c>
      <c r="E1522" t="s">
        <v>41</v>
      </c>
      <c r="F1522" s="9">
        <v>0.13</v>
      </c>
      <c r="G1522" s="10">
        <v>5324</v>
      </c>
      <c r="H1522">
        <v>2.5</v>
      </c>
      <c r="I1522" s="5">
        <f>ROUND(Marketing[[#This Row],[Clicks]]*Marketing[[#This Row],[Conversion_Rate]],0)</f>
        <v>62</v>
      </c>
      <c r="J1522" s="12">
        <f>Marketing[[#This Row],[Campaign_Cost]]/Marketing[[#This Row],[Customers]]</f>
        <v>85.870967741935488</v>
      </c>
      <c r="K1522" t="s">
        <v>32</v>
      </c>
      <c r="L1522" t="s">
        <v>26</v>
      </c>
      <c r="M1522">
        <v>478</v>
      </c>
      <c r="N1522">
        <v>9071</v>
      </c>
      <c r="O1522">
        <v>10</v>
      </c>
      <c r="P1522" t="s">
        <v>42</v>
      </c>
      <c r="Q1522" s="1">
        <v>44257</v>
      </c>
    </row>
    <row r="1523" spans="1:17" x14ac:dyDescent="0.3">
      <c r="A1523" t="s">
        <v>35</v>
      </c>
      <c r="B1523" t="s">
        <v>15</v>
      </c>
      <c r="C1523" t="s">
        <v>52</v>
      </c>
      <c r="D1523" t="s">
        <v>17</v>
      </c>
      <c r="E1523" t="s">
        <v>18</v>
      </c>
      <c r="F1523" s="9">
        <v>0.04</v>
      </c>
      <c r="G1523" s="10">
        <v>14727</v>
      </c>
      <c r="H1523">
        <v>4.4000000000000004</v>
      </c>
      <c r="I1523" s="5">
        <f>ROUND(Marketing[[#This Row],[Clicks]]*Marketing[[#This Row],[Conversion_Rate]],0)</f>
        <v>12</v>
      </c>
      <c r="J1523" s="12">
        <f>Marketing[[#This Row],[Campaign_Cost]]/Marketing[[#This Row],[Customers]]</f>
        <v>1227.25</v>
      </c>
      <c r="K1523" t="s">
        <v>19</v>
      </c>
      <c r="L1523" t="s">
        <v>33</v>
      </c>
      <c r="M1523">
        <v>290</v>
      </c>
      <c r="N1523">
        <v>3498</v>
      </c>
      <c r="O1523">
        <v>7</v>
      </c>
      <c r="P1523" t="s">
        <v>21</v>
      </c>
      <c r="Q1523" s="1">
        <v>44258</v>
      </c>
    </row>
    <row r="1524" spans="1:17" x14ac:dyDescent="0.3">
      <c r="A1524" t="s">
        <v>35</v>
      </c>
      <c r="B1524" t="s">
        <v>29</v>
      </c>
      <c r="C1524" t="s">
        <v>23</v>
      </c>
      <c r="D1524" t="s">
        <v>17</v>
      </c>
      <c r="E1524" t="s">
        <v>48</v>
      </c>
      <c r="F1524" s="9">
        <v>0.14000000000000001</v>
      </c>
      <c r="G1524" s="10">
        <v>6265</v>
      </c>
      <c r="H1524">
        <v>7.42</v>
      </c>
      <c r="I1524" s="5">
        <f>ROUND(Marketing[[#This Row],[Clicks]]*Marketing[[#This Row],[Conversion_Rate]],0)</f>
        <v>88</v>
      </c>
      <c r="J1524" s="12">
        <f>Marketing[[#This Row],[Campaign_Cost]]/Marketing[[#This Row],[Customers]]</f>
        <v>71.193181818181813</v>
      </c>
      <c r="K1524" t="s">
        <v>32</v>
      </c>
      <c r="L1524" t="s">
        <v>33</v>
      </c>
      <c r="M1524">
        <v>628</v>
      </c>
      <c r="N1524">
        <v>7000</v>
      </c>
      <c r="O1524">
        <v>2</v>
      </c>
      <c r="P1524" t="s">
        <v>34</v>
      </c>
      <c r="Q1524" s="1">
        <v>44259</v>
      </c>
    </row>
    <row r="1525" spans="1:17" x14ac:dyDescent="0.3">
      <c r="A1525" t="s">
        <v>35</v>
      </c>
      <c r="B1525" t="s">
        <v>15</v>
      </c>
      <c r="C1525" t="s">
        <v>16</v>
      </c>
      <c r="D1525" t="s">
        <v>40</v>
      </c>
      <c r="E1525" t="s">
        <v>31</v>
      </c>
      <c r="F1525" s="9">
        <v>0.13</v>
      </c>
      <c r="G1525" s="10">
        <v>10081</v>
      </c>
      <c r="H1525">
        <v>3.03</v>
      </c>
      <c r="I1525" s="5">
        <f>ROUND(Marketing[[#This Row],[Clicks]]*Marketing[[#This Row],[Conversion_Rate]],0)</f>
        <v>103</v>
      </c>
      <c r="J1525" s="12">
        <f>Marketing[[#This Row],[Campaign_Cost]]/Marketing[[#This Row],[Customers]]</f>
        <v>97.873786407766985</v>
      </c>
      <c r="K1525" t="s">
        <v>32</v>
      </c>
      <c r="L1525" t="s">
        <v>39</v>
      </c>
      <c r="M1525">
        <v>792</v>
      </c>
      <c r="N1525">
        <v>1931</v>
      </c>
      <c r="O1525">
        <v>6</v>
      </c>
      <c r="P1525" t="s">
        <v>21</v>
      </c>
      <c r="Q1525" s="1">
        <v>44260</v>
      </c>
    </row>
    <row r="1526" spans="1:17" x14ac:dyDescent="0.3">
      <c r="A1526" t="s">
        <v>35</v>
      </c>
      <c r="B1526" t="s">
        <v>36</v>
      </c>
      <c r="C1526" t="s">
        <v>37</v>
      </c>
      <c r="D1526" t="s">
        <v>40</v>
      </c>
      <c r="E1526" t="s">
        <v>18</v>
      </c>
      <c r="F1526" s="9">
        <v>0.04</v>
      </c>
      <c r="G1526" s="10">
        <v>14234</v>
      </c>
      <c r="H1526">
        <v>3.45</v>
      </c>
      <c r="I1526" s="5">
        <f>ROUND(Marketing[[#This Row],[Clicks]]*Marketing[[#This Row],[Conversion_Rate]],0)</f>
        <v>18</v>
      </c>
      <c r="J1526" s="12">
        <f>Marketing[[#This Row],[Campaign_Cost]]/Marketing[[#This Row],[Customers]]</f>
        <v>790.77777777777783</v>
      </c>
      <c r="K1526" t="s">
        <v>51</v>
      </c>
      <c r="L1526" t="s">
        <v>39</v>
      </c>
      <c r="M1526">
        <v>453</v>
      </c>
      <c r="N1526">
        <v>5257</v>
      </c>
      <c r="O1526">
        <v>2</v>
      </c>
      <c r="P1526" t="s">
        <v>34</v>
      </c>
      <c r="Q1526" s="1">
        <v>44261</v>
      </c>
    </row>
    <row r="1527" spans="1:17" x14ac:dyDescent="0.3">
      <c r="A1527" t="s">
        <v>14</v>
      </c>
      <c r="B1527" t="s">
        <v>47</v>
      </c>
      <c r="C1527" t="s">
        <v>30</v>
      </c>
      <c r="D1527" t="s">
        <v>24</v>
      </c>
      <c r="E1527" t="s">
        <v>15</v>
      </c>
      <c r="F1527" s="9">
        <v>0.06</v>
      </c>
      <c r="G1527" s="10">
        <v>16883</v>
      </c>
      <c r="H1527">
        <v>6.53</v>
      </c>
      <c r="I1527" s="5">
        <f>ROUND(Marketing[[#This Row],[Clicks]]*Marketing[[#This Row],[Conversion_Rate]],0)</f>
        <v>21</v>
      </c>
      <c r="J1527" s="12">
        <f>Marketing[[#This Row],[Campaign_Cost]]/Marketing[[#This Row],[Customers]]</f>
        <v>803.95238095238096</v>
      </c>
      <c r="K1527" t="s">
        <v>32</v>
      </c>
      <c r="L1527" t="s">
        <v>26</v>
      </c>
      <c r="M1527">
        <v>344</v>
      </c>
      <c r="N1527">
        <v>3433</v>
      </c>
      <c r="O1527">
        <v>9</v>
      </c>
      <c r="P1527" t="s">
        <v>44</v>
      </c>
      <c r="Q1527" s="1">
        <v>44262</v>
      </c>
    </row>
    <row r="1528" spans="1:17" x14ac:dyDescent="0.3">
      <c r="A1528" t="s">
        <v>35</v>
      </c>
      <c r="B1528" t="s">
        <v>47</v>
      </c>
      <c r="C1528" t="s">
        <v>23</v>
      </c>
      <c r="D1528" t="s">
        <v>46</v>
      </c>
      <c r="E1528" t="s">
        <v>41</v>
      </c>
      <c r="F1528" s="9">
        <v>0.15</v>
      </c>
      <c r="G1528" s="10">
        <v>15315</v>
      </c>
      <c r="H1528">
        <v>5.7</v>
      </c>
      <c r="I1528" s="5">
        <f>ROUND(Marketing[[#This Row],[Clicks]]*Marketing[[#This Row],[Conversion_Rate]],0)</f>
        <v>121</v>
      </c>
      <c r="J1528" s="12">
        <f>Marketing[[#This Row],[Campaign_Cost]]/Marketing[[#This Row],[Customers]]</f>
        <v>126.5702479338843</v>
      </c>
      <c r="K1528" t="s">
        <v>32</v>
      </c>
      <c r="L1528" t="s">
        <v>20</v>
      </c>
      <c r="M1528">
        <v>808</v>
      </c>
      <c r="N1528">
        <v>8935</v>
      </c>
      <c r="O1528">
        <v>10</v>
      </c>
      <c r="P1528" t="s">
        <v>42</v>
      </c>
      <c r="Q1528" s="1">
        <v>44263</v>
      </c>
    </row>
    <row r="1529" spans="1:17" x14ac:dyDescent="0.3">
      <c r="A1529" t="s">
        <v>49</v>
      </c>
      <c r="B1529" t="s">
        <v>45</v>
      </c>
      <c r="C1529" t="s">
        <v>52</v>
      </c>
      <c r="D1529" t="s">
        <v>17</v>
      </c>
      <c r="E1529" t="s">
        <v>43</v>
      </c>
      <c r="F1529" s="9">
        <v>0.13</v>
      </c>
      <c r="G1529" s="10">
        <v>10022</v>
      </c>
      <c r="H1529">
        <v>2.11</v>
      </c>
      <c r="I1529" s="5">
        <f>ROUND(Marketing[[#This Row],[Clicks]]*Marketing[[#This Row],[Conversion_Rate]],0)</f>
        <v>61</v>
      </c>
      <c r="J1529" s="12">
        <f>Marketing[[#This Row],[Campaign_Cost]]/Marketing[[#This Row],[Customers]]</f>
        <v>164.29508196721312</v>
      </c>
      <c r="K1529" t="s">
        <v>19</v>
      </c>
      <c r="L1529" t="s">
        <v>50</v>
      </c>
      <c r="M1529">
        <v>472</v>
      </c>
      <c r="N1529">
        <v>5423</v>
      </c>
      <c r="O1529">
        <v>4</v>
      </c>
      <c r="P1529" t="s">
        <v>34</v>
      </c>
      <c r="Q1529" s="1">
        <v>44264</v>
      </c>
    </row>
    <row r="1530" spans="1:17" x14ac:dyDescent="0.3">
      <c r="A1530" t="s">
        <v>28</v>
      </c>
      <c r="B1530" t="s">
        <v>15</v>
      </c>
      <c r="C1530" t="s">
        <v>16</v>
      </c>
      <c r="D1530" t="s">
        <v>24</v>
      </c>
      <c r="E1530" t="s">
        <v>31</v>
      </c>
      <c r="F1530" s="9">
        <v>0.04</v>
      </c>
      <c r="G1530" s="10">
        <v>8404</v>
      </c>
      <c r="H1530">
        <v>7.81</v>
      </c>
      <c r="I1530" s="5">
        <f>ROUND(Marketing[[#This Row],[Clicks]]*Marketing[[#This Row],[Conversion_Rate]],0)</f>
        <v>26</v>
      </c>
      <c r="J1530" s="12">
        <f>Marketing[[#This Row],[Campaign_Cost]]/Marketing[[#This Row],[Customers]]</f>
        <v>323.23076923076923</v>
      </c>
      <c r="K1530" t="s">
        <v>32</v>
      </c>
      <c r="L1530" t="s">
        <v>20</v>
      </c>
      <c r="M1530">
        <v>662</v>
      </c>
      <c r="N1530">
        <v>4125</v>
      </c>
      <c r="O1530">
        <v>2</v>
      </c>
      <c r="P1530" t="s">
        <v>21</v>
      </c>
      <c r="Q1530" s="1">
        <v>44265</v>
      </c>
    </row>
    <row r="1531" spans="1:17" x14ac:dyDescent="0.3">
      <c r="A1531" t="s">
        <v>49</v>
      </c>
      <c r="B1531" t="s">
        <v>47</v>
      </c>
      <c r="C1531" t="s">
        <v>16</v>
      </c>
      <c r="D1531" t="s">
        <v>17</v>
      </c>
      <c r="E1531" t="s">
        <v>18</v>
      </c>
      <c r="F1531" s="9">
        <v>0.05</v>
      </c>
      <c r="G1531" s="10">
        <v>16934</v>
      </c>
      <c r="H1531">
        <v>6.79</v>
      </c>
      <c r="I1531" s="5">
        <f>ROUND(Marketing[[#This Row],[Clicks]]*Marketing[[#This Row],[Conversion_Rate]],0)</f>
        <v>22</v>
      </c>
      <c r="J1531" s="12">
        <f>Marketing[[#This Row],[Campaign_Cost]]/Marketing[[#This Row],[Customers]]</f>
        <v>769.72727272727275</v>
      </c>
      <c r="K1531" t="s">
        <v>19</v>
      </c>
      <c r="L1531" t="s">
        <v>26</v>
      </c>
      <c r="M1531">
        <v>446</v>
      </c>
      <c r="N1531">
        <v>4904</v>
      </c>
      <c r="O1531">
        <v>6</v>
      </c>
      <c r="P1531" t="s">
        <v>27</v>
      </c>
      <c r="Q1531" s="1">
        <v>44266</v>
      </c>
    </row>
    <row r="1532" spans="1:17" x14ac:dyDescent="0.3">
      <c r="A1532" t="s">
        <v>35</v>
      </c>
      <c r="B1532" t="s">
        <v>29</v>
      </c>
      <c r="C1532" t="s">
        <v>30</v>
      </c>
      <c r="D1532" t="s">
        <v>46</v>
      </c>
      <c r="E1532" t="s">
        <v>15</v>
      </c>
      <c r="F1532" s="9">
        <v>0.08</v>
      </c>
      <c r="G1532" s="10">
        <v>6110</v>
      </c>
      <c r="H1532">
        <v>4</v>
      </c>
      <c r="I1532" s="5">
        <f>ROUND(Marketing[[#This Row],[Clicks]]*Marketing[[#This Row],[Conversion_Rate]],0)</f>
        <v>71</v>
      </c>
      <c r="J1532" s="12">
        <f>Marketing[[#This Row],[Campaign_Cost]]/Marketing[[#This Row],[Customers]]</f>
        <v>86.056338028169009</v>
      </c>
      <c r="K1532" t="s">
        <v>38</v>
      </c>
      <c r="L1532" t="s">
        <v>50</v>
      </c>
      <c r="M1532">
        <v>883</v>
      </c>
      <c r="N1532">
        <v>7094</v>
      </c>
      <c r="O1532">
        <v>9</v>
      </c>
      <c r="P1532" t="s">
        <v>21</v>
      </c>
      <c r="Q1532" s="1">
        <v>44267</v>
      </c>
    </row>
    <row r="1533" spans="1:17" x14ac:dyDescent="0.3">
      <c r="A1533" t="s">
        <v>35</v>
      </c>
      <c r="B1533" t="s">
        <v>29</v>
      </c>
      <c r="C1533" t="s">
        <v>37</v>
      </c>
      <c r="D1533" t="s">
        <v>40</v>
      </c>
      <c r="E1533" t="s">
        <v>31</v>
      </c>
      <c r="F1533" s="9">
        <v>0.09</v>
      </c>
      <c r="G1533" s="10">
        <v>8208</v>
      </c>
      <c r="H1533">
        <v>4.7699999999999996</v>
      </c>
      <c r="I1533" s="5">
        <f>ROUND(Marketing[[#This Row],[Clicks]]*Marketing[[#This Row],[Conversion_Rate]],0)</f>
        <v>30</v>
      </c>
      <c r="J1533" s="12">
        <f>Marketing[[#This Row],[Campaign_Cost]]/Marketing[[#This Row],[Customers]]</f>
        <v>273.60000000000002</v>
      </c>
      <c r="K1533" t="s">
        <v>25</v>
      </c>
      <c r="L1533" t="s">
        <v>33</v>
      </c>
      <c r="M1533">
        <v>329</v>
      </c>
      <c r="N1533">
        <v>4529</v>
      </c>
      <c r="O1533">
        <v>5</v>
      </c>
      <c r="P1533" t="s">
        <v>44</v>
      </c>
      <c r="Q1533" s="1">
        <v>44268</v>
      </c>
    </row>
    <row r="1534" spans="1:17" x14ac:dyDescent="0.3">
      <c r="A1534" t="s">
        <v>14</v>
      </c>
      <c r="B1534" t="s">
        <v>47</v>
      </c>
      <c r="C1534" t="s">
        <v>16</v>
      </c>
      <c r="D1534" t="s">
        <v>46</v>
      </c>
      <c r="E1534" t="s">
        <v>31</v>
      </c>
      <c r="F1534" s="9">
        <v>0.13</v>
      </c>
      <c r="G1534" s="10">
        <v>16258</v>
      </c>
      <c r="H1534">
        <v>7.79</v>
      </c>
      <c r="I1534" s="5">
        <f>ROUND(Marketing[[#This Row],[Clicks]]*Marketing[[#This Row],[Conversion_Rate]],0)</f>
        <v>58</v>
      </c>
      <c r="J1534" s="12">
        <f>Marketing[[#This Row],[Campaign_Cost]]/Marketing[[#This Row],[Customers]]</f>
        <v>280.31034482758622</v>
      </c>
      <c r="K1534" t="s">
        <v>25</v>
      </c>
      <c r="L1534" t="s">
        <v>20</v>
      </c>
      <c r="M1534">
        <v>444</v>
      </c>
      <c r="N1534">
        <v>8893</v>
      </c>
      <c r="O1534">
        <v>1</v>
      </c>
      <c r="P1534" t="s">
        <v>27</v>
      </c>
      <c r="Q1534" s="1">
        <v>44269</v>
      </c>
    </row>
    <row r="1535" spans="1:17" x14ac:dyDescent="0.3">
      <c r="A1535" t="s">
        <v>49</v>
      </c>
      <c r="B1535" t="s">
        <v>36</v>
      </c>
      <c r="C1535" t="s">
        <v>16</v>
      </c>
      <c r="D1535" t="s">
        <v>17</v>
      </c>
      <c r="E1535" t="s">
        <v>15</v>
      </c>
      <c r="F1535" s="9">
        <v>0.11</v>
      </c>
      <c r="G1535" s="10">
        <v>12112</v>
      </c>
      <c r="H1535">
        <v>5.49</v>
      </c>
      <c r="I1535" s="5">
        <f>ROUND(Marketing[[#This Row],[Clicks]]*Marketing[[#This Row],[Conversion_Rate]],0)</f>
        <v>32</v>
      </c>
      <c r="J1535" s="12">
        <f>Marketing[[#This Row],[Campaign_Cost]]/Marketing[[#This Row],[Customers]]</f>
        <v>378.5</v>
      </c>
      <c r="K1535" t="s">
        <v>38</v>
      </c>
      <c r="L1535" t="s">
        <v>50</v>
      </c>
      <c r="M1535">
        <v>290</v>
      </c>
      <c r="N1535">
        <v>7730</v>
      </c>
      <c r="O1535">
        <v>1</v>
      </c>
      <c r="P1535" t="s">
        <v>21</v>
      </c>
      <c r="Q1535" s="1">
        <v>44270</v>
      </c>
    </row>
    <row r="1536" spans="1:17" x14ac:dyDescent="0.3">
      <c r="A1536" t="s">
        <v>28</v>
      </c>
      <c r="B1536" t="s">
        <v>45</v>
      </c>
      <c r="C1536" t="s">
        <v>52</v>
      </c>
      <c r="D1536" t="s">
        <v>24</v>
      </c>
      <c r="E1536" t="s">
        <v>48</v>
      </c>
      <c r="F1536" s="9">
        <v>0.02</v>
      </c>
      <c r="G1536" s="10">
        <v>11137</v>
      </c>
      <c r="H1536">
        <v>5.52</v>
      </c>
      <c r="I1536" s="5">
        <f>ROUND(Marketing[[#This Row],[Clicks]]*Marketing[[#This Row],[Conversion_Rate]],0)</f>
        <v>8</v>
      </c>
      <c r="J1536" s="12">
        <f>Marketing[[#This Row],[Campaign_Cost]]/Marketing[[#This Row],[Customers]]</f>
        <v>1392.125</v>
      </c>
      <c r="K1536" t="s">
        <v>38</v>
      </c>
      <c r="L1536" t="s">
        <v>33</v>
      </c>
      <c r="M1536">
        <v>393</v>
      </c>
      <c r="N1536">
        <v>9223</v>
      </c>
      <c r="O1536">
        <v>3</v>
      </c>
      <c r="P1536" t="s">
        <v>42</v>
      </c>
      <c r="Q1536" s="1">
        <v>44271</v>
      </c>
    </row>
    <row r="1537" spans="1:17" x14ac:dyDescent="0.3">
      <c r="A1537" t="s">
        <v>35</v>
      </c>
      <c r="B1537" t="s">
        <v>15</v>
      </c>
      <c r="C1537" t="s">
        <v>30</v>
      </c>
      <c r="D1537" t="s">
        <v>24</v>
      </c>
      <c r="E1537" t="s">
        <v>48</v>
      </c>
      <c r="F1537" s="9">
        <v>0.1</v>
      </c>
      <c r="G1537" s="10">
        <v>15143</v>
      </c>
      <c r="H1537">
        <v>4.01</v>
      </c>
      <c r="I1537" s="5">
        <f>ROUND(Marketing[[#This Row],[Clicks]]*Marketing[[#This Row],[Conversion_Rate]],0)</f>
        <v>23</v>
      </c>
      <c r="J1537" s="12">
        <f>Marketing[[#This Row],[Campaign_Cost]]/Marketing[[#This Row],[Customers]]</f>
        <v>658.39130434782612</v>
      </c>
      <c r="K1537" t="s">
        <v>19</v>
      </c>
      <c r="L1537" t="s">
        <v>26</v>
      </c>
      <c r="M1537">
        <v>229</v>
      </c>
      <c r="N1537">
        <v>5705</v>
      </c>
      <c r="O1537">
        <v>9</v>
      </c>
      <c r="P1537" t="s">
        <v>27</v>
      </c>
      <c r="Q1537" s="1">
        <v>44272</v>
      </c>
    </row>
    <row r="1538" spans="1:17" x14ac:dyDescent="0.3">
      <c r="A1538" t="s">
        <v>14</v>
      </c>
      <c r="B1538" t="s">
        <v>15</v>
      </c>
      <c r="C1538" t="s">
        <v>16</v>
      </c>
      <c r="D1538" t="s">
        <v>46</v>
      </c>
      <c r="E1538" t="s">
        <v>43</v>
      </c>
      <c r="F1538" s="9">
        <v>0.08</v>
      </c>
      <c r="G1538" s="10">
        <v>7875</v>
      </c>
      <c r="H1538">
        <v>7.08</v>
      </c>
      <c r="I1538" s="5">
        <f>ROUND(Marketing[[#This Row],[Clicks]]*Marketing[[#This Row],[Conversion_Rate]],0)</f>
        <v>16</v>
      </c>
      <c r="J1538" s="12">
        <f>Marketing[[#This Row],[Campaign_Cost]]/Marketing[[#This Row],[Customers]]</f>
        <v>492.1875</v>
      </c>
      <c r="K1538" t="s">
        <v>19</v>
      </c>
      <c r="L1538" t="s">
        <v>50</v>
      </c>
      <c r="M1538">
        <v>195</v>
      </c>
      <c r="N1538">
        <v>8176</v>
      </c>
      <c r="O1538">
        <v>6</v>
      </c>
      <c r="P1538" t="s">
        <v>44</v>
      </c>
      <c r="Q1538" s="1">
        <v>44273</v>
      </c>
    </row>
    <row r="1539" spans="1:17" x14ac:dyDescent="0.3">
      <c r="A1539" t="s">
        <v>35</v>
      </c>
      <c r="B1539" t="s">
        <v>47</v>
      </c>
      <c r="C1539" t="s">
        <v>52</v>
      </c>
      <c r="D1539" t="s">
        <v>24</v>
      </c>
      <c r="E1539" t="s">
        <v>31</v>
      </c>
      <c r="F1539" s="9">
        <v>7.0000000000000007E-2</v>
      </c>
      <c r="G1539" s="10">
        <v>6228</v>
      </c>
      <c r="H1539">
        <v>6.92</v>
      </c>
      <c r="I1539" s="5">
        <f>ROUND(Marketing[[#This Row],[Clicks]]*Marketing[[#This Row],[Conversion_Rate]],0)</f>
        <v>50</v>
      </c>
      <c r="J1539" s="12">
        <f>Marketing[[#This Row],[Campaign_Cost]]/Marketing[[#This Row],[Customers]]</f>
        <v>124.56</v>
      </c>
      <c r="K1539" t="s">
        <v>25</v>
      </c>
      <c r="L1539" t="s">
        <v>26</v>
      </c>
      <c r="M1539">
        <v>715</v>
      </c>
      <c r="N1539">
        <v>9976</v>
      </c>
      <c r="O1539">
        <v>10</v>
      </c>
      <c r="P1539" t="s">
        <v>44</v>
      </c>
      <c r="Q1539" s="1">
        <v>44274</v>
      </c>
    </row>
    <row r="1540" spans="1:17" x14ac:dyDescent="0.3">
      <c r="A1540" t="s">
        <v>14</v>
      </c>
      <c r="B1540" t="s">
        <v>29</v>
      </c>
      <c r="C1540" t="s">
        <v>23</v>
      </c>
      <c r="D1540" t="s">
        <v>46</v>
      </c>
      <c r="E1540" t="s">
        <v>31</v>
      </c>
      <c r="F1540" s="9">
        <v>7.0000000000000007E-2</v>
      </c>
      <c r="G1540" s="10">
        <v>7419</v>
      </c>
      <c r="H1540">
        <v>4.7300000000000004</v>
      </c>
      <c r="I1540" s="5">
        <f>ROUND(Marketing[[#This Row],[Clicks]]*Marketing[[#This Row],[Conversion_Rate]],0)</f>
        <v>33</v>
      </c>
      <c r="J1540" s="12">
        <f>Marketing[[#This Row],[Campaign_Cost]]/Marketing[[#This Row],[Customers]]</f>
        <v>224.81818181818181</v>
      </c>
      <c r="K1540" t="s">
        <v>19</v>
      </c>
      <c r="L1540" t="s">
        <v>26</v>
      </c>
      <c r="M1540">
        <v>477</v>
      </c>
      <c r="N1540">
        <v>1014</v>
      </c>
      <c r="O1540">
        <v>1</v>
      </c>
      <c r="P1540" t="s">
        <v>27</v>
      </c>
      <c r="Q1540" s="1">
        <v>44275</v>
      </c>
    </row>
    <row r="1541" spans="1:17" x14ac:dyDescent="0.3">
      <c r="A1541" t="s">
        <v>49</v>
      </c>
      <c r="B1541" t="s">
        <v>45</v>
      </c>
      <c r="C1541" t="s">
        <v>16</v>
      </c>
      <c r="D1541" t="s">
        <v>40</v>
      </c>
      <c r="E1541" t="s">
        <v>41</v>
      </c>
      <c r="F1541" s="9">
        <v>0.13</v>
      </c>
      <c r="G1541" s="10">
        <v>18673</v>
      </c>
      <c r="H1541">
        <v>4.5</v>
      </c>
      <c r="I1541" s="5">
        <f>ROUND(Marketing[[#This Row],[Clicks]]*Marketing[[#This Row],[Conversion_Rate]],0)</f>
        <v>106</v>
      </c>
      <c r="J1541" s="12">
        <f>Marketing[[#This Row],[Campaign_Cost]]/Marketing[[#This Row],[Customers]]</f>
        <v>176.16037735849056</v>
      </c>
      <c r="K1541" t="s">
        <v>32</v>
      </c>
      <c r="L1541" t="s">
        <v>39</v>
      </c>
      <c r="M1541">
        <v>812</v>
      </c>
      <c r="N1541">
        <v>5178</v>
      </c>
      <c r="O1541">
        <v>3</v>
      </c>
      <c r="P1541" t="s">
        <v>34</v>
      </c>
      <c r="Q1541" s="1">
        <v>44276</v>
      </c>
    </row>
    <row r="1542" spans="1:17" x14ac:dyDescent="0.3">
      <c r="A1542" t="s">
        <v>28</v>
      </c>
      <c r="B1542" t="s">
        <v>36</v>
      </c>
      <c r="C1542" t="s">
        <v>23</v>
      </c>
      <c r="D1542" t="s">
        <v>46</v>
      </c>
      <c r="E1542" t="s">
        <v>15</v>
      </c>
      <c r="F1542" s="9">
        <v>0.05</v>
      </c>
      <c r="G1542" s="10">
        <v>17055</v>
      </c>
      <c r="H1542">
        <v>4.95</v>
      </c>
      <c r="I1542" s="5">
        <f>ROUND(Marketing[[#This Row],[Clicks]]*Marketing[[#This Row],[Conversion_Rate]],0)</f>
        <v>49</v>
      </c>
      <c r="J1542" s="12">
        <f>Marketing[[#This Row],[Campaign_Cost]]/Marketing[[#This Row],[Customers]]</f>
        <v>348.0612244897959</v>
      </c>
      <c r="K1542" t="s">
        <v>25</v>
      </c>
      <c r="L1542" t="s">
        <v>20</v>
      </c>
      <c r="M1542">
        <v>970</v>
      </c>
      <c r="N1542">
        <v>3580</v>
      </c>
      <c r="O1542">
        <v>8</v>
      </c>
      <c r="P1542" t="s">
        <v>42</v>
      </c>
      <c r="Q1542" s="1">
        <v>44277</v>
      </c>
    </row>
    <row r="1543" spans="1:17" x14ac:dyDescent="0.3">
      <c r="A1543" t="s">
        <v>35</v>
      </c>
      <c r="B1543" t="s">
        <v>29</v>
      </c>
      <c r="C1543" t="s">
        <v>37</v>
      </c>
      <c r="D1543" t="s">
        <v>24</v>
      </c>
      <c r="E1543" t="s">
        <v>43</v>
      </c>
      <c r="F1543" s="9">
        <v>0.06</v>
      </c>
      <c r="G1543" s="10">
        <v>12353</v>
      </c>
      <c r="H1543">
        <v>6.24</v>
      </c>
      <c r="I1543" s="5">
        <f>ROUND(Marketing[[#This Row],[Clicks]]*Marketing[[#This Row],[Conversion_Rate]],0)</f>
        <v>41</v>
      </c>
      <c r="J1543" s="12">
        <f>Marketing[[#This Row],[Campaign_Cost]]/Marketing[[#This Row],[Customers]]</f>
        <v>301.29268292682929</v>
      </c>
      <c r="K1543" t="s">
        <v>38</v>
      </c>
      <c r="L1543" t="s">
        <v>26</v>
      </c>
      <c r="M1543">
        <v>678</v>
      </c>
      <c r="N1543">
        <v>9463</v>
      </c>
      <c r="O1543">
        <v>5</v>
      </c>
      <c r="P1543" t="s">
        <v>21</v>
      </c>
      <c r="Q1543" s="1">
        <v>44278</v>
      </c>
    </row>
    <row r="1544" spans="1:17" x14ac:dyDescent="0.3">
      <c r="A1544" t="s">
        <v>22</v>
      </c>
      <c r="B1544" t="s">
        <v>47</v>
      </c>
      <c r="C1544" t="s">
        <v>52</v>
      </c>
      <c r="D1544" t="s">
        <v>17</v>
      </c>
      <c r="E1544" t="s">
        <v>48</v>
      </c>
      <c r="F1544" s="9">
        <v>7.0000000000000007E-2</v>
      </c>
      <c r="G1544" s="10">
        <v>14598</v>
      </c>
      <c r="H1544">
        <v>2.64</v>
      </c>
      <c r="I1544" s="5">
        <f>ROUND(Marketing[[#This Row],[Clicks]]*Marketing[[#This Row],[Conversion_Rate]],0)</f>
        <v>45</v>
      </c>
      <c r="J1544" s="12">
        <f>Marketing[[#This Row],[Campaign_Cost]]/Marketing[[#This Row],[Customers]]</f>
        <v>324.39999999999998</v>
      </c>
      <c r="K1544" t="s">
        <v>51</v>
      </c>
      <c r="L1544" t="s">
        <v>20</v>
      </c>
      <c r="M1544">
        <v>636</v>
      </c>
      <c r="N1544">
        <v>1986</v>
      </c>
      <c r="O1544">
        <v>1</v>
      </c>
      <c r="P1544" t="s">
        <v>27</v>
      </c>
      <c r="Q1544" s="1">
        <v>44279</v>
      </c>
    </row>
    <row r="1545" spans="1:17" x14ac:dyDescent="0.3">
      <c r="A1545" t="s">
        <v>14</v>
      </c>
      <c r="B1545" t="s">
        <v>45</v>
      </c>
      <c r="C1545" t="s">
        <v>37</v>
      </c>
      <c r="D1545" t="s">
        <v>24</v>
      </c>
      <c r="E1545" t="s">
        <v>48</v>
      </c>
      <c r="F1545" s="9">
        <v>0.14000000000000001</v>
      </c>
      <c r="G1545" s="10">
        <v>11247</v>
      </c>
      <c r="H1545">
        <v>6.64</v>
      </c>
      <c r="I1545" s="5">
        <f>ROUND(Marketing[[#This Row],[Clicks]]*Marketing[[#This Row],[Conversion_Rate]],0)</f>
        <v>119</v>
      </c>
      <c r="J1545" s="12">
        <f>Marketing[[#This Row],[Campaign_Cost]]/Marketing[[#This Row],[Customers]]</f>
        <v>94.512605042016801</v>
      </c>
      <c r="K1545" t="s">
        <v>32</v>
      </c>
      <c r="L1545" t="s">
        <v>33</v>
      </c>
      <c r="M1545">
        <v>852</v>
      </c>
      <c r="N1545">
        <v>4096</v>
      </c>
      <c r="O1545">
        <v>3</v>
      </c>
      <c r="P1545" t="s">
        <v>44</v>
      </c>
      <c r="Q1545" s="1">
        <v>44280</v>
      </c>
    </row>
    <row r="1546" spans="1:17" x14ac:dyDescent="0.3">
      <c r="A1546" t="s">
        <v>28</v>
      </c>
      <c r="B1546" t="s">
        <v>15</v>
      </c>
      <c r="C1546" t="s">
        <v>16</v>
      </c>
      <c r="D1546" t="s">
        <v>46</v>
      </c>
      <c r="E1546" t="s">
        <v>41</v>
      </c>
      <c r="F1546" s="9">
        <v>0.09</v>
      </c>
      <c r="G1546" s="10">
        <v>5675</v>
      </c>
      <c r="H1546">
        <v>3.29</v>
      </c>
      <c r="I1546" s="5">
        <f>ROUND(Marketing[[#This Row],[Clicks]]*Marketing[[#This Row],[Conversion_Rate]],0)</f>
        <v>35</v>
      </c>
      <c r="J1546" s="12">
        <f>Marketing[[#This Row],[Campaign_Cost]]/Marketing[[#This Row],[Customers]]</f>
        <v>162.14285714285714</v>
      </c>
      <c r="K1546" t="s">
        <v>38</v>
      </c>
      <c r="L1546" t="s">
        <v>50</v>
      </c>
      <c r="M1546">
        <v>392</v>
      </c>
      <c r="N1546">
        <v>1469</v>
      </c>
      <c r="O1546">
        <v>5</v>
      </c>
      <c r="P1546" t="s">
        <v>44</v>
      </c>
      <c r="Q1546" s="1">
        <v>44281</v>
      </c>
    </row>
    <row r="1547" spans="1:17" x14ac:dyDescent="0.3">
      <c r="A1547" t="s">
        <v>49</v>
      </c>
      <c r="B1547" t="s">
        <v>47</v>
      </c>
      <c r="C1547" t="s">
        <v>30</v>
      </c>
      <c r="D1547" t="s">
        <v>24</v>
      </c>
      <c r="E1547" t="s">
        <v>31</v>
      </c>
      <c r="F1547" s="9">
        <v>0.03</v>
      </c>
      <c r="G1547" s="10">
        <v>18756</v>
      </c>
      <c r="H1547">
        <v>6.49</v>
      </c>
      <c r="I1547" s="5">
        <f>ROUND(Marketing[[#This Row],[Clicks]]*Marketing[[#This Row],[Conversion_Rate]],0)</f>
        <v>7</v>
      </c>
      <c r="J1547" s="12">
        <f>Marketing[[#This Row],[Campaign_Cost]]/Marketing[[#This Row],[Customers]]</f>
        <v>2679.4285714285716</v>
      </c>
      <c r="K1547" t="s">
        <v>19</v>
      </c>
      <c r="L1547" t="s">
        <v>50</v>
      </c>
      <c r="M1547">
        <v>248</v>
      </c>
      <c r="N1547">
        <v>7831</v>
      </c>
      <c r="O1547">
        <v>5</v>
      </c>
      <c r="P1547" t="s">
        <v>27</v>
      </c>
      <c r="Q1547" s="1">
        <v>44282</v>
      </c>
    </row>
    <row r="1548" spans="1:17" x14ac:dyDescent="0.3">
      <c r="A1548" t="s">
        <v>14</v>
      </c>
      <c r="B1548" t="s">
        <v>15</v>
      </c>
      <c r="C1548" t="s">
        <v>16</v>
      </c>
      <c r="D1548" t="s">
        <v>17</v>
      </c>
      <c r="E1548" t="s">
        <v>15</v>
      </c>
      <c r="F1548" s="9">
        <v>0.15</v>
      </c>
      <c r="G1548" s="10">
        <v>6473</v>
      </c>
      <c r="H1548">
        <v>2.91</v>
      </c>
      <c r="I1548" s="5">
        <f>ROUND(Marketing[[#This Row],[Clicks]]*Marketing[[#This Row],[Conversion_Rate]],0)</f>
        <v>147</v>
      </c>
      <c r="J1548" s="12">
        <f>Marketing[[#This Row],[Campaign_Cost]]/Marketing[[#This Row],[Customers]]</f>
        <v>44.034013605442176</v>
      </c>
      <c r="K1548" t="s">
        <v>19</v>
      </c>
      <c r="L1548" t="s">
        <v>50</v>
      </c>
      <c r="M1548">
        <v>979</v>
      </c>
      <c r="N1548">
        <v>1791</v>
      </c>
      <c r="O1548">
        <v>9</v>
      </c>
      <c r="P1548" t="s">
        <v>42</v>
      </c>
      <c r="Q1548" s="1">
        <v>44283</v>
      </c>
    </row>
    <row r="1549" spans="1:17" x14ac:dyDescent="0.3">
      <c r="A1549" t="s">
        <v>22</v>
      </c>
      <c r="B1549" t="s">
        <v>47</v>
      </c>
      <c r="C1549" t="s">
        <v>30</v>
      </c>
      <c r="D1549" t="s">
        <v>46</v>
      </c>
      <c r="E1549" t="s">
        <v>48</v>
      </c>
      <c r="F1549" s="9">
        <v>0.09</v>
      </c>
      <c r="G1549" s="10">
        <v>12684</v>
      </c>
      <c r="H1549">
        <v>5.08</v>
      </c>
      <c r="I1549" s="5">
        <f>ROUND(Marketing[[#This Row],[Clicks]]*Marketing[[#This Row],[Conversion_Rate]],0)</f>
        <v>62</v>
      </c>
      <c r="J1549" s="12">
        <f>Marketing[[#This Row],[Campaign_Cost]]/Marketing[[#This Row],[Customers]]</f>
        <v>204.58064516129033</v>
      </c>
      <c r="K1549" t="s">
        <v>19</v>
      </c>
      <c r="L1549" t="s">
        <v>39</v>
      </c>
      <c r="M1549">
        <v>687</v>
      </c>
      <c r="N1549">
        <v>2351</v>
      </c>
      <c r="O1549">
        <v>5</v>
      </c>
      <c r="P1549" t="s">
        <v>21</v>
      </c>
      <c r="Q1549" s="1">
        <v>44284</v>
      </c>
    </row>
    <row r="1550" spans="1:17" x14ac:dyDescent="0.3">
      <c r="A1550" t="s">
        <v>14</v>
      </c>
      <c r="B1550" t="s">
        <v>29</v>
      </c>
      <c r="C1550" t="s">
        <v>16</v>
      </c>
      <c r="D1550" t="s">
        <v>46</v>
      </c>
      <c r="E1550" t="s">
        <v>31</v>
      </c>
      <c r="F1550" s="9">
        <v>0.06</v>
      </c>
      <c r="G1550" s="10">
        <v>8956</v>
      </c>
      <c r="H1550">
        <v>5.59</v>
      </c>
      <c r="I1550" s="5">
        <f>ROUND(Marketing[[#This Row],[Clicks]]*Marketing[[#This Row],[Conversion_Rate]],0)</f>
        <v>54</v>
      </c>
      <c r="J1550" s="12">
        <f>Marketing[[#This Row],[Campaign_Cost]]/Marketing[[#This Row],[Customers]]</f>
        <v>165.85185185185185</v>
      </c>
      <c r="K1550" t="s">
        <v>32</v>
      </c>
      <c r="L1550" t="s">
        <v>33</v>
      </c>
      <c r="M1550">
        <v>896</v>
      </c>
      <c r="N1550">
        <v>9621</v>
      </c>
      <c r="O1550">
        <v>1</v>
      </c>
      <c r="P1550" t="s">
        <v>44</v>
      </c>
      <c r="Q1550" s="1">
        <v>44285</v>
      </c>
    </row>
    <row r="1551" spans="1:17" x14ac:dyDescent="0.3">
      <c r="A1551" t="s">
        <v>35</v>
      </c>
      <c r="B1551" t="s">
        <v>29</v>
      </c>
      <c r="C1551" t="s">
        <v>52</v>
      </c>
      <c r="D1551" t="s">
        <v>24</v>
      </c>
      <c r="E1551" t="s">
        <v>31</v>
      </c>
      <c r="F1551" s="9">
        <v>0.05</v>
      </c>
      <c r="G1551" s="10">
        <v>12578</v>
      </c>
      <c r="H1551">
        <v>2.38</v>
      </c>
      <c r="I1551" s="5">
        <f>ROUND(Marketing[[#This Row],[Clicks]]*Marketing[[#This Row],[Conversion_Rate]],0)</f>
        <v>21</v>
      </c>
      <c r="J1551" s="12">
        <f>Marketing[[#This Row],[Campaign_Cost]]/Marketing[[#This Row],[Customers]]</f>
        <v>598.95238095238096</v>
      </c>
      <c r="K1551" t="s">
        <v>51</v>
      </c>
      <c r="L1551" t="s">
        <v>33</v>
      </c>
      <c r="M1551">
        <v>418</v>
      </c>
      <c r="N1551">
        <v>8640</v>
      </c>
      <c r="O1551">
        <v>3</v>
      </c>
      <c r="P1551" t="s">
        <v>21</v>
      </c>
      <c r="Q1551" s="1">
        <v>44286</v>
      </c>
    </row>
    <row r="1552" spans="1:17" x14ac:dyDescent="0.3">
      <c r="A1552" t="s">
        <v>49</v>
      </c>
      <c r="B1552" t="s">
        <v>36</v>
      </c>
      <c r="C1552" t="s">
        <v>52</v>
      </c>
      <c r="D1552" t="s">
        <v>24</v>
      </c>
      <c r="E1552" t="s">
        <v>48</v>
      </c>
      <c r="F1552" s="9">
        <v>0.01</v>
      </c>
      <c r="G1552" s="10">
        <v>6311</v>
      </c>
      <c r="H1552">
        <v>6.34</v>
      </c>
      <c r="I1552" s="5">
        <f>ROUND(Marketing[[#This Row],[Clicks]]*Marketing[[#This Row],[Conversion_Rate]],0)</f>
        <v>2</v>
      </c>
      <c r="J1552" s="12">
        <f>Marketing[[#This Row],[Campaign_Cost]]/Marketing[[#This Row],[Customers]]</f>
        <v>3155.5</v>
      </c>
      <c r="K1552" t="s">
        <v>38</v>
      </c>
      <c r="L1552" t="s">
        <v>50</v>
      </c>
      <c r="M1552">
        <v>169</v>
      </c>
      <c r="N1552">
        <v>5535</v>
      </c>
      <c r="O1552">
        <v>9</v>
      </c>
      <c r="P1552" t="s">
        <v>34</v>
      </c>
      <c r="Q1552" s="1">
        <v>44287</v>
      </c>
    </row>
    <row r="1553" spans="1:17" x14ac:dyDescent="0.3">
      <c r="A1553" t="s">
        <v>49</v>
      </c>
      <c r="B1553" t="s">
        <v>47</v>
      </c>
      <c r="C1553" t="s">
        <v>23</v>
      </c>
      <c r="D1553" t="s">
        <v>40</v>
      </c>
      <c r="E1553" t="s">
        <v>48</v>
      </c>
      <c r="F1553" s="9">
        <v>0.09</v>
      </c>
      <c r="G1553" s="10">
        <v>18411</v>
      </c>
      <c r="H1553">
        <v>2.4300000000000002</v>
      </c>
      <c r="I1553" s="5">
        <f>ROUND(Marketing[[#This Row],[Clicks]]*Marketing[[#This Row],[Conversion_Rate]],0)</f>
        <v>87</v>
      </c>
      <c r="J1553" s="12">
        <f>Marketing[[#This Row],[Campaign_Cost]]/Marketing[[#This Row],[Customers]]</f>
        <v>211.62068965517241</v>
      </c>
      <c r="K1553" t="s">
        <v>19</v>
      </c>
      <c r="L1553" t="s">
        <v>50</v>
      </c>
      <c r="M1553">
        <v>972</v>
      </c>
      <c r="N1553">
        <v>3079</v>
      </c>
      <c r="O1553">
        <v>10</v>
      </c>
      <c r="P1553" t="s">
        <v>21</v>
      </c>
      <c r="Q1553" s="1">
        <v>44288</v>
      </c>
    </row>
    <row r="1554" spans="1:17" x14ac:dyDescent="0.3">
      <c r="A1554" t="s">
        <v>14</v>
      </c>
      <c r="B1554" t="s">
        <v>47</v>
      </c>
      <c r="C1554" t="s">
        <v>30</v>
      </c>
      <c r="D1554" t="s">
        <v>24</v>
      </c>
      <c r="E1554" t="s">
        <v>31</v>
      </c>
      <c r="F1554" s="9">
        <v>0.13</v>
      </c>
      <c r="G1554" s="10">
        <v>19972</v>
      </c>
      <c r="H1554">
        <v>5.35</v>
      </c>
      <c r="I1554" s="5">
        <f>ROUND(Marketing[[#This Row],[Clicks]]*Marketing[[#This Row],[Conversion_Rate]],0)</f>
        <v>70</v>
      </c>
      <c r="J1554" s="12">
        <f>Marketing[[#This Row],[Campaign_Cost]]/Marketing[[#This Row],[Customers]]</f>
        <v>285.31428571428569</v>
      </c>
      <c r="K1554" t="s">
        <v>32</v>
      </c>
      <c r="L1554" t="s">
        <v>50</v>
      </c>
      <c r="M1554">
        <v>542</v>
      </c>
      <c r="N1554">
        <v>4886</v>
      </c>
      <c r="O1554">
        <v>1</v>
      </c>
      <c r="P1554" t="s">
        <v>42</v>
      </c>
      <c r="Q1554" s="1">
        <v>44289</v>
      </c>
    </row>
    <row r="1555" spans="1:17" x14ac:dyDescent="0.3">
      <c r="A1555" t="s">
        <v>22</v>
      </c>
      <c r="B1555" t="s">
        <v>47</v>
      </c>
      <c r="C1555" t="s">
        <v>37</v>
      </c>
      <c r="D1555" t="s">
        <v>17</v>
      </c>
      <c r="E1555" t="s">
        <v>43</v>
      </c>
      <c r="F1555" s="9">
        <v>0.14000000000000001</v>
      </c>
      <c r="G1555" s="10">
        <v>14615</v>
      </c>
      <c r="H1555">
        <v>3.67</v>
      </c>
      <c r="I1555" s="5">
        <f>ROUND(Marketing[[#This Row],[Clicks]]*Marketing[[#This Row],[Conversion_Rate]],0)</f>
        <v>54</v>
      </c>
      <c r="J1555" s="12">
        <f>Marketing[[#This Row],[Campaign_Cost]]/Marketing[[#This Row],[Customers]]</f>
        <v>270.64814814814815</v>
      </c>
      <c r="K1555" t="s">
        <v>19</v>
      </c>
      <c r="L1555" t="s">
        <v>50</v>
      </c>
      <c r="M1555">
        <v>386</v>
      </c>
      <c r="N1555">
        <v>1947</v>
      </c>
      <c r="O1555">
        <v>6</v>
      </c>
      <c r="P1555" t="s">
        <v>21</v>
      </c>
      <c r="Q1555" s="1">
        <v>44290</v>
      </c>
    </row>
    <row r="1556" spans="1:17" x14ac:dyDescent="0.3">
      <c r="A1556" t="s">
        <v>28</v>
      </c>
      <c r="B1556" t="s">
        <v>15</v>
      </c>
      <c r="C1556" t="s">
        <v>52</v>
      </c>
      <c r="D1556" t="s">
        <v>24</v>
      </c>
      <c r="E1556" t="s">
        <v>41</v>
      </c>
      <c r="F1556" s="9">
        <v>0.09</v>
      </c>
      <c r="G1556" s="10">
        <v>15876</v>
      </c>
      <c r="H1556">
        <v>7.06</v>
      </c>
      <c r="I1556" s="5">
        <f>ROUND(Marketing[[#This Row],[Clicks]]*Marketing[[#This Row],[Conversion_Rate]],0)</f>
        <v>78</v>
      </c>
      <c r="J1556" s="12">
        <f>Marketing[[#This Row],[Campaign_Cost]]/Marketing[[#This Row],[Customers]]</f>
        <v>203.53846153846155</v>
      </c>
      <c r="K1556" t="s">
        <v>51</v>
      </c>
      <c r="L1556" t="s">
        <v>26</v>
      </c>
      <c r="M1556">
        <v>871</v>
      </c>
      <c r="N1556">
        <v>7537</v>
      </c>
      <c r="O1556">
        <v>3</v>
      </c>
      <c r="P1556" t="s">
        <v>27</v>
      </c>
      <c r="Q1556" s="1">
        <v>44291</v>
      </c>
    </row>
    <row r="1557" spans="1:17" x14ac:dyDescent="0.3">
      <c r="A1557" t="s">
        <v>22</v>
      </c>
      <c r="B1557" t="s">
        <v>36</v>
      </c>
      <c r="C1557" t="s">
        <v>23</v>
      </c>
      <c r="D1557" t="s">
        <v>40</v>
      </c>
      <c r="E1557" t="s">
        <v>15</v>
      </c>
      <c r="F1557" s="9">
        <v>0.14000000000000001</v>
      </c>
      <c r="G1557" s="10">
        <v>10147</v>
      </c>
      <c r="H1557">
        <v>7.34</v>
      </c>
      <c r="I1557" s="5">
        <f>ROUND(Marketing[[#This Row],[Clicks]]*Marketing[[#This Row],[Conversion_Rate]],0)</f>
        <v>23</v>
      </c>
      <c r="J1557" s="12">
        <f>Marketing[[#This Row],[Campaign_Cost]]/Marketing[[#This Row],[Customers]]</f>
        <v>441.17391304347825</v>
      </c>
      <c r="K1557" t="s">
        <v>19</v>
      </c>
      <c r="L1557" t="s">
        <v>50</v>
      </c>
      <c r="M1557">
        <v>161</v>
      </c>
      <c r="N1557">
        <v>6255</v>
      </c>
      <c r="O1557">
        <v>9</v>
      </c>
      <c r="P1557" t="s">
        <v>34</v>
      </c>
      <c r="Q1557" s="1">
        <v>44292</v>
      </c>
    </row>
    <row r="1558" spans="1:17" x14ac:dyDescent="0.3">
      <c r="A1558" t="s">
        <v>14</v>
      </c>
      <c r="B1558" t="s">
        <v>47</v>
      </c>
      <c r="C1558" t="s">
        <v>16</v>
      </c>
      <c r="D1558" t="s">
        <v>40</v>
      </c>
      <c r="E1558" t="s">
        <v>18</v>
      </c>
      <c r="F1558" s="9">
        <v>0.14000000000000001</v>
      </c>
      <c r="G1558" s="10">
        <v>14657</v>
      </c>
      <c r="H1558">
        <v>6.7</v>
      </c>
      <c r="I1558" s="5">
        <f>ROUND(Marketing[[#This Row],[Clicks]]*Marketing[[#This Row],[Conversion_Rate]],0)</f>
        <v>63</v>
      </c>
      <c r="J1558" s="12">
        <f>Marketing[[#This Row],[Campaign_Cost]]/Marketing[[#This Row],[Customers]]</f>
        <v>232.65079365079364</v>
      </c>
      <c r="K1558" t="s">
        <v>19</v>
      </c>
      <c r="L1558" t="s">
        <v>33</v>
      </c>
      <c r="M1558">
        <v>449</v>
      </c>
      <c r="N1558">
        <v>4612</v>
      </c>
      <c r="O1558">
        <v>9</v>
      </c>
      <c r="P1558" t="s">
        <v>21</v>
      </c>
      <c r="Q1558" s="1">
        <v>44293</v>
      </c>
    </row>
    <row r="1559" spans="1:17" x14ac:dyDescent="0.3">
      <c r="A1559" t="s">
        <v>49</v>
      </c>
      <c r="B1559" t="s">
        <v>36</v>
      </c>
      <c r="C1559" t="s">
        <v>23</v>
      </c>
      <c r="D1559" t="s">
        <v>24</v>
      </c>
      <c r="E1559" t="s">
        <v>31</v>
      </c>
      <c r="F1559" s="9">
        <v>0.14000000000000001</v>
      </c>
      <c r="G1559" s="10">
        <v>19015</v>
      </c>
      <c r="H1559">
        <v>4</v>
      </c>
      <c r="I1559" s="5">
        <f>ROUND(Marketing[[#This Row],[Clicks]]*Marketing[[#This Row],[Conversion_Rate]],0)</f>
        <v>138</v>
      </c>
      <c r="J1559" s="12">
        <f>Marketing[[#This Row],[Campaign_Cost]]/Marketing[[#This Row],[Customers]]</f>
        <v>137.78985507246378</v>
      </c>
      <c r="K1559" t="s">
        <v>32</v>
      </c>
      <c r="L1559" t="s">
        <v>39</v>
      </c>
      <c r="M1559">
        <v>988</v>
      </c>
      <c r="N1559">
        <v>6269</v>
      </c>
      <c r="O1559">
        <v>2</v>
      </c>
      <c r="P1559" t="s">
        <v>27</v>
      </c>
      <c r="Q1559" s="1">
        <v>44294</v>
      </c>
    </row>
    <row r="1560" spans="1:17" x14ac:dyDescent="0.3">
      <c r="A1560" t="s">
        <v>28</v>
      </c>
      <c r="B1560" t="s">
        <v>47</v>
      </c>
      <c r="C1560" t="s">
        <v>16</v>
      </c>
      <c r="D1560" t="s">
        <v>24</v>
      </c>
      <c r="E1560" t="s">
        <v>31</v>
      </c>
      <c r="F1560" s="9">
        <v>0.12</v>
      </c>
      <c r="G1560" s="10">
        <v>10963</v>
      </c>
      <c r="H1560">
        <v>6.55</v>
      </c>
      <c r="I1560" s="5">
        <f>ROUND(Marketing[[#This Row],[Clicks]]*Marketing[[#This Row],[Conversion_Rate]],0)</f>
        <v>95</v>
      </c>
      <c r="J1560" s="12">
        <f>Marketing[[#This Row],[Campaign_Cost]]/Marketing[[#This Row],[Customers]]</f>
        <v>115.4</v>
      </c>
      <c r="K1560" t="s">
        <v>51</v>
      </c>
      <c r="L1560" t="s">
        <v>26</v>
      </c>
      <c r="M1560">
        <v>795</v>
      </c>
      <c r="N1560">
        <v>7837</v>
      </c>
      <c r="O1560">
        <v>5</v>
      </c>
      <c r="P1560" t="s">
        <v>42</v>
      </c>
      <c r="Q1560" s="1">
        <v>44295</v>
      </c>
    </row>
    <row r="1561" spans="1:17" x14ac:dyDescent="0.3">
      <c r="A1561" t="s">
        <v>49</v>
      </c>
      <c r="B1561" t="s">
        <v>47</v>
      </c>
      <c r="C1561" t="s">
        <v>37</v>
      </c>
      <c r="D1561" t="s">
        <v>40</v>
      </c>
      <c r="E1561" t="s">
        <v>18</v>
      </c>
      <c r="F1561" s="9">
        <v>7.0000000000000007E-2</v>
      </c>
      <c r="G1561" s="10">
        <v>16620</v>
      </c>
      <c r="H1561">
        <v>7.75</v>
      </c>
      <c r="I1561" s="5">
        <f>ROUND(Marketing[[#This Row],[Clicks]]*Marketing[[#This Row],[Conversion_Rate]],0)</f>
        <v>45</v>
      </c>
      <c r="J1561" s="12">
        <f>Marketing[[#This Row],[Campaign_Cost]]/Marketing[[#This Row],[Customers]]</f>
        <v>369.33333333333331</v>
      </c>
      <c r="K1561" t="s">
        <v>38</v>
      </c>
      <c r="L1561" t="s">
        <v>20</v>
      </c>
      <c r="M1561">
        <v>640</v>
      </c>
      <c r="N1561">
        <v>6401</v>
      </c>
      <c r="O1561">
        <v>5</v>
      </c>
      <c r="P1561" t="s">
        <v>44</v>
      </c>
      <c r="Q1561" s="1">
        <v>44296</v>
      </c>
    </row>
    <row r="1562" spans="1:17" x14ac:dyDescent="0.3">
      <c r="A1562" t="s">
        <v>14</v>
      </c>
      <c r="B1562" t="s">
        <v>45</v>
      </c>
      <c r="C1562" t="s">
        <v>37</v>
      </c>
      <c r="D1562" t="s">
        <v>24</v>
      </c>
      <c r="E1562" t="s">
        <v>31</v>
      </c>
      <c r="F1562" s="9">
        <v>0.13</v>
      </c>
      <c r="G1562" s="10">
        <v>19860</v>
      </c>
      <c r="H1562">
        <v>4.71</v>
      </c>
      <c r="I1562" s="5">
        <f>ROUND(Marketing[[#This Row],[Clicks]]*Marketing[[#This Row],[Conversion_Rate]],0)</f>
        <v>60</v>
      </c>
      <c r="J1562" s="12">
        <f>Marketing[[#This Row],[Campaign_Cost]]/Marketing[[#This Row],[Customers]]</f>
        <v>331</v>
      </c>
      <c r="K1562" t="s">
        <v>32</v>
      </c>
      <c r="L1562" t="s">
        <v>26</v>
      </c>
      <c r="M1562">
        <v>459</v>
      </c>
      <c r="N1562">
        <v>6322</v>
      </c>
      <c r="O1562">
        <v>1</v>
      </c>
      <c r="P1562" t="s">
        <v>42</v>
      </c>
      <c r="Q1562" s="1">
        <v>44297</v>
      </c>
    </row>
    <row r="1563" spans="1:17" x14ac:dyDescent="0.3">
      <c r="A1563" t="s">
        <v>22</v>
      </c>
      <c r="B1563" t="s">
        <v>45</v>
      </c>
      <c r="C1563" t="s">
        <v>52</v>
      </c>
      <c r="D1563" t="s">
        <v>24</v>
      </c>
      <c r="E1563" t="s">
        <v>18</v>
      </c>
      <c r="F1563" s="9">
        <v>0.14000000000000001</v>
      </c>
      <c r="G1563" s="10">
        <v>5820</v>
      </c>
      <c r="H1563">
        <v>6.99</v>
      </c>
      <c r="I1563" s="5">
        <f>ROUND(Marketing[[#This Row],[Clicks]]*Marketing[[#This Row],[Conversion_Rate]],0)</f>
        <v>106</v>
      </c>
      <c r="J1563" s="12">
        <f>Marketing[[#This Row],[Campaign_Cost]]/Marketing[[#This Row],[Customers]]</f>
        <v>54.905660377358494</v>
      </c>
      <c r="K1563" t="s">
        <v>19</v>
      </c>
      <c r="L1563" t="s">
        <v>50</v>
      </c>
      <c r="M1563">
        <v>758</v>
      </c>
      <c r="N1563">
        <v>3253</v>
      </c>
      <c r="O1563">
        <v>9</v>
      </c>
      <c r="P1563" t="s">
        <v>27</v>
      </c>
      <c r="Q1563" s="1">
        <v>44298</v>
      </c>
    </row>
    <row r="1564" spans="1:17" x14ac:dyDescent="0.3">
      <c r="A1564" t="s">
        <v>22</v>
      </c>
      <c r="B1564" t="s">
        <v>47</v>
      </c>
      <c r="C1564" t="s">
        <v>30</v>
      </c>
      <c r="D1564" t="s">
        <v>24</v>
      </c>
      <c r="E1564" t="s">
        <v>31</v>
      </c>
      <c r="F1564" s="9">
        <v>0.03</v>
      </c>
      <c r="G1564" s="10">
        <v>18687</v>
      </c>
      <c r="H1564">
        <v>5.64</v>
      </c>
      <c r="I1564" s="5">
        <f>ROUND(Marketing[[#This Row],[Clicks]]*Marketing[[#This Row],[Conversion_Rate]],0)</f>
        <v>22</v>
      </c>
      <c r="J1564" s="12">
        <f>Marketing[[#This Row],[Campaign_Cost]]/Marketing[[#This Row],[Customers]]</f>
        <v>849.40909090909088</v>
      </c>
      <c r="K1564" t="s">
        <v>51</v>
      </c>
      <c r="L1564" t="s">
        <v>39</v>
      </c>
      <c r="M1564">
        <v>722</v>
      </c>
      <c r="N1564">
        <v>3451</v>
      </c>
      <c r="O1564">
        <v>7</v>
      </c>
      <c r="P1564" t="s">
        <v>21</v>
      </c>
      <c r="Q1564" s="1">
        <v>44299</v>
      </c>
    </row>
    <row r="1565" spans="1:17" x14ac:dyDescent="0.3">
      <c r="A1565" t="s">
        <v>49</v>
      </c>
      <c r="B1565" t="s">
        <v>45</v>
      </c>
      <c r="C1565" t="s">
        <v>37</v>
      </c>
      <c r="D1565" t="s">
        <v>40</v>
      </c>
      <c r="E1565" t="s">
        <v>48</v>
      </c>
      <c r="F1565" s="9">
        <v>0.05</v>
      </c>
      <c r="G1565" s="10">
        <v>11071</v>
      </c>
      <c r="H1565">
        <v>5.38</v>
      </c>
      <c r="I1565" s="5">
        <f>ROUND(Marketing[[#This Row],[Clicks]]*Marketing[[#This Row],[Conversion_Rate]],0)</f>
        <v>28</v>
      </c>
      <c r="J1565" s="12">
        <f>Marketing[[#This Row],[Campaign_Cost]]/Marketing[[#This Row],[Customers]]</f>
        <v>395.39285714285717</v>
      </c>
      <c r="K1565" t="s">
        <v>51</v>
      </c>
      <c r="L1565" t="s">
        <v>39</v>
      </c>
      <c r="M1565">
        <v>562</v>
      </c>
      <c r="N1565">
        <v>9069</v>
      </c>
      <c r="O1565">
        <v>8</v>
      </c>
      <c r="P1565" t="s">
        <v>27</v>
      </c>
      <c r="Q1565" s="1">
        <v>44300</v>
      </c>
    </row>
    <row r="1566" spans="1:17" x14ac:dyDescent="0.3">
      <c r="A1566" t="s">
        <v>49</v>
      </c>
      <c r="B1566" t="s">
        <v>36</v>
      </c>
      <c r="C1566" t="s">
        <v>16</v>
      </c>
      <c r="D1566" t="s">
        <v>17</v>
      </c>
      <c r="E1566" t="s">
        <v>31</v>
      </c>
      <c r="F1566" s="9">
        <v>0.08</v>
      </c>
      <c r="G1566" s="10">
        <v>14902</v>
      </c>
      <c r="H1566">
        <v>2.65</v>
      </c>
      <c r="I1566" s="5">
        <f>ROUND(Marketing[[#This Row],[Clicks]]*Marketing[[#This Row],[Conversion_Rate]],0)</f>
        <v>36</v>
      </c>
      <c r="J1566" s="12">
        <f>Marketing[[#This Row],[Campaign_Cost]]/Marketing[[#This Row],[Customers]]</f>
        <v>413.94444444444446</v>
      </c>
      <c r="K1566" t="s">
        <v>38</v>
      </c>
      <c r="L1566" t="s">
        <v>26</v>
      </c>
      <c r="M1566">
        <v>456</v>
      </c>
      <c r="N1566">
        <v>4811</v>
      </c>
      <c r="O1566">
        <v>6</v>
      </c>
      <c r="P1566" t="s">
        <v>34</v>
      </c>
      <c r="Q1566" s="1">
        <v>44301</v>
      </c>
    </row>
    <row r="1567" spans="1:17" x14ac:dyDescent="0.3">
      <c r="A1567" t="s">
        <v>22</v>
      </c>
      <c r="B1567" t="s">
        <v>29</v>
      </c>
      <c r="C1567" t="s">
        <v>37</v>
      </c>
      <c r="D1567" t="s">
        <v>24</v>
      </c>
      <c r="E1567" t="s">
        <v>18</v>
      </c>
      <c r="F1567" s="9">
        <v>0.11</v>
      </c>
      <c r="G1567" s="10">
        <v>14876</v>
      </c>
      <c r="H1567">
        <v>2.62</v>
      </c>
      <c r="I1567" s="5">
        <f>ROUND(Marketing[[#This Row],[Clicks]]*Marketing[[#This Row],[Conversion_Rate]],0)</f>
        <v>69</v>
      </c>
      <c r="J1567" s="12">
        <f>Marketing[[#This Row],[Campaign_Cost]]/Marketing[[#This Row],[Customers]]</f>
        <v>215.59420289855072</v>
      </c>
      <c r="K1567" t="s">
        <v>19</v>
      </c>
      <c r="L1567" t="s">
        <v>50</v>
      </c>
      <c r="M1567">
        <v>626</v>
      </c>
      <c r="N1567">
        <v>9756</v>
      </c>
      <c r="O1567">
        <v>2</v>
      </c>
      <c r="P1567" t="s">
        <v>21</v>
      </c>
      <c r="Q1567" s="1">
        <v>44302</v>
      </c>
    </row>
    <row r="1568" spans="1:17" x14ac:dyDescent="0.3">
      <c r="A1568" t="s">
        <v>28</v>
      </c>
      <c r="B1568" t="s">
        <v>36</v>
      </c>
      <c r="C1568" t="s">
        <v>30</v>
      </c>
      <c r="D1568" t="s">
        <v>40</v>
      </c>
      <c r="E1568" t="s">
        <v>18</v>
      </c>
      <c r="F1568" s="9">
        <v>0.05</v>
      </c>
      <c r="G1568" s="10">
        <v>5143</v>
      </c>
      <c r="H1568">
        <v>4.7699999999999996</v>
      </c>
      <c r="I1568" s="5">
        <f>ROUND(Marketing[[#This Row],[Clicks]]*Marketing[[#This Row],[Conversion_Rate]],0)</f>
        <v>23</v>
      </c>
      <c r="J1568" s="12">
        <f>Marketing[[#This Row],[Campaign_Cost]]/Marketing[[#This Row],[Customers]]</f>
        <v>223.60869565217391</v>
      </c>
      <c r="K1568" t="s">
        <v>32</v>
      </c>
      <c r="L1568" t="s">
        <v>26</v>
      </c>
      <c r="M1568">
        <v>468</v>
      </c>
      <c r="N1568">
        <v>1890</v>
      </c>
      <c r="O1568">
        <v>4</v>
      </c>
      <c r="P1568" t="s">
        <v>42</v>
      </c>
      <c r="Q1568" s="1">
        <v>44303</v>
      </c>
    </row>
    <row r="1569" spans="1:17" x14ac:dyDescent="0.3">
      <c r="A1569" t="s">
        <v>49</v>
      </c>
      <c r="B1569" t="s">
        <v>45</v>
      </c>
      <c r="C1569" t="s">
        <v>23</v>
      </c>
      <c r="D1569" t="s">
        <v>40</v>
      </c>
      <c r="E1569" t="s">
        <v>48</v>
      </c>
      <c r="F1569" s="9">
        <v>0.12</v>
      </c>
      <c r="G1569" s="10">
        <v>8715</v>
      </c>
      <c r="H1569">
        <v>3.77</v>
      </c>
      <c r="I1569" s="5">
        <f>ROUND(Marketing[[#This Row],[Clicks]]*Marketing[[#This Row],[Conversion_Rate]],0)</f>
        <v>73</v>
      </c>
      <c r="J1569" s="12">
        <f>Marketing[[#This Row],[Campaign_Cost]]/Marketing[[#This Row],[Customers]]</f>
        <v>119.38356164383562</v>
      </c>
      <c r="K1569" t="s">
        <v>19</v>
      </c>
      <c r="L1569" t="s">
        <v>33</v>
      </c>
      <c r="M1569">
        <v>607</v>
      </c>
      <c r="N1569">
        <v>1727</v>
      </c>
      <c r="O1569">
        <v>4</v>
      </c>
      <c r="P1569" t="s">
        <v>34</v>
      </c>
      <c r="Q1569" s="1">
        <v>44304</v>
      </c>
    </row>
    <row r="1570" spans="1:17" x14ac:dyDescent="0.3">
      <c r="A1570" t="s">
        <v>35</v>
      </c>
      <c r="B1570" t="s">
        <v>36</v>
      </c>
      <c r="C1570" t="s">
        <v>30</v>
      </c>
      <c r="D1570" t="s">
        <v>17</v>
      </c>
      <c r="E1570" t="s">
        <v>43</v>
      </c>
      <c r="F1570" s="9">
        <v>0.02</v>
      </c>
      <c r="G1570" s="10">
        <v>17704</v>
      </c>
      <c r="H1570">
        <v>2.71</v>
      </c>
      <c r="I1570" s="5">
        <f>ROUND(Marketing[[#This Row],[Clicks]]*Marketing[[#This Row],[Conversion_Rate]],0)</f>
        <v>15</v>
      </c>
      <c r="J1570" s="12">
        <f>Marketing[[#This Row],[Campaign_Cost]]/Marketing[[#This Row],[Customers]]</f>
        <v>1180.2666666666667</v>
      </c>
      <c r="K1570" t="s">
        <v>19</v>
      </c>
      <c r="L1570" t="s">
        <v>20</v>
      </c>
      <c r="M1570">
        <v>732</v>
      </c>
      <c r="N1570">
        <v>3547</v>
      </c>
      <c r="O1570">
        <v>10</v>
      </c>
      <c r="P1570" t="s">
        <v>44</v>
      </c>
      <c r="Q1570" s="1">
        <v>44305</v>
      </c>
    </row>
    <row r="1571" spans="1:17" x14ac:dyDescent="0.3">
      <c r="A1571" t="s">
        <v>28</v>
      </c>
      <c r="B1571" t="s">
        <v>15</v>
      </c>
      <c r="C1571" t="s">
        <v>23</v>
      </c>
      <c r="D1571" t="s">
        <v>40</v>
      </c>
      <c r="E1571" t="s">
        <v>31</v>
      </c>
      <c r="F1571" s="9">
        <v>0.04</v>
      </c>
      <c r="G1571" s="10">
        <v>6256</v>
      </c>
      <c r="H1571">
        <v>3.2</v>
      </c>
      <c r="I1571" s="5">
        <f>ROUND(Marketing[[#This Row],[Clicks]]*Marketing[[#This Row],[Conversion_Rate]],0)</f>
        <v>14</v>
      </c>
      <c r="J1571" s="12">
        <f>Marketing[[#This Row],[Campaign_Cost]]/Marketing[[#This Row],[Customers]]</f>
        <v>446.85714285714283</v>
      </c>
      <c r="K1571" t="s">
        <v>51</v>
      </c>
      <c r="L1571" t="s">
        <v>33</v>
      </c>
      <c r="M1571">
        <v>346</v>
      </c>
      <c r="N1571">
        <v>5913</v>
      </c>
      <c r="O1571">
        <v>5</v>
      </c>
      <c r="P1571" t="s">
        <v>21</v>
      </c>
      <c r="Q1571" s="1">
        <v>44306</v>
      </c>
    </row>
    <row r="1572" spans="1:17" x14ac:dyDescent="0.3">
      <c r="A1572" t="s">
        <v>14</v>
      </c>
      <c r="B1572" t="s">
        <v>47</v>
      </c>
      <c r="C1572" t="s">
        <v>23</v>
      </c>
      <c r="D1572" t="s">
        <v>24</v>
      </c>
      <c r="E1572" t="s">
        <v>15</v>
      </c>
      <c r="F1572" s="9">
        <v>7.0000000000000007E-2</v>
      </c>
      <c r="G1572" s="10">
        <v>15780</v>
      </c>
      <c r="H1572">
        <v>5.29</v>
      </c>
      <c r="I1572" s="5">
        <f>ROUND(Marketing[[#This Row],[Clicks]]*Marketing[[#This Row],[Conversion_Rate]],0)</f>
        <v>66</v>
      </c>
      <c r="J1572" s="12">
        <f>Marketing[[#This Row],[Campaign_Cost]]/Marketing[[#This Row],[Customers]]</f>
        <v>239.09090909090909</v>
      </c>
      <c r="K1572" t="s">
        <v>25</v>
      </c>
      <c r="L1572" t="s">
        <v>20</v>
      </c>
      <c r="M1572">
        <v>944</v>
      </c>
      <c r="N1572">
        <v>4372</v>
      </c>
      <c r="O1572">
        <v>2</v>
      </c>
      <c r="P1572" t="s">
        <v>34</v>
      </c>
      <c r="Q1572" s="1">
        <v>44307</v>
      </c>
    </row>
    <row r="1573" spans="1:17" x14ac:dyDescent="0.3">
      <c r="A1573" t="s">
        <v>49</v>
      </c>
      <c r="B1573" t="s">
        <v>36</v>
      </c>
      <c r="C1573" t="s">
        <v>37</v>
      </c>
      <c r="D1573" t="s">
        <v>24</v>
      </c>
      <c r="E1573" t="s">
        <v>18</v>
      </c>
      <c r="F1573" s="9">
        <v>0.04</v>
      </c>
      <c r="G1573" s="10">
        <v>7529</v>
      </c>
      <c r="H1573">
        <v>3.27</v>
      </c>
      <c r="I1573" s="5">
        <f>ROUND(Marketing[[#This Row],[Clicks]]*Marketing[[#This Row],[Conversion_Rate]],0)</f>
        <v>36</v>
      </c>
      <c r="J1573" s="12">
        <f>Marketing[[#This Row],[Campaign_Cost]]/Marketing[[#This Row],[Customers]]</f>
        <v>209.13888888888889</v>
      </c>
      <c r="K1573" t="s">
        <v>51</v>
      </c>
      <c r="L1573" t="s">
        <v>26</v>
      </c>
      <c r="M1573">
        <v>888</v>
      </c>
      <c r="N1573">
        <v>5667</v>
      </c>
      <c r="O1573">
        <v>3</v>
      </c>
      <c r="P1573" t="s">
        <v>27</v>
      </c>
      <c r="Q1573" s="1">
        <v>44308</v>
      </c>
    </row>
    <row r="1574" spans="1:17" x14ac:dyDescent="0.3">
      <c r="A1574" t="s">
        <v>35</v>
      </c>
      <c r="B1574" t="s">
        <v>29</v>
      </c>
      <c r="C1574" t="s">
        <v>37</v>
      </c>
      <c r="D1574" t="s">
        <v>40</v>
      </c>
      <c r="E1574" t="s">
        <v>48</v>
      </c>
      <c r="F1574" s="9">
        <v>0.13</v>
      </c>
      <c r="G1574" s="10">
        <v>12918</v>
      </c>
      <c r="H1574">
        <v>2.13</v>
      </c>
      <c r="I1574" s="5">
        <f>ROUND(Marketing[[#This Row],[Clicks]]*Marketing[[#This Row],[Conversion_Rate]],0)</f>
        <v>90</v>
      </c>
      <c r="J1574" s="12">
        <f>Marketing[[#This Row],[Campaign_Cost]]/Marketing[[#This Row],[Customers]]</f>
        <v>143.53333333333333</v>
      </c>
      <c r="K1574" t="s">
        <v>19</v>
      </c>
      <c r="L1574" t="s">
        <v>26</v>
      </c>
      <c r="M1574">
        <v>690</v>
      </c>
      <c r="N1574">
        <v>6400</v>
      </c>
      <c r="O1574">
        <v>5</v>
      </c>
      <c r="P1574" t="s">
        <v>21</v>
      </c>
      <c r="Q1574" s="1">
        <v>44309</v>
      </c>
    </row>
    <row r="1575" spans="1:17" x14ac:dyDescent="0.3">
      <c r="A1575" t="s">
        <v>28</v>
      </c>
      <c r="B1575" t="s">
        <v>45</v>
      </c>
      <c r="C1575" t="s">
        <v>30</v>
      </c>
      <c r="D1575" t="s">
        <v>17</v>
      </c>
      <c r="E1575" t="s">
        <v>18</v>
      </c>
      <c r="F1575" s="9">
        <v>0.1</v>
      </c>
      <c r="G1575" s="10">
        <v>7389</v>
      </c>
      <c r="H1575">
        <v>7.23</v>
      </c>
      <c r="I1575" s="5">
        <f>ROUND(Marketing[[#This Row],[Clicks]]*Marketing[[#This Row],[Conversion_Rate]],0)</f>
        <v>13</v>
      </c>
      <c r="J1575" s="12">
        <f>Marketing[[#This Row],[Campaign_Cost]]/Marketing[[#This Row],[Customers]]</f>
        <v>568.38461538461536</v>
      </c>
      <c r="K1575" t="s">
        <v>32</v>
      </c>
      <c r="L1575" t="s">
        <v>20</v>
      </c>
      <c r="M1575">
        <v>130</v>
      </c>
      <c r="N1575">
        <v>5854</v>
      </c>
      <c r="O1575">
        <v>3</v>
      </c>
      <c r="P1575" t="s">
        <v>44</v>
      </c>
      <c r="Q1575" s="1">
        <v>44310</v>
      </c>
    </row>
    <row r="1576" spans="1:17" x14ac:dyDescent="0.3">
      <c r="A1576" t="s">
        <v>14</v>
      </c>
      <c r="B1576" t="s">
        <v>36</v>
      </c>
      <c r="C1576" t="s">
        <v>30</v>
      </c>
      <c r="D1576" t="s">
        <v>24</v>
      </c>
      <c r="E1576" t="s">
        <v>31</v>
      </c>
      <c r="F1576" s="9">
        <v>0.11</v>
      </c>
      <c r="G1576" s="10">
        <v>10983</v>
      </c>
      <c r="H1576">
        <v>6.2</v>
      </c>
      <c r="I1576" s="5">
        <f>ROUND(Marketing[[#This Row],[Clicks]]*Marketing[[#This Row],[Conversion_Rate]],0)</f>
        <v>84</v>
      </c>
      <c r="J1576" s="12">
        <f>Marketing[[#This Row],[Campaign_Cost]]/Marketing[[#This Row],[Customers]]</f>
        <v>130.75</v>
      </c>
      <c r="K1576" t="s">
        <v>38</v>
      </c>
      <c r="L1576" t="s">
        <v>50</v>
      </c>
      <c r="M1576">
        <v>761</v>
      </c>
      <c r="N1576">
        <v>7295</v>
      </c>
      <c r="O1576">
        <v>7</v>
      </c>
      <c r="P1576" t="s">
        <v>21</v>
      </c>
      <c r="Q1576" s="1">
        <v>44311</v>
      </c>
    </row>
    <row r="1577" spans="1:17" x14ac:dyDescent="0.3">
      <c r="A1577" t="s">
        <v>22</v>
      </c>
      <c r="B1577" t="s">
        <v>36</v>
      </c>
      <c r="C1577" t="s">
        <v>52</v>
      </c>
      <c r="D1577" t="s">
        <v>46</v>
      </c>
      <c r="E1577" t="s">
        <v>31</v>
      </c>
      <c r="F1577" s="9">
        <v>7.0000000000000007E-2</v>
      </c>
      <c r="G1577" s="10">
        <v>12511</v>
      </c>
      <c r="H1577">
        <v>3.99</v>
      </c>
      <c r="I1577" s="5">
        <f>ROUND(Marketing[[#This Row],[Clicks]]*Marketing[[#This Row],[Conversion_Rate]],0)</f>
        <v>10</v>
      </c>
      <c r="J1577" s="12">
        <f>Marketing[[#This Row],[Campaign_Cost]]/Marketing[[#This Row],[Customers]]</f>
        <v>1251.0999999999999</v>
      </c>
      <c r="K1577" t="s">
        <v>25</v>
      </c>
      <c r="L1577" t="s">
        <v>50</v>
      </c>
      <c r="M1577">
        <v>139</v>
      </c>
      <c r="N1577">
        <v>7845</v>
      </c>
      <c r="O1577">
        <v>10</v>
      </c>
      <c r="P1577" t="s">
        <v>42</v>
      </c>
      <c r="Q1577" s="1">
        <v>44312</v>
      </c>
    </row>
    <row r="1578" spans="1:17" x14ac:dyDescent="0.3">
      <c r="A1578" t="s">
        <v>28</v>
      </c>
      <c r="B1578" t="s">
        <v>29</v>
      </c>
      <c r="C1578" t="s">
        <v>16</v>
      </c>
      <c r="D1578" t="s">
        <v>24</v>
      </c>
      <c r="E1578" t="s">
        <v>31</v>
      </c>
      <c r="F1578" s="9">
        <v>0.11</v>
      </c>
      <c r="G1578" s="10">
        <v>5757</v>
      </c>
      <c r="H1578">
        <v>3.58</v>
      </c>
      <c r="I1578" s="5">
        <f>ROUND(Marketing[[#This Row],[Clicks]]*Marketing[[#This Row],[Conversion_Rate]],0)</f>
        <v>97</v>
      </c>
      <c r="J1578" s="12">
        <f>Marketing[[#This Row],[Campaign_Cost]]/Marketing[[#This Row],[Customers]]</f>
        <v>59.350515463917525</v>
      </c>
      <c r="K1578" t="s">
        <v>19</v>
      </c>
      <c r="L1578" t="s">
        <v>50</v>
      </c>
      <c r="M1578">
        <v>883</v>
      </c>
      <c r="N1578">
        <v>9726</v>
      </c>
      <c r="O1578">
        <v>1</v>
      </c>
      <c r="P1578" t="s">
        <v>34</v>
      </c>
      <c r="Q1578" s="1">
        <v>44313</v>
      </c>
    </row>
    <row r="1579" spans="1:17" x14ac:dyDescent="0.3">
      <c r="A1579" t="s">
        <v>28</v>
      </c>
      <c r="B1579" t="s">
        <v>29</v>
      </c>
      <c r="C1579" t="s">
        <v>52</v>
      </c>
      <c r="D1579" t="s">
        <v>40</v>
      </c>
      <c r="E1579" t="s">
        <v>31</v>
      </c>
      <c r="F1579" s="9">
        <v>0.01</v>
      </c>
      <c r="G1579" s="10">
        <v>14459</v>
      </c>
      <c r="H1579">
        <v>7.9</v>
      </c>
      <c r="I1579" s="5">
        <f>ROUND(Marketing[[#This Row],[Clicks]]*Marketing[[#This Row],[Conversion_Rate]],0)</f>
        <v>5</v>
      </c>
      <c r="J1579" s="12">
        <f>Marketing[[#This Row],[Campaign_Cost]]/Marketing[[#This Row],[Customers]]</f>
        <v>2891.8</v>
      </c>
      <c r="K1579" t="s">
        <v>38</v>
      </c>
      <c r="L1579" t="s">
        <v>20</v>
      </c>
      <c r="M1579">
        <v>515</v>
      </c>
      <c r="N1579">
        <v>5588</v>
      </c>
      <c r="O1579">
        <v>9</v>
      </c>
      <c r="P1579" t="s">
        <v>27</v>
      </c>
      <c r="Q1579" s="1">
        <v>44314</v>
      </c>
    </row>
    <row r="1580" spans="1:17" x14ac:dyDescent="0.3">
      <c r="A1580" t="s">
        <v>28</v>
      </c>
      <c r="B1580" t="s">
        <v>15</v>
      </c>
      <c r="C1580" t="s">
        <v>52</v>
      </c>
      <c r="D1580" t="s">
        <v>46</v>
      </c>
      <c r="E1580" t="s">
        <v>31</v>
      </c>
      <c r="F1580" s="9">
        <v>0.12</v>
      </c>
      <c r="G1580" s="10">
        <v>9334</v>
      </c>
      <c r="H1580">
        <v>3.41</v>
      </c>
      <c r="I1580" s="5">
        <f>ROUND(Marketing[[#This Row],[Clicks]]*Marketing[[#This Row],[Conversion_Rate]],0)</f>
        <v>65</v>
      </c>
      <c r="J1580" s="12">
        <f>Marketing[[#This Row],[Campaign_Cost]]/Marketing[[#This Row],[Customers]]</f>
        <v>143.6</v>
      </c>
      <c r="K1580" t="s">
        <v>51</v>
      </c>
      <c r="L1580" t="s">
        <v>26</v>
      </c>
      <c r="M1580">
        <v>538</v>
      </c>
      <c r="N1580">
        <v>3215</v>
      </c>
      <c r="O1580">
        <v>6</v>
      </c>
      <c r="P1580" t="s">
        <v>44</v>
      </c>
      <c r="Q1580" s="1">
        <v>44315</v>
      </c>
    </row>
    <row r="1581" spans="1:17" x14ac:dyDescent="0.3">
      <c r="A1581" t="s">
        <v>35</v>
      </c>
      <c r="B1581" t="s">
        <v>47</v>
      </c>
      <c r="C1581" t="s">
        <v>16</v>
      </c>
      <c r="D1581" t="s">
        <v>46</v>
      </c>
      <c r="E1581" t="s">
        <v>43</v>
      </c>
      <c r="F1581" s="9">
        <v>0.08</v>
      </c>
      <c r="G1581" s="10">
        <v>9647</v>
      </c>
      <c r="H1581">
        <v>4.67</v>
      </c>
      <c r="I1581" s="5">
        <f>ROUND(Marketing[[#This Row],[Clicks]]*Marketing[[#This Row],[Conversion_Rate]],0)</f>
        <v>21</v>
      </c>
      <c r="J1581" s="12">
        <f>Marketing[[#This Row],[Campaign_Cost]]/Marketing[[#This Row],[Customers]]</f>
        <v>459.38095238095241</v>
      </c>
      <c r="K1581" t="s">
        <v>25</v>
      </c>
      <c r="L1581" t="s">
        <v>33</v>
      </c>
      <c r="M1581">
        <v>263</v>
      </c>
      <c r="N1581">
        <v>4610</v>
      </c>
      <c r="O1581">
        <v>2</v>
      </c>
      <c r="P1581" t="s">
        <v>44</v>
      </c>
      <c r="Q1581" s="1">
        <v>44316</v>
      </c>
    </row>
    <row r="1582" spans="1:17" x14ac:dyDescent="0.3">
      <c r="A1582" t="s">
        <v>49</v>
      </c>
      <c r="B1582" t="s">
        <v>45</v>
      </c>
      <c r="C1582" t="s">
        <v>37</v>
      </c>
      <c r="D1582" t="s">
        <v>40</v>
      </c>
      <c r="E1582" t="s">
        <v>43</v>
      </c>
      <c r="F1582" s="9">
        <v>0.06</v>
      </c>
      <c r="G1582" s="10">
        <v>17251</v>
      </c>
      <c r="H1582">
        <v>6.52</v>
      </c>
      <c r="I1582" s="5">
        <f>ROUND(Marketing[[#This Row],[Clicks]]*Marketing[[#This Row],[Conversion_Rate]],0)</f>
        <v>30</v>
      </c>
      <c r="J1582" s="12">
        <f>Marketing[[#This Row],[Campaign_Cost]]/Marketing[[#This Row],[Customers]]</f>
        <v>575.0333333333333</v>
      </c>
      <c r="K1582" t="s">
        <v>51</v>
      </c>
      <c r="L1582" t="s">
        <v>26</v>
      </c>
      <c r="M1582">
        <v>494</v>
      </c>
      <c r="N1582">
        <v>7757</v>
      </c>
      <c r="O1582">
        <v>10</v>
      </c>
      <c r="P1582" t="s">
        <v>44</v>
      </c>
      <c r="Q1582" s="1">
        <v>44317</v>
      </c>
    </row>
    <row r="1583" spans="1:17" x14ac:dyDescent="0.3">
      <c r="A1583" t="s">
        <v>14</v>
      </c>
      <c r="B1583" t="s">
        <v>15</v>
      </c>
      <c r="C1583" t="s">
        <v>16</v>
      </c>
      <c r="D1583" t="s">
        <v>46</v>
      </c>
      <c r="E1583" t="s">
        <v>31</v>
      </c>
      <c r="F1583" s="9">
        <v>0.12</v>
      </c>
      <c r="G1583" s="10">
        <v>19643</v>
      </c>
      <c r="H1583">
        <v>6.36</v>
      </c>
      <c r="I1583" s="5">
        <f>ROUND(Marketing[[#This Row],[Clicks]]*Marketing[[#This Row],[Conversion_Rate]],0)</f>
        <v>34</v>
      </c>
      <c r="J1583" s="12">
        <f>Marketing[[#This Row],[Campaign_Cost]]/Marketing[[#This Row],[Customers]]</f>
        <v>577.73529411764707</v>
      </c>
      <c r="K1583" t="s">
        <v>25</v>
      </c>
      <c r="L1583" t="s">
        <v>33</v>
      </c>
      <c r="M1583">
        <v>281</v>
      </c>
      <c r="N1583">
        <v>6824</v>
      </c>
      <c r="O1583">
        <v>8</v>
      </c>
      <c r="P1583" t="s">
        <v>21</v>
      </c>
      <c r="Q1583" s="1">
        <v>44318</v>
      </c>
    </row>
    <row r="1584" spans="1:17" x14ac:dyDescent="0.3">
      <c r="A1584" t="s">
        <v>28</v>
      </c>
      <c r="B1584" t="s">
        <v>47</v>
      </c>
      <c r="C1584" t="s">
        <v>30</v>
      </c>
      <c r="D1584" t="s">
        <v>17</v>
      </c>
      <c r="E1584" t="s">
        <v>15</v>
      </c>
      <c r="F1584" s="9">
        <v>0.1</v>
      </c>
      <c r="G1584" s="10">
        <v>12281</v>
      </c>
      <c r="H1584">
        <v>4.7699999999999996</v>
      </c>
      <c r="I1584" s="5">
        <f>ROUND(Marketing[[#This Row],[Clicks]]*Marketing[[#This Row],[Conversion_Rate]],0)</f>
        <v>86</v>
      </c>
      <c r="J1584" s="12">
        <f>Marketing[[#This Row],[Campaign_Cost]]/Marketing[[#This Row],[Customers]]</f>
        <v>142.80232558139534</v>
      </c>
      <c r="K1584" t="s">
        <v>51</v>
      </c>
      <c r="L1584" t="s">
        <v>50</v>
      </c>
      <c r="M1584">
        <v>861</v>
      </c>
      <c r="N1584">
        <v>1208</v>
      </c>
      <c r="O1584">
        <v>10</v>
      </c>
      <c r="P1584" t="s">
        <v>42</v>
      </c>
      <c r="Q1584" s="1">
        <v>44319</v>
      </c>
    </row>
    <row r="1585" spans="1:17" x14ac:dyDescent="0.3">
      <c r="A1585" t="s">
        <v>35</v>
      </c>
      <c r="B1585" t="s">
        <v>36</v>
      </c>
      <c r="C1585" t="s">
        <v>16</v>
      </c>
      <c r="D1585" t="s">
        <v>46</v>
      </c>
      <c r="E1585" t="s">
        <v>15</v>
      </c>
      <c r="F1585" s="9">
        <v>0.15</v>
      </c>
      <c r="G1585" s="10">
        <v>6295</v>
      </c>
      <c r="H1585">
        <v>7.2</v>
      </c>
      <c r="I1585" s="5">
        <f>ROUND(Marketing[[#This Row],[Clicks]]*Marketing[[#This Row],[Conversion_Rate]],0)</f>
        <v>127</v>
      </c>
      <c r="J1585" s="12">
        <f>Marketing[[#This Row],[Campaign_Cost]]/Marketing[[#This Row],[Customers]]</f>
        <v>49.566929133858267</v>
      </c>
      <c r="K1585" t="s">
        <v>19</v>
      </c>
      <c r="L1585" t="s">
        <v>20</v>
      </c>
      <c r="M1585">
        <v>848</v>
      </c>
      <c r="N1585">
        <v>3664</v>
      </c>
      <c r="O1585">
        <v>3</v>
      </c>
      <c r="P1585" t="s">
        <v>44</v>
      </c>
      <c r="Q1585" s="1">
        <v>44320</v>
      </c>
    </row>
    <row r="1586" spans="1:17" x14ac:dyDescent="0.3">
      <c r="A1586" t="s">
        <v>14</v>
      </c>
      <c r="B1586" t="s">
        <v>15</v>
      </c>
      <c r="C1586" t="s">
        <v>23</v>
      </c>
      <c r="D1586" t="s">
        <v>24</v>
      </c>
      <c r="E1586" t="s">
        <v>48</v>
      </c>
      <c r="F1586" s="9">
        <v>0.08</v>
      </c>
      <c r="G1586" s="10">
        <v>6402</v>
      </c>
      <c r="H1586">
        <v>5.38</v>
      </c>
      <c r="I1586" s="5">
        <f>ROUND(Marketing[[#This Row],[Clicks]]*Marketing[[#This Row],[Conversion_Rate]],0)</f>
        <v>70</v>
      </c>
      <c r="J1586" s="12">
        <f>Marketing[[#This Row],[Campaign_Cost]]/Marketing[[#This Row],[Customers]]</f>
        <v>91.457142857142856</v>
      </c>
      <c r="K1586" t="s">
        <v>51</v>
      </c>
      <c r="L1586" t="s">
        <v>50</v>
      </c>
      <c r="M1586">
        <v>875</v>
      </c>
      <c r="N1586">
        <v>9083</v>
      </c>
      <c r="O1586">
        <v>4</v>
      </c>
      <c r="P1586" t="s">
        <v>44</v>
      </c>
      <c r="Q1586" s="1">
        <v>44321</v>
      </c>
    </row>
    <row r="1587" spans="1:17" x14ac:dyDescent="0.3">
      <c r="A1587" t="s">
        <v>22</v>
      </c>
      <c r="B1587" t="s">
        <v>15</v>
      </c>
      <c r="C1587" t="s">
        <v>52</v>
      </c>
      <c r="D1587" t="s">
        <v>40</v>
      </c>
      <c r="E1587" t="s">
        <v>18</v>
      </c>
      <c r="F1587" s="9">
        <v>0.1</v>
      </c>
      <c r="G1587" s="10">
        <v>5520</v>
      </c>
      <c r="H1587">
        <v>4.18</v>
      </c>
      <c r="I1587" s="5">
        <f>ROUND(Marketing[[#This Row],[Clicks]]*Marketing[[#This Row],[Conversion_Rate]],0)</f>
        <v>67</v>
      </c>
      <c r="J1587" s="12">
        <f>Marketing[[#This Row],[Campaign_Cost]]/Marketing[[#This Row],[Customers]]</f>
        <v>82.388059701492537</v>
      </c>
      <c r="K1587" t="s">
        <v>19</v>
      </c>
      <c r="L1587" t="s">
        <v>39</v>
      </c>
      <c r="M1587">
        <v>673</v>
      </c>
      <c r="N1587">
        <v>5773</v>
      </c>
      <c r="O1587">
        <v>9</v>
      </c>
      <c r="P1587" t="s">
        <v>44</v>
      </c>
      <c r="Q1587" s="1">
        <v>44322</v>
      </c>
    </row>
    <row r="1588" spans="1:17" x14ac:dyDescent="0.3">
      <c r="A1588" t="s">
        <v>22</v>
      </c>
      <c r="B1588" t="s">
        <v>45</v>
      </c>
      <c r="C1588" t="s">
        <v>37</v>
      </c>
      <c r="D1588" t="s">
        <v>46</v>
      </c>
      <c r="E1588" t="s">
        <v>15</v>
      </c>
      <c r="F1588" s="9">
        <v>0.15</v>
      </c>
      <c r="G1588" s="10">
        <v>12239</v>
      </c>
      <c r="H1588">
        <v>7.99</v>
      </c>
      <c r="I1588" s="5">
        <f>ROUND(Marketing[[#This Row],[Clicks]]*Marketing[[#This Row],[Conversion_Rate]],0)</f>
        <v>40</v>
      </c>
      <c r="J1588" s="12">
        <f>Marketing[[#This Row],[Campaign_Cost]]/Marketing[[#This Row],[Customers]]</f>
        <v>305.97500000000002</v>
      </c>
      <c r="K1588" t="s">
        <v>38</v>
      </c>
      <c r="L1588" t="s">
        <v>39</v>
      </c>
      <c r="M1588">
        <v>264</v>
      </c>
      <c r="N1588">
        <v>8446</v>
      </c>
      <c r="O1588">
        <v>2</v>
      </c>
      <c r="P1588" t="s">
        <v>27</v>
      </c>
      <c r="Q1588" s="1">
        <v>44323</v>
      </c>
    </row>
    <row r="1589" spans="1:17" x14ac:dyDescent="0.3">
      <c r="A1589" t="s">
        <v>49</v>
      </c>
      <c r="B1589" t="s">
        <v>15</v>
      </c>
      <c r="C1589" t="s">
        <v>23</v>
      </c>
      <c r="D1589" t="s">
        <v>46</v>
      </c>
      <c r="E1589" t="s">
        <v>43</v>
      </c>
      <c r="F1589" s="9">
        <v>0.06</v>
      </c>
      <c r="G1589" s="10">
        <v>5997</v>
      </c>
      <c r="H1589">
        <v>2.2599999999999998</v>
      </c>
      <c r="I1589" s="5">
        <f>ROUND(Marketing[[#This Row],[Clicks]]*Marketing[[#This Row],[Conversion_Rate]],0)</f>
        <v>43</v>
      </c>
      <c r="J1589" s="12">
        <f>Marketing[[#This Row],[Campaign_Cost]]/Marketing[[#This Row],[Customers]]</f>
        <v>139.46511627906978</v>
      </c>
      <c r="K1589" t="s">
        <v>38</v>
      </c>
      <c r="L1589" t="s">
        <v>20</v>
      </c>
      <c r="M1589">
        <v>711</v>
      </c>
      <c r="N1589">
        <v>8497</v>
      </c>
      <c r="O1589">
        <v>1</v>
      </c>
      <c r="P1589" t="s">
        <v>42</v>
      </c>
      <c r="Q1589" s="1">
        <v>44324</v>
      </c>
    </row>
    <row r="1590" spans="1:17" x14ac:dyDescent="0.3">
      <c r="A1590" t="s">
        <v>14</v>
      </c>
      <c r="B1590" t="s">
        <v>15</v>
      </c>
      <c r="C1590" t="s">
        <v>23</v>
      </c>
      <c r="D1590" t="s">
        <v>40</v>
      </c>
      <c r="E1590" t="s">
        <v>31</v>
      </c>
      <c r="F1590" s="9">
        <v>0.09</v>
      </c>
      <c r="G1590" s="10">
        <v>13757</v>
      </c>
      <c r="H1590">
        <v>2.39</v>
      </c>
      <c r="I1590" s="5">
        <f>ROUND(Marketing[[#This Row],[Clicks]]*Marketing[[#This Row],[Conversion_Rate]],0)</f>
        <v>34</v>
      </c>
      <c r="J1590" s="12">
        <f>Marketing[[#This Row],[Campaign_Cost]]/Marketing[[#This Row],[Customers]]</f>
        <v>404.61764705882354</v>
      </c>
      <c r="K1590" t="s">
        <v>51</v>
      </c>
      <c r="L1590" t="s">
        <v>26</v>
      </c>
      <c r="M1590">
        <v>377</v>
      </c>
      <c r="N1590">
        <v>5371</v>
      </c>
      <c r="O1590">
        <v>4</v>
      </c>
      <c r="P1590" t="s">
        <v>21</v>
      </c>
      <c r="Q1590" s="1">
        <v>44325</v>
      </c>
    </row>
    <row r="1591" spans="1:17" x14ac:dyDescent="0.3">
      <c r="A1591" t="s">
        <v>35</v>
      </c>
      <c r="B1591" t="s">
        <v>47</v>
      </c>
      <c r="C1591" t="s">
        <v>30</v>
      </c>
      <c r="D1591" t="s">
        <v>40</v>
      </c>
      <c r="E1591" t="s">
        <v>18</v>
      </c>
      <c r="F1591" s="9">
        <v>0.06</v>
      </c>
      <c r="G1591" s="10">
        <v>15233</v>
      </c>
      <c r="H1591">
        <v>5.51</v>
      </c>
      <c r="I1591" s="5">
        <f>ROUND(Marketing[[#This Row],[Clicks]]*Marketing[[#This Row],[Conversion_Rate]],0)</f>
        <v>30</v>
      </c>
      <c r="J1591" s="12">
        <f>Marketing[[#This Row],[Campaign_Cost]]/Marketing[[#This Row],[Customers]]</f>
        <v>507.76666666666665</v>
      </c>
      <c r="K1591" t="s">
        <v>25</v>
      </c>
      <c r="L1591" t="s">
        <v>33</v>
      </c>
      <c r="M1591">
        <v>504</v>
      </c>
      <c r="N1591">
        <v>2666</v>
      </c>
      <c r="O1591">
        <v>8</v>
      </c>
      <c r="P1591" t="s">
        <v>34</v>
      </c>
      <c r="Q1591" s="1">
        <v>44326</v>
      </c>
    </row>
    <row r="1592" spans="1:17" x14ac:dyDescent="0.3">
      <c r="A1592" t="s">
        <v>14</v>
      </c>
      <c r="B1592" t="s">
        <v>45</v>
      </c>
      <c r="C1592" t="s">
        <v>52</v>
      </c>
      <c r="D1592" t="s">
        <v>46</v>
      </c>
      <c r="E1592" t="s">
        <v>31</v>
      </c>
      <c r="F1592" s="9">
        <v>0.11</v>
      </c>
      <c r="G1592" s="10">
        <v>13957</v>
      </c>
      <c r="H1592">
        <v>2.59</v>
      </c>
      <c r="I1592" s="5">
        <f>ROUND(Marketing[[#This Row],[Clicks]]*Marketing[[#This Row],[Conversion_Rate]],0)</f>
        <v>26</v>
      </c>
      <c r="J1592" s="12">
        <f>Marketing[[#This Row],[Campaign_Cost]]/Marketing[[#This Row],[Customers]]</f>
        <v>536.80769230769226</v>
      </c>
      <c r="K1592" t="s">
        <v>25</v>
      </c>
      <c r="L1592" t="s">
        <v>33</v>
      </c>
      <c r="M1592">
        <v>232</v>
      </c>
      <c r="N1592">
        <v>8649</v>
      </c>
      <c r="O1592">
        <v>4</v>
      </c>
      <c r="P1592" t="s">
        <v>44</v>
      </c>
      <c r="Q1592" s="1">
        <v>44327</v>
      </c>
    </row>
    <row r="1593" spans="1:17" x14ac:dyDescent="0.3">
      <c r="A1593" t="s">
        <v>35</v>
      </c>
      <c r="B1593" t="s">
        <v>36</v>
      </c>
      <c r="C1593" t="s">
        <v>37</v>
      </c>
      <c r="D1593" t="s">
        <v>17</v>
      </c>
      <c r="E1593" t="s">
        <v>31</v>
      </c>
      <c r="F1593" s="9">
        <v>0.06</v>
      </c>
      <c r="G1593" s="10">
        <v>16681</v>
      </c>
      <c r="H1593">
        <v>2.65</v>
      </c>
      <c r="I1593" s="5">
        <f>ROUND(Marketing[[#This Row],[Clicks]]*Marketing[[#This Row],[Conversion_Rate]],0)</f>
        <v>58</v>
      </c>
      <c r="J1593" s="12">
        <f>Marketing[[#This Row],[Campaign_Cost]]/Marketing[[#This Row],[Customers]]</f>
        <v>287.60344827586209</v>
      </c>
      <c r="K1593" t="s">
        <v>51</v>
      </c>
      <c r="L1593" t="s">
        <v>39</v>
      </c>
      <c r="M1593">
        <v>964</v>
      </c>
      <c r="N1593">
        <v>9809</v>
      </c>
      <c r="O1593">
        <v>5</v>
      </c>
      <c r="P1593" t="s">
        <v>21</v>
      </c>
      <c r="Q1593" s="1">
        <v>44328</v>
      </c>
    </row>
    <row r="1594" spans="1:17" x14ac:dyDescent="0.3">
      <c r="A1594" t="s">
        <v>35</v>
      </c>
      <c r="B1594" t="s">
        <v>36</v>
      </c>
      <c r="C1594" t="s">
        <v>30</v>
      </c>
      <c r="D1594" t="s">
        <v>46</v>
      </c>
      <c r="E1594" t="s">
        <v>41</v>
      </c>
      <c r="F1594" s="9">
        <v>7.0000000000000007E-2</v>
      </c>
      <c r="G1594" s="10">
        <v>15007</v>
      </c>
      <c r="H1594">
        <v>5.52</v>
      </c>
      <c r="I1594" s="5">
        <f>ROUND(Marketing[[#This Row],[Clicks]]*Marketing[[#This Row],[Conversion_Rate]],0)</f>
        <v>7</v>
      </c>
      <c r="J1594" s="12">
        <f>Marketing[[#This Row],[Campaign_Cost]]/Marketing[[#This Row],[Customers]]</f>
        <v>2143.8571428571427</v>
      </c>
      <c r="K1594" t="s">
        <v>19</v>
      </c>
      <c r="L1594" t="s">
        <v>20</v>
      </c>
      <c r="M1594">
        <v>102</v>
      </c>
      <c r="N1594">
        <v>5960</v>
      </c>
      <c r="O1594">
        <v>10</v>
      </c>
      <c r="P1594" t="s">
        <v>21</v>
      </c>
      <c r="Q1594" s="1">
        <v>44329</v>
      </c>
    </row>
    <row r="1595" spans="1:17" x14ac:dyDescent="0.3">
      <c r="A1595" t="s">
        <v>22</v>
      </c>
      <c r="B1595" t="s">
        <v>36</v>
      </c>
      <c r="C1595" t="s">
        <v>23</v>
      </c>
      <c r="D1595" t="s">
        <v>24</v>
      </c>
      <c r="E1595" t="s">
        <v>48</v>
      </c>
      <c r="F1595" s="9">
        <v>0.03</v>
      </c>
      <c r="G1595" s="10">
        <v>11204</v>
      </c>
      <c r="H1595">
        <v>4.6100000000000003</v>
      </c>
      <c r="I1595" s="5">
        <f>ROUND(Marketing[[#This Row],[Clicks]]*Marketing[[#This Row],[Conversion_Rate]],0)</f>
        <v>28</v>
      </c>
      <c r="J1595" s="12">
        <f>Marketing[[#This Row],[Campaign_Cost]]/Marketing[[#This Row],[Customers]]</f>
        <v>400.14285714285717</v>
      </c>
      <c r="K1595" t="s">
        <v>51</v>
      </c>
      <c r="L1595" t="s">
        <v>50</v>
      </c>
      <c r="M1595">
        <v>927</v>
      </c>
      <c r="N1595">
        <v>8007</v>
      </c>
      <c r="O1595">
        <v>9</v>
      </c>
      <c r="P1595" t="s">
        <v>42</v>
      </c>
      <c r="Q1595" s="1">
        <v>44330</v>
      </c>
    </row>
    <row r="1596" spans="1:17" x14ac:dyDescent="0.3">
      <c r="A1596" t="s">
        <v>28</v>
      </c>
      <c r="B1596" t="s">
        <v>45</v>
      </c>
      <c r="C1596" t="s">
        <v>30</v>
      </c>
      <c r="D1596" t="s">
        <v>24</v>
      </c>
      <c r="E1596" t="s">
        <v>41</v>
      </c>
      <c r="F1596" s="9">
        <v>0.02</v>
      </c>
      <c r="G1596" s="10">
        <v>16972</v>
      </c>
      <c r="H1596">
        <v>7.1</v>
      </c>
      <c r="I1596" s="5">
        <f>ROUND(Marketing[[#This Row],[Clicks]]*Marketing[[#This Row],[Conversion_Rate]],0)</f>
        <v>14</v>
      </c>
      <c r="J1596" s="12">
        <f>Marketing[[#This Row],[Campaign_Cost]]/Marketing[[#This Row],[Customers]]</f>
        <v>1212.2857142857142</v>
      </c>
      <c r="K1596" t="s">
        <v>25</v>
      </c>
      <c r="L1596" t="s">
        <v>20</v>
      </c>
      <c r="M1596">
        <v>695</v>
      </c>
      <c r="N1596">
        <v>4490</v>
      </c>
      <c r="O1596">
        <v>1</v>
      </c>
      <c r="P1596" t="s">
        <v>27</v>
      </c>
      <c r="Q1596" s="1">
        <v>44331</v>
      </c>
    </row>
    <row r="1597" spans="1:17" x14ac:dyDescent="0.3">
      <c r="A1597" t="s">
        <v>14</v>
      </c>
      <c r="B1597" t="s">
        <v>45</v>
      </c>
      <c r="C1597" t="s">
        <v>23</v>
      </c>
      <c r="D1597" t="s">
        <v>46</v>
      </c>
      <c r="E1597" t="s">
        <v>18</v>
      </c>
      <c r="F1597" s="9">
        <v>0.05</v>
      </c>
      <c r="G1597" s="10">
        <v>10845</v>
      </c>
      <c r="H1597">
        <v>3.22</v>
      </c>
      <c r="I1597" s="5">
        <f>ROUND(Marketing[[#This Row],[Clicks]]*Marketing[[#This Row],[Conversion_Rate]],0)</f>
        <v>19</v>
      </c>
      <c r="J1597" s="12">
        <f>Marketing[[#This Row],[Campaign_Cost]]/Marketing[[#This Row],[Customers]]</f>
        <v>570.78947368421052</v>
      </c>
      <c r="K1597" t="s">
        <v>25</v>
      </c>
      <c r="L1597" t="s">
        <v>33</v>
      </c>
      <c r="M1597">
        <v>383</v>
      </c>
      <c r="N1597">
        <v>5885</v>
      </c>
      <c r="O1597">
        <v>1</v>
      </c>
      <c r="P1597" t="s">
        <v>34</v>
      </c>
      <c r="Q1597" s="1">
        <v>44332</v>
      </c>
    </row>
    <row r="1598" spans="1:17" x14ac:dyDescent="0.3">
      <c r="A1598" t="s">
        <v>14</v>
      </c>
      <c r="B1598" t="s">
        <v>36</v>
      </c>
      <c r="C1598" t="s">
        <v>23</v>
      </c>
      <c r="D1598" t="s">
        <v>24</v>
      </c>
      <c r="E1598" t="s">
        <v>43</v>
      </c>
      <c r="F1598" s="9">
        <v>0.06</v>
      </c>
      <c r="G1598" s="10">
        <v>6252</v>
      </c>
      <c r="H1598">
        <v>2.91</v>
      </c>
      <c r="I1598" s="5">
        <f>ROUND(Marketing[[#This Row],[Clicks]]*Marketing[[#This Row],[Conversion_Rate]],0)</f>
        <v>21</v>
      </c>
      <c r="J1598" s="12">
        <f>Marketing[[#This Row],[Campaign_Cost]]/Marketing[[#This Row],[Customers]]</f>
        <v>297.71428571428572</v>
      </c>
      <c r="K1598" t="s">
        <v>25</v>
      </c>
      <c r="L1598" t="s">
        <v>39</v>
      </c>
      <c r="M1598">
        <v>347</v>
      </c>
      <c r="N1598">
        <v>7098</v>
      </c>
      <c r="O1598">
        <v>5</v>
      </c>
      <c r="P1598" t="s">
        <v>42</v>
      </c>
      <c r="Q1598" s="1">
        <v>44333</v>
      </c>
    </row>
    <row r="1599" spans="1:17" x14ac:dyDescent="0.3">
      <c r="A1599" t="s">
        <v>49</v>
      </c>
      <c r="B1599" t="s">
        <v>36</v>
      </c>
      <c r="C1599" t="s">
        <v>16</v>
      </c>
      <c r="D1599" t="s">
        <v>17</v>
      </c>
      <c r="E1599" t="s">
        <v>43</v>
      </c>
      <c r="F1599" s="9">
        <v>0.03</v>
      </c>
      <c r="G1599" s="10">
        <v>18761</v>
      </c>
      <c r="H1599">
        <v>3.62</v>
      </c>
      <c r="I1599" s="5">
        <f>ROUND(Marketing[[#This Row],[Clicks]]*Marketing[[#This Row],[Conversion_Rate]],0)</f>
        <v>5</v>
      </c>
      <c r="J1599" s="12">
        <f>Marketing[[#This Row],[Campaign_Cost]]/Marketing[[#This Row],[Customers]]</f>
        <v>3752.2</v>
      </c>
      <c r="K1599" t="s">
        <v>19</v>
      </c>
      <c r="L1599" t="s">
        <v>26</v>
      </c>
      <c r="M1599">
        <v>162</v>
      </c>
      <c r="N1599">
        <v>9768</v>
      </c>
      <c r="O1599">
        <v>8</v>
      </c>
      <c r="P1599" t="s">
        <v>34</v>
      </c>
      <c r="Q1599" s="1">
        <v>44334</v>
      </c>
    </row>
    <row r="1600" spans="1:17" x14ac:dyDescent="0.3">
      <c r="A1600" t="s">
        <v>14</v>
      </c>
      <c r="B1600" t="s">
        <v>29</v>
      </c>
      <c r="C1600" t="s">
        <v>23</v>
      </c>
      <c r="D1600" t="s">
        <v>17</v>
      </c>
      <c r="E1600" t="s">
        <v>41</v>
      </c>
      <c r="F1600" s="9">
        <v>0.12</v>
      </c>
      <c r="G1600" s="10">
        <v>19844</v>
      </c>
      <c r="H1600">
        <v>5.51</v>
      </c>
      <c r="I1600" s="5">
        <f>ROUND(Marketing[[#This Row],[Clicks]]*Marketing[[#This Row],[Conversion_Rate]],0)</f>
        <v>80</v>
      </c>
      <c r="J1600" s="12">
        <f>Marketing[[#This Row],[Campaign_Cost]]/Marketing[[#This Row],[Customers]]</f>
        <v>248.05</v>
      </c>
      <c r="K1600" t="s">
        <v>38</v>
      </c>
      <c r="L1600" t="s">
        <v>39</v>
      </c>
      <c r="M1600">
        <v>668</v>
      </c>
      <c r="N1600">
        <v>8864</v>
      </c>
      <c r="O1600">
        <v>8</v>
      </c>
      <c r="P1600" t="s">
        <v>34</v>
      </c>
      <c r="Q1600" s="1">
        <v>44335</v>
      </c>
    </row>
    <row r="1601" spans="1:17" x14ac:dyDescent="0.3">
      <c r="A1601" t="s">
        <v>14</v>
      </c>
      <c r="B1601" t="s">
        <v>47</v>
      </c>
      <c r="C1601" t="s">
        <v>16</v>
      </c>
      <c r="D1601" t="s">
        <v>40</v>
      </c>
      <c r="E1601" t="s">
        <v>48</v>
      </c>
      <c r="F1601" s="9">
        <v>0.04</v>
      </c>
      <c r="G1601" s="10">
        <v>17970</v>
      </c>
      <c r="H1601">
        <v>5.08</v>
      </c>
      <c r="I1601" s="5">
        <f>ROUND(Marketing[[#This Row],[Clicks]]*Marketing[[#This Row],[Conversion_Rate]],0)</f>
        <v>37</v>
      </c>
      <c r="J1601" s="12">
        <f>Marketing[[#This Row],[Campaign_Cost]]/Marketing[[#This Row],[Customers]]</f>
        <v>485.67567567567568</v>
      </c>
      <c r="K1601" t="s">
        <v>19</v>
      </c>
      <c r="L1601" t="s">
        <v>39</v>
      </c>
      <c r="M1601">
        <v>914</v>
      </c>
      <c r="N1601">
        <v>4236</v>
      </c>
      <c r="O1601">
        <v>7</v>
      </c>
      <c r="P1601" t="s">
        <v>27</v>
      </c>
      <c r="Q1601" s="1">
        <v>44336</v>
      </c>
    </row>
    <row r="1602" spans="1:17" x14ac:dyDescent="0.3">
      <c r="A1602" t="s">
        <v>49</v>
      </c>
      <c r="B1602" t="s">
        <v>45</v>
      </c>
      <c r="C1602" t="s">
        <v>30</v>
      </c>
      <c r="D1602" t="s">
        <v>24</v>
      </c>
      <c r="E1602" t="s">
        <v>15</v>
      </c>
      <c r="F1602" s="9">
        <v>0.03</v>
      </c>
      <c r="G1602" s="10">
        <v>6860</v>
      </c>
      <c r="H1602">
        <v>4.58</v>
      </c>
      <c r="I1602" s="5">
        <f>ROUND(Marketing[[#This Row],[Clicks]]*Marketing[[#This Row],[Conversion_Rate]],0)</f>
        <v>6</v>
      </c>
      <c r="J1602" s="12">
        <f>Marketing[[#This Row],[Campaign_Cost]]/Marketing[[#This Row],[Customers]]</f>
        <v>1143.3333333333333</v>
      </c>
      <c r="K1602" t="s">
        <v>32</v>
      </c>
      <c r="L1602" t="s">
        <v>39</v>
      </c>
      <c r="M1602">
        <v>199</v>
      </c>
      <c r="N1602">
        <v>1227</v>
      </c>
      <c r="O1602">
        <v>4</v>
      </c>
      <c r="P1602" t="s">
        <v>44</v>
      </c>
      <c r="Q1602" s="1">
        <v>44337</v>
      </c>
    </row>
    <row r="1603" spans="1:17" x14ac:dyDescent="0.3">
      <c r="A1603" t="s">
        <v>14</v>
      </c>
      <c r="B1603" t="s">
        <v>45</v>
      </c>
      <c r="C1603" t="s">
        <v>16</v>
      </c>
      <c r="D1603" t="s">
        <v>17</v>
      </c>
      <c r="E1603" t="s">
        <v>48</v>
      </c>
      <c r="F1603" s="9">
        <v>0.06</v>
      </c>
      <c r="G1603" s="10">
        <v>18513</v>
      </c>
      <c r="H1603">
        <v>5.12</v>
      </c>
      <c r="I1603" s="5">
        <f>ROUND(Marketing[[#This Row],[Clicks]]*Marketing[[#This Row],[Conversion_Rate]],0)</f>
        <v>43</v>
      </c>
      <c r="J1603" s="12">
        <f>Marketing[[#This Row],[Campaign_Cost]]/Marketing[[#This Row],[Customers]]</f>
        <v>430.53488372093022</v>
      </c>
      <c r="K1603" t="s">
        <v>19</v>
      </c>
      <c r="L1603" t="s">
        <v>50</v>
      </c>
      <c r="M1603">
        <v>710</v>
      </c>
      <c r="N1603">
        <v>6872</v>
      </c>
      <c r="O1603">
        <v>3</v>
      </c>
      <c r="P1603" t="s">
        <v>34</v>
      </c>
      <c r="Q1603" s="1">
        <v>44338</v>
      </c>
    </row>
    <row r="1604" spans="1:17" x14ac:dyDescent="0.3">
      <c r="A1604" t="s">
        <v>28</v>
      </c>
      <c r="B1604" t="s">
        <v>36</v>
      </c>
      <c r="C1604" t="s">
        <v>30</v>
      </c>
      <c r="D1604" t="s">
        <v>46</v>
      </c>
      <c r="E1604" t="s">
        <v>43</v>
      </c>
      <c r="F1604" s="9">
        <v>0.14000000000000001</v>
      </c>
      <c r="G1604" s="10">
        <v>15494</v>
      </c>
      <c r="H1604">
        <v>7.29</v>
      </c>
      <c r="I1604" s="5">
        <f>ROUND(Marketing[[#This Row],[Clicks]]*Marketing[[#This Row],[Conversion_Rate]],0)</f>
        <v>80</v>
      </c>
      <c r="J1604" s="12">
        <f>Marketing[[#This Row],[Campaign_Cost]]/Marketing[[#This Row],[Customers]]</f>
        <v>193.67500000000001</v>
      </c>
      <c r="K1604" t="s">
        <v>51</v>
      </c>
      <c r="L1604" t="s">
        <v>20</v>
      </c>
      <c r="M1604">
        <v>572</v>
      </c>
      <c r="N1604">
        <v>7640</v>
      </c>
      <c r="O1604">
        <v>3</v>
      </c>
      <c r="P1604" t="s">
        <v>27</v>
      </c>
      <c r="Q1604" s="1">
        <v>44339</v>
      </c>
    </row>
    <row r="1605" spans="1:17" x14ac:dyDescent="0.3">
      <c r="A1605" t="s">
        <v>49</v>
      </c>
      <c r="B1605" t="s">
        <v>15</v>
      </c>
      <c r="C1605" t="s">
        <v>30</v>
      </c>
      <c r="D1605" t="s">
        <v>40</v>
      </c>
      <c r="E1605" t="s">
        <v>43</v>
      </c>
      <c r="F1605" s="9">
        <v>0.05</v>
      </c>
      <c r="G1605" s="10">
        <v>18061</v>
      </c>
      <c r="H1605">
        <v>4.0599999999999996</v>
      </c>
      <c r="I1605" s="5">
        <f>ROUND(Marketing[[#This Row],[Clicks]]*Marketing[[#This Row],[Conversion_Rate]],0)</f>
        <v>19</v>
      </c>
      <c r="J1605" s="12">
        <f>Marketing[[#This Row],[Campaign_Cost]]/Marketing[[#This Row],[Customers]]</f>
        <v>950.57894736842104</v>
      </c>
      <c r="K1605" t="s">
        <v>51</v>
      </c>
      <c r="L1605" t="s">
        <v>26</v>
      </c>
      <c r="M1605">
        <v>377</v>
      </c>
      <c r="N1605">
        <v>7095</v>
      </c>
      <c r="O1605">
        <v>1</v>
      </c>
      <c r="P1605" t="s">
        <v>44</v>
      </c>
      <c r="Q1605" s="1">
        <v>44340</v>
      </c>
    </row>
    <row r="1606" spans="1:17" x14ac:dyDescent="0.3">
      <c r="A1606" t="s">
        <v>28</v>
      </c>
      <c r="B1606" t="s">
        <v>29</v>
      </c>
      <c r="C1606" t="s">
        <v>30</v>
      </c>
      <c r="D1606" t="s">
        <v>40</v>
      </c>
      <c r="E1606" t="s">
        <v>31</v>
      </c>
      <c r="F1606" s="9">
        <v>0.11</v>
      </c>
      <c r="G1606" s="10">
        <v>9000</v>
      </c>
      <c r="H1606">
        <v>2.2999999999999998</v>
      </c>
      <c r="I1606" s="5">
        <f>ROUND(Marketing[[#This Row],[Clicks]]*Marketing[[#This Row],[Conversion_Rate]],0)</f>
        <v>42</v>
      </c>
      <c r="J1606" s="12">
        <f>Marketing[[#This Row],[Campaign_Cost]]/Marketing[[#This Row],[Customers]]</f>
        <v>214.28571428571428</v>
      </c>
      <c r="K1606" t="s">
        <v>51</v>
      </c>
      <c r="L1606" t="s">
        <v>39</v>
      </c>
      <c r="M1606">
        <v>380</v>
      </c>
      <c r="N1606">
        <v>2675</v>
      </c>
      <c r="O1606">
        <v>4</v>
      </c>
      <c r="P1606" t="s">
        <v>27</v>
      </c>
      <c r="Q1606" s="1">
        <v>44341</v>
      </c>
    </row>
    <row r="1607" spans="1:17" x14ac:dyDescent="0.3">
      <c r="A1607" t="s">
        <v>14</v>
      </c>
      <c r="B1607" t="s">
        <v>45</v>
      </c>
      <c r="C1607" t="s">
        <v>23</v>
      </c>
      <c r="D1607" t="s">
        <v>46</v>
      </c>
      <c r="E1607" t="s">
        <v>15</v>
      </c>
      <c r="F1607" s="9">
        <v>0.12</v>
      </c>
      <c r="G1607" s="10">
        <v>10307</v>
      </c>
      <c r="H1607">
        <v>3.17</v>
      </c>
      <c r="I1607" s="5">
        <f>ROUND(Marketing[[#This Row],[Clicks]]*Marketing[[#This Row],[Conversion_Rate]],0)</f>
        <v>119</v>
      </c>
      <c r="J1607" s="12">
        <f>Marketing[[#This Row],[Campaign_Cost]]/Marketing[[#This Row],[Customers]]</f>
        <v>86.613445378151255</v>
      </c>
      <c r="K1607" t="s">
        <v>51</v>
      </c>
      <c r="L1607" t="s">
        <v>33</v>
      </c>
      <c r="M1607">
        <v>989</v>
      </c>
      <c r="N1607">
        <v>5242</v>
      </c>
      <c r="O1607">
        <v>6</v>
      </c>
      <c r="P1607" t="s">
        <v>34</v>
      </c>
      <c r="Q1607" s="1">
        <v>44342</v>
      </c>
    </row>
    <row r="1608" spans="1:17" x14ac:dyDescent="0.3">
      <c r="A1608" t="s">
        <v>28</v>
      </c>
      <c r="B1608" t="s">
        <v>45</v>
      </c>
      <c r="C1608" t="s">
        <v>52</v>
      </c>
      <c r="D1608" t="s">
        <v>17</v>
      </c>
      <c r="E1608" t="s">
        <v>43</v>
      </c>
      <c r="F1608" s="9">
        <v>0.02</v>
      </c>
      <c r="G1608" s="10">
        <v>19059</v>
      </c>
      <c r="H1608">
        <v>6.29</v>
      </c>
      <c r="I1608" s="5">
        <f>ROUND(Marketing[[#This Row],[Clicks]]*Marketing[[#This Row],[Conversion_Rate]],0)</f>
        <v>2</v>
      </c>
      <c r="J1608" s="12">
        <f>Marketing[[#This Row],[Campaign_Cost]]/Marketing[[#This Row],[Customers]]</f>
        <v>9529.5</v>
      </c>
      <c r="K1608" t="s">
        <v>25</v>
      </c>
      <c r="L1608" t="s">
        <v>39</v>
      </c>
      <c r="M1608">
        <v>105</v>
      </c>
      <c r="N1608">
        <v>9248</v>
      </c>
      <c r="O1608">
        <v>3</v>
      </c>
      <c r="P1608" t="s">
        <v>27</v>
      </c>
      <c r="Q1608" s="1">
        <v>44343</v>
      </c>
    </row>
    <row r="1609" spans="1:17" x14ac:dyDescent="0.3">
      <c r="A1609" t="s">
        <v>28</v>
      </c>
      <c r="B1609" t="s">
        <v>36</v>
      </c>
      <c r="C1609" t="s">
        <v>37</v>
      </c>
      <c r="D1609" t="s">
        <v>46</v>
      </c>
      <c r="E1609" t="s">
        <v>41</v>
      </c>
      <c r="F1609" s="9">
        <v>0.14000000000000001</v>
      </c>
      <c r="G1609" s="10">
        <v>9834</v>
      </c>
      <c r="H1609">
        <v>6.49</v>
      </c>
      <c r="I1609" s="5">
        <f>ROUND(Marketing[[#This Row],[Clicks]]*Marketing[[#This Row],[Conversion_Rate]],0)</f>
        <v>15</v>
      </c>
      <c r="J1609" s="12">
        <f>Marketing[[#This Row],[Campaign_Cost]]/Marketing[[#This Row],[Customers]]</f>
        <v>655.6</v>
      </c>
      <c r="K1609" t="s">
        <v>51</v>
      </c>
      <c r="L1609" t="s">
        <v>20</v>
      </c>
      <c r="M1609">
        <v>110</v>
      </c>
      <c r="N1609">
        <v>4512</v>
      </c>
      <c r="O1609">
        <v>8</v>
      </c>
      <c r="P1609" t="s">
        <v>42</v>
      </c>
      <c r="Q1609" s="1">
        <v>44344</v>
      </c>
    </row>
    <row r="1610" spans="1:17" x14ac:dyDescent="0.3">
      <c r="A1610" t="s">
        <v>28</v>
      </c>
      <c r="B1610" t="s">
        <v>47</v>
      </c>
      <c r="C1610" t="s">
        <v>23</v>
      </c>
      <c r="D1610" t="s">
        <v>46</v>
      </c>
      <c r="E1610" t="s">
        <v>48</v>
      </c>
      <c r="F1610" s="9">
        <v>0.03</v>
      </c>
      <c r="G1610" s="10">
        <v>12564</v>
      </c>
      <c r="H1610">
        <v>5.71</v>
      </c>
      <c r="I1610" s="5">
        <f>ROUND(Marketing[[#This Row],[Clicks]]*Marketing[[#This Row],[Conversion_Rate]],0)</f>
        <v>18</v>
      </c>
      <c r="J1610" s="12">
        <f>Marketing[[#This Row],[Campaign_Cost]]/Marketing[[#This Row],[Customers]]</f>
        <v>698</v>
      </c>
      <c r="K1610" t="s">
        <v>25</v>
      </c>
      <c r="L1610" t="s">
        <v>39</v>
      </c>
      <c r="M1610">
        <v>589</v>
      </c>
      <c r="N1610">
        <v>5230</v>
      </c>
      <c r="O1610">
        <v>1</v>
      </c>
      <c r="P1610" t="s">
        <v>21</v>
      </c>
      <c r="Q1610" s="1">
        <v>44345</v>
      </c>
    </row>
    <row r="1611" spans="1:17" x14ac:dyDescent="0.3">
      <c r="A1611" t="s">
        <v>35</v>
      </c>
      <c r="B1611" t="s">
        <v>36</v>
      </c>
      <c r="C1611" t="s">
        <v>52</v>
      </c>
      <c r="D1611" t="s">
        <v>24</v>
      </c>
      <c r="E1611" t="s">
        <v>43</v>
      </c>
      <c r="F1611" s="9">
        <v>0.06</v>
      </c>
      <c r="G1611" s="10">
        <v>8844</v>
      </c>
      <c r="H1611">
        <v>3.23</v>
      </c>
      <c r="I1611" s="5">
        <f>ROUND(Marketing[[#This Row],[Clicks]]*Marketing[[#This Row],[Conversion_Rate]],0)</f>
        <v>53</v>
      </c>
      <c r="J1611" s="12">
        <f>Marketing[[#This Row],[Campaign_Cost]]/Marketing[[#This Row],[Customers]]</f>
        <v>166.8679245283019</v>
      </c>
      <c r="K1611" t="s">
        <v>32</v>
      </c>
      <c r="L1611" t="s">
        <v>26</v>
      </c>
      <c r="M1611">
        <v>876</v>
      </c>
      <c r="N1611">
        <v>3949</v>
      </c>
      <c r="O1611">
        <v>9</v>
      </c>
      <c r="P1611" t="s">
        <v>27</v>
      </c>
      <c r="Q1611" s="1">
        <v>44346</v>
      </c>
    </row>
    <row r="1612" spans="1:17" x14ac:dyDescent="0.3">
      <c r="A1612" t="s">
        <v>22</v>
      </c>
      <c r="B1612" t="s">
        <v>15</v>
      </c>
      <c r="C1612" t="s">
        <v>52</v>
      </c>
      <c r="D1612" t="s">
        <v>46</v>
      </c>
      <c r="E1612" t="s">
        <v>43</v>
      </c>
      <c r="F1612" s="9">
        <v>7.0000000000000007E-2</v>
      </c>
      <c r="G1612" s="10">
        <v>7242</v>
      </c>
      <c r="H1612">
        <v>7.54</v>
      </c>
      <c r="I1612" s="5">
        <f>ROUND(Marketing[[#This Row],[Clicks]]*Marketing[[#This Row],[Conversion_Rate]],0)</f>
        <v>69</v>
      </c>
      <c r="J1612" s="12">
        <f>Marketing[[#This Row],[Campaign_Cost]]/Marketing[[#This Row],[Customers]]</f>
        <v>104.95652173913044</v>
      </c>
      <c r="K1612" t="s">
        <v>19</v>
      </c>
      <c r="L1612" t="s">
        <v>50</v>
      </c>
      <c r="M1612">
        <v>986</v>
      </c>
      <c r="N1612">
        <v>8533</v>
      </c>
      <c r="O1612">
        <v>3</v>
      </c>
      <c r="P1612" t="s">
        <v>34</v>
      </c>
      <c r="Q1612" s="1">
        <v>44347</v>
      </c>
    </row>
    <row r="1613" spans="1:17" x14ac:dyDescent="0.3">
      <c r="A1613" t="s">
        <v>14</v>
      </c>
      <c r="B1613" t="s">
        <v>36</v>
      </c>
      <c r="C1613" t="s">
        <v>30</v>
      </c>
      <c r="D1613" t="s">
        <v>46</v>
      </c>
      <c r="E1613" t="s">
        <v>15</v>
      </c>
      <c r="F1613" s="9">
        <v>0.13</v>
      </c>
      <c r="G1613" s="10">
        <v>13015</v>
      </c>
      <c r="H1613">
        <v>3.1</v>
      </c>
      <c r="I1613" s="5">
        <f>ROUND(Marketing[[#This Row],[Clicks]]*Marketing[[#This Row],[Conversion_Rate]],0)</f>
        <v>70</v>
      </c>
      <c r="J1613" s="12">
        <f>Marketing[[#This Row],[Campaign_Cost]]/Marketing[[#This Row],[Customers]]</f>
        <v>185.92857142857142</v>
      </c>
      <c r="K1613" t="s">
        <v>32</v>
      </c>
      <c r="L1613" t="s">
        <v>20</v>
      </c>
      <c r="M1613">
        <v>535</v>
      </c>
      <c r="N1613">
        <v>1428</v>
      </c>
      <c r="O1613">
        <v>7</v>
      </c>
      <c r="P1613" t="s">
        <v>27</v>
      </c>
      <c r="Q1613" s="1">
        <v>44348</v>
      </c>
    </row>
    <row r="1614" spans="1:17" x14ac:dyDescent="0.3">
      <c r="A1614" t="s">
        <v>35</v>
      </c>
      <c r="B1614" t="s">
        <v>29</v>
      </c>
      <c r="C1614" t="s">
        <v>52</v>
      </c>
      <c r="D1614" t="s">
        <v>24</v>
      </c>
      <c r="E1614" t="s">
        <v>48</v>
      </c>
      <c r="F1614" s="9">
        <v>0.14000000000000001</v>
      </c>
      <c r="G1614" s="10">
        <v>18973</v>
      </c>
      <c r="H1614">
        <v>5.58</v>
      </c>
      <c r="I1614" s="5">
        <f>ROUND(Marketing[[#This Row],[Clicks]]*Marketing[[#This Row],[Conversion_Rate]],0)</f>
        <v>70</v>
      </c>
      <c r="J1614" s="12">
        <f>Marketing[[#This Row],[Campaign_Cost]]/Marketing[[#This Row],[Customers]]</f>
        <v>271.04285714285714</v>
      </c>
      <c r="K1614" t="s">
        <v>38</v>
      </c>
      <c r="L1614" t="s">
        <v>33</v>
      </c>
      <c r="M1614">
        <v>502</v>
      </c>
      <c r="N1614">
        <v>7820</v>
      </c>
      <c r="O1614">
        <v>2</v>
      </c>
      <c r="P1614" t="s">
        <v>42</v>
      </c>
      <c r="Q1614" s="1">
        <v>44349</v>
      </c>
    </row>
    <row r="1615" spans="1:17" x14ac:dyDescent="0.3">
      <c r="A1615" t="s">
        <v>14</v>
      </c>
      <c r="B1615" t="s">
        <v>15</v>
      </c>
      <c r="C1615" t="s">
        <v>30</v>
      </c>
      <c r="D1615" t="s">
        <v>46</v>
      </c>
      <c r="E1615" t="s">
        <v>43</v>
      </c>
      <c r="F1615" s="9">
        <v>0.03</v>
      </c>
      <c r="G1615" s="10">
        <v>5789</v>
      </c>
      <c r="H1615">
        <v>4.87</v>
      </c>
      <c r="I1615" s="5">
        <f>ROUND(Marketing[[#This Row],[Clicks]]*Marketing[[#This Row],[Conversion_Rate]],0)</f>
        <v>7</v>
      </c>
      <c r="J1615" s="12">
        <f>Marketing[[#This Row],[Campaign_Cost]]/Marketing[[#This Row],[Customers]]</f>
        <v>827</v>
      </c>
      <c r="K1615" t="s">
        <v>32</v>
      </c>
      <c r="L1615" t="s">
        <v>50</v>
      </c>
      <c r="M1615">
        <v>247</v>
      </c>
      <c r="N1615">
        <v>4506</v>
      </c>
      <c r="O1615">
        <v>7</v>
      </c>
      <c r="P1615" t="s">
        <v>21</v>
      </c>
      <c r="Q1615" s="1">
        <v>44350</v>
      </c>
    </row>
    <row r="1616" spans="1:17" x14ac:dyDescent="0.3">
      <c r="A1616" t="s">
        <v>35</v>
      </c>
      <c r="B1616" t="s">
        <v>15</v>
      </c>
      <c r="C1616" t="s">
        <v>30</v>
      </c>
      <c r="D1616" t="s">
        <v>40</v>
      </c>
      <c r="E1616" t="s">
        <v>18</v>
      </c>
      <c r="F1616" s="9">
        <v>0.08</v>
      </c>
      <c r="G1616" s="10">
        <v>12543</v>
      </c>
      <c r="H1616">
        <v>2.0299999999999998</v>
      </c>
      <c r="I1616" s="5">
        <f>ROUND(Marketing[[#This Row],[Clicks]]*Marketing[[#This Row],[Conversion_Rate]],0)</f>
        <v>30</v>
      </c>
      <c r="J1616" s="12">
        <f>Marketing[[#This Row],[Campaign_Cost]]/Marketing[[#This Row],[Customers]]</f>
        <v>418.1</v>
      </c>
      <c r="K1616" t="s">
        <v>25</v>
      </c>
      <c r="L1616" t="s">
        <v>39</v>
      </c>
      <c r="M1616">
        <v>371</v>
      </c>
      <c r="N1616">
        <v>1409</v>
      </c>
      <c r="O1616">
        <v>9</v>
      </c>
      <c r="P1616" t="s">
        <v>42</v>
      </c>
      <c r="Q1616" s="1">
        <v>44351</v>
      </c>
    </row>
    <row r="1617" spans="1:17" x14ac:dyDescent="0.3">
      <c r="A1617" t="s">
        <v>14</v>
      </c>
      <c r="B1617" t="s">
        <v>29</v>
      </c>
      <c r="C1617" t="s">
        <v>30</v>
      </c>
      <c r="D1617" t="s">
        <v>46</v>
      </c>
      <c r="E1617" t="s">
        <v>31</v>
      </c>
      <c r="F1617" s="9">
        <v>0.1</v>
      </c>
      <c r="G1617" s="10">
        <v>16103</v>
      </c>
      <c r="H1617">
        <v>2.77</v>
      </c>
      <c r="I1617" s="5">
        <f>ROUND(Marketing[[#This Row],[Clicks]]*Marketing[[#This Row],[Conversion_Rate]],0)</f>
        <v>45</v>
      </c>
      <c r="J1617" s="12">
        <f>Marketing[[#This Row],[Campaign_Cost]]/Marketing[[#This Row],[Customers]]</f>
        <v>357.84444444444443</v>
      </c>
      <c r="K1617" t="s">
        <v>25</v>
      </c>
      <c r="L1617" t="s">
        <v>39</v>
      </c>
      <c r="M1617">
        <v>451</v>
      </c>
      <c r="N1617">
        <v>9412</v>
      </c>
      <c r="O1617">
        <v>5</v>
      </c>
      <c r="P1617" t="s">
        <v>27</v>
      </c>
      <c r="Q1617" s="1">
        <v>44352</v>
      </c>
    </row>
    <row r="1618" spans="1:17" x14ac:dyDescent="0.3">
      <c r="A1618" t="s">
        <v>49</v>
      </c>
      <c r="B1618" t="s">
        <v>29</v>
      </c>
      <c r="C1618" t="s">
        <v>16</v>
      </c>
      <c r="D1618" t="s">
        <v>40</v>
      </c>
      <c r="E1618" t="s">
        <v>43</v>
      </c>
      <c r="F1618" s="9">
        <v>0.01</v>
      </c>
      <c r="G1618" s="10">
        <v>10580</v>
      </c>
      <c r="H1618">
        <v>5.0199999999999996</v>
      </c>
      <c r="I1618" s="5">
        <f>ROUND(Marketing[[#This Row],[Clicks]]*Marketing[[#This Row],[Conversion_Rate]],0)</f>
        <v>4</v>
      </c>
      <c r="J1618" s="12">
        <f>Marketing[[#This Row],[Campaign_Cost]]/Marketing[[#This Row],[Customers]]</f>
        <v>2645</v>
      </c>
      <c r="K1618" t="s">
        <v>38</v>
      </c>
      <c r="L1618" t="s">
        <v>50</v>
      </c>
      <c r="M1618">
        <v>445</v>
      </c>
      <c r="N1618">
        <v>3220</v>
      </c>
      <c r="O1618">
        <v>2</v>
      </c>
      <c r="P1618" t="s">
        <v>42</v>
      </c>
      <c r="Q1618" s="1">
        <v>44353</v>
      </c>
    </row>
    <row r="1619" spans="1:17" x14ac:dyDescent="0.3">
      <c r="A1619" t="s">
        <v>22</v>
      </c>
      <c r="B1619" t="s">
        <v>36</v>
      </c>
      <c r="C1619" t="s">
        <v>52</v>
      </c>
      <c r="D1619" t="s">
        <v>24</v>
      </c>
      <c r="E1619" t="s">
        <v>48</v>
      </c>
      <c r="F1619" s="9">
        <v>0.08</v>
      </c>
      <c r="G1619" s="10">
        <v>11926</v>
      </c>
      <c r="H1619">
        <v>3.83</v>
      </c>
      <c r="I1619" s="5">
        <f>ROUND(Marketing[[#This Row],[Clicks]]*Marketing[[#This Row],[Conversion_Rate]],0)</f>
        <v>19</v>
      </c>
      <c r="J1619" s="12">
        <f>Marketing[[#This Row],[Campaign_Cost]]/Marketing[[#This Row],[Customers]]</f>
        <v>627.68421052631584</v>
      </c>
      <c r="K1619" t="s">
        <v>19</v>
      </c>
      <c r="L1619" t="s">
        <v>33</v>
      </c>
      <c r="M1619">
        <v>237</v>
      </c>
      <c r="N1619">
        <v>1698</v>
      </c>
      <c r="O1619">
        <v>9</v>
      </c>
      <c r="P1619" t="s">
        <v>34</v>
      </c>
      <c r="Q1619" s="1">
        <v>44354</v>
      </c>
    </row>
    <row r="1620" spans="1:17" x14ac:dyDescent="0.3">
      <c r="A1620" t="s">
        <v>35</v>
      </c>
      <c r="B1620" t="s">
        <v>15</v>
      </c>
      <c r="C1620" t="s">
        <v>23</v>
      </c>
      <c r="D1620" t="s">
        <v>46</v>
      </c>
      <c r="E1620" t="s">
        <v>48</v>
      </c>
      <c r="F1620" s="9">
        <v>0.09</v>
      </c>
      <c r="G1620" s="10">
        <v>11059</v>
      </c>
      <c r="H1620">
        <v>5.08</v>
      </c>
      <c r="I1620" s="5">
        <f>ROUND(Marketing[[#This Row],[Clicks]]*Marketing[[#This Row],[Conversion_Rate]],0)</f>
        <v>30</v>
      </c>
      <c r="J1620" s="12">
        <f>Marketing[[#This Row],[Campaign_Cost]]/Marketing[[#This Row],[Customers]]</f>
        <v>368.63333333333333</v>
      </c>
      <c r="K1620" t="s">
        <v>38</v>
      </c>
      <c r="L1620" t="s">
        <v>20</v>
      </c>
      <c r="M1620">
        <v>329</v>
      </c>
      <c r="N1620">
        <v>7654</v>
      </c>
      <c r="O1620">
        <v>1</v>
      </c>
      <c r="P1620" t="s">
        <v>27</v>
      </c>
      <c r="Q1620" s="1">
        <v>44355</v>
      </c>
    </row>
    <row r="1621" spans="1:17" x14ac:dyDescent="0.3">
      <c r="A1621" t="s">
        <v>49</v>
      </c>
      <c r="B1621" t="s">
        <v>29</v>
      </c>
      <c r="C1621" t="s">
        <v>30</v>
      </c>
      <c r="D1621" t="s">
        <v>46</v>
      </c>
      <c r="E1621" t="s">
        <v>43</v>
      </c>
      <c r="F1621" s="9">
        <v>0.14000000000000001</v>
      </c>
      <c r="G1621" s="10">
        <v>11034</v>
      </c>
      <c r="H1621">
        <v>3.92</v>
      </c>
      <c r="I1621" s="5">
        <f>ROUND(Marketing[[#This Row],[Clicks]]*Marketing[[#This Row],[Conversion_Rate]],0)</f>
        <v>84</v>
      </c>
      <c r="J1621" s="12">
        <f>Marketing[[#This Row],[Campaign_Cost]]/Marketing[[#This Row],[Customers]]</f>
        <v>131.35714285714286</v>
      </c>
      <c r="K1621" t="s">
        <v>25</v>
      </c>
      <c r="L1621" t="s">
        <v>20</v>
      </c>
      <c r="M1621">
        <v>600</v>
      </c>
      <c r="N1621">
        <v>5018</v>
      </c>
      <c r="O1621">
        <v>4</v>
      </c>
      <c r="P1621" t="s">
        <v>42</v>
      </c>
      <c r="Q1621" s="1">
        <v>44356</v>
      </c>
    </row>
    <row r="1622" spans="1:17" x14ac:dyDescent="0.3">
      <c r="A1622" t="s">
        <v>28</v>
      </c>
      <c r="B1622" t="s">
        <v>15</v>
      </c>
      <c r="C1622" t="s">
        <v>16</v>
      </c>
      <c r="D1622" t="s">
        <v>40</v>
      </c>
      <c r="E1622" t="s">
        <v>18</v>
      </c>
      <c r="F1622" s="9">
        <v>0.06</v>
      </c>
      <c r="G1622" s="10">
        <v>10453</v>
      </c>
      <c r="H1622">
        <v>6.41</v>
      </c>
      <c r="I1622" s="5">
        <f>ROUND(Marketing[[#This Row],[Clicks]]*Marketing[[#This Row],[Conversion_Rate]],0)</f>
        <v>50</v>
      </c>
      <c r="J1622" s="12">
        <f>Marketing[[#This Row],[Campaign_Cost]]/Marketing[[#This Row],[Customers]]</f>
        <v>209.06</v>
      </c>
      <c r="K1622" t="s">
        <v>51</v>
      </c>
      <c r="L1622" t="s">
        <v>20</v>
      </c>
      <c r="M1622">
        <v>830</v>
      </c>
      <c r="N1622">
        <v>7398</v>
      </c>
      <c r="O1622">
        <v>7</v>
      </c>
      <c r="P1622" t="s">
        <v>27</v>
      </c>
      <c r="Q1622" s="1">
        <v>44357</v>
      </c>
    </row>
    <row r="1623" spans="1:17" x14ac:dyDescent="0.3">
      <c r="A1623" t="s">
        <v>22</v>
      </c>
      <c r="B1623" t="s">
        <v>47</v>
      </c>
      <c r="C1623" t="s">
        <v>23</v>
      </c>
      <c r="D1623" t="s">
        <v>24</v>
      </c>
      <c r="E1623" t="s">
        <v>43</v>
      </c>
      <c r="F1623" s="9">
        <v>0.13</v>
      </c>
      <c r="G1623" s="10">
        <v>9655</v>
      </c>
      <c r="H1623">
        <v>3.23</v>
      </c>
      <c r="I1623" s="5">
        <f>ROUND(Marketing[[#This Row],[Clicks]]*Marketing[[#This Row],[Conversion_Rate]],0)</f>
        <v>110</v>
      </c>
      <c r="J1623" s="12">
        <f>Marketing[[#This Row],[Campaign_Cost]]/Marketing[[#This Row],[Customers]]</f>
        <v>87.772727272727266</v>
      </c>
      <c r="K1623" t="s">
        <v>25</v>
      </c>
      <c r="L1623" t="s">
        <v>50</v>
      </c>
      <c r="M1623">
        <v>848</v>
      </c>
      <c r="N1623">
        <v>1384</v>
      </c>
      <c r="O1623">
        <v>1</v>
      </c>
      <c r="P1623" t="s">
        <v>42</v>
      </c>
      <c r="Q1623" s="1">
        <v>44358</v>
      </c>
    </row>
    <row r="1624" spans="1:17" x14ac:dyDescent="0.3">
      <c r="A1624" t="s">
        <v>28</v>
      </c>
      <c r="B1624" t="s">
        <v>45</v>
      </c>
      <c r="C1624" t="s">
        <v>16</v>
      </c>
      <c r="D1624" t="s">
        <v>46</v>
      </c>
      <c r="E1624" t="s">
        <v>31</v>
      </c>
      <c r="F1624" s="9">
        <v>0.06</v>
      </c>
      <c r="G1624" s="10">
        <v>9373</v>
      </c>
      <c r="H1624">
        <v>4.68</v>
      </c>
      <c r="I1624" s="5">
        <f>ROUND(Marketing[[#This Row],[Clicks]]*Marketing[[#This Row],[Conversion_Rate]],0)</f>
        <v>19</v>
      </c>
      <c r="J1624" s="12">
        <f>Marketing[[#This Row],[Campaign_Cost]]/Marketing[[#This Row],[Customers]]</f>
        <v>493.31578947368422</v>
      </c>
      <c r="K1624" t="s">
        <v>19</v>
      </c>
      <c r="L1624" t="s">
        <v>20</v>
      </c>
      <c r="M1624">
        <v>313</v>
      </c>
      <c r="N1624">
        <v>6012</v>
      </c>
      <c r="O1624">
        <v>10</v>
      </c>
      <c r="P1624" t="s">
        <v>21</v>
      </c>
      <c r="Q1624" s="1">
        <v>44359</v>
      </c>
    </row>
    <row r="1625" spans="1:17" x14ac:dyDescent="0.3">
      <c r="A1625" t="s">
        <v>28</v>
      </c>
      <c r="B1625" t="s">
        <v>36</v>
      </c>
      <c r="C1625" t="s">
        <v>37</v>
      </c>
      <c r="D1625" t="s">
        <v>17</v>
      </c>
      <c r="E1625" t="s">
        <v>43</v>
      </c>
      <c r="F1625" s="9">
        <v>0.14000000000000001</v>
      </c>
      <c r="G1625" s="10">
        <v>6077</v>
      </c>
      <c r="H1625">
        <v>5.18</v>
      </c>
      <c r="I1625" s="5">
        <f>ROUND(Marketing[[#This Row],[Clicks]]*Marketing[[#This Row],[Conversion_Rate]],0)</f>
        <v>90</v>
      </c>
      <c r="J1625" s="12">
        <f>Marketing[[#This Row],[Campaign_Cost]]/Marketing[[#This Row],[Customers]]</f>
        <v>67.522222222222226</v>
      </c>
      <c r="K1625" t="s">
        <v>32</v>
      </c>
      <c r="L1625" t="s">
        <v>39</v>
      </c>
      <c r="M1625">
        <v>642</v>
      </c>
      <c r="N1625">
        <v>5682</v>
      </c>
      <c r="O1625">
        <v>10</v>
      </c>
      <c r="P1625" t="s">
        <v>27</v>
      </c>
      <c r="Q1625" s="1">
        <v>44360</v>
      </c>
    </row>
    <row r="1626" spans="1:17" x14ac:dyDescent="0.3">
      <c r="A1626" t="s">
        <v>49</v>
      </c>
      <c r="B1626" t="s">
        <v>15</v>
      </c>
      <c r="C1626" t="s">
        <v>52</v>
      </c>
      <c r="D1626" t="s">
        <v>24</v>
      </c>
      <c r="E1626" t="s">
        <v>41</v>
      </c>
      <c r="F1626" s="9">
        <v>0.15</v>
      </c>
      <c r="G1626" s="10">
        <v>19719</v>
      </c>
      <c r="H1626">
        <v>4.76</v>
      </c>
      <c r="I1626" s="5">
        <f>ROUND(Marketing[[#This Row],[Clicks]]*Marketing[[#This Row],[Conversion_Rate]],0)</f>
        <v>113</v>
      </c>
      <c r="J1626" s="12">
        <f>Marketing[[#This Row],[Campaign_Cost]]/Marketing[[#This Row],[Customers]]</f>
        <v>174.50442477876106</v>
      </c>
      <c r="K1626" t="s">
        <v>19</v>
      </c>
      <c r="L1626" t="s">
        <v>20</v>
      </c>
      <c r="M1626">
        <v>755</v>
      </c>
      <c r="N1626">
        <v>3287</v>
      </c>
      <c r="O1626">
        <v>9</v>
      </c>
      <c r="P1626" t="s">
        <v>27</v>
      </c>
      <c r="Q1626" s="1">
        <v>44361</v>
      </c>
    </row>
    <row r="1627" spans="1:17" x14ac:dyDescent="0.3">
      <c r="A1627" t="s">
        <v>35</v>
      </c>
      <c r="B1627" t="s">
        <v>15</v>
      </c>
      <c r="C1627" t="s">
        <v>52</v>
      </c>
      <c r="D1627" t="s">
        <v>46</v>
      </c>
      <c r="E1627" t="s">
        <v>15</v>
      </c>
      <c r="F1627" s="9">
        <v>0.13</v>
      </c>
      <c r="G1627" s="10">
        <v>5277</v>
      </c>
      <c r="H1627">
        <v>2.2999999999999998</v>
      </c>
      <c r="I1627" s="5">
        <f>ROUND(Marketing[[#This Row],[Clicks]]*Marketing[[#This Row],[Conversion_Rate]],0)</f>
        <v>68</v>
      </c>
      <c r="J1627" s="12">
        <f>Marketing[[#This Row],[Campaign_Cost]]/Marketing[[#This Row],[Customers]]</f>
        <v>77.602941176470594</v>
      </c>
      <c r="K1627" t="s">
        <v>51</v>
      </c>
      <c r="L1627" t="s">
        <v>50</v>
      </c>
      <c r="M1627">
        <v>526</v>
      </c>
      <c r="N1627">
        <v>3991</v>
      </c>
      <c r="O1627">
        <v>1</v>
      </c>
      <c r="P1627" t="s">
        <v>42</v>
      </c>
      <c r="Q1627" s="1">
        <v>44362</v>
      </c>
    </row>
    <row r="1628" spans="1:17" x14ac:dyDescent="0.3">
      <c r="A1628" t="s">
        <v>14</v>
      </c>
      <c r="B1628" t="s">
        <v>29</v>
      </c>
      <c r="C1628" t="s">
        <v>23</v>
      </c>
      <c r="D1628" t="s">
        <v>40</v>
      </c>
      <c r="E1628" t="s">
        <v>18</v>
      </c>
      <c r="F1628" s="9">
        <v>0.12</v>
      </c>
      <c r="G1628" s="10">
        <v>14212</v>
      </c>
      <c r="H1628">
        <v>6.99</v>
      </c>
      <c r="I1628" s="5">
        <f>ROUND(Marketing[[#This Row],[Clicks]]*Marketing[[#This Row],[Conversion_Rate]],0)</f>
        <v>49</v>
      </c>
      <c r="J1628" s="12">
        <f>Marketing[[#This Row],[Campaign_Cost]]/Marketing[[#This Row],[Customers]]</f>
        <v>290.0408163265306</v>
      </c>
      <c r="K1628" t="s">
        <v>51</v>
      </c>
      <c r="L1628" t="s">
        <v>33</v>
      </c>
      <c r="M1628">
        <v>407</v>
      </c>
      <c r="N1628">
        <v>8351</v>
      </c>
      <c r="O1628">
        <v>4</v>
      </c>
      <c r="P1628" t="s">
        <v>44</v>
      </c>
      <c r="Q1628" s="1">
        <v>44363</v>
      </c>
    </row>
    <row r="1629" spans="1:17" x14ac:dyDescent="0.3">
      <c r="A1629" t="s">
        <v>22</v>
      </c>
      <c r="B1629" t="s">
        <v>29</v>
      </c>
      <c r="C1629" t="s">
        <v>37</v>
      </c>
      <c r="D1629" t="s">
        <v>24</v>
      </c>
      <c r="E1629" t="s">
        <v>31</v>
      </c>
      <c r="F1629" s="9">
        <v>0.15</v>
      </c>
      <c r="G1629" s="10">
        <v>19095</v>
      </c>
      <c r="H1629">
        <v>2.87</v>
      </c>
      <c r="I1629" s="5">
        <f>ROUND(Marketing[[#This Row],[Clicks]]*Marketing[[#This Row],[Conversion_Rate]],0)</f>
        <v>86</v>
      </c>
      <c r="J1629" s="12">
        <f>Marketing[[#This Row],[Campaign_Cost]]/Marketing[[#This Row],[Customers]]</f>
        <v>222.03488372093022</v>
      </c>
      <c r="K1629" t="s">
        <v>38</v>
      </c>
      <c r="L1629" t="s">
        <v>50</v>
      </c>
      <c r="M1629">
        <v>570</v>
      </c>
      <c r="N1629">
        <v>4991</v>
      </c>
      <c r="O1629">
        <v>9</v>
      </c>
      <c r="P1629" t="s">
        <v>42</v>
      </c>
      <c r="Q1629" s="1">
        <v>44364</v>
      </c>
    </row>
    <row r="1630" spans="1:17" x14ac:dyDescent="0.3">
      <c r="A1630" t="s">
        <v>14</v>
      </c>
      <c r="B1630" t="s">
        <v>15</v>
      </c>
      <c r="C1630" t="s">
        <v>52</v>
      </c>
      <c r="D1630" t="s">
        <v>46</v>
      </c>
      <c r="E1630" t="s">
        <v>31</v>
      </c>
      <c r="F1630" s="9">
        <v>0.03</v>
      </c>
      <c r="G1630" s="10">
        <v>11526</v>
      </c>
      <c r="H1630">
        <v>5.32</v>
      </c>
      <c r="I1630" s="5">
        <f>ROUND(Marketing[[#This Row],[Clicks]]*Marketing[[#This Row],[Conversion_Rate]],0)</f>
        <v>21</v>
      </c>
      <c r="J1630" s="12">
        <f>Marketing[[#This Row],[Campaign_Cost]]/Marketing[[#This Row],[Customers]]</f>
        <v>548.85714285714289</v>
      </c>
      <c r="K1630" t="s">
        <v>19</v>
      </c>
      <c r="L1630" t="s">
        <v>33</v>
      </c>
      <c r="M1630">
        <v>703</v>
      </c>
      <c r="N1630">
        <v>9462</v>
      </c>
      <c r="O1630">
        <v>2</v>
      </c>
      <c r="P1630" t="s">
        <v>42</v>
      </c>
      <c r="Q1630" s="1">
        <v>44365</v>
      </c>
    </row>
    <row r="1631" spans="1:17" x14ac:dyDescent="0.3">
      <c r="A1631" t="s">
        <v>49</v>
      </c>
      <c r="B1631" t="s">
        <v>45</v>
      </c>
      <c r="C1631" t="s">
        <v>30</v>
      </c>
      <c r="D1631" t="s">
        <v>40</v>
      </c>
      <c r="E1631" t="s">
        <v>18</v>
      </c>
      <c r="F1631" s="9">
        <v>0.08</v>
      </c>
      <c r="G1631" s="10">
        <v>5973</v>
      </c>
      <c r="H1631">
        <v>2.42</v>
      </c>
      <c r="I1631" s="5">
        <f>ROUND(Marketing[[#This Row],[Clicks]]*Marketing[[#This Row],[Conversion_Rate]],0)</f>
        <v>70</v>
      </c>
      <c r="J1631" s="12">
        <f>Marketing[[#This Row],[Campaign_Cost]]/Marketing[[#This Row],[Customers]]</f>
        <v>85.328571428571422</v>
      </c>
      <c r="K1631" t="s">
        <v>25</v>
      </c>
      <c r="L1631" t="s">
        <v>50</v>
      </c>
      <c r="M1631">
        <v>872</v>
      </c>
      <c r="N1631">
        <v>6181</v>
      </c>
      <c r="O1631">
        <v>8</v>
      </c>
      <c r="P1631" t="s">
        <v>21</v>
      </c>
      <c r="Q1631" s="1">
        <v>44366</v>
      </c>
    </row>
    <row r="1632" spans="1:17" x14ac:dyDescent="0.3">
      <c r="A1632" t="s">
        <v>28</v>
      </c>
      <c r="B1632" t="s">
        <v>36</v>
      </c>
      <c r="C1632" t="s">
        <v>16</v>
      </c>
      <c r="D1632" t="s">
        <v>46</v>
      </c>
      <c r="E1632" t="s">
        <v>31</v>
      </c>
      <c r="F1632" s="9">
        <v>7.0000000000000007E-2</v>
      </c>
      <c r="G1632" s="10">
        <v>15636</v>
      </c>
      <c r="H1632">
        <v>6.85</v>
      </c>
      <c r="I1632" s="5">
        <f>ROUND(Marketing[[#This Row],[Clicks]]*Marketing[[#This Row],[Conversion_Rate]],0)</f>
        <v>45</v>
      </c>
      <c r="J1632" s="12">
        <f>Marketing[[#This Row],[Campaign_Cost]]/Marketing[[#This Row],[Customers]]</f>
        <v>347.46666666666664</v>
      </c>
      <c r="K1632" t="s">
        <v>32</v>
      </c>
      <c r="L1632" t="s">
        <v>50</v>
      </c>
      <c r="M1632">
        <v>645</v>
      </c>
      <c r="N1632">
        <v>2905</v>
      </c>
      <c r="O1632">
        <v>3</v>
      </c>
      <c r="P1632" t="s">
        <v>34</v>
      </c>
      <c r="Q1632" s="1">
        <v>44367</v>
      </c>
    </row>
    <row r="1633" spans="1:17" x14ac:dyDescent="0.3">
      <c r="A1633" t="s">
        <v>14</v>
      </c>
      <c r="B1633" t="s">
        <v>29</v>
      </c>
      <c r="C1633" t="s">
        <v>52</v>
      </c>
      <c r="D1633" t="s">
        <v>40</v>
      </c>
      <c r="E1633" t="s">
        <v>18</v>
      </c>
      <c r="F1633" s="9">
        <v>0.03</v>
      </c>
      <c r="G1633" s="10">
        <v>9339</v>
      </c>
      <c r="H1633">
        <v>4.28</v>
      </c>
      <c r="I1633" s="5">
        <f>ROUND(Marketing[[#This Row],[Clicks]]*Marketing[[#This Row],[Conversion_Rate]],0)</f>
        <v>19</v>
      </c>
      <c r="J1633" s="12">
        <f>Marketing[[#This Row],[Campaign_Cost]]/Marketing[[#This Row],[Customers]]</f>
        <v>491.5263157894737</v>
      </c>
      <c r="K1633" t="s">
        <v>51</v>
      </c>
      <c r="L1633" t="s">
        <v>39</v>
      </c>
      <c r="M1633">
        <v>621</v>
      </c>
      <c r="N1633">
        <v>7281</v>
      </c>
      <c r="O1633">
        <v>5</v>
      </c>
      <c r="P1633" t="s">
        <v>42</v>
      </c>
      <c r="Q1633" s="1">
        <v>44368</v>
      </c>
    </row>
    <row r="1634" spans="1:17" x14ac:dyDescent="0.3">
      <c r="A1634" t="s">
        <v>35</v>
      </c>
      <c r="B1634" t="s">
        <v>29</v>
      </c>
      <c r="C1634" t="s">
        <v>23</v>
      </c>
      <c r="D1634" t="s">
        <v>17</v>
      </c>
      <c r="E1634" t="s">
        <v>15</v>
      </c>
      <c r="F1634" s="9">
        <v>0.1</v>
      </c>
      <c r="G1634" s="10">
        <v>9967</v>
      </c>
      <c r="H1634">
        <v>4.1500000000000004</v>
      </c>
      <c r="I1634" s="5">
        <f>ROUND(Marketing[[#This Row],[Clicks]]*Marketing[[#This Row],[Conversion_Rate]],0)</f>
        <v>27</v>
      </c>
      <c r="J1634" s="12">
        <f>Marketing[[#This Row],[Campaign_Cost]]/Marketing[[#This Row],[Customers]]</f>
        <v>369.14814814814815</v>
      </c>
      <c r="K1634" t="s">
        <v>32</v>
      </c>
      <c r="L1634" t="s">
        <v>26</v>
      </c>
      <c r="M1634">
        <v>272</v>
      </c>
      <c r="N1634">
        <v>2150</v>
      </c>
      <c r="O1634">
        <v>6</v>
      </c>
      <c r="P1634" t="s">
        <v>27</v>
      </c>
      <c r="Q1634" s="1">
        <v>44369</v>
      </c>
    </row>
    <row r="1635" spans="1:17" x14ac:dyDescent="0.3">
      <c r="A1635" t="s">
        <v>35</v>
      </c>
      <c r="B1635" t="s">
        <v>47</v>
      </c>
      <c r="C1635" t="s">
        <v>23</v>
      </c>
      <c r="D1635" t="s">
        <v>24</v>
      </c>
      <c r="E1635" t="s">
        <v>31</v>
      </c>
      <c r="F1635" s="9">
        <v>0.02</v>
      </c>
      <c r="G1635" s="10">
        <v>17550</v>
      </c>
      <c r="H1635">
        <v>6.73</v>
      </c>
      <c r="I1635" s="5">
        <f>ROUND(Marketing[[#This Row],[Clicks]]*Marketing[[#This Row],[Conversion_Rate]],0)</f>
        <v>20</v>
      </c>
      <c r="J1635" s="12">
        <f>Marketing[[#This Row],[Campaign_Cost]]/Marketing[[#This Row],[Customers]]</f>
        <v>877.5</v>
      </c>
      <c r="K1635" t="s">
        <v>38</v>
      </c>
      <c r="L1635" t="s">
        <v>33</v>
      </c>
      <c r="M1635">
        <v>997</v>
      </c>
      <c r="N1635">
        <v>1173</v>
      </c>
      <c r="O1635">
        <v>4</v>
      </c>
      <c r="P1635" t="s">
        <v>44</v>
      </c>
      <c r="Q1635" s="1">
        <v>44370</v>
      </c>
    </row>
    <row r="1636" spans="1:17" x14ac:dyDescent="0.3">
      <c r="A1636" t="s">
        <v>28</v>
      </c>
      <c r="B1636" t="s">
        <v>47</v>
      </c>
      <c r="C1636" t="s">
        <v>16</v>
      </c>
      <c r="D1636" t="s">
        <v>40</v>
      </c>
      <c r="E1636" t="s">
        <v>15</v>
      </c>
      <c r="F1636" s="9">
        <v>7.0000000000000007E-2</v>
      </c>
      <c r="G1636" s="10">
        <v>19920</v>
      </c>
      <c r="H1636">
        <v>5.28</v>
      </c>
      <c r="I1636" s="5">
        <f>ROUND(Marketing[[#This Row],[Clicks]]*Marketing[[#This Row],[Conversion_Rate]],0)</f>
        <v>60</v>
      </c>
      <c r="J1636" s="12">
        <f>Marketing[[#This Row],[Campaign_Cost]]/Marketing[[#This Row],[Customers]]</f>
        <v>332</v>
      </c>
      <c r="K1636" t="s">
        <v>32</v>
      </c>
      <c r="L1636" t="s">
        <v>33</v>
      </c>
      <c r="M1636">
        <v>860</v>
      </c>
      <c r="N1636">
        <v>5977</v>
      </c>
      <c r="O1636">
        <v>8</v>
      </c>
      <c r="P1636" t="s">
        <v>44</v>
      </c>
      <c r="Q1636" s="1">
        <v>44371</v>
      </c>
    </row>
    <row r="1637" spans="1:17" x14ac:dyDescent="0.3">
      <c r="A1637" t="s">
        <v>35</v>
      </c>
      <c r="B1637" t="s">
        <v>36</v>
      </c>
      <c r="C1637" t="s">
        <v>16</v>
      </c>
      <c r="D1637" t="s">
        <v>40</v>
      </c>
      <c r="E1637" t="s">
        <v>48</v>
      </c>
      <c r="F1637" s="9">
        <v>0.02</v>
      </c>
      <c r="G1637" s="10">
        <v>5840</v>
      </c>
      <c r="H1637">
        <v>5.12</v>
      </c>
      <c r="I1637" s="5">
        <f>ROUND(Marketing[[#This Row],[Clicks]]*Marketing[[#This Row],[Conversion_Rate]],0)</f>
        <v>12</v>
      </c>
      <c r="J1637" s="12">
        <f>Marketing[[#This Row],[Campaign_Cost]]/Marketing[[#This Row],[Customers]]</f>
        <v>486.66666666666669</v>
      </c>
      <c r="K1637" t="s">
        <v>38</v>
      </c>
      <c r="L1637" t="s">
        <v>26</v>
      </c>
      <c r="M1637">
        <v>578</v>
      </c>
      <c r="N1637">
        <v>4128</v>
      </c>
      <c r="O1637">
        <v>9</v>
      </c>
      <c r="P1637" t="s">
        <v>44</v>
      </c>
      <c r="Q1637" s="1">
        <v>44372</v>
      </c>
    </row>
    <row r="1638" spans="1:17" x14ac:dyDescent="0.3">
      <c r="A1638" t="s">
        <v>22</v>
      </c>
      <c r="B1638" t="s">
        <v>45</v>
      </c>
      <c r="C1638" t="s">
        <v>23</v>
      </c>
      <c r="D1638" t="s">
        <v>24</v>
      </c>
      <c r="E1638" t="s">
        <v>41</v>
      </c>
      <c r="F1638" s="9">
        <v>0.15</v>
      </c>
      <c r="G1638" s="10">
        <v>6403</v>
      </c>
      <c r="H1638">
        <v>7.72</v>
      </c>
      <c r="I1638" s="5">
        <f>ROUND(Marketing[[#This Row],[Clicks]]*Marketing[[#This Row],[Conversion_Rate]],0)</f>
        <v>128</v>
      </c>
      <c r="J1638" s="12">
        <f>Marketing[[#This Row],[Campaign_Cost]]/Marketing[[#This Row],[Customers]]</f>
        <v>50.0234375</v>
      </c>
      <c r="K1638" t="s">
        <v>38</v>
      </c>
      <c r="L1638" t="s">
        <v>20</v>
      </c>
      <c r="M1638">
        <v>854</v>
      </c>
      <c r="N1638">
        <v>1978</v>
      </c>
      <c r="O1638">
        <v>3</v>
      </c>
      <c r="P1638" t="s">
        <v>34</v>
      </c>
      <c r="Q1638" s="1">
        <v>44373</v>
      </c>
    </row>
    <row r="1639" spans="1:17" x14ac:dyDescent="0.3">
      <c r="A1639" t="s">
        <v>49</v>
      </c>
      <c r="B1639" t="s">
        <v>29</v>
      </c>
      <c r="C1639" t="s">
        <v>52</v>
      </c>
      <c r="D1639" t="s">
        <v>17</v>
      </c>
      <c r="E1639" t="s">
        <v>41</v>
      </c>
      <c r="F1639" s="9">
        <v>0.05</v>
      </c>
      <c r="G1639" s="10">
        <v>19586</v>
      </c>
      <c r="H1639">
        <v>5.54</v>
      </c>
      <c r="I1639" s="5">
        <f>ROUND(Marketing[[#This Row],[Clicks]]*Marketing[[#This Row],[Conversion_Rate]],0)</f>
        <v>29</v>
      </c>
      <c r="J1639" s="12">
        <f>Marketing[[#This Row],[Campaign_Cost]]/Marketing[[#This Row],[Customers]]</f>
        <v>675.37931034482756</v>
      </c>
      <c r="K1639" t="s">
        <v>25</v>
      </c>
      <c r="L1639" t="s">
        <v>33</v>
      </c>
      <c r="M1639">
        <v>585</v>
      </c>
      <c r="N1639">
        <v>1709</v>
      </c>
      <c r="O1639">
        <v>1</v>
      </c>
      <c r="P1639" t="s">
        <v>42</v>
      </c>
      <c r="Q1639" s="1">
        <v>44374</v>
      </c>
    </row>
    <row r="1640" spans="1:17" x14ac:dyDescent="0.3">
      <c r="A1640" t="s">
        <v>35</v>
      </c>
      <c r="B1640" t="s">
        <v>36</v>
      </c>
      <c r="C1640" t="s">
        <v>23</v>
      </c>
      <c r="D1640" t="s">
        <v>46</v>
      </c>
      <c r="E1640" t="s">
        <v>41</v>
      </c>
      <c r="F1640" s="9">
        <v>0.08</v>
      </c>
      <c r="G1640" s="10">
        <v>9907</v>
      </c>
      <c r="H1640">
        <v>2.8</v>
      </c>
      <c r="I1640" s="5">
        <f>ROUND(Marketing[[#This Row],[Clicks]]*Marketing[[#This Row],[Conversion_Rate]],0)</f>
        <v>50</v>
      </c>
      <c r="J1640" s="12">
        <f>Marketing[[#This Row],[Campaign_Cost]]/Marketing[[#This Row],[Customers]]</f>
        <v>198.14</v>
      </c>
      <c r="K1640" t="s">
        <v>38</v>
      </c>
      <c r="L1640" t="s">
        <v>26</v>
      </c>
      <c r="M1640">
        <v>623</v>
      </c>
      <c r="N1640">
        <v>2690</v>
      </c>
      <c r="O1640">
        <v>2</v>
      </c>
      <c r="P1640" t="s">
        <v>21</v>
      </c>
      <c r="Q1640" s="1">
        <v>44375</v>
      </c>
    </row>
    <row r="1641" spans="1:17" x14ac:dyDescent="0.3">
      <c r="A1641" t="s">
        <v>28</v>
      </c>
      <c r="B1641" t="s">
        <v>29</v>
      </c>
      <c r="C1641" t="s">
        <v>30</v>
      </c>
      <c r="D1641" t="s">
        <v>17</v>
      </c>
      <c r="E1641" t="s">
        <v>48</v>
      </c>
      <c r="F1641" s="9">
        <v>0.03</v>
      </c>
      <c r="G1641" s="10">
        <v>17606</v>
      </c>
      <c r="H1641">
        <v>5.0599999999999996</v>
      </c>
      <c r="I1641" s="5">
        <f>ROUND(Marketing[[#This Row],[Clicks]]*Marketing[[#This Row],[Conversion_Rate]],0)</f>
        <v>17</v>
      </c>
      <c r="J1641" s="12">
        <f>Marketing[[#This Row],[Campaign_Cost]]/Marketing[[#This Row],[Customers]]</f>
        <v>1035.6470588235295</v>
      </c>
      <c r="K1641" t="s">
        <v>25</v>
      </c>
      <c r="L1641" t="s">
        <v>50</v>
      </c>
      <c r="M1641">
        <v>556</v>
      </c>
      <c r="N1641">
        <v>5533</v>
      </c>
      <c r="O1641">
        <v>7</v>
      </c>
      <c r="P1641" t="s">
        <v>34</v>
      </c>
      <c r="Q1641" s="1">
        <v>44376</v>
      </c>
    </row>
    <row r="1642" spans="1:17" x14ac:dyDescent="0.3">
      <c r="A1642" t="s">
        <v>14</v>
      </c>
      <c r="B1642" t="s">
        <v>29</v>
      </c>
      <c r="C1642" t="s">
        <v>37</v>
      </c>
      <c r="D1642" t="s">
        <v>24</v>
      </c>
      <c r="E1642" t="s">
        <v>31</v>
      </c>
      <c r="F1642" s="9">
        <v>7.0000000000000007E-2</v>
      </c>
      <c r="G1642" s="10">
        <v>17213</v>
      </c>
      <c r="H1642">
        <v>6.1</v>
      </c>
      <c r="I1642" s="5">
        <f>ROUND(Marketing[[#This Row],[Clicks]]*Marketing[[#This Row],[Conversion_Rate]],0)</f>
        <v>17</v>
      </c>
      <c r="J1642" s="12">
        <f>Marketing[[#This Row],[Campaign_Cost]]/Marketing[[#This Row],[Customers]]</f>
        <v>1012.5294117647059</v>
      </c>
      <c r="K1642" t="s">
        <v>19</v>
      </c>
      <c r="L1642" t="s">
        <v>50</v>
      </c>
      <c r="M1642">
        <v>244</v>
      </c>
      <c r="N1642">
        <v>2649</v>
      </c>
      <c r="O1642">
        <v>3</v>
      </c>
      <c r="P1642" t="s">
        <v>34</v>
      </c>
      <c r="Q1642" s="1">
        <v>44377</v>
      </c>
    </row>
    <row r="1643" spans="1:17" x14ac:dyDescent="0.3">
      <c r="A1643" t="s">
        <v>22</v>
      </c>
      <c r="B1643" t="s">
        <v>29</v>
      </c>
      <c r="C1643" t="s">
        <v>16</v>
      </c>
      <c r="D1643" t="s">
        <v>17</v>
      </c>
      <c r="E1643" t="s">
        <v>31</v>
      </c>
      <c r="F1643" s="9">
        <v>0.04</v>
      </c>
      <c r="G1643" s="10">
        <v>7188</v>
      </c>
      <c r="H1643">
        <v>7.36</v>
      </c>
      <c r="I1643" s="5">
        <f>ROUND(Marketing[[#This Row],[Clicks]]*Marketing[[#This Row],[Conversion_Rate]],0)</f>
        <v>30</v>
      </c>
      <c r="J1643" s="12">
        <f>Marketing[[#This Row],[Campaign_Cost]]/Marketing[[#This Row],[Customers]]</f>
        <v>239.6</v>
      </c>
      <c r="K1643" t="s">
        <v>51</v>
      </c>
      <c r="L1643" t="s">
        <v>26</v>
      </c>
      <c r="M1643">
        <v>759</v>
      </c>
      <c r="N1643">
        <v>6240</v>
      </c>
      <c r="O1643">
        <v>10</v>
      </c>
      <c r="P1643" t="s">
        <v>44</v>
      </c>
      <c r="Q1643" s="1">
        <v>44378</v>
      </c>
    </row>
    <row r="1644" spans="1:17" x14ac:dyDescent="0.3">
      <c r="A1644" t="s">
        <v>14</v>
      </c>
      <c r="B1644" t="s">
        <v>47</v>
      </c>
      <c r="C1644" t="s">
        <v>23</v>
      </c>
      <c r="D1644" t="s">
        <v>40</v>
      </c>
      <c r="E1644" t="s">
        <v>15</v>
      </c>
      <c r="F1644" s="9">
        <v>0.09</v>
      </c>
      <c r="G1644" s="10">
        <v>19434</v>
      </c>
      <c r="H1644">
        <v>5.18</v>
      </c>
      <c r="I1644" s="5">
        <f>ROUND(Marketing[[#This Row],[Clicks]]*Marketing[[#This Row],[Conversion_Rate]],0)</f>
        <v>70</v>
      </c>
      <c r="J1644" s="12">
        <f>Marketing[[#This Row],[Campaign_Cost]]/Marketing[[#This Row],[Customers]]</f>
        <v>277.62857142857143</v>
      </c>
      <c r="K1644" t="s">
        <v>19</v>
      </c>
      <c r="L1644" t="s">
        <v>39</v>
      </c>
      <c r="M1644">
        <v>778</v>
      </c>
      <c r="N1644">
        <v>4730</v>
      </c>
      <c r="O1644">
        <v>5</v>
      </c>
      <c r="P1644" t="s">
        <v>21</v>
      </c>
      <c r="Q1644" s="1">
        <v>44379</v>
      </c>
    </row>
    <row r="1645" spans="1:17" x14ac:dyDescent="0.3">
      <c r="A1645" t="s">
        <v>49</v>
      </c>
      <c r="B1645" t="s">
        <v>47</v>
      </c>
      <c r="C1645" t="s">
        <v>37</v>
      </c>
      <c r="D1645" t="s">
        <v>46</v>
      </c>
      <c r="E1645" t="s">
        <v>41</v>
      </c>
      <c r="F1645" s="9">
        <v>0.1</v>
      </c>
      <c r="G1645" s="10">
        <v>13123</v>
      </c>
      <c r="H1645">
        <v>6.37</v>
      </c>
      <c r="I1645" s="5">
        <f>ROUND(Marketing[[#This Row],[Clicks]]*Marketing[[#This Row],[Conversion_Rate]],0)</f>
        <v>28</v>
      </c>
      <c r="J1645" s="12">
        <f>Marketing[[#This Row],[Campaign_Cost]]/Marketing[[#This Row],[Customers]]</f>
        <v>468.67857142857144</v>
      </c>
      <c r="K1645" t="s">
        <v>32</v>
      </c>
      <c r="L1645" t="s">
        <v>39</v>
      </c>
      <c r="M1645">
        <v>282</v>
      </c>
      <c r="N1645">
        <v>6607</v>
      </c>
      <c r="O1645">
        <v>7</v>
      </c>
      <c r="P1645" t="s">
        <v>21</v>
      </c>
      <c r="Q1645" s="1">
        <v>44380</v>
      </c>
    </row>
    <row r="1646" spans="1:17" x14ac:dyDescent="0.3">
      <c r="A1646" t="s">
        <v>14</v>
      </c>
      <c r="B1646" t="s">
        <v>45</v>
      </c>
      <c r="C1646" t="s">
        <v>37</v>
      </c>
      <c r="D1646" t="s">
        <v>24</v>
      </c>
      <c r="E1646" t="s">
        <v>15</v>
      </c>
      <c r="F1646" s="9">
        <v>0.1</v>
      </c>
      <c r="G1646" s="10">
        <v>14931</v>
      </c>
      <c r="H1646">
        <v>7.81</v>
      </c>
      <c r="I1646" s="5">
        <f>ROUND(Marketing[[#This Row],[Clicks]]*Marketing[[#This Row],[Conversion_Rate]],0)</f>
        <v>43</v>
      </c>
      <c r="J1646" s="12">
        <f>Marketing[[#This Row],[Campaign_Cost]]/Marketing[[#This Row],[Customers]]</f>
        <v>347.23255813953489</v>
      </c>
      <c r="K1646" t="s">
        <v>32</v>
      </c>
      <c r="L1646" t="s">
        <v>50</v>
      </c>
      <c r="M1646">
        <v>431</v>
      </c>
      <c r="N1646">
        <v>4573</v>
      </c>
      <c r="O1646">
        <v>3</v>
      </c>
      <c r="P1646" t="s">
        <v>42</v>
      </c>
      <c r="Q1646" s="1">
        <v>44381</v>
      </c>
    </row>
    <row r="1647" spans="1:17" x14ac:dyDescent="0.3">
      <c r="A1647" t="s">
        <v>35</v>
      </c>
      <c r="B1647" t="s">
        <v>45</v>
      </c>
      <c r="C1647" t="s">
        <v>30</v>
      </c>
      <c r="D1647" t="s">
        <v>40</v>
      </c>
      <c r="E1647" t="s">
        <v>15</v>
      </c>
      <c r="F1647" s="9">
        <v>0.1</v>
      </c>
      <c r="G1647" s="10">
        <v>11594</v>
      </c>
      <c r="H1647">
        <v>7.85</v>
      </c>
      <c r="I1647" s="5">
        <f>ROUND(Marketing[[#This Row],[Clicks]]*Marketing[[#This Row],[Conversion_Rate]],0)</f>
        <v>90</v>
      </c>
      <c r="J1647" s="12">
        <f>Marketing[[#This Row],[Campaign_Cost]]/Marketing[[#This Row],[Customers]]</f>
        <v>128.82222222222222</v>
      </c>
      <c r="K1647" t="s">
        <v>38</v>
      </c>
      <c r="L1647" t="s">
        <v>39</v>
      </c>
      <c r="M1647">
        <v>896</v>
      </c>
      <c r="N1647">
        <v>6154</v>
      </c>
      <c r="O1647">
        <v>10</v>
      </c>
      <c r="P1647" t="s">
        <v>27</v>
      </c>
      <c r="Q1647" s="1">
        <v>44382</v>
      </c>
    </row>
    <row r="1648" spans="1:17" x14ac:dyDescent="0.3">
      <c r="A1648" t="s">
        <v>28</v>
      </c>
      <c r="B1648" t="s">
        <v>15</v>
      </c>
      <c r="C1648" t="s">
        <v>37</v>
      </c>
      <c r="D1648" t="s">
        <v>46</v>
      </c>
      <c r="E1648" t="s">
        <v>48</v>
      </c>
      <c r="F1648" s="9">
        <v>0.12</v>
      </c>
      <c r="G1648" s="10">
        <v>5702</v>
      </c>
      <c r="H1648">
        <v>7.53</v>
      </c>
      <c r="I1648" s="5">
        <f>ROUND(Marketing[[#This Row],[Clicks]]*Marketing[[#This Row],[Conversion_Rate]],0)</f>
        <v>93</v>
      </c>
      <c r="J1648" s="12">
        <f>Marketing[[#This Row],[Campaign_Cost]]/Marketing[[#This Row],[Customers]]</f>
        <v>61.311827956989248</v>
      </c>
      <c r="K1648" t="s">
        <v>25</v>
      </c>
      <c r="L1648" t="s">
        <v>39</v>
      </c>
      <c r="M1648">
        <v>778</v>
      </c>
      <c r="N1648">
        <v>8473</v>
      </c>
      <c r="O1648">
        <v>6</v>
      </c>
      <c r="P1648" t="s">
        <v>34</v>
      </c>
      <c r="Q1648" s="1">
        <v>44383</v>
      </c>
    </row>
    <row r="1649" spans="1:17" x14ac:dyDescent="0.3">
      <c r="A1649" t="s">
        <v>49</v>
      </c>
      <c r="B1649" t="s">
        <v>36</v>
      </c>
      <c r="C1649" t="s">
        <v>16</v>
      </c>
      <c r="D1649" t="s">
        <v>40</v>
      </c>
      <c r="E1649" t="s">
        <v>48</v>
      </c>
      <c r="F1649" s="9">
        <v>0.05</v>
      </c>
      <c r="G1649" s="10">
        <v>17592</v>
      </c>
      <c r="H1649">
        <v>6.69</v>
      </c>
      <c r="I1649" s="5">
        <f>ROUND(Marketing[[#This Row],[Clicks]]*Marketing[[#This Row],[Conversion_Rate]],0)</f>
        <v>14</v>
      </c>
      <c r="J1649" s="12">
        <f>Marketing[[#This Row],[Campaign_Cost]]/Marketing[[#This Row],[Customers]]</f>
        <v>1256.5714285714287</v>
      </c>
      <c r="K1649" t="s">
        <v>19</v>
      </c>
      <c r="L1649" t="s">
        <v>33</v>
      </c>
      <c r="M1649">
        <v>285</v>
      </c>
      <c r="N1649">
        <v>2756</v>
      </c>
      <c r="O1649">
        <v>8</v>
      </c>
      <c r="P1649" t="s">
        <v>34</v>
      </c>
      <c r="Q1649" s="1">
        <v>44384</v>
      </c>
    </row>
    <row r="1650" spans="1:17" x14ac:dyDescent="0.3">
      <c r="A1650" t="s">
        <v>14</v>
      </c>
      <c r="B1650" t="s">
        <v>36</v>
      </c>
      <c r="C1650" t="s">
        <v>30</v>
      </c>
      <c r="D1650" t="s">
        <v>17</v>
      </c>
      <c r="E1650" t="s">
        <v>31</v>
      </c>
      <c r="F1650" s="9">
        <v>0.04</v>
      </c>
      <c r="G1650" s="10">
        <v>19072</v>
      </c>
      <c r="H1650">
        <v>4.71</v>
      </c>
      <c r="I1650" s="5">
        <f>ROUND(Marketing[[#This Row],[Clicks]]*Marketing[[#This Row],[Conversion_Rate]],0)</f>
        <v>31</v>
      </c>
      <c r="J1650" s="12">
        <f>Marketing[[#This Row],[Campaign_Cost]]/Marketing[[#This Row],[Customers]]</f>
        <v>615.22580645161293</v>
      </c>
      <c r="K1650" t="s">
        <v>25</v>
      </c>
      <c r="L1650" t="s">
        <v>39</v>
      </c>
      <c r="M1650">
        <v>768</v>
      </c>
      <c r="N1650">
        <v>7851</v>
      </c>
      <c r="O1650">
        <v>5</v>
      </c>
      <c r="P1650" t="s">
        <v>21</v>
      </c>
      <c r="Q1650" s="1">
        <v>44385</v>
      </c>
    </row>
    <row r="1651" spans="1:17" x14ac:dyDescent="0.3">
      <c r="A1651" t="s">
        <v>35</v>
      </c>
      <c r="B1651" t="s">
        <v>15</v>
      </c>
      <c r="C1651" t="s">
        <v>16</v>
      </c>
      <c r="D1651" t="s">
        <v>40</v>
      </c>
      <c r="E1651" t="s">
        <v>43</v>
      </c>
      <c r="F1651" s="9">
        <v>0.11</v>
      </c>
      <c r="G1651" s="10">
        <v>13879</v>
      </c>
      <c r="H1651">
        <v>3.85</v>
      </c>
      <c r="I1651" s="5">
        <f>ROUND(Marketing[[#This Row],[Clicks]]*Marketing[[#This Row],[Conversion_Rate]],0)</f>
        <v>33</v>
      </c>
      <c r="J1651" s="12">
        <f>Marketing[[#This Row],[Campaign_Cost]]/Marketing[[#This Row],[Customers]]</f>
        <v>420.57575757575756</v>
      </c>
      <c r="K1651" t="s">
        <v>51</v>
      </c>
      <c r="L1651" t="s">
        <v>20</v>
      </c>
      <c r="M1651">
        <v>300</v>
      </c>
      <c r="N1651">
        <v>2842</v>
      </c>
      <c r="O1651">
        <v>7</v>
      </c>
      <c r="P1651" t="s">
        <v>27</v>
      </c>
      <c r="Q1651" s="1">
        <v>44386</v>
      </c>
    </row>
    <row r="1652" spans="1:17" x14ac:dyDescent="0.3">
      <c r="A1652" t="s">
        <v>22</v>
      </c>
      <c r="B1652" t="s">
        <v>29</v>
      </c>
      <c r="C1652" t="s">
        <v>30</v>
      </c>
      <c r="D1652" t="s">
        <v>24</v>
      </c>
      <c r="E1652" t="s">
        <v>18</v>
      </c>
      <c r="F1652" s="9">
        <v>0.11</v>
      </c>
      <c r="G1652" s="10">
        <v>18916</v>
      </c>
      <c r="H1652">
        <v>2.63</v>
      </c>
      <c r="I1652" s="5">
        <f>ROUND(Marketing[[#This Row],[Clicks]]*Marketing[[#This Row],[Conversion_Rate]],0)</f>
        <v>78</v>
      </c>
      <c r="J1652" s="12">
        <f>Marketing[[#This Row],[Campaign_Cost]]/Marketing[[#This Row],[Customers]]</f>
        <v>242.51282051282053</v>
      </c>
      <c r="K1652" t="s">
        <v>32</v>
      </c>
      <c r="L1652" t="s">
        <v>50</v>
      </c>
      <c r="M1652">
        <v>707</v>
      </c>
      <c r="N1652">
        <v>8221</v>
      </c>
      <c r="O1652">
        <v>6</v>
      </c>
      <c r="P1652" t="s">
        <v>44</v>
      </c>
      <c r="Q1652" s="1">
        <v>44387</v>
      </c>
    </row>
    <row r="1653" spans="1:17" x14ac:dyDescent="0.3">
      <c r="A1653" t="s">
        <v>49</v>
      </c>
      <c r="B1653" t="s">
        <v>15</v>
      </c>
      <c r="C1653" t="s">
        <v>37</v>
      </c>
      <c r="D1653" t="s">
        <v>24</v>
      </c>
      <c r="E1653" t="s">
        <v>15</v>
      </c>
      <c r="F1653" s="9">
        <v>0.04</v>
      </c>
      <c r="G1653" s="10">
        <v>8886</v>
      </c>
      <c r="H1653">
        <v>7.8</v>
      </c>
      <c r="I1653" s="5">
        <f>ROUND(Marketing[[#This Row],[Clicks]]*Marketing[[#This Row],[Conversion_Rate]],0)</f>
        <v>18</v>
      </c>
      <c r="J1653" s="12">
        <f>Marketing[[#This Row],[Campaign_Cost]]/Marketing[[#This Row],[Customers]]</f>
        <v>493.66666666666669</v>
      </c>
      <c r="K1653" t="s">
        <v>19</v>
      </c>
      <c r="L1653" t="s">
        <v>33</v>
      </c>
      <c r="M1653">
        <v>440</v>
      </c>
      <c r="N1653">
        <v>5426</v>
      </c>
      <c r="O1653">
        <v>6</v>
      </c>
      <c r="P1653" t="s">
        <v>21</v>
      </c>
      <c r="Q1653" s="1">
        <v>44388</v>
      </c>
    </row>
    <row r="1654" spans="1:17" x14ac:dyDescent="0.3">
      <c r="A1654" t="s">
        <v>14</v>
      </c>
      <c r="B1654" t="s">
        <v>45</v>
      </c>
      <c r="C1654" t="s">
        <v>16</v>
      </c>
      <c r="D1654" t="s">
        <v>40</v>
      </c>
      <c r="E1654" t="s">
        <v>48</v>
      </c>
      <c r="F1654" s="9">
        <v>0.11</v>
      </c>
      <c r="G1654" s="10">
        <v>15236</v>
      </c>
      <c r="H1654">
        <v>7.78</v>
      </c>
      <c r="I1654" s="5">
        <f>ROUND(Marketing[[#This Row],[Clicks]]*Marketing[[#This Row],[Conversion_Rate]],0)</f>
        <v>28</v>
      </c>
      <c r="J1654" s="12">
        <f>Marketing[[#This Row],[Campaign_Cost]]/Marketing[[#This Row],[Customers]]</f>
        <v>544.14285714285711</v>
      </c>
      <c r="K1654" t="s">
        <v>19</v>
      </c>
      <c r="L1654" t="s">
        <v>33</v>
      </c>
      <c r="M1654">
        <v>259</v>
      </c>
      <c r="N1654">
        <v>3048</v>
      </c>
      <c r="O1654">
        <v>9</v>
      </c>
      <c r="P1654" t="s">
        <v>27</v>
      </c>
      <c r="Q1654" s="1">
        <v>44389</v>
      </c>
    </row>
    <row r="1655" spans="1:17" x14ac:dyDescent="0.3">
      <c r="A1655" t="s">
        <v>49</v>
      </c>
      <c r="B1655" t="s">
        <v>36</v>
      </c>
      <c r="C1655" t="s">
        <v>37</v>
      </c>
      <c r="D1655" t="s">
        <v>17</v>
      </c>
      <c r="E1655" t="s">
        <v>48</v>
      </c>
      <c r="F1655" s="9">
        <v>0.04</v>
      </c>
      <c r="G1655" s="10">
        <v>12936</v>
      </c>
      <c r="H1655">
        <v>5.73</v>
      </c>
      <c r="I1655" s="5">
        <f>ROUND(Marketing[[#This Row],[Clicks]]*Marketing[[#This Row],[Conversion_Rate]],0)</f>
        <v>38</v>
      </c>
      <c r="J1655" s="12">
        <f>Marketing[[#This Row],[Campaign_Cost]]/Marketing[[#This Row],[Customers]]</f>
        <v>340.42105263157896</v>
      </c>
      <c r="K1655" t="s">
        <v>25</v>
      </c>
      <c r="L1655" t="s">
        <v>33</v>
      </c>
      <c r="M1655">
        <v>944</v>
      </c>
      <c r="N1655">
        <v>6171</v>
      </c>
      <c r="O1655">
        <v>5</v>
      </c>
      <c r="P1655" t="s">
        <v>34</v>
      </c>
      <c r="Q1655" s="1">
        <v>44390</v>
      </c>
    </row>
    <row r="1656" spans="1:17" x14ac:dyDescent="0.3">
      <c r="A1656" t="s">
        <v>49</v>
      </c>
      <c r="B1656" t="s">
        <v>45</v>
      </c>
      <c r="C1656" t="s">
        <v>30</v>
      </c>
      <c r="D1656" t="s">
        <v>24</v>
      </c>
      <c r="E1656" t="s">
        <v>15</v>
      </c>
      <c r="F1656" s="9">
        <v>0.09</v>
      </c>
      <c r="G1656" s="10">
        <v>18473</v>
      </c>
      <c r="H1656">
        <v>5.41</v>
      </c>
      <c r="I1656" s="5">
        <f>ROUND(Marketing[[#This Row],[Clicks]]*Marketing[[#This Row],[Conversion_Rate]],0)</f>
        <v>70</v>
      </c>
      <c r="J1656" s="12">
        <f>Marketing[[#This Row],[Campaign_Cost]]/Marketing[[#This Row],[Customers]]</f>
        <v>263.89999999999998</v>
      </c>
      <c r="K1656" t="s">
        <v>25</v>
      </c>
      <c r="L1656" t="s">
        <v>39</v>
      </c>
      <c r="M1656">
        <v>775</v>
      </c>
      <c r="N1656">
        <v>9785</v>
      </c>
      <c r="O1656">
        <v>1</v>
      </c>
      <c r="P1656" t="s">
        <v>42</v>
      </c>
      <c r="Q1656" s="1">
        <v>44391</v>
      </c>
    </row>
    <row r="1657" spans="1:17" x14ac:dyDescent="0.3">
      <c r="A1657" t="s">
        <v>49</v>
      </c>
      <c r="B1657" t="s">
        <v>45</v>
      </c>
      <c r="C1657" t="s">
        <v>30</v>
      </c>
      <c r="D1657" t="s">
        <v>40</v>
      </c>
      <c r="E1657" t="s">
        <v>43</v>
      </c>
      <c r="F1657" s="9">
        <v>0.1</v>
      </c>
      <c r="G1657" s="10">
        <v>19608</v>
      </c>
      <c r="H1657">
        <v>2.23</v>
      </c>
      <c r="I1657" s="5">
        <f>ROUND(Marketing[[#This Row],[Clicks]]*Marketing[[#This Row],[Conversion_Rate]],0)</f>
        <v>67</v>
      </c>
      <c r="J1657" s="12">
        <f>Marketing[[#This Row],[Campaign_Cost]]/Marketing[[#This Row],[Customers]]</f>
        <v>292.65671641791045</v>
      </c>
      <c r="K1657" t="s">
        <v>19</v>
      </c>
      <c r="L1657" t="s">
        <v>33</v>
      </c>
      <c r="M1657">
        <v>671</v>
      </c>
      <c r="N1657">
        <v>9464</v>
      </c>
      <c r="O1657">
        <v>8</v>
      </c>
      <c r="P1657" t="s">
        <v>42</v>
      </c>
      <c r="Q1657" s="1">
        <v>44392</v>
      </c>
    </row>
    <row r="1658" spans="1:17" x14ac:dyDescent="0.3">
      <c r="A1658" t="s">
        <v>22</v>
      </c>
      <c r="B1658" t="s">
        <v>29</v>
      </c>
      <c r="C1658" t="s">
        <v>37</v>
      </c>
      <c r="D1658" t="s">
        <v>46</v>
      </c>
      <c r="E1658" t="s">
        <v>41</v>
      </c>
      <c r="F1658" s="9">
        <v>0.14000000000000001</v>
      </c>
      <c r="G1658" s="10">
        <v>14711</v>
      </c>
      <c r="H1658">
        <v>5.72</v>
      </c>
      <c r="I1658" s="5">
        <f>ROUND(Marketing[[#This Row],[Clicks]]*Marketing[[#This Row],[Conversion_Rate]],0)</f>
        <v>101</v>
      </c>
      <c r="J1658" s="12">
        <f>Marketing[[#This Row],[Campaign_Cost]]/Marketing[[#This Row],[Customers]]</f>
        <v>145.65346534653466</v>
      </c>
      <c r="K1658" t="s">
        <v>19</v>
      </c>
      <c r="L1658" t="s">
        <v>33</v>
      </c>
      <c r="M1658">
        <v>723</v>
      </c>
      <c r="N1658">
        <v>2078</v>
      </c>
      <c r="O1658">
        <v>10</v>
      </c>
      <c r="P1658" t="s">
        <v>21</v>
      </c>
      <c r="Q1658" s="1">
        <v>44393</v>
      </c>
    </row>
    <row r="1659" spans="1:17" x14ac:dyDescent="0.3">
      <c r="A1659" t="s">
        <v>49</v>
      </c>
      <c r="B1659" t="s">
        <v>47</v>
      </c>
      <c r="C1659" t="s">
        <v>23</v>
      </c>
      <c r="D1659" t="s">
        <v>40</v>
      </c>
      <c r="E1659" t="s">
        <v>18</v>
      </c>
      <c r="F1659" s="9">
        <v>0.15</v>
      </c>
      <c r="G1659" s="10">
        <v>11263</v>
      </c>
      <c r="H1659">
        <v>2.67</v>
      </c>
      <c r="I1659" s="5">
        <f>ROUND(Marketing[[#This Row],[Clicks]]*Marketing[[#This Row],[Conversion_Rate]],0)</f>
        <v>135</v>
      </c>
      <c r="J1659" s="12">
        <f>Marketing[[#This Row],[Campaign_Cost]]/Marketing[[#This Row],[Customers]]</f>
        <v>83.42962962962963</v>
      </c>
      <c r="K1659" t="s">
        <v>38</v>
      </c>
      <c r="L1659" t="s">
        <v>39</v>
      </c>
      <c r="M1659">
        <v>897</v>
      </c>
      <c r="N1659">
        <v>3564</v>
      </c>
      <c r="O1659">
        <v>2</v>
      </c>
      <c r="P1659" t="s">
        <v>44</v>
      </c>
      <c r="Q1659" s="1">
        <v>44394</v>
      </c>
    </row>
    <row r="1660" spans="1:17" x14ac:dyDescent="0.3">
      <c r="A1660" t="s">
        <v>22</v>
      </c>
      <c r="B1660" t="s">
        <v>15</v>
      </c>
      <c r="C1660" t="s">
        <v>16</v>
      </c>
      <c r="D1660" t="s">
        <v>24</v>
      </c>
      <c r="E1660" t="s">
        <v>31</v>
      </c>
      <c r="F1660" s="9">
        <v>0.13</v>
      </c>
      <c r="G1660" s="10">
        <v>16847</v>
      </c>
      <c r="H1660">
        <v>2.66</v>
      </c>
      <c r="I1660" s="5">
        <f>ROUND(Marketing[[#This Row],[Clicks]]*Marketing[[#This Row],[Conversion_Rate]],0)</f>
        <v>99</v>
      </c>
      <c r="J1660" s="12">
        <f>Marketing[[#This Row],[Campaign_Cost]]/Marketing[[#This Row],[Customers]]</f>
        <v>170.17171717171718</v>
      </c>
      <c r="K1660" t="s">
        <v>25</v>
      </c>
      <c r="L1660" t="s">
        <v>26</v>
      </c>
      <c r="M1660">
        <v>763</v>
      </c>
      <c r="N1660">
        <v>7670</v>
      </c>
      <c r="O1660">
        <v>6</v>
      </c>
      <c r="P1660" t="s">
        <v>27</v>
      </c>
      <c r="Q1660" s="1">
        <v>44395</v>
      </c>
    </row>
    <row r="1661" spans="1:17" x14ac:dyDescent="0.3">
      <c r="A1661" t="s">
        <v>14</v>
      </c>
      <c r="B1661" t="s">
        <v>15</v>
      </c>
      <c r="C1661" t="s">
        <v>52</v>
      </c>
      <c r="D1661" t="s">
        <v>17</v>
      </c>
      <c r="E1661" t="s">
        <v>15</v>
      </c>
      <c r="F1661" s="9">
        <v>0.15</v>
      </c>
      <c r="G1661" s="10">
        <v>6109</v>
      </c>
      <c r="H1661">
        <v>4.97</v>
      </c>
      <c r="I1661" s="5">
        <f>ROUND(Marketing[[#This Row],[Clicks]]*Marketing[[#This Row],[Conversion_Rate]],0)</f>
        <v>82</v>
      </c>
      <c r="J1661" s="12">
        <f>Marketing[[#This Row],[Campaign_Cost]]/Marketing[[#This Row],[Customers]]</f>
        <v>74.5</v>
      </c>
      <c r="K1661" t="s">
        <v>38</v>
      </c>
      <c r="L1661" t="s">
        <v>26</v>
      </c>
      <c r="M1661">
        <v>544</v>
      </c>
      <c r="N1661">
        <v>2792</v>
      </c>
      <c r="O1661">
        <v>10</v>
      </c>
      <c r="P1661" t="s">
        <v>21</v>
      </c>
      <c r="Q1661" s="1">
        <v>44396</v>
      </c>
    </row>
    <row r="1662" spans="1:17" x14ac:dyDescent="0.3">
      <c r="A1662" t="s">
        <v>22</v>
      </c>
      <c r="B1662" t="s">
        <v>45</v>
      </c>
      <c r="C1662" t="s">
        <v>30</v>
      </c>
      <c r="D1662" t="s">
        <v>46</v>
      </c>
      <c r="E1662" t="s">
        <v>15</v>
      </c>
      <c r="F1662" s="9">
        <v>0.12</v>
      </c>
      <c r="G1662" s="10">
        <v>17751</v>
      </c>
      <c r="H1662">
        <v>2.19</v>
      </c>
      <c r="I1662" s="5">
        <f>ROUND(Marketing[[#This Row],[Clicks]]*Marketing[[#This Row],[Conversion_Rate]],0)</f>
        <v>82</v>
      </c>
      <c r="J1662" s="12">
        <f>Marketing[[#This Row],[Campaign_Cost]]/Marketing[[#This Row],[Customers]]</f>
        <v>216.47560975609755</v>
      </c>
      <c r="K1662" t="s">
        <v>32</v>
      </c>
      <c r="L1662" t="s">
        <v>39</v>
      </c>
      <c r="M1662">
        <v>682</v>
      </c>
      <c r="N1662">
        <v>8870</v>
      </c>
      <c r="O1662">
        <v>6</v>
      </c>
      <c r="P1662" t="s">
        <v>34</v>
      </c>
      <c r="Q1662" s="1">
        <v>44397</v>
      </c>
    </row>
    <row r="1663" spans="1:17" x14ac:dyDescent="0.3">
      <c r="A1663" t="s">
        <v>35</v>
      </c>
      <c r="B1663" t="s">
        <v>45</v>
      </c>
      <c r="C1663" t="s">
        <v>37</v>
      </c>
      <c r="D1663" t="s">
        <v>46</v>
      </c>
      <c r="E1663" t="s">
        <v>18</v>
      </c>
      <c r="F1663" s="9">
        <v>0.05</v>
      </c>
      <c r="G1663" s="10">
        <v>12475</v>
      </c>
      <c r="H1663">
        <v>4.2699999999999996</v>
      </c>
      <c r="I1663" s="5">
        <f>ROUND(Marketing[[#This Row],[Clicks]]*Marketing[[#This Row],[Conversion_Rate]],0)</f>
        <v>43</v>
      </c>
      <c r="J1663" s="12">
        <f>Marketing[[#This Row],[Campaign_Cost]]/Marketing[[#This Row],[Customers]]</f>
        <v>290.11627906976742</v>
      </c>
      <c r="K1663" t="s">
        <v>51</v>
      </c>
      <c r="L1663" t="s">
        <v>50</v>
      </c>
      <c r="M1663">
        <v>863</v>
      </c>
      <c r="N1663">
        <v>9369</v>
      </c>
      <c r="O1663">
        <v>3</v>
      </c>
      <c r="P1663" t="s">
        <v>27</v>
      </c>
      <c r="Q1663" s="1">
        <v>44398</v>
      </c>
    </row>
    <row r="1664" spans="1:17" x14ac:dyDescent="0.3">
      <c r="A1664" t="s">
        <v>35</v>
      </c>
      <c r="B1664" t="s">
        <v>29</v>
      </c>
      <c r="C1664" t="s">
        <v>52</v>
      </c>
      <c r="D1664" t="s">
        <v>17</v>
      </c>
      <c r="E1664" t="s">
        <v>31</v>
      </c>
      <c r="F1664" s="9">
        <v>0.13</v>
      </c>
      <c r="G1664" s="10">
        <v>11685</v>
      </c>
      <c r="H1664">
        <v>2.5499999999999998</v>
      </c>
      <c r="I1664" s="5">
        <f>ROUND(Marketing[[#This Row],[Clicks]]*Marketing[[#This Row],[Conversion_Rate]],0)</f>
        <v>120</v>
      </c>
      <c r="J1664" s="12">
        <f>Marketing[[#This Row],[Campaign_Cost]]/Marketing[[#This Row],[Customers]]</f>
        <v>97.375</v>
      </c>
      <c r="K1664" t="s">
        <v>19</v>
      </c>
      <c r="L1664" t="s">
        <v>33</v>
      </c>
      <c r="M1664">
        <v>925</v>
      </c>
      <c r="N1664">
        <v>6264</v>
      </c>
      <c r="O1664">
        <v>7</v>
      </c>
      <c r="P1664" t="s">
        <v>21</v>
      </c>
      <c r="Q1664" s="1">
        <v>44399</v>
      </c>
    </row>
    <row r="1665" spans="1:17" x14ac:dyDescent="0.3">
      <c r="A1665" t="s">
        <v>22</v>
      </c>
      <c r="B1665" t="s">
        <v>29</v>
      </c>
      <c r="C1665" t="s">
        <v>16</v>
      </c>
      <c r="D1665" t="s">
        <v>46</v>
      </c>
      <c r="E1665" t="s">
        <v>15</v>
      </c>
      <c r="F1665" s="9">
        <v>0.15</v>
      </c>
      <c r="G1665" s="10">
        <v>5840</v>
      </c>
      <c r="H1665">
        <v>7.96</v>
      </c>
      <c r="I1665" s="5">
        <f>ROUND(Marketing[[#This Row],[Clicks]]*Marketing[[#This Row],[Conversion_Rate]],0)</f>
        <v>112</v>
      </c>
      <c r="J1665" s="12">
        <f>Marketing[[#This Row],[Campaign_Cost]]/Marketing[[#This Row],[Customers]]</f>
        <v>52.142857142857146</v>
      </c>
      <c r="K1665" t="s">
        <v>38</v>
      </c>
      <c r="L1665" t="s">
        <v>20</v>
      </c>
      <c r="M1665">
        <v>744</v>
      </c>
      <c r="N1665">
        <v>4819</v>
      </c>
      <c r="O1665">
        <v>1</v>
      </c>
      <c r="P1665" t="s">
        <v>27</v>
      </c>
      <c r="Q1665" s="1">
        <v>44400</v>
      </c>
    </row>
    <row r="1666" spans="1:17" x14ac:dyDescent="0.3">
      <c r="A1666" t="s">
        <v>14</v>
      </c>
      <c r="B1666" t="s">
        <v>45</v>
      </c>
      <c r="C1666" t="s">
        <v>16</v>
      </c>
      <c r="D1666" t="s">
        <v>17</v>
      </c>
      <c r="E1666" t="s">
        <v>15</v>
      </c>
      <c r="F1666" s="9">
        <v>0.05</v>
      </c>
      <c r="G1666" s="10">
        <v>7488</v>
      </c>
      <c r="H1666">
        <v>2.4900000000000002</v>
      </c>
      <c r="I1666" s="5">
        <f>ROUND(Marketing[[#This Row],[Clicks]]*Marketing[[#This Row],[Conversion_Rate]],0)</f>
        <v>16</v>
      </c>
      <c r="J1666" s="12">
        <f>Marketing[[#This Row],[Campaign_Cost]]/Marketing[[#This Row],[Customers]]</f>
        <v>468</v>
      </c>
      <c r="K1666" t="s">
        <v>38</v>
      </c>
      <c r="L1666" t="s">
        <v>50</v>
      </c>
      <c r="M1666">
        <v>321</v>
      </c>
      <c r="N1666">
        <v>3767</v>
      </c>
      <c r="O1666">
        <v>8</v>
      </c>
      <c r="P1666" t="s">
        <v>34</v>
      </c>
      <c r="Q1666" s="1">
        <v>44401</v>
      </c>
    </row>
    <row r="1667" spans="1:17" x14ac:dyDescent="0.3">
      <c r="A1667" t="s">
        <v>49</v>
      </c>
      <c r="B1667" t="s">
        <v>15</v>
      </c>
      <c r="C1667" t="s">
        <v>52</v>
      </c>
      <c r="D1667" t="s">
        <v>24</v>
      </c>
      <c r="E1667" t="s">
        <v>43</v>
      </c>
      <c r="F1667" s="9">
        <v>0.06</v>
      </c>
      <c r="G1667" s="10">
        <v>10400</v>
      </c>
      <c r="H1667">
        <v>6.49</v>
      </c>
      <c r="I1667" s="5">
        <f>ROUND(Marketing[[#This Row],[Clicks]]*Marketing[[#This Row],[Conversion_Rate]],0)</f>
        <v>26</v>
      </c>
      <c r="J1667" s="12">
        <f>Marketing[[#This Row],[Campaign_Cost]]/Marketing[[#This Row],[Customers]]</f>
        <v>400</v>
      </c>
      <c r="K1667" t="s">
        <v>38</v>
      </c>
      <c r="L1667" t="s">
        <v>33</v>
      </c>
      <c r="M1667">
        <v>429</v>
      </c>
      <c r="N1667">
        <v>6983</v>
      </c>
      <c r="O1667">
        <v>5</v>
      </c>
      <c r="P1667" t="s">
        <v>34</v>
      </c>
      <c r="Q1667" s="1">
        <v>44402</v>
      </c>
    </row>
    <row r="1668" spans="1:17" x14ac:dyDescent="0.3">
      <c r="A1668" t="s">
        <v>22</v>
      </c>
      <c r="B1668" t="s">
        <v>29</v>
      </c>
      <c r="C1668" t="s">
        <v>23</v>
      </c>
      <c r="D1668" t="s">
        <v>24</v>
      </c>
      <c r="E1668" t="s">
        <v>18</v>
      </c>
      <c r="F1668" s="9">
        <v>0.13</v>
      </c>
      <c r="G1668" s="10">
        <v>16640</v>
      </c>
      <c r="H1668">
        <v>5.01</v>
      </c>
      <c r="I1668" s="5">
        <f>ROUND(Marketing[[#This Row],[Clicks]]*Marketing[[#This Row],[Conversion_Rate]],0)</f>
        <v>124</v>
      </c>
      <c r="J1668" s="12">
        <f>Marketing[[#This Row],[Campaign_Cost]]/Marketing[[#This Row],[Customers]]</f>
        <v>134.19354838709677</v>
      </c>
      <c r="K1668" t="s">
        <v>25</v>
      </c>
      <c r="L1668" t="s">
        <v>20</v>
      </c>
      <c r="M1668">
        <v>950</v>
      </c>
      <c r="N1668">
        <v>5799</v>
      </c>
      <c r="O1668">
        <v>1</v>
      </c>
      <c r="P1668" t="s">
        <v>21</v>
      </c>
      <c r="Q1668" s="1">
        <v>44403</v>
      </c>
    </row>
    <row r="1669" spans="1:17" x14ac:dyDescent="0.3">
      <c r="A1669" t="s">
        <v>49</v>
      </c>
      <c r="B1669" t="s">
        <v>36</v>
      </c>
      <c r="C1669" t="s">
        <v>30</v>
      </c>
      <c r="D1669" t="s">
        <v>40</v>
      </c>
      <c r="E1669" t="s">
        <v>48</v>
      </c>
      <c r="F1669" s="9">
        <v>0.11</v>
      </c>
      <c r="G1669" s="10">
        <v>12073</v>
      </c>
      <c r="H1669">
        <v>3.39</v>
      </c>
      <c r="I1669" s="5">
        <f>ROUND(Marketing[[#This Row],[Clicks]]*Marketing[[#This Row],[Conversion_Rate]],0)</f>
        <v>107</v>
      </c>
      <c r="J1669" s="12">
        <f>Marketing[[#This Row],[Campaign_Cost]]/Marketing[[#This Row],[Customers]]</f>
        <v>112.83177570093459</v>
      </c>
      <c r="K1669" t="s">
        <v>19</v>
      </c>
      <c r="L1669" t="s">
        <v>26</v>
      </c>
      <c r="M1669">
        <v>971</v>
      </c>
      <c r="N1669">
        <v>9766</v>
      </c>
      <c r="O1669">
        <v>7</v>
      </c>
      <c r="P1669" t="s">
        <v>44</v>
      </c>
      <c r="Q1669" s="1">
        <v>44404</v>
      </c>
    </row>
    <row r="1670" spans="1:17" x14ac:dyDescent="0.3">
      <c r="A1670" t="s">
        <v>22</v>
      </c>
      <c r="B1670" t="s">
        <v>29</v>
      </c>
      <c r="C1670" t="s">
        <v>16</v>
      </c>
      <c r="D1670" t="s">
        <v>24</v>
      </c>
      <c r="E1670" t="s">
        <v>18</v>
      </c>
      <c r="F1670" s="9">
        <v>0.11</v>
      </c>
      <c r="G1670" s="10">
        <v>9343</v>
      </c>
      <c r="H1670">
        <v>3.26</v>
      </c>
      <c r="I1670" s="5">
        <f>ROUND(Marketing[[#This Row],[Clicks]]*Marketing[[#This Row],[Conversion_Rate]],0)</f>
        <v>71</v>
      </c>
      <c r="J1670" s="12">
        <f>Marketing[[#This Row],[Campaign_Cost]]/Marketing[[#This Row],[Customers]]</f>
        <v>131.59154929577466</v>
      </c>
      <c r="K1670" t="s">
        <v>51</v>
      </c>
      <c r="L1670" t="s">
        <v>33</v>
      </c>
      <c r="M1670">
        <v>646</v>
      </c>
      <c r="N1670">
        <v>4912</v>
      </c>
      <c r="O1670">
        <v>3</v>
      </c>
      <c r="P1670" t="s">
        <v>27</v>
      </c>
      <c r="Q1670" s="1">
        <v>44405</v>
      </c>
    </row>
    <row r="1671" spans="1:17" x14ac:dyDescent="0.3">
      <c r="A1671" t="s">
        <v>14</v>
      </c>
      <c r="B1671" t="s">
        <v>36</v>
      </c>
      <c r="C1671" t="s">
        <v>23</v>
      </c>
      <c r="D1671" t="s">
        <v>24</v>
      </c>
      <c r="E1671" t="s">
        <v>15</v>
      </c>
      <c r="F1671" s="9">
        <v>0.04</v>
      </c>
      <c r="G1671" s="10">
        <v>16527</v>
      </c>
      <c r="H1671">
        <v>3.84</v>
      </c>
      <c r="I1671" s="5">
        <f>ROUND(Marketing[[#This Row],[Clicks]]*Marketing[[#This Row],[Conversion_Rate]],0)</f>
        <v>27</v>
      </c>
      <c r="J1671" s="12">
        <f>Marketing[[#This Row],[Campaign_Cost]]/Marketing[[#This Row],[Customers]]</f>
        <v>612.11111111111109</v>
      </c>
      <c r="K1671" t="s">
        <v>51</v>
      </c>
      <c r="L1671" t="s">
        <v>20</v>
      </c>
      <c r="M1671">
        <v>687</v>
      </c>
      <c r="N1671">
        <v>2440</v>
      </c>
      <c r="O1671">
        <v>7</v>
      </c>
      <c r="P1671" t="s">
        <v>42</v>
      </c>
      <c r="Q1671" s="1">
        <v>44406</v>
      </c>
    </row>
    <row r="1672" spans="1:17" x14ac:dyDescent="0.3">
      <c r="A1672" t="s">
        <v>22</v>
      </c>
      <c r="B1672" t="s">
        <v>29</v>
      </c>
      <c r="C1672" t="s">
        <v>52</v>
      </c>
      <c r="D1672" t="s">
        <v>46</v>
      </c>
      <c r="E1672" t="s">
        <v>48</v>
      </c>
      <c r="F1672" s="9">
        <v>0.15</v>
      </c>
      <c r="G1672" s="10">
        <v>14801</v>
      </c>
      <c r="H1672">
        <v>2.75</v>
      </c>
      <c r="I1672" s="5">
        <f>ROUND(Marketing[[#This Row],[Clicks]]*Marketing[[#This Row],[Conversion_Rate]],0)</f>
        <v>93</v>
      </c>
      <c r="J1672" s="12">
        <f>Marketing[[#This Row],[Campaign_Cost]]/Marketing[[#This Row],[Customers]]</f>
        <v>159.15053763440861</v>
      </c>
      <c r="K1672" t="s">
        <v>19</v>
      </c>
      <c r="L1672" t="s">
        <v>20</v>
      </c>
      <c r="M1672">
        <v>619</v>
      </c>
      <c r="N1672">
        <v>9773</v>
      </c>
      <c r="O1672">
        <v>6</v>
      </c>
      <c r="P1672" t="s">
        <v>27</v>
      </c>
      <c r="Q1672" s="1">
        <v>44407</v>
      </c>
    </row>
    <row r="1673" spans="1:17" x14ac:dyDescent="0.3">
      <c r="A1673" t="s">
        <v>35</v>
      </c>
      <c r="B1673" t="s">
        <v>47</v>
      </c>
      <c r="C1673" t="s">
        <v>52</v>
      </c>
      <c r="D1673" t="s">
        <v>17</v>
      </c>
      <c r="E1673" t="s">
        <v>18</v>
      </c>
      <c r="F1673" s="9">
        <v>0.05</v>
      </c>
      <c r="G1673" s="10">
        <v>16906</v>
      </c>
      <c r="H1673">
        <v>4.5</v>
      </c>
      <c r="I1673" s="5">
        <f>ROUND(Marketing[[#This Row],[Clicks]]*Marketing[[#This Row],[Conversion_Rate]],0)</f>
        <v>11</v>
      </c>
      <c r="J1673" s="12">
        <f>Marketing[[#This Row],[Campaign_Cost]]/Marketing[[#This Row],[Customers]]</f>
        <v>1536.909090909091</v>
      </c>
      <c r="K1673" t="s">
        <v>51</v>
      </c>
      <c r="L1673" t="s">
        <v>20</v>
      </c>
      <c r="M1673">
        <v>210</v>
      </c>
      <c r="N1673">
        <v>8711</v>
      </c>
      <c r="O1673">
        <v>10</v>
      </c>
      <c r="P1673" t="s">
        <v>21</v>
      </c>
      <c r="Q1673" s="1">
        <v>44408</v>
      </c>
    </row>
    <row r="1674" spans="1:17" x14ac:dyDescent="0.3">
      <c r="A1674" t="s">
        <v>14</v>
      </c>
      <c r="B1674" t="s">
        <v>45</v>
      </c>
      <c r="C1674" t="s">
        <v>23</v>
      </c>
      <c r="D1674" t="s">
        <v>24</v>
      </c>
      <c r="E1674" t="s">
        <v>41</v>
      </c>
      <c r="F1674" s="9">
        <v>7.0000000000000007E-2</v>
      </c>
      <c r="G1674" s="10">
        <v>12904</v>
      </c>
      <c r="H1674">
        <v>4.13</v>
      </c>
      <c r="I1674" s="5">
        <f>ROUND(Marketing[[#This Row],[Clicks]]*Marketing[[#This Row],[Conversion_Rate]],0)</f>
        <v>29</v>
      </c>
      <c r="J1674" s="12">
        <f>Marketing[[#This Row],[Campaign_Cost]]/Marketing[[#This Row],[Customers]]</f>
        <v>444.9655172413793</v>
      </c>
      <c r="K1674" t="s">
        <v>32</v>
      </c>
      <c r="L1674" t="s">
        <v>33</v>
      </c>
      <c r="M1674">
        <v>409</v>
      </c>
      <c r="N1674">
        <v>3626</v>
      </c>
      <c r="O1674">
        <v>3</v>
      </c>
      <c r="P1674" t="s">
        <v>34</v>
      </c>
      <c r="Q1674" s="1">
        <v>44409</v>
      </c>
    </row>
    <row r="1675" spans="1:17" x14ac:dyDescent="0.3">
      <c r="A1675" t="s">
        <v>28</v>
      </c>
      <c r="B1675" t="s">
        <v>29</v>
      </c>
      <c r="C1675" t="s">
        <v>37</v>
      </c>
      <c r="D1675" t="s">
        <v>40</v>
      </c>
      <c r="E1675" t="s">
        <v>41</v>
      </c>
      <c r="F1675" s="9">
        <v>0.01</v>
      </c>
      <c r="G1675" s="10">
        <v>16539</v>
      </c>
      <c r="H1675">
        <v>7.72</v>
      </c>
      <c r="I1675" s="5">
        <f>ROUND(Marketing[[#This Row],[Clicks]]*Marketing[[#This Row],[Conversion_Rate]],0)</f>
        <v>2</v>
      </c>
      <c r="J1675" s="12">
        <f>Marketing[[#This Row],[Campaign_Cost]]/Marketing[[#This Row],[Customers]]</f>
        <v>8269.5</v>
      </c>
      <c r="K1675" t="s">
        <v>38</v>
      </c>
      <c r="L1675" t="s">
        <v>39</v>
      </c>
      <c r="M1675">
        <v>231</v>
      </c>
      <c r="N1675">
        <v>5714</v>
      </c>
      <c r="O1675">
        <v>2</v>
      </c>
      <c r="P1675" t="s">
        <v>34</v>
      </c>
      <c r="Q1675" s="1">
        <v>44410</v>
      </c>
    </row>
    <row r="1676" spans="1:17" x14ac:dyDescent="0.3">
      <c r="A1676" t="s">
        <v>28</v>
      </c>
      <c r="B1676" t="s">
        <v>15</v>
      </c>
      <c r="C1676" t="s">
        <v>37</v>
      </c>
      <c r="D1676" t="s">
        <v>40</v>
      </c>
      <c r="E1676" t="s">
        <v>43</v>
      </c>
      <c r="F1676" s="9">
        <v>0.04</v>
      </c>
      <c r="G1676" s="10">
        <v>14188</v>
      </c>
      <c r="H1676">
        <v>5.59</v>
      </c>
      <c r="I1676" s="5">
        <f>ROUND(Marketing[[#This Row],[Clicks]]*Marketing[[#This Row],[Conversion_Rate]],0)</f>
        <v>18</v>
      </c>
      <c r="J1676" s="12">
        <f>Marketing[[#This Row],[Campaign_Cost]]/Marketing[[#This Row],[Customers]]</f>
        <v>788.22222222222217</v>
      </c>
      <c r="K1676" t="s">
        <v>51</v>
      </c>
      <c r="L1676" t="s">
        <v>39</v>
      </c>
      <c r="M1676">
        <v>455</v>
      </c>
      <c r="N1676">
        <v>5450</v>
      </c>
      <c r="O1676">
        <v>1</v>
      </c>
      <c r="P1676" t="s">
        <v>44</v>
      </c>
      <c r="Q1676" s="1">
        <v>44411</v>
      </c>
    </row>
    <row r="1677" spans="1:17" x14ac:dyDescent="0.3">
      <c r="A1677" t="s">
        <v>49</v>
      </c>
      <c r="B1677" t="s">
        <v>29</v>
      </c>
      <c r="C1677" t="s">
        <v>30</v>
      </c>
      <c r="D1677" t="s">
        <v>17</v>
      </c>
      <c r="E1677" t="s">
        <v>43</v>
      </c>
      <c r="F1677" s="9">
        <v>0.05</v>
      </c>
      <c r="G1677" s="10">
        <v>9833</v>
      </c>
      <c r="H1677">
        <v>5.21</v>
      </c>
      <c r="I1677" s="5">
        <f>ROUND(Marketing[[#This Row],[Clicks]]*Marketing[[#This Row],[Conversion_Rate]],0)</f>
        <v>43</v>
      </c>
      <c r="J1677" s="12">
        <f>Marketing[[#This Row],[Campaign_Cost]]/Marketing[[#This Row],[Customers]]</f>
        <v>228.67441860465115</v>
      </c>
      <c r="K1677" t="s">
        <v>32</v>
      </c>
      <c r="L1677" t="s">
        <v>33</v>
      </c>
      <c r="M1677">
        <v>854</v>
      </c>
      <c r="N1677">
        <v>4765</v>
      </c>
      <c r="O1677">
        <v>7</v>
      </c>
      <c r="P1677" t="s">
        <v>42</v>
      </c>
      <c r="Q1677" s="1">
        <v>44412</v>
      </c>
    </row>
    <row r="1678" spans="1:17" x14ac:dyDescent="0.3">
      <c r="A1678" t="s">
        <v>49</v>
      </c>
      <c r="B1678" t="s">
        <v>15</v>
      </c>
      <c r="C1678" t="s">
        <v>52</v>
      </c>
      <c r="D1678" t="s">
        <v>24</v>
      </c>
      <c r="E1678" t="s">
        <v>48</v>
      </c>
      <c r="F1678" s="9">
        <v>7.0000000000000007E-2</v>
      </c>
      <c r="G1678" s="10">
        <v>10477</v>
      </c>
      <c r="H1678">
        <v>7.16</v>
      </c>
      <c r="I1678" s="5">
        <f>ROUND(Marketing[[#This Row],[Clicks]]*Marketing[[#This Row],[Conversion_Rate]],0)</f>
        <v>28</v>
      </c>
      <c r="J1678" s="12">
        <f>Marketing[[#This Row],[Campaign_Cost]]/Marketing[[#This Row],[Customers]]</f>
        <v>374.17857142857144</v>
      </c>
      <c r="K1678" t="s">
        <v>51</v>
      </c>
      <c r="L1678" t="s">
        <v>39</v>
      </c>
      <c r="M1678">
        <v>393</v>
      </c>
      <c r="N1678">
        <v>6691</v>
      </c>
      <c r="O1678">
        <v>10</v>
      </c>
      <c r="P1678" t="s">
        <v>21</v>
      </c>
      <c r="Q1678" s="1">
        <v>44413</v>
      </c>
    </row>
    <row r="1679" spans="1:17" x14ac:dyDescent="0.3">
      <c r="A1679" t="s">
        <v>22</v>
      </c>
      <c r="B1679" t="s">
        <v>29</v>
      </c>
      <c r="C1679" t="s">
        <v>52</v>
      </c>
      <c r="D1679" t="s">
        <v>46</v>
      </c>
      <c r="E1679" t="s">
        <v>41</v>
      </c>
      <c r="F1679" s="9">
        <v>0.12</v>
      </c>
      <c r="G1679" s="10">
        <v>19954</v>
      </c>
      <c r="H1679">
        <v>3.18</v>
      </c>
      <c r="I1679" s="5">
        <f>ROUND(Marketing[[#This Row],[Clicks]]*Marketing[[#This Row],[Conversion_Rate]],0)</f>
        <v>107</v>
      </c>
      <c r="J1679" s="12">
        <f>Marketing[[#This Row],[Campaign_Cost]]/Marketing[[#This Row],[Customers]]</f>
        <v>186.48598130841123</v>
      </c>
      <c r="K1679" t="s">
        <v>38</v>
      </c>
      <c r="L1679" t="s">
        <v>26</v>
      </c>
      <c r="M1679">
        <v>892</v>
      </c>
      <c r="N1679">
        <v>2682</v>
      </c>
      <c r="O1679">
        <v>5</v>
      </c>
      <c r="P1679" t="s">
        <v>42</v>
      </c>
      <c r="Q1679" s="1">
        <v>44414</v>
      </c>
    </row>
    <row r="1680" spans="1:17" x14ac:dyDescent="0.3">
      <c r="A1680" t="s">
        <v>49</v>
      </c>
      <c r="B1680" t="s">
        <v>45</v>
      </c>
      <c r="C1680" t="s">
        <v>52</v>
      </c>
      <c r="D1680" t="s">
        <v>46</v>
      </c>
      <c r="E1680" t="s">
        <v>48</v>
      </c>
      <c r="F1680" s="9">
        <v>0.12</v>
      </c>
      <c r="G1680" s="10">
        <v>14024</v>
      </c>
      <c r="H1680">
        <v>6.52</v>
      </c>
      <c r="I1680" s="5">
        <f>ROUND(Marketing[[#This Row],[Clicks]]*Marketing[[#This Row],[Conversion_Rate]],0)</f>
        <v>110</v>
      </c>
      <c r="J1680" s="12">
        <f>Marketing[[#This Row],[Campaign_Cost]]/Marketing[[#This Row],[Customers]]</f>
        <v>127.49090909090908</v>
      </c>
      <c r="K1680" t="s">
        <v>19</v>
      </c>
      <c r="L1680" t="s">
        <v>39</v>
      </c>
      <c r="M1680">
        <v>919</v>
      </c>
      <c r="N1680">
        <v>7475</v>
      </c>
      <c r="O1680">
        <v>3</v>
      </c>
      <c r="P1680" t="s">
        <v>34</v>
      </c>
      <c r="Q1680" s="1">
        <v>44415</v>
      </c>
    </row>
    <row r="1681" spans="1:17" x14ac:dyDescent="0.3">
      <c r="A1681" t="s">
        <v>22</v>
      </c>
      <c r="B1681" t="s">
        <v>29</v>
      </c>
      <c r="C1681" t="s">
        <v>52</v>
      </c>
      <c r="D1681" t="s">
        <v>46</v>
      </c>
      <c r="E1681" t="s">
        <v>41</v>
      </c>
      <c r="F1681" s="9">
        <v>0.13</v>
      </c>
      <c r="G1681" s="10">
        <v>6588</v>
      </c>
      <c r="H1681">
        <v>5.35</v>
      </c>
      <c r="I1681" s="5">
        <f>ROUND(Marketing[[#This Row],[Clicks]]*Marketing[[#This Row],[Conversion_Rate]],0)</f>
        <v>80</v>
      </c>
      <c r="J1681" s="12">
        <f>Marketing[[#This Row],[Campaign_Cost]]/Marketing[[#This Row],[Customers]]</f>
        <v>82.35</v>
      </c>
      <c r="K1681" t="s">
        <v>25</v>
      </c>
      <c r="L1681" t="s">
        <v>26</v>
      </c>
      <c r="M1681">
        <v>617</v>
      </c>
      <c r="N1681">
        <v>9331</v>
      </c>
      <c r="O1681">
        <v>5</v>
      </c>
      <c r="P1681" t="s">
        <v>34</v>
      </c>
      <c r="Q1681" s="1">
        <v>44416</v>
      </c>
    </row>
    <row r="1682" spans="1:17" x14ac:dyDescent="0.3">
      <c r="A1682" t="s">
        <v>22</v>
      </c>
      <c r="B1682" t="s">
        <v>45</v>
      </c>
      <c r="C1682" t="s">
        <v>52</v>
      </c>
      <c r="D1682" t="s">
        <v>46</v>
      </c>
      <c r="E1682" t="s">
        <v>15</v>
      </c>
      <c r="F1682" s="9">
        <v>0.09</v>
      </c>
      <c r="G1682" s="10">
        <v>13734</v>
      </c>
      <c r="H1682">
        <v>6.34</v>
      </c>
      <c r="I1682" s="5">
        <f>ROUND(Marketing[[#This Row],[Clicks]]*Marketing[[#This Row],[Conversion_Rate]],0)</f>
        <v>81</v>
      </c>
      <c r="J1682" s="12">
        <f>Marketing[[#This Row],[Campaign_Cost]]/Marketing[[#This Row],[Customers]]</f>
        <v>169.55555555555554</v>
      </c>
      <c r="K1682" t="s">
        <v>25</v>
      </c>
      <c r="L1682" t="s">
        <v>50</v>
      </c>
      <c r="M1682">
        <v>905</v>
      </c>
      <c r="N1682">
        <v>2346</v>
      </c>
      <c r="O1682">
        <v>5</v>
      </c>
      <c r="P1682" t="s">
        <v>21</v>
      </c>
      <c r="Q1682" s="1">
        <v>44417</v>
      </c>
    </row>
    <row r="1683" spans="1:17" x14ac:dyDescent="0.3">
      <c r="A1683" t="s">
        <v>49</v>
      </c>
      <c r="B1683" t="s">
        <v>36</v>
      </c>
      <c r="C1683" t="s">
        <v>30</v>
      </c>
      <c r="D1683" t="s">
        <v>17</v>
      </c>
      <c r="E1683" t="s">
        <v>15</v>
      </c>
      <c r="F1683" s="9">
        <v>0.09</v>
      </c>
      <c r="G1683" s="10">
        <v>16794</v>
      </c>
      <c r="H1683">
        <v>2.4300000000000002</v>
      </c>
      <c r="I1683" s="5">
        <f>ROUND(Marketing[[#This Row],[Clicks]]*Marketing[[#This Row],[Conversion_Rate]],0)</f>
        <v>79</v>
      </c>
      <c r="J1683" s="12">
        <f>Marketing[[#This Row],[Campaign_Cost]]/Marketing[[#This Row],[Customers]]</f>
        <v>212.58227848101265</v>
      </c>
      <c r="K1683" t="s">
        <v>19</v>
      </c>
      <c r="L1683" t="s">
        <v>26</v>
      </c>
      <c r="M1683">
        <v>873</v>
      </c>
      <c r="N1683">
        <v>2646</v>
      </c>
      <c r="O1683">
        <v>10</v>
      </c>
      <c r="P1683" t="s">
        <v>27</v>
      </c>
      <c r="Q1683" s="1">
        <v>44418</v>
      </c>
    </row>
    <row r="1684" spans="1:17" x14ac:dyDescent="0.3">
      <c r="A1684" t="s">
        <v>35</v>
      </c>
      <c r="B1684" t="s">
        <v>29</v>
      </c>
      <c r="C1684" t="s">
        <v>37</v>
      </c>
      <c r="D1684" t="s">
        <v>24</v>
      </c>
      <c r="E1684" t="s">
        <v>15</v>
      </c>
      <c r="F1684" s="9">
        <v>0.04</v>
      </c>
      <c r="G1684" s="10">
        <v>17413</v>
      </c>
      <c r="H1684">
        <v>7.42</v>
      </c>
      <c r="I1684" s="5">
        <f>ROUND(Marketing[[#This Row],[Clicks]]*Marketing[[#This Row],[Conversion_Rate]],0)</f>
        <v>4</v>
      </c>
      <c r="J1684" s="12">
        <f>Marketing[[#This Row],[Campaign_Cost]]/Marketing[[#This Row],[Customers]]</f>
        <v>4353.25</v>
      </c>
      <c r="K1684" t="s">
        <v>19</v>
      </c>
      <c r="L1684" t="s">
        <v>26</v>
      </c>
      <c r="M1684">
        <v>103</v>
      </c>
      <c r="N1684">
        <v>7665</v>
      </c>
      <c r="O1684">
        <v>8</v>
      </c>
      <c r="P1684" t="s">
        <v>44</v>
      </c>
      <c r="Q1684" s="1">
        <v>44419</v>
      </c>
    </row>
    <row r="1685" spans="1:17" x14ac:dyDescent="0.3">
      <c r="A1685" t="s">
        <v>22</v>
      </c>
      <c r="B1685" t="s">
        <v>29</v>
      </c>
      <c r="C1685" t="s">
        <v>52</v>
      </c>
      <c r="D1685" t="s">
        <v>46</v>
      </c>
      <c r="E1685" t="s">
        <v>31</v>
      </c>
      <c r="F1685" s="9">
        <v>0.11</v>
      </c>
      <c r="G1685" s="10">
        <v>11611</v>
      </c>
      <c r="H1685">
        <v>3.48</v>
      </c>
      <c r="I1685" s="5">
        <f>ROUND(Marketing[[#This Row],[Clicks]]*Marketing[[#This Row],[Conversion_Rate]],0)</f>
        <v>36</v>
      </c>
      <c r="J1685" s="12">
        <f>Marketing[[#This Row],[Campaign_Cost]]/Marketing[[#This Row],[Customers]]</f>
        <v>322.52777777777777</v>
      </c>
      <c r="K1685" t="s">
        <v>32</v>
      </c>
      <c r="L1685" t="s">
        <v>20</v>
      </c>
      <c r="M1685">
        <v>329</v>
      </c>
      <c r="N1685">
        <v>6390</v>
      </c>
      <c r="O1685">
        <v>1</v>
      </c>
      <c r="P1685" t="s">
        <v>44</v>
      </c>
      <c r="Q1685" s="1">
        <v>44420</v>
      </c>
    </row>
    <row r="1686" spans="1:17" x14ac:dyDescent="0.3">
      <c r="A1686" t="s">
        <v>49</v>
      </c>
      <c r="B1686" t="s">
        <v>15</v>
      </c>
      <c r="C1686" t="s">
        <v>30</v>
      </c>
      <c r="D1686" t="s">
        <v>46</v>
      </c>
      <c r="E1686" t="s">
        <v>18</v>
      </c>
      <c r="F1686" s="9">
        <v>0.11</v>
      </c>
      <c r="G1686" s="10">
        <v>12967</v>
      </c>
      <c r="H1686">
        <v>3.8</v>
      </c>
      <c r="I1686" s="5">
        <f>ROUND(Marketing[[#This Row],[Clicks]]*Marketing[[#This Row],[Conversion_Rate]],0)</f>
        <v>89</v>
      </c>
      <c r="J1686" s="12">
        <f>Marketing[[#This Row],[Campaign_Cost]]/Marketing[[#This Row],[Customers]]</f>
        <v>145.69662921348313</v>
      </c>
      <c r="K1686" t="s">
        <v>32</v>
      </c>
      <c r="L1686" t="s">
        <v>20</v>
      </c>
      <c r="M1686">
        <v>812</v>
      </c>
      <c r="N1686">
        <v>7207</v>
      </c>
      <c r="O1686">
        <v>5</v>
      </c>
      <c r="P1686" t="s">
        <v>27</v>
      </c>
      <c r="Q1686" s="1">
        <v>44421</v>
      </c>
    </row>
    <row r="1687" spans="1:17" x14ac:dyDescent="0.3">
      <c r="A1687" t="s">
        <v>28</v>
      </c>
      <c r="B1687" t="s">
        <v>47</v>
      </c>
      <c r="C1687" t="s">
        <v>23</v>
      </c>
      <c r="D1687" t="s">
        <v>46</v>
      </c>
      <c r="E1687" t="s">
        <v>48</v>
      </c>
      <c r="F1687" s="9">
        <v>0.12</v>
      </c>
      <c r="G1687" s="10">
        <v>18006</v>
      </c>
      <c r="H1687">
        <v>3.81</v>
      </c>
      <c r="I1687" s="5">
        <f>ROUND(Marketing[[#This Row],[Clicks]]*Marketing[[#This Row],[Conversion_Rate]],0)</f>
        <v>23</v>
      </c>
      <c r="J1687" s="12">
        <f>Marketing[[#This Row],[Campaign_Cost]]/Marketing[[#This Row],[Customers]]</f>
        <v>782.86956521739125</v>
      </c>
      <c r="K1687" t="s">
        <v>25</v>
      </c>
      <c r="L1687" t="s">
        <v>20</v>
      </c>
      <c r="M1687">
        <v>190</v>
      </c>
      <c r="N1687">
        <v>5179</v>
      </c>
      <c r="O1687">
        <v>1</v>
      </c>
      <c r="P1687" t="s">
        <v>44</v>
      </c>
      <c r="Q1687" s="1">
        <v>44422</v>
      </c>
    </row>
    <row r="1688" spans="1:17" x14ac:dyDescent="0.3">
      <c r="A1688" t="s">
        <v>22</v>
      </c>
      <c r="B1688" t="s">
        <v>36</v>
      </c>
      <c r="C1688" t="s">
        <v>16</v>
      </c>
      <c r="D1688" t="s">
        <v>17</v>
      </c>
      <c r="E1688" t="s">
        <v>31</v>
      </c>
      <c r="F1688" s="9">
        <v>0.11</v>
      </c>
      <c r="G1688" s="10">
        <v>12463</v>
      </c>
      <c r="H1688">
        <v>7.19</v>
      </c>
      <c r="I1688" s="5">
        <f>ROUND(Marketing[[#This Row],[Clicks]]*Marketing[[#This Row],[Conversion_Rate]],0)</f>
        <v>61</v>
      </c>
      <c r="J1688" s="12">
        <f>Marketing[[#This Row],[Campaign_Cost]]/Marketing[[#This Row],[Customers]]</f>
        <v>204.31147540983608</v>
      </c>
      <c r="K1688" t="s">
        <v>38</v>
      </c>
      <c r="L1688" t="s">
        <v>20</v>
      </c>
      <c r="M1688">
        <v>554</v>
      </c>
      <c r="N1688">
        <v>4368</v>
      </c>
      <c r="O1688">
        <v>2</v>
      </c>
      <c r="P1688" t="s">
        <v>27</v>
      </c>
      <c r="Q1688" s="1">
        <v>44423</v>
      </c>
    </row>
    <row r="1689" spans="1:17" x14ac:dyDescent="0.3">
      <c r="A1689" t="s">
        <v>28</v>
      </c>
      <c r="B1689" t="s">
        <v>15</v>
      </c>
      <c r="C1689" t="s">
        <v>30</v>
      </c>
      <c r="D1689" t="s">
        <v>17</v>
      </c>
      <c r="E1689" t="s">
        <v>41</v>
      </c>
      <c r="F1689" s="9">
        <v>0.11</v>
      </c>
      <c r="G1689" s="10">
        <v>9951</v>
      </c>
      <c r="H1689">
        <v>5.46</v>
      </c>
      <c r="I1689" s="5">
        <f>ROUND(Marketing[[#This Row],[Clicks]]*Marketing[[#This Row],[Conversion_Rate]],0)</f>
        <v>39</v>
      </c>
      <c r="J1689" s="12">
        <f>Marketing[[#This Row],[Campaign_Cost]]/Marketing[[#This Row],[Customers]]</f>
        <v>255.15384615384616</v>
      </c>
      <c r="K1689" t="s">
        <v>25</v>
      </c>
      <c r="L1689" t="s">
        <v>20</v>
      </c>
      <c r="M1689">
        <v>359</v>
      </c>
      <c r="N1689">
        <v>5375</v>
      </c>
      <c r="O1689">
        <v>5</v>
      </c>
      <c r="P1689" t="s">
        <v>34</v>
      </c>
      <c r="Q1689" s="1">
        <v>44424</v>
      </c>
    </row>
    <row r="1690" spans="1:17" x14ac:dyDescent="0.3">
      <c r="A1690" t="s">
        <v>14</v>
      </c>
      <c r="B1690" t="s">
        <v>29</v>
      </c>
      <c r="C1690" t="s">
        <v>37</v>
      </c>
      <c r="D1690" t="s">
        <v>46</v>
      </c>
      <c r="E1690" t="s">
        <v>31</v>
      </c>
      <c r="F1690" s="9">
        <v>0.08</v>
      </c>
      <c r="G1690" s="10">
        <v>15619</v>
      </c>
      <c r="H1690">
        <v>4.97</v>
      </c>
      <c r="I1690" s="5">
        <f>ROUND(Marketing[[#This Row],[Clicks]]*Marketing[[#This Row],[Conversion_Rate]],0)</f>
        <v>50</v>
      </c>
      <c r="J1690" s="12">
        <f>Marketing[[#This Row],[Campaign_Cost]]/Marketing[[#This Row],[Customers]]</f>
        <v>312.38</v>
      </c>
      <c r="K1690" t="s">
        <v>32</v>
      </c>
      <c r="L1690" t="s">
        <v>20</v>
      </c>
      <c r="M1690">
        <v>622</v>
      </c>
      <c r="N1690">
        <v>5492</v>
      </c>
      <c r="O1690">
        <v>10</v>
      </c>
      <c r="P1690" t="s">
        <v>42</v>
      </c>
      <c r="Q1690" s="1">
        <v>44425</v>
      </c>
    </row>
    <row r="1691" spans="1:17" x14ac:dyDescent="0.3">
      <c r="A1691" t="s">
        <v>22</v>
      </c>
      <c r="B1691" t="s">
        <v>15</v>
      </c>
      <c r="C1691" t="s">
        <v>16</v>
      </c>
      <c r="D1691" t="s">
        <v>46</v>
      </c>
      <c r="E1691" t="s">
        <v>48</v>
      </c>
      <c r="F1691" s="9">
        <v>0.12</v>
      </c>
      <c r="G1691" s="10">
        <v>5041</v>
      </c>
      <c r="H1691">
        <v>2.48</v>
      </c>
      <c r="I1691" s="5">
        <f>ROUND(Marketing[[#This Row],[Clicks]]*Marketing[[#This Row],[Conversion_Rate]],0)</f>
        <v>39</v>
      </c>
      <c r="J1691" s="12">
        <f>Marketing[[#This Row],[Campaign_Cost]]/Marketing[[#This Row],[Customers]]</f>
        <v>129.25641025641025</v>
      </c>
      <c r="K1691" t="s">
        <v>25</v>
      </c>
      <c r="L1691" t="s">
        <v>26</v>
      </c>
      <c r="M1691">
        <v>325</v>
      </c>
      <c r="N1691">
        <v>9889</v>
      </c>
      <c r="O1691">
        <v>1</v>
      </c>
      <c r="P1691" t="s">
        <v>42</v>
      </c>
      <c r="Q1691" s="1">
        <v>44426</v>
      </c>
    </row>
    <row r="1692" spans="1:17" x14ac:dyDescent="0.3">
      <c r="A1692" t="s">
        <v>14</v>
      </c>
      <c r="B1692" t="s">
        <v>36</v>
      </c>
      <c r="C1692" t="s">
        <v>30</v>
      </c>
      <c r="D1692" t="s">
        <v>46</v>
      </c>
      <c r="E1692" t="s">
        <v>41</v>
      </c>
      <c r="F1692" s="9">
        <v>0.12</v>
      </c>
      <c r="G1692" s="10">
        <v>8888</v>
      </c>
      <c r="H1692">
        <v>7.16</v>
      </c>
      <c r="I1692" s="5">
        <f>ROUND(Marketing[[#This Row],[Clicks]]*Marketing[[#This Row],[Conversion_Rate]],0)</f>
        <v>81</v>
      </c>
      <c r="J1692" s="12">
        <f>Marketing[[#This Row],[Campaign_Cost]]/Marketing[[#This Row],[Customers]]</f>
        <v>109.72839506172839</v>
      </c>
      <c r="K1692" t="s">
        <v>32</v>
      </c>
      <c r="L1692" t="s">
        <v>26</v>
      </c>
      <c r="M1692">
        <v>672</v>
      </c>
      <c r="N1692">
        <v>3267</v>
      </c>
      <c r="O1692">
        <v>1</v>
      </c>
      <c r="P1692" t="s">
        <v>21</v>
      </c>
      <c r="Q1692" s="1">
        <v>44427</v>
      </c>
    </row>
    <row r="1693" spans="1:17" x14ac:dyDescent="0.3">
      <c r="A1693" t="s">
        <v>22</v>
      </c>
      <c r="B1693" t="s">
        <v>47</v>
      </c>
      <c r="C1693" t="s">
        <v>30</v>
      </c>
      <c r="D1693" t="s">
        <v>40</v>
      </c>
      <c r="E1693" t="s">
        <v>41</v>
      </c>
      <c r="F1693" s="9">
        <v>0.12</v>
      </c>
      <c r="G1693" s="10">
        <v>9592</v>
      </c>
      <c r="H1693">
        <v>6.49</v>
      </c>
      <c r="I1693" s="5">
        <f>ROUND(Marketing[[#This Row],[Clicks]]*Marketing[[#This Row],[Conversion_Rate]],0)</f>
        <v>64</v>
      </c>
      <c r="J1693" s="12">
        <f>Marketing[[#This Row],[Campaign_Cost]]/Marketing[[#This Row],[Customers]]</f>
        <v>149.875</v>
      </c>
      <c r="K1693" t="s">
        <v>51</v>
      </c>
      <c r="L1693" t="s">
        <v>39</v>
      </c>
      <c r="M1693">
        <v>533</v>
      </c>
      <c r="N1693">
        <v>6410</v>
      </c>
      <c r="O1693">
        <v>4</v>
      </c>
      <c r="P1693" t="s">
        <v>21</v>
      </c>
      <c r="Q1693" s="1">
        <v>44428</v>
      </c>
    </row>
    <row r="1694" spans="1:17" x14ac:dyDescent="0.3">
      <c r="A1694" t="s">
        <v>22</v>
      </c>
      <c r="B1694" t="s">
        <v>45</v>
      </c>
      <c r="C1694" t="s">
        <v>16</v>
      </c>
      <c r="D1694" t="s">
        <v>40</v>
      </c>
      <c r="E1694" t="s">
        <v>41</v>
      </c>
      <c r="F1694" s="9">
        <v>0.08</v>
      </c>
      <c r="G1694" s="10">
        <v>11528</v>
      </c>
      <c r="H1694">
        <v>3.25</v>
      </c>
      <c r="I1694" s="5">
        <f>ROUND(Marketing[[#This Row],[Clicks]]*Marketing[[#This Row],[Conversion_Rate]],0)</f>
        <v>59</v>
      </c>
      <c r="J1694" s="12">
        <f>Marketing[[#This Row],[Campaign_Cost]]/Marketing[[#This Row],[Customers]]</f>
        <v>195.38983050847457</v>
      </c>
      <c r="K1694" t="s">
        <v>19</v>
      </c>
      <c r="L1694" t="s">
        <v>33</v>
      </c>
      <c r="M1694">
        <v>734</v>
      </c>
      <c r="N1694">
        <v>6149</v>
      </c>
      <c r="O1694">
        <v>8</v>
      </c>
      <c r="P1694" t="s">
        <v>44</v>
      </c>
      <c r="Q1694" s="1">
        <v>44429</v>
      </c>
    </row>
    <row r="1695" spans="1:17" x14ac:dyDescent="0.3">
      <c r="A1695" t="s">
        <v>22</v>
      </c>
      <c r="B1695" t="s">
        <v>47</v>
      </c>
      <c r="C1695" t="s">
        <v>37</v>
      </c>
      <c r="D1695" t="s">
        <v>46</v>
      </c>
      <c r="E1695" t="s">
        <v>18</v>
      </c>
      <c r="F1695" s="9">
        <v>0.12</v>
      </c>
      <c r="G1695" s="10">
        <v>13117</v>
      </c>
      <c r="H1695">
        <v>3.65</v>
      </c>
      <c r="I1695" s="5">
        <f>ROUND(Marketing[[#This Row],[Clicks]]*Marketing[[#This Row],[Conversion_Rate]],0)</f>
        <v>54</v>
      </c>
      <c r="J1695" s="12">
        <f>Marketing[[#This Row],[Campaign_Cost]]/Marketing[[#This Row],[Customers]]</f>
        <v>242.90740740740742</v>
      </c>
      <c r="K1695" t="s">
        <v>25</v>
      </c>
      <c r="L1695" t="s">
        <v>26</v>
      </c>
      <c r="M1695">
        <v>453</v>
      </c>
      <c r="N1695">
        <v>2223</v>
      </c>
      <c r="O1695">
        <v>4</v>
      </c>
      <c r="P1695" t="s">
        <v>44</v>
      </c>
      <c r="Q1695" s="1">
        <v>44430</v>
      </c>
    </row>
    <row r="1696" spans="1:17" x14ac:dyDescent="0.3">
      <c r="A1696" t="s">
        <v>14</v>
      </c>
      <c r="B1696" t="s">
        <v>29</v>
      </c>
      <c r="C1696" t="s">
        <v>23</v>
      </c>
      <c r="D1696" t="s">
        <v>46</v>
      </c>
      <c r="E1696" t="s">
        <v>41</v>
      </c>
      <c r="F1696" s="9">
        <v>0.05</v>
      </c>
      <c r="G1696" s="10">
        <v>8151</v>
      </c>
      <c r="H1696">
        <v>3.38</v>
      </c>
      <c r="I1696" s="5">
        <f>ROUND(Marketing[[#This Row],[Clicks]]*Marketing[[#This Row],[Conversion_Rate]],0)</f>
        <v>21</v>
      </c>
      <c r="J1696" s="12">
        <f>Marketing[[#This Row],[Campaign_Cost]]/Marketing[[#This Row],[Customers]]</f>
        <v>388.14285714285717</v>
      </c>
      <c r="K1696" t="s">
        <v>25</v>
      </c>
      <c r="L1696" t="s">
        <v>33</v>
      </c>
      <c r="M1696">
        <v>426</v>
      </c>
      <c r="N1696">
        <v>2738</v>
      </c>
      <c r="O1696">
        <v>7</v>
      </c>
      <c r="P1696" t="s">
        <v>34</v>
      </c>
      <c r="Q1696" s="1">
        <v>44431</v>
      </c>
    </row>
    <row r="1697" spans="1:17" x14ac:dyDescent="0.3">
      <c r="A1697" t="s">
        <v>35</v>
      </c>
      <c r="B1697" t="s">
        <v>29</v>
      </c>
      <c r="C1697" t="s">
        <v>52</v>
      </c>
      <c r="D1697" t="s">
        <v>46</v>
      </c>
      <c r="E1697" t="s">
        <v>31</v>
      </c>
      <c r="F1697" s="9">
        <v>0.11</v>
      </c>
      <c r="G1697" s="10">
        <v>14382</v>
      </c>
      <c r="H1697">
        <v>2.54</v>
      </c>
      <c r="I1697" s="5">
        <f>ROUND(Marketing[[#This Row],[Clicks]]*Marketing[[#This Row],[Conversion_Rate]],0)</f>
        <v>17</v>
      </c>
      <c r="J1697" s="12">
        <f>Marketing[[#This Row],[Campaign_Cost]]/Marketing[[#This Row],[Customers]]</f>
        <v>846</v>
      </c>
      <c r="K1697" t="s">
        <v>38</v>
      </c>
      <c r="L1697" t="s">
        <v>50</v>
      </c>
      <c r="M1697">
        <v>151</v>
      </c>
      <c r="N1697">
        <v>8281</v>
      </c>
      <c r="O1697">
        <v>1</v>
      </c>
      <c r="P1697" t="s">
        <v>34</v>
      </c>
      <c r="Q1697" s="1">
        <v>44432</v>
      </c>
    </row>
    <row r="1698" spans="1:17" x14ac:dyDescent="0.3">
      <c r="A1698" t="s">
        <v>14</v>
      </c>
      <c r="B1698" t="s">
        <v>45</v>
      </c>
      <c r="C1698" t="s">
        <v>23</v>
      </c>
      <c r="D1698" t="s">
        <v>24</v>
      </c>
      <c r="E1698" t="s">
        <v>48</v>
      </c>
      <c r="F1698" s="9">
        <v>0.04</v>
      </c>
      <c r="G1698" s="10">
        <v>11903</v>
      </c>
      <c r="H1698">
        <v>3.8</v>
      </c>
      <c r="I1698" s="5">
        <f>ROUND(Marketing[[#This Row],[Clicks]]*Marketing[[#This Row],[Conversion_Rate]],0)</f>
        <v>12</v>
      </c>
      <c r="J1698" s="12">
        <f>Marketing[[#This Row],[Campaign_Cost]]/Marketing[[#This Row],[Customers]]</f>
        <v>991.91666666666663</v>
      </c>
      <c r="K1698" t="s">
        <v>25</v>
      </c>
      <c r="L1698" t="s">
        <v>20</v>
      </c>
      <c r="M1698">
        <v>310</v>
      </c>
      <c r="N1698">
        <v>1592</v>
      </c>
      <c r="O1698">
        <v>1</v>
      </c>
      <c r="P1698" t="s">
        <v>27</v>
      </c>
      <c r="Q1698" s="1">
        <v>44433</v>
      </c>
    </row>
    <row r="1699" spans="1:17" x14ac:dyDescent="0.3">
      <c r="A1699" t="s">
        <v>49</v>
      </c>
      <c r="B1699" t="s">
        <v>36</v>
      </c>
      <c r="C1699" t="s">
        <v>16</v>
      </c>
      <c r="D1699" t="s">
        <v>17</v>
      </c>
      <c r="E1699" t="s">
        <v>48</v>
      </c>
      <c r="F1699" s="9">
        <v>0.14000000000000001</v>
      </c>
      <c r="G1699" s="10">
        <v>15981</v>
      </c>
      <c r="H1699">
        <v>5.93</v>
      </c>
      <c r="I1699" s="5">
        <f>ROUND(Marketing[[#This Row],[Clicks]]*Marketing[[#This Row],[Conversion_Rate]],0)</f>
        <v>51</v>
      </c>
      <c r="J1699" s="12">
        <f>Marketing[[#This Row],[Campaign_Cost]]/Marketing[[#This Row],[Customers]]</f>
        <v>313.35294117647061</v>
      </c>
      <c r="K1699" t="s">
        <v>51</v>
      </c>
      <c r="L1699" t="s">
        <v>39</v>
      </c>
      <c r="M1699">
        <v>366</v>
      </c>
      <c r="N1699">
        <v>8470</v>
      </c>
      <c r="O1699">
        <v>3</v>
      </c>
      <c r="P1699" t="s">
        <v>21</v>
      </c>
      <c r="Q1699" s="1">
        <v>44434</v>
      </c>
    </row>
    <row r="1700" spans="1:17" x14ac:dyDescent="0.3">
      <c r="A1700" t="s">
        <v>22</v>
      </c>
      <c r="B1700" t="s">
        <v>29</v>
      </c>
      <c r="C1700" t="s">
        <v>37</v>
      </c>
      <c r="D1700" t="s">
        <v>24</v>
      </c>
      <c r="E1700" t="s">
        <v>41</v>
      </c>
      <c r="F1700" s="9">
        <v>0.11</v>
      </c>
      <c r="G1700" s="10">
        <v>12604</v>
      </c>
      <c r="H1700">
        <v>7.79</v>
      </c>
      <c r="I1700" s="5">
        <f>ROUND(Marketing[[#This Row],[Clicks]]*Marketing[[#This Row],[Conversion_Rate]],0)</f>
        <v>81</v>
      </c>
      <c r="J1700" s="12">
        <f>Marketing[[#This Row],[Campaign_Cost]]/Marketing[[#This Row],[Customers]]</f>
        <v>155.60493827160494</v>
      </c>
      <c r="K1700" t="s">
        <v>25</v>
      </c>
      <c r="L1700" t="s">
        <v>33</v>
      </c>
      <c r="M1700">
        <v>738</v>
      </c>
      <c r="N1700">
        <v>5191</v>
      </c>
      <c r="O1700">
        <v>3</v>
      </c>
      <c r="P1700" t="s">
        <v>21</v>
      </c>
      <c r="Q1700" s="1">
        <v>44435</v>
      </c>
    </row>
    <row r="1701" spans="1:17" x14ac:dyDescent="0.3">
      <c r="A1701" t="s">
        <v>49</v>
      </c>
      <c r="B1701" t="s">
        <v>47</v>
      </c>
      <c r="C1701" t="s">
        <v>30</v>
      </c>
      <c r="D1701" t="s">
        <v>40</v>
      </c>
      <c r="E1701" t="s">
        <v>31</v>
      </c>
      <c r="F1701" s="9">
        <v>0.01</v>
      </c>
      <c r="G1701" s="10">
        <v>6611</v>
      </c>
      <c r="H1701">
        <v>7.88</v>
      </c>
      <c r="I1701" s="5">
        <f>ROUND(Marketing[[#This Row],[Clicks]]*Marketing[[#This Row],[Conversion_Rate]],0)</f>
        <v>7</v>
      </c>
      <c r="J1701" s="12">
        <f>Marketing[[#This Row],[Campaign_Cost]]/Marketing[[#This Row],[Customers]]</f>
        <v>944.42857142857144</v>
      </c>
      <c r="K1701" t="s">
        <v>32</v>
      </c>
      <c r="L1701" t="s">
        <v>50</v>
      </c>
      <c r="M1701">
        <v>708</v>
      </c>
      <c r="N1701">
        <v>1517</v>
      </c>
      <c r="O1701">
        <v>2</v>
      </c>
      <c r="P1701" t="s">
        <v>34</v>
      </c>
      <c r="Q1701" s="1">
        <v>44436</v>
      </c>
    </row>
    <row r="1702" spans="1:17" x14ac:dyDescent="0.3">
      <c r="A1702" t="s">
        <v>28</v>
      </c>
      <c r="B1702" t="s">
        <v>45</v>
      </c>
      <c r="C1702" t="s">
        <v>37</v>
      </c>
      <c r="D1702" t="s">
        <v>46</v>
      </c>
      <c r="E1702" t="s">
        <v>15</v>
      </c>
      <c r="F1702" s="9">
        <v>0.12</v>
      </c>
      <c r="G1702" s="10">
        <v>14831</v>
      </c>
      <c r="H1702">
        <v>5.71</v>
      </c>
      <c r="I1702" s="5">
        <f>ROUND(Marketing[[#This Row],[Clicks]]*Marketing[[#This Row],[Conversion_Rate]],0)</f>
        <v>70</v>
      </c>
      <c r="J1702" s="12">
        <f>Marketing[[#This Row],[Campaign_Cost]]/Marketing[[#This Row],[Customers]]</f>
        <v>211.87142857142857</v>
      </c>
      <c r="K1702" t="s">
        <v>38</v>
      </c>
      <c r="L1702" t="s">
        <v>39</v>
      </c>
      <c r="M1702">
        <v>582</v>
      </c>
      <c r="N1702">
        <v>4369</v>
      </c>
      <c r="O1702">
        <v>2</v>
      </c>
      <c r="P1702" t="s">
        <v>42</v>
      </c>
      <c r="Q1702" s="1">
        <v>44437</v>
      </c>
    </row>
    <row r="1703" spans="1:17" x14ac:dyDescent="0.3">
      <c r="A1703" t="s">
        <v>28</v>
      </c>
      <c r="B1703" t="s">
        <v>45</v>
      </c>
      <c r="C1703" t="s">
        <v>37</v>
      </c>
      <c r="D1703" t="s">
        <v>24</v>
      </c>
      <c r="E1703" t="s">
        <v>15</v>
      </c>
      <c r="F1703" s="9">
        <v>0.06</v>
      </c>
      <c r="G1703" s="10">
        <v>18219</v>
      </c>
      <c r="H1703">
        <v>6.71</v>
      </c>
      <c r="I1703" s="5">
        <f>ROUND(Marketing[[#This Row],[Clicks]]*Marketing[[#This Row],[Conversion_Rate]],0)</f>
        <v>34</v>
      </c>
      <c r="J1703" s="12">
        <f>Marketing[[#This Row],[Campaign_Cost]]/Marketing[[#This Row],[Customers]]</f>
        <v>535.85294117647061</v>
      </c>
      <c r="K1703" t="s">
        <v>38</v>
      </c>
      <c r="L1703" t="s">
        <v>33</v>
      </c>
      <c r="M1703">
        <v>567</v>
      </c>
      <c r="N1703">
        <v>8115</v>
      </c>
      <c r="O1703">
        <v>6</v>
      </c>
      <c r="P1703" t="s">
        <v>27</v>
      </c>
      <c r="Q1703" s="1">
        <v>44438</v>
      </c>
    </row>
    <row r="1704" spans="1:17" x14ac:dyDescent="0.3">
      <c r="A1704" t="s">
        <v>35</v>
      </c>
      <c r="B1704" t="s">
        <v>15</v>
      </c>
      <c r="C1704" t="s">
        <v>23</v>
      </c>
      <c r="D1704" t="s">
        <v>24</v>
      </c>
      <c r="E1704" t="s">
        <v>48</v>
      </c>
      <c r="F1704" s="9">
        <v>0.11</v>
      </c>
      <c r="G1704" s="10">
        <v>18961</v>
      </c>
      <c r="H1704">
        <v>6.41</v>
      </c>
      <c r="I1704" s="5">
        <f>ROUND(Marketing[[#This Row],[Clicks]]*Marketing[[#This Row],[Conversion_Rate]],0)</f>
        <v>26</v>
      </c>
      <c r="J1704" s="12">
        <f>Marketing[[#This Row],[Campaign_Cost]]/Marketing[[#This Row],[Customers]]</f>
        <v>729.26923076923072</v>
      </c>
      <c r="K1704" t="s">
        <v>32</v>
      </c>
      <c r="L1704" t="s">
        <v>26</v>
      </c>
      <c r="M1704">
        <v>236</v>
      </c>
      <c r="N1704">
        <v>5397</v>
      </c>
      <c r="O1704">
        <v>6</v>
      </c>
      <c r="P1704" t="s">
        <v>21</v>
      </c>
      <c r="Q1704" s="1">
        <v>44439</v>
      </c>
    </row>
    <row r="1705" spans="1:17" x14ac:dyDescent="0.3">
      <c r="A1705" t="s">
        <v>35</v>
      </c>
      <c r="B1705" t="s">
        <v>47</v>
      </c>
      <c r="C1705" t="s">
        <v>16</v>
      </c>
      <c r="D1705" t="s">
        <v>46</v>
      </c>
      <c r="E1705" t="s">
        <v>18</v>
      </c>
      <c r="F1705" s="9">
        <v>0.11</v>
      </c>
      <c r="G1705" s="10">
        <v>15136</v>
      </c>
      <c r="H1705">
        <v>4.6900000000000004</v>
      </c>
      <c r="I1705" s="5">
        <f>ROUND(Marketing[[#This Row],[Clicks]]*Marketing[[#This Row],[Conversion_Rate]],0)</f>
        <v>33</v>
      </c>
      <c r="J1705" s="12">
        <f>Marketing[[#This Row],[Campaign_Cost]]/Marketing[[#This Row],[Customers]]</f>
        <v>458.66666666666669</v>
      </c>
      <c r="K1705" t="s">
        <v>25</v>
      </c>
      <c r="L1705" t="s">
        <v>26</v>
      </c>
      <c r="M1705">
        <v>299</v>
      </c>
      <c r="N1705">
        <v>1222</v>
      </c>
      <c r="O1705">
        <v>7</v>
      </c>
      <c r="P1705" t="s">
        <v>42</v>
      </c>
      <c r="Q1705" s="1">
        <v>44440</v>
      </c>
    </row>
    <row r="1706" spans="1:17" x14ac:dyDescent="0.3">
      <c r="A1706" t="s">
        <v>35</v>
      </c>
      <c r="B1706" t="s">
        <v>45</v>
      </c>
      <c r="C1706" t="s">
        <v>37</v>
      </c>
      <c r="D1706" t="s">
        <v>24</v>
      </c>
      <c r="E1706" t="s">
        <v>41</v>
      </c>
      <c r="F1706" s="9">
        <v>0.04</v>
      </c>
      <c r="G1706" s="10">
        <v>19380</v>
      </c>
      <c r="H1706">
        <v>5.31</v>
      </c>
      <c r="I1706" s="5">
        <f>ROUND(Marketing[[#This Row],[Clicks]]*Marketing[[#This Row],[Conversion_Rate]],0)</f>
        <v>35</v>
      </c>
      <c r="J1706" s="12">
        <f>Marketing[[#This Row],[Campaign_Cost]]/Marketing[[#This Row],[Customers]]</f>
        <v>553.71428571428567</v>
      </c>
      <c r="K1706" t="s">
        <v>32</v>
      </c>
      <c r="L1706" t="s">
        <v>20</v>
      </c>
      <c r="M1706">
        <v>876</v>
      </c>
      <c r="N1706">
        <v>3492</v>
      </c>
      <c r="O1706">
        <v>4</v>
      </c>
      <c r="P1706" t="s">
        <v>34</v>
      </c>
      <c r="Q1706" s="1">
        <v>44441</v>
      </c>
    </row>
    <row r="1707" spans="1:17" x14ac:dyDescent="0.3">
      <c r="A1707" t="s">
        <v>49</v>
      </c>
      <c r="B1707" t="s">
        <v>29</v>
      </c>
      <c r="C1707" t="s">
        <v>37</v>
      </c>
      <c r="D1707" t="s">
        <v>17</v>
      </c>
      <c r="E1707" t="s">
        <v>18</v>
      </c>
      <c r="F1707" s="9">
        <v>0.11</v>
      </c>
      <c r="G1707" s="10">
        <v>7612</v>
      </c>
      <c r="H1707">
        <v>2.68</v>
      </c>
      <c r="I1707" s="5">
        <f>ROUND(Marketing[[#This Row],[Clicks]]*Marketing[[#This Row],[Conversion_Rate]],0)</f>
        <v>110</v>
      </c>
      <c r="J1707" s="12">
        <f>Marketing[[#This Row],[Campaign_Cost]]/Marketing[[#This Row],[Customers]]</f>
        <v>69.2</v>
      </c>
      <c r="K1707" t="s">
        <v>51</v>
      </c>
      <c r="L1707" t="s">
        <v>33</v>
      </c>
      <c r="M1707">
        <v>1000</v>
      </c>
      <c r="N1707">
        <v>3304</v>
      </c>
      <c r="O1707">
        <v>1</v>
      </c>
      <c r="P1707" t="s">
        <v>44</v>
      </c>
      <c r="Q1707" s="1">
        <v>44442</v>
      </c>
    </row>
    <row r="1708" spans="1:17" x14ac:dyDescent="0.3">
      <c r="A1708" t="s">
        <v>14</v>
      </c>
      <c r="B1708" t="s">
        <v>36</v>
      </c>
      <c r="C1708" t="s">
        <v>16</v>
      </c>
      <c r="D1708" t="s">
        <v>40</v>
      </c>
      <c r="E1708" t="s">
        <v>41</v>
      </c>
      <c r="F1708" s="9">
        <v>0.03</v>
      </c>
      <c r="G1708" s="10">
        <v>10600</v>
      </c>
      <c r="H1708">
        <v>5.8</v>
      </c>
      <c r="I1708" s="5">
        <f>ROUND(Marketing[[#This Row],[Clicks]]*Marketing[[#This Row],[Conversion_Rate]],0)</f>
        <v>28</v>
      </c>
      <c r="J1708" s="12">
        <f>Marketing[[#This Row],[Campaign_Cost]]/Marketing[[#This Row],[Customers]]</f>
        <v>378.57142857142856</v>
      </c>
      <c r="K1708" t="s">
        <v>19</v>
      </c>
      <c r="L1708" t="s">
        <v>39</v>
      </c>
      <c r="M1708">
        <v>941</v>
      </c>
      <c r="N1708">
        <v>8458</v>
      </c>
      <c r="O1708">
        <v>6</v>
      </c>
      <c r="P1708" t="s">
        <v>21</v>
      </c>
      <c r="Q1708" s="1">
        <v>44443</v>
      </c>
    </row>
    <row r="1709" spans="1:17" x14ac:dyDescent="0.3">
      <c r="A1709" t="s">
        <v>22</v>
      </c>
      <c r="B1709" t="s">
        <v>15</v>
      </c>
      <c r="C1709" t="s">
        <v>52</v>
      </c>
      <c r="D1709" t="s">
        <v>40</v>
      </c>
      <c r="E1709" t="s">
        <v>31</v>
      </c>
      <c r="F1709" s="9">
        <v>0.11</v>
      </c>
      <c r="G1709" s="10">
        <v>10634</v>
      </c>
      <c r="H1709">
        <v>2.84</v>
      </c>
      <c r="I1709" s="5">
        <f>ROUND(Marketing[[#This Row],[Clicks]]*Marketing[[#This Row],[Conversion_Rate]],0)</f>
        <v>20</v>
      </c>
      <c r="J1709" s="12">
        <f>Marketing[[#This Row],[Campaign_Cost]]/Marketing[[#This Row],[Customers]]</f>
        <v>531.70000000000005</v>
      </c>
      <c r="K1709" t="s">
        <v>19</v>
      </c>
      <c r="L1709" t="s">
        <v>39</v>
      </c>
      <c r="M1709">
        <v>182</v>
      </c>
      <c r="N1709">
        <v>8834</v>
      </c>
      <c r="O1709">
        <v>9</v>
      </c>
      <c r="P1709" t="s">
        <v>34</v>
      </c>
      <c r="Q1709" s="1">
        <v>44444</v>
      </c>
    </row>
    <row r="1710" spans="1:17" x14ac:dyDescent="0.3">
      <c r="A1710" t="s">
        <v>22</v>
      </c>
      <c r="B1710" t="s">
        <v>36</v>
      </c>
      <c r="C1710" t="s">
        <v>16</v>
      </c>
      <c r="D1710" t="s">
        <v>46</v>
      </c>
      <c r="E1710" t="s">
        <v>43</v>
      </c>
      <c r="F1710" s="9">
        <v>0.14000000000000001</v>
      </c>
      <c r="G1710" s="10">
        <v>12890</v>
      </c>
      <c r="H1710">
        <v>7.03</v>
      </c>
      <c r="I1710" s="5">
        <f>ROUND(Marketing[[#This Row],[Clicks]]*Marketing[[#This Row],[Conversion_Rate]],0)</f>
        <v>115</v>
      </c>
      <c r="J1710" s="12">
        <f>Marketing[[#This Row],[Campaign_Cost]]/Marketing[[#This Row],[Customers]]</f>
        <v>112.08695652173913</v>
      </c>
      <c r="K1710" t="s">
        <v>19</v>
      </c>
      <c r="L1710" t="s">
        <v>39</v>
      </c>
      <c r="M1710">
        <v>822</v>
      </c>
      <c r="N1710">
        <v>7350</v>
      </c>
      <c r="O1710">
        <v>7</v>
      </c>
      <c r="P1710" t="s">
        <v>42</v>
      </c>
      <c r="Q1710" s="1">
        <v>44445</v>
      </c>
    </row>
    <row r="1711" spans="1:17" x14ac:dyDescent="0.3">
      <c r="A1711" t="s">
        <v>49</v>
      </c>
      <c r="B1711" t="s">
        <v>47</v>
      </c>
      <c r="C1711" t="s">
        <v>16</v>
      </c>
      <c r="D1711" t="s">
        <v>46</v>
      </c>
      <c r="E1711" t="s">
        <v>41</v>
      </c>
      <c r="F1711" s="9">
        <v>0.04</v>
      </c>
      <c r="G1711" s="10">
        <v>17500</v>
      </c>
      <c r="H1711">
        <v>7.12</v>
      </c>
      <c r="I1711" s="5">
        <f>ROUND(Marketing[[#This Row],[Clicks]]*Marketing[[#This Row],[Conversion_Rate]],0)</f>
        <v>30</v>
      </c>
      <c r="J1711" s="12">
        <f>Marketing[[#This Row],[Campaign_Cost]]/Marketing[[#This Row],[Customers]]</f>
        <v>583.33333333333337</v>
      </c>
      <c r="K1711" t="s">
        <v>32</v>
      </c>
      <c r="L1711" t="s">
        <v>20</v>
      </c>
      <c r="M1711">
        <v>756</v>
      </c>
      <c r="N1711">
        <v>1000</v>
      </c>
      <c r="O1711">
        <v>5</v>
      </c>
      <c r="P1711" t="s">
        <v>34</v>
      </c>
      <c r="Q1711" s="1">
        <v>44446</v>
      </c>
    </row>
    <row r="1712" spans="1:17" x14ac:dyDescent="0.3">
      <c r="A1712" t="s">
        <v>49</v>
      </c>
      <c r="B1712" t="s">
        <v>36</v>
      </c>
      <c r="C1712" t="s">
        <v>30</v>
      </c>
      <c r="D1712" t="s">
        <v>46</v>
      </c>
      <c r="E1712" t="s">
        <v>43</v>
      </c>
      <c r="F1712" s="9">
        <v>0.09</v>
      </c>
      <c r="G1712" s="10">
        <v>10394</v>
      </c>
      <c r="H1712">
        <v>2.86</v>
      </c>
      <c r="I1712" s="5">
        <f>ROUND(Marketing[[#This Row],[Clicks]]*Marketing[[#This Row],[Conversion_Rate]],0)</f>
        <v>28</v>
      </c>
      <c r="J1712" s="12">
        <f>Marketing[[#This Row],[Campaign_Cost]]/Marketing[[#This Row],[Customers]]</f>
        <v>371.21428571428572</v>
      </c>
      <c r="K1712" t="s">
        <v>38</v>
      </c>
      <c r="L1712" t="s">
        <v>39</v>
      </c>
      <c r="M1712">
        <v>313</v>
      </c>
      <c r="N1712">
        <v>8293</v>
      </c>
      <c r="O1712">
        <v>2</v>
      </c>
      <c r="P1712" t="s">
        <v>42</v>
      </c>
      <c r="Q1712" s="1">
        <v>44447</v>
      </c>
    </row>
    <row r="1713" spans="1:17" x14ac:dyDescent="0.3">
      <c r="A1713" t="s">
        <v>49</v>
      </c>
      <c r="B1713" t="s">
        <v>15</v>
      </c>
      <c r="C1713" t="s">
        <v>16</v>
      </c>
      <c r="D1713" t="s">
        <v>40</v>
      </c>
      <c r="E1713" t="s">
        <v>48</v>
      </c>
      <c r="F1713" s="9">
        <v>0.08</v>
      </c>
      <c r="G1713" s="10">
        <v>19973</v>
      </c>
      <c r="H1713">
        <v>7.42</v>
      </c>
      <c r="I1713" s="5">
        <f>ROUND(Marketing[[#This Row],[Clicks]]*Marketing[[#This Row],[Conversion_Rate]],0)</f>
        <v>32</v>
      </c>
      <c r="J1713" s="12">
        <f>Marketing[[#This Row],[Campaign_Cost]]/Marketing[[#This Row],[Customers]]</f>
        <v>624.15625</v>
      </c>
      <c r="K1713" t="s">
        <v>51</v>
      </c>
      <c r="L1713" t="s">
        <v>50</v>
      </c>
      <c r="M1713">
        <v>405</v>
      </c>
      <c r="N1713">
        <v>6842</v>
      </c>
      <c r="O1713">
        <v>6</v>
      </c>
      <c r="P1713" t="s">
        <v>34</v>
      </c>
      <c r="Q1713" s="1">
        <v>44448</v>
      </c>
    </row>
    <row r="1714" spans="1:17" x14ac:dyDescent="0.3">
      <c r="A1714" t="s">
        <v>14</v>
      </c>
      <c r="B1714" t="s">
        <v>47</v>
      </c>
      <c r="C1714" t="s">
        <v>16</v>
      </c>
      <c r="D1714" t="s">
        <v>46</v>
      </c>
      <c r="E1714" t="s">
        <v>31</v>
      </c>
      <c r="F1714" s="9">
        <v>0.08</v>
      </c>
      <c r="G1714" s="10">
        <v>9580</v>
      </c>
      <c r="H1714">
        <v>5.31</v>
      </c>
      <c r="I1714" s="5">
        <f>ROUND(Marketing[[#This Row],[Clicks]]*Marketing[[#This Row],[Conversion_Rate]],0)</f>
        <v>72</v>
      </c>
      <c r="J1714" s="12">
        <f>Marketing[[#This Row],[Campaign_Cost]]/Marketing[[#This Row],[Customers]]</f>
        <v>133.05555555555554</v>
      </c>
      <c r="K1714" t="s">
        <v>32</v>
      </c>
      <c r="L1714" t="s">
        <v>26</v>
      </c>
      <c r="M1714">
        <v>897</v>
      </c>
      <c r="N1714">
        <v>4821</v>
      </c>
      <c r="O1714">
        <v>4</v>
      </c>
      <c r="P1714" t="s">
        <v>44</v>
      </c>
      <c r="Q1714" s="1">
        <v>44449</v>
      </c>
    </row>
    <row r="1715" spans="1:17" x14ac:dyDescent="0.3">
      <c r="A1715" t="s">
        <v>14</v>
      </c>
      <c r="B1715" t="s">
        <v>36</v>
      </c>
      <c r="C1715" t="s">
        <v>23</v>
      </c>
      <c r="D1715" t="s">
        <v>40</v>
      </c>
      <c r="E1715" t="s">
        <v>41</v>
      </c>
      <c r="F1715" s="9">
        <v>7.0000000000000007E-2</v>
      </c>
      <c r="G1715" s="10">
        <v>14764</v>
      </c>
      <c r="H1715">
        <v>4.34</v>
      </c>
      <c r="I1715" s="5">
        <f>ROUND(Marketing[[#This Row],[Clicks]]*Marketing[[#This Row],[Conversion_Rate]],0)</f>
        <v>50</v>
      </c>
      <c r="J1715" s="12">
        <f>Marketing[[#This Row],[Campaign_Cost]]/Marketing[[#This Row],[Customers]]</f>
        <v>295.27999999999997</v>
      </c>
      <c r="K1715" t="s">
        <v>32</v>
      </c>
      <c r="L1715" t="s">
        <v>50</v>
      </c>
      <c r="M1715">
        <v>714</v>
      </c>
      <c r="N1715">
        <v>9270</v>
      </c>
      <c r="O1715">
        <v>6</v>
      </c>
      <c r="P1715" t="s">
        <v>34</v>
      </c>
      <c r="Q1715" s="1">
        <v>44450</v>
      </c>
    </row>
    <row r="1716" spans="1:17" x14ac:dyDescent="0.3">
      <c r="A1716" t="s">
        <v>14</v>
      </c>
      <c r="B1716" t="s">
        <v>15</v>
      </c>
      <c r="C1716" t="s">
        <v>37</v>
      </c>
      <c r="D1716" t="s">
        <v>24</v>
      </c>
      <c r="E1716" t="s">
        <v>31</v>
      </c>
      <c r="F1716" s="9">
        <v>0.02</v>
      </c>
      <c r="G1716" s="10">
        <v>10658</v>
      </c>
      <c r="H1716">
        <v>2.23</v>
      </c>
      <c r="I1716" s="5">
        <f>ROUND(Marketing[[#This Row],[Clicks]]*Marketing[[#This Row],[Conversion_Rate]],0)</f>
        <v>5</v>
      </c>
      <c r="J1716" s="12">
        <f>Marketing[[#This Row],[Campaign_Cost]]/Marketing[[#This Row],[Customers]]</f>
        <v>2131.6</v>
      </c>
      <c r="K1716" t="s">
        <v>38</v>
      </c>
      <c r="L1716" t="s">
        <v>39</v>
      </c>
      <c r="M1716">
        <v>254</v>
      </c>
      <c r="N1716">
        <v>6433</v>
      </c>
      <c r="O1716">
        <v>8</v>
      </c>
      <c r="P1716" t="s">
        <v>27</v>
      </c>
      <c r="Q1716" s="1">
        <v>44451</v>
      </c>
    </row>
    <row r="1717" spans="1:17" x14ac:dyDescent="0.3">
      <c r="A1717" t="s">
        <v>35</v>
      </c>
      <c r="B1717" t="s">
        <v>15</v>
      </c>
      <c r="C1717" t="s">
        <v>16</v>
      </c>
      <c r="D1717" t="s">
        <v>24</v>
      </c>
      <c r="E1717" t="s">
        <v>43</v>
      </c>
      <c r="F1717" s="9">
        <v>0.11</v>
      </c>
      <c r="G1717" s="10">
        <v>13237</v>
      </c>
      <c r="H1717">
        <v>6.15</v>
      </c>
      <c r="I1717" s="5">
        <f>ROUND(Marketing[[#This Row],[Clicks]]*Marketing[[#This Row],[Conversion_Rate]],0)</f>
        <v>40</v>
      </c>
      <c r="J1717" s="12">
        <f>Marketing[[#This Row],[Campaign_Cost]]/Marketing[[#This Row],[Customers]]</f>
        <v>330.92500000000001</v>
      </c>
      <c r="K1717" t="s">
        <v>25</v>
      </c>
      <c r="L1717" t="s">
        <v>39</v>
      </c>
      <c r="M1717">
        <v>363</v>
      </c>
      <c r="N1717">
        <v>5359</v>
      </c>
      <c r="O1717">
        <v>4</v>
      </c>
      <c r="P1717" t="s">
        <v>27</v>
      </c>
      <c r="Q1717" s="1">
        <v>44452</v>
      </c>
    </row>
    <row r="1718" spans="1:17" x14ac:dyDescent="0.3">
      <c r="A1718" t="s">
        <v>49</v>
      </c>
      <c r="B1718" t="s">
        <v>45</v>
      </c>
      <c r="C1718" t="s">
        <v>16</v>
      </c>
      <c r="D1718" t="s">
        <v>46</v>
      </c>
      <c r="E1718" t="s">
        <v>31</v>
      </c>
      <c r="F1718" s="9">
        <v>0.04</v>
      </c>
      <c r="G1718" s="10">
        <v>5308</v>
      </c>
      <c r="H1718">
        <v>2.59</v>
      </c>
      <c r="I1718" s="5">
        <f>ROUND(Marketing[[#This Row],[Clicks]]*Marketing[[#This Row],[Conversion_Rate]],0)</f>
        <v>9</v>
      </c>
      <c r="J1718" s="12">
        <f>Marketing[[#This Row],[Campaign_Cost]]/Marketing[[#This Row],[Customers]]</f>
        <v>589.77777777777783</v>
      </c>
      <c r="K1718" t="s">
        <v>19</v>
      </c>
      <c r="L1718" t="s">
        <v>39</v>
      </c>
      <c r="M1718">
        <v>231</v>
      </c>
      <c r="N1718">
        <v>2067</v>
      </c>
      <c r="O1718">
        <v>4</v>
      </c>
      <c r="P1718" t="s">
        <v>42</v>
      </c>
      <c r="Q1718" s="1">
        <v>44453</v>
      </c>
    </row>
    <row r="1719" spans="1:17" x14ac:dyDescent="0.3">
      <c r="A1719" t="s">
        <v>28</v>
      </c>
      <c r="B1719" t="s">
        <v>47</v>
      </c>
      <c r="C1719" t="s">
        <v>52</v>
      </c>
      <c r="D1719" t="s">
        <v>24</v>
      </c>
      <c r="E1719" t="s">
        <v>18</v>
      </c>
      <c r="F1719" s="9">
        <v>0.14000000000000001</v>
      </c>
      <c r="G1719" s="10">
        <v>14500</v>
      </c>
      <c r="H1719">
        <v>4.7699999999999996</v>
      </c>
      <c r="I1719" s="5">
        <f>ROUND(Marketing[[#This Row],[Clicks]]*Marketing[[#This Row],[Conversion_Rate]],0)</f>
        <v>31</v>
      </c>
      <c r="J1719" s="12">
        <f>Marketing[[#This Row],[Campaign_Cost]]/Marketing[[#This Row],[Customers]]</f>
        <v>467.74193548387098</v>
      </c>
      <c r="K1719" t="s">
        <v>19</v>
      </c>
      <c r="L1719" t="s">
        <v>20</v>
      </c>
      <c r="M1719">
        <v>221</v>
      </c>
      <c r="N1719">
        <v>5650</v>
      </c>
      <c r="O1719">
        <v>8</v>
      </c>
      <c r="P1719" t="s">
        <v>34</v>
      </c>
      <c r="Q1719" s="1">
        <v>44454</v>
      </c>
    </row>
    <row r="1720" spans="1:17" x14ac:dyDescent="0.3">
      <c r="A1720" t="s">
        <v>14</v>
      </c>
      <c r="B1720" t="s">
        <v>29</v>
      </c>
      <c r="C1720" t="s">
        <v>16</v>
      </c>
      <c r="D1720" t="s">
        <v>24</v>
      </c>
      <c r="E1720" t="s">
        <v>31</v>
      </c>
      <c r="F1720" s="9">
        <v>0.08</v>
      </c>
      <c r="G1720" s="10">
        <v>18756</v>
      </c>
      <c r="H1720">
        <v>5.09</v>
      </c>
      <c r="I1720" s="5">
        <f>ROUND(Marketing[[#This Row],[Clicks]]*Marketing[[#This Row],[Conversion_Rate]],0)</f>
        <v>41</v>
      </c>
      <c r="J1720" s="12">
        <f>Marketing[[#This Row],[Campaign_Cost]]/Marketing[[#This Row],[Customers]]</f>
        <v>457.46341463414632</v>
      </c>
      <c r="K1720" t="s">
        <v>25</v>
      </c>
      <c r="L1720" t="s">
        <v>20</v>
      </c>
      <c r="M1720">
        <v>512</v>
      </c>
      <c r="N1720">
        <v>2441</v>
      </c>
      <c r="O1720">
        <v>6</v>
      </c>
      <c r="P1720" t="s">
        <v>21</v>
      </c>
      <c r="Q1720" s="1">
        <v>44455</v>
      </c>
    </row>
    <row r="1721" spans="1:17" x14ac:dyDescent="0.3">
      <c r="A1721" t="s">
        <v>14</v>
      </c>
      <c r="B1721" t="s">
        <v>47</v>
      </c>
      <c r="C1721" t="s">
        <v>30</v>
      </c>
      <c r="D1721" t="s">
        <v>40</v>
      </c>
      <c r="E1721" t="s">
        <v>48</v>
      </c>
      <c r="F1721" s="9">
        <v>0.08</v>
      </c>
      <c r="G1721" s="10">
        <v>12095</v>
      </c>
      <c r="H1721">
        <v>3.4</v>
      </c>
      <c r="I1721" s="5">
        <f>ROUND(Marketing[[#This Row],[Clicks]]*Marketing[[#This Row],[Conversion_Rate]],0)</f>
        <v>15</v>
      </c>
      <c r="J1721" s="12">
        <f>Marketing[[#This Row],[Campaign_Cost]]/Marketing[[#This Row],[Customers]]</f>
        <v>806.33333333333337</v>
      </c>
      <c r="K1721" t="s">
        <v>38</v>
      </c>
      <c r="L1721" t="s">
        <v>50</v>
      </c>
      <c r="M1721">
        <v>184</v>
      </c>
      <c r="N1721">
        <v>9602</v>
      </c>
      <c r="O1721">
        <v>6</v>
      </c>
      <c r="P1721" t="s">
        <v>44</v>
      </c>
      <c r="Q1721" s="1">
        <v>44456</v>
      </c>
    </row>
    <row r="1722" spans="1:17" x14ac:dyDescent="0.3">
      <c r="A1722" t="s">
        <v>28</v>
      </c>
      <c r="B1722" t="s">
        <v>29</v>
      </c>
      <c r="C1722" t="s">
        <v>16</v>
      </c>
      <c r="D1722" t="s">
        <v>24</v>
      </c>
      <c r="E1722" t="s">
        <v>48</v>
      </c>
      <c r="F1722" s="9">
        <v>0.05</v>
      </c>
      <c r="G1722" s="10">
        <v>5455</v>
      </c>
      <c r="H1722">
        <v>2.84</v>
      </c>
      <c r="I1722" s="5">
        <f>ROUND(Marketing[[#This Row],[Clicks]]*Marketing[[#This Row],[Conversion_Rate]],0)</f>
        <v>20</v>
      </c>
      <c r="J1722" s="12">
        <f>Marketing[[#This Row],[Campaign_Cost]]/Marketing[[#This Row],[Customers]]</f>
        <v>272.75</v>
      </c>
      <c r="K1722" t="s">
        <v>19</v>
      </c>
      <c r="L1722" t="s">
        <v>20</v>
      </c>
      <c r="M1722">
        <v>397</v>
      </c>
      <c r="N1722">
        <v>1666</v>
      </c>
      <c r="O1722">
        <v>4</v>
      </c>
      <c r="P1722" t="s">
        <v>34</v>
      </c>
      <c r="Q1722" s="1">
        <v>44457</v>
      </c>
    </row>
    <row r="1723" spans="1:17" x14ac:dyDescent="0.3">
      <c r="A1723" t="s">
        <v>22</v>
      </c>
      <c r="B1723" t="s">
        <v>36</v>
      </c>
      <c r="C1723" t="s">
        <v>37</v>
      </c>
      <c r="D1723" t="s">
        <v>24</v>
      </c>
      <c r="E1723" t="s">
        <v>15</v>
      </c>
      <c r="F1723" s="9">
        <v>0.15</v>
      </c>
      <c r="G1723" s="10">
        <v>17841</v>
      </c>
      <c r="H1723">
        <v>3.33</v>
      </c>
      <c r="I1723" s="5">
        <f>ROUND(Marketing[[#This Row],[Clicks]]*Marketing[[#This Row],[Conversion_Rate]],0)</f>
        <v>83</v>
      </c>
      <c r="J1723" s="12">
        <f>Marketing[[#This Row],[Campaign_Cost]]/Marketing[[#This Row],[Customers]]</f>
        <v>214.95180722891567</v>
      </c>
      <c r="K1723" t="s">
        <v>51</v>
      </c>
      <c r="L1723" t="s">
        <v>33</v>
      </c>
      <c r="M1723">
        <v>555</v>
      </c>
      <c r="N1723">
        <v>6823</v>
      </c>
      <c r="O1723">
        <v>1</v>
      </c>
      <c r="P1723" t="s">
        <v>42</v>
      </c>
      <c r="Q1723" s="1">
        <v>44458</v>
      </c>
    </row>
    <row r="1724" spans="1:17" x14ac:dyDescent="0.3">
      <c r="A1724" t="s">
        <v>28</v>
      </c>
      <c r="B1724" t="s">
        <v>47</v>
      </c>
      <c r="C1724" t="s">
        <v>37</v>
      </c>
      <c r="D1724" t="s">
        <v>17</v>
      </c>
      <c r="E1724" t="s">
        <v>15</v>
      </c>
      <c r="F1724" s="9">
        <v>0.14000000000000001</v>
      </c>
      <c r="G1724" s="10">
        <v>18962</v>
      </c>
      <c r="H1724">
        <v>4.2699999999999996</v>
      </c>
      <c r="I1724" s="5">
        <f>ROUND(Marketing[[#This Row],[Clicks]]*Marketing[[#This Row],[Conversion_Rate]],0)</f>
        <v>20</v>
      </c>
      <c r="J1724" s="12">
        <f>Marketing[[#This Row],[Campaign_Cost]]/Marketing[[#This Row],[Customers]]</f>
        <v>948.1</v>
      </c>
      <c r="K1724" t="s">
        <v>51</v>
      </c>
      <c r="L1724" t="s">
        <v>20</v>
      </c>
      <c r="M1724">
        <v>143</v>
      </c>
      <c r="N1724">
        <v>8625</v>
      </c>
      <c r="O1724">
        <v>1</v>
      </c>
      <c r="P1724" t="s">
        <v>42</v>
      </c>
      <c r="Q1724" s="1">
        <v>44459</v>
      </c>
    </row>
    <row r="1725" spans="1:17" x14ac:dyDescent="0.3">
      <c r="A1725" t="s">
        <v>14</v>
      </c>
      <c r="B1725" t="s">
        <v>15</v>
      </c>
      <c r="C1725" t="s">
        <v>52</v>
      </c>
      <c r="D1725" t="s">
        <v>17</v>
      </c>
      <c r="E1725" t="s">
        <v>15</v>
      </c>
      <c r="F1725" s="9">
        <v>0.15</v>
      </c>
      <c r="G1725" s="10">
        <v>12316</v>
      </c>
      <c r="H1725">
        <v>5.78</v>
      </c>
      <c r="I1725" s="5">
        <f>ROUND(Marketing[[#This Row],[Clicks]]*Marketing[[#This Row],[Conversion_Rate]],0)</f>
        <v>39</v>
      </c>
      <c r="J1725" s="12">
        <f>Marketing[[#This Row],[Campaign_Cost]]/Marketing[[#This Row],[Customers]]</f>
        <v>315.79487179487177</v>
      </c>
      <c r="K1725" t="s">
        <v>51</v>
      </c>
      <c r="L1725" t="s">
        <v>20</v>
      </c>
      <c r="M1725">
        <v>258</v>
      </c>
      <c r="N1725">
        <v>3784</v>
      </c>
      <c r="O1725">
        <v>1</v>
      </c>
      <c r="P1725" t="s">
        <v>21</v>
      </c>
      <c r="Q1725" s="1">
        <v>44460</v>
      </c>
    </row>
    <row r="1726" spans="1:17" x14ac:dyDescent="0.3">
      <c r="A1726" t="s">
        <v>35</v>
      </c>
      <c r="B1726" t="s">
        <v>47</v>
      </c>
      <c r="C1726" t="s">
        <v>16</v>
      </c>
      <c r="D1726" t="s">
        <v>17</v>
      </c>
      <c r="E1726" t="s">
        <v>41</v>
      </c>
      <c r="F1726" s="9">
        <v>0.12</v>
      </c>
      <c r="G1726" s="10">
        <v>19232</v>
      </c>
      <c r="H1726">
        <v>2.14</v>
      </c>
      <c r="I1726" s="5">
        <f>ROUND(Marketing[[#This Row],[Clicks]]*Marketing[[#This Row],[Conversion_Rate]],0)</f>
        <v>36</v>
      </c>
      <c r="J1726" s="12">
        <f>Marketing[[#This Row],[Campaign_Cost]]/Marketing[[#This Row],[Customers]]</f>
        <v>534.22222222222217</v>
      </c>
      <c r="K1726" t="s">
        <v>25</v>
      </c>
      <c r="L1726" t="s">
        <v>20</v>
      </c>
      <c r="M1726">
        <v>297</v>
      </c>
      <c r="N1726">
        <v>9075</v>
      </c>
      <c r="O1726">
        <v>2</v>
      </c>
      <c r="P1726" t="s">
        <v>21</v>
      </c>
      <c r="Q1726" s="1">
        <v>44461</v>
      </c>
    </row>
    <row r="1727" spans="1:17" x14ac:dyDescent="0.3">
      <c r="A1727" t="s">
        <v>28</v>
      </c>
      <c r="B1727" t="s">
        <v>36</v>
      </c>
      <c r="C1727" t="s">
        <v>52</v>
      </c>
      <c r="D1727" t="s">
        <v>46</v>
      </c>
      <c r="E1727" t="s">
        <v>31</v>
      </c>
      <c r="F1727" s="9">
        <v>0.13</v>
      </c>
      <c r="G1727" s="10">
        <v>17489</v>
      </c>
      <c r="H1727">
        <v>7.63</v>
      </c>
      <c r="I1727" s="5">
        <f>ROUND(Marketing[[#This Row],[Clicks]]*Marketing[[#This Row],[Conversion_Rate]],0)</f>
        <v>98</v>
      </c>
      <c r="J1727" s="12">
        <f>Marketing[[#This Row],[Campaign_Cost]]/Marketing[[#This Row],[Customers]]</f>
        <v>178.4591836734694</v>
      </c>
      <c r="K1727" t="s">
        <v>38</v>
      </c>
      <c r="L1727" t="s">
        <v>33</v>
      </c>
      <c r="M1727">
        <v>756</v>
      </c>
      <c r="N1727">
        <v>2706</v>
      </c>
      <c r="O1727">
        <v>10</v>
      </c>
      <c r="P1727" t="s">
        <v>44</v>
      </c>
      <c r="Q1727" s="1">
        <v>44462</v>
      </c>
    </row>
    <row r="1728" spans="1:17" x14ac:dyDescent="0.3">
      <c r="A1728" t="s">
        <v>49</v>
      </c>
      <c r="B1728" t="s">
        <v>29</v>
      </c>
      <c r="C1728" t="s">
        <v>23</v>
      </c>
      <c r="D1728" t="s">
        <v>46</v>
      </c>
      <c r="E1728" t="s">
        <v>41</v>
      </c>
      <c r="F1728" s="9">
        <v>0.06</v>
      </c>
      <c r="G1728" s="10">
        <v>13046</v>
      </c>
      <c r="H1728">
        <v>6.64</v>
      </c>
      <c r="I1728" s="5">
        <f>ROUND(Marketing[[#This Row],[Clicks]]*Marketing[[#This Row],[Conversion_Rate]],0)</f>
        <v>58</v>
      </c>
      <c r="J1728" s="12">
        <f>Marketing[[#This Row],[Campaign_Cost]]/Marketing[[#This Row],[Customers]]</f>
        <v>224.93103448275863</v>
      </c>
      <c r="K1728" t="s">
        <v>25</v>
      </c>
      <c r="L1728" t="s">
        <v>50</v>
      </c>
      <c r="M1728">
        <v>970</v>
      </c>
      <c r="N1728">
        <v>9164</v>
      </c>
      <c r="O1728">
        <v>4</v>
      </c>
      <c r="P1728" t="s">
        <v>44</v>
      </c>
      <c r="Q1728" s="1">
        <v>44463</v>
      </c>
    </row>
    <row r="1729" spans="1:17" x14ac:dyDescent="0.3">
      <c r="A1729" t="s">
        <v>49</v>
      </c>
      <c r="B1729" t="s">
        <v>15</v>
      </c>
      <c r="C1729" t="s">
        <v>23</v>
      </c>
      <c r="D1729" t="s">
        <v>24</v>
      </c>
      <c r="E1729" t="s">
        <v>41</v>
      </c>
      <c r="F1729" s="9">
        <v>0.15</v>
      </c>
      <c r="G1729" s="10">
        <v>18158</v>
      </c>
      <c r="H1729">
        <v>6.48</v>
      </c>
      <c r="I1729" s="5">
        <f>ROUND(Marketing[[#This Row],[Clicks]]*Marketing[[#This Row],[Conversion_Rate]],0)</f>
        <v>139</v>
      </c>
      <c r="J1729" s="12">
        <f>Marketing[[#This Row],[Campaign_Cost]]/Marketing[[#This Row],[Customers]]</f>
        <v>130.63309352517985</v>
      </c>
      <c r="K1729" t="s">
        <v>25</v>
      </c>
      <c r="L1729" t="s">
        <v>20</v>
      </c>
      <c r="M1729">
        <v>929</v>
      </c>
      <c r="N1729">
        <v>5332</v>
      </c>
      <c r="O1729">
        <v>9</v>
      </c>
      <c r="P1729" t="s">
        <v>34</v>
      </c>
      <c r="Q1729" s="1">
        <v>44464</v>
      </c>
    </row>
    <row r="1730" spans="1:17" x14ac:dyDescent="0.3">
      <c r="A1730" t="s">
        <v>22</v>
      </c>
      <c r="B1730" t="s">
        <v>29</v>
      </c>
      <c r="C1730" t="s">
        <v>16</v>
      </c>
      <c r="D1730" t="s">
        <v>17</v>
      </c>
      <c r="E1730" t="s">
        <v>15</v>
      </c>
      <c r="F1730" s="9">
        <v>0.04</v>
      </c>
      <c r="G1730" s="10">
        <v>6947</v>
      </c>
      <c r="H1730">
        <v>3.22</v>
      </c>
      <c r="I1730" s="5">
        <f>ROUND(Marketing[[#This Row],[Clicks]]*Marketing[[#This Row],[Conversion_Rate]],0)</f>
        <v>13</v>
      </c>
      <c r="J1730" s="12">
        <f>Marketing[[#This Row],[Campaign_Cost]]/Marketing[[#This Row],[Customers]]</f>
        <v>534.38461538461536</v>
      </c>
      <c r="K1730" t="s">
        <v>38</v>
      </c>
      <c r="L1730" t="s">
        <v>26</v>
      </c>
      <c r="M1730">
        <v>332</v>
      </c>
      <c r="N1730">
        <v>1593</v>
      </c>
      <c r="O1730">
        <v>5</v>
      </c>
      <c r="P1730" t="s">
        <v>27</v>
      </c>
      <c r="Q1730" s="1">
        <v>44465</v>
      </c>
    </row>
    <row r="1731" spans="1:17" x14ac:dyDescent="0.3">
      <c r="A1731" t="s">
        <v>14</v>
      </c>
      <c r="B1731" t="s">
        <v>45</v>
      </c>
      <c r="C1731" t="s">
        <v>23</v>
      </c>
      <c r="D1731" t="s">
        <v>17</v>
      </c>
      <c r="E1731" t="s">
        <v>18</v>
      </c>
      <c r="F1731" s="9">
        <v>0.12</v>
      </c>
      <c r="G1731" s="10">
        <v>16367</v>
      </c>
      <c r="H1731">
        <v>5.0999999999999996</v>
      </c>
      <c r="I1731" s="5">
        <f>ROUND(Marketing[[#This Row],[Clicks]]*Marketing[[#This Row],[Conversion_Rate]],0)</f>
        <v>112</v>
      </c>
      <c r="J1731" s="12">
        <f>Marketing[[#This Row],[Campaign_Cost]]/Marketing[[#This Row],[Customers]]</f>
        <v>146.13392857142858</v>
      </c>
      <c r="K1731" t="s">
        <v>38</v>
      </c>
      <c r="L1731" t="s">
        <v>50</v>
      </c>
      <c r="M1731">
        <v>934</v>
      </c>
      <c r="N1731">
        <v>2737</v>
      </c>
      <c r="O1731">
        <v>1</v>
      </c>
      <c r="P1731" t="s">
        <v>21</v>
      </c>
      <c r="Q1731" s="1">
        <v>44466</v>
      </c>
    </row>
    <row r="1732" spans="1:17" x14ac:dyDescent="0.3">
      <c r="A1732" t="s">
        <v>14</v>
      </c>
      <c r="B1732" t="s">
        <v>36</v>
      </c>
      <c r="C1732" t="s">
        <v>30</v>
      </c>
      <c r="D1732" t="s">
        <v>40</v>
      </c>
      <c r="E1732" t="s">
        <v>41</v>
      </c>
      <c r="F1732" s="9">
        <v>0.11</v>
      </c>
      <c r="G1732" s="10">
        <v>9227</v>
      </c>
      <c r="H1732">
        <v>5.7</v>
      </c>
      <c r="I1732" s="5">
        <f>ROUND(Marketing[[#This Row],[Clicks]]*Marketing[[#This Row],[Conversion_Rate]],0)</f>
        <v>73</v>
      </c>
      <c r="J1732" s="12">
        <f>Marketing[[#This Row],[Campaign_Cost]]/Marketing[[#This Row],[Customers]]</f>
        <v>126.39726027397261</v>
      </c>
      <c r="K1732" t="s">
        <v>38</v>
      </c>
      <c r="L1732" t="s">
        <v>39</v>
      </c>
      <c r="M1732">
        <v>668</v>
      </c>
      <c r="N1732">
        <v>6442</v>
      </c>
      <c r="O1732">
        <v>9</v>
      </c>
      <c r="P1732" t="s">
        <v>21</v>
      </c>
      <c r="Q1732" s="1">
        <v>44467</v>
      </c>
    </row>
    <row r="1733" spans="1:17" x14ac:dyDescent="0.3">
      <c r="A1733" t="s">
        <v>14</v>
      </c>
      <c r="B1733" t="s">
        <v>29</v>
      </c>
      <c r="C1733" t="s">
        <v>30</v>
      </c>
      <c r="D1733" t="s">
        <v>17</v>
      </c>
      <c r="E1733" t="s">
        <v>15</v>
      </c>
      <c r="F1733" s="9">
        <v>0.06</v>
      </c>
      <c r="G1733" s="10">
        <v>9482</v>
      </c>
      <c r="H1733">
        <v>2.83</v>
      </c>
      <c r="I1733" s="5">
        <f>ROUND(Marketing[[#This Row],[Clicks]]*Marketing[[#This Row],[Conversion_Rate]],0)</f>
        <v>38</v>
      </c>
      <c r="J1733" s="12">
        <f>Marketing[[#This Row],[Campaign_Cost]]/Marketing[[#This Row],[Customers]]</f>
        <v>249.52631578947367</v>
      </c>
      <c r="K1733" t="s">
        <v>38</v>
      </c>
      <c r="L1733" t="s">
        <v>39</v>
      </c>
      <c r="M1733">
        <v>630</v>
      </c>
      <c r="N1733">
        <v>5040</v>
      </c>
      <c r="O1733">
        <v>5</v>
      </c>
      <c r="P1733" t="s">
        <v>27</v>
      </c>
      <c r="Q1733" s="1">
        <v>44468</v>
      </c>
    </row>
    <row r="1734" spans="1:17" x14ac:dyDescent="0.3">
      <c r="A1734" t="s">
        <v>14</v>
      </c>
      <c r="B1734" t="s">
        <v>29</v>
      </c>
      <c r="C1734" t="s">
        <v>37</v>
      </c>
      <c r="D1734" t="s">
        <v>40</v>
      </c>
      <c r="E1734" t="s">
        <v>41</v>
      </c>
      <c r="F1734" s="9">
        <v>0.06</v>
      </c>
      <c r="G1734" s="10">
        <v>13623</v>
      </c>
      <c r="H1734">
        <v>3.84</v>
      </c>
      <c r="I1734" s="5">
        <f>ROUND(Marketing[[#This Row],[Clicks]]*Marketing[[#This Row],[Conversion_Rate]],0)</f>
        <v>24</v>
      </c>
      <c r="J1734" s="12">
        <f>Marketing[[#This Row],[Campaign_Cost]]/Marketing[[#This Row],[Customers]]</f>
        <v>567.625</v>
      </c>
      <c r="K1734" t="s">
        <v>19</v>
      </c>
      <c r="L1734" t="s">
        <v>50</v>
      </c>
      <c r="M1734">
        <v>401</v>
      </c>
      <c r="N1734">
        <v>4925</v>
      </c>
      <c r="O1734">
        <v>3</v>
      </c>
      <c r="P1734" t="s">
        <v>27</v>
      </c>
      <c r="Q1734" s="1">
        <v>44469</v>
      </c>
    </row>
    <row r="1735" spans="1:17" x14ac:dyDescent="0.3">
      <c r="A1735" t="s">
        <v>35</v>
      </c>
      <c r="B1735" t="s">
        <v>15</v>
      </c>
      <c r="C1735" t="s">
        <v>52</v>
      </c>
      <c r="D1735" t="s">
        <v>46</v>
      </c>
      <c r="E1735" t="s">
        <v>15</v>
      </c>
      <c r="F1735" s="9">
        <v>0.14000000000000001</v>
      </c>
      <c r="G1735" s="10">
        <v>10541</v>
      </c>
      <c r="H1735">
        <v>6.59</v>
      </c>
      <c r="I1735" s="5">
        <f>ROUND(Marketing[[#This Row],[Clicks]]*Marketing[[#This Row],[Conversion_Rate]],0)</f>
        <v>93</v>
      </c>
      <c r="J1735" s="12">
        <f>Marketing[[#This Row],[Campaign_Cost]]/Marketing[[#This Row],[Customers]]</f>
        <v>113.34408602150538</v>
      </c>
      <c r="K1735" t="s">
        <v>32</v>
      </c>
      <c r="L1735" t="s">
        <v>50</v>
      </c>
      <c r="M1735">
        <v>666</v>
      </c>
      <c r="N1735">
        <v>7309</v>
      </c>
      <c r="O1735">
        <v>6</v>
      </c>
      <c r="P1735" t="s">
        <v>44</v>
      </c>
      <c r="Q1735" s="1">
        <v>44470</v>
      </c>
    </row>
    <row r="1736" spans="1:17" x14ac:dyDescent="0.3">
      <c r="A1736" t="s">
        <v>49</v>
      </c>
      <c r="B1736" t="s">
        <v>47</v>
      </c>
      <c r="C1736" t="s">
        <v>23</v>
      </c>
      <c r="D1736" t="s">
        <v>17</v>
      </c>
      <c r="E1736" t="s">
        <v>18</v>
      </c>
      <c r="F1736" s="9">
        <v>0.08</v>
      </c>
      <c r="G1736" s="10">
        <v>8802</v>
      </c>
      <c r="H1736">
        <v>7.01</v>
      </c>
      <c r="I1736" s="5">
        <f>ROUND(Marketing[[#This Row],[Clicks]]*Marketing[[#This Row],[Conversion_Rate]],0)</f>
        <v>10</v>
      </c>
      <c r="J1736" s="12">
        <f>Marketing[[#This Row],[Campaign_Cost]]/Marketing[[#This Row],[Customers]]</f>
        <v>880.2</v>
      </c>
      <c r="K1736" t="s">
        <v>32</v>
      </c>
      <c r="L1736" t="s">
        <v>39</v>
      </c>
      <c r="M1736">
        <v>129</v>
      </c>
      <c r="N1736">
        <v>4063</v>
      </c>
      <c r="O1736">
        <v>5</v>
      </c>
      <c r="P1736" t="s">
        <v>27</v>
      </c>
      <c r="Q1736" s="1">
        <v>44471</v>
      </c>
    </row>
    <row r="1737" spans="1:17" x14ac:dyDescent="0.3">
      <c r="A1737" t="s">
        <v>14</v>
      </c>
      <c r="B1737" t="s">
        <v>36</v>
      </c>
      <c r="C1737" t="s">
        <v>16</v>
      </c>
      <c r="D1737" t="s">
        <v>46</v>
      </c>
      <c r="E1737" t="s">
        <v>31</v>
      </c>
      <c r="F1737" s="9">
        <v>0.03</v>
      </c>
      <c r="G1737" s="10">
        <v>10044</v>
      </c>
      <c r="H1737">
        <v>4.28</v>
      </c>
      <c r="I1737" s="5">
        <f>ROUND(Marketing[[#This Row],[Clicks]]*Marketing[[#This Row],[Conversion_Rate]],0)</f>
        <v>28</v>
      </c>
      <c r="J1737" s="12">
        <f>Marketing[[#This Row],[Campaign_Cost]]/Marketing[[#This Row],[Customers]]</f>
        <v>358.71428571428572</v>
      </c>
      <c r="K1737" t="s">
        <v>32</v>
      </c>
      <c r="L1737" t="s">
        <v>33</v>
      </c>
      <c r="M1737">
        <v>933</v>
      </c>
      <c r="N1737">
        <v>1943</v>
      </c>
      <c r="O1737">
        <v>1</v>
      </c>
      <c r="P1737" t="s">
        <v>21</v>
      </c>
      <c r="Q1737" s="1">
        <v>44472</v>
      </c>
    </row>
    <row r="1738" spans="1:17" x14ac:dyDescent="0.3">
      <c r="A1738" t="s">
        <v>14</v>
      </c>
      <c r="B1738" t="s">
        <v>47</v>
      </c>
      <c r="C1738" t="s">
        <v>37</v>
      </c>
      <c r="D1738" t="s">
        <v>24</v>
      </c>
      <c r="E1738" t="s">
        <v>15</v>
      </c>
      <c r="F1738" s="9">
        <v>0.05</v>
      </c>
      <c r="G1738" s="10">
        <v>14956</v>
      </c>
      <c r="H1738">
        <v>5.83</v>
      </c>
      <c r="I1738" s="5">
        <f>ROUND(Marketing[[#This Row],[Clicks]]*Marketing[[#This Row],[Conversion_Rate]],0)</f>
        <v>37</v>
      </c>
      <c r="J1738" s="12">
        <f>Marketing[[#This Row],[Campaign_Cost]]/Marketing[[#This Row],[Customers]]</f>
        <v>404.2162162162162</v>
      </c>
      <c r="K1738" t="s">
        <v>32</v>
      </c>
      <c r="L1738" t="s">
        <v>33</v>
      </c>
      <c r="M1738">
        <v>738</v>
      </c>
      <c r="N1738">
        <v>9186</v>
      </c>
      <c r="O1738">
        <v>5</v>
      </c>
      <c r="P1738" t="s">
        <v>42</v>
      </c>
      <c r="Q1738" s="1">
        <v>44473</v>
      </c>
    </row>
    <row r="1739" spans="1:17" x14ac:dyDescent="0.3">
      <c r="A1739" t="s">
        <v>49</v>
      </c>
      <c r="B1739" t="s">
        <v>15</v>
      </c>
      <c r="C1739" t="s">
        <v>23</v>
      </c>
      <c r="D1739" t="s">
        <v>40</v>
      </c>
      <c r="E1739" t="s">
        <v>48</v>
      </c>
      <c r="F1739" s="9">
        <v>0.06</v>
      </c>
      <c r="G1739" s="10">
        <v>9459</v>
      </c>
      <c r="H1739">
        <v>3.96</v>
      </c>
      <c r="I1739" s="5">
        <f>ROUND(Marketing[[#This Row],[Clicks]]*Marketing[[#This Row],[Conversion_Rate]],0)</f>
        <v>23</v>
      </c>
      <c r="J1739" s="12">
        <f>Marketing[[#This Row],[Campaign_Cost]]/Marketing[[#This Row],[Customers]]</f>
        <v>411.26086956521738</v>
      </c>
      <c r="K1739" t="s">
        <v>51</v>
      </c>
      <c r="L1739" t="s">
        <v>50</v>
      </c>
      <c r="M1739">
        <v>381</v>
      </c>
      <c r="N1739">
        <v>6910</v>
      </c>
      <c r="O1739">
        <v>10</v>
      </c>
      <c r="P1739" t="s">
        <v>42</v>
      </c>
      <c r="Q1739" s="1">
        <v>44474</v>
      </c>
    </row>
    <row r="1740" spans="1:17" x14ac:dyDescent="0.3">
      <c r="A1740" t="s">
        <v>49</v>
      </c>
      <c r="B1740" t="s">
        <v>15</v>
      </c>
      <c r="C1740" t="s">
        <v>16</v>
      </c>
      <c r="D1740" t="s">
        <v>24</v>
      </c>
      <c r="E1740" t="s">
        <v>41</v>
      </c>
      <c r="F1740" s="9">
        <v>0.02</v>
      </c>
      <c r="G1740" s="10">
        <v>7523</v>
      </c>
      <c r="H1740">
        <v>5.39</v>
      </c>
      <c r="I1740" s="5">
        <f>ROUND(Marketing[[#This Row],[Clicks]]*Marketing[[#This Row],[Conversion_Rate]],0)</f>
        <v>15</v>
      </c>
      <c r="J1740" s="12">
        <f>Marketing[[#This Row],[Campaign_Cost]]/Marketing[[#This Row],[Customers]]</f>
        <v>501.53333333333336</v>
      </c>
      <c r="K1740" t="s">
        <v>51</v>
      </c>
      <c r="L1740" t="s">
        <v>50</v>
      </c>
      <c r="M1740">
        <v>743</v>
      </c>
      <c r="N1740">
        <v>1424</v>
      </c>
      <c r="O1740">
        <v>9</v>
      </c>
      <c r="P1740" t="s">
        <v>34</v>
      </c>
      <c r="Q1740" s="1">
        <v>44475</v>
      </c>
    </row>
    <row r="1741" spans="1:17" x14ac:dyDescent="0.3">
      <c r="A1741" t="s">
        <v>28</v>
      </c>
      <c r="B1741" t="s">
        <v>29</v>
      </c>
      <c r="C1741" t="s">
        <v>23</v>
      </c>
      <c r="D1741" t="s">
        <v>24</v>
      </c>
      <c r="E1741" t="s">
        <v>31</v>
      </c>
      <c r="F1741" s="9">
        <v>7.0000000000000007E-2</v>
      </c>
      <c r="G1741" s="10">
        <v>13162</v>
      </c>
      <c r="H1741">
        <v>7.6</v>
      </c>
      <c r="I1741" s="5">
        <f>ROUND(Marketing[[#This Row],[Clicks]]*Marketing[[#This Row],[Conversion_Rate]],0)</f>
        <v>36</v>
      </c>
      <c r="J1741" s="12">
        <f>Marketing[[#This Row],[Campaign_Cost]]/Marketing[[#This Row],[Customers]]</f>
        <v>365.61111111111109</v>
      </c>
      <c r="K1741" t="s">
        <v>19</v>
      </c>
      <c r="L1741" t="s">
        <v>20</v>
      </c>
      <c r="M1741">
        <v>514</v>
      </c>
      <c r="N1741">
        <v>6596</v>
      </c>
      <c r="O1741">
        <v>10</v>
      </c>
      <c r="P1741" t="s">
        <v>27</v>
      </c>
      <c r="Q1741" s="1">
        <v>44476</v>
      </c>
    </row>
    <row r="1742" spans="1:17" x14ac:dyDescent="0.3">
      <c r="A1742" t="s">
        <v>35</v>
      </c>
      <c r="B1742" t="s">
        <v>45</v>
      </c>
      <c r="C1742" t="s">
        <v>30</v>
      </c>
      <c r="D1742" t="s">
        <v>17</v>
      </c>
      <c r="E1742" t="s">
        <v>31</v>
      </c>
      <c r="F1742" s="9">
        <v>0.13</v>
      </c>
      <c r="G1742" s="10">
        <v>5578</v>
      </c>
      <c r="H1742">
        <v>3.11</v>
      </c>
      <c r="I1742" s="5">
        <f>ROUND(Marketing[[#This Row],[Clicks]]*Marketing[[#This Row],[Conversion_Rate]],0)</f>
        <v>51</v>
      </c>
      <c r="J1742" s="12">
        <f>Marketing[[#This Row],[Campaign_Cost]]/Marketing[[#This Row],[Customers]]</f>
        <v>109.37254901960785</v>
      </c>
      <c r="K1742" t="s">
        <v>32</v>
      </c>
      <c r="L1742" t="s">
        <v>39</v>
      </c>
      <c r="M1742">
        <v>394</v>
      </c>
      <c r="N1742">
        <v>7639</v>
      </c>
      <c r="O1742">
        <v>3</v>
      </c>
      <c r="P1742" t="s">
        <v>21</v>
      </c>
      <c r="Q1742" s="1">
        <v>44477</v>
      </c>
    </row>
    <row r="1743" spans="1:17" x14ac:dyDescent="0.3">
      <c r="A1743" t="s">
        <v>35</v>
      </c>
      <c r="B1743" t="s">
        <v>45</v>
      </c>
      <c r="C1743" t="s">
        <v>37</v>
      </c>
      <c r="D1743" t="s">
        <v>46</v>
      </c>
      <c r="E1743" t="s">
        <v>18</v>
      </c>
      <c r="F1743" s="9">
        <v>0.11</v>
      </c>
      <c r="G1743" s="10">
        <v>14226</v>
      </c>
      <c r="H1743">
        <v>6.91</v>
      </c>
      <c r="I1743" s="5">
        <f>ROUND(Marketing[[#This Row],[Clicks]]*Marketing[[#This Row],[Conversion_Rate]],0)</f>
        <v>31</v>
      </c>
      <c r="J1743" s="12">
        <f>Marketing[[#This Row],[Campaign_Cost]]/Marketing[[#This Row],[Customers]]</f>
        <v>458.90322580645159</v>
      </c>
      <c r="K1743" t="s">
        <v>32</v>
      </c>
      <c r="L1743" t="s">
        <v>33</v>
      </c>
      <c r="M1743">
        <v>283</v>
      </c>
      <c r="N1743">
        <v>8984</v>
      </c>
      <c r="O1743">
        <v>7</v>
      </c>
      <c r="P1743" t="s">
        <v>21</v>
      </c>
      <c r="Q1743" s="1">
        <v>44478</v>
      </c>
    </row>
    <row r="1744" spans="1:17" x14ac:dyDescent="0.3">
      <c r="A1744" t="s">
        <v>22</v>
      </c>
      <c r="B1744" t="s">
        <v>15</v>
      </c>
      <c r="C1744" t="s">
        <v>30</v>
      </c>
      <c r="D1744" t="s">
        <v>40</v>
      </c>
      <c r="E1744" t="s">
        <v>43</v>
      </c>
      <c r="F1744" s="9">
        <v>0.13</v>
      </c>
      <c r="G1744" s="10">
        <v>13584</v>
      </c>
      <c r="H1744">
        <v>4.82</v>
      </c>
      <c r="I1744" s="5">
        <f>ROUND(Marketing[[#This Row],[Clicks]]*Marketing[[#This Row],[Conversion_Rate]],0)</f>
        <v>49</v>
      </c>
      <c r="J1744" s="12">
        <f>Marketing[[#This Row],[Campaign_Cost]]/Marketing[[#This Row],[Customers]]</f>
        <v>277.22448979591837</v>
      </c>
      <c r="K1744" t="s">
        <v>32</v>
      </c>
      <c r="L1744" t="s">
        <v>20</v>
      </c>
      <c r="M1744">
        <v>377</v>
      </c>
      <c r="N1744">
        <v>6871</v>
      </c>
      <c r="O1744">
        <v>4</v>
      </c>
      <c r="P1744" t="s">
        <v>27</v>
      </c>
      <c r="Q1744" s="1">
        <v>44479</v>
      </c>
    </row>
    <row r="1745" spans="1:17" x14ac:dyDescent="0.3">
      <c r="A1745" t="s">
        <v>14</v>
      </c>
      <c r="B1745" t="s">
        <v>29</v>
      </c>
      <c r="C1745" t="s">
        <v>37</v>
      </c>
      <c r="D1745" t="s">
        <v>40</v>
      </c>
      <c r="E1745" t="s">
        <v>41</v>
      </c>
      <c r="F1745" s="9">
        <v>0.15</v>
      </c>
      <c r="G1745" s="10">
        <v>11706</v>
      </c>
      <c r="H1745">
        <v>4.3</v>
      </c>
      <c r="I1745" s="5">
        <f>ROUND(Marketing[[#This Row],[Clicks]]*Marketing[[#This Row],[Conversion_Rate]],0)</f>
        <v>89</v>
      </c>
      <c r="J1745" s="12">
        <f>Marketing[[#This Row],[Campaign_Cost]]/Marketing[[#This Row],[Customers]]</f>
        <v>131.52808988764045</v>
      </c>
      <c r="K1745" t="s">
        <v>51</v>
      </c>
      <c r="L1745" t="s">
        <v>50</v>
      </c>
      <c r="M1745">
        <v>592</v>
      </c>
      <c r="N1745">
        <v>5338</v>
      </c>
      <c r="O1745">
        <v>10</v>
      </c>
      <c r="P1745" t="s">
        <v>27</v>
      </c>
      <c r="Q1745" s="1">
        <v>44480</v>
      </c>
    </row>
    <row r="1746" spans="1:17" x14ac:dyDescent="0.3">
      <c r="A1746" t="s">
        <v>49</v>
      </c>
      <c r="B1746" t="s">
        <v>36</v>
      </c>
      <c r="C1746" t="s">
        <v>16</v>
      </c>
      <c r="D1746" t="s">
        <v>46</v>
      </c>
      <c r="E1746" t="s">
        <v>18</v>
      </c>
      <c r="F1746" s="9">
        <v>0.08</v>
      </c>
      <c r="G1746" s="10">
        <v>16441</v>
      </c>
      <c r="H1746">
        <v>5.37</v>
      </c>
      <c r="I1746" s="5">
        <f>ROUND(Marketing[[#This Row],[Clicks]]*Marketing[[#This Row],[Conversion_Rate]],0)</f>
        <v>43</v>
      </c>
      <c r="J1746" s="12">
        <f>Marketing[[#This Row],[Campaign_Cost]]/Marketing[[#This Row],[Customers]]</f>
        <v>382.3488372093023</v>
      </c>
      <c r="K1746" t="s">
        <v>25</v>
      </c>
      <c r="L1746" t="s">
        <v>20</v>
      </c>
      <c r="M1746">
        <v>535</v>
      </c>
      <c r="N1746">
        <v>5364</v>
      </c>
      <c r="O1746">
        <v>1</v>
      </c>
      <c r="P1746" t="s">
        <v>27</v>
      </c>
      <c r="Q1746" s="1">
        <v>44481</v>
      </c>
    </row>
    <row r="1747" spans="1:17" x14ac:dyDescent="0.3">
      <c r="A1747" t="s">
        <v>28</v>
      </c>
      <c r="B1747" t="s">
        <v>36</v>
      </c>
      <c r="C1747" t="s">
        <v>52</v>
      </c>
      <c r="D1747" t="s">
        <v>17</v>
      </c>
      <c r="E1747" t="s">
        <v>31</v>
      </c>
      <c r="F1747" s="9">
        <v>0.06</v>
      </c>
      <c r="G1747" s="10">
        <v>12161</v>
      </c>
      <c r="H1747">
        <v>3.64</v>
      </c>
      <c r="I1747" s="5">
        <f>ROUND(Marketing[[#This Row],[Clicks]]*Marketing[[#This Row],[Conversion_Rate]],0)</f>
        <v>7</v>
      </c>
      <c r="J1747" s="12">
        <f>Marketing[[#This Row],[Campaign_Cost]]/Marketing[[#This Row],[Customers]]</f>
        <v>1737.2857142857142</v>
      </c>
      <c r="K1747" t="s">
        <v>25</v>
      </c>
      <c r="L1747" t="s">
        <v>50</v>
      </c>
      <c r="M1747">
        <v>122</v>
      </c>
      <c r="N1747">
        <v>4738</v>
      </c>
      <c r="O1747">
        <v>7</v>
      </c>
      <c r="P1747" t="s">
        <v>44</v>
      </c>
      <c r="Q1747" s="1">
        <v>44482</v>
      </c>
    </row>
    <row r="1748" spans="1:17" x14ac:dyDescent="0.3">
      <c r="A1748" t="s">
        <v>35</v>
      </c>
      <c r="B1748" t="s">
        <v>36</v>
      </c>
      <c r="C1748" t="s">
        <v>30</v>
      </c>
      <c r="D1748" t="s">
        <v>24</v>
      </c>
      <c r="E1748" t="s">
        <v>18</v>
      </c>
      <c r="F1748" s="9">
        <v>0.15</v>
      </c>
      <c r="G1748" s="10">
        <v>12421</v>
      </c>
      <c r="H1748">
        <v>4.6900000000000004</v>
      </c>
      <c r="I1748" s="5">
        <f>ROUND(Marketing[[#This Row],[Clicks]]*Marketing[[#This Row],[Conversion_Rate]],0)</f>
        <v>50</v>
      </c>
      <c r="J1748" s="12">
        <f>Marketing[[#This Row],[Campaign_Cost]]/Marketing[[#This Row],[Customers]]</f>
        <v>248.42</v>
      </c>
      <c r="K1748" t="s">
        <v>25</v>
      </c>
      <c r="L1748" t="s">
        <v>39</v>
      </c>
      <c r="M1748">
        <v>331</v>
      </c>
      <c r="N1748">
        <v>4586</v>
      </c>
      <c r="O1748">
        <v>1</v>
      </c>
      <c r="P1748" t="s">
        <v>34</v>
      </c>
      <c r="Q1748" s="1">
        <v>44483</v>
      </c>
    </row>
    <row r="1749" spans="1:17" x14ac:dyDescent="0.3">
      <c r="A1749" t="s">
        <v>22</v>
      </c>
      <c r="B1749" t="s">
        <v>36</v>
      </c>
      <c r="C1749" t="s">
        <v>52</v>
      </c>
      <c r="D1749" t="s">
        <v>24</v>
      </c>
      <c r="E1749" t="s">
        <v>43</v>
      </c>
      <c r="F1749" s="9">
        <v>0.08</v>
      </c>
      <c r="G1749" s="10">
        <v>11465</v>
      </c>
      <c r="H1749">
        <v>5.08</v>
      </c>
      <c r="I1749" s="5">
        <f>ROUND(Marketing[[#This Row],[Clicks]]*Marketing[[#This Row],[Conversion_Rate]],0)</f>
        <v>44</v>
      </c>
      <c r="J1749" s="12">
        <f>Marketing[[#This Row],[Campaign_Cost]]/Marketing[[#This Row],[Customers]]</f>
        <v>260.56818181818181</v>
      </c>
      <c r="K1749" t="s">
        <v>25</v>
      </c>
      <c r="L1749" t="s">
        <v>39</v>
      </c>
      <c r="M1749">
        <v>551</v>
      </c>
      <c r="N1749">
        <v>7912</v>
      </c>
      <c r="O1749">
        <v>6</v>
      </c>
      <c r="P1749" t="s">
        <v>21</v>
      </c>
      <c r="Q1749" s="1">
        <v>44484</v>
      </c>
    </row>
    <row r="1750" spans="1:17" x14ac:dyDescent="0.3">
      <c r="A1750" t="s">
        <v>35</v>
      </c>
      <c r="B1750" t="s">
        <v>15</v>
      </c>
      <c r="C1750" t="s">
        <v>23</v>
      </c>
      <c r="D1750" t="s">
        <v>17</v>
      </c>
      <c r="E1750" t="s">
        <v>15</v>
      </c>
      <c r="F1750" s="9">
        <v>0.11</v>
      </c>
      <c r="G1750" s="10">
        <v>14249</v>
      </c>
      <c r="H1750">
        <v>2.87</v>
      </c>
      <c r="I1750" s="5">
        <f>ROUND(Marketing[[#This Row],[Clicks]]*Marketing[[#This Row],[Conversion_Rate]],0)</f>
        <v>28</v>
      </c>
      <c r="J1750" s="12">
        <f>Marketing[[#This Row],[Campaign_Cost]]/Marketing[[#This Row],[Customers]]</f>
        <v>508.89285714285717</v>
      </c>
      <c r="K1750" t="s">
        <v>38</v>
      </c>
      <c r="L1750" t="s">
        <v>33</v>
      </c>
      <c r="M1750">
        <v>251</v>
      </c>
      <c r="N1750">
        <v>8392</v>
      </c>
      <c r="O1750">
        <v>3</v>
      </c>
      <c r="P1750" t="s">
        <v>21</v>
      </c>
      <c r="Q1750" s="1">
        <v>44485</v>
      </c>
    </row>
    <row r="1751" spans="1:17" x14ac:dyDescent="0.3">
      <c r="A1751" t="s">
        <v>28</v>
      </c>
      <c r="B1751" t="s">
        <v>36</v>
      </c>
      <c r="C1751" t="s">
        <v>52</v>
      </c>
      <c r="D1751" t="s">
        <v>24</v>
      </c>
      <c r="E1751" t="s">
        <v>48</v>
      </c>
      <c r="F1751" s="9">
        <v>0.06</v>
      </c>
      <c r="G1751" s="10">
        <v>7323</v>
      </c>
      <c r="H1751">
        <v>7.17</v>
      </c>
      <c r="I1751" s="5">
        <f>ROUND(Marketing[[#This Row],[Clicks]]*Marketing[[#This Row],[Conversion_Rate]],0)</f>
        <v>35</v>
      </c>
      <c r="J1751" s="12">
        <f>Marketing[[#This Row],[Campaign_Cost]]/Marketing[[#This Row],[Customers]]</f>
        <v>209.22857142857143</v>
      </c>
      <c r="K1751" t="s">
        <v>19</v>
      </c>
      <c r="L1751" t="s">
        <v>33</v>
      </c>
      <c r="M1751">
        <v>583</v>
      </c>
      <c r="N1751">
        <v>9581</v>
      </c>
      <c r="O1751">
        <v>1</v>
      </c>
      <c r="P1751" t="s">
        <v>42</v>
      </c>
      <c r="Q1751" s="1">
        <v>44486</v>
      </c>
    </row>
    <row r="1752" spans="1:17" x14ac:dyDescent="0.3">
      <c r="A1752" t="s">
        <v>22</v>
      </c>
      <c r="B1752" t="s">
        <v>29</v>
      </c>
      <c r="C1752" t="s">
        <v>37</v>
      </c>
      <c r="D1752" t="s">
        <v>40</v>
      </c>
      <c r="E1752" t="s">
        <v>43</v>
      </c>
      <c r="F1752" s="9">
        <v>0.08</v>
      </c>
      <c r="G1752" s="10">
        <v>14254</v>
      </c>
      <c r="H1752">
        <v>7.81</v>
      </c>
      <c r="I1752" s="5">
        <f>ROUND(Marketing[[#This Row],[Clicks]]*Marketing[[#This Row],[Conversion_Rate]],0)</f>
        <v>59</v>
      </c>
      <c r="J1752" s="12">
        <f>Marketing[[#This Row],[Campaign_Cost]]/Marketing[[#This Row],[Customers]]</f>
        <v>241.59322033898306</v>
      </c>
      <c r="K1752" t="s">
        <v>38</v>
      </c>
      <c r="L1752" t="s">
        <v>20</v>
      </c>
      <c r="M1752">
        <v>733</v>
      </c>
      <c r="N1752">
        <v>3906</v>
      </c>
      <c r="O1752">
        <v>4</v>
      </c>
      <c r="P1752" t="s">
        <v>44</v>
      </c>
      <c r="Q1752" s="1">
        <v>44487</v>
      </c>
    </row>
    <row r="1753" spans="1:17" x14ac:dyDescent="0.3">
      <c r="A1753" t="s">
        <v>35</v>
      </c>
      <c r="B1753" t="s">
        <v>29</v>
      </c>
      <c r="C1753" t="s">
        <v>37</v>
      </c>
      <c r="D1753" t="s">
        <v>24</v>
      </c>
      <c r="E1753" t="s">
        <v>41</v>
      </c>
      <c r="F1753" s="9">
        <v>0.14000000000000001</v>
      </c>
      <c r="G1753" s="10">
        <v>14683</v>
      </c>
      <c r="H1753">
        <v>7.36</v>
      </c>
      <c r="I1753" s="5">
        <f>ROUND(Marketing[[#This Row],[Clicks]]*Marketing[[#This Row],[Conversion_Rate]],0)</f>
        <v>132</v>
      </c>
      <c r="J1753" s="12">
        <f>Marketing[[#This Row],[Campaign_Cost]]/Marketing[[#This Row],[Customers]]</f>
        <v>111.23484848484848</v>
      </c>
      <c r="K1753" t="s">
        <v>32</v>
      </c>
      <c r="L1753" t="s">
        <v>33</v>
      </c>
      <c r="M1753">
        <v>942</v>
      </c>
      <c r="N1753">
        <v>4268</v>
      </c>
      <c r="O1753">
        <v>9</v>
      </c>
      <c r="P1753" t="s">
        <v>34</v>
      </c>
      <c r="Q1753" s="1">
        <v>44488</v>
      </c>
    </row>
    <row r="1754" spans="1:17" x14ac:dyDescent="0.3">
      <c r="A1754" t="s">
        <v>14</v>
      </c>
      <c r="B1754" t="s">
        <v>47</v>
      </c>
      <c r="C1754" t="s">
        <v>30</v>
      </c>
      <c r="D1754" t="s">
        <v>17</v>
      </c>
      <c r="E1754" t="s">
        <v>15</v>
      </c>
      <c r="F1754" s="9">
        <v>0.11</v>
      </c>
      <c r="G1754" s="10">
        <v>19595</v>
      </c>
      <c r="H1754">
        <v>2.2799999999999998</v>
      </c>
      <c r="I1754" s="5">
        <f>ROUND(Marketing[[#This Row],[Clicks]]*Marketing[[#This Row],[Conversion_Rate]],0)</f>
        <v>93</v>
      </c>
      <c r="J1754" s="12">
        <f>Marketing[[#This Row],[Campaign_Cost]]/Marketing[[#This Row],[Customers]]</f>
        <v>210.69892473118279</v>
      </c>
      <c r="K1754" t="s">
        <v>25</v>
      </c>
      <c r="L1754" t="s">
        <v>20</v>
      </c>
      <c r="M1754">
        <v>841</v>
      </c>
      <c r="N1754">
        <v>4658</v>
      </c>
      <c r="O1754">
        <v>2</v>
      </c>
      <c r="P1754" t="s">
        <v>21</v>
      </c>
      <c r="Q1754" s="1">
        <v>44489</v>
      </c>
    </row>
    <row r="1755" spans="1:17" x14ac:dyDescent="0.3">
      <c r="A1755" t="s">
        <v>22</v>
      </c>
      <c r="B1755" t="s">
        <v>45</v>
      </c>
      <c r="C1755" t="s">
        <v>23</v>
      </c>
      <c r="D1755" t="s">
        <v>17</v>
      </c>
      <c r="E1755" t="s">
        <v>41</v>
      </c>
      <c r="F1755" s="9">
        <v>0.02</v>
      </c>
      <c r="G1755" s="10">
        <v>5781</v>
      </c>
      <c r="H1755">
        <v>5.15</v>
      </c>
      <c r="I1755" s="5">
        <f>ROUND(Marketing[[#This Row],[Clicks]]*Marketing[[#This Row],[Conversion_Rate]],0)</f>
        <v>8</v>
      </c>
      <c r="J1755" s="12">
        <f>Marketing[[#This Row],[Campaign_Cost]]/Marketing[[#This Row],[Customers]]</f>
        <v>722.625</v>
      </c>
      <c r="K1755" t="s">
        <v>38</v>
      </c>
      <c r="L1755" t="s">
        <v>33</v>
      </c>
      <c r="M1755">
        <v>392</v>
      </c>
      <c r="N1755">
        <v>3707</v>
      </c>
      <c r="O1755">
        <v>10</v>
      </c>
      <c r="P1755" t="s">
        <v>34</v>
      </c>
      <c r="Q1755" s="1">
        <v>44490</v>
      </c>
    </row>
    <row r="1756" spans="1:17" x14ac:dyDescent="0.3">
      <c r="A1756" t="s">
        <v>28</v>
      </c>
      <c r="B1756" t="s">
        <v>29</v>
      </c>
      <c r="C1756" t="s">
        <v>30</v>
      </c>
      <c r="D1756" t="s">
        <v>46</v>
      </c>
      <c r="E1756" t="s">
        <v>41</v>
      </c>
      <c r="F1756" s="9">
        <v>0.06</v>
      </c>
      <c r="G1756" s="10">
        <v>16221</v>
      </c>
      <c r="H1756">
        <v>6.69</v>
      </c>
      <c r="I1756" s="5">
        <f>ROUND(Marketing[[#This Row],[Clicks]]*Marketing[[#This Row],[Conversion_Rate]],0)</f>
        <v>34</v>
      </c>
      <c r="J1756" s="12">
        <f>Marketing[[#This Row],[Campaign_Cost]]/Marketing[[#This Row],[Customers]]</f>
        <v>477.08823529411762</v>
      </c>
      <c r="K1756" t="s">
        <v>19</v>
      </c>
      <c r="L1756" t="s">
        <v>50</v>
      </c>
      <c r="M1756">
        <v>562</v>
      </c>
      <c r="N1756">
        <v>2781</v>
      </c>
      <c r="O1756">
        <v>6</v>
      </c>
      <c r="P1756" t="s">
        <v>44</v>
      </c>
      <c r="Q1756" s="1">
        <v>44491</v>
      </c>
    </row>
    <row r="1757" spans="1:17" x14ac:dyDescent="0.3">
      <c r="A1757" t="s">
        <v>14</v>
      </c>
      <c r="B1757" t="s">
        <v>15</v>
      </c>
      <c r="C1757" t="s">
        <v>37</v>
      </c>
      <c r="D1757" t="s">
        <v>46</v>
      </c>
      <c r="E1757" t="s">
        <v>48</v>
      </c>
      <c r="F1757" s="9">
        <v>0.01</v>
      </c>
      <c r="G1757" s="10">
        <v>14861</v>
      </c>
      <c r="H1757">
        <v>7.6</v>
      </c>
      <c r="I1757" s="5">
        <f>ROUND(Marketing[[#This Row],[Clicks]]*Marketing[[#This Row],[Conversion_Rate]],0)</f>
        <v>6</v>
      </c>
      <c r="J1757" s="12">
        <f>Marketing[[#This Row],[Campaign_Cost]]/Marketing[[#This Row],[Customers]]</f>
        <v>2476.8333333333335</v>
      </c>
      <c r="K1757" t="s">
        <v>51</v>
      </c>
      <c r="L1757" t="s">
        <v>20</v>
      </c>
      <c r="M1757">
        <v>618</v>
      </c>
      <c r="N1757">
        <v>6959</v>
      </c>
      <c r="O1757">
        <v>2</v>
      </c>
      <c r="P1757" t="s">
        <v>44</v>
      </c>
      <c r="Q1757" s="1">
        <v>44492</v>
      </c>
    </row>
    <row r="1758" spans="1:17" x14ac:dyDescent="0.3">
      <c r="A1758" t="s">
        <v>28</v>
      </c>
      <c r="B1758" t="s">
        <v>36</v>
      </c>
      <c r="C1758" t="s">
        <v>16</v>
      </c>
      <c r="D1758" t="s">
        <v>17</v>
      </c>
      <c r="E1758" t="s">
        <v>48</v>
      </c>
      <c r="F1758" s="9">
        <v>0.05</v>
      </c>
      <c r="G1758" s="10">
        <v>15460</v>
      </c>
      <c r="H1758">
        <v>6.13</v>
      </c>
      <c r="I1758" s="5">
        <f>ROUND(Marketing[[#This Row],[Clicks]]*Marketing[[#This Row],[Conversion_Rate]],0)</f>
        <v>36</v>
      </c>
      <c r="J1758" s="12">
        <f>Marketing[[#This Row],[Campaign_Cost]]/Marketing[[#This Row],[Customers]]</f>
        <v>429.44444444444446</v>
      </c>
      <c r="K1758" t="s">
        <v>25</v>
      </c>
      <c r="L1758" t="s">
        <v>50</v>
      </c>
      <c r="M1758">
        <v>723</v>
      </c>
      <c r="N1758">
        <v>4837</v>
      </c>
      <c r="O1758">
        <v>5</v>
      </c>
      <c r="P1758" t="s">
        <v>27</v>
      </c>
      <c r="Q1758" s="1">
        <v>44493</v>
      </c>
    </row>
    <row r="1759" spans="1:17" x14ac:dyDescent="0.3">
      <c r="A1759" t="s">
        <v>14</v>
      </c>
      <c r="B1759" t="s">
        <v>47</v>
      </c>
      <c r="C1759" t="s">
        <v>16</v>
      </c>
      <c r="D1759" t="s">
        <v>17</v>
      </c>
      <c r="E1759" t="s">
        <v>31</v>
      </c>
      <c r="F1759" s="9">
        <v>0.04</v>
      </c>
      <c r="G1759" s="10">
        <v>16473</v>
      </c>
      <c r="H1759">
        <v>7.99</v>
      </c>
      <c r="I1759" s="5">
        <f>ROUND(Marketing[[#This Row],[Clicks]]*Marketing[[#This Row],[Conversion_Rate]],0)</f>
        <v>32</v>
      </c>
      <c r="J1759" s="12">
        <f>Marketing[[#This Row],[Campaign_Cost]]/Marketing[[#This Row],[Customers]]</f>
        <v>514.78125</v>
      </c>
      <c r="K1759" t="s">
        <v>25</v>
      </c>
      <c r="L1759" t="s">
        <v>39</v>
      </c>
      <c r="M1759">
        <v>802</v>
      </c>
      <c r="N1759">
        <v>1308</v>
      </c>
      <c r="O1759">
        <v>6</v>
      </c>
      <c r="P1759" t="s">
        <v>27</v>
      </c>
      <c r="Q1759" s="1">
        <v>44494</v>
      </c>
    </row>
    <row r="1760" spans="1:17" x14ac:dyDescent="0.3">
      <c r="A1760" t="s">
        <v>28</v>
      </c>
      <c r="B1760" t="s">
        <v>47</v>
      </c>
      <c r="C1760" t="s">
        <v>30</v>
      </c>
      <c r="D1760" t="s">
        <v>40</v>
      </c>
      <c r="E1760" t="s">
        <v>18</v>
      </c>
      <c r="F1760" s="9">
        <v>0.1</v>
      </c>
      <c r="G1760" s="10">
        <v>9895</v>
      </c>
      <c r="H1760">
        <v>4.54</v>
      </c>
      <c r="I1760" s="5">
        <f>ROUND(Marketing[[#This Row],[Clicks]]*Marketing[[#This Row],[Conversion_Rate]],0)</f>
        <v>88</v>
      </c>
      <c r="J1760" s="12">
        <f>Marketing[[#This Row],[Campaign_Cost]]/Marketing[[#This Row],[Customers]]</f>
        <v>112.44318181818181</v>
      </c>
      <c r="K1760" t="s">
        <v>51</v>
      </c>
      <c r="L1760" t="s">
        <v>26</v>
      </c>
      <c r="M1760">
        <v>878</v>
      </c>
      <c r="N1760">
        <v>2424</v>
      </c>
      <c r="O1760">
        <v>3</v>
      </c>
      <c r="P1760" t="s">
        <v>27</v>
      </c>
      <c r="Q1760" s="1">
        <v>44495</v>
      </c>
    </row>
    <row r="1761" spans="1:17" x14ac:dyDescent="0.3">
      <c r="A1761" t="s">
        <v>35</v>
      </c>
      <c r="B1761" t="s">
        <v>45</v>
      </c>
      <c r="C1761" t="s">
        <v>23</v>
      </c>
      <c r="D1761" t="s">
        <v>24</v>
      </c>
      <c r="E1761" t="s">
        <v>41</v>
      </c>
      <c r="F1761" s="9">
        <v>7.0000000000000007E-2</v>
      </c>
      <c r="G1761" s="10">
        <v>8856</v>
      </c>
      <c r="H1761">
        <v>2.96</v>
      </c>
      <c r="I1761" s="5">
        <f>ROUND(Marketing[[#This Row],[Clicks]]*Marketing[[#This Row],[Conversion_Rate]],0)</f>
        <v>37</v>
      </c>
      <c r="J1761" s="12">
        <f>Marketing[[#This Row],[Campaign_Cost]]/Marketing[[#This Row],[Customers]]</f>
        <v>239.35135135135135</v>
      </c>
      <c r="K1761" t="s">
        <v>32</v>
      </c>
      <c r="L1761" t="s">
        <v>20</v>
      </c>
      <c r="M1761">
        <v>532</v>
      </c>
      <c r="N1761">
        <v>6297</v>
      </c>
      <c r="O1761">
        <v>4</v>
      </c>
      <c r="P1761" t="s">
        <v>44</v>
      </c>
      <c r="Q1761" s="1">
        <v>44496</v>
      </c>
    </row>
    <row r="1762" spans="1:17" x14ac:dyDescent="0.3">
      <c r="A1762" t="s">
        <v>22</v>
      </c>
      <c r="B1762" t="s">
        <v>15</v>
      </c>
      <c r="C1762" t="s">
        <v>16</v>
      </c>
      <c r="D1762" t="s">
        <v>24</v>
      </c>
      <c r="E1762" t="s">
        <v>31</v>
      </c>
      <c r="F1762" s="9">
        <v>0.02</v>
      </c>
      <c r="G1762" s="10">
        <v>5147</v>
      </c>
      <c r="H1762">
        <v>6.03</v>
      </c>
      <c r="I1762" s="5">
        <f>ROUND(Marketing[[#This Row],[Clicks]]*Marketing[[#This Row],[Conversion_Rate]],0)</f>
        <v>9</v>
      </c>
      <c r="J1762" s="12">
        <f>Marketing[[#This Row],[Campaign_Cost]]/Marketing[[#This Row],[Customers]]</f>
        <v>571.88888888888891</v>
      </c>
      <c r="K1762" t="s">
        <v>51</v>
      </c>
      <c r="L1762" t="s">
        <v>50</v>
      </c>
      <c r="M1762">
        <v>444</v>
      </c>
      <c r="N1762">
        <v>3875</v>
      </c>
      <c r="O1762">
        <v>8</v>
      </c>
      <c r="P1762" t="s">
        <v>21</v>
      </c>
      <c r="Q1762" s="1">
        <v>44497</v>
      </c>
    </row>
    <row r="1763" spans="1:17" x14ac:dyDescent="0.3">
      <c r="A1763" t="s">
        <v>22</v>
      </c>
      <c r="B1763" t="s">
        <v>45</v>
      </c>
      <c r="C1763" t="s">
        <v>23</v>
      </c>
      <c r="D1763" t="s">
        <v>24</v>
      </c>
      <c r="E1763" t="s">
        <v>31</v>
      </c>
      <c r="F1763" s="9">
        <v>0.12</v>
      </c>
      <c r="G1763" s="10">
        <v>16285</v>
      </c>
      <c r="H1763">
        <v>4.0599999999999996</v>
      </c>
      <c r="I1763" s="5">
        <f>ROUND(Marketing[[#This Row],[Clicks]]*Marketing[[#This Row],[Conversion_Rate]],0)</f>
        <v>58</v>
      </c>
      <c r="J1763" s="12">
        <f>Marketing[[#This Row],[Campaign_Cost]]/Marketing[[#This Row],[Customers]]</f>
        <v>280.77586206896552</v>
      </c>
      <c r="K1763" t="s">
        <v>38</v>
      </c>
      <c r="L1763" t="s">
        <v>33</v>
      </c>
      <c r="M1763">
        <v>487</v>
      </c>
      <c r="N1763">
        <v>3972</v>
      </c>
      <c r="O1763">
        <v>10</v>
      </c>
      <c r="P1763" t="s">
        <v>21</v>
      </c>
      <c r="Q1763" s="1">
        <v>44498</v>
      </c>
    </row>
    <row r="1764" spans="1:17" x14ac:dyDescent="0.3">
      <c r="A1764" t="s">
        <v>22</v>
      </c>
      <c r="B1764" t="s">
        <v>45</v>
      </c>
      <c r="C1764" t="s">
        <v>16</v>
      </c>
      <c r="D1764" t="s">
        <v>46</v>
      </c>
      <c r="E1764" t="s">
        <v>31</v>
      </c>
      <c r="F1764" s="9">
        <v>0.08</v>
      </c>
      <c r="G1764" s="10">
        <v>6011</v>
      </c>
      <c r="H1764">
        <v>5.13</v>
      </c>
      <c r="I1764" s="5">
        <f>ROUND(Marketing[[#This Row],[Clicks]]*Marketing[[#This Row],[Conversion_Rate]],0)</f>
        <v>66</v>
      </c>
      <c r="J1764" s="12">
        <f>Marketing[[#This Row],[Campaign_Cost]]/Marketing[[#This Row],[Customers]]</f>
        <v>91.075757575757578</v>
      </c>
      <c r="K1764" t="s">
        <v>38</v>
      </c>
      <c r="L1764" t="s">
        <v>50</v>
      </c>
      <c r="M1764">
        <v>827</v>
      </c>
      <c r="N1764">
        <v>2446</v>
      </c>
      <c r="O1764">
        <v>7</v>
      </c>
      <c r="P1764" t="s">
        <v>21</v>
      </c>
      <c r="Q1764" s="1">
        <v>44499</v>
      </c>
    </row>
    <row r="1765" spans="1:17" x14ac:dyDescent="0.3">
      <c r="A1765" t="s">
        <v>28</v>
      </c>
      <c r="B1765" t="s">
        <v>47</v>
      </c>
      <c r="C1765" t="s">
        <v>37</v>
      </c>
      <c r="D1765" t="s">
        <v>46</v>
      </c>
      <c r="E1765" t="s">
        <v>18</v>
      </c>
      <c r="F1765" s="9">
        <v>0.06</v>
      </c>
      <c r="G1765" s="10">
        <v>18071</v>
      </c>
      <c r="H1765">
        <v>7.14</v>
      </c>
      <c r="I1765" s="5">
        <f>ROUND(Marketing[[#This Row],[Clicks]]*Marketing[[#This Row],[Conversion_Rate]],0)</f>
        <v>19</v>
      </c>
      <c r="J1765" s="12">
        <f>Marketing[[#This Row],[Campaign_Cost]]/Marketing[[#This Row],[Customers]]</f>
        <v>951.10526315789468</v>
      </c>
      <c r="K1765" t="s">
        <v>25</v>
      </c>
      <c r="L1765" t="s">
        <v>50</v>
      </c>
      <c r="M1765">
        <v>309</v>
      </c>
      <c r="N1765">
        <v>1249</v>
      </c>
      <c r="O1765">
        <v>2</v>
      </c>
      <c r="P1765" t="s">
        <v>21</v>
      </c>
      <c r="Q1765" s="1">
        <v>44500</v>
      </c>
    </row>
    <row r="1766" spans="1:17" x14ac:dyDescent="0.3">
      <c r="A1766" t="s">
        <v>49</v>
      </c>
      <c r="B1766" t="s">
        <v>29</v>
      </c>
      <c r="C1766" t="s">
        <v>23</v>
      </c>
      <c r="D1766" t="s">
        <v>24</v>
      </c>
      <c r="E1766" t="s">
        <v>15</v>
      </c>
      <c r="F1766" s="9">
        <v>0.04</v>
      </c>
      <c r="G1766" s="10">
        <v>12426</v>
      </c>
      <c r="H1766">
        <v>5.58</v>
      </c>
      <c r="I1766" s="5">
        <f>ROUND(Marketing[[#This Row],[Clicks]]*Marketing[[#This Row],[Conversion_Rate]],0)</f>
        <v>26</v>
      </c>
      <c r="J1766" s="12">
        <f>Marketing[[#This Row],[Campaign_Cost]]/Marketing[[#This Row],[Customers]]</f>
        <v>477.92307692307691</v>
      </c>
      <c r="K1766" t="s">
        <v>32</v>
      </c>
      <c r="L1766" t="s">
        <v>26</v>
      </c>
      <c r="M1766">
        <v>643</v>
      </c>
      <c r="N1766">
        <v>7454</v>
      </c>
      <c r="O1766">
        <v>4</v>
      </c>
      <c r="P1766" t="s">
        <v>44</v>
      </c>
      <c r="Q1766" s="1">
        <v>44501</v>
      </c>
    </row>
    <row r="1767" spans="1:17" x14ac:dyDescent="0.3">
      <c r="A1767" t="s">
        <v>28</v>
      </c>
      <c r="B1767" t="s">
        <v>29</v>
      </c>
      <c r="C1767" t="s">
        <v>30</v>
      </c>
      <c r="D1767" t="s">
        <v>24</v>
      </c>
      <c r="E1767" t="s">
        <v>43</v>
      </c>
      <c r="F1767" s="9">
        <v>0.03</v>
      </c>
      <c r="G1767" s="10">
        <v>10430</v>
      </c>
      <c r="H1767">
        <v>3.28</v>
      </c>
      <c r="I1767" s="5">
        <f>ROUND(Marketing[[#This Row],[Clicks]]*Marketing[[#This Row],[Conversion_Rate]],0)</f>
        <v>22</v>
      </c>
      <c r="J1767" s="12">
        <f>Marketing[[#This Row],[Campaign_Cost]]/Marketing[[#This Row],[Customers]]</f>
        <v>474.09090909090907</v>
      </c>
      <c r="K1767" t="s">
        <v>38</v>
      </c>
      <c r="L1767" t="s">
        <v>26</v>
      </c>
      <c r="M1767">
        <v>747</v>
      </c>
      <c r="N1767">
        <v>7485</v>
      </c>
      <c r="O1767">
        <v>1</v>
      </c>
      <c r="P1767" t="s">
        <v>34</v>
      </c>
      <c r="Q1767" s="1">
        <v>44502</v>
      </c>
    </row>
    <row r="1768" spans="1:17" x14ac:dyDescent="0.3">
      <c r="A1768" t="s">
        <v>14</v>
      </c>
      <c r="B1768" t="s">
        <v>47</v>
      </c>
      <c r="C1768" t="s">
        <v>30</v>
      </c>
      <c r="D1768" t="s">
        <v>17</v>
      </c>
      <c r="E1768" t="s">
        <v>15</v>
      </c>
      <c r="F1768" s="9">
        <v>0.06</v>
      </c>
      <c r="G1768" s="10">
        <v>15216</v>
      </c>
      <c r="H1768">
        <v>3.26</v>
      </c>
      <c r="I1768" s="5">
        <f>ROUND(Marketing[[#This Row],[Clicks]]*Marketing[[#This Row],[Conversion_Rate]],0)</f>
        <v>35</v>
      </c>
      <c r="J1768" s="12">
        <f>Marketing[[#This Row],[Campaign_Cost]]/Marketing[[#This Row],[Customers]]</f>
        <v>434.74285714285713</v>
      </c>
      <c r="K1768" t="s">
        <v>25</v>
      </c>
      <c r="L1768" t="s">
        <v>33</v>
      </c>
      <c r="M1768">
        <v>590</v>
      </c>
      <c r="N1768">
        <v>3225</v>
      </c>
      <c r="O1768">
        <v>4</v>
      </c>
      <c r="P1768" t="s">
        <v>34</v>
      </c>
      <c r="Q1768" s="1">
        <v>44503</v>
      </c>
    </row>
    <row r="1769" spans="1:17" x14ac:dyDescent="0.3">
      <c r="A1769" t="s">
        <v>22</v>
      </c>
      <c r="B1769" t="s">
        <v>15</v>
      </c>
      <c r="C1769" t="s">
        <v>37</v>
      </c>
      <c r="D1769" t="s">
        <v>17</v>
      </c>
      <c r="E1769" t="s">
        <v>15</v>
      </c>
      <c r="F1769" s="9">
        <v>0.03</v>
      </c>
      <c r="G1769" s="10">
        <v>15939</v>
      </c>
      <c r="H1769">
        <v>2.4300000000000002</v>
      </c>
      <c r="I1769" s="5">
        <f>ROUND(Marketing[[#This Row],[Clicks]]*Marketing[[#This Row],[Conversion_Rate]],0)</f>
        <v>21</v>
      </c>
      <c r="J1769" s="12">
        <f>Marketing[[#This Row],[Campaign_Cost]]/Marketing[[#This Row],[Customers]]</f>
        <v>759</v>
      </c>
      <c r="K1769" t="s">
        <v>38</v>
      </c>
      <c r="L1769" t="s">
        <v>20</v>
      </c>
      <c r="M1769">
        <v>700</v>
      </c>
      <c r="N1769">
        <v>5268</v>
      </c>
      <c r="O1769">
        <v>10</v>
      </c>
      <c r="P1769" t="s">
        <v>42</v>
      </c>
      <c r="Q1769" s="1">
        <v>44504</v>
      </c>
    </row>
    <row r="1770" spans="1:17" x14ac:dyDescent="0.3">
      <c r="A1770" t="s">
        <v>49</v>
      </c>
      <c r="B1770" t="s">
        <v>15</v>
      </c>
      <c r="C1770" t="s">
        <v>37</v>
      </c>
      <c r="D1770" t="s">
        <v>24</v>
      </c>
      <c r="E1770" t="s">
        <v>18</v>
      </c>
      <c r="F1770" s="9">
        <v>0.06</v>
      </c>
      <c r="G1770" s="10">
        <v>11753</v>
      </c>
      <c r="H1770">
        <v>3.46</v>
      </c>
      <c r="I1770" s="5">
        <f>ROUND(Marketing[[#This Row],[Clicks]]*Marketing[[#This Row],[Conversion_Rate]],0)</f>
        <v>30</v>
      </c>
      <c r="J1770" s="12">
        <f>Marketing[[#This Row],[Campaign_Cost]]/Marketing[[#This Row],[Customers]]</f>
        <v>391.76666666666665</v>
      </c>
      <c r="K1770" t="s">
        <v>19</v>
      </c>
      <c r="L1770" t="s">
        <v>39</v>
      </c>
      <c r="M1770">
        <v>501</v>
      </c>
      <c r="N1770">
        <v>9670</v>
      </c>
      <c r="O1770">
        <v>8</v>
      </c>
      <c r="P1770" t="s">
        <v>34</v>
      </c>
      <c r="Q1770" s="1">
        <v>44505</v>
      </c>
    </row>
    <row r="1771" spans="1:17" x14ac:dyDescent="0.3">
      <c r="A1771" t="s">
        <v>35</v>
      </c>
      <c r="B1771" t="s">
        <v>45</v>
      </c>
      <c r="C1771" t="s">
        <v>30</v>
      </c>
      <c r="D1771" t="s">
        <v>24</v>
      </c>
      <c r="E1771" t="s">
        <v>31</v>
      </c>
      <c r="F1771" s="9">
        <v>0.14000000000000001</v>
      </c>
      <c r="G1771" s="10">
        <v>19652</v>
      </c>
      <c r="H1771">
        <v>5.82</v>
      </c>
      <c r="I1771" s="5">
        <f>ROUND(Marketing[[#This Row],[Clicks]]*Marketing[[#This Row],[Conversion_Rate]],0)</f>
        <v>73</v>
      </c>
      <c r="J1771" s="12">
        <f>Marketing[[#This Row],[Campaign_Cost]]/Marketing[[#This Row],[Customers]]</f>
        <v>269.20547945205482</v>
      </c>
      <c r="K1771" t="s">
        <v>32</v>
      </c>
      <c r="L1771" t="s">
        <v>33</v>
      </c>
      <c r="M1771">
        <v>518</v>
      </c>
      <c r="N1771">
        <v>1790</v>
      </c>
      <c r="O1771">
        <v>2</v>
      </c>
      <c r="P1771" t="s">
        <v>42</v>
      </c>
      <c r="Q1771" s="1">
        <v>44506</v>
      </c>
    </row>
    <row r="1772" spans="1:17" x14ac:dyDescent="0.3">
      <c r="A1772" t="s">
        <v>14</v>
      </c>
      <c r="B1772" t="s">
        <v>45</v>
      </c>
      <c r="C1772" t="s">
        <v>23</v>
      </c>
      <c r="D1772" t="s">
        <v>17</v>
      </c>
      <c r="E1772" t="s">
        <v>43</v>
      </c>
      <c r="F1772" s="9">
        <v>0.08</v>
      </c>
      <c r="G1772" s="10">
        <v>12901</v>
      </c>
      <c r="H1772">
        <v>6.8</v>
      </c>
      <c r="I1772" s="5">
        <f>ROUND(Marketing[[#This Row],[Clicks]]*Marketing[[#This Row],[Conversion_Rate]],0)</f>
        <v>44</v>
      </c>
      <c r="J1772" s="12">
        <f>Marketing[[#This Row],[Campaign_Cost]]/Marketing[[#This Row],[Customers]]</f>
        <v>293.20454545454544</v>
      </c>
      <c r="K1772" t="s">
        <v>25</v>
      </c>
      <c r="L1772" t="s">
        <v>26</v>
      </c>
      <c r="M1772">
        <v>553</v>
      </c>
      <c r="N1772">
        <v>2549</v>
      </c>
      <c r="O1772">
        <v>6</v>
      </c>
      <c r="P1772" t="s">
        <v>21</v>
      </c>
      <c r="Q1772" s="1">
        <v>44507</v>
      </c>
    </row>
    <row r="1773" spans="1:17" x14ac:dyDescent="0.3">
      <c r="A1773" t="s">
        <v>14</v>
      </c>
      <c r="B1773" t="s">
        <v>15</v>
      </c>
      <c r="C1773" t="s">
        <v>23</v>
      </c>
      <c r="D1773" t="s">
        <v>46</v>
      </c>
      <c r="E1773" t="s">
        <v>31</v>
      </c>
      <c r="F1773" s="9">
        <v>7.0000000000000007E-2</v>
      </c>
      <c r="G1773" s="10">
        <v>10236</v>
      </c>
      <c r="H1773">
        <v>7.43</v>
      </c>
      <c r="I1773" s="5">
        <f>ROUND(Marketing[[#This Row],[Clicks]]*Marketing[[#This Row],[Conversion_Rate]],0)</f>
        <v>53</v>
      </c>
      <c r="J1773" s="12">
        <f>Marketing[[#This Row],[Campaign_Cost]]/Marketing[[#This Row],[Customers]]</f>
        <v>193.1320754716981</v>
      </c>
      <c r="K1773" t="s">
        <v>38</v>
      </c>
      <c r="L1773" t="s">
        <v>26</v>
      </c>
      <c r="M1773">
        <v>763</v>
      </c>
      <c r="N1773">
        <v>9464</v>
      </c>
      <c r="O1773">
        <v>1</v>
      </c>
      <c r="P1773" t="s">
        <v>42</v>
      </c>
      <c r="Q1773" s="1">
        <v>44508</v>
      </c>
    </row>
    <row r="1774" spans="1:17" x14ac:dyDescent="0.3">
      <c r="A1774" t="s">
        <v>28</v>
      </c>
      <c r="B1774" t="s">
        <v>15</v>
      </c>
      <c r="C1774" t="s">
        <v>23</v>
      </c>
      <c r="D1774" t="s">
        <v>40</v>
      </c>
      <c r="E1774" t="s">
        <v>43</v>
      </c>
      <c r="F1774" s="9">
        <v>0.15</v>
      </c>
      <c r="G1774" s="10">
        <v>8298</v>
      </c>
      <c r="H1774">
        <v>5.65</v>
      </c>
      <c r="I1774" s="5">
        <f>ROUND(Marketing[[#This Row],[Clicks]]*Marketing[[#This Row],[Conversion_Rate]],0)</f>
        <v>37</v>
      </c>
      <c r="J1774" s="12">
        <f>Marketing[[#This Row],[Campaign_Cost]]/Marketing[[#This Row],[Customers]]</f>
        <v>224.27027027027026</v>
      </c>
      <c r="K1774" t="s">
        <v>25</v>
      </c>
      <c r="L1774" t="s">
        <v>33</v>
      </c>
      <c r="M1774">
        <v>249</v>
      </c>
      <c r="N1774">
        <v>7654</v>
      </c>
      <c r="O1774">
        <v>8</v>
      </c>
      <c r="P1774" t="s">
        <v>34</v>
      </c>
      <c r="Q1774" s="1">
        <v>44509</v>
      </c>
    </row>
    <row r="1775" spans="1:17" x14ac:dyDescent="0.3">
      <c r="A1775" t="s">
        <v>28</v>
      </c>
      <c r="B1775" t="s">
        <v>29</v>
      </c>
      <c r="C1775" t="s">
        <v>37</v>
      </c>
      <c r="D1775" t="s">
        <v>46</v>
      </c>
      <c r="E1775" t="s">
        <v>48</v>
      </c>
      <c r="F1775" s="9">
        <v>7.0000000000000007E-2</v>
      </c>
      <c r="G1775" s="10">
        <v>10791</v>
      </c>
      <c r="H1775">
        <v>4.66</v>
      </c>
      <c r="I1775" s="5">
        <f>ROUND(Marketing[[#This Row],[Clicks]]*Marketing[[#This Row],[Conversion_Rate]],0)</f>
        <v>47</v>
      </c>
      <c r="J1775" s="12">
        <f>Marketing[[#This Row],[Campaign_Cost]]/Marketing[[#This Row],[Customers]]</f>
        <v>229.59574468085106</v>
      </c>
      <c r="K1775" t="s">
        <v>38</v>
      </c>
      <c r="L1775" t="s">
        <v>20</v>
      </c>
      <c r="M1775">
        <v>666</v>
      </c>
      <c r="N1775">
        <v>7543</v>
      </c>
      <c r="O1775">
        <v>3</v>
      </c>
      <c r="P1775" t="s">
        <v>44</v>
      </c>
      <c r="Q1775" s="1">
        <v>44510</v>
      </c>
    </row>
    <row r="1776" spans="1:17" x14ac:dyDescent="0.3">
      <c r="A1776" t="s">
        <v>14</v>
      </c>
      <c r="B1776" t="s">
        <v>15</v>
      </c>
      <c r="C1776" t="s">
        <v>23</v>
      </c>
      <c r="D1776" t="s">
        <v>24</v>
      </c>
      <c r="E1776" t="s">
        <v>48</v>
      </c>
      <c r="F1776" s="9">
        <v>0.04</v>
      </c>
      <c r="G1776" s="10">
        <v>17716</v>
      </c>
      <c r="H1776">
        <v>7.56</v>
      </c>
      <c r="I1776" s="5">
        <f>ROUND(Marketing[[#This Row],[Clicks]]*Marketing[[#This Row],[Conversion_Rate]],0)</f>
        <v>36</v>
      </c>
      <c r="J1776" s="12">
        <f>Marketing[[#This Row],[Campaign_Cost]]/Marketing[[#This Row],[Customers]]</f>
        <v>492.11111111111109</v>
      </c>
      <c r="K1776" t="s">
        <v>38</v>
      </c>
      <c r="L1776" t="s">
        <v>39</v>
      </c>
      <c r="M1776">
        <v>889</v>
      </c>
      <c r="N1776">
        <v>6856</v>
      </c>
      <c r="O1776">
        <v>7</v>
      </c>
      <c r="P1776" t="s">
        <v>27</v>
      </c>
      <c r="Q1776" s="1">
        <v>44511</v>
      </c>
    </row>
    <row r="1777" spans="1:17" x14ac:dyDescent="0.3">
      <c r="A1777" t="s">
        <v>35</v>
      </c>
      <c r="B1777" t="s">
        <v>36</v>
      </c>
      <c r="C1777" t="s">
        <v>37</v>
      </c>
      <c r="D1777" t="s">
        <v>17</v>
      </c>
      <c r="E1777" t="s">
        <v>31</v>
      </c>
      <c r="F1777" s="9">
        <v>0.13</v>
      </c>
      <c r="G1777" s="10">
        <v>19179</v>
      </c>
      <c r="H1777">
        <v>3.38</v>
      </c>
      <c r="I1777" s="5">
        <f>ROUND(Marketing[[#This Row],[Clicks]]*Marketing[[#This Row],[Conversion_Rate]],0)</f>
        <v>34</v>
      </c>
      <c r="J1777" s="12">
        <f>Marketing[[#This Row],[Campaign_Cost]]/Marketing[[#This Row],[Customers]]</f>
        <v>564.08823529411768</v>
      </c>
      <c r="K1777" t="s">
        <v>25</v>
      </c>
      <c r="L1777" t="s">
        <v>39</v>
      </c>
      <c r="M1777">
        <v>264</v>
      </c>
      <c r="N1777">
        <v>5401</v>
      </c>
      <c r="O1777">
        <v>10</v>
      </c>
      <c r="P1777" t="s">
        <v>42</v>
      </c>
      <c r="Q1777" s="1">
        <v>44512</v>
      </c>
    </row>
    <row r="1778" spans="1:17" x14ac:dyDescent="0.3">
      <c r="A1778" t="s">
        <v>49</v>
      </c>
      <c r="B1778" t="s">
        <v>47</v>
      </c>
      <c r="C1778" t="s">
        <v>16</v>
      </c>
      <c r="D1778" t="s">
        <v>46</v>
      </c>
      <c r="E1778" t="s">
        <v>48</v>
      </c>
      <c r="F1778" s="9">
        <v>7.0000000000000007E-2</v>
      </c>
      <c r="G1778" s="10">
        <v>19271</v>
      </c>
      <c r="H1778">
        <v>7.25</v>
      </c>
      <c r="I1778" s="5">
        <f>ROUND(Marketing[[#This Row],[Clicks]]*Marketing[[#This Row],[Conversion_Rate]],0)</f>
        <v>34</v>
      </c>
      <c r="J1778" s="12">
        <f>Marketing[[#This Row],[Campaign_Cost]]/Marketing[[#This Row],[Customers]]</f>
        <v>566.79411764705878</v>
      </c>
      <c r="K1778" t="s">
        <v>51</v>
      </c>
      <c r="L1778" t="s">
        <v>20</v>
      </c>
      <c r="M1778">
        <v>483</v>
      </c>
      <c r="N1778">
        <v>9281</v>
      </c>
      <c r="O1778">
        <v>1</v>
      </c>
      <c r="P1778" t="s">
        <v>27</v>
      </c>
      <c r="Q1778" s="1">
        <v>44513</v>
      </c>
    </row>
    <row r="1779" spans="1:17" x14ac:dyDescent="0.3">
      <c r="A1779" t="s">
        <v>14</v>
      </c>
      <c r="B1779" t="s">
        <v>36</v>
      </c>
      <c r="C1779" t="s">
        <v>52</v>
      </c>
      <c r="D1779" t="s">
        <v>46</v>
      </c>
      <c r="E1779" t="s">
        <v>15</v>
      </c>
      <c r="F1779" s="9">
        <v>0.01</v>
      </c>
      <c r="G1779" s="10">
        <v>14234</v>
      </c>
      <c r="H1779">
        <v>2.86</v>
      </c>
      <c r="I1779" s="5">
        <f>ROUND(Marketing[[#This Row],[Clicks]]*Marketing[[#This Row],[Conversion_Rate]],0)</f>
        <v>10</v>
      </c>
      <c r="J1779" s="12">
        <f>Marketing[[#This Row],[Campaign_Cost]]/Marketing[[#This Row],[Customers]]</f>
        <v>1423.4</v>
      </c>
      <c r="K1779" t="s">
        <v>51</v>
      </c>
      <c r="L1779" t="s">
        <v>39</v>
      </c>
      <c r="M1779">
        <v>981</v>
      </c>
      <c r="N1779">
        <v>5413</v>
      </c>
      <c r="O1779">
        <v>5</v>
      </c>
      <c r="P1779" t="s">
        <v>44</v>
      </c>
      <c r="Q1779" s="1">
        <v>44514</v>
      </c>
    </row>
    <row r="1780" spans="1:17" x14ac:dyDescent="0.3">
      <c r="A1780" t="s">
        <v>35</v>
      </c>
      <c r="B1780" t="s">
        <v>15</v>
      </c>
      <c r="C1780" t="s">
        <v>30</v>
      </c>
      <c r="D1780" t="s">
        <v>24</v>
      </c>
      <c r="E1780" t="s">
        <v>41</v>
      </c>
      <c r="F1780" s="9">
        <v>0.09</v>
      </c>
      <c r="G1780" s="10">
        <v>14247</v>
      </c>
      <c r="H1780">
        <v>3.5</v>
      </c>
      <c r="I1780" s="5">
        <f>ROUND(Marketing[[#This Row],[Clicks]]*Marketing[[#This Row],[Conversion_Rate]],0)</f>
        <v>62</v>
      </c>
      <c r="J1780" s="12">
        <f>Marketing[[#This Row],[Campaign_Cost]]/Marketing[[#This Row],[Customers]]</f>
        <v>229.79032258064515</v>
      </c>
      <c r="K1780" t="s">
        <v>32</v>
      </c>
      <c r="L1780" t="s">
        <v>26</v>
      </c>
      <c r="M1780">
        <v>687</v>
      </c>
      <c r="N1780">
        <v>2934</v>
      </c>
      <c r="O1780">
        <v>7</v>
      </c>
      <c r="P1780" t="s">
        <v>21</v>
      </c>
      <c r="Q1780" s="1">
        <v>44515</v>
      </c>
    </row>
    <row r="1781" spans="1:17" x14ac:dyDescent="0.3">
      <c r="A1781" t="s">
        <v>14</v>
      </c>
      <c r="B1781" t="s">
        <v>47</v>
      </c>
      <c r="C1781" t="s">
        <v>37</v>
      </c>
      <c r="D1781" t="s">
        <v>46</v>
      </c>
      <c r="E1781" t="s">
        <v>15</v>
      </c>
      <c r="F1781" s="9">
        <v>0.05</v>
      </c>
      <c r="G1781" s="10">
        <v>6697</v>
      </c>
      <c r="H1781">
        <v>2.66</v>
      </c>
      <c r="I1781" s="5">
        <f>ROUND(Marketing[[#This Row],[Clicks]]*Marketing[[#This Row],[Conversion_Rate]],0)</f>
        <v>35</v>
      </c>
      <c r="J1781" s="12">
        <f>Marketing[[#This Row],[Campaign_Cost]]/Marketing[[#This Row],[Customers]]</f>
        <v>191.34285714285716</v>
      </c>
      <c r="K1781" t="s">
        <v>32</v>
      </c>
      <c r="L1781" t="s">
        <v>33</v>
      </c>
      <c r="M1781">
        <v>691</v>
      </c>
      <c r="N1781">
        <v>5588</v>
      </c>
      <c r="O1781">
        <v>6</v>
      </c>
      <c r="P1781" t="s">
        <v>21</v>
      </c>
      <c r="Q1781" s="1">
        <v>44516</v>
      </c>
    </row>
    <row r="1782" spans="1:17" x14ac:dyDescent="0.3">
      <c r="A1782" t="s">
        <v>14</v>
      </c>
      <c r="B1782" t="s">
        <v>29</v>
      </c>
      <c r="C1782" t="s">
        <v>30</v>
      </c>
      <c r="D1782" t="s">
        <v>24</v>
      </c>
      <c r="E1782" t="s">
        <v>43</v>
      </c>
      <c r="F1782" s="9">
        <v>0.04</v>
      </c>
      <c r="G1782" s="10">
        <v>15431</v>
      </c>
      <c r="H1782">
        <v>2.7</v>
      </c>
      <c r="I1782" s="5">
        <f>ROUND(Marketing[[#This Row],[Clicks]]*Marketing[[#This Row],[Conversion_Rate]],0)</f>
        <v>31</v>
      </c>
      <c r="J1782" s="12">
        <f>Marketing[[#This Row],[Campaign_Cost]]/Marketing[[#This Row],[Customers]]</f>
        <v>497.77419354838707</v>
      </c>
      <c r="K1782" t="s">
        <v>19</v>
      </c>
      <c r="L1782" t="s">
        <v>50</v>
      </c>
      <c r="M1782">
        <v>783</v>
      </c>
      <c r="N1782">
        <v>9325</v>
      </c>
      <c r="O1782">
        <v>4</v>
      </c>
      <c r="P1782" t="s">
        <v>44</v>
      </c>
      <c r="Q1782" s="1">
        <v>44517</v>
      </c>
    </row>
    <row r="1783" spans="1:17" x14ac:dyDescent="0.3">
      <c r="A1783" t="s">
        <v>22</v>
      </c>
      <c r="B1783" t="s">
        <v>47</v>
      </c>
      <c r="C1783" t="s">
        <v>23</v>
      </c>
      <c r="D1783" t="s">
        <v>46</v>
      </c>
      <c r="E1783" t="s">
        <v>15</v>
      </c>
      <c r="F1783" s="9">
        <v>0.03</v>
      </c>
      <c r="G1783" s="10">
        <v>17925</v>
      </c>
      <c r="H1783">
        <v>5.29</v>
      </c>
      <c r="I1783" s="5">
        <f>ROUND(Marketing[[#This Row],[Clicks]]*Marketing[[#This Row],[Conversion_Rate]],0)</f>
        <v>24</v>
      </c>
      <c r="J1783" s="12">
        <f>Marketing[[#This Row],[Campaign_Cost]]/Marketing[[#This Row],[Customers]]</f>
        <v>746.875</v>
      </c>
      <c r="K1783" t="s">
        <v>19</v>
      </c>
      <c r="L1783" t="s">
        <v>33</v>
      </c>
      <c r="M1783">
        <v>808</v>
      </c>
      <c r="N1783">
        <v>7171</v>
      </c>
      <c r="O1783">
        <v>3</v>
      </c>
      <c r="P1783" t="s">
        <v>21</v>
      </c>
      <c r="Q1783" s="1">
        <v>44518</v>
      </c>
    </row>
    <row r="1784" spans="1:17" x14ac:dyDescent="0.3">
      <c r="A1784" t="s">
        <v>22</v>
      </c>
      <c r="B1784" t="s">
        <v>15</v>
      </c>
      <c r="C1784" t="s">
        <v>23</v>
      </c>
      <c r="D1784" t="s">
        <v>17</v>
      </c>
      <c r="E1784" t="s">
        <v>48</v>
      </c>
      <c r="F1784" s="9">
        <v>0.13</v>
      </c>
      <c r="G1784" s="10">
        <v>8356</v>
      </c>
      <c r="H1784">
        <v>4.41</v>
      </c>
      <c r="I1784" s="5">
        <f>ROUND(Marketing[[#This Row],[Clicks]]*Marketing[[#This Row],[Conversion_Rate]],0)</f>
        <v>36</v>
      </c>
      <c r="J1784" s="12">
        <f>Marketing[[#This Row],[Campaign_Cost]]/Marketing[[#This Row],[Customers]]</f>
        <v>232.11111111111111</v>
      </c>
      <c r="K1784" t="s">
        <v>51</v>
      </c>
      <c r="L1784" t="s">
        <v>50</v>
      </c>
      <c r="M1784">
        <v>276</v>
      </c>
      <c r="N1784">
        <v>9247</v>
      </c>
      <c r="O1784">
        <v>8</v>
      </c>
      <c r="P1784" t="s">
        <v>27</v>
      </c>
      <c r="Q1784" s="1">
        <v>44519</v>
      </c>
    </row>
    <row r="1785" spans="1:17" x14ac:dyDescent="0.3">
      <c r="A1785" t="s">
        <v>35</v>
      </c>
      <c r="B1785" t="s">
        <v>15</v>
      </c>
      <c r="C1785" t="s">
        <v>23</v>
      </c>
      <c r="D1785" t="s">
        <v>40</v>
      </c>
      <c r="E1785" t="s">
        <v>48</v>
      </c>
      <c r="F1785" s="9">
        <v>0.14000000000000001</v>
      </c>
      <c r="G1785" s="10">
        <v>8846</v>
      </c>
      <c r="H1785">
        <v>5.57</v>
      </c>
      <c r="I1785" s="5">
        <f>ROUND(Marketing[[#This Row],[Clicks]]*Marketing[[#This Row],[Conversion_Rate]],0)</f>
        <v>77</v>
      </c>
      <c r="J1785" s="12">
        <f>Marketing[[#This Row],[Campaign_Cost]]/Marketing[[#This Row],[Customers]]</f>
        <v>114.88311688311688</v>
      </c>
      <c r="K1785" t="s">
        <v>38</v>
      </c>
      <c r="L1785" t="s">
        <v>26</v>
      </c>
      <c r="M1785">
        <v>547</v>
      </c>
      <c r="N1785">
        <v>3952</v>
      </c>
      <c r="O1785">
        <v>3</v>
      </c>
      <c r="P1785" t="s">
        <v>44</v>
      </c>
      <c r="Q1785" s="1">
        <v>44520</v>
      </c>
    </row>
    <row r="1786" spans="1:17" x14ac:dyDescent="0.3">
      <c r="A1786" t="s">
        <v>49</v>
      </c>
      <c r="B1786" t="s">
        <v>45</v>
      </c>
      <c r="C1786" t="s">
        <v>16</v>
      </c>
      <c r="D1786" t="s">
        <v>40</v>
      </c>
      <c r="E1786" t="s">
        <v>15</v>
      </c>
      <c r="F1786" s="9">
        <v>0.12</v>
      </c>
      <c r="G1786" s="10">
        <v>18260</v>
      </c>
      <c r="H1786">
        <v>6.33</v>
      </c>
      <c r="I1786" s="5">
        <f>ROUND(Marketing[[#This Row],[Clicks]]*Marketing[[#This Row],[Conversion_Rate]],0)</f>
        <v>80</v>
      </c>
      <c r="J1786" s="12">
        <f>Marketing[[#This Row],[Campaign_Cost]]/Marketing[[#This Row],[Customers]]</f>
        <v>228.25</v>
      </c>
      <c r="K1786" t="s">
        <v>32</v>
      </c>
      <c r="L1786" t="s">
        <v>26</v>
      </c>
      <c r="M1786">
        <v>664</v>
      </c>
      <c r="N1786">
        <v>4912</v>
      </c>
      <c r="O1786">
        <v>1</v>
      </c>
      <c r="P1786" t="s">
        <v>42</v>
      </c>
      <c r="Q1786" s="1">
        <v>44521</v>
      </c>
    </row>
    <row r="1787" spans="1:17" x14ac:dyDescent="0.3">
      <c r="A1787" t="s">
        <v>49</v>
      </c>
      <c r="B1787" t="s">
        <v>29</v>
      </c>
      <c r="C1787" t="s">
        <v>52</v>
      </c>
      <c r="D1787" t="s">
        <v>40</v>
      </c>
      <c r="E1787" t="s">
        <v>43</v>
      </c>
      <c r="F1787" s="9">
        <v>0.08</v>
      </c>
      <c r="G1787" s="10">
        <v>14682</v>
      </c>
      <c r="H1787">
        <v>5.5</v>
      </c>
      <c r="I1787" s="5">
        <f>ROUND(Marketing[[#This Row],[Clicks]]*Marketing[[#This Row],[Conversion_Rate]],0)</f>
        <v>74</v>
      </c>
      <c r="J1787" s="12">
        <f>Marketing[[#This Row],[Campaign_Cost]]/Marketing[[#This Row],[Customers]]</f>
        <v>198.40540540540542</v>
      </c>
      <c r="K1787" t="s">
        <v>38</v>
      </c>
      <c r="L1787" t="s">
        <v>33</v>
      </c>
      <c r="M1787">
        <v>930</v>
      </c>
      <c r="N1787">
        <v>7407</v>
      </c>
      <c r="O1787">
        <v>8</v>
      </c>
      <c r="P1787" t="s">
        <v>42</v>
      </c>
      <c r="Q1787" s="1">
        <v>44522</v>
      </c>
    </row>
    <row r="1788" spans="1:17" x14ac:dyDescent="0.3">
      <c r="A1788" t="s">
        <v>28</v>
      </c>
      <c r="B1788" t="s">
        <v>47</v>
      </c>
      <c r="C1788" t="s">
        <v>37</v>
      </c>
      <c r="D1788" t="s">
        <v>46</v>
      </c>
      <c r="E1788" t="s">
        <v>41</v>
      </c>
      <c r="F1788" s="9">
        <v>0.05</v>
      </c>
      <c r="G1788" s="10">
        <v>5099</v>
      </c>
      <c r="H1788">
        <v>6.22</v>
      </c>
      <c r="I1788" s="5">
        <f>ROUND(Marketing[[#This Row],[Clicks]]*Marketing[[#This Row],[Conversion_Rate]],0)</f>
        <v>45</v>
      </c>
      <c r="J1788" s="12">
        <f>Marketing[[#This Row],[Campaign_Cost]]/Marketing[[#This Row],[Customers]]</f>
        <v>113.31111111111112</v>
      </c>
      <c r="K1788" t="s">
        <v>38</v>
      </c>
      <c r="L1788" t="s">
        <v>33</v>
      </c>
      <c r="M1788">
        <v>909</v>
      </c>
      <c r="N1788">
        <v>5973</v>
      </c>
      <c r="O1788">
        <v>9</v>
      </c>
      <c r="P1788" t="s">
        <v>42</v>
      </c>
      <c r="Q1788" s="1">
        <v>44523</v>
      </c>
    </row>
    <row r="1789" spans="1:17" x14ac:dyDescent="0.3">
      <c r="A1789" t="s">
        <v>14</v>
      </c>
      <c r="B1789" t="s">
        <v>15</v>
      </c>
      <c r="C1789" t="s">
        <v>16</v>
      </c>
      <c r="D1789" t="s">
        <v>24</v>
      </c>
      <c r="E1789" t="s">
        <v>41</v>
      </c>
      <c r="F1789" s="9">
        <v>0.05</v>
      </c>
      <c r="G1789" s="10">
        <v>19885</v>
      </c>
      <c r="H1789">
        <v>5.78</v>
      </c>
      <c r="I1789" s="5">
        <f>ROUND(Marketing[[#This Row],[Clicks]]*Marketing[[#This Row],[Conversion_Rate]],0)</f>
        <v>27</v>
      </c>
      <c r="J1789" s="12">
        <f>Marketing[[#This Row],[Campaign_Cost]]/Marketing[[#This Row],[Customers]]</f>
        <v>736.48148148148152</v>
      </c>
      <c r="K1789" t="s">
        <v>32</v>
      </c>
      <c r="L1789" t="s">
        <v>39</v>
      </c>
      <c r="M1789">
        <v>532</v>
      </c>
      <c r="N1789">
        <v>4885</v>
      </c>
      <c r="O1789">
        <v>8</v>
      </c>
      <c r="P1789" t="s">
        <v>44</v>
      </c>
      <c r="Q1789" s="1">
        <v>44524</v>
      </c>
    </row>
    <row r="1790" spans="1:17" x14ac:dyDescent="0.3">
      <c r="A1790" t="s">
        <v>28</v>
      </c>
      <c r="B1790" t="s">
        <v>45</v>
      </c>
      <c r="C1790" t="s">
        <v>30</v>
      </c>
      <c r="D1790" t="s">
        <v>24</v>
      </c>
      <c r="E1790" t="s">
        <v>41</v>
      </c>
      <c r="F1790" s="9">
        <v>0.05</v>
      </c>
      <c r="G1790" s="10">
        <v>17276</v>
      </c>
      <c r="H1790">
        <v>5.49</v>
      </c>
      <c r="I1790" s="5">
        <f>ROUND(Marketing[[#This Row],[Clicks]]*Marketing[[#This Row],[Conversion_Rate]],0)</f>
        <v>13</v>
      </c>
      <c r="J1790" s="12">
        <f>Marketing[[#This Row],[Campaign_Cost]]/Marketing[[#This Row],[Customers]]</f>
        <v>1328.9230769230769</v>
      </c>
      <c r="K1790" t="s">
        <v>32</v>
      </c>
      <c r="L1790" t="s">
        <v>39</v>
      </c>
      <c r="M1790">
        <v>257</v>
      </c>
      <c r="N1790">
        <v>2342</v>
      </c>
      <c r="O1790">
        <v>7</v>
      </c>
      <c r="P1790" t="s">
        <v>42</v>
      </c>
      <c r="Q1790" s="1">
        <v>44525</v>
      </c>
    </row>
    <row r="1791" spans="1:17" x14ac:dyDescent="0.3">
      <c r="A1791" t="s">
        <v>35</v>
      </c>
      <c r="B1791" t="s">
        <v>36</v>
      </c>
      <c r="C1791" t="s">
        <v>23</v>
      </c>
      <c r="D1791" t="s">
        <v>17</v>
      </c>
      <c r="E1791" t="s">
        <v>15</v>
      </c>
      <c r="F1791" s="9">
        <v>0.05</v>
      </c>
      <c r="G1791" s="10">
        <v>13868</v>
      </c>
      <c r="H1791">
        <v>4.13</v>
      </c>
      <c r="I1791" s="5">
        <f>ROUND(Marketing[[#This Row],[Clicks]]*Marketing[[#This Row],[Conversion_Rate]],0)</f>
        <v>47</v>
      </c>
      <c r="J1791" s="12">
        <f>Marketing[[#This Row],[Campaign_Cost]]/Marketing[[#This Row],[Customers]]</f>
        <v>295.06382978723406</v>
      </c>
      <c r="K1791" t="s">
        <v>51</v>
      </c>
      <c r="L1791" t="s">
        <v>50</v>
      </c>
      <c r="M1791">
        <v>941</v>
      </c>
      <c r="N1791">
        <v>5491</v>
      </c>
      <c r="O1791">
        <v>4</v>
      </c>
      <c r="P1791" t="s">
        <v>42</v>
      </c>
      <c r="Q1791" s="1">
        <v>44526</v>
      </c>
    </row>
    <row r="1792" spans="1:17" x14ac:dyDescent="0.3">
      <c r="A1792" t="s">
        <v>28</v>
      </c>
      <c r="B1792" t="s">
        <v>45</v>
      </c>
      <c r="C1792" t="s">
        <v>23</v>
      </c>
      <c r="D1792" t="s">
        <v>40</v>
      </c>
      <c r="E1792" t="s">
        <v>31</v>
      </c>
      <c r="F1792" s="9">
        <v>0.05</v>
      </c>
      <c r="G1792" s="10">
        <v>15501</v>
      </c>
      <c r="H1792">
        <v>7.01</v>
      </c>
      <c r="I1792" s="5">
        <f>ROUND(Marketing[[#This Row],[Clicks]]*Marketing[[#This Row],[Conversion_Rate]],0)</f>
        <v>14</v>
      </c>
      <c r="J1792" s="12">
        <f>Marketing[[#This Row],[Campaign_Cost]]/Marketing[[#This Row],[Customers]]</f>
        <v>1107.2142857142858</v>
      </c>
      <c r="K1792" t="s">
        <v>51</v>
      </c>
      <c r="L1792" t="s">
        <v>50</v>
      </c>
      <c r="M1792">
        <v>285</v>
      </c>
      <c r="N1792">
        <v>9223</v>
      </c>
      <c r="O1792">
        <v>2</v>
      </c>
      <c r="P1792" t="s">
        <v>27</v>
      </c>
      <c r="Q1792" s="1">
        <v>44527</v>
      </c>
    </row>
    <row r="1793" spans="1:17" x14ac:dyDescent="0.3">
      <c r="A1793" t="s">
        <v>49</v>
      </c>
      <c r="B1793" t="s">
        <v>47</v>
      </c>
      <c r="C1793" t="s">
        <v>37</v>
      </c>
      <c r="D1793" t="s">
        <v>24</v>
      </c>
      <c r="E1793" t="s">
        <v>43</v>
      </c>
      <c r="F1793" s="9">
        <v>0.08</v>
      </c>
      <c r="G1793" s="10">
        <v>8582</v>
      </c>
      <c r="H1793">
        <v>6.55</v>
      </c>
      <c r="I1793" s="5">
        <f>ROUND(Marketing[[#This Row],[Clicks]]*Marketing[[#This Row],[Conversion_Rate]],0)</f>
        <v>49</v>
      </c>
      <c r="J1793" s="12">
        <f>Marketing[[#This Row],[Campaign_Cost]]/Marketing[[#This Row],[Customers]]</f>
        <v>175.14285714285714</v>
      </c>
      <c r="K1793" t="s">
        <v>38</v>
      </c>
      <c r="L1793" t="s">
        <v>33</v>
      </c>
      <c r="M1793">
        <v>613</v>
      </c>
      <c r="N1793">
        <v>4114</v>
      </c>
      <c r="O1793">
        <v>9</v>
      </c>
      <c r="P1793" t="s">
        <v>21</v>
      </c>
      <c r="Q1793" s="1">
        <v>44528</v>
      </c>
    </row>
    <row r="1794" spans="1:17" x14ac:dyDescent="0.3">
      <c r="A1794" t="s">
        <v>14</v>
      </c>
      <c r="B1794" t="s">
        <v>15</v>
      </c>
      <c r="C1794" t="s">
        <v>30</v>
      </c>
      <c r="D1794" t="s">
        <v>24</v>
      </c>
      <c r="E1794" t="s">
        <v>15</v>
      </c>
      <c r="F1794" s="9">
        <v>0.09</v>
      </c>
      <c r="G1794" s="10">
        <v>10667</v>
      </c>
      <c r="H1794">
        <v>2.04</v>
      </c>
      <c r="I1794" s="5">
        <f>ROUND(Marketing[[#This Row],[Clicks]]*Marketing[[#This Row],[Conversion_Rate]],0)</f>
        <v>68</v>
      </c>
      <c r="J1794" s="12">
        <f>Marketing[[#This Row],[Campaign_Cost]]/Marketing[[#This Row],[Customers]]</f>
        <v>156.86764705882354</v>
      </c>
      <c r="K1794" t="s">
        <v>51</v>
      </c>
      <c r="L1794" t="s">
        <v>26</v>
      </c>
      <c r="M1794">
        <v>755</v>
      </c>
      <c r="N1794">
        <v>1852</v>
      </c>
      <c r="O1794">
        <v>3</v>
      </c>
      <c r="P1794" t="s">
        <v>34</v>
      </c>
      <c r="Q1794" s="1">
        <v>44529</v>
      </c>
    </row>
    <row r="1795" spans="1:17" x14ac:dyDescent="0.3">
      <c r="A1795" t="s">
        <v>28</v>
      </c>
      <c r="B1795" t="s">
        <v>36</v>
      </c>
      <c r="C1795" t="s">
        <v>23</v>
      </c>
      <c r="D1795" t="s">
        <v>24</v>
      </c>
      <c r="E1795" t="s">
        <v>41</v>
      </c>
      <c r="F1795" s="9">
        <v>0.12</v>
      </c>
      <c r="G1795" s="10">
        <v>6685</v>
      </c>
      <c r="H1795">
        <v>4.42</v>
      </c>
      <c r="I1795" s="5">
        <f>ROUND(Marketing[[#This Row],[Clicks]]*Marketing[[#This Row],[Conversion_Rate]],0)</f>
        <v>90</v>
      </c>
      <c r="J1795" s="12">
        <f>Marketing[[#This Row],[Campaign_Cost]]/Marketing[[#This Row],[Customers]]</f>
        <v>74.277777777777771</v>
      </c>
      <c r="K1795" t="s">
        <v>32</v>
      </c>
      <c r="L1795" t="s">
        <v>26</v>
      </c>
      <c r="M1795">
        <v>749</v>
      </c>
      <c r="N1795">
        <v>6320</v>
      </c>
      <c r="O1795">
        <v>9</v>
      </c>
      <c r="P1795" t="s">
        <v>42</v>
      </c>
      <c r="Q1795" s="1">
        <v>44530</v>
      </c>
    </row>
    <row r="1796" spans="1:17" x14ac:dyDescent="0.3">
      <c r="A1796" t="s">
        <v>28</v>
      </c>
      <c r="B1796" t="s">
        <v>47</v>
      </c>
      <c r="C1796" t="s">
        <v>52</v>
      </c>
      <c r="D1796" t="s">
        <v>24</v>
      </c>
      <c r="E1796" t="s">
        <v>48</v>
      </c>
      <c r="F1796" s="9">
        <v>0.11</v>
      </c>
      <c r="G1796" s="10">
        <v>6476</v>
      </c>
      <c r="H1796">
        <v>4.71</v>
      </c>
      <c r="I1796" s="5">
        <f>ROUND(Marketing[[#This Row],[Clicks]]*Marketing[[#This Row],[Conversion_Rate]],0)</f>
        <v>30</v>
      </c>
      <c r="J1796" s="12">
        <f>Marketing[[#This Row],[Campaign_Cost]]/Marketing[[#This Row],[Customers]]</f>
        <v>215.86666666666667</v>
      </c>
      <c r="K1796" t="s">
        <v>25</v>
      </c>
      <c r="L1796" t="s">
        <v>26</v>
      </c>
      <c r="M1796">
        <v>269</v>
      </c>
      <c r="N1796">
        <v>8558</v>
      </c>
      <c r="O1796">
        <v>10</v>
      </c>
      <c r="P1796" t="s">
        <v>27</v>
      </c>
      <c r="Q1796" s="1">
        <v>44531</v>
      </c>
    </row>
    <row r="1797" spans="1:17" x14ac:dyDescent="0.3">
      <c r="A1797" t="s">
        <v>14</v>
      </c>
      <c r="B1797" t="s">
        <v>47</v>
      </c>
      <c r="C1797" t="s">
        <v>16</v>
      </c>
      <c r="D1797" t="s">
        <v>40</v>
      </c>
      <c r="E1797" t="s">
        <v>15</v>
      </c>
      <c r="F1797" s="9">
        <v>0.09</v>
      </c>
      <c r="G1797" s="10">
        <v>10890</v>
      </c>
      <c r="H1797">
        <v>2.8</v>
      </c>
      <c r="I1797" s="5">
        <f>ROUND(Marketing[[#This Row],[Clicks]]*Marketing[[#This Row],[Conversion_Rate]],0)</f>
        <v>52</v>
      </c>
      <c r="J1797" s="12">
        <f>Marketing[[#This Row],[Campaign_Cost]]/Marketing[[#This Row],[Customers]]</f>
        <v>209.42307692307693</v>
      </c>
      <c r="K1797" t="s">
        <v>51</v>
      </c>
      <c r="L1797" t="s">
        <v>20</v>
      </c>
      <c r="M1797">
        <v>580</v>
      </c>
      <c r="N1797">
        <v>9837</v>
      </c>
      <c r="O1797">
        <v>1</v>
      </c>
      <c r="P1797" t="s">
        <v>42</v>
      </c>
      <c r="Q1797" s="1">
        <v>44532</v>
      </c>
    </row>
    <row r="1798" spans="1:17" x14ac:dyDescent="0.3">
      <c r="A1798" t="s">
        <v>35</v>
      </c>
      <c r="B1798" t="s">
        <v>47</v>
      </c>
      <c r="C1798" t="s">
        <v>23</v>
      </c>
      <c r="D1798" t="s">
        <v>46</v>
      </c>
      <c r="E1798" t="s">
        <v>18</v>
      </c>
      <c r="F1798" s="9">
        <v>0.05</v>
      </c>
      <c r="G1798" s="10">
        <v>7734</v>
      </c>
      <c r="H1798">
        <v>6.32</v>
      </c>
      <c r="I1798" s="5">
        <f>ROUND(Marketing[[#This Row],[Clicks]]*Marketing[[#This Row],[Conversion_Rate]],0)</f>
        <v>32</v>
      </c>
      <c r="J1798" s="12">
        <f>Marketing[[#This Row],[Campaign_Cost]]/Marketing[[#This Row],[Customers]]</f>
        <v>241.6875</v>
      </c>
      <c r="K1798" t="s">
        <v>25</v>
      </c>
      <c r="L1798" t="s">
        <v>50</v>
      </c>
      <c r="M1798">
        <v>648</v>
      </c>
      <c r="N1798">
        <v>8821</v>
      </c>
      <c r="O1798">
        <v>4</v>
      </c>
      <c r="P1798" t="s">
        <v>34</v>
      </c>
      <c r="Q1798" s="1">
        <v>44533</v>
      </c>
    </row>
    <row r="1799" spans="1:17" x14ac:dyDescent="0.3">
      <c r="A1799" t="s">
        <v>22</v>
      </c>
      <c r="B1799" t="s">
        <v>45</v>
      </c>
      <c r="C1799" t="s">
        <v>37</v>
      </c>
      <c r="D1799" t="s">
        <v>17</v>
      </c>
      <c r="E1799" t="s">
        <v>48</v>
      </c>
      <c r="F1799" s="9">
        <v>0.1</v>
      </c>
      <c r="G1799" s="10">
        <v>9270</v>
      </c>
      <c r="H1799">
        <v>7.58</v>
      </c>
      <c r="I1799" s="5">
        <f>ROUND(Marketing[[#This Row],[Clicks]]*Marketing[[#This Row],[Conversion_Rate]],0)</f>
        <v>23</v>
      </c>
      <c r="J1799" s="12">
        <f>Marketing[[#This Row],[Campaign_Cost]]/Marketing[[#This Row],[Customers]]</f>
        <v>403.04347826086956</v>
      </c>
      <c r="K1799" t="s">
        <v>51</v>
      </c>
      <c r="L1799" t="s">
        <v>26</v>
      </c>
      <c r="M1799">
        <v>226</v>
      </c>
      <c r="N1799">
        <v>1330</v>
      </c>
      <c r="O1799">
        <v>3</v>
      </c>
      <c r="P1799" t="s">
        <v>21</v>
      </c>
      <c r="Q1799" s="1">
        <v>44534</v>
      </c>
    </row>
    <row r="1800" spans="1:17" x14ac:dyDescent="0.3">
      <c r="A1800" t="s">
        <v>35</v>
      </c>
      <c r="B1800" t="s">
        <v>29</v>
      </c>
      <c r="C1800" t="s">
        <v>30</v>
      </c>
      <c r="D1800" t="s">
        <v>46</v>
      </c>
      <c r="E1800" t="s">
        <v>43</v>
      </c>
      <c r="F1800" s="9">
        <v>0.15</v>
      </c>
      <c r="G1800" s="10">
        <v>17386</v>
      </c>
      <c r="H1800">
        <v>2.5</v>
      </c>
      <c r="I1800" s="5">
        <f>ROUND(Marketing[[#This Row],[Clicks]]*Marketing[[#This Row],[Conversion_Rate]],0)</f>
        <v>24</v>
      </c>
      <c r="J1800" s="12">
        <f>Marketing[[#This Row],[Campaign_Cost]]/Marketing[[#This Row],[Customers]]</f>
        <v>724.41666666666663</v>
      </c>
      <c r="K1800" t="s">
        <v>38</v>
      </c>
      <c r="L1800" t="s">
        <v>26</v>
      </c>
      <c r="M1800">
        <v>160</v>
      </c>
      <c r="N1800">
        <v>9680</v>
      </c>
      <c r="O1800">
        <v>3</v>
      </c>
      <c r="P1800" t="s">
        <v>34</v>
      </c>
      <c r="Q1800" s="1">
        <v>44535</v>
      </c>
    </row>
    <row r="1801" spans="1:17" x14ac:dyDescent="0.3">
      <c r="A1801" t="s">
        <v>49</v>
      </c>
      <c r="B1801" t="s">
        <v>15</v>
      </c>
      <c r="C1801" t="s">
        <v>23</v>
      </c>
      <c r="D1801" t="s">
        <v>17</v>
      </c>
      <c r="E1801" t="s">
        <v>31</v>
      </c>
      <c r="F1801" s="9">
        <v>0.09</v>
      </c>
      <c r="G1801" s="10">
        <v>12779</v>
      </c>
      <c r="H1801">
        <v>4.83</v>
      </c>
      <c r="I1801" s="5">
        <f>ROUND(Marketing[[#This Row],[Clicks]]*Marketing[[#This Row],[Conversion_Rate]],0)</f>
        <v>51</v>
      </c>
      <c r="J1801" s="12">
        <f>Marketing[[#This Row],[Campaign_Cost]]/Marketing[[#This Row],[Customers]]</f>
        <v>250.56862745098039</v>
      </c>
      <c r="K1801" t="s">
        <v>51</v>
      </c>
      <c r="L1801" t="s">
        <v>50</v>
      </c>
      <c r="M1801">
        <v>570</v>
      </c>
      <c r="N1801">
        <v>9685</v>
      </c>
      <c r="O1801">
        <v>7</v>
      </c>
      <c r="P1801" t="s">
        <v>21</v>
      </c>
      <c r="Q1801" s="1">
        <v>44536</v>
      </c>
    </row>
    <row r="1802" spans="1:17" x14ac:dyDescent="0.3">
      <c r="A1802" t="s">
        <v>49</v>
      </c>
      <c r="B1802" t="s">
        <v>47</v>
      </c>
      <c r="C1802" t="s">
        <v>37</v>
      </c>
      <c r="D1802" t="s">
        <v>46</v>
      </c>
      <c r="E1802" t="s">
        <v>48</v>
      </c>
      <c r="F1802" s="9">
        <v>0.11</v>
      </c>
      <c r="G1802" s="10">
        <v>11983</v>
      </c>
      <c r="H1802">
        <v>5.77</v>
      </c>
      <c r="I1802" s="5">
        <f>ROUND(Marketing[[#This Row],[Clicks]]*Marketing[[#This Row],[Conversion_Rate]],0)</f>
        <v>80</v>
      </c>
      <c r="J1802" s="12">
        <f>Marketing[[#This Row],[Campaign_Cost]]/Marketing[[#This Row],[Customers]]</f>
        <v>149.78749999999999</v>
      </c>
      <c r="K1802" t="s">
        <v>38</v>
      </c>
      <c r="L1802" t="s">
        <v>26</v>
      </c>
      <c r="M1802">
        <v>729</v>
      </c>
      <c r="N1802">
        <v>4082</v>
      </c>
      <c r="O1802">
        <v>7</v>
      </c>
      <c r="P1802" t="s">
        <v>21</v>
      </c>
      <c r="Q1802" s="1">
        <v>44537</v>
      </c>
    </row>
    <row r="1803" spans="1:17" x14ac:dyDescent="0.3">
      <c r="A1803" t="s">
        <v>35</v>
      </c>
      <c r="B1803" t="s">
        <v>47</v>
      </c>
      <c r="C1803" t="s">
        <v>16</v>
      </c>
      <c r="D1803" t="s">
        <v>17</v>
      </c>
      <c r="E1803" t="s">
        <v>48</v>
      </c>
      <c r="F1803" s="9">
        <v>0.06</v>
      </c>
      <c r="G1803" s="10">
        <v>9194</v>
      </c>
      <c r="H1803">
        <v>7.52</v>
      </c>
      <c r="I1803" s="5">
        <f>ROUND(Marketing[[#This Row],[Clicks]]*Marketing[[#This Row],[Conversion_Rate]],0)</f>
        <v>21</v>
      </c>
      <c r="J1803" s="12">
        <f>Marketing[[#This Row],[Campaign_Cost]]/Marketing[[#This Row],[Customers]]</f>
        <v>437.8095238095238</v>
      </c>
      <c r="K1803" t="s">
        <v>32</v>
      </c>
      <c r="L1803" t="s">
        <v>20</v>
      </c>
      <c r="M1803">
        <v>346</v>
      </c>
      <c r="N1803">
        <v>2000</v>
      </c>
      <c r="O1803">
        <v>5</v>
      </c>
      <c r="P1803" t="s">
        <v>27</v>
      </c>
      <c r="Q1803" s="1">
        <v>44538</v>
      </c>
    </row>
    <row r="1804" spans="1:17" x14ac:dyDescent="0.3">
      <c r="A1804" t="s">
        <v>14</v>
      </c>
      <c r="B1804" t="s">
        <v>29</v>
      </c>
      <c r="C1804" t="s">
        <v>23</v>
      </c>
      <c r="D1804" t="s">
        <v>46</v>
      </c>
      <c r="E1804" t="s">
        <v>43</v>
      </c>
      <c r="F1804" s="9">
        <v>0.12</v>
      </c>
      <c r="G1804" s="10">
        <v>17845</v>
      </c>
      <c r="H1804">
        <v>7.19</v>
      </c>
      <c r="I1804" s="5">
        <f>ROUND(Marketing[[#This Row],[Clicks]]*Marketing[[#This Row],[Conversion_Rate]],0)</f>
        <v>116</v>
      </c>
      <c r="J1804" s="12">
        <f>Marketing[[#This Row],[Campaign_Cost]]/Marketing[[#This Row],[Customers]]</f>
        <v>153.83620689655172</v>
      </c>
      <c r="K1804" t="s">
        <v>19</v>
      </c>
      <c r="L1804" t="s">
        <v>20</v>
      </c>
      <c r="M1804">
        <v>963</v>
      </c>
      <c r="N1804">
        <v>5404</v>
      </c>
      <c r="O1804">
        <v>8</v>
      </c>
      <c r="P1804" t="s">
        <v>44</v>
      </c>
      <c r="Q1804" s="1">
        <v>44539</v>
      </c>
    </row>
    <row r="1805" spans="1:17" x14ac:dyDescent="0.3">
      <c r="A1805" t="s">
        <v>14</v>
      </c>
      <c r="B1805" t="s">
        <v>36</v>
      </c>
      <c r="C1805" t="s">
        <v>23</v>
      </c>
      <c r="D1805" t="s">
        <v>40</v>
      </c>
      <c r="E1805" t="s">
        <v>43</v>
      </c>
      <c r="F1805" s="9">
        <v>0.14000000000000001</v>
      </c>
      <c r="G1805" s="10">
        <v>10250</v>
      </c>
      <c r="H1805">
        <v>5.08</v>
      </c>
      <c r="I1805" s="5">
        <f>ROUND(Marketing[[#This Row],[Clicks]]*Marketing[[#This Row],[Conversion_Rate]],0)</f>
        <v>74</v>
      </c>
      <c r="J1805" s="12">
        <f>Marketing[[#This Row],[Campaign_Cost]]/Marketing[[#This Row],[Customers]]</f>
        <v>138.51351351351352</v>
      </c>
      <c r="K1805" t="s">
        <v>19</v>
      </c>
      <c r="L1805" t="s">
        <v>26</v>
      </c>
      <c r="M1805">
        <v>529</v>
      </c>
      <c r="N1805">
        <v>2270</v>
      </c>
      <c r="O1805">
        <v>7</v>
      </c>
      <c r="P1805" t="s">
        <v>42</v>
      </c>
      <c r="Q1805" s="1">
        <v>44540</v>
      </c>
    </row>
    <row r="1806" spans="1:17" x14ac:dyDescent="0.3">
      <c r="A1806" t="s">
        <v>35</v>
      </c>
      <c r="B1806" t="s">
        <v>15</v>
      </c>
      <c r="C1806" t="s">
        <v>23</v>
      </c>
      <c r="D1806" t="s">
        <v>46</v>
      </c>
      <c r="E1806" t="s">
        <v>15</v>
      </c>
      <c r="F1806" s="9">
        <v>0.05</v>
      </c>
      <c r="G1806" s="10">
        <v>5505</v>
      </c>
      <c r="H1806">
        <v>4.0199999999999996</v>
      </c>
      <c r="I1806" s="5">
        <f>ROUND(Marketing[[#This Row],[Clicks]]*Marketing[[#This Row],[Conversion_Rate]],0)</f>
        <v>16</v>
      </c>
      <c r="J1806" s="12">
        <f>Marketing[[#This Row],[Campaign_Cost]]/Marketing[[#This Row],[Customers]]</f>
        <v>344.0625</v>
      </c>
      <c r="K1806" t="s">
        <v>19</v>
      </c>
      <c r="L1806" t="s">
        <v>33</v>
      </c>
      <c r="M1806">
        <v>311</v>
      </c>
      <c r="N1806">
        <v>2978</v>
      </c>
      <c r="O1806">
        <v>6</v>
      </c>
      <c r="P1806" t="s">
        <v>27</v>
      </c>
      <c r="Q1806" s="1">
        <v>44541</v>
      </c>
    </row>
    <row r="1807" spans="1:17" x14ac:dyDescent="0.3">
      <c r="A1807" t="s">
        <v>28</v>
      </c>
      <c r="B1807" t="s">
        <v>45</v>
      </c>
      <c r="C1807" t="s">
        <v>16</v>
      </c>
      <c r="D1807" t="s">
        <v>40</v>
      </c>
      <c r="E1807" t="s">
        <v>48</v>
      </c>
      <c r="F1807" s="9">
        <v>0.04</v>
      </c>
      <c r="G1807" s="10">
        <v>18117</v>
      </c>
      <c r="H1807">
        <v>7.95</v>
      </c>
      <c r="I1807" s="5">
        <f>ROUND(Marketing[[#This Row],[Clicks]]*Marketing[[#This Row],[Conversion_Rate]],0)</f>
        <v>11</v>
      </c>
      <c r="J1807" s="12">
        <f>Marketing[[#This Row],[Campaign_Cost]]/Marketing[[#This Row],[Customers]]</f>
        <v>1647</v>
      </c>
      <c r="K1807" t="s">
        <v>32</v>
      </c>
      <c r="L1807" t="s">
        <v>50</v>
      </c>
      <c r="M1807">
        <v>269</v>
      </c>
      <c r="N1807">
        <v>4641</v>
      </c>
      <c r="O1807">
        <v>5</v>
      </c>
      <c r="P1807" t="s">
        <v>27</v>
      </c>
      <c r="Q1807" s="1">
        <v>44542</v>
      </c>
    </row>
    <row r="1808" spans="1:17" x14ac:dyDescent="0.3">
      <c r="A1808" t="s">
        <v>14</v>
      </c>
      <c r="B1808" t="s">
        <v>29</v>
      </c>
      <c r="C1808" t="s">
        <v>16</v>
      </c>
      <c r="D1808" t="s">
        <v>40</v>
      </c>
      <c r="E1808" t="s">
        <v>18</v>
      </c>
      <c r="F1808" s="9">
        <v>0.1</v>
      </c>
      <c r="G1808" s="10">
        <v>9772</v>
      </c>
      <c r="H1808">
        <v>7.27</v>
      </c>
      <c r="I1808" s="5">
        <f>ROUND(Marketing[[#This Row],[Clicks]]*Marketing[[#This Row],[Conversion_Rate]],0)</f>
        <v>45</v>
      </c>
      <c r="J1808" s="12">
        <f>Marketing[[#This Row],[Campaign_Cost]]/Marketing[[#This Row],[Customers]]</f>
        <v>217.15555555555557</v>
      </c>
      <c r="K1808" t="s">
        <v>51</v>
      </c>
      <c r="L1808" t="s">
        <v>26</v>
      </c>
      <c r="M1808">
        <v>453</v>
      </c>
      <c r="N1808">
        <v>7235</v>
      </c>
      <c r="O1808">
        <v>8</v>
      </c>
      <c r="P1808" t="s">
        <v>21</v>
      </c>
      <c r="Q1808" s="1">
        <v>44543</v>
      </c>
    </row>
    <row r="1809" spans="1:17" x14ac:dyDescent="0.3">
      <c r="A1809" t="s">
        <v>28</v>
      </c>
      <c r="B1809" t="s">
        <v>29</v>
      </c>
      <c r="C1809" t="s">
        <v>16</v>
      </c>
      <c r="D1809" t="s">
        <v>40</v>
      </c>
      <c r="E1809" t="s">
        <v>18</v>
      </c>
      <c r="F1809" s="9">
        <v>7.0000000000000007E-2</v>
      </c>
      <c r="G1809" s="10">
        <v>8103</v>
      </c>
      <c r="H1809">
        <v>6.45</v>
      </c>
      <c r="I1809" s="5">
        <f>ROUND(Marketing[[#This Row],[Clicks]]*Marketing[[#This Row],[Conversion_Rate]],0)</f>
        <v>34</v>
      </c>
      <c r="J1809" s="12">
        <f>Marketing[[#This Row],[Campaign_Cost]]/Marketing[[#This Row],[Customers]]</f>
        <v>238.3235294117647</v>
      </c>
      <c r="K1809" t="s">
        <v>32</v>
      </c>
      <c r="L1809" t="s">
        <v>20</v>
      </c>
      <c r="M1809">
        <v>483</v>
      </c>
      <c r="N1809">
        <v>4279</v>
      </c>
      <c r="O1809">
        <v>9</v>
      </c>
      <c r="P1809" t="s">
        <v>42</v>
      </c>
      <c r="Q1809" s="1">
        <v>44544</v>
      </c>
    </row>
    <row r="1810" spans="1:17" x14ac:dyDescent="0.3">
      <c r="A1810" t="s">
        <v>35</v>
      </c>
      <c r="B1810" t="s">
        <v>45</v>
      </c>
      <c r="C1810" t="s">
        <v>30</v>
      </c>
      <c r="D1810" t="s">
        <v>24</v>
      </c>
      <c r="E1810" t="s">
        <v>43</v>
      </c>
      <c r="F1810" s="9">
        <v>0.1</v>
      </c>
      <c r="G1810" s="10">
        <v>16209</v>
      </c>
      <c r="H1810">
        <v>6.41</v>
      </c>
      <c r="I1810" s="5">
        <f>ROUND(Marketing[[#This Row],[Clicks]]*Marketing[[#This Row],[Conversion_Rate]],0)</f>
        <v>96</v>
      </c>
      <c r="J1810" s="12">
        <f>Marketing[[#This Row],[Campaign_Cost]]/Marketing[[#This Row],[Customers]]</f>
        <v>168.84375</v>
      </c>
      <c r="K1810" t="s">
        <v>51</v>
      </c>
      <c r="L1810" t="s">
        <v>39</v>
      </c>
      <c r="M1810">
        <v>955</v>
      </c>
      <c r="N1810">
        <v>2099</v>
      </c>
      <c r="O1810">
        <v>8</v>
      </c>
      <c r="P1810" t="s">
        <v>27</v>
      </c>
      <c r="Q1810" s="1">
        <v>44545</v>
      </c>
    </row>
    <row r="1811" spans="1:17" x14ac:dyDescent="0.3">
      <c r="A1811" t="s">
        <v>22</v>
      </c>
      <c r="B1811" t="s">
        <v>36</v>
      </c>
      <c r="C1811" t="s">
        <v>37</v>
      </c>
      <c r="D1811" t="s">
        <v>46</v>
      </c>
      <c r="E1811" t="s">
        <v>43</v>
      </c>
      <c r="F1811" s="9">
        <v>7.0000000000000007E-2</v>
      </c>
      <c r="G1811" s="10">
        <v>6048</v>
      </c>
      <c r="H1811">
        <v>2.79</v>
      </c>
      <c r="I1811" s="5">
        <f>ROUND(Marketing[[#This Row],[Clicks]]*Marketing[[#This Row],[Conversion_Rate]],0)</f>
        <v>46</v>
      </c>
      <c r="J1811" s="12">
        <f>Marketing[[#This Row],[Campaign_Cost]]/Marketing[[#This Row],[Customers]]</f>
        <v>131.47826086956522</v>
      </c>
      <c r="K1811" t="s">
        <v>32</v>
      </c>
      <c r="L1811" t="s">
        <v>39</v>
      </c>
      <c r="M1811">
        <v>652</v>
      </c>
      <c r="N1811">
        <v>2886</v>
      </c>
      <c r="O1811">
        <v>7</v>
      </c>
      <c r="P1811" t="s">
        <v>34</v>
      </c>
      <c r="Q1811" s="1">
        <v>44546</v>
      </c>
    </row>
    <row r="1812" spans="1:17" x14ac:dyDescent="0.3">
      <c r="A1812" t="s">
        <v>22</v>
      </c>
      <c r="B1812" t="s">
        <v>47</v>
      </c>
      <c r="C1812" t="s">
        <v>16</v>
      </c>
      <c r="D1812" t="s">
        <v>40</v>
      </c>
      <c r="E1812" t="s">
        <v>15</v>
      </c>
      <c r="F1812" s="9">
        <v>0.1</v>
      </c>
      <c r="G1812" s="10">
        <v>11119</v>
      </c>
      <c r="H1812">
        <v>5.57</v>
      </c>
      <c r="I1812" s="5">
        <f>ROUND(Marketing[[#This Row],[Clicks]]*Marketing[[#This Row],[Conversion_Rate]],0)</f>
        <v>79</v>
      </c>
      <c r="J1812" s="12">
        <f>Marketing[[#This Row],[Campaign_Cost]]/Marketing[[#This Row],[Customers]]</f>
        <v>140.74683544303798</v>
      </c>
      <c r="K1812" t="s">
        <v>51</v>
      </c>
      <c r="L1812" t="s">
        <v>33</v>
      </c>
      <c r="M1812">
        <v>791</v>
      </c>
      <c r="N1812">
        <v>4693</v>
      </c>
      <c r="O1812">
        <v>4</v>
      </c>
      <c r="P1812" t="s">
        <v>34</v>
      </c>
      <c r="Q1812" s="1">
        <v>44547</v>
      </c>
    </row>
    <row r="1813" spans="1:17" x14ac:dyDescent="0.3">
      <c r="A1813" t="s">
        <v>22</v>
      </c>
      <c r="B1813" t="s">
        <v>15</v>
      </c>
      <c r="C1813" t="s">
        <v>30</v>
      </c>
      <c r="D1813" t="s">
        <v>40</v>
      </c>
      <c r="E1813" t="s">
        <v>18</v>
      </c>
      <c r="F1813" s="9">
        <v>0.02</v>
      </c>
      <c r="G1813" s="10">
        <v>7658</v>
      </c>
      <c r="H1813">
        <v>7.41</v>
      </c>
      <c r="I1813" s="5">
        <f>ROUND(Marketing[[#This Row],[Clicks]]*Marketing[[#This Row],[Conversion_Rate]],0)</f>
        <v>6</v>
      </c>
      <c r="J1813" s="12">
        <f>Marketing[[#This Row],[Campaign_Cost]]/Marketing[[#This Row],[Customers]]</f>
        <v>1276.3333333333333</v>
      </c>
      <c r="K1813" t="s">
        <v>38</v>
      </c>
      <c r="L1813" t="s">
        <v>39</v>
      </c>
      <c r="M1813">
        <v>312</v>
      </c>
      <c r="N1813">
        <v>4722</v>
      </c>
      <c r="O1813">
        <v>2</v>
      </c>
      <c r="P1813" t="s">
        <v>34</v>
      </c>
      <c r="Q1813" s="1">
        <v>44548</v>
      </c>
    </row>
    <row r="1814" spans="1:17" x14ac:dyDescent="0.3">
      <c r="A1814" t="s">
        <v>14</v>
      </c>
      <c r="B1814" t="s">
        <v>47</v>
      </c>
      <c r="C1814" t="s">
        <v>52</v>
      </c>
      <c r="D1814" t="s">
        <v>46</v>
      </c>
      <c r="E1814" t="s">
        <v>18</v>
      </c>
      <c r="F1814" s="9">
        <v>0.14000000000000001</v>
      </c>
      <c r="G1814" s="10">
        <v>15094</v>
      </c>
      <c r="H1814">
        <v>6.37</v>
      </c>
      <c r="I1814" s="5">
        <f>ROUND(Marketing[[#This Row],[Clicks]]*Marketing[[#This Row],[Conversion_Rate]],0)</f>
        <v>63</v>
      </c>
      <c r="J1814" s="12">
        <f>Marketing[[#This Row],[Campaign_Cost]]/Marketing[[#This Row],[Customers]]</f>
        <v>239.5873015873016</v>
      </c>
      <c r="K1814" t="s">
        <v>38</v>
      </c>
      <c r="L1814" t="s">
        <v>20</v>
      </c>
      <c r="M1814">
        <v>447</v>
      </c>
      <c r="N1814">
        <v>3290</v>
      </c>
      <c r="O1814">
        <v>6</v>
      </c>
      <c r="P1814" t="s">
        <v>21</v>
      </c>
      <c r="Q1814" s="1">
        <v>44549</v>
      </c>
    </row>
    <row r="1815" spans="1:17" x14ac:dyDescent="0.3">
      <c r="A1815" t="s">
        <v>14</v>
      </c>
      <c r="B1815" t="s">
        <v>47</v>
      </c>
      <c r="C1815" t="s">
        <v>23</v>
      </c>
      <c r="D1815" t="s">
        <v>17</v>
      </c>
      <c r="E1815" t="s">
        <v>48</v>
      </c>
      <c r="F1815" s="9">
        <v>0.1</v>
      </c>
      <c r="G1815" s="10">
        <v>14844</v>
      </c>
      <c r="H1815">
        <v>6.31</v>
      </c>
      <c r="I1815" s="5">
        <f>ROUND(Marketing[[#This Row],[Clicks]]*Marketing[[#This Row],[Conversion_Rate]],0)</f>
        <v>56</v>
      </c>
      <c r="J1815" s="12">
        <f>Marketing[[#This Row],[Campaign_Cost]]/Marketing[[#This Row],[Customers]]</f>
        <v>265.07142857142856</v>
      </c>
      <c r="K1815" t="s">
        <v>51</v>
      </c>
      <c r="L1815" t="s">
        <v>39</v>
      </c>
      <c r="M1815">
        <v>561</v>
      </c>
      <c r="N1815">
        <v>6112</v>
      </c>
      <c r="O1815">
        <v>4</v>
      </c>
      <c r="P1815" t="s">
        <v>21</v>
      </c>
      <c r="Q1815" s="1">
        <v>44550</v>
      </c>
    </row>
    <row r="1816" spans="1:17" x14ac:dyDescent="0.3">
      <c r="A1816" t="s">
        <v>49</v>
      </c>
      <c r="B1816" t="s">
        <v>29</v>
      </c>
      <c r="C1816" t="s">
        <v>23</v>
      </c>
      <c r="D1816" t="s">
        <v>17</v>
      </c>
      <c r="E1816" t="s">
        <v>18</v>
      </c>
      <c r="F1816" s="9">
        <v>0.09</v>
      </c>
      <c r="G1816" s="10">
        <v>6035</v>
      </c>
      <c r="H1816">
        <v>7.3</v>
      </c>
      <c r="I1816" s="5">
        <f>ROUND(Marketing[[#This Row],[Clicks]]*Marketing[[#This Row],[Conversion_Rate]],0)</f>
        <v>66</v>
      </c>
      <c r="J1816" s="12">
        <f>Marketing[[#This Row],[Campaign_Cost]]/Marketing[[#This Row],[Customers]]</f>
        <v>91.439393939393938</v>
      </c>
      <c r="K1816" t="s">
        <v>51</v>
      </c>
      <c r="L1816" t="s">
        <v>39</v>
      </c>
      <c r="M1816">
        <v>731</v>
      </c>
      <c r="N1816">
        <v>7534</v>
      </c>
      <c r="O1816">
        <v>2</v>
      </c>
      <c r="P1816" t="s">
        <v>27</v>
      </c>
      <c r="Q1816" s="1">
        <v>44551</v>
      </c>
    </row>
    <row r="1817" spans="1:17" x14ac:dyDescent="0.3">
      <c r="A1817" t="s">
        <v>22</v>
      </c>
      <c r="B1817" t="s">
        <v>47</v>
      </c>
      <c r="C1817" t="s">
        <v>30</v>
      </c>
      <c r="D1817" t="s">
        <v>17</v>
      </c>
      <c r="E1817" t="s">
        <v>31</v>
      </c>
      <c r="F1817" s="9">
        <v>0.05</v>
      </c>
      <c r="G1817" s="10">
        <v>12927</v>
      </c>
      <c r="H1817">
        <v>7.19</v>
      </c>
      <c r="I1817" s="5">
        <f>ROUND(Marketing[[#This Row],[Clicks]]*Marketing[[#This Row],[Conversion_Rate]],0)</f>
        <v>36</v>
      </c>
      <c r="J1817" s="12">
        <f>Marketing[[#This Row],[Campaign_Cost]]/Marketing[[#This Row],[Customers]]</f>
        <v>359.08333333333331</v>
      </c>
      <c r="K1817" t="s">
        <v>32</v>
      </c>
      <c r="L1817" t="s">
        <v>26</v>
      </c>
      <c r="M1817">
        <v>717</v>
      </c>
      <c r="N1817">
        <v>9926</v>
      </c>
      <c r="O1817">
        <v>5</v>
      </c>
      <c r="P1817" t="s">
        <v>27</v>
      </c>
      <c r="Q1817" s="1">
        <v>44552</v>
      </c>
    </row>
    <row r="1818" spans="1:17" x14ac:dyDescent="0.3">
      <c r="A1818" t="s">
        <v>14</v>
      </c>
      <c r="B1818" t="s">
        <v>29</v>
      </c>
      <c r="C1818" t="s">
        <v>23</v>
      </c>
      <c r="D1818" t="s">
        <v>40</v>
      </c>
      <c r="E1818" t="s">
        <v>31</v>
      </c>
      <c r="F1818" s="9">
        <v>0.06</v>
      </c>
      <c r="G1818" s="10">
        <v>14991</v>
      </c>
      <c r="H1818">
        <v>2.21</v>
      </c>
      <c r="I1818" s="5">
        <f>ROUND(Marketing[[#This Row],[Clicks]]*Marketing[[#This Row],[Conversion_Rate]],0)</f>
        <v>57</v>
      </c>
      <c r="J1818" s="12">
        <f>Marketing[[#This Row],[Campaign_Cost]]/Marketing[[#This Row],[Customers]]</f>
        <v>263</v>
      </c>
      <c r="K1818" t="s">
        <v>32</v>
      </c>
      <c r="L1818" t="s">
        <v>33</v>
      </c>
      <c r="M1818">
        <v>957</v>
      </c>
      <c r="N1818">
        <v>8110</v>
      </c>
      <c r="O1818">
        <v>3</v>
      </c>
      <c r="P1818" t="s">
        <v>34</v>
      </c>
      <c r="Q1818" s="1">
        <v>44553</v>
      </c>
    </row>
    <row r="1819" spans="1:17" x14ac:dyDescent="0.3">
      <c r="A1819" t="s">
        <v>22</v>
      </c>
      <c r="B1819" t="s">
        <v>36</v>
      </c>
      <c r="C1819" t="s">
        <v>16</v>
      </c>
      <c r="D1819" t="s">
        <v>40</v>
      </c>
      <c r="E1819" t="s">
        <v>15</v>
      </c>
      <c r="F1819" s="9">
        <v>0.05</v>
      </c>
      <c r="G1819" s="10">
        <v>7529</v>
      </c>
      <c r="H1819">
        <v>5.15</v>
      </c>
      <c r="I1819" s="5">
        <f>ROUND(Marketing[[#This Row],[Clicks]]*Marketing[[#This Row],[Conversion_Rate]],0)</f>
        <v>42</v>
      </c>
      <c r="J1819" s="12">
        <f>Marketing[[#This Row],[Campaign_Cost]]/Marketing[[#This Row],[Customers]]</f>
        <v>179.26190476190476</v>
      </c>
      <c r="K1819" t="s">
        <v>25</v>
      </c>
      <c r="L1819" t="s">
        <v>33</v>
      </c>
      <c r="M1819">
        <v>846</v>
      </c>
      <c r="N1819">
        <v>9779</v>
      </c>
      <c r="O1819">
        <v>8</v>
      </c>
      <c r="P1819" t="s">
        <v>34</v>
      </c>
      <c r="Q1819" s="1">
        <v>44554</v>
      </c>
    </row>
    <row r="1820" spans="1:17" x14ac:dyDescent="0.3">
      <c r="A1820" t="s">
        <v>35</v>
      </c>
      <c r="B1820" t="s">
        <v>29</v>
      </c>
      <c r="C1820" t="s">
        <v>30</v>
      </c>
      <c r="D1820" t="s">
        <v>40</v>
      </c>
      <c r="E1820" t="s">
        <v>43</v>
      </c>
      <c r="F1820" s="9">
        <v>0.11</v>
      </c>
      <c r="G1820" s="10">
        <v>13298</v>
      </c>
      <c r="H1820">
        <v>6.12</v>
      </c>
      <c r="I1820" s="5">
        <f>ROUND(Marketing[[#This Row],[Clicks]]*Marketing[[#This Row],[Conversion_Rate]],0)</f>
        <v>40</v>
      </c>
      <c r="J1820" s="12">
        <f>Marketing[[#This Row],[Campaign_Cost]]/Marketing[[#This Row],[Customers]]</f>
        <v>332.45</v>
      </c>
      <c r="K1820" t="s">
        <v>19</v>
      </c>
      <c r="L1820" t="s">
        <v>39</v>
      </c>
      <c r="M1820">
        <v>367</v>
      </c>
      <c r="N1820">
        <v>5787</v>
      </c>
      <c r="O1820">
        <v>9</v>
      </c>
      <c r="P1820" t="s">
        <v>27</v>
      </c>
      <c r="Q1820" s="1">
        <v>44555</v>
      </c>
    </row>
    <row r="1821" spans="1:17" x14ac:dyDescent="0.3">
      <c r="A1821" t="s">
        <v>49</v>
      </c>
      <c r="B1821" t="s">
        <v>15</v>
      </c>
      <c r="C1821" t="s">
        <v>23</v>
      </c>
      <c r="D1821" t="s">
        <v>24</v>
      </c>
      <c r="E1821" t="s">
        <v>18</v>
      </c>
      <c r="F1821" s="9">
        <v>0.11</v>
      </c>
      <c r="G1821" s="10">
        <v>13093</v>
      </c>
      <c r="H1821">
        <v>5.73</v>
      </c>
      <c r="I1821" s="5">
        <f>ROUND(Marketing[[#This Row],[Clicks]]*Marketing[[#This Row],[Conversion_Rate]],0)</f>
        <v>71</v>
      </c>
      <c r="J1821" s="12">
        <f>Marketing[[#This Row],[Campaign_Cost]]/Marketing[[#This Row],[Customers]]</f>
        <v>184.40845070422534</v>
      </c>
      <c r="K1821" t="s">
        <v>51</v>
      </c>
      <c r="L1821" t="s">
        <v>33</v>
      </c>
      <c r="M1821">
        <v>647</v>
      </c>
      <c r="N1821">
        <v>2020</v>
      </c>
      <c r="O1821">
        <v>10</v>
      </c>
      <c r="P1821" t="s">
        <v>44</v>
      </c>
      <c r="Q1821" s="1">
        <v>44556</v>
      </c>
    </row>
    <row r="1822" spans="1:17" x14ac:dyDescent="0.3">
      <c r="A1822" t="s">
        <v>49</v>
      </c>
      <c r="B1822" t="s">
        <v>47</v>
      </c>
      <c r="C1822" t="s">
        <v>52</v>
      </c>
      <c r="D1822" t="s">
        <v>17</v>
      </c>
      <c r="E1822" t="s">
        <v>18</v>
      </c>
      <c r="F1822" s="9">
        <v>0.1</v>
      </c>
      <c r="G1822" s="10">
        <v>16849</v>
      </c>
      <c r="H1822">
        <v>3.43</v>
      </c>
      <c r="I1822" s="5">
        <f>ROUND(Marketing[[#This Row],[Clicks]]*Marketing[[#This Row],[Conversion_Rate]],0)</f>
        <v>93</v>
      </c>
      <c r="J1822" s="12">
        <f>Marketing[[#This Row],[Campaign_Cost]]/Marketing[[#This Row],[Customers]]</f>
        <v>181.1720430107527</v>
      </c>
      <c r="K1822" t="s">
        <v>19</v>
      </c>
      <c r="L1822" t="s">
        <v>20</v>
      </c>
      <c r="M1822">
        <v>930</v>
      </c>
      <c r="N1822">
        <v>6515</v>
      </c>
      <c r="O1822">
        <v>3</v>
      </c>
      <c r="P1822" t="s">
        <v>42</v>
      </c>
      <c r="Q1822" s="1">
        <v>44557</v>
      </c>
    </row>
    <row r="1823" spans="1:17" x14ac:dyDescent="0.3">
      <c r="A1823" t="s">
        <v>22</v>
      </c>
      <c r="B1823" t="s">
        <v>15</v>
      </c>
      <c r="C1823" t="s">
        <v>23</v>
      </c>
      <c r="D1823" t="s">
        <v>46</v>
      </c>
      <c r="E1823" t="s">
        <v>48</v>
      </c>
      <c r="F1823" s="9">
        <v>0.13</v>
      </c>
      <c r="G1823" s="10">
        <v>19904</v>
      </c>
      <c r="H1823">
        <v>2.0099999999999998</v>
      </c>
      <c r="I1823" s="5">
        <f>ROUND(Marketing[[#This Row],[Clicks]]*Marketing[[#This Row],[Conversion_Rate]],0)</f>
        <v>129</v>
      </c>
      <c r="J1823" s="12">
        <f>Marketing[[#This Row],[Campaign_Cost]]/Marketing[[#This Row],[Customers]]</f>
        <v>154.29457364341084</v>
      </c>
      <c r="K1823" t="s">
        <v>19</v>
      </c>
      <c r="L1823" t="s">
        <v>20</v>
      </c>
      <c r="M1823">
        <v>993</v>
      </c>
      <c r="N1823">
        <v>4542</v>
      </c>
      <c r="O1823">
        <v>8</v>
      </c>
      <c r="P1823" t="s">
        <v>44</v>
      </c>
      <c r="Q1823" s="1">
        <v>44558</v>
      </c>
    </row>
    <row r="1824" spans="1:17" x14ac:dyDescent="0.3">
      <c r="A1824" t="s">
        <v>22</v>
      </c>
      <c r="B1824" t="s">
        <v>15</v>
      </c>
      <c r="C1824" t="s">
        <v>16</v>
      </c>
      <c r="D1824" t="s">
        <v>46</v>
      </c>
      <c r="E1824" t="s">
        <v>31</v>
      </c>
      <c r="F1824" s="9">
        <v>0.02</v>
      </c>
      <c r="G1824" s="10">
        <v>17321</v>
      </c>
      <c r="H1824">
        <v>4.55</v>
      </c>
      <c r="I1824" s="5">
        <f>ROUND(Marketing[[#This Row],[Clicks]]*Marketing[[#This Row],[Conversion_Rate]],0)</f>
        <v>3</v>
      </c>
      <c r="J1824" s="12">
        <f>Marketing[[#This Row],[Campaign_Cost]]/Marketing[[#This Row],[Customers]]</f>
        <v>5773.666666666667</v>
      </c>
      <c r="K1824" t="s">
        <v>38</v>
      </c>
      <c r="L1824" t="s">
        <v>26</v>
      </c>
      <c r="M1824">
        <v>149</v>
      </c>
      <c r="N1824">
        <v>6982</v>
      </c>
      <c r="O1824">
        <v>8</v>
      </c>
      <c r="P1824" t="s">
        <v>34</v>
      </c>
      <c r="Q1824" s="1">
        <v>44559</v>
      </c>
    </row>
    <row r="1825" spans="1:17" x14ac:dyDescent="0.3">
      <c r="A1825" t="s">
        <v>22</v>
      </c>
      <c r="B1825" t="s">
        <v>36</v>
      </c>
      <c r="C1825" t="s">
        <v>37</v>
      </c>
      <c r="D1825" t="s">
        <v>17</v>
      </c>
      <c r="E1825" t="s">
        <v>15</v>
      </c>
      <c r="F1825" s="9">
        <v>0.02</v>
      </c>
      <c r="G1825" s="10">
        <v>10548</v>
      </c>
      <c r="H1825">
        <v>7.58</v>
      </c>
      <c r="I1825" s="5">
        <f>ROUND(Marketing[[#This Row],[Clicks]]*Marketing[[#This Row],[Conversion_Rate]],0)</f>
        <v>10</v>
      </c>
      <c r="J1825" s="12">
        <f>Marketing[[#This Row],[Campaign_Cost]]/Marketing[[#This Row],[Customers]]</f>
        <v>1054.8</v>
      </c>
      <c r="K1825" t="s">
        <v>51</v>
      </c>
      <c r="L1825" t="s">
        <v>39</v>
      </c>
      <c r="M1825">
        <v>480</v>
      </c>
      <c r="N1825">
        <v>4349</v>
      </c>
      <c r="O1825">
        <v>3</v>
      </c>
      <c r="P1825" t="s">
        <v>44</v>
      </c>
      <c r="Q1825" s="1">
        <v>44560</v>
      </c>
    </row>
    <row r="1826" spans="1:17" x14ac:dyDescent="0.3">
      <c r="A1826" t="s">
        <v>35</v>
      </c>
      <c r="B1826" t="s">
        <v>45</v>
      </c>
      <c r="C1826" t="s">
        <v>52</v>
      </c>
      <c r="D1826" t="s">
        <v>40</v>
      </c>
      <c r="E1826" t="s">
        <v>43</v>
      </c>
      <c r="F1826" s="9">
        <v>0.04</v>
      </c>
      <c r="G1826" s="10">
        <v>17662</v>
      </c>
      <c r="H1826">
        <v>7.68</v>
      </c>
      <c r="I1826" s="5">
        <f>ROUND(Marketing[[#This Row],[Clicks]]*Marketing[[#This Row],[Conversion_Rate]],0)</f>
        <v>7</v>
      </c>
      <c r="J1826" s="12">
        <f>Marketing[[#This Row],[Campaign_Cost]]/Marketing[[#This Row],[Customers]]</f>
        <v>2523.1428571428573</v>
      </c>
      <c r="K1826" t="s">
        <v>25</v>
      </c>
      <c r="L1826" t="s">
        <v>39</v>
      </c>
      <c r="M1826">
        <v>180</v>
      </c>
      <c r="N1826">
        <v>4025</v>
      </c>
      <c r="O1826">
        <v>2</v>
      </c>
      <c r="P1826" t="s">
        <v>21</v>
      </c>
      <c r="Q1826" s="1">
        <v>44561</v>
      </c>
    </row>
    <row r="1827" spans="1:17" x14ac:dyDescent="0.3">
      <c r="A1827" t="s">
        <v>49</v>
      </c>
      <c r="B1827" t="s">
        <v>47</v>
      </c>
      <c r="C1827" t="s">
        <v>16</v>
      </c>
      <c r="D1827" t="s">
        <v>40</v>
      </c>
      <c r="E1827" t="s">
        <v>48</v>
      </c>
      <c r="F1827" s="9">
        <v>0.1</v>
      </c>
      <c r="G1827" s="10">
        <v>18527</v>
      </c>
      <c r="H1827">
        <v>7.76</v>
      </c>
      <c r="I1827" s="5">
        <f>ROUND(Marketing[[#This Row],[Clicks]]*Marketing[[#This Row],[Conversion_Rate]],0)</f>
        <v>82</v>
      </c>
      <c r="J1827" s="12">
        <f>Marketing[[#This Row],[Campaign_Cost]]/Marketing[[#This Row],[Customers]]</f>
        <v>225.9390243902439</v>
      </c>
      <c r="K1827" t="s">
        <v>25</v>
      </c>
      <c r="L1827" t="s">
        <v>33</v>
      </c>
      <c r="M1827">
        <v>815</v>
      </c>
      <c r="N1827">
        <v>5938</v>
      </c>
      <c r="O1827">
        <v>8</v>
      </c>
      <c r="P1827" t="s">
        <v>21</v>
      </c>
      <c r="Q1827" s="1">
        <v>44197</v>
      </c>
    </row>
    <row r="1828" spans="1:17" x14ac:dyDescent="0.3">
      <c r="A1828" t="s">
        <v>28</v>
      </c>
      <c r="B1828" t="s">
        <v>47</v>
      </c>
      <c r="C1828" t="s">
        <v>52</v>
      </c>
      <c r="D1828" t="s">
        <v>46</v>
      </c>
      <c r="E1828" t="s">
        <v>31</v>
      </c>
      <c r="F1828" s="9">
        <v>0.02</v>
      </c>
      <c r="G1828" s="10">
        <v>13485</v>
      </c>
      <c r="H1828">
        <v>6.56</v>
      </c>
      <c r="I1828" s="5">
        <f>ROUND(Marketing[[#This Row],[Clicks]]*Marketing[[#This Row],[Conversion_Rate]],0)</f>
        <v>8</v>
      </c>
      <c r="J1828" s="12">
        <f>Marketing[[#This Row],[Campaign_Cost]]/Marketing[[#This Row],[Customers]]</f>
        <v>1685.625</v>
      </c>
      <c r="K1828" t="s">
        <v>38</v>
      </c>
      <c r="L1828" t="s">
        <v>33</v>
      </c>
      <c r="M1828">
        <v>395</v>
      </c>
      <c r="N1828">
        <v>8497</v>
      </c>
      <c r="O1828">
        <v>4</v>
      </c>
      <c r="P1828" t="s">
        <v>34</v>
      </c>
      <c r="Q1828" s="1">
        <v>44198</v>
      </c>
    </row>
    <row r="1829" spans="1:17" x14ac:dyDescent="0.3">
      <c r="A1829" t="s">
        <v>35</v>
      </c>
      <c r="B1829" t="s">
        <v>36</v>
      </c>
      <c r="C1829" t="s">
        <v>23</v>
      </c>
      <c r="D1829" t="s">
        <v>24</v>
      </c>
      <c r="E1829" t="s">
        <v>18</v>
      </c>
      <c r="F1829" s="9">
        <v>0.06</v>
      </c>
      <c r="G1829" s="10">
        <v>9282</v>
      </c>
      <c r="H1829">
        <v>2.2400000000000002</v>
      </c>
      <c r="I1829" s="5">
        <f>ROUND(Marketing[[#This Row],[Clicks]]*Marketing[[#This Row],[Conversion_Rate]],0)</f>
        <v>25</v>
      </c>
      <c r="J1829" s="12">
        <f>Marketing[[#This Row],[Campaign_Cost]]/Marketing[[#This Row],[Customers]]</f>
        <v>371.28</v>
      </c>
      <c r="K1829" t="s">
        <v>38</v>
      </c>
      <c r="L1829" t="s">
        <v>33</v>
      </c>
      <c r="M1829">
        <v>423</v>
      </c>
      <c r="N1829">
        <v>9130</v>
      </c>
      <c r="O1829">
        <v>1</v>
      </c>
      <c r="P1829" t="s">
        <v>21</v>
      </c>
      <c r="Q1829" s="1">
        <v>44199</v>
      </c>
    </row>
    <row r="1830" spans="1:17" x14ac:dyDescent="0.3">
      <c r="A1830" t="s">
        <v>22</v>
      </c>
      <c r="B1830" t="s">
        <v>36</v>
      </c>
      <c r="C1830" t="s">
        <v>30</v>
      </c>
      <c r="D1830" t="s">
        <v>40</v>
      </c>
      <c r="E1830" t="s">
        <v>43</v>
      </c>
      <c r="F1830" s="9">
        <v>7.0000000000000007E-2</v>
      </c>
      <c r="G1830" s="10">
        <v>14860</v>
      </c>
      <c r="H1830">
        <v>4.7</v>
      </c>
      <c r="I1830" s="5">
        <f>ROUND(Marketing[[#This Row],[Clicks]]*Marketing[[#This Row],[Conversion_Rate]],0)</f>
        <v>33</v>
      </c>
      <c r="J1830" s="12">
        <f>Marketing[[#This Row],[Campaign_Cost]]/Marketing[[#This Row],[Customers]]</f>
        <v>450.30303030303031</v>
      </c>
      <c r="K1830" t="s">
        <v>38</v>
      </c>
      <c r="L1830" t="s">
        <v>33</v>
      </c>
      <c r="M1830">
        <v>469</v>
      </c>
      <c r="N1830">
        <v>5607</v>
      </c>
      <c r="O1830">
        <v>8</v>
      </c>
      <c r="P1830" t="s">
        <v>34</v>
      </c>
      <c r="Q1830" s="1">
        <v>44200</v>
      </c>
    </row>
    <row r="1831" spans="1:17" x14ac:dyDescent="0.3">
      <c r="A1831" t="s">
        <v>49</v>
      </c>
      <c r="B1831" t="s">
        <v>47</v>
      </c>
      <c r="C1831" t="s">
        <v>30</v>
      </c>
      <c r="D1831" t="s">
        <v>17</v>
      </c>
      <c r="E1831" t="s">
        <v>41</v>
      </c>
      <c r="F1831" s="9">
        <v>0.15</v>
      </c>
      <c r="G1831" s="10">
        <v>10387</v>
      </c>
      <c r="H1831">
        <v>7.11</v>
      </c>
      <c r="I1831" s="5">
        <f>ROUND(Marketing[[#This Row],[Clicks]]*Marketing[[#This Row],[Conversion_Rate]],0)</f>
        <v>62</v>
      </c>
      <c r="J1831" s="12">
        <f>Marketing[[#This Row],[Campaign_Cost]]/Marketing[[#This Row],[Customers]]</f>
        <v>167.53225806451613</v>
      </c>
      <c r="K1831" t="s">
        <v>51</v>
      </c>
      <c r="L1831" t="s">
        <v>20</v>
      </c>
      <c r="M1831">
        <v>410</v>
      </c>
      <c r="N1831">
        <v>7663</v>
      </c>
      <c r="O1831">
        <v>6</v>
      </c>
      <c r="P1831" t="s">
        <v>34</v>
      </c>
      <c r="Q1831" s="1">
        <v>44201</v>
      </c>
    </row>
    <row r="1832" spans="1:17" x14ac:dyDescent="0.3">
      <c r="A1832" t="s">
        <v>49</v>
      </c>
      <c r="B1832" t="s">
        <v>29</v>
      </c>
      <c r="C1832" t="s">
        <v>16</v>
      </c>
      <c r="D1832" t="s">
        <v>40</v>
      </c>
      <c r="E1832" t="s">
        <v>31</v>
      </c>
      <c r="F1832" s="9">
        <v>0.08</v>
      </c>
      <c r="G1832" s="10">
        <v>5006</v>
      </c>
      <c r="H1832">
        <v>4.47</v>
      </c>
      <c r="I1832" s="5">
        <f>ROUND(Marketing[[#This Row],[Clicks]]*Marketing[[#This Row],[Conversion_Rate]],0)</f>
        <v>66</v>
      </c>
      <c r="J1832" s="12">
        <f>Marketing[[#This Row],[Campaign_Cost]]/Marketing[[#This Row],[Customers]]</f>
        <v>75.848484848484844</v>
      </c>
      <c r="K1832" t="s">
        <v>32</v>
      </c>
      <c r="L1832" t="s">
        <v>20</v>
      </c>
      <c r="M1832">
        <v>820</v>
      </c>
      <c r="N1832">
        <v>3136</v>
      </c>
      <c r="O1832">
        <v>6</v>
      </c>
      <c r="P1832" t="s">
        <v>42</v>
      </c>
      <c r="Q1832" s="1">
        <v>44202</v>
      </c>
    </row>
    <row r="1833" spans="1:17" x14ac:dyDescent="0.3">
      <c r="A1833" t="s">
        <v>22</v>
      </c>
      <c r="B1833" t="s">
        <v>15</v>
      </c>
      <c r="C1833" t="s">
        <v>52</v>
      </c>
      <c r="D1833" t="s">
        <v>17</v>
      </c>
      <c r="E1833" t="s">
        <v>31</v>
      </c>
      <c r="F1833" s="9">
        <v>0.06</v>
      </c>
      <c r="G1833" s="10">
        <v>14080</v>
      </c>
      <c r="H1833">
        <v>3.98</v>
      </c>
      <c r="I1833" s="5">
        <f>ROUND(Marketing[[#This Row],[Clicks]]*Marketing[[#This Row],[Conversion_Rate]],0)</f>
        <v>8</v>
      </c>
      <c r="J1833" s="12">
        <f>Marketing[[#This Row],[Campaign_Cost]]/Marketing[[#This Row],[Customers]]</f>
        <v>1760</v>
      </c>
      <c r="K1833" t="s">
        <v>25</v>
      </c>
      <c r="L1833" t="s">
        <v>26</v>
      </c>
      <c r="M1833">
        <v>134</v>
      </c>
      <c r="N1833">
        <v>1298</v>
      </c>
      <c r="O1833">
        <v>7</v>
      </c>
      <c r="P1833" t="s">
        <v>44</v>
      </c>
      <c r="Q1833" s="1">
        <v>44203</v>
      </c>
    </row>
    <row r="1834" spans="1:17" x14ac:dyDescent="0.3">
      <c r="A1834" t="s">
        <v>35</v>
      </c>
      <c r="B1834" t="s">
        <v>29</v>
      </c>
      <c r="C1834" t="s">
        <v>23</v>
      </c>
      <c r="D1834" t="s">
        <v>17</v>
      </c>
      <c r="E1834" t="s">
        <v>31</v>
      </c>
      <c r="F1834" s="9">
        <v>0.05</v>
      </c>
      <c r="G1834" s="10">
        <v>10310</v>
      </c>
      <c r="H1834">
        <v>7.51</v>
      </c>
      <c r="I1834" s="5">
        <f>ROUND(Marketing[[#This Row],[Clicks]]*Marketing[[#This Row],[Conversion_Rate]],0)</f>
        <v>12</v>
      </c>
      <c r="J1834" s="12">
        <f>Marketing[[#This Row],[Campaign_Cost]]/Marketing[[#This Row],[Customers]]</f>
        <v>859.16666666666663</v>
      </c>
      <c r="K1834" t="s">
        <v>38</v>
      </c>
      <c r="L1834" t="s">
        <v>33</v>
      </c>
      <c r="M1834">
        <v>244</v>
      </c>
      <c r="N1834">
        <v>4126</v>
      </c>
      <c r="O1834">
        <v>8</v>
      </c>
      <c r="P1834" t="s">
        <v>27</v>
      </c>
      <c r="Q1834" s="1">
        <v>44204</v>
      </c>
    </row>
    <row r="1835" spans="1:17" x14ac:dyDescent="0.3">
      <c r="A1835" t="s">
        <v>14</v>
      </c>
      <c r="B1835" t="s">
        <v>29</v>
      </c>
      <c r="C1835" t="s">
        <v>52</v>
      </c>
      <c r="D1835" t="s">
        <v>46</v>
      </c>
      <c r="E1835" t="s">
        <v>43</v>
      </c>
      <c r="F1835" s="9">
        <v>0.02</v>
      </c>
      <c r="G1835" s="10">
        <v>13977</v>
      </c>
      <c r="H1835">
        <v>4.63</v>
      </c>
      <c r="I1835" s="5">
        <f>ROUND(Marketing[[#This Row],[Clicks]]*Marketing[[#This Row],[Conversion_Rate]],0)</f>
        <v>19</v>
      </c>
      <c r="J1835" s="12">
        <f>Marketing[[#This Row],[Campaign_Cost]]/Marketing[[#This Row],[Customers]]</f>
        <v>735.63157894736844</v>
      </c>
      <c r="K1835" t="s">
        <v>32</v>
      </c>
      <c r="L1835" t="s">
        <v>50</v>
      </c>
      <c r="M1835">
        <v>926</v>
      </c>
      <c r="N1835">
        <v>9502</v>
      </c>
      <c r="O1835">
        <v>8</v>
      </c>
      <c r="P1835" t="s">
        <v>44</v>
      </c>
      <c r="Q1835" s="1">
        <v>44205</v>
      </c>
    </row>
    <row r="1836" spans="1:17" x14ac:dyDescent="0.3">
      <c r="A1836" t="s">
        <v>14</v>
      </c>
      <c r="B1836" t="s">
        <v>45</v>
      </c>
      <c r="C1836" t="s">
        <v>37</v>
      </c>
      <c r="D1836" t="s">
        <v>40</v>
      </c>
      <c r="E1836" t="s">
        <v>43</v>
      </c>
      <c r="F1836" s="9">
        <v>0.04</v>
      </c>
      <c r="G1836" s="10">
        <v>11576</v>
      </c>
      <c r="H1836">
        <v>5.08</v>
      </c>
      <c r="I1836" s="5">
        <f>ROUND(Marketing[[#This Row],[Clicks]]*Marketing[[#This Row],[Conversion_Rate]],0)</f>
        <v>38</v>
      </c>
      <c r="J1836" s="12">
        <f>Marketing[[#This Row],[Campaign_Cost]]/Marketing[[#This Row],[Customers]]</f>
        <v>304.63157894736844</v>
      </c>
      <c r="K1836" t="s">
        <v>51</v>
      </c>
      <c r="L1836" t="s">
        <v>26</v>
      </c>
      <c r="M1836">
        <v>939</v>
      </c>
      <c r="N1836">
        <v>8641</v>
      </c>
      <c r="O1836">
        <v>3</v>
      </c>
      <c r="P1836" t="s">
        <v>27</v>
      </c>
      <c r="Q1836" s="1">
        <v>44206</v>
      </c>
    </row>
    <row r="1837" spans="1:17" x14ac:dyDescent="0.3">
      <c r="A1837" t="s">
        <v>28</v>
      </c>
      <c r="B1837" t="s">
        <v>15</v>
      </c>
      <c r="C1837" t="s">
        <v>30</v>
      </c>
      <c r="D1837" t="s">
        <v>46</v>
      </c>
      <c r="E1837" t="s">
        <v>15</v>
      </c>
      <c r="F1837" s="9">
        <v>0.04</v>
      </c>
      <c r="G1837" s="10">
        <v>15475</v>
      </c>
      <c r="H1837">
        <v>2.2799999999999998</v>
      </c>
      <c r="I1837" s="5">
        <f>ROUND(Marketing[[#This Row],[Clicks]]*Marketing[[#This Row],[Conversion_Rate]],0)</f>
        <v>17</v>
      </c>
      <c r="J1837" s="12">
        <f>Marketing[[#This Row],[Campaign_Cost]]/Marketing[[#This Row],[Customers]]</f>
        <v>910.29411764705878</v>
      </c>
      <c r="K1837" t="s">
        <v>32</v>
      </c>
      <c r="L1837" t="s">
        <v>39</v>
      </c>
      <c r="M1837">
        <v>417</v>
      </c>
      <c r="N1837">
        <v>7944</v>
      </c>
      <c r="O1837">
        <v>8</v>
      </c>
      <c r="P1837" t="s">
        <v>34</v>
      </c>
      <c r="Q1837" s="1">
        <v>44207</v>
      </c>
    </row>
    <row r="1838" spans="1:17" x14ac:dyDescent="0.3">
      <c r="A1838" t="s">
        <v>49</v>
      </c>
      <c r="B1838" t="s">
        <v>45</v>
      </c>
      <c r="C1838" t="s">
        <v>23</v>
      </c>
      <c r="D1838" t="s">
        <v>46</v>
      </c>
      <c r="E1838" t="s">
        <v>48</v>
      </c>
      <c r="F1838" s="9">
        <v>0.03</v>
      </c>
      <c r="G1838" s="10">
        <v>12236</v>
      </c>
      <c r="H1838">
        <v>2.89</v>
      </c>
      <c r="I1838" s="5">
        <f>ROUND(Marketing[[#This Row],[Clicks]]*Marketing[[#This Row],[Conversion_Rate]],0)</f>
        <v>25</v>
      </c>
      <c r="J1838" s="12">
        <f>Marketing[[#This Row],[Campaign_Cost]]/Marketing[[#This Row],[Customers]]</f>
        <v>489.44</v>
      </c>
      <c r="K1838" t="s">
        <v>32</v>
      </c>
      <c r="L1838" t="s">
        <v>39</v>
      </c>
      <c r="M1838">
        <v>842</v>
      </c>
      <c r="N1838">
        <v>1803</v>
      </c>
      <c r="O1838">
        <v>4</v>
      </c>
      <c r="P1838" t="s">
        <v>42</v>
      </c>
      <c r="Q1838" s="1">
        <v>44208</v>
      </c>
    </row>
    <row r="1839" spans="1:17" x14ac:dyDescent="0.3">
      <c r="A1839" t="s">
        <v>22</v>
      </c>
      <c r="B1839" t="s">
        <v>47</v>
      </c>
      <c r="C1839" t="s">
        <v>30</v>
      </c>
      <c r="D1839" t="s">
        <v>17</v>
      </c>
      <c r="E1839" t="s">
        <v>31</v>
      </c>
      <c r="F1839" s="9">
        <v>0.14000000000000001</v>
      </c>
      <c r="G1839" s="10">
        <v>17160</v>
      </c>
      <c r="H1839">
        <v>3.38</v>
      </c>
      <c r="I1839" s="5">
        <f>ROUND(Marketing[[#This Row],[Clicks]]*Marketing[[#This Row],[Conversion_Rate]],0)</f>
        <v>57</v>
      </c>
      <c r="J1839" s="12">
        <f>Marketing[[#This Row],[Campaign_Cost]]/Marketing[[#This Row],[Customers]]</f>
        <v>301.05263157894734</v>
      </c>
      <c r="K1839" t="s">
        <v>19</v>
      </c>
      <c r="L1839" t="s">
        <v>50</v>
      </c>
      <c r="M1839">
        <v>408</v>
      </c>
      <c r="N1839">
        <v>4284</v>
      </c>
      <c r="O1839">
        <v>5</v>
      </c>
      <c r="P1839" t="s">
        <v>34</v>
      </c>
      <c r="Q1839" s="1">
        <v>44209</v>
      </c>
    </row>
    <row r="1840" spans="1:17" x14ac:dyDescent="0.3">
      <c r="A1840" t="s">
        <v>49</v>
      </c>
      <c r="B1840" t="s">
        <v>47</v>
      </c>
      <c r="C1840" t="s">
        <v>30</v>
      </c>
      <c r="D1840" t="s">
        <v>40</v>
      </c>
      <c r="E1840" t="s">
        <v>18</v>
      </c>
      <c r="F1840" s="9">
        <v>7.0000000000000007E-2</v>
      </c>
      <c r="G1840" s="10">
        <v>15939</v>
      </c>
      <c r="H1840">
        <v>5.41</v>
      </c>
      <c r="I1840" s="5">
        <f>ROUND(Marketing[[#This Row],[Clicks]]*Marketing[[#This Row],[Conversion_Rate]],0)</f>
        <v>40</v>
      </c>
      <c r="J1840" s="12">
        <f>Marketing[[#This Row],[Campaign_Cost]]/Marketing[[#This Row],[Customers]]</f>
        <v>398.47500000000002</v>
      </c>
      <c r="K1840" t="s">
        <v>25</v>
      </c>
      <c r="L1840" t="s">
        <v>50</v>
      </c>
      <c r="M1840">
        <v>575</v>
      </c>
      <c r="N1840">
        <v>8676</v>
      </c>
      <c r="O1840">
        <v>9</v>
      </c>
      <c r="P1840" t="s">
        <v>21</v>
      </c>
      <c r="Q1840" s="1">
        <v>44210</v>
      </c>
    </row>
    <row r="1841" spans="1:17" x14ac:dyDescent="0.3">
      <c r="A1841" t="s">
        <v>22</v>
      </c>
      <c r="B1841" t="s">
        <v>47</v>
      </c>
      <c r="C1841" t="s">
        <v>16</v>
      </c>
      <c r="D1841" t="s">
        <v>24</v>
      </c>
      <c r="E1841" t="s">
        <v>43</v>
      </c>
      <c r="F1841" s="9">
        <v>0.05</v>
      </c>
      <c r="G1841" s="10">
        <v>18489</v>
      </c>
      <c r="H1841">
        <v>3.9</v>
      </c>
      <c r="I1841" s="5">
        <f>ROUND(Marketing[[#This Row],[Clicks]]*Marketing[[#This Row],[Conversion_Rate]],0)</f>
        <v>40</v>
      </c>
      <c r="J1841" s="12">
        <f>Marketing[[#This Row],[Campaign_Cost]]/Marketing[[#This Row],[Customers]]</f>
        <v>462.22500000000002</v>
      </c>
      <c r="K1841" t="s">
        <v>19</v>
      </c>
      <c r="L1841" t="s">
        <v>39</v>
      </c>
      <c r="M1841">
        <v>809</v>
      </c>
      <c r="N1841">
        <v>3875</v>
      </c>
      <c r="O1841">
        <v>1</v>
      </c>
      <c r="P1841" t="s">
        <v>21</v>
      </c>
      <c r="Q1841" s="1">
        <v>44211</v>
      </c>
    </row>
    <row r="1842" spans="1:17" x14ac:dyDescent="0.3">
      <c r="A1842" t="s">
        <v>28</v>
      </c>
      <c r="B1842" t="s">
        <v>15</v>
      </c>
      <c r="C1842" t="s">
        <v>30</v>
      </c>
      <c r="D1842" t="s">
        <v>17</v>
      </c>
      <c r="E1842" t="s">
        <v>41</v>
      </c>
      <c r="F1842" s="9">
        <v>0.03</v>
      </c>
      <c r="G1842" s="10">
        <v>6795</v>
      </c>
      <c r="H1842">
        <v>5.81</v>
      </c>
      <c r="I1842" s="5">
        <f>ROUND(Marketing[[#This Row],[Clicks]]*Marketing[[#This Row],[Conversion_Rate]],0)</f>
        <v>23</v>
      </c>
      <c r="J1842" s="12">
        <f>Marketing[[#This Row],[Campaign_Cost]]/Marketing[[#This Row],[Customers]]</f>
        <v>295.43478260869563</v>
      </c>
      <c r="K1842" t="s">
        <v>32</v>
      </c>
      <c r="L1842" t="s">
        <v>26</v>
      </c>
      <c r="M1842">
        <v>769</v>
      </c>
      <c r="N1842">
        <v>2493</v>
      </c>
      <c r="O1842">
        <v>9</v>
      </c>
      <c r="P1842" t="s">
        <v>44</v>
      </c>
      <c r="Q1842" s="1">
        <v>44212</v>
      </c>
    </row>
    <row r="1843" spans="1:17" x14ac:dyDescent="0.3">
      <c r="A1843" t="s">
        <v>49</v>
      </c>
      <c r="B1843" t="s">
        <v>36</v>
      </c>
      <c r="C1843" t="s">
        <v>37</v>
      </c>
      <c r="D1843" t="s">
        <v>40</v>
      </c>
      <c r="E1843" t="s">
        <v>18</v>
      </c>
      <c r="F1843" s="9">
        <v>0.1</v>
      </c>
      <c r="G1843" s="10">
        <v>12518</v>
      </c>
      <c r="H1843">
        <v>4.51</v>
      </c>
      <c r="I1843" s="5">
        <f>ROUND(Marketing[[#This Row],[Clicks]]*Marketing[[#This Row],[Conversion_Rate]],0)</f>
        <v>12</v>
      </c>
      <c r="J1843" s="12">
        <f>Marketing[[#This Row],[Campaign_Cost]]/Marketing[[#This Row],[Customers]]</f>
        <v>1043.1666666666667</v>
      </c>
      <c r="K1843" t="s">
        <v>38</v>
      </c>
      <c r="L1843" t="s">
        <v>50</v>
      </c>
      <c r="M1843">
        <v>124</v>
      </c>
      <c r="N1843">
        <v>1642</v>
      </c>
      <c r="O1843">
        <v>9</v>
      </c>
      <c r="P1843" t="s">
        <v>42</v>
      </c>
      <c r="Q1843" s="1">
        <v>44213</v>
      </c>
    </row>
    <row r="1844" spans="1:17" x14ac:dyDescent="0.3">
      <c r="A1844" t="s">
        <v>28</v>
      </c>
      <c r="B1844" t="s">
        <v>29</v>
      </c>
      <c r="C1844" t="s">
        <v>16</v>
      </c>
      <c r="D1844" t="s">
        <v>40</v>
      </c>
      <c r="E1844" t="s">
        <v>15</v>
      </c>
      <c r="F1844" s="9">
        <v>0.11</v>
      </c>
      <c r="G1844" s="10">
        <v>9207</v>
      </c>
      <c r="H1844">
        <v>7.47</v>
      </c>
      <c r="I1844" s="5">
        <f>ROUND(Marketing[[#This Row],[Clicks]]*Marketing[[#This Row],[Conversion_Rate]],0)</f>
        <v>54</v>
      </c>
      <c r="J1844" s="12">
        <f>Marketing[[#This Row],[Campaign_Cost]]/Marketing[[#This Row],[Customers]]</f>
        <v>170.5</v>
      </c>
      <c r="K1844" t="s">
        <v>19</v>
      </c>
      <c r="L1844" t="s">
        <v>50</v>
      </c>
      <c r="M1844">
        <v>495</v>
      </c>
      <c r="N1844">
        <v>3868</v>
      </c>
      <c r="O1844">
        <v>4</v>
      </c>
      <c r="P1844" t="s">
        <v>27</v>
      </c>
      <c r="Q1844" s="1">
        <v>44214</v>
      </c>
    </row>
    <row r="1845" spans="1:17" x14ac:dyDescent="0.3">
      <c r="A1845" t="s">
        <v>22</v>
      </c>
      <c r="B1845" t="s">
        <v>36</v>
      </c>
      <c r="C1845" t="s">
        <v>16</v>
      </c>
      <c r="D1845" t="s">
        <v>46</v>
      </c>
      <c r="E1845" t="s">
        <v>31</v>
      </c>
      <c r="F1845" s="9">
        <v>0.04</v>
      </c>
      <c r="G1845" s="10">
        <v>11530</v>
      </c>
      <c r="H1845">
        <v>2.5</v>
      </c>
      <c r="I1845" s="5">
        <f>ROUND(Marketing[[#This Row],[Clicks]]*Marketing[[#This Row],[Conversion_Rate]],0)</f>
        <v>20</v>
      </c>
      <c r="J1845" s="12">
        <f>Marketing[[#This Row],[Campaign_Cost]]/Marketing[[#This Row],[Customers]]</f>
        <v>576.5</v>
      </c>
      <c r="K1845" t="s">
        <v>51</v>
      </c>
      <c r="L1845" t="s">
        <v>33</v>
      </c>
      <c r="M1845">
        <v>503</v>
      </c>
      <c r="N1845">
        <v>4030</v>
      </c>
      <c r="O1845">
        <v>2</v>
      </c>
      <c r="P1845" t="s">
        <v>21</v>
      </c>
      <c r="Q1845" s="1">
        <v>44215</v>
      </c>
    </row>
    <row r="1846" spans="1:17" x14ac:dyDescent="0.3">
      <c r="A1846" t="s">
        <v>49</v>
      </c>
      <c r="B1846" t="s">
        <v>29</v>
      </c>
      <c r="C1846" t="s">
        <v>23</v>
      </c>
      <c r="D1846" t="s">
        <v>17</v>
      </c>
      <c r="E1846" t="s">
        <v>41</v>
      </c>
      <c r="F1846" s="9">
        <v>0.14000000000000001</v>
      </c>
      <c r="G1846" s="10">
        <v>16309</v>
      </c>
      <c r="H1846">
        <v>3.37</v>
      </c>
      <c r="I1846" s="5">
        <f>ROUND(Marketing[[#This Row],[Clicks]]*Marketing[[#This Row],[Conversion_Rate]],0)</f>
        <v>30</v>
      </c>
      <c r="J1846" s="12">
        <f>Marketing[[#This Row],[Campaign_Cost]]/Marketing[[#This Row],[Customers]]</f>
        <v>543.63333333333333</v>
      </c>
      <c r="K1846" t="s">
        <v>25</v>
      </c>
      <c r="L1846" t="s">
        <v>39</v>
      </c>
      <c r="M1846">
        <v>211</v>
      </c>
      <c r="N1846">
        <v>4471</v>
      </c>
      <c r="O1846">
        <v>10</v>
      </c>
      <c r="P1846" t="s">
        <v>27</v>
      </c>
      <c r="Q1846" s="1">
        <v>44216</v>
      </c>
    </row>
    <row r="1847" spans="1:17" x14ac:dyDescent="0.3">
      <c r="A1847" t="s">
        <v>49</v>
      </c>
      <c r="B1847" t="s">
        <v>45</v>
      </c>
      <c r="C1847" t="s">
        <v>52</v>
      </c>
      <c r="D1847" t="s">
        <v>17</v>
      </c>
      <c r="E1847" t="s">
        <v>18</v>
      </c>
      <c r="F1847" s="9">
        <v>0.06</v>
      </c>
      <c r="G1847" s="10">
        <v>7235</v>
      </c>
      <c r="H1847">
        <v>6.57</v>
      </c>
      <c r="I1847" s="5">
        <f>ROUND(Marketing[[#This Row],[Clicks]]*Marketing[[#This Row],[Conversion_Rate]],0)</f>
        <v>15</v>
      </c>
      <c r="J1847" s="12">
        <f>Marketing[[#This Row],[Campaign_Cost]]/Marketing[[#This Row],[Customers]]</f>
        <v>482.33333333333331</v>
      </c>
      <c r="K1847" t="s">
        <v>51</v>
      </c>
      <c r="L1847" t="s">
        <v>50</v>
      </c>
      <c r="M1847">
        <v>254</v>
      </c>
      <c r="N1847">
        <v>5024</v>
      </c>
      <c r="O1847">
        <v>4</v>
      </c>
      <c r="P1847" t="s">
        <v>21</v>
      </c>
      <c r="Q1847" s="1">
        <v>44217</v>
      </c>
    </row>
    <row r="1848" spans="1:17" x14ac:dyDescent="0.3">
      <c r="A1848" t="s">
        <v>49</v>
      </c>
      <c r="B1848" t="s">
        <v>15</v>
      </c>
      <c r="C1848" t="s">
        <v>23</v>
      </c>
      <c r="D1848" t="s">
        <v>46</v>
      </c>
      <c r="E1848" t="s">
        <v>43</v>
      </c>
      <c r="F1848" s="9">
        <v>0.11</v>
      </c>
      <c r="G1848" s="10">
        <v>5485</v>
      </c>
      <c r="H1848">
        <v>7.99</v>
      </c>
      <c r="I1848" s="5">
        <f>ROUND(Marketing[[#This Row],[Clicks]]*Marketing[[#This Row],[Conversion_Rate]],0)</f>
        <v>19</v>
      </c>
      <c r="J1848" s="12">
        <f>Marketing[[#This Row],[Campaign_Cost]]/Marketing[[#This Row],[Customers]]</f>
        <v>288.68421052631578</v>
      </c>
      <c r="K1848" t="s">
        <v>19</v>
      </c>
      <c r="L1848" t="s">
        <v>39</v>
      </c>
      <c r="M1848">
        <v>176</v>
      </c>
      <c r="N1848">
        <v>4114</v>
      </c>
      <c r="O1848">
        <v>7</v>
      </c>
      <c r="P1848" t="s">
        <v>27</v>
      </c>
      <c r="Q1848" s="1">
        <v>44218</v>
      </c>
    </row>
    <row r="1849" spans="1:17" x14ac:dyDescent="0.3">
      <c r="A1849" t="s">
        <v>35</v>
      </c>
      <c r="B1849" t="s">
        <v>45</v>
      </c>
      <c r="C1849" t="s">
        <v>52</v>
      </c>
      <c r="D1849" t="s">
        <v>24</v>
      </c>
      <c r="E1849" t="s">
        <v>15</v>
      </c>
      <c r="F1849" s="9">
        <v>0.06</v>
      </c>
      <c r="G1849" s="10">
        <v>14489</v>
      </c>
      <c r="H1849">
        <v>5.84</v>
      </c>
      <c r="I1849" s="5">
        <f>ROUND(Marketing[[#This Row],[Clicks]]*Marketing[[#This Row],[Conversion_Rate]],0)</f>
        <v>34</v>
      </c>
      <c r="J1849" s="12">
        <f>Marketing[[#This Row],[Campaign_Cost]]/Marketing[[#This Row],[Customers]]</f>
        <v>426.14705882352939</v>
      </c>
      <c r="K1849" t="s">
        <v>25</v>
      </c>
      <c r="L1849" t="s">
        <v>50</v>
      </c>
      <c r="M1849">
        <v>560</v>
      </c>
      <c r="N1849">
        <v>9144</v>
      </c>
      <c r="O1849">
        <v>4</v>
      </c>
      <c r="P1849" t="s">
        <v>27</v>
      </c>
      <c r="Q1849" s="1">
        <v>44219</v>
      </c>
    </row>
    <row r="1850" spans="1:17" x14ac:dyDescent="0.3">
      <c r="A1850" t="s">
        <v>49</v>
      </c>
      <c r="B1850" t="s">
        <v>15</v>
      </c>
      <c r="C1850" t="s">
        <v>16</v>
      </c>
      <c r="D1850" t="s">
        <v>46</v>
      </c>
      <c r="E1850" t="s">
        <v>31</v>
      </c>
      <c r="F1850" s="9">
        <v>0.11</v>
      </c>
      <c r="G1850" s="10">
        <v>7372</v>
      </c>
      <c r="H1850">
        <v>2.94</v>
      </c>
      <c r="I1850" s="5">
        <f>ROUND(Marketing[[#This Row],[Clicks]]*Marketing[[#This Row],[Conversion_Rate]],0)</f>
        <v>47</v>
      </c>
      <c r="J1850" s="12">
        <f>Marketing[[#This Row],[Campaign_Cost]]/Marketing[[#This Row],[Customers]]</f>
        <v>156.85106382978722</v>
      </c>
      <c r="K1850" t="s">
        <v>32</v>
      </c>
      <c r="L1850" t="s">
        <v>33</v>
      </c>
      <c r="M1850">
        <v>429</v>
      </c>
      <c r="N1850">
        <v>3677</v>
      </c>
      <c r="O1850">
        <v>2</v>
      </c>
      <c r="P1850" t="s">
        <v>44</v>
      </c>
      <c r="Q1850" s="1">
        <v>44220</v>
      </c>
    </row>
    <row r="1851" spans="1:17" x14ac:dyDescent="0.3">
      <c r="A1851" t="s">
        <v>22</v>
      </c>
      <c r="B1851" t="s">
        <v>36</v>
      </c>
      <c r="C1851" t="s">
        <v>23</v>
      </c>
      <c r="D1851" t="s">
        <v>24</v>
      </c>
      <c r="E1851" t="s">
        <v>18</v>
      </c>
      <c r="F1851" s="9">
        <v>0.06</v>
      </c>
      <c r="G1851" s="10">
        <v>10946</v>
      </c>
      <c r="H1851">
        <v>2.62</v>
      </c>
      <c r="I1851" s="5">
        <f>ROUND(Marketing[[#This Row],[Clicks]]*Marketing[[#This Row],[Conversion_Rate]],0)</f>
        <v>52</v>
      </c>
      <c r="J1851" s="12">
        <f>Marketing[[#This Row],[Campaign_Cost]]/Marketing[[#This Row],[Customers]]</f>
        <v>210.5</v>
      </c>
      <c r="K1851" t="s">
        <v>19</v>
      </c>
      <c r="L1851" t="s">
        <v>33</v>
      </c>
      <c r="M1851">
        <v>862</v>
      </c>
      <c r="N1851">
        <v>4133</v>
      </c>
      <c r="O1851">
        <v>10</v>
      </c>
      <c r="P1851" t="s">
        <v>27</v>
      </c>
      <c r="Q1851" s="1">
        <v>44221</v>
      </c>
    </row>
    <row r="1852" spans="1:17" x14ac:dyDescent="0.3">
      <c r="A1852" t="s">
        <v>49</v>
      </c>
      <c r="B1852" t="s">
        <v>47</v>
      </c>
      <c r="C1852" t="s">
        <v>52</v>
      </c>
      <c r="D1852" t="s">
        <v>24</v>
      </c>
      <c r="E1852" t="s">
        <v>41</v>
      </c>
      <c r="F1852" s="9">
        <v>0.03</v>
      </c>
      <c r="G1852" s="10">
        <v>9353</v>
      </c>
      <c r="H1852">
        <v>4.68</v>
      </c>
      <c r="I1852" s="5">
        <f>ROUND(Marketing[[#This Row],[Clicks]]*Marketing[[#This Row],[Conversion_Rate]],0)</f>
        <v>4</v>
      </c>
      <c r="J1852" s="12">
        <f>Marketing[[#This Row],[Campaign_Cost]]/Marketing[[#This Row],[Customers]]</f>
        <v>2338.25</v>
      </c>
      <c r="K1852" t="s">
        <v>51</v>
      </c>
      <c r="L1852" t="s">
        <v>26</v>
      </c>
      <c r="M1852">
        <v>125</v>
      </c>
      <c r="N1852">
        <v>4564</v>
      </c>
      <c r="O1852">
        <v>7</v>
      </c>
      <c r="P1852" t="s">
        <v>44</v>
      </c>
      <c r="Q1852" s="1">
        <v>44222</v>
      </c>
    </row>
    <row r="1853" spans="1:17" x14ac:dyDescent="0.3">
      <c r="A1853" t="s">
        <v>14</v>
      </c>
      <c r="B1853" t="s">
        <v>15</v>
      </c>
      <c r="C1853" t="s">
        <v>52</v>
      </c>
      <c r="D1853" t="s">
        <v>40</v>
      </c>
      <c r="E1853" t="s">
        <v>43</v>
      </c>
      <c r="F1853" s="9">
        <v>7.0000000000000007E-2</v>
      </c>
      <c r="G1853" s="10">
        <v>5494</v>
      </c>
      <c r="H1853">
        <v>3.29</v>
      </c>
      <c r="I1853" s="5">
        <f>ROUND(Marketing[[#This Row],[Clicks]]*Marketing[[#This Row],[Conversion_Rate]],0)</f>
        <v>63</v>
      </c>
      <c r="J1853" s="12">
        <f>Marketing[[#This Row],[Campaign_Cost]]/Marketing[[#This Row],[Customers]]</f>
        <v>87.206349206349202</v>
      </c>
      <c r="K1853" t="s">
        <v>38</v>
      </c>
      <c r="L1853" t="s">
        <v>39</v>
      </c>
      <c r="M1853">
        <v>900</v>
      </c>
      <c r="N1853">
        <v>6833</v>
      </c>
      <c r="O1853">
        <v>1</v>
      </c>
      <c r="P1853" t="s">
        <v>44</v>
      </c>
      <c r="Q1853" s="1">
        <v>44223</v>
      </c>
    </row>
    <row r="1854" spans="1:17" x14ac:dyDescent="0.3">
      <c r="A1854" t="s">
        <v>22</v>
      </c>
      <c r="B1854" t="s">
        <v>47</v>
      </c>
      <c r="C1854" t="s">
        <v>16</v>
      </c>
      <c r="D1854" t="s">
        <v>46</v>
      </c>
      <c r="E1854" t="s">
        <v>18</v>
      </c>
      <c r="F1854" s="9">
        <v>0.15</v>
      </c>
      <c r="G1854" s="10">
        <v>10698</v>
      </c>
      <c r="H1854">
        <v>5.3</v>
      </c>
      <c r="I1854" s="5">
        <f>ROUND(Marketing[[#This Row],[Clicks]]*Marketing[[#This Row],[Conversion_Rate]],0)</f>
        <v>56</v>
      </c>
      <c r="J1854" s="12">
        <f>Marketing[[#This Row],[Campaign_Cost]]/Marketing[[#This Row],[Customers]]</f>
        <v>191.03571428571428</v>
      </c>
      <c r="K1854" t="s">
        <v>19</v>
      </c>
      <c r="L1854" t="s">
        <v>33</v>
      </c>
      <c r="M1854">
        <v>374</v>
      </c>
      <c r="N1854">
        <v>5808</v>
      </c>
      <c r="O1854">
        <v>7</v>
      </c>
      <c r="P1854" t="s">
        <v>42</v>
      </c>
      <c r="Q1854" s="1">
        <v>44224</v>
      </c>
    </row>
    <row r="1855" spans="1:17" x14ac:dyDescent="0.3">
      <c r="A1855" t="s">
        <v>35</v>
      </c>
      <c r="B1855" t="s">
        <v>47</v>
      </c>
      <c r="C1855" t="s">
        <v>23</v>
      </c>
      <c r="D1855" t="s">
        <v>46</v>
      </c>
      <c r="E1855" t="s">
        <v>15</v>
      </c>
      <c r="F1855" s="9">
        <v>0.14000000000000001</v>
      </c>
      <c r="G1855" s="10">
        <v>5482</v>
      </c>
      <c r="H1855">
        <v>7.78</v>
      </c>
      <c r="I1855" s="5">
        <f>ROUND(Marketing[[#This Row],[Clicks]]*Marketing[[#This Row],[Conversion_Rate]],0)</f>
        <v>59</v>
      </c>
      <c r="J1855" s="12">
        <f>Marketing[[#This Row],[Campaign_Cost]]/Marketing[[#This Row],[Customers]]</f>
        <v>92.915254237288138</v>
      </c>
      <c r="K1855" t="s">
        <v>32</v>
      </c>
      <c r="L1855" t="s">
        <v>39</v>
      </c>
      <c r="M1855">
        <v>418</v>
      </c>
      <c r="N1855">
        <v>8584</v>
      </c>
      <c r="O1855">
        <v>7</v>
      </c>
      <c r="P1855" t="s">
        <v>44</v>
      </c>
      <c r="Q1855" s="1">
        <v>44225</v>
      </c>
    </row>
    <row r="1856" spans="1:17" x14ac:dyDescent="0.3">
      <c r="A1856" t="s">
        <v>22</v>
      </c>
      <c r="B1856" t="s">
        <v>29</v>
      </c>
      <c r="C1856" t="s">
        <v>23</v>
      </c>
      <c r="D1856" t="s">
        <v>40</v>
      </c>
      <c r="E1856" t="s">
        <v>41</v>
      </c>
      <c r="F1856" s="9">
        <v>0.01</v>
      </c>
      <c r="G1856" s="10">
        <v>16711</v>
      </c>
      <c r="H1856">
        <v>6.69</v>
      </c>
      <c r="I1856" s="5">
        <f>ROUND(Marketing[[#This Row],[Clicks]]*Marketing[[#This Row],[Conversion_Rate]],0)</f>
        <v>2</v>
      </c>
      <c r="J1856" s="12">
        <f>Marketing[[#This Row],[Campaign_Cost]]/Marketing[[#This Row],[Customers]]</f>
        <v>8355.5</v>
      </c>
      <c r="K1856" t="s">
        <v>19</v>
      </c>
      <c r="L1856" t="s">
        <v>50</v>
      </c>
      <c r="M1856">
        <v>183</v>
      </c>
      <c r="N1856">
        <v>7405</v>
      </c>
      <c r="O1856">
        <v>2</v>
      </c>
      <c r="P1856" t="s">
        <v>27</v>
      </c>
      <c r="Q1856" s="1">
        <v>44226</v>
      </c>
    </row>
    <row r="1857" spans="1:17" x14ac:dyDescent="0.3">
      <c r="A1857" t="s">
        <v>14</v>
      </c>
      <c r="B1857" t="s">
        <v>45</v>
      </c>
      <c r="C1857" t="s">
        <v>30</v>
      </c>
      <c r="D1857" t="s">
        <v>46</v>
      </c>
      <c r="E1857" t="s">
        <v>41</v>
      </c>
      <c r="F1857" s="9">
        <v>0.15</v>
      </c>
      <c r="G1857" s="10">
        <v>6052</v>
      </c>
      <c r="H1857">
        <v>2.83</v>
      </c>
      <c r="I1857" s="5">
        <f>ROUND(Marketing[[#This Row],[Clicks]]*Marketing[[#This Row],[Conversion_Rate]],0)</f>
        <v>80</v>
      </c>
      <c r="J1857" s="12">
        <f>Marketing[[#This Row],[Campaign_Cost]]/Marketing[[#This Row],[Customers]]</f>
        <v>75.650000000000006</v>
      </c>
      <c r="K1857" t="s">
        <v>25</v>
      </c>
      <c r="L1857" t="s">
        <v>33</v>
      </c>
      <c r="M1857">
        <v>536</v>
      </c>
      <c r="N1857">
        <v>8200</v>
      </c>
      <c r="O1857">
        <v>1</v>
      </c>
      <c r="P1857" t="s">
        <v>34</v>
      </c>
      <c r="Q1857" s="1">
        <v>44227</v>
      </c>
    </row>
    <row r="1858" spans="1:17" x14ac:dyDescent="0.3">
      <c r="A1858" t="s">
        <v>28</v>
      </c>
      <c r="B1858" t="s">
        <v>29</v>
      </c>
      <c r="C1858" t="s">
        <v>30</v>
      </c>
      <c r="D1858" t="s">
        <v>17</v>
      </c>
      <c r="E1858" t="s">
        <v>31</v>
      </c>
      <c r="F1858" s="9">
        <v>0.02</v>
      </c>
      <c r="G1858" s="10">
        <v>6068</v>
      </c>
      <c r="H1858">
        <v>7.29</v>
      </c>
      <c r="I1858" s="5">
        <f>ROUND(Marketing[[#This Row],[Clicks]]*Marketing[[#This Row],[Conversion_Rate]],0)</f>
        <v>3</v>
      </c>
      <c r="J1858" s="12">
        <f>Marketing[[#This Row],[Campaign_Cost]]/Marketing[[#This Row],[Customers]]</f>
        <v>2022.6666666666667</v>
      </c>
      <c r="K1858" t="s">
        <v>19</v>
      </c>
      <c r="L1858" t="s">
        <v>20</v>
      </c>
      <c r="M1858">
        <v>146</v>
      </c>
      <c r="N1858">
        <v>9271</v>
      </c>
      <c r="O1858">
        <v>5</v>
      </c>
      <c r="P1858" t="s">
        <v>34</v>
      </c>
      <c r="Q1858" s="1">
        <v>44228</v>
      </c>
    </row>
    <row r="1859" spans="1:17" x14ac:dyDescent="0.3">
      <c r="A1859" t="s">
        <v>49</v>
      </c>
      <c r="B1859" t="s">
        <v>45</v>
      </c>
      <c r="C1859" t="s">
        <v>52</v>
      </c>
      <c r="D1859" t="s">
        <v>46</v>
      </c>
      <c r="E1859" t="s">
        <v>48</v>
      </c>
      <c r="F1859" s="9">
        <v>0.12</v>
      </c>
      <c r="G1859" s="10">
        <v>10764</v>
      </c>
      <c r="H1859">
        <v>7.14</v>
      </c>
      <c r="I1859" s="5">
        <f>ROUND(Marketing[[#This Row],[Clicks]]*Marketing[[#This Row],[Conversion_Rate]],0)</f>
        <v>112</v>
      </c>
      <c r="J1859" s="12">
        <f>Marketing[[#This Row],[Campaign_Cost]]/Marketing[[#This Row],[Customers]]</f>
        <v>96.107142857142861</v>
      </c>
      <c r="K1859" t="s">
        <v>19</v>
      </c>
      <c r="L1859" t="s">
        <v>20</v>
      </c>
      <c r="M1859">
        <v>932</v>
      </c>
      <c r="N1859">
        <v>3918</v>
      </c>
      <c r="O1859">
        <v>8</v>
      </c>
      <c r="P1859" t="s">
        <v>34</v>
      </c>
      <c r="Q1859" s="1">
        <v>44229</v>
      </c>
    </row>
    <row r="1860" spans="1:17" x14ac:dyDescent="0.3">
      <c r="A1860" t="s">
        <v>14</v>
      </c>
      <c r="B1860" t="s">
        <v>47</v>
      </c>
      <c r="C1860" t="s">
        <v>23</v>
      </c>
      <c r="D1860" t="s">
        <v>17</v>
      </c>
      <c r="E1860" t="s">
        <v>15</v>
      </c>
      <c r="F1860" s="9">
        <v>0.03</v>
      </c>
      <c r="G1860" s="10">
        <v>9513</v>
      </c>
      <c r="H1860">
        <v>5.73</v>
      </c>
      <c r="I1860" s="5">
        <f>ROUND(Marketing[[#This Row],[Clicks]]*Marketing[[#This Row],[Conversion_Rate]],0)</f>
        <v>26</v>
      </c>
      <c r="J1860" s="12">
        <f>Marketing[[#This Row],[Campaign_Cost]]/Marketing[[#This Row],[Customers]]</f>
        <v>365.88461538461536</v>
      </c>
      <c r="K1860" t="s">
        <v>32</v>
      </c>
      <c r="L1860" t="s">
        <v>39</v>
      </c>
      <c r="M1860">
        <v>850</v>
      </c>
      <c r="N1860">
        <v>7166</v>
      </c>
      <c r="O1860">
        <v>2</v>
      </c>
      <c r="P1860" t="s">
        <v>44</v>
      </c>
      <c r="Q1860" s="1">
        <v>44230</v>
      </c>
    </row>
    <row r="1861" spans="1:17" x14ac:dyDescent="0.3">
      <c r="A1861" t="s">
        <v>14</v>
      </c>
      <c r="B1861" t="s">
        <v>45</v>
      </c>
      <c r="C1861" t="s">
        <v>37</v>
      </c>
      <c r="D1861" t="s">
        <v>17</v>
      </c>
      <c r="E1861" t="s">
        <v>43</v>
      </c>
      <c r="F1861" s="9">
        <v>0.08</v>
      </c>
      <c r="G1861" s="10">
        <v>13277</v>
      </c>
      <c r="H1861">
        <v>5.14</v>
      </c>
      <c r="I1861" s="5">
        <f>ROUND(Marketing[[#This Row],[Clicks]]*Marketing[[#This Row],[Conversion_Rate]],0)</f>
        <v>70</v>
      </c>
      <c r="J1861" s="12">
        <f>Marketing[[#This Row],[Campaign_Cost]]/Marketing[[#This Row],[Customers]]</f>
        <v>189.67142857142858</v>
      </c>
      <c r="K1861" t="s">
        <v>25</v>
      </c>
      <c r="L1861" t="s">
        <v>50</v>
      </c>
      <c r="M1861">
        <v>870</v>
      </c>
      <c r="N1861">
        <v>9951</v>
      </c>
      <c r="O1861">
        <v>6</v>
      </c>
      <c r="P1861" t="s">
        <v>34</v>
      </c>
      <c r="Q1861" s="1">
        <v>44231</v>
      </c>
    </row>
    <row r="1862" spans="1:17" x14ac:dyDescent="0.3">
      <c r="A1862" t="s">
        <v>22</v>
      </c>
      <c r="B1862" t="s">
        <v>29</v>
      </c>
      <c r="C1862" t="s">
        <v>23</v>
      </c>
      <c r="D1862" t="s">
        <v>40</v>
      </c>
      <c r="E1862" t="s">
        <v>41</v>
      </c>
      <c r="F1862" s="9">
        <v>0.02</v>
      </c>
      <c r="G1862" s="10">
        <v>15860</v>
      </c>
      <c r="H1862">
        <v>3.97</v>
      </c>
      <c r="I1862" s="5">
        <f>ROUND(Marketing[[#This Row],[Clicks]]*Marketing[[#This Row],[Conversion_Rate]],0)</f>
        <v>8</v>
      </c>
      <c r="J1862" s="12">
        <f>Marketing[[#This Row],[Campaign_Cost]]/Marketing[[#This Row],[Customers]]</f>
        <v>1982.5</v>
      </c>
      <c r="K1862" t="s">
        <v>51</v>
      </c>
      <c r="L1862" t="s">
        <v>50</v>
      </c>
      <c r="M1862">
        <v>392</v>
      </c>
      <c r="N1862">
        <v>3291</v>
      </c>
      <c r="O1862">
        <v>3</v>
      </c>
      <c r="P1862" t="s">
        <v>44</v>
      </c>
      <c r="Q1862" s="1">
        <v>44232</v>
      </c>
    </row>
    <row r="1863" spans="1:17" x14ac:dyDescent="0.3">
      <c r="A1863" t="s">
        <v>49</v>
      </c>
      <c r="B1863" t="s">
        <v>15</v>
      </c>
      <c r="C1863" t="s">
        <v>30</v>
      </c>
      <c r="D1863" t="s">
        <v>24</v>
      </c>
      <c r="E1863" t="s">
        <v>31</v>
      </c>
      <c r="F1863" s="9">
        <v>0.06</v>
      </c>
      <c r="G1863" s="10">
        <v>14698</v>
      </c>
      <c r="H1863">
        <v>5.48</v>
      </c>
      <c r="I1863" s="5">
        <f>ROUND(Marketing[[#This Row],[Clicks]]*Marketing[[#This Row],[Conversion_Rate]],0)</f>
        <v>46</v>
      </c>
      <c r="J1863" s="12">
        <f>Marketing[[#This Row],[Campaign_Cost]]/Marketing[[#This Row],[Customers]]</f>
        <v>319.52173913043481</v>
      </c>
      <c r="K1863" t="s">
        <v>38</v>
      </c>
      <c r="L1863" t="s">
        <v>50</v>
      </c>
      <c r="M1863">
        <v>768</v>
      </c>
      <c r="N1863">
        <v>7322</v>
      </c>
      <c r="O1863">
        <v>7</v>
      </c>
      <c r="P1863" t="s">
        <v>21</v>
      </c>
      <c r="Q1863" s="1">
        <v>44233</v>
      </c>
    </row>
    <row r="1864" spans="1:17" x14ac:dyDescent="0.3">
      <c r="A1864" t="s">
        <v>14</v>
      </c>
      <c r="B1864" t="s">
        <v>15</v>
      </c>
      <c r="C1864" t="s">
        <v>23</v>
      </c>
      <c r="D1864" t="s">
        <v>40</v>
      </c>
      <c r="E1864" t="s">
        <v>31</v>
      </c>
      <c r="F1864" s="9">
        <v>0.12</v>
      </c>
      <c r="G1864" s="10">
        <v>9273</v>
      </c>
      <c r="H1864">
        <v>7.27</v>
      </c>
      <c r="I1864" s="5">
        <f>ROUND(Marketing[[#This Row],[Clicks]]*Marketing[[#This Row],[Conversion_Rate]],0)</f>
        <v>22</v>
      </c>
      <c r="J1864" s="12">
        <f>Marketing[[#This Row],[Campaign_Cost]]/Marketing[[#This Row],[Customers]]</f>
        <v>421.5</v>
      </c>
      <c r="K1864" t="s">
        <v>19</v>
      </c>
      <c r="L1864" t="s">
        <v>33</v>
      </c>
      <c r="M1864">
        <v>187</v>
      </c>
      <c r="N1864">
        <v>6929</v>
      </c>
      <c r="O1864">
        <v>3</v>
      </c>
      <c r="P1864" t="s">
        <v>27</v>
      </c>
      <c r="Q1864" s="1">
        <v>44234</v>
      </c>
    </row>
    <row r="1865" spans="1:17" x14ac:dyDescent="0.3">
      <c r="A1865" t="s">
        <v>14</v>
      </c>
      <c r="B1865" t="s">
        <v>36</v>
      </c>
      <c r="C1865" t="s">
        <v>37</v>
      </c>
      <c r="D1865" t="s">
        <v>24</v>
      </c>
      <c r="E1865" t="s">
        <v>41</v>
      </c>
      <c r="F1865" s="9">
        <v>0.06</v>
      </c>
      <c r="G1865" s="10">
        <v>19151</v>
      </c>
      <c r="H1865">
        <v>6.61</v>
      </c>
      <c r="I1865" s="5">
        <f>ROUND(Marketing[[#This Row],[Clicks]]*Marketing[[#This Row],[Conversion_Rate]],0)</f>
        <v>40</v>
      </c>
      <c r="J1865" s="12">
        <f>Marketing[[#This Row],[Campaign_Cost]]/Marketing[[#This Row],[Customers]]</f>
        <v>478.77499999999998</v>
      </c>
      <c r="K1865" t="s">
        <v>25</v>
      </c>
      <c r="L1865" t="s">
        <v>33</v>
      </c>
      <c r="M1865">
        <v>664</v>
      </c>
      <c r="N1865">
        <v>2453</v>
      </c>
      <c r="O1865">
        <v>8</v>
      </c>
      <c r="P1865" t="s">
        <v>42</v>
      </c>
      <c r="Q1865" s="1">
        <v>44235</v>
      </c>
    </row>
    <row r="1866" spans="1:17" x14ac:dyDescent="0.3">
      <c r="A1866" t="s">
        <v>28</v>
      </c>
      <c r="B1866" t="s">
        <v>36</v>
      </c>
      <c r="C1866" t="s">
        <v>16</v>
      </c>
      <c r="D1866" t="s">
        <v>24</v>
      </c>
      <c r="E1866" t="s">
        <v>41</v>
      </c>
      <c r="F1866" s="9">
        <v>0.05</v>
      </c>
      <c r="G1866" s="10">
        <v>15941</v>
      </c>
      <c r="H1866">
        <v>6.98</v>
      </c>
      <c r="I1866" s="5">
        <f>ROUND(Marketing[[#This Row],[Clicks]]*Marketing[[#This Row],[Conversion_Rate]],0)</f>
        <v>24</v>
      </c>
      <c r="J1866" s="12">
        <f>Marketing[[#This Row],[Campaign_Cost]]/Marketing[[#This Row],[Customers]]</f>
        <v>664.20833333333337</v>
      </c>
      <c r="K1866" t="s">
        <v>32</v>
      </c>
      <c r="L1866" t="s">
        <v>50</v>
      </c>
      <c r="M1866">
        <v>477</v>
      </c>
      <c r="N1866">
        <v>9223</v>
      </c>
      <c r="O1866">
        <v>10</v>
      </c>
      <c r="P1866" t="s">
        <v>44</v>
      </c>
      <c r="Q1866" s="1">
        <v>44236</v>
      </c>
    </row>
    <row r="1867" spans="1:17" x14ac:dyDescent="0.3">
      <c r="A1867" t="s">
        <v>35</v>
      </c>
      <c r="B1867" t="s">
        <v>45</v>
      </c>
      <c r="C1867" t="s">
        <v>16</v>
      </c>
      <c r="D1867" t="s">
        <v>24</v>
      </c>
      <c r="E1867" t="s">
        <v>31</v>
      </c>
      <c r="F1867" s="9">
        <v>0.1</v>
      </c>
      <c r="G1867" s="10">
        <v>17064</v>
      </c>
      <c r="H1867">
        <v>3.85</v>
      </c>
      <c r="I1867" s="5">
        <f>ROUND(Marketing[[#This Row],[Clicks]]*Marketing[[#This Row],[Conversion_Rate]],0)</f>
        <v>33</v>
      </c>
      <c r="J1867" s="12">
        <f>Marketing[[#This Row],[Campaign_Cost]]/Marketing[[#This Row],[Customers]]</f>
        <v>517.09090909090912</v>
      </c>
      <c r="K1867" t="s">
        <v>32</v>
      </c>
      <c r="L1867" t="s">
        <v>33</v>
      </c>
      <c r="M1867">
        <v>328</v>
      </c>
      <c r="N1867">
        <v>3100</v>
      </c>
      <c r="O1867">
        <v>5</v>
      </c>
      <c r="P1867" t="s">
        <v>34</v>
      </c>
      <c r="Q1867" s="1">
        <v>44237</v>
      </c>
    </row>
    <row r="1868" spans="1:17" x14ac:dyDescent="0.3">
      <c r="A1868" t="s">
        <v>35</v>
      </c>
      <c r="B1868" t="s">
        <v>47</v>
      </c>
      <c r="C1868" t="s">
        <v>30</v>
      </c>
      <c r="D1868" t="s">
        <v>24</v>
      </c>
      <c r="E1868" t="s">
        <v>31</v>
      </c>
      <c r="F1868" s="9">
        <v>0.05</v>
      </c>
      <c r="G1868" s="10">
        <v>10900</v>
      </c>
      <c r="H1868">
        <v>6.22</v>
      </c>
      <c r="I1868" s="5">
        <f>ROUND(Marketing[[#This Row],[Clicks]]*Marketing[[#This Row],[Conversion_Rate]],0)</f>
        <v>41</v>
      </c>
      <c r="J1868" s="12">
        <f>Marketing[[#This Row],[Campaign_Cost]]/Marketing[[#This Row],[Customers]]</f>
        <v>265.85365853658539</v>
      </c>
      <c r="K1868" t="s">
        <v>51</v>
      </c>
      <c r="L1868" t="s">
        <v>50</v>
      </c>
      <c r="M1868">
        <v>820</v>
      </c>
      <c r="N1868">
        <v>2253</v>
      </c>
      <c r="O1868">
        <v>4</v>
      </c>
      <c r="P1868" t="s">
        <v>34</v>
      </c>
      <c r="Q1868" s="1">
        <v>44238</v>
      </c>
    </row>
    <row r="1869" spans="1:17" x14ac:dyDescent="0.3">
      <c r="A1869" t="s">
        <v>14</v>
      </c>
      <c r="B1869" t="s">
        <v>29</v>
      </c>
      <c r="C1869" t="s">
        <v>23</v>
      </c>
      <c r="D1869" t="s">
        <v>24</v>
      </c>
      <c r="E1869" t="s">
        <v>15</v>
      </c>
      <c r="F1869" s="9">
        <v>0.02</v>
      </c>
      <c r="G1869" s="10">
        <v>13103</v>
      </c>
      <c r="H1869">
        <v>7.89</v>
      </c>
      <c r="I1869" s="5">
        <f>ROUND(Marketing[[#This Row],[Clicks]]*Marketing[[#This Row],[Conversion_Rate]],0)</f>
        <v>7</v>
      </c>
      <c r="J1869" s="12">
        <f>Marketing[[#This Row],[Campaign_Cost]]/Marketing[[#This Row],[Customers]]</f>
        <v>1871.8571428571429</v>
      </c>
      <c r="K1869" t="s">
        <v>32</v>
      </c>
      <c r="L1869" t="s">
        <v>26</v>
      </c>
      <c r="M1869">
        <v>337</v>
      </c>
      <c r="N1869">
        <v>9562</v>
      </c>
      <c r="O1869">
        <v>3</v>
      </c>
      <c r="P1869" t="s">
        <v>42</v>
      </c>
      <c r="Q1869" s="1">
        <v>44239</v>
      </c>
    </row>
    <row r="1870" spans="1:17" x14ac:dyDescent="0.3">
      <c r="A1870" t="s">
        <v>49</v>
      </c>
      <c r="B1870" t="s">
        <v>45</v>
      </c>
      <c r="C1870" t="s">
        <v>16</v>
      </c>
      <c r="D1870" t="s">
        <v>40</v>
      </c>
      <c r="E1870" t="s">
        <v>41</v>
      </c>
      <c r="F1870" s="9">
        <v>0.09</v>
      </c>
      <c r="G1870" s="10">
        <v>15599</v>
      </c>
      <c r="H1870">
        <v>7.32</v>
      </c>
      <c r="I1870" s="5">
        <f>ROUND(Marketing[[#This Row],[Clicks]]*Marketing[[#This Row],[Conversion_Rate]],0)</f>
        <v>77</v>
      </c>
      <c r="J1870" s="12">
        <f>Marketing[[#This Row],[Campaign_Cost]]/Marketing[[#This Row],[Customers]]</f>
        <v>202.58441558441558</v>
      </c>
      <c r="K1870" t="s">
        <v>51</v>
      </c>
      <c r="L1870" t="s">
        <v>39</v>
      </c>
      <c r="M1870">
        <v>854</v>
      </c>
      <c r="N1870">
        <v>4519</v>
      </c>
      <c r="O1870">
        <v>3</v>
      </c>
      <c r="P1870" t="s">
        <v>21</v>
      </c>
      <c r="Q1870" s="1">
        <v>44240</v>
      </c>
    </row>
    <row r="1871" spans="1:17" x14ac:dyDescent="0.3">
      <c r="A1871" t="s">
        <v>35</v>
      </c>
      <c r="B1871" t="s">
        <v>15</v>
      </c>
      <c r="C1871" t="s">
        <v>16</v>
      </c>
      <c r="D1871" t="s">
        <v>46</v>
      </c>
      <c r="E1871" t="s">
        <v>18</v>
      </c>
      <c r="F1871" s="9">
        <v>0.02</v>
      </c>
      <c r="G1871" s="10">
        <v>12317</v>
      </c>
      <c r="H1871">
        <v>4.79</v>
      </c>
      <c r="I1871" s="5">
        <f>ROUND(Marketing[[#This Row],[Clicks]]*Marketing[[#This Row],[Conversion_Rate]],0)</f>
        <v>5</v>
      </c>
      <c r="J1871" s="12">
        <f>Marketing[[#This Row],[Campaign_Cost]]/Marketing[[#This Row],[Customers]]</f>
        <v>2463.4</v>
      </c>
      <c r="K1871" t="s">
        <v>51</v>
      </c>
      <c r="L1871" t="s">
        <v>39</v>
      </c>
      <c r="M1871">
        <v>262</v>
      </c>
      <c r="N1871">
        <v>9837</v>
      </c>
      <c r="O1871">
        <v>4</v>
      </c>
      <c r="P1871" t="s">
        <v>34</v>
      </c>
      <c r="Q1871" s="1">
        <v>44241</v>
      </c>
    </row>
    <row r="1872" spans="1:17" x14ac:dyDescent="0.3">
      <c r="A1872" t="s">
        <v>22</v>
      </c>
      <c r="B1872" t="s">
        <v>15</v>
      </c>
      <c r="C1872" t="s">
        <v>16</v>
      </c>
      <c r="D1872" t="s">
        <v>40</v>
      </c>
      <c r="E1872" t="s">
        <v>15</v>
      </c>
      <c r="F1872" s="9">
        <v>0.04</v>
      </c>
      <c r="G1872" s="10">
        <v>6715</v>
      </c>
      <c r="H1872">
        <v>5.23</v>
      </c>
      <c r="I1872" s="5">
        <f>ROUND(Marketing[[#This Row],[Clicks]]*Marketing[[#This Row],[Conversion_Rate]],0)</f>
        <v>19</v>
      </c>
      <c r="J1872" s="12">
        <f>Marketing[[#This Row],[Campaign_Cost]]/Marketing[[#This Row],[Customers]]</f>
        <v>353.42105263157896</v>
      </c>
      <c r="K1872" t="s">
        <v>38</v>
      </c>
      <c r="L1872" t="s">
        <v>26</v>
      </c>
      <c r="M1872">
        <v>485</v>
      </c>
      <c r="N1872">
        <v>1104</v>
      </c>
      <c r="O1872">
        <v>5</v>
      </c>
      <c r="P1872" t="s">
        <v>27</v>
      </c>
      <c r="Q1872" s="1">
        <v>44242</v>
      </c>
    </row>
    <row r="1873" spans="1:17" x14ac:dyDescent="0.3">
      <c r="A1873" t="s">
        <v>22</v>
      </c>
      <c r="B1873" t="s">
        <v>47</v>
      </c>
      <c r="C1873" t="s">
        <v>52</v>
      </c>
      <c r="D1873" t="s">
        <v>46</v>
      </c>
      <c r="E1873" t="s">
        <v>48</v>
      </c>
      <c r="F1873" s="9">
        <v>0.11</v>
      </c>
      <c r="G1873" s="10">
        <v>9732</v>
      </c>
      <c r="H1873">
        <v>7.29</v>
      </c>
      <c r="I1873" s="5">
        <f>ROUND(Marketing[[#This Row],[Clicks]]*Marketing[[#This Row],[Conversion_Rate]],0)</f>
        <v>49</v>
      </c>
      <c r="J1873" s="12">
        <f>Marketing[[#This Row],[Campaign_Cost]]/Marketing[[#This Row],[Customers]]</f>
        <v>198.61224489795919</v>
      </c>
      <c r="K1873" t="s">
        <v>25</v>
      </c>
      <c r="L1873" t="s">
        <v>33</v>
      </c>
      <c r="M1873">
        <v>443</v>
      </c>
      <c r="N1873">
        <v>1790</v>
      </c>
      <c r="O1873">
        <v>7</v>
      </c>
      <c r="P1873" t="s">
        <v>34</v>
      </c>
      <c r="Q1873" s="1">
        <v>44243</v>
      </c>
    </row>
    <row r="1874" spans="1:17" x14ac:dyDescent="0.3">
      <c r="A1874" t="s">
        <v>49</v>
      </c>
      <c r="B1874" t="s">
        <v>47</v>
      </c>
      <c r="C1874" t="s">
        <v>16</v>
      </c>
      <c r="D1874" t="s">
        <v>17</v>
      </c>
      <c r="E1874" t="s">
        <v>18</v>
      </c>
      <c r="F1874" s="9">
        <v>0.1</v>
      </c>
      <c r="G1874" s="10">
        <v>12588</v>
      </c>
      <c r="H1874">
        <v>7.96</v>
      </c>
      <c r="I1874" s="5">
        <f>ROUND(Marketing[[#This Row],[Clicks]]*Marketing[[#This Row],[Conversion_Rate]],0)</f>
        <v>44</v>
      </c>
      <c r="J1874" s="12">
        <f>Marketing[[#This Row],[Campaign_Cost]]/Marketing[[#This Row],[Customers]]</f>
        <v>286.09090909090907</v>
      </c>
      <c r="K1874" t="s">
        <v>51</v>
      </c>
      <c r="L1874" t="s">
        <v>26</v>
      </c>
      <c r="M1874">
        <v>443</v>
      </c>
      <c r="N1874">
        <v>6481</v>
      </c>
      <c r="O1874">
        <v>9</v>
      </c>
      <c r="P1874" t="s">
        <v>21</v>
      </c>
      <c r="Q1874" s="1">
        <v>44244</v>
      </c>
    </row>
    <row r="1875" spans="1:17" x14ac:dyDescent="0.3">
      <c r="A1875" t="s">
        <v>28</v>
      </c>
      <c r="B1875" t="s">
        <v>15</v>
      </c>
      <c r="C1875" t="s">
        <v>16</v>
      </c>
      <c r="D1875" t="s">
        <v>40</v>
      </c>
      <c r="E1875" t="s">
        <v>15</v>
      </c>
      <c r="F1875" s="9">
        <v>0.14000000000000001</v>
      </c>
      <c r="G1875" s="10">
        <v>19636</v>
      </c>
      <c r="H1875">
        <v>2.33</v>
      </c>
      <c r="I1875" s="5">
        <f>ROUND(Marketing[[#This Row],[Clicks]]*Marketing[[#This Row],[Conversion_Rate]],0)</f>
        <v>122</v>
      </c>
      <c r="J1875" s="12">
        <f>Marketing[[#This Row],[Campaign_Cost]]/Marketing[[#This Row],[Customers]]</f>
        <v>160.95081967213116</v>
      </c>
      <c r="K1875" t="s">
        <v>19</v>
      </c>
      <c r="L1875" t="s">
        <v>39</v>
      </c>
      <c r="M1875">
        <v>868</v>
      </c>
      <c r="N1875">
        <v>5469</v>
      </c>
      <c r="O1875">
        <v>3</v>
      </c>
      <c r="P1875" t="s">
        <v>44</v>
      </c>
      <c r="Q1875" s="1">
        <v>44245</v>
      </c>
    </row>
    <row r="1876" spans="1:17" x14ac:dyDescent="0.3">
      <c r="A1876" t="s">
        <v>14</v>
      </c>
      <c r="B1876" t="s">
        <v>29</v>
      </c>
      <c r="C1876" t="s">
        <v>16</v>
      </c>
      <c r="D1876" t="s">
        <v>17</v>
      </c>
      <c r="E1876" t="s">
        <v>41</v>
      </c>
      <c r="F1876" s="9">
        <v>0.08</v>
      </c>
      <c r="G1876" s="10">
        <v>8871</v>
      </c>
      <c r="H1876">
        <v>2.91</v>
      </c>
      <c r="I1876" s="5">
        <f>ROUND(Marketing[[#This Row],[Clicks]]*Marketing[[#This Row],[Conversion_Rate]],0)</f>
        <v>63</v>
      </c>
      <c r="J1876" s="12">
        <f>Marketing[[#This Row],[Campaign_Cost]]/Marketing[[#This Row],[Customers]]</f>
        <v>140.8095238095238</v>
      </c>
      <c r="K1876" t="s">
        <v>19</v>
      </c>
      <c r="L1876" t="s">
        <v>20</v>
      </c>
      <c r="M1876">
        <v>791</v>
      </c>
      <c r="N1876">
        <v>3287</v>
      </c>
      <c r="O1876">
        <v>3</v>
      </c>
      <c r="P1876" t="s">
        <v>27</v>
      </c>
      <c r="Q1876" s="1">
        <v>44246</v>
      </c>
    </row>
    <row r="1877" spans="1:17" x14ac:dyDescent="0.3">
      <c r="A1877" t="s">
        <v>22</v>
      </c>
      <c r="B1877" t="s">
        <v>29</v>
      </c>
      <c r="C1877" t="s">
        <v>30</v>
      </c>
      <c r="D1877" t="s">
        <v>40</v>
      </c>
      <c r="E1877" t="s">
        <v>41</v>
      </c>
      <c r="F1877" s="9">
        <v>0.08</v>
      </c>
      <c r="G1877" s="10">
        <v>15612</v>
      </c>
      <c r="H1877">
        <v>5.18</v>
      </c>
      <c r="I1877" s="5">
        <f>ROUND(Marketing[[#This Row],[Clicks]]*Marketing[[#This Row],[Conversion_Rate]],0)</f>
        <v>22</v>
      </c>
      <c r="J1877" s="12">
        <f>Marketing[[#This Row],[Campaign_Cost]]/Marketing[[#This Row],[Customers]]</f>
        <v>709.63636363636363</v>
      </c>
      <c r="K1877" t="s">
        <v>19</v>
      </c>
      <c r="L1877" t="s">
        <v>20</v>
      </c>
      <c r="M1877">
        <v>269</v>
      </c>
      <c r="N1877">
        <v>8996</v>
      </c>
      <c r="O1877">
        <v>6</v>
      </c>
      <c r="P1877" t="s">
        <v>44</v>
      </c>
      <c r="Q1877" s="1">
        <v>44247</v>
      </c>
    </row>
    <row r="1878" spans="1:17" x14ac:dyDescent="0.3">
      <c r="A1878" t="s">
        <v>49</v>
      </c>
      <c r="B1878" t="s">
        <v>15</v>
      </c>
      <c r="C1878" t="s">
        <v>23</v>
      </c>
      <c r="D1878" t="s">
        <v>24</v>
      </c>
      <c r="E1878" t="s">
        <v>41</v>
      </c>
      <c r="F1878" s="9">
        <v>0.05</v>
      </c>
      <c r="G1878" s="10">
        <v>7589</v>
      </c>
      <c r="H1878">
        <v>5.38</v>
      </c>
      <c r="I1878" s="5">
        <f>ROUND(Marketing[[#This Row],[Clicks]]*Marketing[[#This Row],[Conversion_Rate]],0)</f>
        <v>9</v>
      </c>
      <c r="J1878" s="12">
        <f>Marketing[[#This Row],[Campaign_Cost]]/Marketing[[#This Row],[Customers]]</f>
        <v>843.22222222222217</v>
      </c>
      <c r="K1878" t="s">
        <v>51</v>
      </c>
      <c r="L1878" t="s">
        <v>33</v>
      </c>
      <c r="M1878">
        <v>179</v>
      </c>
      <c r="N1878">
        <v>4371</v>
      </c>
      <c r="O1878">
        <v>7</v>
      </c>
      <c r="P1878" t="s">
        <v>21</v>
      </c>
      <c r="Q1878" s="1">
        <v>44248</v>
      </c>
    </row>
    <row r="1879" spans="1:17" x14ac:dyDescent="0.3">
      <c r="A1879" t="s">
        <v>14</v>
      </c>
      <c r="B1879" t="s">
        <v>45</v>
      </c>
      <c r="C1879" t="s">
        <v>52</v>
      </c>
      <c r="D1879" t="s">
        <v>46</v>
      </c>
      <c r="E1879" t="s">
        <v>31</v>
      </c>
      <c r="F1879" s="9">
        <v>0.12</v>
      </c>
      <c r="G1879" s="10">
        <v>7355</v>
      </c>
      <c r="H1879">
        <v>2.4</v>
      </c>
      <c r="I1879" s="5">
        <f>ROUND(Marketing[[#This Row],[Clicks]]*Marketing[[#This Row],[Conversion_Rate]],0)</f>
        <v>25</v>
      </c>
      <c r="J1879" s="12">
        <f>Marketing[[#This Row],[Campaign_Cost]]/Marketing[[#This Row],[Customers]]</f>
        <v>294.2</v>
      </c>
      <c r="K1879" t="s">
        <v>38</v>
      </c>
      <c r="L1879" t="s">
        <v>39</v>
      </c>
      <c r="M1879">
        <v>207</v>
      </c>
      <c r="N1879">
        <v>3036</v>
      </c>
      <c r="O1879">
        <v>4</v>
      </c>
      <c r="P1879" t="s">
        <v>42</v>
      </c>
      <c r="Q1879" s="1">
        <v>44249</v>
      </c>
    </row>
    <row r="1880" spans="1:17" x14ac:dyDescent="0.3">
      <c r="A1880" t="s">
        <v>49</v>
      </c>
      <c r="B1880" t="s">
        <v>45</v>
      </c>
      <c r="C1880" t="s">
        <v>30</v>
      </c>
      <c r="D1880" t="s">
        <v>17</v>
      </c>
      <c r="E1880" t="s">
        <v>31</v>
      </c>
      <c r="F1880" s="9">
        <v>0.05</v>
      </c>
      <c r="G1880" s="10">
        <v>17591</v>
      </c>
      <c r="H1880">
        <v>3.38</v>
      </c>
      <c r="I1880" s="5">
        <f>ROUND(Marketing[[#This Row],[Clicks]]*Marketing[[#This Row],[Conversion_Rate]],0)</f>
        <v>46</v>
      </c>
      <c r="J1880" s="12">
        <f>Marketing[[#This Row],[Campaign_Cost]]/Marketing[[#This Row],[Customers]]</f>
        <v>382.41304347826087</v>
      </c>
      <c r="K1880" t="s">
        <v>51</v>
      </c>
      <c r="L1880" t="s">
        <v>33</v>
      </c>
      <c r="M1880">
        <v>919</v>
      </c>
      <c r="N1880">
        <v>5652</v>
      </c>
      <c r="O1880">
        <v>7</v>
      </c>
      <c r="P1880" t="s">
        <v>21</v>
      </c>
      <c r="Q1880" s="1">
        <v>44250</v>
      </c>
    </row>
    <row r="1881" spans="1:17" x14ac:dyDescent="0.3">
      <c r="A1881" t="s">
        <v>35</v>
      </c>
      <c r="B1881" t="s">
        <v>47</v>
      </c>
      <c r="C1881" t="s">
        <v>52</v>
      </c>
      <c r="D1881" t="s">
        <v>17</v>
      </c>
      <c r="E1881" t="s">
        <v>15</v>
      </c>
      <c r="F1881" s="9">
        <v>0.03</v>
      </c>
      <c r="G1881" s="10">
        <v>8911</v>
      </c>
      <c r="H1881">
        <v>2.69</v>
      </c>
      <c r="I1881" s="5">
        <f>ROUND(Marketing[[#This Row],[Clicks]]*Marketing[[#This Row],[Conversion_Rate]],0)</f>
        <v>22</v>
      </c>
      <c r="J1881" s="12">
        <f>Marketing[[#This Row],[Campaign_Cost]]/Marketing[[#This Row],[Customers]]</f>
        <v>405.04545454545456</v>
      </c>
      <c r="K1881" t="s">
        <v>19</v>
      </c>
      <c r="L1881" t="s">
        <v>26</v>
      </c>
      <c r="M1881">
        <v>723</v>
      </c>
      <c r="N1881">
        <v>5971</v>
      </c>
      <c r="O1881">
        <v>10</v>
      </c>
      <c r="P1881" t="s">
        <v>44</v>
      </c>
      <c r="Q1881" s="1">
        <v>44251</v>
      </c>
    </row>
    <row r="1882" spans="1:17" x14ac:dyDescent="0.3">
      <c r="A1882" t="s">
        <v>28</v>
      </c>
      <c r="B1882" t="s">
        <v>36</v>
      </c>
      <c r="C1882" t="s">
        <v>52</v>
      </c>
      <c r="D1882" t="s">
        <v>46</v>
      </c>
      <c r="E1882" t="s">
        <v>41</v>
      </c>
      <c r="F1882" s="9">
        <v>0.02</v>
      </c>
      <c r="G1882" s="10">
        <v>7021</v>
      </c>
      <c r="H1882">
        <v>3.54</v>
      </c>
      <c r="I1882" s="5">
        <f>ROUND(Marketing[[#This Row],[Clicks]]*Marketing[[#This Row],[Conversion_Rate]],0)</f>
        <v>5</v>
      </c>
      <c r="J1882" s="12">
        <f>Marketing[[#This Row],[Campaign_Cost]]/Marketing[[#This Row],[Customers]]</f>
        <v>1404.2</v>
      </c>
      <c r="K1882" t="s">
        <v>51</v>
      </c>
      <c r="L1882" t="s">
        <v>20</v>
      </c>
      <c r="M1882">
        <v>273</v>
      </c>
      <c r="N1882">
        <v>6688</v>
      </c>
      <c r="O1882">
        <v>8</v>
      </c>
      <c r="P1882" t="s">
        <v>21</v>
      </c>
      <c r="Q1882" s="1">
        <v>44252</v>
      </c>
    </row>
    <row r="1883" spans="1:17" x14ac:dyDescent="0.3">
      <c r="A1883" t="s">
        <v>49</v>
      </c>
      <c r="B1883" t="s">
        <v>15</v>
      </c>
      <c r="C1883" t="s">
        <v>23</v>
      </c>
      <c r="D1883" t="s">
        <v>46</v>
      </c>
      <c r="E1883" t="s">
        <v>18</v>
      </c>
      <c r="F1883" s="9">
        <v>0.02</v>
      </c>
      <c r="G1883" s="10">
        <v>9202</v>
      </c>
      <c r="H1883">
        <v>4.63</v>
      </c>
      <c r="I1883" s="5">
        <f>ROUND(Marketing[[#This Row],[Clicks]]*Marketing[[#This Row],[Conversion_Rate]],0)</f>
        <v>18</v>
      </c>
      <c r="J1883" s="12">
        <f>Marketing[[#This Row],[Campaign_Cost]]/Marketing[[#This Row],[Customers]]</f>
        <v>511.22222222222223</v>
      </c>
      <c r="K1883" t="s">
        <v>38</v>
      </c>
      <c r="L1883" t="s">
        <v>50</v>
      </c>
      <c r="M1883">
        <v>916</v>
      </c>
      <c r="N1883">
        <v>4838</v>
      </c>
      <c r="O1883">
        <v>3</v>
      </c>
      <c r="P1883" t="s">
        <v>27</v>
      </c>
      <c r="Q1883" s="1">
        <v>44253</v>
      </c>
    </row>
    <row r="1884" spans="1:17" x14ac:dyDescent="0.3">
      <c r="A1884" t="s">
        <v>28</v>
      </c>
      <c r="B1884" t="s">
        <v>15</v>
      </c>
      <c r="C1884" t="s">
        <v>16</v>
      </c>
      <c r="D1884" t="s">
        <v>40</v>
      </c>
      <c r="E1884" t="s">
        <v>43</v>
      </c>
      <c r="F1884" s="9">
        <v>0.15</v>
      </c>
      <c r="G1884" s="10">
        <v>6782</v>
      </c>
      <c r="H1884">
        <v>5.05</v>
      </c>
      <c r="I1884" s="5">
        <f>ROUND(Marketing[[#This Row],[Clicks]]*Marketing[[#This Row],[Conversion_Rate]],0)</f>
        <v>101</v>
      </c>
      <c r="J1884" s="12">
        <f>Marketing[[#This Row],[Campaign_Cost]]/Marketing[[#This Row],[Customers]]</f>
        <v>67.148514851485146</v>
      </c>
      <c r="K1884" t="s">
        <v>38</v>
      </c>
      <c r="L1884" t="s">
        <v>26</v>
      </c>
      <c r="M1884">
        <v>676</v>
      </c>
      <c r="N1884">
        <v>5642</v>
      </c>
      <c r="O1884">
        <v>1</v>
      </c>
      <c r="P1884" t="s">
        <v>34</v>
      </c>
      <c r="Q1884" s="1">
        <v>44254</v>
      </c>
    </row>
    <row r="1885" spans="1:17" x14ac:dyDescent="0.3">
      <c r="A1885" t="s">
        <v>22</v>
      </c>
      <c r="B1885" t="s">
        <v>47</v>
      </c>
      <c r="C1885" t="s">
        <v>52</v>
      </c>
      <c r="D1885" t="s">
        <v>24</v>
      </c>
      <c r="E1885" t="s">
        <v>41</v>
      </c>
      <c r="F1885" s="9">
        <v>0.12</v>
      </c>
      <c r="G1885" s="10">
        <v>10676</v>
      </c>
      <c r="H1885">
        <v>4.83</v>
      </c>
      <c r="I1885" s="5">
        <f>ROUND(Marketing[[#This Row],[Clicks]]*Marketing[[#This Row],[Conversion_Rate]],0)</f>
        <v>67</v>
      </c>
      <c r="J1885" s="12">
        <f>Marketing[[#This Row],[Campaign_Cost]]/Marketing[[#This Row],[Customers]]</f>
        <v>159.34328358208955</v>
      </c>
      <c r="K1885" t="s">
        <v>32</v>
      </c>
      <c r="L1885" t="s">
        <v>26</v>
      </c>
      <c r="M1885">
        <v>557</v>
      </c>
      <c r="N1885">
        <v>1018</v>
      </c>
      <c r="O1885">
        <v>1</v>
      </c>
      <c r="P1885" t="s">
        <v>27</v>
      </c>
      <c r="Q1885" s="1">
        <v>44255</v>
      </c>
    </row>
    <row r="1886" spans="1:17" x14ac:dyDescent="0.3">
      <c r="A1886" t="s">
        <v>35</v>
      </c>
      <c r="B1886" t="s">
        <v>36</v>
      </c>
      <c r="C1886" t="s">
        <v>52</v>
      </c>
      <c r="D1886" t="s">
        <v>17</v>
      </c>
      <c r="E1886" t="s">
        <v>18</v>
      </c>
      <c r="F1886" s="9">
        <v>0.1</v>
      </c>
      <c r="G1886" s="10">
        <v>13849</v>
      </c>
      <c r="H1886">
        <v>2.99</v>
      </c>
      <c r="I1886" s="5">
        <f>ROUND(Marketing[[#This Row],[Clicks]]*Marketing[[#This Row],[Conversion_Rate]],0)</f>
        <v>58</v>
      </c>
      <c r="J1886" s="12">
        <f>Marketing[[#This Row],[Campaign_Cost]]/Marketing[[#This Row],[Customers]]</f>
        <v>238.77586206896552</v>
      </c>
      <c r="K1886" t="s">
        <v>32</v>
      </c>
      <c r="L1886" t="s">
        <v>26</v>
      </c>
      <c r="M1886">
        <v>580</v>
      </c>
      <c r="N1886">
        <v>7322</v>
      </c>
      <c r="O1886">
        <v>8</v>
      </c>
      <c r="P1886" t="s">
        <v>44</v>
      </c>
      <c r="Q1886" s="1">
        <v>44256</v>
      </c>
    </row>
    <row r="1887" spans="1:17" x14ac:dyDescent="0.3">
      <c r="A1887" t="s">
        <v>22</v>
      </c>
      <c r="B1887" t="s">
        <v>47</v>
      </c>
      <c r="C1887" t="s">
        <v>23</v>
      </c>
      <c r="D1887" t="s">
        <v>40</v>
      </c>
      <c r="E1887" t="s">
        <v>18</v>
      </c>
      <c r="F1887" s="9">
        <v>0.13</v>
      </c>
      <c r="G1887" s="10">
        <v>6850</v>
      </c>
      <c r="H1887">
        <v>5.8</v>
      </c>
      <c r="I1887" s="5">
        <f>ROUND(Marketing[[#This Row],[Clicks]]*Marketing[[#This Row],[Conversion_Rate]],0)</f>
        <v>47</v>
      </c>
      <c r="J1887" s="12">
        <f>Marketing[[#This Row],[Campaign_Cost]]/Marketing[[#This Row],[Customers]]</f>
        <v>145.74468085106383</v>
      </c>
      <c r="K1887" t="s">
        <v>32</v>
      </c>
      <c r="L1887" t="s">
        <v>39</v>
      </c>
      <c r="M1887">
        <v>358</v>
      </c>
      <c r="N1887">
        <v>1211</v>
      </c>
      <c r="O1887">
        <v>10</v>
      </c>
      <c r="P1887" t="s">
        <v>21</v>
      </c>
      <c r="Q1887" s="1">
        <v>44257</v>
      </c>
    </row>
    <row r="1888" spans="1:17" x14ac:dyDescent="0.3">
      <c r="A1888" t="s">
        <v>28</v>
      </c>
      <c r="B1888" t="s">
        <v>36</v>
      </c>
      <c r="C1888" t="s">
        <v>52</v>
      </c>
      <c r="D1888" t="s">
        <v>17</v>
      </c>
      <c r="E1888" t="s">
        <v>15</v>
      </c>
      <c r="F1888" s="9">
        <v>0.05</v>
      </c>
      <c r="G1888" s="10">
        <v>9936</v>
      </c>
      <c r="H1888">
        <v>5.4</v>
      </c>
      <c r="I1888" s="5">
        <f>ROUND(Marketing[[#This Row],[Clicks]]*Marketing[[#This Row],[Conversion_Rate]],0)</f>
        <v>35</v>
      </c>
      <c r="J1888" s="12">
        <f>Marketing[[#This Row],[Campaign_Cost]]/Marketing[[#This Row],[Customers]]</f>
        <v>283.8857142857143</v>
      </c>
      <c r="K1888" t="s">
        <v>38</v>
      </c>
      <c r="L1888" t="s">
        <v>39</v>
      </c>
      <c r="M1888">
        <v>694</v>
      </c>
      <c r="N1888">
        <v>8102</v>
      </c>
      <c r="O1888">
        <v>7</v>
      </c>
      <c r="P1888" t="s">
        <v>34</v>
      </c>
      <c r="Q1888" s="1">
        <v>44258</v>
      </c>
    </row>
    <row r="1889" spans="1:17" x14ac:dyDescent="0.3">
      <c r="A1889" t="s">
        <v>28</v>
      </c>
      <c r="B1889" t="s">
        <v>15</v>
      </c>
      <c r="C1889" t="s">
        <v>52</v>
      </c>
      <c r="D1889" t="s">
        <v>46</v>
      </c>
      <c r="E1889" t="s">
        <v>31</v>
      </c>
      <c r="F1889" s="9">
        <v>0.14000000000000001</v>
      </c>
      <c r="G1889" s="10">
        <v>17188</v>
      </c>
      <c r="H1889">
        <v>3.26</v>
      </c>
      <c r="I1889" s="5">
        <f>ROUND(Marketing[[#This Row],[Clicks]]*Marketing[[#This Row],[Conversion_Rate]],0)</f>
        <v>38</v>
      </c>
      <c r="J1889" s="12">
        <f>Marketing[[#This Row],[Campaign_Cost]]/Marketing[[#This Row],[Customers]]</f>
        <v>452.31578947368422</v>
      </c>
      <c r="K1889" t="s">
        <v>51</v>
      </c>
      <c r="L1889" t="s">
        <v>50</v>
      </c>
      <c r="M1889">
        <v>268</v>
      </c>
      <c r="N1889">
        <v>7909</v>
      </c>
      <c r="O1889">
        <v>1</v>
      </c>
      <c r="P1889" t="s">
        <v>21</v>
      </c>
      <c r="Q1889" s="1">
        <v>44259</v>
      </c>
    </row>
    <row r="1890" spans="1:17" x14ac:dyDescent="0.3">
      <c r="A1890" t="s">
        <v>14</v>
      </c>
      <c r="B1890" t="s">
        <v>45</v>
      </c>
      <c r="C1890" t="s">
        <v>30</v>
      </c>
      <c r="D1890" t="s">
        <v>46</v>
      </c>
      <c r="E1890" t="s">
        <v>43</v>
      </c>
      <c r="F1890" s="9">
        <v>0.1</v>
      </c>
      <c r="G1890" s="10">
        <v>18747</v>
      </c>
      <c r="H1890">
        <v>2.4300000000000002</v>
      </c>
      <c r="I1890" s="5">
        <f>ROUND(Marketing[[#This Row],[Clicks]]*Marketing[[#This Row],[Conversion_Rate]],0)</f>
        <v>16</v>
      </c>
      <c r="J1890" s="12">
        <f>Marketing[[#This Row],[Campaign_Cost]]/Marketing[[#This Row],[Customers]]</f>
        <v>1171.6875</v>
      </c>
      <c r="K1890" t="s">
        <v>32</v>
      </c>
      <c r="L1890" t="s">
        <v>33</v>
      </c>
      <c r="M1890">
        <v>157</v>
      </c>
      <c r="N1890">
        <v>7021</v>
      </c>
      <c r="O1890">
        <v>1</v>
      </c>
      <c r="P1890" t="s">
        <v>27</v>
      </c>
      <c r="Q1890" s="1">
        <v>44260</v>
      </c>
    </row>
    <row r="1891" spans="1:17" x14ac:dyDescent="0.3">
      <c r="A1891" t="s">
        <v>49</v>
      </c>
      <c r="B1891" t="s">
        <v>47</v>
      </c>
      <c r="C1891" t="s">
        <v>30</v>
      </c>
      <c r="D1891" t="s">
        <v>17</v>
      </c>
      <c r="E1891" t="s">
        <v>31</v>
      </c>
      <c r="F1891" s="9">
        <v>7.0000000000000007E-2</v>
      </c>
      <c r="G1891" s="10">
        <v>12081</v>
      </c>
      <c r="H1891">
        <v>2.86</v>
      </c>
      <c r="I1891" s="5">
        <f>ROUND(Marketing[[#This Row],[Clicks]]*Marketing[[#This Row],[Conversion_Rate]],0)</f>
        <v>11</v>
      </c>
      <c r="J1891" s="12">
        <f>Marketing[[#This Row],[Campaign_Cost]]/Marketing[[#This Row],[Customers]]</f>
        <v>1098.2727272727273</v>
      </c>
      <c r="K1891" t="s">
        <v>19</v>
      </c>
      <c r="L1891" t="s">
        <v>39</v>
      </c>
      <c r="M1891">
        <v>163</v>
      </c>
      <c r="N1891">
        <v>6702</v>
      </c>
      <c r="O1891">
        <v>6</v>
      </c>
      <c r="P1891" t="s">
        <v>44</v>
      </c>
      <c r="Q1891" s="1">
        <v>44261</v>
      </c>
    </row>
    <row r="1892" spans="1:17" x14ac:dyDescent="0.3">
      <c r="A1892" t="s">
        <v>28</v>
      </c>
      <c r="B1892" t="s">
        <v>47</v>
      </c>
      <c r="C1892" t="s">
        <v>16</v>
      </c>
      <c r="D1892" t="s">
        <v>24</v>
      </c>
      <c r="E1892" t="s">
        <v>43</v>
      </c>
      <c r="F1892" s="9">
        <v>0.05</v>
      </c>
      <c r="G1892" s="10">
        <v>19547</v>
      </c>
      <c r="H1892">
        <v>6.31</v>
      </c>
      <c r="I1892" s="5">
        <f>ROUND(Marketing[[#This Row],[Clicks]]*Marketing[[#This Row],[Conversion_Rate]],0)</f>
        <v>42</v>
      </c>
      <c r="J1892" s="12">
        <f>Marketing[[#This Row],[Campaign_Cost]]/Marketing[[#This Row],[Customers]]</f>
        <v>465.40476190476193</v>
      </c>
      <c r="K1892" t="s">
        <v>19</v>
      </c>
      <c r="L1892" t="s">
        <v>33</v>
      </c>
      <c r="M1892">
        <v>849</v>
      </c>
      <c r="N1892">
        <v>6073</v>
      </c>
      <c r="O1892">
        <v>1</v>
      </c>
      <c r="P1892" t="s">
        <v>44</v>
      </c>
      <c r="Q1892" s="1">
        <v>44262</v>
      </c>
    </row>
    <row r="1893" spans="1:17" x14ac:dyDescent="0.3">
      <c r="A1893" t="s">
        <v>35</v>
      </c>
      <c r="B1893" t="s">
        <v>47</v>
      </c>
      <c r="C1893" t="s">
        <v>37</v>
      </c>
      <c r="D1893" t="s">
        <v>24</v>
      </c>
      <c r="E1893" t="s">
        <v>41</v>
      </c>
      <c r="F1893" s="9">
        <v>0.09</v>
      </c>
      <c r="G1893" s="10">
        <v>6333</v>
      </c>
      <c r="H1893">
        <v>4.54</v>
      </c>
      <c r="I1893" s="5">
        <f>ROUND(Marketing[[#This Row],[Clicks]]*Marketing[[#This Row],[Conversion_Rate]],0)</f>
        <v>62</v>
      </c>
      <c r="J1893" s="12">
        <f>Marketing[[#This Row],[Campaign_Cost]]/Marketing[[#This Row],[Customers]]</f>
        <v>102.14516129032258</v>
      </c>
      <c r="K1893" t="s">
        <v>19</v>
      </c>
      <c r="L1893" t="s">
        <v>50</v>
      </c>
      <c r="M1893">
        <v>684</v>
      </c>
      <c r="N1893">
        <v>8201</v>
      </c>
      <c r="O1893">
        <v>4</v>
      </c>
      <c r="P1893" t="s">
        <v>44</v>
      </c>
      <c r="Q1893" s="1">
        <v>44263</v>
      </c>
    </row>
    <row r="1894" spans="1:17" x14ac:dyDescent="0.3">
      <c r="A1894" t="s">
        <v>49</v>
      </c>
      <c r="B1894" t="s">
        <v>15</v>
      </c>
      <c r="C1894" t="s">
        <v>37</v>
      </c>
      <c r="D1894" t="s">
        <v>40</v>
      </c>
      <c r="E1894" t="s">
        <v>18</v>
      </c>
      <c r="F1894" s="9">
        <v>0.1</v>
      </c>
      <c r="G1894" s="10">
        <v>11289</v>
      </c>
      <c r="H1894">
        <v>3.27</v>
      </c>
      <c r="I1894" s="5">
        <f>ROUND(Marketing[[#This Row],[Clicks]]*Marketing[[#This Row],[Conversion_Rate]],0)</f>
        <v>75</v>
      </c>
      <c r="J1894" s="12">
        <f>Marketing[[#This Row],[Campaign_Cost]]/Marketing[[#This Row],[Customers]]</f>
        <v>150.52000000000001</v>
      </c>
      <c r="K1894" t="s">
        <v>32</v>
      </c>
      <c r="L1894" t="s">
        <v>26</v>
      </c>
      <c r="M1894">
        <v>752</v>
      </c>
      <c r="N1894">
        <v>4968</v>
      </c>
      <c r="O1894">
        <v>9</v>
      </c>
      <c r="P1894" t="s">
        <v>44</v>
      </c>
      <c r="Q1894" s="1">
        <v>44264</v>
      </c>
    </row>
    <row r="1895" spans="1:17" x14ac:dyDescent="0.3">
      <c r="A1895" t="s">
        <v>28</v>
      </c>
      <c r="B1895" t="s">
        <v>47</v>
      </c>
      <c r="C1895" t="s">
        <v>52</v>
      </c>
      <c r="D1895" t="s">
        <v>17</v>
      </c>
      <c r="E1895" t="s">
        <v>41</v>
      </c>
      <c r="F1895" s="9">
        <v>0.09</v>
      </c>
      <c r="G1895" s="10">
        <v>7598</v>
      </c>
      <c r="H1895">
        <v>7.68</v>
      </c>
      <c r="I1895" s="5">
        <f>ROUND(Marketing[[#This Row],[Clicks]]*Marketing[[#This Row],[Conversion_Rate]],0)</f>
        <v>31</v>
      </c>
      <c r="J1895" s="12">
        <f>Marketing[[#This Row],[Campaign_Cost]]/Marketing[[#This Row],[Customers]]</f>
        <v>245.09677419354838</v>
      </c>
      <c r="K1895" t="s">
        <v>51</v>
      </c>
      <c r="L1895" t="s">
        <v>26</v>
      </c>
      <c r="M1895">
        <v>340</v>
      </c>
      <c r="N1895">
        <v>1445</v>
      </c>
      <c r="O1895">
        <v>9</v>
      </c>
      <c r="P1895" t="s">
        <v>42</v>
      </c>
      <c r="Q1895" s="1">
        <v>44265</v>
      </c>
    </row>
    <row r="1896" spans="1:17" x14ac:dyDescent="0.3">
      <c r="A1896" t="s">
        <v>14</v>
      </c>
      <c r="B1896" t="s">
        <v>47</v>
      </c>
      <c r="C1896" t="s">
        <v>30</v>
      </c>
      <c r="D1896" t="s">
        <v>46</v>
      </c>
      <c r="E1896" t="s">
        <v>18</v>
      </c>
      <c r="F1896" s="9">
        <v>7.0000000000000007E-2</v>
      </c>
      <c r="G1896" s="10">
        <v>5991</v>
      </c>
      <c r="H1896">
        <v>6.94</v>
      </c>
      <c r="I1896" s="5">
        <f>ROUND(Marketing[[#This Row],[Clicks]]*Marketing[[#This Row],[Conversion_Rate]],0)</f>
        <v>18</v>
      </c>
      <c r="J1896" s="12">
        <f>Marketing[[#This Row],[Campaign_Cost]]/Marketing[[#This Row],[Customers]]</f>
        <v>332.83333333333331</v>
      </c>
      <c r="K1896" t="s">
        <v>38</v>
      </c>
      <c r="L1896" t="s">
        <v>20</v>
      </c>
      <c r="M1896">
        <v>257</v>
      </c>
      <c r="N1896">
        <v>7570</v>
      </c>
      <c r="O1896">
        <v>1</v>
      </c>
      <c r="P1896" t="s">
        <v>44</v>
      </c>
      <c r="Q1896" s="1">
        <v>44266</v>
      </c>
    </row>
    <row r="1897" spans="1:17" x14ac:dyDescent="0.3">
      <c r="A1897" t="s">
        <v>22</v>
      </c>
      <c r="B1897" t="s">
        <v>36</v>
      </c>
      <c r="C1897" t="s">
        <v>16</v>
      </c>
      <c r="D1897" t="s">
        <v>46</v>
      </c>
      <c r="E1897" t="s">
        <v>48</v>
      </c>
      <c r="F1897" s="9">
        <v>0.12</v>
      </c>
      <c r="G1897" s="10">
        <v>14379</v>
      </c>
      <c r="H1897">
        <v>2.2799999999999998</v>
      </c>
      <c r="I1897" s="5">
        <f>ROUND(Marketing[[#This Row],[Clicks]]*Marketing[[#This Row],[Conversion_Rate]],0)</f>
        <v>89</v>
      </c>
      <c r="J1897" s="12">
        <f>Marketing[[#This Row],[Campaign_Cost]]/Marketing[[#This Row],[Customers]]</f>
        <v>161.56179775280899</v>
      </c>
      <c r="K1897" t="s">
        <v>38</v>
      </c>
      <c r="L1897" t="s">
        <v>20</v>
      </c>
      <c r="M1897">
        <v>741</v>
      </c>
      <c r="N1897">
        <v>3640</v>
      </c>
      <c r="O1897">
        <v>5</v>
      </c>
      <c r="P1897" t="s">
        <v>34</v>
      </c>
      <c r="Q1897" s="1">
        <v>44267</v>
      </c>
    </row>
    <row r="1898" spans="1:17" x14ac:dyDescent="0.3">
      <c r="A1898" t="s">
        <v>35</v>
      </c>
      <c r="B1898" t="s">
        <v>45</v>
      </c>
      <c r="C1898" t="s">
        <v>23</v>
      </c>
      <c r="D1898" t="s">
        <v>46</v>
      </c>
      <c r="E1898" t="s">
        <v>31</v>
      </c>
      <c r="F1898" s="9">
        <v>0.11</v>
      </c>
      <c r="G1898" s="10">
        <v>13966</v>
      </c>
      <c r="H1898">
        <v>2.34</v>
      </c>
      <c r="I1898" s="5">
        <f>ROUND(Marketing[[#This Row],[Clicks]]*Marketing[[#This Row],[Conversion_Rate]],0)</f>
        <v>70</v>
      </c>
      <c r="J1898" s="12">
        <f>Marketing[[#This Row],[Campaign_Cost]]/Marketing[[#This Row],[Customers]]</f>
        <v>199.51428571428571</v>
      </c>
      <c r="K1898" t="s">
        <v>32</v>
      </c>
      <c r="L1898" t="s">
        <v>50</v>
      </c>
      <c r="M1898">
        <v>636</v>
      </c>
      <c r="N1898">
        <v>1813</v>
      </c>
      <c r="O1898">
        <v>2</v>
      </c>
      <c r="P1898" t="s">
        <v>21</v>
      </c>
      <c r="Q1898" s="1">
        <v>44268</v>
      </c>
    </row>
    <row r="1899" spans="1:17" x14ac:dyDescent="0.3">
      <c r="A1899" t="s">
        <v>14</v>
      </c>
      <c r="B1899" t="s">
        <v>47</v>
      </c>
      <c r="C1899" t="s">
        <v>37</v>
      </c>
      <c r="D1899" t="s">
        <v>24</v>
      </c>
      <c r="E1899" t="s">
        <v>43</v>
      </c>
      <c r="F1899" s="9">
        <v>0.02</v>
      </c>
      <c r="G1899" s="10">
        <v>14092</v>
      </c>
      <c r="H1899">
        <v>5.96</v>
      </c>
      <c r="I1899" s="5">
        <f>ROUND(Marketing[[#This Row],[Clicks]]*Marketing[[#This Row],[Conversion_Rate]],0)</f>
        <v>9</v>
      </c>
      <c r="J1899" s="12">
        <f>Marketing[[#This Row],[Campaign_Cost]]/Marketing[[#This Row],[Customers]]</f>
        <v>1565.7777777777778</v>
      </c>
      <c r="K1899" t="s">
        <v>51</v>
      </c>
      <c r="L1899" t="s">
        <v>20</v>
      </c>
      <c r="M1899">
        <v>431</v>
      </c>
      <c r="N1899">
        <v>5493</v>
      </c>
      <c r="O1899">
        <v>6</v>
      </c>
      <c r="P1899" t="s">
        <v>27</v>
      </c>
      <c r="Q1899" s="1">
        <v>44269</v>
      </c>
    </row>
    <row r="1900" spans="1:17" x14ac:dyDescent="0.3">
      <c r="A1900" t="s">
        <v>35</v>
      </c>
      <c r="B1900" t="s">
        <v>29</v>
      </c>
      <c r="C1900" t="s">
        <v>23</v>
      </c>
      <c r="D1900" t="s">
        <v>17</v>
      </c>
      <c r="E1900" t="s">
        <v>41</v>
      </c>
      <c r="F1900" s="9">
        <v>0.11</v>
      </c>
      <c r="G1900" s="10">
        <v>18551</v>
      </c>
      <c r="H1900">
        <v>5.09</v>
      </c>
      <c r="I1900" s="5">
        <f>ROUND(Marketing[[#This Row],[Clicks]]*Marketing[[#This Row],[Conversion_Rate]],0)</f>
        <v>50</v>
      </c>
      <c r="J1900" s="12">
        <f>Marketing[[#This Row],[Campaign_Cost]]/Marketing[[#This Row],[Customers]]</f>
        <v>371.02</v>
      </c>
      <c r="K1900" t="s">
        <v>32</v>
      </c>
      <c r="L1900" t="s">
        <v>39</v>
      </c>
      <c r="M1900">
        <v>450</v>
      </c>
      <c r="N1900">
        <v>7099</v>
      </c>
      <c r="O1900">
        <v>4</v>
      </c>
      <c r="P1900" t="s">
        <v>34</v>
      </c>
      <c r="Q1900" s="1">
        <v>44270</v>
      </c>
    </row>
    <row r="1901" spans="1:17" x14ac:dyDescent="0.3">
      <c r="A1901" t="s">
        <v>22</v>
      </c>
      <c r="B1901" t="s">
        <v>45</v>
      </c>
      <c r="C1901" t="s">
        <v>23</v>
      </c>
      <c r="D1901" t="s">
        <v>17</v>
      </c>
      <c r="E1901" t="s">
        <v>43</v>
      </c>
      <c r="F1901" s="9">
        <v>0.14000000000000001</v>
      </c>
      <c r="G1901" s="10">
        <v>8544</v>
      </c>
      <c r="H1901">
        <v>2.94</v>
      </c>
      <c r="I1901" s="5">
        <f>ROUND(Marketing[[#This Row],[Clicks]]*Marketing[[#This Row],[Conversion_Rate]],0)</f>
        <v>107</v>
      </c>
      <c r="J1901" s="12">
        <f>Marketing[[#This Row],[Campaign_Cost]]/Marketing[[#This Row],[Customers]]</f>
        <v>79.850467289719631</v>
      </c>
      <c r="K1901" t="s">
        <v>25</v>
      </c>
      <c r="L1901" t="s">
        <v>20</v>
      </c>
      <c r="M1901">
        <v>763</v>
      </c>
      <c r="N1901">
        <v>7182</v>
      </c>
      <c r="O1901">
        <v>10</v>
      </c>
      <c r="P1901" t="s">
        <v>44</v>
      </c>
      <c r="Q1901" s="1">
        <v>44271</v>
      </c>
    </row>
    <row r="1902" spans="1:17" x14ac:dyDescent="0.3">
      <c r="A1902" t="s">
        <v>28</v>
      </c>
      <c r="B1902" t="s">
        <v>29</v>
      </c>
      <c r="C1902" t="s">
        <v>30</v>
      </c>
      <c r="D1902" t="s">
        <v>46</v>
      </c>
      <c r="E1902" t="s">
        <v>18</v>
      </c>
      <c r="F1902" s="9">
        <v>0.01</v>
      </c>
      <c r="G1902" s="10">
        <v>8646</v>
      </c>
      <c r="H1902">
        <v>5.77</v>
      </c>
      <c r="I1902" s="5">
        <f>ROUND(Marketing[[#This Row],[Clicks]]*Marketing[[#This Row],[Conversion_Rate]],0)</f>
        <v>4</v>
      </c>
      <c r="J1902" s="12">
        <f>Marketing[[#This Row],[Campaign_Cost]]/Marketing[[#This Row],[Customers]]</f>
        <v>2161.5</v>
      </c>
      <c r="K1902" t="s">
        <v>19</v>
      </c>
      <c r="L1902" t="s">
        <v>39</v>
      </c>
      <c r="M1902">
        <v>372</v>
      </c>
      <c r="N1902">
        <v>2783</v>
      </c>
      <c r="O1902">
        <v>7</v>
      </c>
      <c r="P1902" t="s">
        <v>42</v>
      </c>
      <c r="Q1902" s="1">
        <v>44272</v>
      </c>
    </row>
    <row r="1903" spans="1:17" x14ac:dyDescent="0.3">
      <c r="A1903" t="s">
        <v>22</v>
      </c>
      <c r="B1903" t="s">
        <v>36</v>
      </c>
      <c r="C1903" t="s">
        <v>23</v>
      </c>
      <c r="D1903" t="s">
        <v>24</v>
      </c>
      <c r="E1903" t="s">
        <v>43</v>
      </c>
      <c r="F1903" s="9">
        <v>0.12</v>
      </c>
      <c r="G1903" s="10">
        <v>12437</v>
      </c>
      <c r="H1903">
        <v>7.47</v>
      </c>
      <c r="I1903" s="5">
        <f>ROUND(Marketing[[#This Row],[Clicks]]*Marketing[[#This Row],[Conversion_Rate]],0)</f>
        <v>19</v>
      </c>
      <c r="J1903" s="12">
        <f>Marketing[[#This Row],[Campaign_Cost]]/Marketing[[#This Row],[Customers]]</f>
        <v>654.57894736842104</v>
      </c>
      <c r="K1903" t="s">
        <v>32</v>
      </c>
      <c r="L1903" t="s">
        <v>26</v>
      </c>
      <c r="M1903">
        <v>157</v>
      </c>
      <c r="N1903">
        <v>9335</v>
      </c>
      <c r="O1903">
        <v>2</v>
      </c>
      <c r="P1903" t="s">
        <v>44</v>
      </c>
      <c r="Q1903" s="1">
        <v>44273</v>
      </c>
    </row>
    <row r="1904" spans="1:17" x14ac:dyDescent="0.3">
      <c r="A1904" t="s">
        <v>22</v>
      </c>
      <c r="B1904" t="s">
        <v>15</v>
      </c>
      <c r="C1904" t="s">
        <v>30</v>
      </c>
      <c r="D1904" t="s">
        <v>24</v>
      </c>
      <c r="E1904" t="s">
        <v>31</v>
      </c>
      <c r="F1904" s="9">
        <v>0.06</v>
      </c>
      <c r="G1904" s="10">
        <v>10381</v>
      </c>
      <c r="H1904">
        <v>4.05</v>
      </c>
      <c r="I1904" s="5">
        <f>ROUND(Marketing[[#This Row],[Clicks]]*Marketing[[#This Row],[Conversion_Rate]],0)</f>
        <v>52</v>
      </c>
      <c r="J1904" s="12">
        <f>Marketing[[#This Row],[Campaign_Cost]]/Marketing[[#This Row],[Customers]]</f>
        <v>199.63461538461539</v>
      </c>
      <c r="K1904" t="s">
        <v>38</v>
      </c>
      <c r="L1904" t="s">
        <v>39</v>
      </c>
      <c r="M1904">
        <v>863</v>
      </c>
      <c r="N1904">
        <v>5683</v>
      </c>
      <c r="O1904">
        <v>7</v>
      </c>
      <c r="P1904" t="s">
        <v>27</v>
      </c>
      <c r="Q1904" s="1">
        <v>44274</v>
      </c>
    </row>
    <row r="1905" spans="1:17" x14ac:dyDescent="0.3">
      <c r="A1905" t="s">
        <v>22</v>
      </c>
      <c r="B1905" t="s">
        <v>45</v>
      </c>
      <c r="C1905" t="s">
        <v>30</v>
      </c>
      <c r="D1905" t="s">
        <v>17</v>
      </c>
      <c r="E1905" t="s">
        <v>15</v>
      </c>
      <c r="F1905" s="9">
        <v>0.1</v>
      </c>
      <c r="G1905" s="10">
        <v>9272</v>
      </c>
      <c r="H1905">
        <v>7.27</v>
      </c>
      <c r="I1905" s="5">
        <f>ROUND(Marketing[[#This Row],[Clicks]]*Marketing[[#This Row],[Conversion_Rate]],0)</f>
        <v>19</v>
      </c>
      <c r="J1905" s="12">
        <f>Marketing[[#This Row],[Campaign_Cost]]/Marketing[[#This Row],[Customers]]</f>
        <v>488</v>
      </c>
      <c r="K1905" t="s">
        <v>38</v>
      </c>
      <c r="L1905" t="s">
        <v>26</v>
      </c>
      <c r="M1905">
        <v>185</v>
      </c>
      <c r="N1905">
        <v>9350</v>
      </c>
      <c r="O1905">
        <v>2</v>
      </c>
      <c r="P1905" t="s">
        <v>27</v>
      </c>
      <c r="Q1905" s="1">
        <v>44275</v>
      </c>
    </row>
    <row r="1906" spans="1:17" x14ac:dyDescent="0.3">
      <c r="A1906" t="s">
        <v>14</v>
      </c>
      <c r="B1906" t="s">
        <v>29</v>
      </c>
      <c r="C1906" t="s">
        <v>30</v>
      </c>
      <c r="D1906" t="s">
        <v>17</v>
      </c>
      <c r="E1906" t="s">
        <v>15</v>
      </c>
      <c r="F1906" s="9">
        <v>0.03</v>
      </c>
      <c r="G1906" s="10">
        <v>10509</v>
      </c>
      <c r="H1906">
        <v>6.45</v>
      </c>
      <c r="I1906" s="5">
        <f>ROUND(Marketing[[#This Row],[Clicks]]*Marketing[[#This Row],[Conversion_Rate]],0)</f>
        <v>21</v>
      </c>
      <c r="J1906" s="12">
        <f>Marketing[[#This Row],[Campaign_Cost]]/Marketing[[#This Row],[Customers]]</f>
        <v>500.42857142857144</v>
      </c>
      <c r="K1906" t="s">
        <v>38</v>
      </c>
      <c r="L1906" t="s">
        <v>26</v>
      </c>
      <c r="M1906">
        <v>706</v>
      </c>
      <c r="N1906">
        <v>2891</v>
      </c>
      <c r="O1906">
        <v>9</v>
      </c>
      <c r="P1906" t="s">
        <v>21</v>
      </c>
      <c r="Q1906" s="1">
        <v>44276</v>
      </c>
    </row>
    <row r="1907" spans="1:17" x14ac:dyDescent="0.3">
      <c r="A1907" t="s">
        <v>49</v>
      </c>
      <c r="B1907" t="s">
        <v>36</v>
      </c>
      <c r="C1907" t="s">
        <v>30</v>
      </c>
      <c r="D1907" t="s">
        <v>24</v>
      </c>
      <c r="E1907" t="s">
        <v>43</v>
      </c>
      <c r="F1907" s="9">
        <v>0.04</v>
      </c>
      <c r="G1907" s="10">
        <v>11451</v>
      </c>
      <c r="H1907">
        <v>5.04</v>
      </c>
      <c r="I1907" s="5">
        <f>ROUND(Marketing[[#This Row],[Clicks]]*Marketing[[#This Row],[Conversion_Rate]],0)</f>
        <v>30</v>
      </c>
      <c r="J1907" s="12">
        <f>Marketing[[#This Row],[Campaign_Cost]]/Marketing[[#This Row],[Customers]]</f>
        <v>381.7</v>
      </c>
      <c r="K1907" t="s">
        <v>19</v>
      </c>
      <c r="L1907" t="s">
        <v>33</v>
      </c>
      <c r="M1907">
        <v>762</v>
      </c>
      <c r="N1907">
        <v>2103</v>
      </c>
      <c r="O1907">
        <v>4</v>
      </c>
      <c r="P1907" t="s">
        <v>27</v>
      </c>
      <c r="Q1907" s="1">
        <v>44277</v>
      </c>
    </row>
    <row r="1908" spans="1:17" x14ac:dyDescent="0.3">
      <c r="A1908" t="s">
        <v>14</v>
      </c>
      <c r="B1908" t="s">
        <v>29</v>
      </c>
      <c r="C1908" t="s">
        <v>52</v>
      </c>
      <c r="D1908" t="s">
        <v>24</v>
      </c>
      <c r="E1908" t="s">
        <v>18</v>
      </c>
      <c r="F1908" s="9">
        <v>0.03</v>
      </c>
      <c r="G1908" s="10">
        <v>8995</v>
      </c>
      <c r="H1908">
        <v>7.53</v>
      </c>
      <c r="I1908" s="5">
        <f>ROUND(Marketing[[#This Row],[Clicks]]*Marketing[[#This Row],[Conversion_Rate]],0)</f>
        <v>23</v>
      </c>
      <c r="J1908" s="12">
        <f>Marketing[[#This Row],[Campaign_Cost]]/Marketing[[#This Row],[Customers]]</f>
        <v>391.08695652173913</v>
      </c>
      <c r="K1908" t="s">
        <v>32</v>
      </c>
      <c r="L1908" t="s">
        <v>20</v>
      </c>
      <c r="M1908">
        <v>773</v>
      </c>
      <c r="N1908">
        <v>8871</v>
      </c>
      <c r="O1908">
        <v>5</v>
      </c>
      <c r="P1908" t="s">
        <v>42</v>
      </c>
      <c r="Q1908" s="1">
        <v>44278</v>
      </c>
    </row>
    <row r="1909" spans="1:17" x14ac:dyDescent="0.3">
      <c r="A1909" t="s">
        <v>22</v>
      </c>
      <c r="B1909" t="s">
        <v>36</v>
      </c>
      <c r="C1909" t="s">
        <v>23</v>
      </c>
      <c r="D1909" t="s">
        <v>17</v>
      </c>
      <c r="E1909" t="s">
        <v>41</v>
      </c>
      <c r="F1909" s="9">
        <v>0.11</v>
      </c>
      <c r="G1909" s="10">
        <v>9277</v>
      </c>
      <c r="H1909">
        <v>4.4000000000000004</v>
      </c>
      <c r="I1909" s="5">
        <f>ROUND(Marketing[[#This Row],[Clicks]]*Marketing[[#This Row],[Conversion_Rate]],0)</f>
        <v>65</v>
      </c>
      <c r="J1909" s="12">
        <f>Marketing[[#This Row],[Campaign_Cost]]/Marketing[[#This Row],[Customers]]</f>
        <v>142.72307692307692</v>
      </c>
      <c r="K1909" t="s">
        <v>51</v>
      </c>
      <c r="L1909" t="s">
        <v>26</v>
      </c>
      <c r="M1909">
        <v>595</v>
      </c>
      <c r="N1909">
        <v>3337</v>
      </c>
      <c r="O1909">
        <v>3</v>
      </c>
      <c r="P1909" t="s">
        <v>44</v>
      </c>
      <c r="Q1909" s="1">
        <v>44279</v>
      </c>
    </row>
    <row r="1910" spans="1:17" x14ac:dyDescent="0.3">
      <c r="A1910" t="s">
        <v>14</v>
      </c>
      <c r="B1910" t="s">
        <v>29</v>
      </c>
      <c r="C1910" t="s">
        <v>30</v>
      </c>
      <c r="D1910" t="s">
        <v>46</v>
      </c>
      <c r="E1910" t="s">
        <v>15</v>
      </c>
      <c r="F1910" s="9">
        <v>0.03</v>
      </c>
      <c r="G1910" s="10">
        <v>9645</v>
      </c>
      <c r="H1910">
        <v>7.64</v>
      </c>
      <c r="I1910" s="5">
        <f>ROUND(Marketing[[#This Row],[Clicks]]*Marketing[[#This Row],[Conversion_Rate]],0)</f>
        <v>13</v>
      </c>
      <c r="J1910" s="12">
        <f>Marketing[[#This Row],[Campaign_Cost]]/Marketing[[#This Row],[Customers]]</f>
        <v>741.92307692307691</v>
      </c>
      <c r="K1910" t="s">
        <v>25</v>
      </c>
      <c r="L1910" t="s">
        <v>33</v>
      </c>
      <c r="M1910">
        <v>429</v>
      </c>
      <c r="N1910">
        <v>7811</v>
      </c>
      <c r="O1910">
        <v>8</v>
      </c>
      <c r="P1910" t="s">
        <v>34</v>
      </c>
      <c r="Q1910" s="1">
        <v>44280</v>
      </c>
    </row>
    <row r="1911" spans="1:17" x14ac:dyDescent="0.3">
      <c r="A1911" t="s">
        <v>49</v>
      </c>
      <c r="B1911" t="s">
        <v>29</v>
      </c>
      <c r="C1911" t="s">
        <v>37</v>
      </c>
      <c r="D1911" t="s">
        <v>40</v>
      </c>
      <c r="E1911" t="s">
        <v>48</v>
      </c>
      <c r="F1911" s="9">
        <v>0.06</v>
      </c>
      <c r="G1911" s="10">
        <v>14312</v>
      </c>
      <c r="H1911">
        <v>6.96</v>
      </c>
      <c r="I1911" s="5">
        <f>ROUND(Marketing[[#This Row],[Clicks]]*Marketing[[#This Row],[Conversion_Rate]],0)</f>
        <v>18</v>
      </c>
      <c r="J1911" s="12">
        <f>Marketing[[#This Row],[Campaign_Cost]]/Marketing[[#This Row],[Customers]]</f>
        <v>795.11111111111109</v>
      </c>
      <c r="K1911" t="s">
        <v>51</v>
      </c>
      <c r="L1911" t="s">
        <v>39</v>
      </c>
      <c r="M1911">
        <v>297</v>
      </c>
      <c r="N1911">
        <v>8413</v>
      </c>
      <c r="O1911">
        <v>5</v>
      </c>
      <c r="P1911" t="s">
        <v>21</v>
      </c>
      <c r="Q1911" s="1">
        <v>44281</v>
      </c>
    </row>
    <row r="1912" spans="1:17" x14ac:dyDescent="0.3">
      <c r="A1912" t="s">
        <v>28</v>
      </c>
      <c r="B1912" t="s">
        <v>29</v>
      </c>
      <c r="C1912" t="s">
        <v>23</v>
      </c>
      <c r="D1912" t="s">
        <v>17</v>
      </c>
      <c r="E1912" t="s">
        <v>41</v>
      </c>
      <c r="F1912" s="9">
        <v>0.13</v>
      </c>
      <c r="G1912" s="10">
        <v>13461</v>
      </c>
      <c r="H1912">
        <v>6.98</v>
      </c>
      <c r="I1912" s="5">
        <f>ROUND(Marketing[[#This Row],[Clicks]]*Marketing[[#This Row],[Conversion_Rate]],0)</f>
        <v>76</v>
      </c>
      <c r="J1912" s="12">
        <f>Marketing[[#This Row],[Campaign_Cost]]/Marketing[[#This Row],[Customers]]</f>
        <v>177.11842105263159</v>
      </c>
      <c r="K1912" t="s">
        <v>25</v>
      </c>
      <c r="L1912" t="s">
        <v>39</v>
      </c>
      <c r="M1912">
        <v>588</v>
      </c>
      <c r="N1912">
        <v>9535</v>
      </c>
      <c r="O1912">
        <v>7</v>
      </c>
      <c r="P1912" t="s">
        <v>34</v>
      </c>
      <c r="Q1912" s="1">
        <v>44282</v>
      </c>
    </row>
    <row r="1913" spans="1:17" x14ac:dyDescent="0.3">
      <c r="A1913" t="s">
        <v>14</v>
      </c>
      <c r="B1913" t="s">
        <v>15</v>
      </c>
      <c r="C1913" t="s">
        <v>23</v>
      </c>
      <c r="D1913" t="s">
        <v>17</v>
      </c>
      <c r="E1913" t="s">
        <v>18</v>
      </c>
      <c r="F1913" s="9">
        <v>0.06</v>
      </c>
      <c r="G1913" s="10">
        <v>17442</v>
      </c>
      <c r="H1913">
        <v>3.5</v>
      </c>
      <c r="I1913" s="5">
        <f>ROUND(Marketing[[#This Row],[Clicks]]*Marketing[[#This Row],[Conversion_Rate]],0)</f>
        <v>10</v>
      </c>
      <c r="J1913" s="12">
        <f>Marketing[[#This Row],[Campaign_Cost]]/Marketing[[#This Row],[Customers]]</f>
        <v>1744.2</v>
      </c>
      <c r="K1913" t="s">
        <v>25</v>
      </c>
      <c r="L1913" t="s">
        <v>26</v>
      </c>
      <c r="M1913">
        <v>159</v>
      </c>
      <c r="N1913">
        <v>4441</v>
      </c>
      <c r="O1913">
        <v>4</v>
      </c>
      <c r="P1913" t="s">
        <v>27</v>
      </c>
      <c r="Q1913" s="1">
        <v>44283</v>
      </c>
    </row>
    <row r="1914" spans="1:17" x14ac:dyDescent="0.3">
      <c r="A1914" t="s">
        <v>14</v>
      </c>
      <c r="B1914" t="s">
        <v>45</v>
      </c>
      <c r="C1914" t="s">
        <v>23</v>
      </c>
      <c r="D1914" t="s">
        <v>24</v>
      </c>
      <c r="E1914" t="s">
        <v>15</v>
      </c>
      <c r="F1914" s="9">
        <v>0.05</v>
      </c>
      <c r="G1914" s="10">
        <v>17499</v>
      </c>
      <c r="H1914">
        <v>5.51</v>
      </c>
      <c r="I1914" s="5">
        <f>ROUND(Marketing[[#This Row],[Clicks]]*Marketing[[#This Row],[Conversion_Rate]],0)</f>
        <v>27</v>
      </c>
      <c r="J1914" s="12">
        <f>Marketing[[#This Row],[Campaign_Cost]]/Marketing[[#This Row],[Customers]]</f>
        <v>648.11111111111109</v>
      </c>
      <c r="K1914" t="s">
        <v>32</v>
      </c>
      <c r="L1914" t="s">
        <v>20</v>
      </c>
      <c r="M1914">
        <v>540</v>
      </c>
      <c r="N1914">
        <v>6649</v>
      </c>
      <c r="O1914">
        <v>1</v>
      </c>
      <c r="P1914" t="s">
        <v>34</v>
      </c>
      <c r="Q1914" s="1">
        <v>44284</v>
      </c>
    </row>
    <row r="1915" spans="1:17" x14ac:dyDescent="0.3">
      <c r="A1915" t="s">
        <v>14</v>
      </c>
      <c r="B1915" t="s">
        <v>36</v>
      </c>
      <c r="C1915" t="s">
        <v>23</v>
      </c>
      <c r="D1915" t="s">
        <v>40</v>
      </c>
      <c r="E1915" t="s">
        <v>31</v>
      </c>
      <c r="F1915" s="9">
        <v>0.12</v>
      </c>
      <c r="G1915" s="10">
        <v>7991</v>
      </c>
      <c r="H1915">
        <v>4.5</v>
      </c>
      <c r="I1915" s="5">
        <f>ROUND(Marketing[[#This Row],[Clicks]]*Marketing[[#This Row],[Conversion_Rate]],0)</f>
        <v>44</v>
      </c>
      <c r="J1915" s="12">
        <f>Marketing[[#This Row],[Campaign_Cost]]/Marketing[[#This Row],[Customers]]</f>
        <v>181.61363636363637</v>
      </c>
      <c r="K1915" t="s">
        <v>32</v>
      </c>
      <c r="L1915" t="s">
        <v>39</v>
      </c>
      <c r="M1915">
        <v>370</v>
      </c>
      <c r="N1915">
        <v>9765</v>
      </c>
      <c r="O1915">
        <v>6</v>
      </c>
      <c r="P1915" t="s">
        <v>21</v>
      </c>
      <c r="Q1915" s="1">
        <v>44285</v>
      </c>
    </row>
    <row r="1916" spans="1:17" x14ac:dyDescent="0.3">
      <c r="A1916" t="s">
        <v>22</v>
      </c>
      <c r="B1916" t="s">
        <v>36</v>
      </c>
      <c r="C1916" t="s">
        <v>23</v>
      </c>
      <c r="D1916" t="s">
        <v>24</v>
      </c>
      <c r="E1916" t="s">
        <v>31</v>
      </c>
      <c r="F1916" s="9">
        <v>0.13</v>
      </c>
      <c r="G1916" s="10">
        <v>9643</v>
      </c>
      <c r="H1916">
        <v>2.08</v>
      </c>
      <c r="I1916" s="5">
        <f>ROUND(Marketing[[#This Row],[Clicks]]*Marketing[[#This Row],[Conversion_Rate]],0)</f>
        <v>122</v>
      </c>
      <c r="J1916" s="12">
        <f>Marketing[[#This Row],[Campaign_Cost]]/Marketing[[#This Row],[Customers]]</f>
        <v>79.040983606557376</v>
      </c>
      <c r="K1916" t="s">
        <v>38</v>
      </c>
      <c r="L1916" t="s">
        <v>33</v>
      </c>
      <c r="M1916">
        <v>936</v>
      </c>
      <c r="N1916">
        <v>3150</v>
      </c>
      <c r="O1916">
        <v>2</v>
      </c>
      <c r="P1916" t="s">
        <v>44</v>
      </c>
      <c r="Q1916" s="1">
        <v>44286</v>
      </c>
    </row>
    <row r="1917" spans="1:17" x14ac:dyDescent="0.3">
      <c r="A1917" t="s">
        <v>22</v>
      </c>
      <c r="B1917" t="s">
        <v>45</v>
      </c>
      <c r="C1917" t="s">
        <v>23</v>
      </c>
      <c r="D1917" t="s">
        <v>46</v>
      </c>
      <c r="E1917" t="s">
        <v>15</v>
      </c>
      <c r="F1917" s="9">
        <v>0.05</v>
      </c>
      <c r="G1917" s="10">
        <v>15611</v>
      </c>
      <c r="H1917">
        <v>4.12</v>
      </c>
      <c r="I1917" s="5">
        <f>ROUND(Marketing[[#This Row],[Clicks]]*Marketing[[#This Row],[Conversion_Rate]],0)</f>
        <v>49</v>
      </c>
      <c r="J1917" s="12">
        <f>Marketing[[#This Row],[Campaign_Cost]]/Marketing[[#This Row],[Customers]]</f>
        <v>318.59183673469386</v>
      </c>
      <c r="K1917" t="s">
        <v>32</v>
      </c>
      <c r="L1917" t="s">
        <v>50</v>
      </c>
      <c r="M1917">
        <v>977</v>
      </c>
      <c r="N1917">
        <v>4497</v>
      </c>
      <c r="O1917">
        <v>10</v>
      </c>
      <c r="P1917" t="s">
        <v>42</v>
      </c>
      <c r="Q1917" s="1">
        <v>44287</v>
      </c>
    </row>
    <row r="1918" spans="1:17" x14ac:dyDescent="0.3">
      <c r="A1918" t="s">
        <v>35</v>
      </c>
      <c r="B1918" t="s">
        <v>36</v>
      </c>
      <c r="C1918" t="s">
        <v>37</v>
      </c>
      <c r="D1918" t="s">
        <v>24</v>
      </c>
      <c r="E1918" t="s">
        <v>15</v>
      </c>
      <c r="F1918" s="9">
        <v>0.13</v>
      </c>
      <c r="G1918" s="10">
        <v>18134</v>
      </c>
      <c r="H1918">
        <v>2.84</v>
      </c>
      <c r="I1918" s="5">
        <f>ROUND(Marketing[[#This Row],[Clicks]]*Marketing[[#This Row],[Conversion_Rate]],0)</f>
        <v>74</v>
      </c>
      <c r="J1918" s="12">
        <f>Marketing[[#This Row],[Campaign_Cost]]/Marketing[[#This Row],[Customers]]</f>
        <v>245.05405405405406</v>
      </c>
      <c r="K1918" t="s">
        <v>38</v>
      </c>
      <c r="L1918" t="s">
        <v>26</v>
      </c>
      <c r="M1918">
        <v>566</v>
      </c>
      <c r="N1918">
        <v>9921</v>
      </c>
      <c r="O1918">
        <v>10</v>
      </c>
      <c r="P1918" t="s">
        <v>42</v>
      </c>
      <c r="Q1918" s="1">
        <v>44288</v>
      </c>
    </row>
    <row r="1919" spans="1:17" x14ac:dyDescent="0.3">
      <c r="A1919" t="s">
        <v>28</v>
      </c>
      <c r="B1919" t="s">
        <v>15</v>
      </c>
      <c r="C1919" t="s">
        <v>52</v>
      </c>
      <c r="D1919" t="s">
        <v>46</v>
      </c>
      <c r="E1919" t="s">
        <v>48</v>
      </c>
      <c r="F1919" s="9">
        <v>0.02</v>
      </c>
      <c r="G1919" s="10">
        <v>18458</v>
      </c>
      <c r="H1919">
        <v>7.78</v>
      </c>
      <c r="I1919" s="5">
        <f>ROUND(Marketing[[#This Row],[Clicks]]*Marketing[[#This Row],[Conversion_Rate]],0)</f>
        <v>5</v>
      </c>
      <c r="J1919" s="12">
        <f>Marketing[[#This Row],[Campaign_Cost]]/Marketing[[#This Row],[Customers]]</f>
        <v>3691.6</v>
      </c>
      <c r="K1919" t="s">
        <v>51</v>
      </c>
      <c r="L1919" t="s">
        <v>33</v>
      </c>
      <c r="M1919">
        <v>235</v>
      </c>
      <c r="N1919">
        <v>9771</v>
      </c>
      <c r="O1919">
        <v>1</v>
      </c>
      <c r="P1919" t="s">
        <v>34</v>
      </c>
      <c r="Q1919" s="1">
        <v>44289</v>
      </c>
    </row>
    <row r="1920" spans="1:17" x14ac:dyDescent="0.3">
      <c r="A1920" t="s">
        <v>14</v>
      </c>
      <c r="B1920" t="s">
        <v>45</v>
      </c>
      <c r="C1920" t="s">
        <v>23</v>
      </c>
      <c r="D1920" t="s">
        <v>24</v>
      </c>
      <c r="E1920" t="s">
        <v>31</v>
      </c>
      <c r="F1920" s="9">
        <v>0.09</v>
      </c>
      <c r="G1920" s="10">
        <v>9135</v>
      </c>
      <c r="H1920">
        <v>5.65</v>
      </c>
      <c r="I1920" s="5">
        <f>ROUND(Marketing[[#This Row],[Clicks]]*Marketing[[#This Row],[Conversion_Rate]],0)</f>
        <v>15</v>
      </c>
      <c r="J1920" s="12">
        <f>Marketing[[#This Row],[Campaign_Cost]]/Marketing[[#This Row],[Customers]]</f>
        <v>609</v>
      </c>
      <c r="K1920" t="s">
        <v>51</v>
      </c>
      <c r="L1920" t="s">
        <v>26</v>
      </c>
      <c r="M1920">
        <v>165</v>
      </c>
      <c r="N1920">
        <v>5074</v>
      </c>
      <c r="O1920">
        <v>3</v>
      </c>
      <c r="P1920" t="s">
        <v>34</v>
      </c>
      <c r="Q1920" s="1">
        <v>44290</v>
      </c>
    </row>
    <row r="1921" spans="1:17" x14ac:dyDescent="0.3">
      <c r="A1921" t="s">
        <v>14</v>
      </c>
      <c r="B1921" t="s">
        <v>15</v>
      </c>
      <c r="C1921" t="s">
        <v>16</v>
      </c>
      <c r="D1921" t="s">
        <v>17</v>
      </c>
      <c r="E1921" t="s">
        <v>43</v>
      </c>
      <c r="F1921" s="9">
        <v>0.04</v>
      </c>
      <c r="G1921" s="10">
        <v>15474</v>
      </c>
      <c r="H1921">
        <v>3.62</v>
      </c>
      <c r="I1921" s="5">
        <f>ROUND(Marketing[[#This Row],[Clicks]]*Marketing[[#This Row],[Conversion_Rate]],0)</f>
        <v>29</v>
      </c>
      <c r="J1921" s="12">
        <f>Marketing[[#This Row],[Campaign_Cost]]/Marketing[[#This Row],[Customers]]</f>
        <v>533.58620689655174</v>
      </c>
      <c r="K1921" t="s">
        <v>32</v>
      </c>
      <c r="L1921" t="s">
        <v>20</v>
      </c>
      <c r="M1921">
        <v>715</v>
      </c>
      <c r="N1921">
        <v>1239</v>
      </c>
      <c r="O1921">
        <v>3</v>
      </c>
      <c r="P1921" t="s">
        <v>44</v>
      </c>
      <c r="Q1921" s="1">
        <v>44291</v>
      </c>
    </row>
    <row r="1922" spans="1:17" x14ac:dyDescent="0.3">
      <c r="A1922" t="s">
        <v>49</v>
      </c>
      <c r="B1922" t="s">
        <v>47</v>
      </c>
      <c r="C1922" t="s">
        <v>16</v>
      </c>
      <c r="D1922" t="s">
        <v>46</v>
      </c>
      <c r="E1922" t="s">
        <v>41</v>
      </c>
      <c r="F1922" s="9">
        <v>0.08</v>
      </c>
      <c r="G1922" s="10">
        <v>10528</v>
      </c>
      <c r="H1922">
        <v>5.27</v>
      </c>
      <c r="I1922" s="5">
        <f>ROUND(Marketing[[#This Row],[Clicks]]*Marketing[[#This Row],[Conversion_Rate]],0)</f>
        <v>45</v>
      </c>
      <c r="J1922" s="12">
        <f>Marketing[[#This Row],[Campaign_Cost]]/Marketing[[#This Row],[Customers]]</f>
        <v>233.95555555555555</v>
      </c>
      <c r="K1922" t="s">
        <v>32</v>
      </c>
      <c r="L1922" t="s">
        <v>33</v>
      </c>
      <c r="M1922">
        <v>559</v>
      </c>
      <c r="N1922">
        <v>3449</v>
      </c>
      <c r="O1922">
        <v>5</v>
      </c>
      <c r="P1922" t="s">
        <v>27</v>
      </c>
      <c r="Q1922" s="1">
        <v>44292</v>
      </c>
    </row>
    <row r="1923" spans="1:17" x14ac:dyDescent="0.3">
      <c r="A1923" t="s">
        <v>28</v>
      </c>
      <c r="B1923" t="s">
        <v>15</v>
      </c>
      <c r="C1923" t="s">
        <v>30</v>
      </c>
      <c r="D1923" t="s">
        <v>17</v>
      </c>
      <c r="E1923" t="s">
        <v>41</v>
      </c>
      <c r="F1923" s="9">
        <v>0.01</v>
      </c>
      <c r="G1923" s="10">
        <v>18850</v>
      </c>
      <c r="H1923">
        <v>3.42</v>
      </c>
      <c r="I1923" s="5">
        <f>ROUND(Marketing[[#This Row],[Clicks]]*Marketing[[#This Row],[Conversion_Rate]],0)</f>
        <v>7</v>
      </c>
      <c r="J1923" s="12">
        <f>Marketing[[#This Row],[Campaign_Cost]]/Marketing[[#This Row],[Customers]]</f>
        <v>2692.8571428571427</v>
      </c>
      <c r="K1923" t="s">
        <v>25</v>
      </c>
      <c r="L1923" t="s">
        <v>33</v>
      </c>
      <c r="M1923">
        <v>692</v>
      </c>
      <c r="N1923">
        <v>8915</v>
      </c>
      <c r="O1923">
        <v>3</v>
      </c>
      <c r="P1923" t="s">
        <v>27</v>
      </c>
      <c r="Q1923" s="1">
        <v>44293</v>
      </c>
    </row>
    <row r="1924" spans="1:17" x14ac:dyDescent="0.3">
      <c r="A1924" t="s">
        <v>35</v>
      </c>
      <c r="B1924" t="s">
        <v>15</v>
      </c>
      <c r="C1924" t="s">
        <v>52</v>
      </c>
      <c r="D1924" t="s">
        <v>24</v>
      </c>
      <c r="E1924" t="s">
        <v>31</v>
      </c>
      <c r="F1924" s="9">
        <v>0.06</v>
      </c>
      <c r="G1924" s="10">
        <v>6983</v>
      </c>
      <c r="H1924">
        <v>5.66</v>
      </c>
      <c r="I1924" s="5">
        <f>ROUND(Marketing[[#This Row],[Clicks]]*Marketing[[#This Row],[Conversion_Rate]],0)</f>
        <v>36</v>
      </c>
      <c r="J1924" s="12">
        <f>Marketing[[#This Row],[Campaign_Cost]]/Marketing[[#This Row],[Customers]]</f>
        <v>193.97222222222223</v>
      </c>
      <c r="K1924" t="s">
        <v>51</v>
      </c>
      <c r="L1924" t="s">
        <v>20</v>
      </c>
      <c r="M1924">
        <v>596</v>
      </c>
      <c r="N1924">
        <v>2281</v>
      </c>
      <c r="O1924">
        <v>8</v>
      </c>
      <c r="P1924" t="s">
        <v>42</v>
      </c>
      <c r="Q1924" s="1">
        <v>44294</v>
      </c>
    </row>
    <row r="1925" spans="1:17" x14ac:dyDescent="0.3">
      <c r="A1925" t="s">
        <v>35</v>
      </c>
      <c r="B1925" t="s">
        <v>45</v>
      </c>
      <c r="C1925" t="s">
        <v>52</v>
      </c>
      <c r="D1925" t="s">
        <v>46</v>
      </c>
      <c r="E1925" t="s">
        <v>48</v>
      </c>
      <c r="F1925" s="9">
        <v>0.13</v>
      </c>
      <c r="G1925" s="10">
        <v>15971</v>
      </c>
      <c r="H1925">
        <v>4.1900000000000004</v>
      </c>
      <c r="I1925" s="5">
        <f>ROUND(Marketing[[#This Row],[Clicks]]*Marketing[[#This Row],[Conversion_Rate]],0)</f>
        <v>64</v>
      </c>
      <c r="J1925" s="12">
        <f>Marketing[[#This Row],[Campaign_Cost]]/Marketing[[#This Row],[Customers]]</f>
        <v>249.546875</v>
      </c>
      <c r="K1925" t="s">
        <v>19</v>
      </c>
      <c r="L1925" t="s">
        <v>20</v>
      </c>
      <c r="M1925">
        <v>494</v>
      </c>
      <c r="N1925">
        <v>5439</v>
      </c>
      <c r="O1925">
        <v>7</v>
      </c>
      <c r="P1925" t="s">
        <v>44</v>
      </c>
      <c r="Q1925" s="1">
        <v>44295</v>
      </c>
    </row>
    <row r="1926" spans="1:17" x14ac:dyDescent="0.3">
      <c r="A1926" t="s">
        <v>28</v>
      </c>
      <c r="B1926" t="s">
        <v>15</v>
      </c>
      <c r="C1926" t="s">
        <v>30</v>
      </c>
      <c r="D1926" t="s">
        <v>40</v>
      </c>
      <c r="E1926" t="s">
        <v>43</v>
      </c>
      <c r="F1926" s="9">
        <v>0.05</v>
      </c>
      <c r="G1926" s="10">
        <v>9290</v>
      </c>
      <c r="H1926">
        <v>7.2</v>
      </c>
      <c r="I1926" s="5">
        <f>ROUND(Marketing[[#This Row],[Clicks]]*Marketing[[#This Row],[Conversion_Rate]],0)</f>
        <v>50</v>
      </c>
      <c r="J1926" s="12">
        <f>Marketing[[#This Row],[Campaign_Cost]]/Marketing[[#This Row],[Customers]]</f>
        <v>185.8</v>
      </c>
      <c r="K1926" t="s">
        <v>38</v>
      </c>
      <c r="L1926" t="s">
        <v>26</v>
      </c>
      <c r="M1926">
        <v>992</v>
      </c>
      <c r="N1926">
        <v>8847</v>
      </c>
      <c r="O1926">
        <v>6</v>
      </c>
      <c r="P1926" t="s">
        <v>21</v>
      </c>
      <c r="Q1926" s="1">
        <v>44296</v>
      </c>
    </row>
    <row r="1927" spans="1:17" x14ac:dyDescent="0.3">
      <c r="A1927" t="s">
        <v>28</v>
      </c>
      <c r="B1927" t="s">
        <v>45</v>
      </c>
      <c r="C1927" t="s">
        <v>23</v>
      </c>
      <c r="D1927" t="s">
        <v>17</v>
      </c>
      <c r="E1927" t="s">
        <v>43</v>
      </c>
      <c r="F1927" s="9">
        <v>0.04</v>
      </c>
      <c r="G1927" s="10">
        <v>19632</v>
      </c>
      <c r="H1927">
        <v>6.15</v>
      </c>
      <c r="I1927" s="5">
        <f>ROUND(Marketing[[#This Row],[Clicks]]*Marketing[[#This Row],[Conversion_Rate]],0)</f>
        <v>29</v>
      </c>
      <c r="J1927" s="12">
        <f>Marketing[[#This Row],[Campaign_Cost]]/Marketing[[#This Row],[Customers]]</f>
        <v>676.9655172413793</v>
      </c>
      <c r="K1927" t="s">
        <v>38</v>
      </c>
      <c r="L1927" t="s">
        <v>33</v>
      </c>
      <c r="M1927">
        <v>721</v>
      </c>
      <c r="N1927">
        <v>8225</v>
      </c>
      <c r="O1927">
        <v>8</v>
      </c>
      <c r="P1927" t="s">
        <v>21</v>
      </c>
      <c r="Q1927" s="1">
        <v>44297</v>
      </c>
    </row>
    <row r="1928" spans="1:17" x14ac:dyDescent="0.3">
      <c r="A1928" t="s">
        <v>28</v>
      </c>
      <c r="B1928" t="s">
        <v>36</v>
      </c>
      <c r="C1928" t="s">
        <v>16</v>
      </c>
      <c r="D1928" t="s">
        <v>46</v>
      </c>
      <c r="E1928" t="s">
        <v>31</v>
      </c>
      <c r="F1928" s="9">
        <v>0.1</v>
      </c>
      <c r="G1928" s="10">
        <v>7432</v>
      </c>
      <c r="H1928">
        <v>7.38</v>
      </c>
      <c r="I1928" s="5">
        <f>ROUND(Marketing[[#This Row],[Clicks]]*Marketing[[#This Row],[Conversion_Rate]],0)</f>
        <v>73</v>
      </c>
      <c r="J1928" s="12">
        <f>Marketing[[#This Row],[Campaign_Cost]]/Marketing[[#This Row],[Customers]]</f>
        <v>101.8082191780822</v>
      </c>
      <c r="K1928" t="s">
        <v>38</v>
      </c>
      <c r="L1928" t="s">
        <v>20</v>
      </c>
      <c r="M1928">
        <v>731</v>
      </c>
      <c r="N1928">
        <v>2499</v>
      </c>
      <c r="O1928">
        <v>10</v>
      </c>
      <c r="P1928" t="s">
        <v>34</v>
      </c>
      <c r="Q1928" s="1">
        <v>44298</v>
      </c>
    </row>
    <row r="1929" spans="1:17" x14ac:dyDescent="0.3">
      <c r="A1929" t="s">
        <v>14</v>
      </c>
      <c r="B1929" t="s">
        <v>47</v>
      </c>
      <c r="C1929" t="s">
        <v>52</v>
      </c>
      <c r="D1929" t="s">
        <v>24</v>
      </c>
      <c r="E1929" t="s">
        <v>18</v>
      </c>
      <c r="F1929" s="9">
        <v>0.09</v>
      </c>
      <c r="G1929" s="10">
        <v>5758</v>
      </c>
      <c r="H1929">
        <v>5.97</v>
      </c>
      <c r="I1929" s="5">
        <f>ROUND(Marketing[[#This Row],[Clicks]]*Marketing[[#This Row],[Conversion_Rate]],0)</f>
        <v>42</v>
      </c>
      <c r="J1929" s="12">
        <f>Marketing[[#This Row],[Campaign_Cost]]/Marketing[[#This Row],[Customers]]</f>
        <v>137.0952380952381</v>
      </c>
      <c r="K1929" t="s">
        <v>51</v>
      </c>
      <c r="L1929" t="s">
        <v>39</v>
      </c>
      <c r="M1929">
        <v>467</v>
      </c>
      <c r="N1929">
        <v>5205</v>
      </c>
      <c r="O1929">
        <v>2</v>
      </c>
      <c r="P1929" t="s">
        <v>42</v>
      </c>
      <c r="Q1929" s="1">
        <v>44299</v>
      </c>
    </row>
    <row r="1930" spans="1:17" x14ac:dyDescent="0.3">
      <c r="A1930" t="s">
        <v>35</v>
      </c>
      <c r="B1930" t="s">
        <v>36</v>
      </c>
      <c r="C1930" t="s">
        <v>52</v>
      </c>
      <c r="D1930" t="s">
        <v>24</v>
      </c>
      <c r="E1930" t="s">
        <v>48</v>
      </c>
      <c r="F1930" s="9">
        <v>0.12</v>
      </c>
      <c r="G1930" s="10">
        <v>13458</v>
      </c>
      <c r="H1930">
        <v>7.7</v>
      </c>
      <c r="I1930" s="5">
        <f>ROUND(Marketing[[#This Row],[Clicks]]*Marketing[[#This Row],[Conversion_Rate]],0)</f>
        <v>69</v>
      </c>
      <c r="J1930" s="12">
        <f>Marketing[[#This Row],[Campaign_Cost]]/Marketing[[#This Row],[Customers]]</f>
        <v>195.04347826086956</v>
      </c>
      <c r="K1930" t="s">
        <v>38</v>
      </c>
      <c r="L1930" t="s">
        <v>50</v>
      </c>
      <c r="M1930">
        <v>572</v>
      </c>
      <c r="N1930">
        <v>8542</v>
      </c>
      <c r="O1930">
        <v>8</v>
      </c>
      <c r="P1930" t="s">
        <v>44</v>
      </c>
      <c r="Q1930" s="1">
        <v>44300</v>
      </c>
    </row>
    <row r="1931" spans="1:17" x14ac:dyDescent="0.3">
      <c r="A1931" t="s">
        <v>14</v>
      </c>
      <c r="B1931" t="s">
        <v>47</v>
      </c>
      <c r="C1931" t="s">
        <v>52</v>
      </c>
      <c r="D1931" t="s">
        <v>40</v>
      </c>
      <c r="E1931" t="s">
        <v>15</v>
      </c>
      <c r="F1931" s="9">
        <v>0.1</v>
      </c>
      <c r="G1931" s="10">
        <v>13006</v>
      </c>
      <c r="H1931">
        <v>6.22</v>
      </c>
      <c r="I1931" s="5">
        <f>ROUND(Marketing[[#This Row],[Clicks]]*Marketing[[#This Row],[Conversion_Rate]],0)</f>
        <v>46</v>
      </c>
      <c r="J1931" s="12">
        <f>Marketing[[#This Row],[Campaign_Cost]]/Marketing[[#This Row],[Customers]]</f>
        <v>282.73913043478262</v>
      </c>
      <c r="K1931" t="s">
        <v>38</v>
      </c>
      <c r="L1931" t="s">
        <v>33</v>
      </c>
      <c r="M1931">
        <v>456</v>
      </c>
      <c r="N1931">
        <v>7129</v>
      </c>
      <c r="O1931">
        <v>9</v>
      </c>
      <c r="P1931" t="s">
        <v>21</v>
      </c>
      <c r="Q1931" s="1">
        <v>44301</v>
      </c>
    </row>
    <row r="1932" spans="1:17" x14ac:dyDescent="0.3">
      <c r="A1932" t="s">
        <v>28</v>
      </c>
      <c r="B1932" t="s">
        <v>47</v>
      </c>
      <c r="C1932" t="s">
        <v>52</v>
      </c>
      <c r="D1932" t="s">
        <v>24</v>
      </c>
      <c r="E1932" t="s">
        <v>48</v>
      </c>
      <c r="F1932" s="9">
        <v>0.15</v>
      </c>
      <c r="G1932" s="10">
        <v>12930</v>
      </c>
      <c r="H1932">
        <v>4.09</v>
      </c>
      <c r="I1932" s="5">
        <f>ROUND(Marketing[[#This Row],[Clicks]]*Marketing[[#This Row],[Conversion_Rate]],0)</f>
        <v>39</v>
      </c>
      <c r="J1932" s="12">
        <f>Marketing[[#This Row],[Campaign_Cost]]/Marketing[[#This Row],[Customers]]</f>
        <v>331.53846153846155</v>
      </c>
      <c r="K1932" t="s">
        <v>51</v>
      </c>
      <c r="L1932" t="s">
        <v>39</v>
      </c>
      <c r="M1932">
        <v>259</v>
      </c>
      <c r="N1932">
        <v>3531</v>
      </c>
      <c r="O1932">
        <v>1</v>
      </c>
      <c r="P1932" t="s">
        <v>34</v>
      </c>
      <c r="Q1932" s="1">
        <v>44302</v>
      </c>
    </row>
    <row r="1933" spans="1:17" x14ac:dyDescent="0.3">
      <c r="A1933" t="s">
        <v>14</v>
      </c>
      <c r="B1933" t="s">
        <v>36</v>
      </c>
      <c r="C1933" t="s">
        <v>16</v>
      </c>
      <c r="D1933" t="s">
        <v>46</v>
      </c>
      <c r="E1933" t="s">
        <v>43</v>
      </c>
      <c r="F1933" s="9">
        <v>0.12</v>
      </c>
      <c r="G1933" s="10">
        <v>18200</v>
      </c>
      <c r="H1933">
        <v>7.38</v>
      </c>
      <c r="I1933" s="5">
        <f>ROUND(Marketing[[#This Row],[Clicks]]*Marketing[[#This Row],[Conversion_Rate]],0)</f>
        <v>114</v>
      </c>
      <c r="J1933" s="12">
        <f>Marketing[[#This Row],[Campaign_Cost]]/Marketing[[#This Row],[Customers]]</f>
        <v>159.64912280701753</v>
      </c>
      <c r="K1933" t="s">
        <v>38</v>
      </c>
      <c r="L1933" t="s">
        <v>26</v>
      </c>
      <c r="M1933">
        <v>951</v>
      </c>
      <c r="N1933">
        <v>2432</v>
      </c>
      <c r="O1933">
        <v>7</v>
      </c>
      <c r="P1933" t="s">
        <v>44</v>
      </c>
      <c r="Q1933" s="1">
        <v>44303</v>
      </c>
    </row>
    <row r="1934" spans="1:17" x14ac:dyDescent="0.3">
      <c r="A1934" t="s">
        <v>49</v>
      </c>
      <c r="B1934" t="s">
        <v>45</v>
      </c>
      <c r="C1934" t="s">
        <v>30</v>
      </c>
      <c r="D1934" t="s">
        <v>40</v>
      </c>
      <c r="E1934" t="s">
        <v>31</v>
      </c>
      <c r="F1934" s="9">
        <v>7.0000000000000007E-2</v>
      </c>
      <c r="G1934" s="10">
        <v>9929</v>
      </c>
      <c r="H1934">
        <v>7.87</v>
      </c>
      <c r="I1934" s="5">
        <f>ROUND(Marketing[[#This Row],[Clicks]]*Marketing[[#This Row],[Conversion_Rate]],0)</f>
        <v>65</v>
      </c>
      <c r="J1934" s="12">
        <f>Marketing[[#This Row],[Campaign_Cost]]/Marketing[[#This Row],[Customers]]</f>
        <v>152.75384615384615</v>
      </c>
      <c r="K1934" t="s">
        <v>25</v>
      </c>
      <c r="L1934" t="s">
        <v>50</v>
      </c>
      <c r="M1934">
        <v>928</v>
      </c>
      <c r="N1934">
        <v>3257</v>
      </c>
      <c r="O1934">
        <v>5</v>
      </c>
      <c r="P1934" t="s">
        <v>34</v>
      </c>
      <c r="Q1934" s="1">
        <v>44304</v>
      </c>
    </row>
    <row r="1935" spans="1:17" x14ac:dyDescent="0.3">
      <c r="A1935" t="s">
        <v>49</v>
      </c>
      <c r="B1935" t="s">
        <v>29</v>
      </c>
      <c r="C1935" t="s">
        <v>30</v>
      </c>
      <c r="D1935" t="s">
        <v>17</v>
      </c>
      <c r="E1935" t="s">
        <v>15</v>
      </c>
      <c r="F1935" s="9">
        <v>0.13</v>
      </c>
      <c r="G1935" s="10">
        <v>18792</v>
      </c>
      <c r="H1935">
        <v>7.96</v>
      </c>
      <c r="I1935" s="5">
        <f>ROUND(Marketing[[#This Row],[Clicks]]*Marketing[[#This Row],[Conversion_Rate]],0)</f>
        <v>37</v>
      </c>
      <c r="J1935" s="12">
        <f>Marketing[[#This Row],[Campaign_Cost]]/Marketing[[#This Row],[Customers]]</f>
        <v>507.89189189189187</v>
      </c>
      <c r="K1935" t="s">
        <v>38</v>
      </c>
      <c r="L1935" t="s">
        <v>20</v>
      </c>
      <c r="M1935">
        <v>285</v>
      </c>
      <c r="N1935">
        <v>1214</v>
      </c>
      <c r="O1935">
        <v>7</v>
      </c>
      <c r="P1935" t="s">
        <v>42</v>
      </c>
      <c r="Q1935" s="1">
        <v>44305</v>
      </c>
    </row>
    <row r="1936" spans="1:17" x14ac:dyDescent="0.3">
      <c r="A1936" t="s">
        <v>49</v>
      </c>
      <c r="B1936" t="s">
        <v>36</v>
      </c>
      <c r="C1936" t="s">
        <v>30</v>
      </c>
      <c r="D1936" t="s">
        <v>17</v>
      </c>
      <c r="E1936" t="s">
        <v>31</v>
      </c>
      <c r="F1936" s="9">
        <v>0.1</v>
      </c>
      <c r="G1936" s="10">
        <v>19698</v>
      </c>
      <c r="H1936">
        <v>5.21</v>
      </c>
      <c r="I1936" s="5">
        <f>ROUND(Marketing[[#This Row],[Clicks]]*Marketing[[#This Row],[Conversion_Rate]],0)</f>
        <v>67</v>
      </c>
      <c r="J1936" s="12">
        <f>Marketing[[#This Row],[Campaign_Cost]]/Marketing[[#This Row],[Customers]]</f>
        <v>294</v>
      </c>
      <c r="K1936" t="s">
        <v>19</v>
      </c>
      <c r="L1936" t="s">
        <v>50</v>
      </c>
      <c r="M1936">
        <v>668</v>
      </c>
      <c r="N1936">
        <v>4367</v>
      </c>
      <c r="O1936">
        <v>5</v>
      </c>
      <c r="P1936" t="s">
        <v>34</v>
      </c>
      <c r="Q1936" s="1">
        <v>44306</v>
      </c>
    </row>
    <row r="1937" spans="1:17" x14ac:dyDescent="0.3">
      <c r="A1937" t="s">
        <v>28</v>
      </c>
      <c r="B1937" t="s">
        <v>47</v>
      </c>
      <c r="C1937" t="s">
        <v>52</v>
      </c>
      <c r="D1937" t="s">
        <v>24</v>
      </c>
      <c r="E1937" t="s">
        <v>31</v>
      </c>
      <c r="F1937" s="9">
        <v>0.02</v>
      </c>
      <c r="G1937" s="10">
        <v>12194</v>
      </c>
      <c r="H1937">
        <v>2.4700000000000002</v>
      </c>
      <c r="I1937" s="5">
        <f>ROUND(Marketing[[#This Row],[Clicks]]*Marketing[[#This Row],[Conversion_Rate]],0)</f>
        <v>3</v>
      </c>
      <c r="J1937" s="12">
        <f>Marketing[[#This Row],[Campaign_Cost]]/Marketing[[#This Row],[Customers]]</f>
        <v>4064.6666666666665</v>
      </c>
      <c r="K1937" t="s">
        <v>51</v>
      </c>
      <c r="L1937" t="s">
        <v>39</v>
      </c>
      <c r="M1937">
        <v>135</v>
      </c>
      <c r="N1937">
        <v>7812</v>
      </c>
      <c r="O1937">
        <v>5</v>
      </c>
      <c r="P1937" t="s">
        <v>34</v>
      </c>
      <c r="Q1937" s="1">
        <v>44307</v>
      </c>
    </row>
    <row r="1938" spans="1:17" x14ac:dyDescent="0.3">
      <c r="A1938" t="s">
        <v>35</v>
      </c>
      <c r="B1938" t="s">
        <v>36</v>
      </c>
      <c r="C1938" t="s">
        <v>23</v>
      </c>
      <c r="D1938" t="s">
        <v>40</v>
      </c>
      <c r="E1938" t="s">
        <v>31</v>
      </c>
      <c r="F1938" s="9">
        <v>0.11</v>
      </c>
      <c r="G1938" s="10">
        <v>9406</v>
      </c>
      <c r="H1938">
        <v>7.65</v>
      </c>
      <c r="I1938" s="5">
        <f>ROUND(Marketing[[#This Row],[Clicks]]*Marketing[[#This Row],[Conversion_Rate]],0)</f>
        <v>36</v>
      </c>
      <c r="J1938" s="12">
        <f>Marketing[[#This Row],[Campaign_Cost]]/Marketing[[#This Row],[Customers]]</f>
        <v>261.27777777777777</v>
      </c>
      <c r="K1938" t="s">
        <v>38</v>
      </c>
      <c r="L1938" t="s">
        <v>39</v>
      </c>
      <c r="M1938">
        <v>325</v>
      </c>
      <c r="N1938">
        <v>3365</v>
      </c>
      <c r="O1938">
        <v>4</v>
      </c>
      <c r="P1938" t="s">
        <v>27</v>
      </c>
      <c r="Q1938" s="1">
        <v>44308</v>
      </c>
    </row>
    <row r="1939" spans="1:17" x14ac:dyDescent="0.3">
      <c r="A1939" t="s">
        <v>14</v>
      </c>
      <c r="B1939" t="s">
        <v>29</v>
      </c>
      <c r="C1939" t="s">
        <v>37</v>
      </c>
      <c r="D1939" t="s">
        <v>46</v>
      </c>
      <c r="E1939" t="s">
        <v>31</v>
      </c>
      <c r="F1939" s="9">
        <v>0.06</v>
      </c>
      <c r="G1939" s="10">
        <v>17090</v>
      </c>
      <c r="H1939">
        <v>6.77</v>
      </c>
      <c r="I1939" s="5">
        <f>ROUND(Marketing[[#This Row],[Clicks]]*Marketing[[#This Row],[Conversion_Rate]],0)</f>
        <v>13</v>
      </c>
      <c r="J1939" s="12">
        <f>Marketing[[#This Row],[Campaign_Cost]]/Marketing[[#This Row],[Customers]]</f>
        <v>1314.6153846153845</v>
      </c>
      <c r="K1939" t="s">
        <v>51</v>
      </c>
      <c r="L1939" t="s">
        <v>26</v>
      </c>
      <c r="M1939">
        <v>210</v>
      </c>
      <c r="N1939">
        <v>4641</v>
      </c>
      <c r="O1939">
        <v>10</v>
      </c>
      <c r="P1939" t="s">
        <v>42</v>
      </c>
      <c r="Q1939" s="1">
        <v>44309</v>
      </c>
    </row>
    <row r="1940" spans="1:17" x14ac:dyDescent="0.3">
      <c r="A1940" t="s">
        <v>22</v>
      </c>
      <c r="B1940" t="s">
        <v>15</v>
      </c>
      <c r="C1940" t="s">
        <v>37</v>
      </c>
      <c r="D1940" t="s">
        <v>17</v>
      </c>
      <c r="E1940" t="s">
        <v>41</v>
      </c>
      <c r="F1940" s="9">
        <v>0.03</v>
      </c>
      <c r="G1940" s="10">
        <v>6398</v>
      </c>
      <c r="H1940">
        <v>7.01</v>
      </c>
      <c r="I1940" s="5">
        <f>ROUND(Marketing[[#This Row],[Clicks]]*Marketing[[#This Row],[Conversion_Rate]],0)</f>
        <v>11</v>
      </c>
      <c r="J1940" s="12">
        <f>Marketing[[#This Row],[Campaign_Cost]]/Marketing[[#This Row],[Customers]]</f>
        <v>581.63636363636363</v>
      </c>
      <c r="K1940" t="s">
        <v>51</v>
      </c>
      <c r="L1940" t="s">
        <v>39</v>
      </c>
      <c r="M1940">
        <v>361</v>
      </c>
      <c r="N1940">
        <v>2588</v>
      </c>
      <c r="O1940">
        <v>10</v>
      </c>
      <c r="P1940" t="s">
        <v>27</v>
      </c>
      <c r="Q1940" s="1">
        <v>44310</v>
      </c>
    </row>
    <row r="1941" spans="1:17" x14ac:dyDescent="0.3">
      <c r="A1941" t="s">
        <v>28</v>
      </c>
      <c r="B1941" t="s">
        <v>36</v>
      </c>
      <c r="C1941" t="s">
        <v>30</v>
      </c>
      <c r="D1941" t="s">
        <v>17</v>
      </c>
      <c r="E1941" t="s">
        <v>18</v>
      </c>
      <c r="F1941" s="9">
        <v>0.09</v>
      </c>
      <c r="G1941" s="10">
        <v>18254</v>
      </c>
      <c r="H1941">
        <v>5.27</v>
      </c>
      <c r="I1941" s="5">
        <f>ROUND(Marketing[[#This Row],[Clicks]]*Marketing[[#This Row],[Conversion_Rate]],0)</f>
        <v>60</v>
      </c>
      <c r="J1941" s="12">
        <f>Marketing[[#This Row],[Campaign_Cost]]/Marketing[[#This Row],[Customers]]</f>
        <v>304.23333333333335</v>
      </c>
      <c r="K1941" t="s">
        <v>51</v>
      </c>
      <c r="L1941" t="s">
        <v>39</v>
      </c>
      <c r="M1941">
        <v>672</v>
      </c>
      <c r="N1941">
        <v>2707</v>
      </c>
      <c r="O1941">
        <v>2</v>
      </c>
      <c r="P1941" t="s">
        <v>42</v>
      </c>
      <c r="Q1941" s="1">
        <v>44311</v>
      </c>
    </row>
    <row r="1942" spans="1:17" x14ac:dyDescent="0.3">
      <c r="A1942" t="s">
        <v>14</v>
      </c>
      <c r="B1942" t="s">
        <v>29</v>
      </c>
      <c r="C1942" t="s">
        <v>30</v>
      </c>
      <c r="D1942" t="s">
        <v>40</v>
      </c>
      <c r="E1942" t="s">
        <v>41</v>
      </c>
      <c r="F1942" s="9">
        <v>0.05</v>
      </c>
      <c r="G1942" s="10">
        <v>11260</v>
      </c>
      <c r="H1942">
        <v>6.06</v>
      </c>
      <c r="I1942" s="5">
        <f>ROUND(Marketing[[#This Row],[Clicks]]*Marketing[[#This Row],[Conversion_Rate]],0)</f>
        <v>50</v>
      </c>
      <c r="J1942" s="12">
        <f>Marketing[[#This Row],[Campaign_Cost]]/Marketing[[#This Row],[Customers]]</f>
        <v>225.2</v>
      </c>
      <c r="K1942" t="s">
        <v>38</v>
      </c>
      <c r="L1942" t="s">
        <v>39</v>
      </c>
      <c r="M1942">
        <v>995</v>
      </c>
      <c r="N1942">
        <v>7286</v>
      </c>
      <c r="O1942">
        <v>8</v>
      </c>
      <c r="P1942" t="s">
        <v>34</v>
      </c>
      <c r="Q1942" s="1">
        <v>44312</v>
      </c>
    </row>
    <row r="1943" spans="1:17" x14ac:dyDescent="0.3">
      <c r="A1943" t="s">
        <v>49</v>
      </c>
      <c r="B1943" t="s">
        <v>29</v>
      </c>
      <c r="C1943" t="s">
        <v>16</v>
      </c>
      <c r="D1943" t="s">
        <v>17</v>
      </c>
      <c r="E1943" t="s">
        <v>48</v>
      </c>
      <c r="F1943" s="9">
        <v>0.05</v>
      </c>
      <c r="G1943" s="10">
        <v>11160</v>
      </c>
      <c r="H1943">
        <v>5.54</v>
      </c>
      <c r="I1943" s="5">
        <f>ROUND(Marketing[[#This Row],[Clicks]]*Marketing[[#This Row],[Conversion_Rate]],0)</f>
        <v>31</v>
      </c>
      <c r="J1943" s="12">
        <f>Marketing[[#This Row],[Campaign_Cost]]/Marketing[[#This Row],[Customers]]</f>
        <v>360</v>
      </c>
      <c r="K1943" t="s">
        <v>32</v>
      </c>
      <c r="L1943" t="s">
        <v>50</v>
      </c>
      <c r="M1943">
        <v>617</v>
      </c>
      <c r="N1943">
        <v>7744</v>
      </c>
      <c r="O1943">
        <v>1</v>
      </c>
      <c r="P1943" t="s">
        <v>42</v>
      </c>
      <c r="Q1943" s="1">
        <v>44313</v>
      </c>
    </row>
    <row r="1944" spans="1:17" x14ac:dyDescent="0.3">
      <c r="A1944" t="s">
        <v>14</v>
      </c>
      <c r="B1944" t="s">
        <v>47</v>
      </c>
      <c r="C1944" t="s">
        <v>52</v>
      </c>
      <c r="D1944" t="s">
        <v>17</v>
      </c>
      <c r="E1944" t="s">
        <v>43</v>
      </c>
      <c r="F1944" s="9">
        <v>0.1</v>
      </c>
      <c r="G1944" s="10">
        <v>11191</v>
      </c>
      <c r="H1944">
        <v>5.53</v>
      </c>
      <c r="I1944" s="5">
        <f>ROUND(Marketing[[#This Row],[Clicks]]*Marketing[[#This Row],[Conversion_Rate]],0)</f>
        <v>70</v>
      </c>
      <c r="J1944" s="12">
        <f>Marketing[[#This Row],[Campaign_Cost]]/Marketing[[#This Row],[Customers]]</f>
        <v>159.87142857142857</v>
      </c>
      <c r="K1944" t="s">
        <v>19</v>
      </c>
      <c r="L1944" t="s">
        <v>33</v>
      </c>
      <c r="M1944">
        <v>696</v>
      </c>
      <c r="N1944">
        <v>6310</v>
      </c>
      <c r="O1944">
        <v>6</v>
      </c>
      <c r="P1944" t="s">
        <v>44</v>
      </c>
      <c r="Q1944" s="1">
        <v>44314</v>
      </c>
    </row>
    <row r="1945" spans="1:17" x14ac:dyDescent="0.3">
      <c r="A1945" t="s">
        <v>14</v>
      </c>
      <c r="B1945" t="s">
        <v>15</v>
      </c>
      <c r="C1945" t="s">
        <v>23</v>
      </c>
      <c r="D1945" t="s">
        <v>24</v>
      </c>
      <c r="E1945" t="s">
        <v>18</v>
      </c>
      <c r="F1945" s="9">
        <v>0.11</v>
      </c>
      <c r="G1945" s="10">
        <v>9886</v>
      </c>
      <c r="H1945">
        <v>4.4400000000000004</v>
      </c>
      <c r="I1945" s="5">
        <f>ROUND(Marketing[[#This Row],[Clicks]]*Marketing[[#This Row],[Conversion_Rate]],0)</f>
        <v>105</v>
      </c>
      <c r="J1945" s="12">
        <f>Marketing[[#This Row],[Campaign_Cost]]/Marketing[[#This Row],[Customers]]</f>
        <v>94.152380952380952</v>
      </c>
      <c r="K1945" t="s">
        <v>19</v>
      </c>
      <c r="L1945" t="s">
        <v>50</v>
      </c>
      <c r="M1945">
        <v>958</v>
      </c>
      <c r="N1945">
        <v>5544</v>
      </c>
      <c r="O1945">
        <v>9</v>
      </c>
      <c r="P1945" t="s">
        <v>42</v>
      </c>
      <c r="Q1945" s="1">
        <v>44315</v>
      </c>
    </row>
    <row r="1946" spans="1:17" x14ac:dyDescent="0.3">
      <c r="A1946" t="s">
        <v>28</v>
      </c>
      <c r="B1946" t="s">
        <v>36</v>
      </c>
      <c r="C1946" t="s">
        <v>16</v>
      </c>
      <c r="D1946" t="s">
        <v>17</v>
      </c>
      <c r="E1946" t="s">
        <v>15</v>
      </c>
      <c r="F1946" s="9">
        <v>0.1</v>
      </c>
      <c r="G1946" s="10">
        <v>8563</v>
      </c>
      <c r="H1946">
        <v>2.36</v>
      </c>
      <c r="I1946" s="5">
        <f>ROUND(Marketing[[#This Row],[Clicks]]*Marketing[[#This Row],[Conversion_Rate]],0)</f>
        <v>40</v>
      </c>
      <c r="J1946" s="12">
        <f>Marketing[[#This Row],[Campaign_Cost]]/Marketing[[#This Row],[Customers]]</f>
        <v>214.07499999999999</v>
      </c>
      <c r="K1946" t="s">
        <v>38</v>
      </c>
      <c r="L1946" t="s">
        <v>20</v>
      </c>
      <c r="M1946">
        <v>395</v>
      </c>
      <c r="N1946">
        <v>1073</v>
      </c>
      <c r="O1946">
        <v>4</v>
      </c>
      <c r="P1946" t="s">
        <v>42</v>
      </c>
      <c r="Q1946" s="1">
        <v>44316</v>
      </c>
    </row>
    <row r="1947" spans="1:17" x14ac:dyDescent="0.3">
      <c r="A1947" t="s">
        <v>14</v>
      </c>
      <c r="B1947" t="s">
        <v>36</v>
      </c>
      <c r="C1947" t="s">
        <v>23</v>
      </c>
      <c r="D1947" t="s">
        <v>46</v>
      </c>
      <c r="E1947" t="s">
        <v>43</v>
      </c>
      <c r="F1947" s="9">
        <v>0.04</v>
      </c>
      <c r="G1947" s="10">
        <v>9937</v>
      </c>
      <c r="H1947">
        <v>6.68</v>
      </c>
      <c r="I1947" s="5">
        <f>ROUND(Marketing[[#This Row],[Clicks]]*Marketing[[#This Row],[Conversion_Rate]],0)</f>
        <v>18</v>
      </c>
      <c r="J1947" s="12">
        <f>Marketing[[#This Row],[Campaign_Cost]]/Marketing[[#This Row],[Customers]]</f>
        <v>552.05555555555554</v>
      </c>
      <c r="K1947" t="s">
        <v>32</v>
      </c>
      <c r="L1947" t="s">
        <v>20</v>
      </c>
      <c r="M1947">
        <v>461</v>
      </c>
      <c r="N1947">
        <v>6852</v>
      </c>
      <c r="O1947">
        <v>1</v>
      </c>
      <c r="P1947" t="s">
        <v>27</v>
      </c>
      <c r="Q1947" s="1">
        <v>44317</v>
      </c>
    </row>
    <row r="1948" spans="1:17" x14ac:dyDescent="0.3">
      <c r="A1948" t="s">
        <v>28</v>
      </c>
      <c r="B1948" t="s">
        <v>15</v>
      </c>
      <c r="C1948" t="s">
        <v>23</v>
      </c>
      <c r="D1948" t="s">
        <v>24</v>
      </c>
      <c r="E1948" t="s">
        <v>31</v>
      </c>
      <c r="F1948" s="9">
        <v>0.09</v>
      </c>
      <c r="G1948" s="10">
        <v>10752</v>
      </c>
      <c r="H1948">
        <v>4.46</v>
      </c>
      <c r="I1948" s="5">
        <f>ROUND(Marketing[[#This Row],[Clicks]]*Marketing[[#This Row],[Conversion_Rate]],0)</f>
        <v>27</v>
      </c>
      <c r="J1948" s="12">
        <f>Marketing[[#This Row],[Campaign_Cost]]/Marketing[[#This Row],[Customers]]</f>
        <v>398.22222222222223</v>
      </c>
      <c r="K1948" t="s">
        <v>19</v>
      </c>
      <c r="L1948" t="s">
        <v>33</v>
      </c>
      <c r="M1948">
        <v>305</v>
      </c>
      <c r="N1948">
        <v>5344</v>
      </c>
      <c r="O1948">
        <v>1</v>
      </c>
      <c r="P1948" t="s">
        <v>27</v>
      </c>
      <c r="Q1948" s="1">
        <v>44318</v>
      </c>
    </row>
    <row r="1949" spans="1:17" x14ac:dyDescent="0.3">
      <c r="A1949" t="s">
        <v>22</v>
      </c>
      <c r="B1949" t="s">
        <v>15</v>
      </c>
      <c r="C1949" t="s">
        <v>37</v>
      </c>
      <c r="D1949" t="s">
        <v>17</v>
      </c>
      <c r="E1949" t="s">
        <v>43</v>
      </c>
      <c r="F1949" s="9">
        <v>0.12</v>
      </c>
      <c r="G1949" s="10">
        <v>5192</v>
      </c>
      <c r="H1949">
        <v>2.3199999999999998</v>
      </c>
      <c r="I1949" s="5">
        <f>ROUND(Marketing[[#This Row],[Clicks]]*Marketing[[#This Row],[Conversion_Rate]],0)</f>
        <v>14</v>
      </c>
      <c r="J1949" s="12">
        <f>Marketing[[#This Row],[Campaign_Cost]]/Marketing[[#This Row],[Customers]]</f>
        <v>370.85714285714283</v>
      </c>
      <c r="K1949" t="s">
        <v>51</v>
      </c>
      <c r="L1949" t="s">
        <v>20</v>
      </c>
      <c r="M1949">
        <v>114</v>
      </c>
      <c r="N1949">
        <v>6501</v>
      </c>
      <c r="O1949">
        <v>2</v>
      </c>
      <c r="P1949" t="s">
        <v>44</v>
      </c>
      <c r="Q1949" s="1">
        <v>44319</v>
      </c>
    </row>
    <row r="1950" spans="1:17" x14ac:dyDescent="0.3">
      <c r="A1950" t="s">
        <v>35</v>
      </c>
      <c r="B1950" t="s">
        <v>47</v>
      </c>
      <c r="C1950" t="s">
        <v>30</v>
      </c>
      <c r="D1950" t="s">
        <v>24</v>
      </c>
      <c r="E1950" t="s">
        <v>43</v>
      </c>
      <c r="F1950" s="9">
        <v>0.04</v>
      </c>
      <c r="G1950" s="10">
        <v>16769</v>
      </c>
      <c r="H1950">
        <v>5.0199999999999996</v>
      </c>
      <c r="I1950" s="5">
        <f>ROUND(Marketing[[#This Row],[Clicks]]*Marketing[[#This Row],[Conversion_Rate]],0)</f>
        <v>33</v>
      </c>
      <c r="J1950" s="12">
        <f>Marketing[[#This Row],[Campaign_Cost]]/Marketing[[#This Row],[Customers]]</f>
        <v>508.15151515151513</v>
      </c>
      <c r="K1950" t="s">
        <v>32</v>
      </c>
      <c r="L1950" t="s">
        <v>20</v>
      </c>
      <c r="M1950">
        <v>833</v>
      </c>
      <c r="N1950">
        <v>7231</v>
      </c>
      <c r="O1950">
        <v>5</v>
      </c>
      <c r="P1950" t="s">
        <v>27</v>
      </c>
      <c r="Q1950" s="1">
        <v>44320</v>
      </c>
    </row>
    <row r="1951" spans="1:17" x14ac:dyDescent="0.3">
      <c r="A1951" t="s">
        <v>49</v>
      </c>
      <c r="B1951" t="s">
        <v>47</v>
      </c>
      <c r="C1951" t="s">
        <v>16</v>
      </c>
      <c r="D1951" t="s">
        <v>46</v>
      </c>
      <c r="E1951" t="s">
        <v>15</v>
      </c>
      <c r="F1951" s="9">
        <v>0.15</v>
      </c>
      <c r="G1951" s="10">
        <v>17959</v>
      </c>
      <c r="H1951">
        <v>6.54</v>
      </c>
      <c r="I1951" s="5">
        <f>ROUND(Marketing[[#This Row],[Clicks]]*Marketing[[#This Row],[Conversion_Rate]],0)</f>
        <v>27</v>
      </c>
      <c r="J1951" s="12">
        <f>Marketing[[#This Row],[Campaign_Cost]]/Marketing[[#This Row],[Customers]]</f>
        <v>665.14814814814815</v>
      </c>
      <c r="K1951" t="s">
        <v>51</v>
      </c>
      <c r="L1951" t="s">
        <v>39</v>
      </c>
      <c r="M1951">
        <v>180</v>
      </c>
      <c r="N1951">
        <v>7704</v>
      </c>
      <c r="O1951">
        <v>10</v>
      </c>
      <c r="P1951" t="s">
        <v>42</v>
      </c>
      <c r="Q1951" s="1">
        <v>44321</v>
      </c>
    </row>
    <row r="1952" spans="1:17" x14ac:dyDescent="0.3">
      <c r="A1952" t="s">
        <v>49</v>
      </c>
      <c r="B1952" t="s">
        <v>36</v>
      </c>
      <c r="C1952" t="s">
        <v>16</v>
      </c>
      <c r="D1952" t="s">
        <v>46</v>
      </c>
      <c r="E1952" t="s">
        <v>31</v>
      </c>
      <c r="F1952" s="9">
        <v>0.13</v>
      </c>
      <c r="G1952" s="10">
        <v>13015</v>
      </c>
      <c r="H1952">
        <v>5.54</v>
      </c>
      <c r="I1952" s="5">
        <f>ROUND(Marketing[[#This Row],[Clicks]]*Marketing[[#This Row],[Conversion_Rate]],0)</f>
        <v>122</v>
      </c>
      <c r="J1952" s="12">
        <f>Marketing[[#This Row],[Campaign_Cost]]/Marketing[[#This Row],[Customers]]</f>
        <v>106.68032786885246</v>
      </c>
      <c r="K1952" t="s">
        <v>38</v>
      </c>
      <c r="L1952" t="s">
        <v>50</v>
      </c>
      <c r="M1952">
        <v>940</v>
      </c>
      <c r="N1952">
        <v>7795</v>
      </c>
      <c r="O1952">
        <v>1</v>
      </c>
      <c r="P1952" t="s">
        <v>21</v>
      </c>
      <c r="Q1952" s="1">
        <v>44322</v>
      </c>
    </row>
    <row r="1953" spans="1:17" x14ac:dyDescent="0.3">
      <c r="A1953" t="s">
        <v>14</v>
      </c>
      <c r="B1953" t="s">
        <v>36</v>
      </c>
      <c r="C1953" t="s">
        <v>30</v>
      </c>
      <c r="D1953" t="s">
        <v>24</v>
      </c>
      <c r="E1953" t="s">
        <v>31</v>
      </c>
      <c r="F1953" s="9">
        <v>0.14000000000000001</v>
      </c>
      <c r="G1953" s="10">
        <v>5596</v>
      </c>
      <c r="H1953">
        <v>5.6</v>
      </c>
      <c r="I1953" s="5">
        <f>ROUND(Marketing[[#This Row],[Clicks]]*Marketing[[#This Row],[Conversion_Rate]],0)</f>
        <v>124</v>
      </c>
      <c r="J1953" s="12">
        <f>Marketing[[#This Row],[Campaign_Cost]]/Marketing[[#This Row],[Customers]]</f>
        <v>45.12903225806452</v>
      </c>
      <c r="K1953" t="s">
        <v>38</v>
      </c>
      <c r="L1953" t="s">
        <v>33</v>
      </c>
      <c r="M1953">
        <v>886</v>
      </c>
      <c r="N1953">
        <v>9619</v>
      </c>
      <c r="O1953">
        <v>3</v>
      </c>
      <c r="P1953" t="s">
        <v>42</v>
      </c>
      <c r="Q1953" s="1">
        <v>44323</v>
      </c>
    </row>
    <row r="1954" spans="1:17" x14ac:dyDescent="0.3">
      <c r="A1954" t="s">
        <v>28</v>
      </c>
      <c r="B1954" t="s">
        <v>45</v>
      </c>
      <c r="C1954" t="s">
        <v>37</v>
      </c>
      <c r="D1954" t="s">
        <v>24</v>
      </c>
      <c r="E1954" t="s">
        <v>48</v>
      </c>
      <c r="F1954" s="9">
        <v>0.14000000000000001</v>
      </c>
      <c r="G1954" s="10">
        <v>17637</v>
      </c>
      <c r="H1954">
        <v>7.39</v>
      </c>
      <c r="I1954" s="5">
        <f>ROUND(Marketing[[#This Row],[Clicks]]*Marketing[[#This Row],[Conversion_Rate]],0)</f>
        <v>49</v>
      </c>
      <c r="J1954" s="12">
        <f>Marketing[[#This Row],[Campaign_Cost]]/Marketing[[#This Row],[Customers]]</f>
        <v>359.9387755102041</v>
      </c>
      <c r="K1954" t="s">
        <v>19</v>
      </c>
      <c r="L1954" t="s">
        <v>50</v>
      </c>
      <c r="M1954">
        <v>348</v>
      </c>
      <c r="N1954">
        <v>3031</v>
      </c>
      <c r="O1954">
        <v>8</v>
      </c>
      <c r="P1954" t="s">
        <v>42</v>
      </c>
      <c r="Q1954" s="1">
        <v>44324</v>
      </c>
    </row>
    <row r="1955" spans="1:17" x14ac:dyDescent="0.3">
      <c r="A1955" t="s">
        <v>22</v>
      </c>
      <c r="B1955" t="s">
        <v>45</v>
      </c>
      <c r="C1955" t="s">
        <v>37</v>
      </c>
      <c r="D1955" t="s">
        <v>40</v>
      </c>
      <c r="E1955" t="s">
        <v>18</v>
      </c>
      <c r="F1955" s="9">
        <v>0.14000000000000001</v>
      </c>
      <c r="G1955" s="10">
        <v>6445</v>
      </c>
      <c r="H1955">
        <v>2.13</v>
      </c>
      <c r="I1955" s="5">
        <f>ROUND(Marketing[[#This Row],[Clicks]]*Marketing[[#This Row],[Conversion_Rate]],0)</f>
        <v>44</v>
      </c>
      <c r="J1955" s="12">
        <f>Marketing[[#This Row],[Campaign_Cost]]/Marketing[[#This Row],[Customers]]</f>
        <v>146.47727272727272</v>
      </c>
      <c r="K1955" t="s">
        <v>32</v>
      </c>
      <c r="L1955" t="s">
        <v>39</v>
      </c>
      <c r="M1955">
        <v>311</v>
      </c>
      <c r="N1955">
        <v>7855</v>
      </c>
      <c r="O1955">
        <v>5</v>
      </c>
      <c r="P1955" t="s">
        <v>27</v>
      </c>
      <c r="Q1955" s="1">
        <v>44325</v>
      </c>
    </row>
    <row r="1956" spans="1:17" x14ac:dyDescent="0.3">
      <c r="A1956" t="s">
        <v>49</v>
      </c>
      <c r="B1956" t="s">
        <v>45</v>
      </c>
      <c r="C1956" t="s">
        <v>16</v>
      </c>
      <c r="D1956" t="s">
        <v>40</v>
      </c>
      <c r="E1956" t="s">
        <v>48</v>
      </c>
      <c r="F1956" s="9">
        <v>0.02</v>
      </c>
      <c r="G1956" s="10">
        <v>19323</v>
      </c>
      <c r="H1956">
        <v>4.42</v>
      </c>
      <c r="I1956" s="5">
        <f>ROUND(Marketing[[#This Row],[Clicks]]*Marketing[[#This Row],[Conversion_Rate]],0)</f>
        <v>17</v>
      </c>
      <c r="J1956" s="12">
        <f>Marketing[[#This Row],[Campaign_Cost]]/Marketing[[#This Row],[Customers]]</f>
        <v>1136.6470588235295</v>
      </c>
      <c r="K1956" t="s">
        <v>38</v>
      </c>
      <c r="L1956" t="s">
        <v>33</v>
      </c>
      <c r="M1956">
        <v>839</v>
      </c>
      <c r="N1956">
        <v>6033</v>
      </c>
      <c r="O1956">
        <v>5</v>
      </c>
      <c r="P1956" t="s">
        <v>27</v>
      </c>
      <c r="Q1956" s="1">
        <v>44326</v>
      </c>
    </row>
    <row r="1957" spans="1:17" x14ac:dyDescent="0.3">
      <c r="A1957" t="s">
        <v>28</v>
      </c>
      <c r="B1957" t="s">
        <v>47</v>
      </c>
      <c r="C1957" t="s">
        <v>37</v>
      </c>
      <c r="D1957" t="s">
        <v>17</v>
      </c>
      <c r="E1957" t="s">
        <v>15</v>
      </c>
      <c r="F1957" s="9">
        <v>7.0000000000000007E-2</v>
      </c>
      <c r="G1957" s="10">
        <v>9661</v>
      </c>
      <c r="H1957">
        <v>7</v>
      </c>
      <c r="I1957" s="5">
        <f>ROUND(Marketing[[#This Row],[Clicks]]*Marketing[[#This Row],[Conversion_Rate]],0)</f>
        <v>64</v>
      </c>
      <c r="J1957" s="12">
        <f>Marketing[[#This Row],[Campaign_Cost]]/Marketing[[#This Row],[Customers]]</f>
        <v>150.953125</v>
      </c>
      <c r="K1957" t="s">
        <v>25</v>
      </c>
      <c r="L1957" t="s">
        <v>20</v>
      </c>
      <c r="M1957">
        <v>916</v>
      </c>
      <c r="N1957">
        <v>1931</v>
      </c>
      <c r="O1957">
        <v>3</v>
      </c>
      <c r="P1957" t="s">
        <v>34</v>
      </c>
      <c r="Q1957" s="1">
        <v>44327</v>
      </c>
    </row>
    <row r="1958" spans="1:17" x14ac:dyDescent="0.3">
      <c r="A1958" t="s">
        <v>35</v>
      </c>
      <c r="B1958" t="s">
        <v>29</v>
      </c>
      <c r="C1958" t="s">
        <v>37</v>
      </c>
      <c r="D1958" t="s">
        <v>46</v>
      </c>
      <c r="E1958" t="s">
        <v>41</v>
      </c>
      <c r="F1958" s="9">
        <v>7.0000000000000007E-2</v>
      </c>
      <c r="G1958" s="10">
        <v>19015</v>
      </c>
      <c r="H1958">
        <v>3.88</v>
      </c>
      <c r="I1958" s="5">
        <f>ROUND(Marketing[[#This Row],[Clicks]]*Marketing[[#This Row],[Conversion_Rate]],0)</f>
        <v>9</v>
      </c>
      <c r="J1958" s="12">
        <f>Marketing[[#This Row],[Campaign_Cost]]/Marketing[[#This Row],[Customers]]</f>
        <v>2112.7777777777778</v>
      </c>
      <c r="K1958" t="s">
        <v>32</v>
      </c>
      <c r="L1958" t="s">
        <v>39</v>
      </c>
      <c r="M1958">
        <v>132</v>
      </c>
      <c r="N1958">
        <v>6775</v>
      </c>
      <c r="O1958">
        <v>6</v>
      </c>
      <c r="P1958" t="s">
        <v>42</v>
      </c>
      <c r="Q1958" s="1">
        <v>44328</v>
      </c>
    </row>
    <row r="1959" spans="1:17" x14ac:dyDescent="0.3">
      <c r="A1959" t="s">
        <v>49</v>
      </c>
      <c r="B1959" t="s">
        <v>45</v>
      </c>
      <c r="C1959" t="s">
        <v>52</v>
      </c>
      <c r="D1959" t="s">
        <v>46</v>
      </c>
      <c r="E1959" t="s">
        <v>43</v>
      </c>
      <c r="F1959" s="9">
        <v>0.09</v>
      </c>
      <c r="G1959" s="10">
        <v>14210</v>
      </c>
      <c r="H1959">
        <v>4.21</v>
      </c>
      <c r="I1959" s="5">
        <f>ROUND(Marketing[[#This Row],[Clicks]]*Marketing[[#This Row],[Conversion_Rate]],0)</f>
        <v>43</v>
      </c>
      <c r="J1959" s="12">
        <f>Marketing[[#This Row],[Campaign_Cost]]/Marketing[[#This Row],[Customers]]</f>
        <v>330.46511627906978</v>
      </c>
      <c r="K1959" t="s">
        <v>51</v>
      </c>
      <c r="L1959" t="s">
        <v>50</v>
      </c>
      <c r="M1959">
        <v>481</v>
      </c>
      <c r="N1959">
        <v>4710</v>
      </c>
      <c r="O1959">
        <v>7</v>
      </c>
      <c r="P1959" t="s">
        <v>34</v>
      </c>
      <c r="Q1959" s="1">
        <v>44329</v>
      </c>
    </row>
    <row r="1960" spans="1:17" x14ac:dyDescent="0.3">
      <c r="A1960" t="s">
        <v>14</v>
      </c>
      <c r="B1960" t="s">
        <v>47</v>
      </c>
      <c r="C1960" t="s">
        <v>37</v>
      </c>
      <c r="D1960" t="s">
        <v>17</v>
      </c>
      <c r="E1960" t="s">
        <v>48</v>
      </c>
      <c r="F1960" s="9">
        <v>0.04</v>
      </c>
      <c r="G1960" s="10">
        <v>5501</v>
      </c>
      <c r="H1960">
        <v>4.6900000000000004</v>
      </c>
      <c r="I1960" s="5">
        <f>ROUND(Marketing[[#This Row],[Clicks]]*Marketing[[#This Row],[Conversion_Rate]],0)</f>
        <v>24</v>
      </c>
      <c r="J1960" s="12">
        <f>Marketing[[#This Row],[Campaign_Cost]]/Marketing[[#This Row],[Customers]]</f>
        <v>229.20833333333334</v>
      </c>
      <c r="K1960" t="s">
        <v>32</v>
      </c>
      <c r="L1960" t="s">
        <v>39</v>
      </c>
      <c r="M1960">
        <v>594</v>
      </c>
      <c r="N1960">
        <v>1468</v>
      </c>
      <c r="O1960">
        <v>9</v>
      </c>
      <c r="P1960" t="s">
        <v>34</v>
      </c>
      <c r="Q1960" s="1">
        <v>44330</v>
      </c>
    </row>
    <row r="1961" spans="1:17" x14ac:dyDescent="0.3">
      <c r="A1961" t="s">
        <v>14</v>
      </c>
      <c r="B1961" t="s">
        <v>15</v>
      </c>
      <c r="C1961" t="s">
        <v>30</v>
      </c>
      <c r="D1961" t="s">
        <v>40</v>
      </c>
      <c r="E1961" t="s">
        <v>41</v>
      </c>
      <c r="F1961" s="9">
        <v>0.09</v>
      </c>
      <c r="G1961" s="10">
        <v>19666</v>
      </c>
      <c r="H1961">
        <v>7.97</v>
      </c>
      <c r="I1961" s="5">
        <f>ROUND(Marketing[[#This Row],[Clicks]]*Marketing[[#This Row],[Conversion_Rate]],0)</f>
        <v>71</v>
      </c>
      <c r="J1961" s="12">
        <f>Marketing[[#This Row],[Campaign_Cost]]/Marketing[[#This Row],[Customers]]</f>
        <v>276.98591549295776</v>
      </c>
      <c r="K1961" t="s">
        <v>38</v>
      </c>
      <c r="L1961" t="s">
        <v>20</v>
      </c>
      <c r="M1961">
        <v>785</v>
      </c>
      <c r="N1961">
        <v>2102</v>
      </c>
      <c r="O1961">
        <v>5</v>
      </c>
      <c r="P1961" t="s">
        <v>42</v>
      </c>
      <c r="Q1961" s="1">
        <v>44331</v>
      </c>
    </row>
    <row r="1962" spans="1:17" x14ac:dyDescent="0.3">
      <c r="A1962" t="s">
        <v>14</v>
      </c>
      <c r="B1962" t="s">
        <v>29</v>
      </c>
      <c r="C1962" t="s">
        <v>16</v>
      </c>
      <c r="D1962" t="s">
        <v>17</v>
      </c>
      <c r="E1962" t="s">
        <v>41</v>
      </c>
      <c r="F1962" s="9">
        <v>0.11</v>
      </c>
      <c r="G1962" s="10">
        <v>15130</v>
      </c>
      <c r="H1962">
        <v>2.38</v>
      </c>
      <c r="I1962" s="5">
        <f>ROUND(Marketing[[#This Row],[Clicks]]*Marketing[[#This Row],[Conversion_Rate]],0)</f>
        <v>34</v>
      </c>
      <c r="J1962" s="12">
        <f>Marketing[[#This Row],[Campaign_Cost]]/Marketing[[#This Row],[Customers]]</f>
        <v>445</v>
      </c>
      <c r="K1962" t="s">
        <v>32</v>
      </c>
      <c r="L1962" t="s">
        <v>50</v>
      </c>
      <c r="M1962">
        <v>307</v>
      </c>
      <c r="N1962">
        <v>4925</v>
      </c>
      <c r="O1962">
        <v>8</v>
      </c>
      <c r="P1962" t="s">
        <v>27</v>
      </c>
      <c r="Q1962" s="1">
        <v>44332</v>
      </c>
    </row>
    <row r="1963" spans="1:17" x14ac:dyDescent="0.3">
      <c r="A1963" t="s">
        <v>35</v>
      </c>
      <c r="B1963" t="s">
        <v>36</v>
      </c>
      <c r="C1963" t="s">
        <v>23</v>
      </c>
      <c r="D1963" t="s">
        <v>24</v>
      </c>
      <c r="E1963" t="s">
        <v>48</v>
      </c>
      <c r="F1963" s="9">
        <v>0.04</v>
      </c>
      <c r="G1963" s="10">
        <v>17084</v>
      </c>
      <c r="H1963">
        <v>5.61</v>
      </c>
      <c r="I1963" s="5">
        <f>ROUND(Marketing[[#This Row],[Clicks]]*Marketing[[#This Row],[Conversion_Rate]],0)</f>
        <v>37</v>
      </c>
      <c r="J1963" s="12">
        <f>Marketing[[#This Row],[Campaign_Cost]]/Marketing[[#This Row],[Customers]]</f>
        <v>461.72972972972974</v>
      </c>
      <c r="K1963" t="s">
        <v>38</v>
      </c>
      <c r="L1963" t="s">
        <v>20</v>
      </c>
      <c r="M1963">
        <v>927</v>
      </c>
      <c r="N1963">
        <v>1027</v>
      </c>
      <c r="O1963">
        <v>1</v>
      </c>
      <c r="P1963" t="s">
        <v>34</v>
      </c>
      <c r="Q1963" s="1">
        <v>44333</v>
      </c>
    </row>
    <row r="1964" spans="1:17" x14ac:dyDescent="0.3">
      <c r="A1964" t="s">
        <v>49</v>
      </c>
      <c r="B1964" t="s">
        <v>15</v>
      </c>
      <c r="C1964" t="s">
        <v>16</v>
      </c>
      <c r="D1964" t="s">
        <v>40</v>
      </c>
      <c r="E1964" t="s">
        <v>31</v>
      </c>
      <c r="F1964" s="9">
        <v>7.0000000000000007E-2</v>
      </c>
      <c r="G1964" s="10">
        <v>11588</v>
      </c>
      <c r="H1964">
        <v>7.21</v>
      </c>
      <c r="I1964" s="5">
        <f>ROUND(Marketing[[#This Row],[Clicks]]*Marketing[[#This Row],[Conversion_Rate]],0)</f>
        <v>57</v>
      </c>
      <c r="J1964" s="12">
        <f>Marketing[[#This Row],[Campaign_Cost]]/Marketing[[#This Row],[Customers]]</f>
        <v>203.2982456140351</v>
      </c>
      <c r="K1964" t="s">
        <v>25</v>
      </c>
      <c r="L1964" t="s">
        <v>20</v>
      </c>
      <c r="M1964">
        <v>810</v>
      </c>
      <c r="N1964">
        <v>7767</v>
      </c>
      <c r="O1964">
        <v>6</v>
      </c>
      <c r="P1964" t="s">
        <v>34</v>
      </c>
      <c r="Q1964" s="1">
        <v>44334</v>
      </c>
    </row>
    <row r="1965" spans="1:17" x14ac:dyDescent="0.3">
      <c r="A1965" t="s">
        <v>49</v>
      </c>
      <c r="B1965" t="s">
        <v>45</v>
      </c>
      <c r="C1965" t="s">
        <v>37</v>
      </c>
      <c r="D1965" t="s">
        <v>40</v>
      </c>
      <c r="E1965" t="s">
        <v>41</v>
      </c>
      <c r="F1965" s="9">
        <v>0.05</v>
      </c>
      <c r="G1965" s="10">
        <v>6735</v>
      </c>
      <c r="H1965">
        <v>2.23</v>
      </c>
      <c r="I1965" s="5">
        <f>ROUND(Marketing[[#This Row],[Clicks]]*Marketing[[#This Row],[Conversion_Rate]],0)</f>
        <v>26</v>
      </c>
      <c r="J1965" s="12">
        <f>Marketing[[#This Row],[Campaign_Cost]]/Marketing[[#This Row],[Customers]]</f>
        <v>259.03846153846155</v>
      </c>
      <c r="K1965" t="s">
        <v>38</v>
      </c>
      <c r="L1965" t="s">
        <v>39</v>
      </c>
      <c r="M1965">
        <v>512</v>
      </c>
      <c r="N1965">
        <v>2244</v>
      </c>
      <c r="O1965">
        <v>1</v>
      </c>
      <c r="P1965" t="s">
        <v>27</v>
      </c>
      <c r="Q1965" s="1">
        <v>44335</v>
      </c>
    </row>
    <row r="1966" spans="1:17" x14ac:dyDescent="0.3">
      <c r="A1966" t="s">
        <v>49</v>
      </c>
      <c r="B1966" t="s">
        <v>47</v>
      </c>
      <c r="C1966" t="s">
        <v>16</v>
      </c>
      <c r="D1966" t="s">
        <v>17</v>
      </c>
      <c r="E1966" t="s">
        <v>48</v>
      </c>
      <c r="F1966" s="9">
        <v>0.06</v>
      </c>
      <c r="G1966" s="10">
        <v>12395</v>
      </c>
      <c r="H1966">
        <v>5.17</v>
      </c>
      <c r="I1966" s="5">
        <f>ROUND(Marketing[[#This Row],[Clicks]]*Marketing[[#This Row],[Conversion_Rate]],0)</f>
        <v>14</v>
      </c>
      <c r="J1966" s="12">
        <f>Marketing[[#This Row],[Campaign_Cost]]/Marketing[[#This Row],[Customers]]</f>
        <v>885.35714285714289</v>
      </c>
      <c r="K1966" t="s">
        <v>19</v>
      </c>
      <c r="L1966" t="s">
        <v>20</v>
      </c>
      <c r="M1966">
        <v>234</v>
      </c>
      <c r="N1966">
        <v>4202</v>
      </c>
      <c r="O1966">
        <v>1</v>
      </c>
      <c r="P1966" t="s">
        <v>44</v>
      </c>
      <c r="Q1966" s="1">
        <v>44336</v>
      </c>
    </row>
    <row r="1967" spans="1:17" x14ac:dyDescent="0.3">
      <c r="A1967" t="s">
        <v>49</v>
      </c>
      <c r="B1967" t="s">
        <v>36</v>
      </c>
      <c r="C1967" t="s">
        <v>37</v>
      </c>
      <c r="D1967" t="s">
        <v>24</v>
      </c>
      <c r="E1967" t="s">
        <v>48</v>
      </c>
      <c r="F1967" s="9">
        <v>0.04</v>
      </c>
      <c r="G1967" s="10">
        <v>17873</v>
      </c>
      <c r="H1967">
        <v>4.95</v>
      </c>
      <c r="I1967" s="5">
        <f>ROUND(Marketing[[#This Row],[Clicks]]*Marketing[[#This Row],[Conversion_Rate]],0)</f>
        <v>30</v>
      </c>
      <c r="J1967" s="12">
        <f>Marketing[[#This Row],[Campaign_Cost]]/Marketing[[#This Row],[Customers]]</f>
        <v>595.76666666666665</v>
      </c>
      <c r="K1967" t="s">
        <v>32</v>
      </c>
      <c r="L1967" t="s">
        <v>39</v>
      </c>
      <c r="M1967">
        <v>754</v>
      </c>
      <c r="N1967">
        <v>3624</v>
      </c>
      <c r="O1967">
        <v>4</v>
      </c>
      <c r="P1967" t="s">
        <v>44</v>
      </c>
      <c r="Q1967" s="1">
        <v>44337</v>
      </c>
    </row>
    <row r="1968" spans="1:17" x14ac:dyDescent="0.3">
      <c r="A1968" t="s">
        <v>49</v>
      </c>
      <c r="B1968" t="s">
        <v>47</v>
      </c>
      <c r="C1968" t="s">
        <v>23</v>
      </c>
      <c r="D1968" t="s">
        <v>24</v>
      </c>
      <c r="E1968" t="s">
        <v>41</v>
      </c>
      <c r="F1968" s="9">
        <v>0.02</v>
      </c>
      <c r="G1968" s="10">
        <v>8326</v>
      </c>
      <c r="H1968">
        <v>5.08</v>
      </c>
      <c r="I1968" s="5">
        <f>ROUND(Marketing[[#This Row],[Clicks]]*Marketing[[#This Row],[Conversion_Rate]],0)</f>
        <v>13</v>
      </c>
      <c r="J1968" s="12">
        <f>Marketing[[#This Row],[Campaign_Cost]]/Marketing[[#This Row],[Customers]]</f>
        <v>640.46153846153845</v>
      </c>
      <c r="K1968" t="s">
        <v>19</v>
      </c>
      <c r="L1968" t="s">
        <v>20</v>
      </c>
      <c r="M1968">
        <v>664</v>
      </c>
      <c r="N1968">
        <v>5342</v>
      </c>
      <c r="O1968">
        <v>5</v>
      </c>
      <c r="P1968" t="s">
        <v>27</v>
      </c>
      <c r="Q1968" s="1">
        <v>44338</v>
      </c>
    </row>
    <row r="1969" spans="1:17" x14ac:dyDescent="0.3">
      <c r="A1969" t="s">
        <v>49</v>
      </c>
      <c r="B1969" t="s">
        <v>47</v>
      </c>
      <c r="C1969" t="s">
        <v>23</v>
      </c>
      <c r="D1969" t="s">
        <v>46</v>
      </c>
      <c r="E1969" t="s">
        <v>43</v>
      </c>
      <c r="F1969" s="9">
        <v>0.02</v>
      </c>
      <c r="G1969" s="10">
        <v>12250</v>
      </c>
      <c r="H1969">
        <v>7.23</v>
      </c>
      <c r="I1969" s="5">
        <f>ROUND(Marketing[[#This Row],[Clicks]]*Marketing[[#This Row],[Conversion_Rate]],0)</f>
        <v>17</v>
      </c>
      <c r="J1969" s="12">
        <f>Marketing[[#This Row],[Campaign_Cost]]/Marketing[[#This Row],[Customers]]</f>
        <v>720.58823529411768</v>
      </c>
      <c r="K1969" t="s">
        <v>19</v>
      </c>
      <c r="L1969" t="s">
        <v>50</v>
      </c>
      <c r="M1969">
        <v>825</v>
      </c>
      <c r="N1969">
        <v>7094</v>
      </c>
      <c r="O1969">
        <v>2</v>
      </c>
      <c r="P1969" t="s">
        <v>44</v>
      </c>
      <c r="Q1969" s="1">
        <v>44339</v>
      </c>
    </row>
    <row r="1970" spans="1:17" x14ac:dyDescent="0.3">
      <c r="A1970" t="s">
        <v>49</v>
      </c>
      <c r="B1970" t="s">
        <v>36</v>
      </c>
      <c r="C1970" t="s">
        <v>30</v>
      </c>
      <c r="D1970" t="s">
        <v>40</v>
      </c>
      <c r="E1970" t="s">
        <v>15</v>
      </c>
      <c r="F1970" s="9">
        <v>0.1</v>
      </c>
      <c r="G1970" s="10">
        <v>18137</v>
      </c>
      <c r="H1970">
        <v>7.56</v>
      </c>
      <c r="I1970" s="5">
        <f>ROUND(Marketing[[#This Row],[Clicks]]*Marketing[[#This Row],[Conversion_Rate]],0)</f>
        <v>26</v>
      </c>
      <c r="J1970" s="12">
        <f>Marketing[[#This Row],[Campaign_Cost]]/Marketing[[#This Row],[Customers]]</f>
        <v>697.57692307692309</v>
      </c>
      <c r="K1970" t="s">
        <v>25</v>
      </c>
      <c r="L1970" t="s">
        <v>33</v>
      </c>
      <c r="M1970">
        <v>263</v>
      </c>
      <c r="N1970">
        <v>5417</v>
      </c>
      <c r="O1970">
        <v>9</v>
      </c>
      <c r="P1970" t="s">
        <v>27</v>
      </c>
      <c r="Q1970" s="1">
        <v>44340</v>
      </c>
    </row>
    <row r="1971" spans="1:17" x14ac:dyDescent="0.3">
      <c r="A1971" t="s">
        <v>49</v>
      </c>
      <c r="B1971" t="s">
        <v>29</v>
      </c>
      <c r="C1971" t="s">
        <v>23</v>
      </c>
      <c r="D1971" t="s">
        <v>17</v>
      </c>
      <c r="E1971" t="s">
        <v>43</v>
      </c>
      <c r="F1971" s="9">
        <v>0.12</v>
      </c>
      <c r="G1971" s="10">
        <v>8762</v>
      </c>
      <c r="H1971">
        <v>6.61</v>
      </c>
      <c r="I1971" s="5">
        <f>ROUND(Marketing[[#This Row],[Clicks]]*Marketing[[#This Row],[Conversion_Rate]],0)</f>
        <v>100</v>
      </c>
      <c r="J1971" s="12">
        <f>Marketing[[#This Row],[Campaign_Cost]]/Marketing[[#This Row],[Customers]]</f>
        <v>87.62</v>
      </c>
      <c r="K1971" t="s">
        <v>19</v>
      </c>
      <c r="L1971" t="s">
        <v>26</v>
      </c>
      <c r="M1971">
        <v>837</v>
      </c>
      <c r="N1971">
        <v>9719</v>
      </c>
      <c r="O1971">
        <v>3</v>
      </c>
      <c r="P1971" t="s">
        <v>42</v>
      </c>
      <c r="Q1971" s="1">
        <v>44341</v>
      </c>
    </row>
    <row r="1972" spans="1:17" x14ac:dyDescent="0.3">
      <c r="A1972" t="s">
        <v>22</v>
      </c>
      <c r="B1972" t="s">
        <v>29</v>
      </c>
      <c r="C1972" t="s">
        <v>16</v>
      </c>
      <c r="D1972" t="s">
        <v>17</v>
      </c>
      <c r="E1972" t="s">
        <v>31</v>
      </c>
      <c r="F1972" s="9">
        <v>0.02</v>
      </c>
      <c r="G1972" s="10">
        <v>10154</v>
      </c>
      <c r="H1972">
        <v>7.91</v>
      </c>
      <c r="I1972" s="5">
        <f>ROUND(Marketing[[#This Row],[Clicks]]*Marketing[[#This Row],[Conversion_Rate]],0)</f>
        <v>2</v>
      </c>
      <c r="J1972" s="12">
        <f>Marketing[[#This Row],[Campaign_Cost]]/Marketing[[#This Row],[Customers]]</f>
        <v>5077</v>
      </c>
      <c r="K1972" t="s">
        <v>51</v>
      </c>
      <c r="L1972" t="s">
        <v>20</v>
      </c>
      <c r="M1972">
        <v>106</v>
      </c>
      <c r="N1972">
        <v>1386</v>
      </c>
      <c r="O1972">
        <v>7</v>
      </c>
      <c r="P1972" t="s">
        <v>21</v>
      </c>
      <c r="Q1972" s="1">
        <v>44342</v>
      </c>
    </row>
    <row r="1973" spans="1:17" x14ac:dyDescent="0.3">
      <c r="A1973" t="s">
        <v>28</v>
      </c>
      <c r="B1973" t="s">
        <v>45</v>
      </c>
      <c r="C1973" t="s">
        <v>37</v>
      </c>
      <c r="D1973" t="s">
        <v>17</v>
      </c>
      <c r="E1973" t="s">
        <v>18</v>
      </c>
      <c r="F1973" s="9">
        <v>0.02</v>
      </c>
      <c r="G1973" s="10">
        <v>15941</v>
      </c>
      <c r="H1973">
        <v>3.86</v>
      </c>
      <c r="I1973" s="5">
        <f>ROUND(Marketing[[#This Row],[Clicks]]*Marketing[[#This Row],[Conversion_Rate]],0)</f>
        <v>8</v>
      </c>
      <c r="J1973" s="12">
        <f>Marketing[[#This Row],[Campaign_Cost]]/Marketing[[#This Row],[Customers]]</f>
        <v>1992.625</v>
      </c>
      <c r="K1973" t="s">
        <v>38</v>
      </c>
      <c r="L1973" t="s">
        <v>50</v>
      </c>
      <c r="M1973">
        <v>390</v>
      </c>
      <c r="N1973">
        <v>3698</v>
      </c>
      <c r="O1973">
        <v>10</v>
      </c>
      <c r="P1973" t="s">
        <v>34</v>
      </c>
      <c r="Q1973" s="1">
        <v>44343</v>
      </c>
    </row>
    <row r="1974" spans="1:17" x14ac:dyDescent="0.3">
      <c r="A1974" t="s">
        <v>49</v>
      </c>
      <c r="B1974" t="s">
        <v>36</v>
      </c>
      <c r="C1974" t="s">
        <v>16</v>
      </c>
      <c r="D1974" t="s">
        <v>24</v>
      </c>
      <c r="E1974" t="s">
        <v>15</v>
      </c>
      <c r="F1974" s="9">
        <v>0.03</v>
      </c>
      <c r="G1974" s="10">
        <v>5111</v>
      </c>
      <c r="H1974">
        <v>7.26</v>
      </c>
      <c r="I1974" s="5">
        <f>ROUND(Marketing[[#This Row],[Clicks]]*Marketing[[#This Row],[Conversion_Rate]],0)</f>
        <v>28</v>
      </c>
      <c r="J1974" s="12">
        <f>Marketing[[#This Row],[Campaign_Cost]]/Marketing[[#This Row],[Customers]]</f>
        <v>182.53571428571428</v>
      </c>
      <c r="K1974" t="s">
        <v>32</v>
      </c>
      <c r="L1974" t="s">
        <v>20</v>
      </c>
      <c r="M1974">
        <v>947</v>
      </c>
      <c r="N1974">
        <v>2774</v>
      </c>
      <c r="O1974">
        <v>8</v>
      </c>
      <c r="P1974" t="s">
        <v>27</v>
      </c>
      <c r="Q1974" s="1">
        <v>44344</v>
      </c>
    </row>
    <row r="1975" spans="1:17" x14ac:dyDescent="0.3">
      <c r="A1975" t="s">
        <v>14</v>
      </c>
      <c r="B1975" t="s">
        <v>47</v>
      </c>
      <c r="C1975" t="s">
        <v>23</v>
      </c>
      <c r="D1975" t="s">
        <v>17</v>
      </c>
      <c r="E1975" t="s">
        <v>31</v>
      </c>
      <c r="F1975" s="9">
        <v>7.0000000000000007E-2</v>
      </c>
      <c r="G1975" s="10">
        <v>14137</v>
      </c>
      <c r="H1975">
        <v>4.0599999999999996</v>
      </c>
      <c r="I1975" s="5">
        <f>ROUND(Marketing[[#This Row],[Clicks]]*Marketing[[#This Row],[Conversion_Rate]],0)</f>
        <v>49</v>
      </c>
      <c r="J1975" s="12">
        <f>Marketing[[#This Row],[Campaign_Cost]]/Marketing[[#This Row],[Customers]]</f>
        <v>288.51020408163265</v>
      </c>
      <c r="K1975" t="s">
        <v>19</v>
      </c>
      <c r="L1975" t="s">
        <v>20</v>
      </c>
      <c r="M1975">
        <v>707</v>
      </c>
      <c r="N1975">
        <v>9563</v>
      </c>
      <c r="O1975">
        <v>7</v>
      </c>
      <c r="P1975" t="s">
        <v>34</v>
      </c>
      <c r="Q1975" s="1">
        <v>44345</v>
      </c>
    </row>
    <row r="1976" spans="1:17" x14ac:dyDescent="0.3">
      <c r="A1976" t="s">
        <v>35</v>
      </c>
      <c r="B1976" t="s">
        <v>47</v>
      </c>
      <c r="C1976" t="s">
        <v>23</v>
      </c>
      <c r="D1976" t="s">
        <v>46</v>
      </c>
      <c r="E1976" t="s">
        <v>18</v>
      </c>
      <c r="F1976" s="9">
        <v>0.11</v>
      </c>
      <c r="G1976" s="10">
        <v>15634</v>
      </c>
      <c r="H1976">
        <v>7.95</v>
      </c>
      <c r="I1976" s="5">
        <f>ROUND(Marketing[[#This Row],[Clicks]]*Marketing[[#This Row],[Conversion_Rate]],0)</f>
        <v>80</v>
      </c>
      <c r="J1976" s="12">
        <f>Marketing[[#This Row],[Campaign_Cost]]/Marketing[[#This Row],[Customers]]</f>
        <v>195.42500000000001</v>
      </c>
      <c r="K1976" t="s">
        <v>51</v>
      </c>
      <c r="L1976" t="s">
        <v>33</v>
      </c>
      <c r="M1976">
        <v>728</v>
      </c>
      <c r="N1976">
        <v>7449</v>
      </c>
      <c r="O1976">
        <v>2</v>
      </c>
      <c r="P1976" t="s">
        <v>21</v>
      </c>
      <c r="Q1976" s="1">
        <v>44346</v>
      </c>
    </row>
    <row r="1977" spans="1:17" x14ac:dyDescent="0.3">
      <c r="A1977" t="s">
        <v>49</v>
      </c>
      <c r="B1977" t="s">
        <v>36</v>
      </c>
      <c r="C1977" t="s">
        <v>30</v>
      </c>
      <c r="D1977" t="s">
        <v>24</v>
      </c>
      <c r="E1977" t="s">
        <v>48</v>
      </c>
      <c r="F1977" s="9">
        <v>0.12</v>
      </c>
      <c r="G1977" s="10">
        <v>7595</v>
      </c>
      <c r="H1977">
        <v>3.53</v>
      </c>
      <c r="I1977" s="5">
        <f>ROUND(Marketing[[#This Row],[Clicks]]*Marketing[[#This Row],[Conversion_Rate]],0)</f>
        <v>103</v>
      </c>
      <c r="J1977" s="12">
        <f>Marketing[[#This Row],[Campaign_Cost]]/Marketing[[#This Row],[Customers]]</f>
        <v>73.737864077669897</v>
      </c>
      <c r="K1977" t="s">
        <v>51</v>
      </c>
      <c r="L1977" t="s">
        <v>50</v>
      </c>
      <c r="M1977">
        <v>857</v>
      </c>
      <c r="N1977">
        <v>3474</v>
      </c>
      <c r="O1977">
        <v>4</v>
      </c>
      <c r="P1977" t="s">
        <v>44</v>
      </c>
      <c r="Q1977" s="1">
        <v>44347</v>
      </c>
    </row>
    <row r="1978" spans="1:17" x14ac:dyDescent="0.3">
      <c r="A1978" t="s">
        <v>35</v>
      </c>
      <c r="B1978" t="s">
        <v>47</v>
      </c>
      <c r="C1978" t="s">
        <v>23</v>
      </c>
      <c r="D1978" t="s">
        <v>40</v>
      </c>
      <c r="E1978" t="s">
        <v>31</v>
      </c>
      <c r="F1978" s="9">
        <v>7.0000000000000007E-2</v>
      </c>
      <c r="G1978" s="10">
        <v>9998</v>
      </c>
      <c r="H1978">
        <v>4.5</v>
      </c>
      <c r="I1978" s="5">
        <f>ROUND(Marketing[[#This Row],[Clicks]]*Marketing[[#This Row],[Conversion_Rate]],0)</f>
        <v>56</v>
      </c>
      <c r="J1978" s="12">
        <f>Marketing[[#This Row],[Campaign_Cost]]/Marketing[[#This Row],[Customers]]</f>
        <v>178.53571428571428</v>
      </c>
      <c r="K1978" t="s">
        <v>38</v>
      </c>
      <c r="L1978" t="s">
        <v>33</v>
      </c>
      <c r="M1978">
        <v>807</v>
      </c>
      <c r="N1978">
        <v>8839</v>
      </c>
      <c r="O1978">
        <v>3</v>
      </c>
      <c r="P1978" t="s">
        <v>27</v>
      </c>
      <c r="Q1978" s="1">
        <v>44348</v>
      </c>
    </row>
    <row r="1979" spans="1:17" x14ac:dyDescent="0.3">
      <c r="A1979" t="s">
        <v>14</v>
      </c>
      <c r="B1979" t="s">
        <v>15</v>
      </c>
      <c r="C1979" t="s">
        <v>37</v>
      </c>
      <c r="D1979" t="s">
        <v>17</v>
      </c>
      <c r="E1979" t="s">
        <v>31</v>
      </c>
      <c r="F1979" s="9">
        <v>0.02</v>
      </c>
      <c r="G1979" s="10">
        <v>11372</v>
      </c>
      <c r="H1979">
        <v>6.61</v>
      </c>
      <c r="I1979" s="5">
        <f>ROUND(Marketing[[#This Row],[Clicks]]*Marketing[[#This Row],[Conversion_Rate]],0)</f>
        <v>2</v>
      </c>
      <c r="J1979" s="12">
        <f>Marketing[[#This Row],[Campaign_Cost]]/Marketing[[#This Row],[Customers]]</f>
        <v>5686</v>
      </c>
      <c r="K1979" t="s">
        <v>32</v>
      </c>
      <c r="L1979" t="s">
        <v>20</v>
      </c>
      <c r="M1979">
        <v>107</v>
      </c>
      <c r="N1979">
        <v>5432</v>
      </c>
      <c r="O1979">
        <v>9</v>
      </c>
      <c r="P1979" t="s">
        <v>42</v>
      </c>
      <c r="Q1979" s="1">
        <v>44349</v>
      </c>
    </row>
    <row r="1980" spans="1:17" x14ac:dyDescent="0.3">
      <c r="A1980" t="s">
        <v>22</v>
      </c>
      <c r="B1980" t="s">
        <v>15</v>
      </c>
      <c r="C1980" t="s">
        <v>23</v>
      </c>
      <c r="D1980" t="s">
        <v>17</v>
      </c>
      <c r="E1980" t="s">
        <v>15</v>
      </c>
      <c r="F1980" s="9">
        <v>0.03</v>
      </c>
      <c r="G1980" s="10">
        <v>5072</v>
      </c>
      <c r="H1980">
        <v>5.71</v>
      </c>
      <c r="I1980" s="5">
        <f>ROUND(Marketing[[#This Row],[Clicks]]*Marketing[[#This Row],[Conversion_Rate]],0)</f>
        <v>11</v>
      </c>
      <c r="J1980" s="12">
        <f>Marketing[[#This Row],[Campaign_Cost]]/Marketing[[#This Row],[Customers]]</f>
        <v>461.09090909090907</v>
      </c>
      <c r="K1980" t="s">
        <v>32</v>
      </c>
      <c r="L1980" t="s">
        <v>39</v>
      </c>
      <c r="M1980">
        <v>359</v>
      </c>
      <c r="N1980">
        <v>9864</v>
      </c>
      <c r="O1980">
        <v>4</v>
      </c>
      <c r="P1980" t="s">
        <v>42</v>
      </c>
      <c r="Q1980" s="1">
        <v>44350</v>
      </c>
    </row>
    <row r="1981" spans="1:17" x14ac:dyDescent="0.3">
      <c r="A1981" t="s">
        <v>35</v>
      </c>
      <c r="B1981" t="s">
        <v>47</v>
      </c>
      <c r="C1981" t="s">
        <v>52</v>
      </c>
      <c r="D1981" t="s">
        <v>17</v>
      </c>
      <c r="E1981" t="s">
        <v>43</v>
      </c>
      <c r="F1981" s="9">
        <v>0.09</v>
      </c>
      <c r="G1981" s="10">
        <v>12757</v>
      </c>
      <c r="H1981">
        <v>3.61</v>
      </c>
      <c r="I1981" s="5">
        <f>ROUND(Marketing[[#This Row],[Clicks]]*Marketing[[#This Row],[Conversion_Rate]],0)</f>
        <v>13</v>
      </c>
      <c r="J1981" s="12">
        <f>Marketing[[#This Row],[Campaign_Cost]]/Marketing[[#This Row],[Customers]]</f>
        <v>981.30769230769226</v>
      </c>
      <c r="K1981" t="s">
        <v>25</v>
      </c>
      <c r="L1981" t="s">
        <v>20</v>
      </c>
      <c r="M1981">
        <v>145</v>
      </c>
      <c r="N1981">
        <v>4500</v>
      </c>
      <c r="O1981">
        <v>7</v>
      </c>
      <c r="P1981" t="s">
        <v>44</v>
      </c>
      <c r="Q1981" s="1">
        <v>44351</v>
      </c>
    </row>
    <row r="1982" spans="1:17" x14ac:dyDescent="0.3">
      <c r="A1982" t="s">
        <v>22</v>
      </c>
      <c r="B1982" t="s">
        <v>47</v>
      </c>
      <c r="C1982" t="s">
        <v>52</v>
      </c>
      <c r="D1982" t="s">
        <v>17</v>
      </c>
      <c r="E1982" t="s">
        <v>41</v>
      </c>
      <c r="F1982" s="9">
        <v>0.11</v>
      </c>
      <c r="G1982" s="10">
        <v>19812</v>
      </c>
      <c r="H1982">
        <v>4.99</v>
      </c>
      <c r="I1982" s="5">
        <f>ROUND(Marketing[[#This Row],[Clicks]]*Marketing[[#This Row],[Conversion_Rate]],0)</f>
        <v>84</v>
      </c>
      <c r="J1982" s="12">
        <f>Marketing[[#This Row],[Campaign_Cost]]/Marketing[[#This Row],[Customers]]</f>
        <v>235.85714285714286</v>
      </c>
      <c r="K1982" t="s">
        <v>19</v>
      </c>
      <c r="L1982" t="s">
        <v>20</v>
      </c>
      <c r="M1982">
        <v>762</v>
      </c>
      <c r="N1982">
        <v>8773</v>
      </c>
      <c r="O1982">
        <v>8</v>
      </c>
      <c r="P1982" t="s">
        <v>44</v>
      </c>
      <c r="Q1982" s="1">
        <v>44352</v>
      </c>
    </row>
    <row r="1983" spans="1:17" x14ac:dyDescent="0.3">
      <c r="A1983" t="s">
        <v>28</v>
      </c>
      <c r="B1983" t="s">
        <v>45</v>
      </c>
      <c r="C1983" t="s">
        <v>37</v>
      </c>
      <c r="D1983" t="s">
        <v>40</v>
      </c>
      <c r="E1983" t="s">
        <v>43</v>
      </c>
      <c r="F1983" s="9">
        <v>0.1</v>
      </c>
      <c r="G1983" s="10">
        <v>13079</v>
      </c>
      <c r="H1983">
        <v>4.07</v>
      </c>
      <c r="I1983" s="5">
        <f>ROUND(Marketing[[#This Row],[Clicks]]*Marketing[[#This Row],[Conversion_Rate]],0)</f>
        <v>32</v>
      </c>
      <c r="J1983" s="12">
        <f>Marketing[[#This Row],[Campaign_Cost]]/Marketing[[#This Row],[Customers]]</f>
        <v>408.71875</v>
      </c>
      <c r="K1983" t="s">
        <v>19</v>
      </c>
      <c r="L1983" t="s">
        <v>20</v>
      </c>
      <c r="M1983">
        <v>319</v>
      </c>
      <c r="N1983">
        <v>4170</v>
      </c>
      <c r="O1983">
        <v>1</v>
      </c>
      <c r="P1983" t="s">
        <v>44</v>
      </c>
      <c r="Q1983" s="1">
        <v>44353</v>
      </c>
    </row>
    <row r="1984" spans="1:17" x14ac:dyDescent="0.3">
      <c r="A1984" t="s">
        <v>22</v>
      </c>
      <c r="B1984" t="s">
        <v>45</v>
      </c>
      <c r="C1984" t="s">
        <v>37</v>
      </c>
      <c r="D1984" t="s">
        <v>46</v>
      </c>
      <c r="E1984" t="s">
        <v>15</v>
      </c>
      <c r="F1984" s="9">
        <v>0.14000000000000001</v>
      </c>
      <c r="G1984" s="10">
        <v>10012</v>
      </c>
      <c r="H1984">
        <v>3.64</v>
      </c>
      <c r="I1984" s="5">
        <f>ROUND(Marketing[[#This Row],[Clicks]]*Marketing[[#This Row],[Conversion_Rate]],0)</f>
        <v>84</v>
      </c>
      <c r="J1984" s="12">
        <f>Marketing[[#This Row],[Campaign_Cost]]/Marketing[[#This Row],[Customers]]</f>
        <v>119.19047619047619</v>
      </c>
      <c r="K1984" t="s">
        <v>32</v>
      </c>
      <c r="L1984" t="s">
        <v>26</v>
      </c>
      <c r="M1984">
        <v>600</v>
      </c>
      <c r="N1984">
        <v>7646</v>
      </c>
      <c r="O1984">
        <v>2</v>
      </c>
      <c r="P1984" t="s">
        <v>44</v>
      </c>
      <c r="Q1984" s="1">
        <v>44354</v>
      </c>
    </row>
    <row r="1985" spans="1:17" x14ac:dyDescent="0.3">
      <c r="A1985" t="s">
        <v>35</v>
      </c>
      <c r="B1985" t="s">
        <v>36</v>
      </c>
      <c r="C1985" t="s">
        <v>16</v>
      </c>
      <c r="D1985" t="s">
        <v>17</v>
      </c>
      <c r="E1985" t="s">
        <v>43</v>
      </c>
      <c r="F1985" s="9">
        <v>0.13</v>
      </c>
      <c r="G1985" s="10">
        <v>17619</v>
      </c>
      <c r="H1985">
        <v>6.91</v>
      </c>
      <c r="I1985" s="5">
        <f>ROUND(Marketing[[#This Row],[Clicks]]*Marketing[[#This Row],[Conversion_Rate]],0)</f>
        <v>122</v>
      </c>
      <c r="J1985" s="12">
        <f>Marketing[[#This Row],[Campaign_Cost]]/Marketing[[#This Row],[Customers]]</f>
        <v>144.41803278688525</v>
      </c>
      <c r="K1985" t="s">
        <v>25</v>
      </c>
      <c r="L1985" t="s">
        <v>26</v>
      </c>
      <c r="M1985">
        <v>936</v>
      </c>
      <c r="N1985">
        <v>3743</v>
      </c>
      <c r="O1985">
        <v>1</v>
      </c>
      <c r="P1985" t="s">
        <v>27</v>
      </c>
      <c r="Q1985" s="1">
        <v>44355</v>
      </c>
    </row>
    <row r="1986" spans="1:17" x14ac:dyDescent="0.3">
      <c r="A1986" t="s">
        <v>35</v>
      </c>
      <c r="B1986" t="s">
        <v>36</v>
      </c>
      <c r="C1986" t="s">
        <v>23</v>
      </c>
      <c r="D1986" t="s">
        <v>40</v>
      </c>
      <c r="E1986" t="s">
        <v>48</v>
      </c>
      <c r="F1986" s="9">
        <v>0.08</v>
      </c>
      <c r="G1986" s="10">
        <v>9576</v>
      </c>
      <c r="H1986">
        <v>4.28</v>
      </c>
      <c r="I1986" s="5">
        <f>ROUND(Marketing[[#This Row],[Clicks]]*Marketing[[#This Row],[Conversion_Rate]],0)</f>
        <v>27</v>
      </c>
      <c r="J1986" s="12">
        <f>Marketing[[#This Row],[Campaign_Cost]]/Marketing[[#This Row],[Customers]]</f>
        <v>354.66666666666669</v>
      </c>
      <c r="K1986" t="s">
        <v>19</v>
      </c>
      <c r="L1986" t="s">
        <v>39</v>
      </c>
      <c r="M1986">
        <v>342</v>
      </c>
      <c r="N1986">
        <v>4809</v>
      </c>
      <c r="O1986">
        <v>10</v>
      </c>
      <c r="P1986" t="s">
        <v>21</v>
      </c>
      <c r="Q1986" s="1">
        <v>44356</v>
      </c>
    </row>
    <row r="1987" spans="1:17" x14ac:dyDescent="0.3">
      <c r="A1987" t="s">
        <v>14</v>
      </c>
      <c r="B1987" t="s">
        <v>45</v>
      </c>
      <c r="C1987" t="s">
        <v>23</v>
      </c>
      <c r="D1987" t="s">
        <v>40</v>
      </c>
      <c r="E1987" t="s">
        <v>18</v>
      </c>
      <c r="F1987" s="9">
        <v>0.02</v>
      </c>
      <c r="G1987" s="10">
        <v>11378</v>
      </c>
      <c r="H1987">
        <v>6.13</v>
      </c>
      <c r="I1987" s="5">
        <f>ROUND(Marketing[[#This Row],[Clicks]]*Marketing[[#This Row],[Conversion_Rate]],0)</f>
        <v>18</v>
      </c>
      <c r="J1987" s="12">
        <f>Marketing[[#This Row],[Campaign_Cost]]/Marketing[[#This Row],[Customers]]</f>
        <v>632.11111111111109</v>
      </c>
      <c r="K1987" t="s">
        <v>38</v>
      </c>
      <c r="L1987" t="s">
        <v>50</v>
      </c>
      <c r="M1987">
        <v>915</v>
      </c>
      <c r="N1987">
        <v>3573</v>
      </c>
      <c r="O1987">
        <v>4</v>
      </c>
      <c r="P1987" t="s">
        <v>34</v>
      </c>
      <c r="Q1987" s="1">
        <v>44357</v>
      </c>
    </row>
    <row r="1988" spans="1:17" x14ac:dyDescent="0.3">
      <c r="A1988" t="s">
        <v>14</v>
      </c>
      <c r="B1988" t="s">
        <v>15</v>
      </c>
      <c r="C1988" t="s">
        <v>23</v>
      </c>
      <c r="D1988" t="s">
        <v>46</v>
      </c>
      <c r="E1988" t="s">
        <v>43</v>
      </c>
      <c r="F1988" s="9">
        <v>0.14000000000000001</v>
      </c>
      <c r="G1988" s="10">
        <v>5783</v>
      </c>
      <c r="H1988">
        <v>5.49</v>
      </c>
      <c r="I1988" s="5">
        <f>ROUND(Marketing[[#This Row],[Clicks]]*Marketing[[#This Row],[Conversion_Rate]],0)</f>
        <v>58</v>
      </c>
      <c r="J1988" s="12">
        <f>Marketing[[#This Row],[Campaign_Cost]]/Marketing[[#This Row],[Customers]]</f>
        <v>99.706896551724142</v>
      </c>
      <c r="K1988" t="s">
        <v>51</v>
      </c>
      <c r="L1988" t="s">
        <v>20</v>
      </c>
      <c r="M1988">
        <v>416</v>
      </c>
      <c r="N1988">
        <v>3320</v>
      </c>
      <c r="O1988">
        <v>5</v>
      </c>
      <c r="P1988" t="s">
        <v>27</v>
      </c>
      <c r="Q1988" s="1">
        <v>44358</v>
      </c>
    </row>
    <row r="1989" spans="1:17" x14ac:dyDescent="0.3">
      <c r="A1989" t="s">
        <v>14</v>
      </c>
      <c r="B1989" t="s">
        <v>36</v>
      </c>
      <c r="C1989" t="s">
        <v>37</v>
      </c>
      <c r="D1989" t="s">
        <v>17</v>
      </c>
      <c r="E1989" t="s">
        <v>48</v>
      </c>
      <c r="F1989" s="9">
        <v>0.08</v>
      </c>
      <c r="G1989" s="10">
        <v>5692</v>
      </c>
      <c r="H1989">
        <v>5.44</v>
      </c>
      <c r="I1989" s="5">
        <f>ROUND(Marketing[[#This Row],[Clicks]]*Marketing[[#This Row],[Conversion_Rate]],0)</f>
        <v>40</v>
      </c>
      <c r="J1989" s="12">
        <f>Marketing[[#This Row],[Campaign_Cost]]/Marketing[[#This Row],[Customers]]</f>
        <v>142.30000000000001</v>
      </c>
      <c r="K1989" t="s">
        <v>51</v>
      </c>
      <c r="L1989" t="s">
        <v>26</v>
      </c>
      <c r="M1989">
        <v>506</v>
      </c>
      <c r="N1989">
        <v>2571</v>
      </c>
      <c r="O1989">
        <v>9</v>
      </c>
      <c r="P1989" t="s">
        <v>34</v>
      </c>
      <c r="Q1989" s="1">
        <v>44359</v>
      </c>
    </row>
    <row r="1990" spans="1:17" x14ac:dyDescent="0.3">
      <c r="A1990" t="s">
        <v>49</v>
      </c>
      <c r="B1990" t="s">
        <v>36</v>
      </c>
      <c r="C1990" t="s">
        <v>52</v>
      </c>
      <c r="D1990" t="s">
        <v>40</v>
      </c>
      <c r="E1990" t="s">
        <v>15</v>
      </c>
      <c r="F1990" s="9">
        <v>0.09</v>
      </c>
      <c r="G1990" s="10">
        <v>15201</v>
      </c>
      <c r="H1990">
        <v>4.18</v>
      </c>
      <c r="I1990" s="5">
        <f>ROUND(Marketing[[#This Row],[Clicks]]*Marketing[[#This Row],[Conversion_Rate]],0)</f>
        <v>37</v>
      </c>
      <c r="J1990" s="12">
        <f>Marketing[[#This Row],[Campaign_Cost]]/Marketing[[#This Row],[Customers]]</f>
        <v>410.83783783783781</v>
      </c>
      <c r="K1990" t="s">
        <v>32</v>
      </c>
      <c r="L1990" t="s">
        <v>20</v>
      </c>
      <c r="M1990">
        <v>410</v>
      </c>
      <c r="N1990">
        <v>5683</v>
      </c>
      <c r="O1990">
        <v>4</v>
      </c>
      <c r="P1990" t="s">
        <v>44</v>
      </c>
      <c r="Q1990" s="1">
        <v>44360</v>
      </c>
    </row>
    <row r="1991" spans="1:17" x14ac:dyDescent="0.3">
      <c r="A1991" t="s">
        <v>14</v>
      </c>
      <c r="B1991" t="s">
        <v>45</v>
      </c>
      <c r="C1991" t="s">
        <v>23</v>
      </c>
      <c r="D1991" t="s">
        <v>40</v>
      </c>
      <c r="E1991" t="s">
        <v>18</v>
      </c>
      <c r="F1991" s="9">
        <v>0.04</v>
      </c>
      <c r="G1991" s="10">
        <v>15276</v>
      </c>
      <c r="H1991">
        <v>4.82</v>
      </c>
      <c r="I1991" s="5">
        <f>ROUND(Marketing[[#This Row],[Clicks]]*Marketing[[#This Row],[Conversion_Rate]],0)</f>
        <v>9</v>
      </c>
      <c r="J1991" s="12">
        <f>Marketing[[#This Row],[Campaign_Cost]]/Marketing[[#This Row],[Customers]]</f>
        <v>1697.3333333333333</v>
      </c>
      <c r="K1991" t="s">
        <v>19</v>
      </c>
      <c r="L1991" t="s">
        <v>33</v>
      </c>
      <c r="M1991">
        <v>228</v>
      </c>
      <c r="N1991">
        <v>6572</v>
      </c>
      <c r="O1991">
        <v>6</v>
      </c>
      <c r="P1991" t="s">
        <v>34</v>
      </c>
      <c r="Q1991" s="1">
        <v>44361</v>
      </c>
    </row>
    <row r="1992" spans="1:17" x14ac:dyDescent="0.3">
      <c r="A1992" t="s">
        <v>14</v>
      </c>
      <c r="B1992" t="s">
        <v>45</v>
      </c>
      <c r="C1992" t="s">
        <v>52</v>
      </c>
      <c r="D1992" t="s">
        <v>40</v>
      </c>
      <c r="E1992" t="s">
        <v>18</v>
      </c>
      <c r="F1992" s="9">
        <v>7.0000000000000007E-2</v>
      </c>
      <c r="G1992" s="10">
        <v>9955</v>
      </c>
      <c r="H1992">
        <v>6.98</v>
      </c>
      <c r="I1992" s="5">
        <f>ROUND(Marketing[[#This Row],[Clicks]]*Marketing[[#This Row],[Conversion_Rate]],0)</f>
        <v>35</v>
      </c>
      <c r="J1992" s="12">
        <f>Marketing[[#This Row],[Campaign_Cost]]/Marketing[[#This Row],[Customers]]</f>
        <v>284.42857142857144</v>
      </c>
      <c r="K1992" t="s">
        <v>25</v>
      </c>
      <c r="L1992" t="s">
        <v>39</v>
      </c>
      <c r="M1992">
        <v>499</v>
      </c>
      <c r="N1992">
        <v>8707</v>
      </c>
      <c r="O1992">
        <v>7</v>
      </c>
      <c r="P1992" t="s">
        <v>42</v>
      </c>
      <c r="Q1992" s="1">
        <v>44362</v>
      </c>
    </row>
    <row r="1993" spans="1:17" x14ac:dyDescent="0.3">
      <c r="A1993" t="s">
        <v>14</v>
      </c>
      <c r="B1993" t="s">
        <v>29</v>
      </c>
      <c r="C1993" t="s">
        <v>30</v>
      </c>
      <c r="D1993" t="s">
        <v>24</v>
      </c>
      <c r="E1993" t="s">
        <v>48</v>
      </c>
      <c r="F1993" s="9">
        <v>0.12</v>
      </c>
      <c r="G1993" s="10">
        <v>11417</v>
      </c>
      <c r="H1993">
        <v>4.21</v>
      </c>
      <c r="I1993" s="5">
        <f>ROUND(Marketing[[#This Row],[Clicks]]*Marketing[[#This Row],[Conversion_Rate]],0)</f>
        <v>49</v>
      </c>
      <c r="J1993" s="12">
        <f>Marketing[[#This Row],[Campaign_Cost]]/Marketing[[#This Row],[Customers]]</f>
        <v>233</v>
      </c>
      <c r="K1993" t="s">
        <v>51</v>
      </c>
      <c r="L1993" t="s">
        <v>33</v>
      </c>
      <c r="M1993">
        <v>409</v>
      </c>
      <c r="N1993">
        <v>8683</v>
      </c>
      <c r="O1993">
        <v>10</v>
      </c>
      <c r="P1993" t="s">
        <v>42</v>
      </c>
      <c r="Q1993" s="1">
        <v>44363</v>
      </c>
    </row>
    <row r="1994" spans="1:17" x14ac:dyDescent="0.3">
      <c r="A1994" t="s">
        <v>28</v>
      </c>
      <c r="B1994" t="s">
        <v>47</v>
      </c>
      <c r="C1994" t="s">
        <v>37</v>
      </c>
      <c r="D1994" t="s">
        <v>40</v>
      </c>
      <c r="E1994" t="s">
        <v>15</v>
      </c>
      <c r="F1994" s="9">
        <v>0.12</v>
      </c>
      <c r="G1994" s="10">
        <v>9579</v>
      </c>
      <c r="H1994">
        <v>2.16</v>
      </c>
      <c r="I1994" s="5">
        <f>ROUND(Marketing[[#This Row],[Clicks]]*Marketing[[#This Row],[Conversion_Rate]],0)</f>
        <v>91</v>
      </c>
      <c r="J1994" s="12">
        <f>Marketing[[#This Row],[Campaign_Cost]]/Marketing[[#This Row],[Customers]]</f>
        <v>105.26373626373626</v>
      </c>
      <c r="K1994" t="s">
        <v>19</v>
      </c>
      <c r="L1994" t="s">
        <v>26</v>
      </c>
      <c r="M1994">
        <v>761</v>
      </c>
      <c r="N1994">
        <v>8879</v>
      </c>
      <c r="O1994">
        <v>8</v>
      </c>
      <c r="P1994" t="s">
        <v>34</v>
      </c>
      <c r="Q1994" s="1">
        <v>44364</v>
      </c>
    </row>
    <row r="1995" spans="1:17" x14ac:dyDescent="0.3">
      <c r="A1995" t="s">
        <v>49</v>
      </c>
      <c r="B1995" t="s">
        <v>29</v>
      </c>
      <c r="C1995" t="s">
        <v>37</v>
      </c>
      <c r="D1995" t="s">
        <v>24</v>
      </c>
      <c r="E1995" t="s">
        <v>18</v>
      </c>
      <c r="F1995" s="9">
        <v>0.1</v>
      </c>
      <c r="G1995" s="10">
        <v>6488</v>
      </c>
      <c r="H1995">
        <v>7.83</v>
      </c>
      <c r="I1995" s="5">
        <f>ROUND(Marketing[[#This Row],[Clicks]]*Marketing[[#This Row],[Conversion_Rate]],0)</f>
        <v>41</v>
      </c>
      <c r="J1995" s="12">
        <f>Marketing[[#This Row],[Campaign_Cost]]/Marketing[[#This Row],[Customers]]</f>
        <v>158.2439024390244</v>
      </c>
      <c r="K1995" t="s">
        <v>19</v>
      </c>
      <c r="L1995" t="s">
        <v>39</v>
      </c>
      <c r="M1995">
        <v>409</v>
      </c>
      <c r="N1995">
        <v>3801</v>
      </c>
      <c r="O1995">
        <v>6</v>
      </c>
      <c r="P1995" t="s">
        <v>21</v>
      </c>
      <c r="Q1995" s="1">
        <v>44365</v>
      </c>
    </row>
    <row r="1996" spans="1:17" x14ac:dyDescent="0.3">
      <c r="A1996" t="s">
        <v>22</v>
      </c>
      <c r="B1996" t="s">
        <v>45</v>
      </c>
      <c r="C1996" t="s">
        <v>16</v>
      </c>
      <c r="D1996" t="s">
        <v>17</v>
      </c>
      <c r="E1996" t="s">
        <v>18</v>
      </c>
      <c r="F1996" s="9">
        <v>0.15</v>
      </c>
      <c r="G1996" s="10">
        <v>9431</v>
      </c>
      <c r="H1996">
        <v>7.37</v>
      </c>
      <c r="I1996" s="5">
        <f>ROUND(Marketing[[#This Row],[Clicks]]*Marketing[[#This Row],[Conversion_Rate]],0)</f>
        <v>108</v>
      </c>
      <c r="J1996" s="12">
        <f>Marketing[[#This Row],[Campaign_Cost]]/Marketing[[#This Row],[Customers]]</f>
        <v>87.324074074074076</v>
      </c>
      <c r="K1996" t="s">
        <v>51</v>
      </c>
      <c r="L1996" t="s">
        <v>33</v>
      </c>
      <c r="M1996">
        <v>723</v>
      </c>
      <c r="N1996">
        <v>1275</v>
      </c>
      <c r="O1996">
        <v>10</v>
      </c>
      <c r="P1996" t="s">
        <v>42</v>
      </c>
      <c r="Q1996" s="1">
        <v>44366</v>
      </c>
    </row>
    <row r="1997" spans="1:17" x14ac:dyDescent="0.3">
      <c r="A1997" t="s">
        <v>28</v>
      </c>
      <c r="B1997" t="s">
        <v>15</v>
      </c>
      <c r="C1997" t="s">
        <v>23</v>
      </c>
      <c r="D1997" t="s">
        <v>40</v>
      </c>
      <c r="E1997" t="s">
        <v>15</v>
      </c>
      <c r="F1997" s="9">
        <v>0.06</v>
      </c>
      <c r="G1997" s="10">
        <v>18870</v>
      </c>
      <c r="H1997">
        <v>7.72</v>
      </c>
      <c r="I1997" s="5">
        <f>ROUND(Marketing[[#This Row],[Clicks]]*Marketing[[#This Row],[Conversion_Rate]],0)</f>
        <v>44</v>
      </c>
      <c r="J1997" s="12">
        <f>Marketing[[#This Row],[Campaign_Cost]]/Marketing[[#This Row],[Customers]]</f>
        <v>428.86363636363637</v>
      </c>
      <c r="K1997" t="s">
        <v>32</v>
      </c>
      <c r="L1997" t="s">
        <v>50</v>
      </c>
      <c r="M1997">
        <v>726</v>
      </c>
      <c r="N1997">
        <v>1942</v>
      </c>
      <c r="O1997">
        <v>8</v>
      </c>
      <c r="P1997" t="s">
        <v>42</v>
      </c>
      <c r="Q1997" s="1">
        <v>44367</v>
      </c>
    </row>
    <row r="1998" spans="1:17" x14ac:dyDescent="0.3">
      <c r="A1998" t="s">
        <v>35</v>
      </c>
      <c r="B1998" t="s">
        <v>45</v>
      </c>
      <c r="C1998" t="s">
        <v>30</v>
      </c>
      <c r="D1998" t="s">
        <v>24</v>
      </c>
      <c r="E1998" t="s">
        <v>31</v>
      </c>
      <c r="F1998" s="9">
        <v>7.0000000000000007E-2</v>
      </c>
      <c r="G1998" s="10">
        <v>12584</v>
      </c>
      <c r="H1998">
        <v>7.55</v>
      </c>
      <c r="I1998" s="5">
        <f>ROUND(Marketing[[#This Row],[Clicks]]*Marketing[[#This Row],[Conversion_Rate]],0)</f>
        <v>38</v>
      </c>
      <c r="J1998" s="12">
        <f>Marketing[[#This Row],[Campaign_Cost]]/Marketing[[#This Row],[Customers]]</f>
        <v>331.15789473684208</v>
      </c>
      <c r="K1998" t="s">
        <v>51</v>
      </c>
      <c r="L1998" t="s">
        <v>26</v>
      </c>
      <c r="M1998">
        <v>545</v>
      </c>
      <c r="N1998">
        <v>1649</v>
      </c>
      <c r="O1998">
        <v>5</v>
      </c>
      <c r="P1998" t="s">
        <v>34</v>
      </c>
      <c r="Q1998" s="1">
        <v>44368</v>
      </c>
    </row>
    <row r="1999" spans="1:17" x14ac:dyDescent="0.3">
      <c r="A1999" t="s">
        <v>14</v>
      </c>
      <c r="B1999" t="s">
        <v>29</v>
      </c>
      <c r="C1999" t="s">
        <v>37</v>
      </c>
      <c r="D1999" t="s">
        <v>46</v>
      </c>
      <c r="E1999" t="s">
        <v>41</v>
      </c>
      <c r="F1999" s="9">
        <v>0.04</v>
      </c>
      <c r="G1999" s="10">
        <v>10435</v>
      </c>
      <c r="H1999">
        <v>7.25</v>
      </c>
      <c r="I1999" s="5">
        <f>ROUND(Marketing[[#This Row],[Clicks]]*Marketing[[#This Row],[Conversion_Rate]],0)</f>
        <v>6</v>
      </c>
      <c r="J1999" s="12">
        <f>Marketing[[#This Row],[Campaign_Cost]]/Marketing[[#This Row],[Customers]]</f>
        <v>1739.1666666666667</v>
      </c>
      <c r="K1999" t="s">
        <v>51</v>
      </c>
      <c r="L1999" t="s">
        <v>39</v>
      </c>
      <c r="M1999">
        <v>140</v>
      </c>
      <c r="N1999">
        <v>6670</v>
      </c>
      <c r="O1999">
        <v>2</v>
      </c>
      <c r="P1999" t="s">
        <v>34</v>
      </c>
      <c r="Q1999" s="1">
        <v>44369</v>
      </c>
    </row>
    <row r="2000" spans="1:17" x14ac:dyDescent="0.3">
      <c r="A2000" t="s">
        <v>35</v>
      </c>
      <c r="B2000" t="s">
        <v>47</v>
      </c>
      <c r="C2000" t="s">
        <v>23</v>
      </c>
      <c r="D2000" t="s">
        <v>46</v>
      </c>
      <c r="E2000" t="s">
        <v>41</v>
      </c>
      <c r="F2000" s="9">
        <v>0.12</v>
      </c>
      <c r="G2000" s="10">
        <v>10262</v>
      </c>
      <c r="H2000">
        <v>7.65</v>
      </c>
      <c r="I2000" s="5">
        <f>ROUND(Marketing[[#This Row],[Clicks]]*Marketing[[#This Row],[Conversion_Rate]],0)</f>
        <v>40</v>
      </c>
      <c r="J2000" s="12">
        <f>Marketing[[#This Row],[Campaign_Cost]]/Marketing[[#This Row],[Customers]]</f>
        <v>256.55</v>
      </c>
      <c r="K2000" t="s">
        <v>25</v>
      </c>
      <c r="L2000" t="s">
        <v>50</v>
      </c>
      <c r="M2000">
        <v>337</v>
      </c>
      <c r="N2000">
        <v>8155</v>
      </c>
      <c r="O2000">
        <v>8</v>
      </c>
      <c r="P2000" t="s">
        <v>42</v>
      </c>
      <c r="Q2000" s="1">
        <v>44370</v>
      </c>
    </row>
    <row r="2001" spans="1:17" x14ac:dyDescent="0.3">
      <c r="A2001" t="s">
        <v>22</v>
      </c>
      <c r="B2001" t="s">
        <v>45</v>
      </c>
      <c r="C2001" t="s">
        <v>37</v>
      </c>
      <c r="D2001" t="s">
        <v>17</v>
      </c>
      <c r="E2001" t="s">
        <v>43</v>
      </c>
      <c r="F2001" s="9">
        <v>0.06</v>
      </c>
      <c r="G2001" s="10">
        <v>9122</v>
      </c>
      <c r="H2001">
        <v>4.6100000000000003</v>
      </c>
      <c r="I2001" s="5">
        <f>ROUND(Marketing[[#This Row],[Clicks]]*Marketing[[#This Row],[Conversion_Rate]],0)</f>
        <v>50</v>
      </c>
      <c r="J2001" s="12">
        <f>Marketing[[#This Row],[Campaign_Cost]]/Marketing[[#This Row],[Customers]]</f>
        <v>182.44</v>
      </c>
      <c r="K2001" t="s">
        <v>25</v>
      </c>
      <c r="L2001" t="s">
        <v>26</v>
      </c>
      <c r="M2001">
        <v>830</v>
      </c>
      <c r="N2001">
        <v>3743</v>
      </c>
      <c r="O2001">
        <v>6</v>
      </c>
      <c r="P2001" t="s">
        <v>34</v>
      </c>
      <c r="Q2001" s="1">
        <v>44371</v>
      </c>
    </row>
    <row r="2002" spans="1:17" x14ac:dyDescent="0.3">
      <c r="A2002" t="s">
        <v>22</v>
      </c>
      <c r="B2002" t="s">
        <v>29</v>
      </c>
      <c r="C2002" t="s">
        <v>30</v>
      </c>
      <c r="D2002" t="s">
        <v>46</v>
      </c>
      <c r="E2002" t="s">
        <v>48</v>
      </c>
      <c r="F2002" s="9">
        <v>0.09</v>
      </c>
      <c r="G2002" s="10">
        <v>19778</v>
      </c>
      <c r="H2002">
        <v>4.67</v>
      </c>
      <c r="I2002" s="5">
        <f>ROUND(Marketing[[#This Row],[Clicks]]*Marketing[[#This Row],[Conversion_Rate]],0)</f>
        <v>48</v>
      </c>
      <c r="J2002" s="12">
        <f>Marketing[[#This Row],[Campaign_Cost]]/Marketing[[#This Row],[Customers]]</f>
        <v>412.04166666666669</v>
      </c>
      <c r="K2002" t="s">
        <v>25</v>
      </c>
      <c r="L2002" t="s">
        <v>39</v>
      </c>
      <c r="M2002">
        <v>534</v>
      </c>
      <c r="N2002">
        <v>7863</v>
      </c>
      <c r="O2002">
        <v>1</v>
      </c>
      <c r="P2002" t="s">
        <v>44</v>
      </c>
      <c r="Q2002" s="1">
        <v>44372</v>
      </c>
    </row>
    <row r="2003" spans="1:17" x14ac:dyDescent="0.3">
      <c r="A2003" t="s">
        <v>14</v>
      </c>
      <c r="B2003" t="s">
        <v>36</v>
      </c>
      <c r="C2003" t="s">
        <v>16</v>
      </c>
      <c r="D2003" t="s">
        <v>17</v>
      </c>
      <c r="E2003" t="s">
        <v>15</v>
      </c>
      <c r="F2003" s="9">
        <v>0.04</v>
      </c>
      <c r="G2003" s="10">
        <v>11500</v>
      </c>
      <c r="H2003">
        <v>6.32</v>
      </c>
      <c r="I2003" s="5">
        <f>ROUND(Marketing[[#This Row],[Clicks]]*Marketing[[#This Row],[Conversion_Rate]],0)</f>
        <v>4</v>
      </c>
      <c r="J2003" s="12">
        <f>Marketing[[#This Row],[Campaign_Cost]]/Marketing[[#This Row],[Customers]]</f>
        <v>2875</v>
      </c>
      <c r="K2003" t="s">
        <v>51</v>
      </c>
      <c r="L2003" t="s">
        <v>39</v>
      </c>
      <c r="M2003">
        <v>108</v>
      </c>
      <c r="N2003">
        <v>8441</v>
      </c>
      <c r="O2003">
        <v>8</v>
      </c>
      <c r="P2003" t="s">
        <v>44</v>
      </c>
      <c r="Q2003" s="1">
        <v>44373</v>
      </c>
    </row>
    <row r="2004" spans="1:17" x14ac:dyDescent="0.3">
      <c r="A2004" t="s">
        <v>35</v>
      </c>
      <c r="B2004" t="s">
        <v>45</v>
      </c>
      <c r="C2004" t="s">
        <v>37</v>
      </c>
      <c r="D2004" t="s">
        <v>17</v>
      </c>
      <c r="E2004" t="s">
        <v>31</v>
      </c>
      <c r="F2004" s="9">
        <v>0.13</v>
      </c>
      <c r="G2004" s="10">
        <v>17916</v>
      </c>
      <c r="H2004">
        <v>6.04</v>
      </c>
      <c r="I2004" s="5">
        <f>ROUND(Marketing[[#This Row],[Clicks]]*Marketing[[#This Row],[Conversion_Rate]],0)</f>
        <v>104</v>
      </c>
      <c r="J2004" s="12">
        <f>Marketing[[#This Row],[Campaign_Cost]]/Marketing[[#This Row],[Customers]]</f>
        <v>172.26923076923077</v>
      </c>
      <c r="K2004" t="s">
        <v>25</v>
      </c>
      <c r="L2004" t="s">
        <v>26</v>
      </c>
      <c r="M2004">
        <v>797</v>
      </c>
      <c r="N2004">
        <v>9976</v>
      </c>
      <c r="O2004">
        <v>2</v>
      </c>
      <c r="P2004" t="s">
        <v>27</v>
      </c>
      <c r="Q2004" s="1">
        <v>44374</v>
      </c>
    </row>
    <row r="2005" spans="1:17" x14ac:dyDescent="0.3">
      <c r="A2005" t="s">
        <v>22</v>
      </c>
      <c r="B2005" t="s">
        <v>15</v>
      </c>
      <c r="C2005" t="s">
        <v>23</v>
      </c>
      <c r="D2005" t="s">
        <v>17</v>
      </c>
      <c r="E2005" t="s">
        <v>48</v>
      </c>
      <c r="F2005" s="9">
        <v>0.09</v>
      </c>
      <c r="G2005" s="10">
        <v>10360</v>
      </c>
      <c r="H2005">
        <v>4.6399999999999997</v>
      </c>
      <c r="I2005" s="5">
        <f>ROUND(Marketing[[#This Row],[Clicks]]*Marketing[[#This Row],[Conversion_Rate]],0)</f>
        <v>87</v>
      </c>
      <c r="J2005" s="12">
        <f>Marketing[[#This Row],[Campaign_Cost]]/Marketing[[#This Row],[Customers]]</f>
        <v>119.08045977011494</v>
      </c>
      <c r="K2005" t="s">
        <v>19</v>
      </c>
      <c r="L2005" t="s">
        <v>20</v>
      </c>
      <c r="M2005">
        <v>969</v>
      </c>
      <c r="N2005">
        <v>2892</v>
      </c>
      <c r="O2005">
        <v>7</v>
      </c>
      <c r="P2005" t="s">
        <v>27</v>
      </c>
      <c r="Q2005" s="1">
        <v>44375</v>
      </c>
    </row>
    <row r="2006" spans="1:17" x14ac:dyDescent="0.3">
      <c r="A2006" t="s">
        <v>14</v>
      </c>
      <c r="B2006" t="s">
        <v>15</v>
      </c>
      <c r="C2006" t="s">
        <v>52</v>
      </c>
      <c r="D2006" t="s">
        <v>40</v>
      </c>
      <c r="E2006" t="s">
        <v>31</v>
      </c>
      <c r="F2006" s="9">
        <v>0.1</v>
      </c>
      <c r="G2006" s="10">
        <v>10102</v>
      </c>
      <c r="H2006">
        <v>2.48</v>
      </c>
      <c r="I2006" s="5">
        <f>ROUND(Marketing[[#This Row],[Clicks]]*Marketing[[#This Row],[Conversion_Rate]],0)</f>
        <v>17</v>
      </c>
      <c r="J2006" s="12">
        <f>Marketing[[#This Row],[Campaign_Cost]]/Marketing[[#This Row],[Customers]]</f>
        <v>594.23529411764707</v>
      </c>
      <c r="K2006" t="s">
        <v>51</v>
      </c>
      <c r="L2006" t="s">
        <v>50</v>
      </c>
      <c r="M2006">
        <v>168</v>
      </c>
      <c r="N2006">
        <v>4008</v>
      </c>
      <c r="O2006">
        <v>1</v>
      </c>
      <c r="P2006" t="s">
        <v>21</v>
      </c>
      <c r="Q2006" s="1">
        <v>44376</v>
      </c>
    </row>
    <row r="2007" spans="1:17" x14ac:dyDescent="0.3">
      <c r="A2007" t="s">
        <v>22</v>
      </c>
      <c r="B2007" t="s">
        <v>15</v>
      </c>
      <c r="C2007" t="s">
        <v>30</v>
      </c>
      <c r="D2007" t="s">
        <v>24</v>
      </c>
      <c r="E2007" t="s">
        <v>43</v>
      </c>
      <c r="F2007" s="9">
        <v>0.06</v>
      </c>
      <c r="G2007" s="10">
        <v>16455</v>
      </c>
      <c r="H2007">
        <v>7.48</v>
      </c>
      <c r="I2007" s="5">
        <f>ROUND(Marketing[[#This Row],[Clicks]]*Marketing[[#This Row],[Conversion_Rate]],0)</f>
        <v>12</v>
      </c>
      <c r="J2007" s="12">
        <f>Marketing[[#This Row],[Campaign_Cost]]/Marketing[[#This Row],[Customers]]</f>
        <v>1371.25</v>
      </c>
      <c r="K2007" t="s">
        <v>51</v>
      </c>
      <c r="L2007" t="s">
        <v>39</v>
      </c>
      <c r="M2007">
        <v>200</v>
      </c>
      <c r="N2007">
        <v>2518</v>
      </c>
      <c r="O2007">
        <v>3</v>
      </c>
      <c r="P2007" t="s">
        <v>42</v>
      </c>
      <c r="Q2007" s="1">
        <v>44377</v>
      </c>
    </row>
    <row r="2008" spans="1:17" x14ac:dyDescent="0.3">
      <c r="A2008" t="s">
        <v>28</v>
      </c>
      <c r="B2008" t="s">
        <v>45</v>
      </c>
      <c r="C2008" t="s">
        <v>23</v>
      </c>
      <c r="D2008" t="s">
        <v>24</v>
      </c>
      <c r="E2008" t="s">
        <v>18</v>
      </c>
      <c r="F2008" s="9">
        <v>0.08</v>
      </c>
      <c r="G2008" s="10">
        <v>17265</v>
      </c>
      <c r="H2008">
        <v>5.1100000000000003</v>
      </c>
      <c r="I2008" s="5">
        <f>ROUND(Marketing[[#This Row],[Clicks]]*Marketing[[#This Row],[Conversion_Rate]],0)</f>
        <v>42</v>
      </c>
      <c r="J2008" s="12">
        <f>Marketing[[#This Row],[Campaign_Cost]]/Marketing[[#This Row],[Customers]]</f>
        <v>411.07142857142856</v>
      </c>
      <c r="K2008" t="s">
        <v>38</v>
      </c>
      <c r="L2008" t="s">
        <v>20</v>
      </c>
      <c r="M2008">
        <v>522</v>
      </c>
      <c r="N2008">
        <v>2388</v>
      </c>
      <c r="O2008">
        <v>1</v>
      </c>
      <c r="P2008" t="s">
        <v>21</v>
      </c>
      <c r="Q2008" s="1">
        <v>44378</v>
      </c>
    </row>
    <row r="2009" spans="1:17" x14ac:dyDescent="0.3">
      <c r="A2009" t="s">
        <v>28</v>
      </c>
      <c r="B2009" t="s">
        <v>15</v>
      </c>
      <c r="C2009" t="s">
        <v>30</v>
      </c>
      <c r="D2009" t="s">
        <v>40</v>
      </c>
      <c r="E2009" t="s">
        <v>15</v>
      </c>
      <c r="F2009" s="9">
        <v>0.03</v>
      </c>
      <c r="G2009" s="10">
        <v>17293</v>
      </c>
      <c r="H2009">
        <v>4.7699999999999996</v>
      </c>
      <c r="I2009" s="5">
        <f>ROUND(Marketing[[#This Row],[Clicks]]*Marketing[[#This Row],[Conversion_Rate]],0)</f>
        <v>11</v>
      </c>
      <c r="J2009" s="12">
        <f>Marketing[[#This Row],[Campaign_Cost]]/Marketing[[#This Row],[Customers]]</f>
        <v>1572.090909090909</v>
      </c>
      <c r="K2009" t="s">
        <v>32</v>
      </c>
      <c r="L2009" t="s">
        <v>26</v>
      </c>
      <c r="M2009">
        <v>373</v>
      </c>
      <c r="N2009">
        <v>7151</v>
      </c>
      <c r="O2009">
        <v>10</v>
      </c>
      <c r="P2009" t="s">
        <v>44</v>
      </c>
      <c r="Q2009" s="1">
        <v>44379</v>
      </c>
    </row>
    <row r="2010" spans="1:17" x14ac:dyDescent="0.3">
      <c r="A2010" t="s">
        <v>14</v>
      </c>
      <c r="B2010" t="s">
        <v>45</v>
      </c>
      <c r="C2010" t="s">
        <v>16</v>
      </c>
      <c r="D2010" t="s">
        <v>24</v>
      </c>
      <c r="E2010" t="s">
        <v>15</v>
      </c>
      <c r="F2010" s="9">
        <v>0.11</v>
      </c>
      <c r="G2010" s="10">
        <v>19824</v>
      </c>
      <c r="H2010">
        <v>6.57</v>
      </c>
      <c r="I2010" s="5">
        <f>ROUND(Marketing[[#This Row],[Clicks]]*Marketing[[#This Row],[Conversion_Rate]],0)</f>
        <v>73</v>
      </c>
      <c r="J2010" s="12">
        <f>Marketing[[#This Row],[Campaign_Cost]]/Marketing[[#This Row],[Customers]]</f>
        <v>271.56164383561645</v>
      </c>
      <c r="K2010" t="s">
        <v>38</v>
      </c>
      <c r="L2010" t="s">
        <v>20</v>
      </c>
      <c r="M2010">
        <v>664</v>
      </c>
      <c r="N2010">
        <v>3343</v>
      </c>
      <c r="O2010">
        <v>5</v>
      </c>
      <c r="P2010" t="s">
        <v>44</v>
      </c>
      <c r="Q2010" s="1">
        <v>44380</v>
      </c>
    </row>
    <row r="2011" spans="1:17" x14ac:dyDescent="0.3">
      <c r="A2011" t="s">
        <v>14</v>
      </c>
      <c r="B2011" t="s">
        <v>29</v>
      </c>
      <c r="C2011" t="s">
        <v>52</v>
      </c>
      <c r="D2011" t="s">
        <v>40</v>
      </c>
      <c r="E2011" t="s">
        <v>18</v>
      </c>
      <c r="F2011" s="9">
        <v>0.11</v>
      </c>
      <c r="G2011" s="10">
        <v>5627</v>
      </c>
      <c r="H2011">
        <v>5.88</v>
      </c>
      <c r="I2011" s="5">
        <f>ROUND(Marketing[[#This Row],[Clicks]]*Marketing[[#This Row],[Conversion_Rate]],0)</f>
        <v>65</v>
      </c>
      <c r="J2011" s="12">
        <f>Marketing[[#This Row],[Campaign_Cost]]/Marketing[[#This Row],[Customers]]</f>
        <v>86.569230769230771</v>
      </c>
      <c r="K2011" t="s">
        <v>25</v>
      </c>
      <c r="L2011" t="s">
        <v>20</v>
      </c>
      <c r="M2011">
        <v>591</v>
      </c>
      <c r="N2011">
        <v>2805</v>
      </c>
      <c r="O2011">
        <v>1</v>
      </c>
      <c r="P2011" t="s">
        <v>42</v>
      </c>
      <c r="Q2011" s="1">
        <v>44381</v>
      </c>
    </row>
    <row r="2012" spans="1:17" x14ac:dyDescent="0.3">
      <c r="A2012" t="s">
        <v>22</v>
      </c>
      <c r="B2012" t="s">
        <v>29</v>
      </c>
      <c r="C2012" t="s">
        <v>23</v>
      </c>
      <c r="D2012" t="s">
        <v>17</v>
      </c>
      <c r="E2012" t="s">
        <v>31</v>
      </c>
      <c r="F2012" s="9">
        <v>0.01</v>
      </c>
      <c r="G2012" s="10">
        <v>14290</v>
      </c>
      <c r="H2012">
        <v>5.8</v>
      </c>
      <c r="I2012" s="5">
        <f>ROUND(Marketing[[#This Row],[Clicks]]*Marketing[[#This Row],[Conversion_Rate]],0)</f>
        <v>4</v>
      </c>
      <c r="J2012" s="12">
        <f>Marketing[[#This Row],[Campaign_Cost]]/Marketing[[#This Row],[Customers]]</f>
        <v>3572.5</v>
      </c>
      <c r="K2012" t="s">
        <v>51</v>
      </c>
      <c r="L2012" t="s">
        <v>39</v>
      </c>
      <c r="M2012">
        <v>433</v>
      </c>
      <c r="N2012">
        <v>9524</v>
      </c>
      <c r="O2012">
        <v>6</v>
      </c>
      <c r="P2012" t="s">
        <v>44</v>
      </c>
      <c r="Q2012" s="1">
        <v>44382</v>
      </c>
    </row>
    <row r="2013" spans="1:17" x14ac:dyDescent="0.3">
      <c r="A2013" t="s">
        <v>35</v>
      </c>
      <c r="B2013" t="s">
        <v>45</v>
      </c>
      <c r="C2013" t="s">
        <v>30</v>
      </c>
      <c r="D2013" t="s">
        <v>24</v>
      </c>
      <c r="E2013" t="s">
        <v>41</v>
      </c>
      <c r="F2013" s="9">
        <v>0.03</v>
      </c>
      <c r="G2013" s="10">
        <v>12900</v>
      </c>
      <c r="H2013">
        <v>7.21</v>
      </c>
      <c r="I2013" s="5">
        <f>ROUND(Marketing[[#This Row],[Clicks]]*Marketing[[#This Row],[Conversion_Rate]],0)</f>
        <v>17</v>
      </c>
      <c r="J2013" s="12">
        <f>Marketing[[#This Row],[Campaign_Cost]]/Marketing[[#This Row],[Customers]]</f>
        <v>758.82352941176475</v>
      </c>
      <c r="K2013" t="s">
        <v>51</v>
      </c>
      <c r="L2013" t="s">
        <v>33</v>
      </c>
      <c r="M2013">
        <v>567</v>
      </c>
      <c r="N2013">
        <v>3054</v>
      </c>
      <c r="O2013">
        <v>1</v>
      </c>
      <c r="P2013" t="s">
        <v>27</v>
      </c>
      <c r="Q2013" s="1">
        <v>44383</v>
      </c>
    </row>
    <row r="2014" spans="1:17" x14ac:dyDescent="0.3">
      <c r="A2014" t="s">
        <v>49</v>
      </c>
      <c r="B2014" t="s">
        <v>36</v>
      </c>
      <c r="C2014" t="s">
        <v>52</v>
      </c>
      <c r="D2014" t="s">
        <v>17</v>
      </c>
      <c r="E2014" t="s">
        <v>31</v>
      </c>
      <c r="F2014" s="9">
        <v>0.1</v>
      </c>
      <c r="G2014" s="10">
        <v>18651</v>
      </c>
      <c r="H2014">
        <v>5.34</v>
      </c>
      <c r="I2014" s="5">
        <f>ROUND(Marketing[[#This Row],[Clicks]]*Marketing[[#This Row],[Conversion_Rate]],0)</f>
        <v>96</v>
      </c>
      <c r="J2014" s="12">
        <f>Marketing[[#This Row],[Campaign_Cost]]/Marketing[[#This Row],[Customers]]</f>
        <v>194.28125</v>
      </c>
      <c r="K2014" t="s">
        <v>32</v>
      </c>
      <c r="L2014" t="s">
        <v>33</v>
      </c>
      <c r="M2014">
        <v>960</v>
      </c>
      <c r="N2014">
        <v>5699</v>
      </c>
      <c r="O2014">
        <v>10</v>
      </c>
      <c r="P2014" t="s">
        <v>44</v>
      </c>
      <c r="Q2014" s="1">
        <v>44384</v>
      </c>
    </row>
    <row r="2015" spans="1:17" x14ac:dyDescent="0.3">
      <c r="A2015" t="s">
        <v>22</v>
      </c>
      <c r="B2015" t="s">
        <v>45</v>
      </c>
      <c r="C2015" t="s">
        <v>52</v>
      </c>
      <c r="D2015" t="s">
        <v>24</v>
      </c>
      <c r="E2015" t="s">
        <v>15</v>
      </c>
      <c r="F2015" s="9">
        <v>0.03</v>
      </c>
      <c r="G2015" s="10">
        <v>9427</v>
      </c>
      <c r="H2015">
        <v>3.89</v>
      </c>
      <c r="I2015" s="5">
        <f>ROUND(Marketing[[#This Row],[Clicks]]*Marketing[[#This Row],[Conversion_Rate]],0)</f>
        <v>12</v>
      </c>
      <c r="J2015" s="12">
        <f>Marketing[[#This Row],[Campaign_Cost]]/Marketing[[#This Row],[Customers]]</f>
        <v>785.58333333333337</v>
      </c>
      <c r="K2015" t="s">
        <v>25</v>
      </c>
      <c r="L2015" t="s">
        <v>39</v>
      </c>
      <c r="M2015">
        <v>393</v>
      </c>
      <c r="N2015">
        <v>4582</v>
      </c>
      <c r="O2015">
        <v>1</v>
      </c>
      <c r="P2015" t="s">
        <v>42</v>
      </c>
      <c r="Q2015" s="1">
        <v>44385</v>
      </c>
    </row>
    <row r="2016" spans="1:17" x14ac:dyDescent="0.3">
      <c r="A2016" t="s">
        <v>22</v>
      </c>
      <c r="B2016" t="s">
        <v>36</v>
      </c>
      <c r="C2016" t="s">
        <v>23</v>
      </c>
      <c r="D2016" t="s">
        <v>40</v>
      </c>
      <c r="E2016" t="s">
        <v>41</v>
      </c>
      <c r="F2016" s="9">
        <v>0.12</v>
      </c>
      <c r="G2016" s="10">
        <v>16476</v>
      </c>
      <c r="H2016">
        <v>2.4500000000000002</v>
      </c>
      <c r="I2016" s="5">
        <f>ROUND(Marketing[[#This Row],[Clicks]]*Marketing[[#This Row],[Conversion_Rate]],0)</f>
        <v>75</v>
      </c>
      <c r="J2016" s="12">
        <f>Marketing[[#This Row],[Campaign_Cost]]/Marketing[[#This Row],[Customers]]</f>
        <v>219.68</v>
      </c>
      <c r="K2016" t="s">
        <v>32</v>
      </c>
      <c r="L2016" t="s">
        <v>20</v>
      </c>
      <c r="M2016">
        <v>629</v>
      </c>
      <c r="N2016">
        <v>5619</v>
      </c>
      <c r="O2016">
        <v>5</v>
      </c>
      <c r="P2016" t="s">
        <v>34</v>
      </c>
      <c r="Q2016" s="1">
        <v>44386</v>
      </c>
    </row>
    <row r="2017" spans="1:17" x14ac:dyDescent="0.3">
      <c r="A2017" t="s">
        <v>49</v>
      </c>
      <c r="B2017" t="s">
        <v>15</v>
      </c>
      <c r="C2017" t="s">
        <v>37</v>
      </c>
      <c r="D2017" t="s">
        <v>40</v>
      </c>
      <c r="E2017" t="s">
        <v>41</v>
      </c>
      <c r="F2017" s="9">
        <v>0.1</v>
      </c>
      <c r="G2017" s="10">
        <v>8318</v>
      </c>
      <c r="H2017">
        <v>2.75</v>
      </c>
      <c r="I2017" s="5">
        <f>ROUND(Marketing[[#This Row],[Clicks]]*Marketing[[#This Row],[Conversion_Rate]],0)</f>
        <v>19</v>
      </c>
      <c r="J2017" s="12">
        <f>Marketing[[#This Row],[Campaign_Cost]]/Marketing[[#This Row],[Customers]]</f>
        <v>437.78947368421052</v>
      </c>
      <c r="K2017" t="s">
        <v>25</v>
      </c>
      <c r="L2017" t="s">
        <v>20</v>
      </c>
      <c r="M2017">
        <v>188</v>
      </c>
      <c r="N2017">
        <v>9719</v>
      </c>
      <c r="O2017">
        <v>10</v>
      </c>
      <c r="P2017" t="s">
        <v>27</v>
      </c>
      <c r="Q2017" s="1">
        <v>44387</v>
      </c>
    </row>
    <row r="2018" spans="1:17" x14ac:dyDescent="0.3">
      <c r="A2018" t="s">
        <v>28</v>
      </c>
      <c r="B2018" t="s">
        <v>47</v>
      </c>
      <c r="C2018" t="s">
        <v>16</v>
      </c>
      <c r="D2018" t="s">
        <v>40</v>
      </c>
      <c r="E2018" t="s">
        <v>15</v>
      </c>
      <c r="F2018" s="9">
        <v>0.12</v>
      </c>
      <c r="G2018" s="10">
        <v>9884</v>
      </c>
      <c r="H2018">
        <v>3.63</v>
      </c>
      <c r="I2018" s="5">
        <f>ROUND(Marketing[[#This Row],[Clicks]]*Marketing[[#This Row],[Conversion_Rate]],0)</f>
        <v>80</v>
      </c>
      <c r="J2018" s="12">
        <f>Marketing[[#This Row],[Campaign_Cost]]/Marketing[[#This Row],[Customers]]</f>
        <v>123.55</v>
      </c>
      <c r="K2018" t="s">
        <v>38</v>
      </c>
      <c r="L2018" t="s">
        <v>39</v>
      </c>
      <c r="M2018">
        <v>666</v>
      </c>
      <c r="N2018">
        <v>5225</v>
      </c>
      <c r="O2018">
        <v>3</v>
      </c>
      <c r="P2018" t="s">
        <v>42</v>
      </c>
      <c r="Q2018" s="1">
        <v>44388</v>
      </c>
    </row>
    <row r="2019" spans="1:17" x14ac:dyDescent="0.3">
      <c r="A2019" t="s">
        <v>35</v>
      </c>
      <c r="B2019" t="s">
        <v>47</v>
      </c>
      <c r="C2019" t="s">
        <v>37</v>
      </c>
      <c r="D2019" t="s">
        <v>24</v>
      </c>
      <c r="E2019" t="s">
        <v>43</v>
      </c>
      <c r="F2019" s="9">
        <v>0.11</v>
      </c>
      <c r="G2019" s="10">
        <v>8581</v>
      </c>
      <c r="H2019">
        <v>3.16</v>
      </c>
      <c r="I2019" s="5">
        <f>ROUND(Marketing[[#This Row],[Clicks]]*Marketing[[#This Row],[Conversion_Rate]],0)</f>
        <v>86</v>
      </c>
      <c r="J2019" s="12">
        <f>Marketing[[#This Row],[Campaign_Cost]]/Marketing[[#This Row],[Customers]]</f>
        <v>99.779069767441854</v>
      </c>
      <c r="K2019" t="s">
        <v>19</v>
      </c>
      <c r="L2019" t="s">
        <v>26</v>
      </c>
      <c r="M2019">
        <v>778</v>
      </c>
      <c r="N2019">
        <v>3144</v>
      </c>
      <c r="O2019">
        <v>8</v>
      </c>
      <c r="P2019" t="s">
        <v>21</v>
      </c>
      <c r="Q2019" s="1">
        <v>44389</v>
      </c>
    </row>
    <row r="2020" spans="1:17" x14ac:dyDescent="0.3">
      <c r="A2020" t="s">
        <v>49</v>
      </c>
      <c r="B2020" t="s">
        <v>45</v>
      </c>
      <c r="C2020" t="s">
        <v>37</v>
      </c>
      <c r="D2020" t="s">
        <v>17</v>
      </c>
      <c r="E2020" t="s">
        <v>41</v>
      </c>
      <c r="F2020" s="9">
        <v>0.06</v>
      </c>
      <c r="G2020" s="10">
        <v>17673</v>
      </c>
      <c r="H2020">
        <v>6.49</v>
      </c>
      <c r="I2020" s="5">
        <f>ROUND(Marketing[[#This Row],[Clicks]]*Marketing[[#This Row],[Conversion_Rate]],0)</f>
        <v>6</v>
      </c>
      <c r="J2020" s="12">
        <f>Marketing[[#This Row],[Campaign_Cost]]/Marketing[[#This Row],[Customers]]</f>
        <v>2945.5</v>
      </c>
      <c r="K2020" t="s">
        <v>25</v>
      </c>
      <c r="L2020" t="s">
        <v>20</v>
      </c>
      <c r="M2020">
        <v>101</v>
      </c>
      <c r="N2020">
        <v>4017</v>
      </c>
      <c r="O2020">
        <v>5</v>
      </c>
      <c r="P2020" t="s">
        <v>34</v>
      </c>
      <c r="Q2020" s="1">
        <v>44390</v>
      </c>
    </row>
    <row r="2021" spans="1:17" x14ac:dyDescent="0.3">
      <c r="A2021" t="s">
        <v>35</v>
      </c>
      <c r="B2021" t="s">
        <v>36</v>
      </c>
      <c r="C2021" t="s">
        <v>37</v>
      </c>
      <c r="D2021" t="s">
        <v>17</v>
      </c>
      <c r="E2021" t="s">
        <v>15</v>
      </c>
      <c r="F2021" s="9">
        <v>0.02</v>
      </c>
      <c r="G2021" s="10">
        <v>8484</v>
      </c>
      <c r="H2021">
        <v>5.23</v>
      </c>
      <c r="I2021" s="5">
        <f>ROUND(Marketing[[#This Row],[Clicks]]*Marketing[[#This Row],[Conversion_Rate]],0)</f>
        <v>17</v>
      </c>
      <c r="J2021" s="12">
        <f>Marketing[[#This Row],[Campaign_Cost]]/Marketing[[#This Row],[Customers]]</f>
        <v>499.05882352941177</v>
      </c>
      <c r="K2021" t="s">
        <v>38</v>
      </c>
      <c r="L2021" t="s">
        <v>50</v>
      </c>
      <c r="M2021">
        <v>834</v>
      </c>
      <c r="N2021">
        <v>3736</v>
      </c>
      <c r="O2021">
        <v>5</v>
      </c>
      <c r="P2021" t="s">
        <v>34</v>
      </c>
      <c r="Q2021" s="1">
        <v>44391</v>
      </c>
    </row>
    <row r="2022" spans="1:17" x14ac:dyDescent="0.3">
      <c r="A2022" t="s">
        <v>22</v>
      </c>
      <c r="B2022" t="s">
        <v>47</v>
      </c>
      <c r="C2022" t="s">
        <v>30</v>
      </c>
      <c r="D2022" t="s">
        <v>40</v>
      </c>
      <c r="E2022" t="s">
        <v>18</v>
      </c>
      <c r="F2022" s="9">
        <v>0.13</v>
      </c>
      <c r="G2022" s="10">
        <v>10397</v>
      </c>
      <c r="H2022">
        <v>4.57</v>
      </c>
      <c r="I2022" s="5">
        <f>ROUND(Marketing[[#This Row],[Clicks]]*Marketing[[#This Row],[Conversion_Rate]],0)</f>
        <v>99</v>
      </c>
      <c r="J2022" s="12">
        <f>Marketing[[#This Row],[Campaign_Cost]]/Marketing[[#This Row],[Customers]]</f>
        <v>105.02020202020202</v>
      </c>
      <c r="K2022" t="s">
        <v>32</v>
      </c>
      <c r="L2022" t="s">
        <v>26</v>
      </c>
      <c r="M2022">
        <v>761</v>
      </c>
      <c r="N2022">
        <v>5660</v>
      </c>
      <c r="O2022">
        <v>8</v>
      </c>
      <c r="P2022" t="s">
        <v>34</v>
      </c>
      <c r="Q2022" s="1">
        <v>44392</v>
      </c>
    </row>
    <row r="2023" spans="1:17" x14ac:dyDescent="0.3">
      <c r="A2023" t="s">
        <v>35</v>
      </c>
      <c r="B2023" t="s">
        <v>29</v>
      </c>
      <c r="C2023" t="s">
        <v>23</v>
      </c>
      <c r="D2023" t="s">
        <v>17</v>
      </c>
      <c r="E2023" t="s">
        <v>18</v>
      </c>
      <c r="F2023" s="9">
        <v>0.06</v>
      </c>
      <c r="G2023" s="10">
        <v>14629</v>
      </c>
      <c r="H2023">
        <v>4.66</v>
      </c>
      <c r="I2023" s="5">
        <f>ROUND(Marketing[[#This Row],[Clicks]]*Marketing[[#This Row],[Conversion_Rate]],0)</f>
        <v>55</v>
      </c>
      <c r="J2023" s="12">
        <f>Marketing[[#This Row],[Campaign_Cost]]/Marketing[[#This Row],[Customers]]</f>
        <v>265.9818181818182</v>
      </c>
      <c r="K2023" t="s">
        <v>32</v>
      </c>
      <c r="L2023" t="s">
        <v>26</v>
      </c>
      <c r="M2023">
        <v>913</v>
      </c>
      <c r="N2023">
        <v>7405</v>
      </c>
      <c r="O2023">
        <v>7</v>
      </c>
      <c r="P2023" t="s">
        <v>21</v>
      </c>
      <c r="Q2023" s="1">
        <v>44393</v>
      </c>
    </row>
    <row r="2024" spans="1:17" x14ac:dyDescent="0.3">
      <c r="A2024" t="s">
        <v>35</v>
      </c>
      <c r="B2024" t="s">
        <v>47</v>
      </c>
      <c r="C2024" t="s">
        <v>16</v>
      </c>
      <c r="D2024" t="s">
        <v>17</v>
      </c>
      <c r="E2024" t="s">
        <v>15</v>
      </c>
      <c r="F2024" s="9">
        <v>7.0000000000000007E-2</v>
      </c>
      <c r="G2024" s="10">
        <v>18769</v>
      </c>
      <c r="H2024">
        <v>4.8899999999999997</v>
      </c>
      <c r="I2024" s="5">
        <f>ROUND(Marketing[[#This Row],[Clicks]]*Marketing[[#This Row],[Conversion_Rate]],0)</f>
        <v>55</v>
      </c>
      <c r="J2024" s="12">
        <f>Marketing[[#This Row],[Campaign_Cost]]/Marketing[[#This Row],[Customers]]</f>
        <v>341.25454545454545</v>
      </c>
      <c r="K2024" t="s">
        <v>19</v>
      </c>
      <c r="L2024" t="s">
        <v>33</v>
      </c>
      <c r="M2024">
        <v>791</v>
      </c>
      <c r="N2024">
        <v>2882</v>
      </c>
      <c r="O2024">
        <v>5</v>
      </c>
      <c r="P2024" t="s">
        <v>34</v>
      </c>
      <c r="Q2024" s="1">
        <v>44394</v>
      </c>
    </row>
    <row r="2025" spans="1:17" x14ac:dyDescent="0.3">
      <c r="A2025" t="s">
        <v>22</v>
      </c>
      <c r="B2025" t="s">
        <v>29</v>
      </c>
      <c r="C2025" t="s">
        <v>16</v>
      </c>
      <c r="D2025" t="s">
        <v>40</v>
      </c>
      <c r="E2025" t="s">
        <v>18</v>
      </c>
      <c r="F2025" s="9">
        <v>0.03</v>
      </c>
      <c r="G2025" s="10">
        <v>5162</v>
      </c>
      <c r="H2025">
        <v>6.56</v>
      </c>
      <c r="I2025" s="5">
        <f>ROUND(Marketing[[#This Row],[Clicks]]*Marketing[[#This Row],[Conversion_Rate]],0)</f>
        <v>19</v>
      </c>
      <c r="J2025" s="12">
        <f>Marketing[[#This Row],[Campaign_Cost]]/Marketing[[#This Row],[Customers]]</f>
        <v>271.68421052631578</v>
      </c>
      <c r="K2025" t="s">
        <v>51</v>
      </c>
      <c r="L2025" t="s">
        <v>33</v>
      </c>
      <c r="M2025">
        <v>649</v>
      </c>
      <c r="N2025">
        <v>2517</v>
      </c>
      <c r="O2025">
        <v>6</v>
      </c>
      <c r="P2025" t="s">
        <v>21</v>
      </c>
      <c r="Q2025" s="1">
        <v>44395</v>
      </c>
    </row>
    <row r="2026" spans="1:17" x14ac:dyDescent="0.3">
      <c r="A2026" t="s">
        <v>14</v>
      </c>
      <c r="B2026" t="s">
        <v>29</v>
      </c>
      <c r="C2026" t="s">
        <v>16</v>
      </c>
      <c r="D2026" t="s">
        <v>40</v>
      </c>
      <c r="E2026" t="s">
        <v>31</v>
      </c>
      <c r="F2026" s="9">
        <v>0.12</v>
      </c>
      <c r="G2026" s="10">
        <v>18000</v>
      </c>
      <c r="H2026">
        <v>5.44</v>
      </c>
      <c r="I2026" s="5">
        <f>ROUND(Marketing[[#This Row],[Clicks]]*Marketing[[#This Row],[Conversion_Rate]],0)</f>
        <v>29</v>
      </c>
      <c r="J2026" s="12">
        <f>Marketing[[#This Row],[Campaign_Cost]]/Marketing[[#This Row],[Customers]]</f>
        <v>620.68965517241384</v>
      </c>
      <c r="K2026" t="s">
        <v>19</v>
      </c>
      <c r="L2026" t="s">
        <v>33</v>
      </c>
      <c r="M2026">
        <v>241</v>
      </c>
      <c r="N2026">
        <v>4717</v>
      </c>
      <c r="O2026">
        <v>8</v>
      </c>
      <c r="P2026" t="s">
        <v>44</v>
      </c>
      <c r="Q2026" s="1">
        <v>44396</v>
      </c>
    </row>
    <row r="2027" spans="1:17" x14ac:dyDescent="0.3">
      <c r="A2027" t="s">
        <v>14</v>
      </c>
      <c r="B2027" t="s">
        <v>47</v>
      </c>
      <c r="C2027" t="s">
        <v>23</v>
      </c>
      <c r="D2027" t="s">
        <v>40</v>
      </c>
      <c r="E2027" t="s">
        <v>18</v>
      </c>
      <c r="F2027" s="9">
        <v>0.09</v>
      </c>
      <c r="G2027" s="10">
        <v>11930</v>
      </c>
      <c r="H2027">
        <v>7.48</v>
      </c>
      <c r="I2027" s="5">
        <f>ROUND(Marketing[[#This Row],[Clicks]]*Marketing[[#This Row],[Conversion_Rate]],0)</f>
        <v>77</v>
      </c>
      <c r="J2027" s="12">
        <f>Marketing[[#This Row],[Campaign_Cost]]/Marketing[[#This Row],[Customers]]</f>
        <v>154.93506493506493</v>
      </c>
      <c r="K2027" t="s">
        <v>25</v>
      </c>
      <c r="L2027" t="s">
        <v>26</v>
      </c>
      <c r="M2027">
        <v>857</v>
      </c>
      <c r="N2027">
        <v>6242</v>
      </c>
      <c r="O2027">
        <v>10</v>
      </c>
      <c r="P2027" t="s">
        <v>34</v>
      </c>
      <c r="Q2027" s="1">
        <v>44397</v>
      </c>
    </row>
    <row r="2028" spans="1:17" x14ac:dyDescent="0.3">
      <c r="A2028" t="s">
        <v>35</v>
      </c>
      <c r="B2028" t="s">
        <v>47</v>
      </c>
      <c r="C2028" t="s">
        <v>37</v>
      </c>
      <c r="D2028" t="s">
        <v>46</v>
      </c>
      <c r="E2028" t="s">
        <v>31</v>
      </c>
      <c r="F2028" s="9">
        <v>0.03</v>
      </c>
      <c r="G2028" s="10">
        <v>6511</v>
      </c>
      <c r="H2028">
        <v>6.54</v>
      </c>
      <c r="I2028" s="5">
        <f>ROUND(Marketing[[#This Row],[Clicks]]*Marketing[[#This Row],[Conversion_Rate]],0)</f>
        <v>12</v>
      </c>
      <c r="J2028" s="12">
        <f>Marketing[[#This Row],[Campaign_Cost]]/Marketing[[#This Row],[Customers]]</f>
        <v>542.58333333333337</v>
      </c>
      <c r="K2028" t="s">
        <v>32</v>
      </c>
      <c r="L2028" t="s">
        <v>39</v>
      </c>
      <c r="M2028">
        <v>398</v>
      </c>
      <c r="N2028">
        <v>4014</v>
      </c>
      <c r="O2028">
        <v>6</v>
      </c>
      <c r="P2028" t="s">
        <v>34</v>
      </c>
      <c r="Q2028" s="1">
        <v>44398</v>
      </c>
    </row>
    <row r="2029" spans="1:17" x14ac:dyDescent="0.3">
      <c r="A2029" t="s">
        <v>28</v>
      </c>
      <c r="B2029" t="s">
        <v>45</v>
      </c>
      <c r="C2029" t="s">
        <v>52</v>
      </c>
      <c r="D2029" t="s">
        <v>46</v>
      </c>
      <c r="E2029" t="s">
        <v>43</v>
      </c>
      <c r="F2029" s="9">
        <v>0.01</v>
      </c>
      <c r="G2029" s="10">
        <v>12425</v>
      </c>
      <c r="H2029">
        <v>4.5599999999999996</v>
      </c>
      <c r="I2029" s="5">
        <f>ROUND(Marketing[[#This Row],[Clicks]]*Marketing[[#This Row],[Conversion_Rate]],0)</f>
        <v>1</v>
      </c>
      <c r="J2029" s="12">
        <f>Marketing[[#This Row],[Campaign_Cost]]/Marketing[[#This Row],[Customers]]</f>
        <v>12425</v>
      </c>
      <c r="K2029" t="s">
        <v>25</v>
      </c>
      <c r="L2029" t="s">
        <v>20</v>
      </c>
      <c r="M2029">
        <v>102</v>
      </c>
      <c r="N2029">
        <v>3183</v>
      </c>
      <c r="O2029">
        <v>8</v>
      </c>
      <c r="P2029" t="s">
        <v>42</v>
      </c>
      <c r="Q2029" s="1">
        <v>44399</v>
      </c>
    </row>
    <row r="2030" spans="1:17" x14ac:dyDescent="0.3">
      <c r="A2030" t="s">
        <v>14</v>
      </c>
      <c r="B2030" t="s">
        <v>47</v>
      </c>
      <c r="C2030" t="s">
        <v>30</v>
      </c>
      <c r="D2030" t="s">
        <v>17</v>
      </c>
      <c r="E2030" t="s">
        <v>31</v>
      </c>
      <c r="F2030" s="9">
        <v>0.13</v>
      </c>
      <c r="G2030" s="10">
        <v>15257</v>
      </c>
      <c r="H2030">
        <v>7.05</v>
      </c>
      <c r="I2030" s="5">
        <f>ROUND(Marketing[[#This Row],[Clicks]]*Marketing[[#This Row],[Conversion_Rate]],0)</f>
        <v>27</v>
      </c>
      <c r="J2030" s="12">
        <f>Marketing[[#This Row],[Campaign_Cost]]/Marketing[[#This Row],[Customers]]</f>
        <v>565.07407407407402</v>
      </c>
      <c r="K2030" t="s">
        <v>32</v>
      </c>
      <c r="L2030" t="s">
        <v>20</v>
      </c>
      <c r="M2030">
        <v>208</v>
      </c>
      <c r="N2030">
        <v>4255</v>
      </c>
      <c r="O2030">
        <v>4</v>
      </c>
      <c r="P2030" t="s">
        <v>42</v>
      </c>
      <c r="Q2030" s="1">
        <v>44400</v>
      </c>
    </row>
    <row r="2031" spans="1:17" x14ac:dyDescent="0.3">
      <c r="A2031" t="s">
        <v>28</v>
      </c>
      <c r="B2031" t="s">
        <v>29</v>
      </c>
      <c r="C2031" t="s">
        <v>30</v>
      </c>
      <c r="D2031" t="s">
        <v>17</v>
      </c>
      <c r="E2031" t="s">
        <v>18</v>
      </c>
      <c r="F2031" s="9">
        <v>0.1</v>
      </c>
      <c r="G2031" s="10">
        <v>7593</v>
      </c>
      <c r="H2031">
        <v>5.37</v>
      </c>
      <c r="I2031" s="5">
        <f>ROUND(Marketing[[#This Row],[Clicks]]*Marketing[[#This Row],[Conversion_Rate]],0)</f>
        <v>93</v>
      </c>
      <c r="J2031" s="12">
        <f>Marketing[[#This Row],[Campaign_Cost]]/Marketing[[#This Row],[Customers]]</f>
        <v>81.645161290322577</v>
      </c>
      <c r="K2031" t="s">
        <v>19</v>
      </c>
      <c r="L2031" t="s">
        <v>39</v>
      </c>
      <c r="M2031">
        <v>931</v>
      </c>
      <c r="N2031">
        <v>5759</v>
      </c>
      <c r="O2031">
        <v>5</v>
      </c>
      <c r="P2031" t="s">
        <v>42</v>
      </c>
      <c r="Q2031" s="1">
        <v>44401</v>
      </c>
    </row>
    <row r="2032" spans="1:17" x14ac:dyDescent="0.3">
      <c r="A2032" t="s">
        <v>14</v>
      </c>
      <c r="B2032" t="s">
        <v>36</v>
      </c>
      <c r="C2032" t="s">
        <v>52</v>
      </c>
      <c r="D2032" t="s">
        <v>46</v>
      </c>
      <c r="E2032" t="s">
        <v>15</v>
      </c>
      <c r="F2032" s="9">
        <v>0.03</v>
      </c>
      <c r="G2032" s="10">
        <v>12608</v>
      </c>
      <c r="H2032">
        <v>2.2599999999999998</v>
      </c>
      <c r="I2032" s="5">
        <f>ROUND(Marketing[[#This Row],[Clicks]]*Marketing[[#This Row],[Conversion_Rate]],0)</f>
        <v>20</v>
      </c>
      <c r="J2032" s="12">
        <f>Marketing[[#This Row],[Campaign_Cost]]/Marketing[[#This Row],[Customers]]</f>
        <v>630.4</v>
      </c>
      <c r="K2032" t="s">
        <v>38</v>
      </c>
      <c r="L2032" t="s">
        <v>39</v>
      </c>
      <c r="M2032">
        <v>665</v>
      </c>
      <c r="N2032">
        <v>2646</v>
      </c>
      <c r="O2032">
        <v>5</v>
      </c>
      <c r="P2032" t="s">
        <v>27</v>
      </c>
      <c r="Q2032" s="1">
        <v>44402</v>
      </c>
    </row>
    <row r="2033" spans="1:17" x14ac:dyDescent="0.3">
      <c r="A2033" t="s">
        <v>35</v>
      </c>
      <c r="B2033" t="s">
        <v>36</v>
      </c>
      <c r="C2033" t="s">
        <v>16</v>
      </c>
      <c r="D2033" t="s">
        <v>40</v>
      </c>
      <c r="E2033" t="s">
        <v>31</v>
      </c>
      <c r="F2033" s="9">
        <v>0.08</v>
      </c>
      <c r="G2033" s="10">
        <v>6634</v>
      </c>
      <c r="H2033">
        <v>3.35</v>
      </c>
      <c r="I2033" s="5">
        <f>ROUND(Marketing[[#This Row],[Clicks]]*Marketing[[#This Row],[Conversion_Rate]],0)</f>
        <v>19</v>
      </c>
      <c r="J2033" s="12">
        <f>Marketing[[#This Row],[Campaign_Cost]]/Marketing[[#This Row],[Customers]]</f>
        <v>349.15789473684208</v>
      </c>
      <c r="K2033" t="s">
        <v>51</v>
      </c>
      <c r="L2033" t="s">
        <v>39</v>
      </c>
      <c r="M2033">
        <v>235</v>
      </c>
      <c r="N2033">
        <v>6997</v>
      </c>
      <c r="O2033">
        <v>10</v>
      </c>
      <c r="P2033" t="s">
        <v>21</v>
      </c>
      <c r="Q2033" s="1">
        <v>44403</v>
      </c>
    </row>
    <row r="2034" spans="1:17" x14ac:dyDescent="0.3">
      <c r="A2034" t="s">
        <v>14</v>
      </c>
      <c r="B2034" t="s">
        <v>15</v>
      </c>
      <c r="C2034" t="s">
        <v>23</v>
      </c>
      <c r="D2034" t="s">
        <v>24</v>
      </c>
      <c r="E2034" t="s">
        <v>43</v>
      </c>
      <c r="F2034" s="9">
        <v>0.02</v>
      </c>
      <c r="G2034" s="10">
        <v>8178</v>
      </c>
      <c r="H2034">
        <v>5.42</v>
      </c>
      <c r="I2034" s="5">
        <f>ROUND(Marketing[[#This Row],[Clicks]]*Marketing[[#This Row],[Conversion_Rate]],0)</f>
        <v>11</v>
      </c>
      <c r="J2034" s="12">
        <f>Marketing[[#This Row],[Campaign_Cost]]/Marketing[[#This Row],[Customers]]</f>
        <v>743.4545454545455</v>
      </c>
      <c r="K2034" t="s">
        <v>25</v>
      </c>
      <c r="L2034" t="s">
        <v>39</v>
      </c>
      <c r="M2034">
        <v>544</v>
      </c>
      <c r="N2034">
        <v>5323</v>
      </c>
      <c r="O2034">
        <v>9</v>
      </c>
      <c r="P2034" t="s">
        <v>27</v>
      </c>
      <c r="Q2034" s="1">
        <v>44404</v>
      </c>
    </row>
    <row r="2035" spans="1:17" x14ac:dyDescent="0.3">
      <c r="A2035" t="s">
        <v>35</v>
      </c>
      <c r="B2035" t="s">
        <v>47</v>
      </c>
      <c r="C2035" t="s">
        <v>23</v>
      </c>
      <c r="D2035" t="s">
        <v>40</v>
      </c>
      <c r="E2035" t="s">
        <v>41</v>
      </c>
      <c r="F2035" s="9">
        <v>0.04</v>
      </c>
      <c r="G2035" s="10">
        <v>19677</v>
      </c>
      <c r="H2035">
        <v>2.95</v>
      </c>
      <c r="I2035" s="5">
        <f>ROUND(Marketing[[#This Row],[Clicks]]*Marketing[[#This Row],[Conversion_Rate]],0)</f>
        <v>9</v>
      </c>
      <c r="J2035" s="12">
        <f>Marketing[[#This Row],[Campaign_Cost]]/Marketing[[#This Row],[Customers]]</f>
        <v>2186.3333333333335</v>
      </c>
      <c r="K2035" t="s">
        <v>25</v>
      </c>
      <c r="L2035" t="s">
        <v>39</v>
      </c>
      <c r="M2035">
        <v>225</v>
      </c>
      <c r="N2035">
        <v>5679</v>
      </c>
      <c r="O2035">
        <v>4</v>
      </c>
      <c r="P2035" t="s">
        <v>34</v>
      </c>
      <c r="Q2035" s="1">
        <v>44405</v>
      </c>
    </row>
    <row r="2036" spans="1:17" x14ac:dyDescent="0.3">
      <c r="A2036" t="s">
        <v>49</v>
      </c>
      <c r="B2036" t="s">
        <v>15</v>
      </c>
      <c r="C2036" t="s">
        <v>52</v>
      </c>
      <c r="D2036" t="s">
        <v>24</v>
      </c>
      <c r="E2036" t="s">
        <v>31</v>
      </c>
      <c r="F2036" s="9">
        <v>0.13</v>
      </c>
      <c r="G2036" s="10">
        <v>6184</v>
      </c>
      <c r="H2036">
        <v>4.3600000000000003</v>
      </c>
      <c r="I2036" s="5">
        <f>ROUND(Marketing[[#This Row],[Clicks]]*Marketing[[#This Row],[Conversion_Rate]],0)</f>
        <v>97</v>
      </c>
      <c r="J2036" s="12">
        <f>Marketing[[#This Row],[Campaign_Cost]]/Marketing[[#This Row],[Customers]]</f>
        <v>63.75257731958763</v>
      </c>
      <c r="K2036" t="s">
        <v>25</v>
      </c>
      <c r="L2036" t="s">
        <v>33</v>
      </c>
      <c r="M2036">
        <v>746</v>
      </c>
      <c r="N2036">
        <v>6281</v>
      </c>
      <c r="O2036">
        <v>3</v>
      </c>
      <c r="P2036" t="s">
        <v>44</v>
      </c>
      <c r="Q2036" s="1">
        <v>44406</v>
      </c>
    </row>
    <row r="2037" spans="1:17" x14ac:dyDescent="0.3">
      <c r="A2037" t="s">
        <v>22</v>
      </c>
      <c r="B2037" t="s">
        <v>45</v>
      </c>
      <c r="C2037" t="s">
        <v>30</v>
      </c>
      <c r="D2037" t="s">
        <v>46</v>
      </c>
      <c r="E2037" t="s">
        <v>15</v>
      </c>
      <c r="F2037" s="9">
        <v>0.08</v>
      </c>
      <c r="G2037" s="10">
        <v>10039</v>
      </c>
      <c r="H2037">
        <v>7.96</v>
      </c>
      <c r="I2037" s="5">
        <f>ROUND(Marketing[[#This Row],[Clicks]]*Marketing[[#This Row],[Conversion_Rate]],0)</f>
        <v>27</v>
      </c>
      <c r="J2037" s="12">
        <f>Marketing[[#This Row],[Campaign_Cost]]/Marketing[[#This Row],[Customers]]</f>
        <v>371.81481481481484</v>
      </c>
      <c r="K2037" t="s">
        <v>32</v>
      </c>
      <c r="L2037" t="s">
        <v>33</v>
      </c>
      <c r="M2037">
        <v>337</v>
      </c>
      <c r="N2037">
        <v>7572</v>
      </c>
      <c r="O2037">
        <v>5</v>
      </c>
      <c r="P2037" t="s">
        <v>34</v>
      </c>
      <c r="Q2037" s="1">
        <v>44407</v>
      </c>
    </row>
    <row r="2038" spans="1:17" x14ac:dyDescent="0.3">
      <c r="A2038" t="s">
        <v>35</v>
      </c>
      <c r="B2038" t="s">
        <v>36</v>
      </c>
      <c r="C2038" t="s">
        <v>30</v>
      </c>
      <c r="D2038" t="s">
        <v>46</v>
      </c>
      <c r="E2038" t="s">
        <v>41</v>
      </c>
      <c r="F2038" s="9">
        <v>0.09</v>
      </c>
      <c r="G2038" s="10">
        <v>8663</v>
      </c>
      <c r="H2038">
        <v>6.25</v>
      </c>
      <c r="I2038" s="5">
        <f>ROUND(Marketing[[#This Row],[Clicks]]*Marketing[[#This Row],[Conversion_Rate]],0)</f>
        <v>13</v>
      </c>
      <c r="J2038" s="12">
        <f>Marketing[[#This Row],[Campaign_Cost]]/Marketing[[#This Row],[Customers]]</f>
        <v>666.38461538461536</v>
      </c>
      <c r="K2038" t="s">
        <v>19</v>
      </c>
      <c r="L2038" t="s">
        <v>20</v>
      </c>
      <c r="M2038">
        <v>139</v>
      </c>
      <c r="N2038">
        <v>9712</v>
      </c>
      <c r="O2038">
        <v>7</v>
      </c>
      <c r="P2038" t="s">
        <v>42</v>
      </c>
      <c r="Q2038" s="1">
        <v>44408</v>
      </c>
    </row>
    <row r="2039" spans="1:17" x14ac:dyDescent="0.3">
      <c r="A2039" t="s">
        <v>35</v>
      </c>
      <c r="B2039" t="s">
        <v>29</v>
      </c>
      <c r="C2039" t="s">
        <v>23</v>
      </c>
      <c r="D2039" t="s">
        <v>17</v>
      </c>
      <c r="E2039" t="s">
        <v>41</v>
      </c>
      <c r="F2039" s="9">
        <v>7.0000000000000007E-2</v>
      </c>
      <c r="G2039" s="10">
        <v>8197</v>
      </c>
      <c r="H2039">
        <v>2.2599999999999998</v>
      </c>
      <c r="I2039" s="5">
        <f>ROUND(Marketing[[#This Row],[Clicks]]*Marketing[[#This Row],[Conversion_Rate]],0)</f>
        <v>33</v>
      </c>
      <c r="J2039" s="12">
        <f>Marketing[[#This Row],[Campaign_Cost]]/Marketing[[#This Row],[Customers]]</f>
        <v>248.39393939393941</v>
      </c>
      <c r="K2039" t="s">
        <v>51</v>
      </c>
      <c r="L2039" t="s">
        <v>50</v>
      </c>
      <c r="M2039">
        <v>473</v>
      </c>
      <c r="N2039">
        <v>4825</v>
      </c>
      <c r="O2039">
        <v>1</v>
      </c>
      <c r="P2039" t="s">
        <v>27</v>
      </c>
      <c r="Q2039" s="1">
        <v>44409</v>
      </c>
    </row>
    <row r="2040" spans="1:17" x14ac:dyDescent="0.3">
      <c r="A2040" t="s">
        <v>49</v>
      </c>
      <c r="B2040" t="s">
        <v>36</v>
      </c>
      <c r="C2040" t="s">
        <v>23</v>
      </c>
      <c r="D2040" t="s">
        <v>24</v>
      </c>
      <c r="E2040" t="s">
        <v>15</v>
      </c>
      <c r="F2040" s="9">
        <v>0.06</v>
      </c>
      <c r="G2040" s="10">
        <v>18231</v>
      </c>
      <c r="H2040">
        <v>2.6</v>
      </c>
      <c r="I2040" s="5">
        <f>ROUND(Marketing[[#This Row],[Clicks]]*Marketing[[#This Row],[Conversion_Rate]],0)</f>
        <v>27</v>
      </c>
      <c r="J2040" s="12">
        <f>Marketing[[#This Row],[Campaign_Cost]]/Marketing[[#This Row],[Customers]]</f>
        <v>675.22222222222217</v>
      </c>
      <c r="K2040" t="s">
        <v>25</v>
      </c>
      <c r="L2040" t="s">
        <v>50</v>
      </c>
      <c r="M2040">
        <v>449</v>
      </c>
      <c r="N2040">
        <v>4061</v>
      </c>
      <c r="O2040">
        <v>2</v>
      </c>
      <c r="P2040" t="s">
        <v>44</v>
      </c>
      <c r="Q2040" s="1">
        <v>44410</v>
      </c>
    </row>
    <row r="2041" spans="1:17" x14ac:dyDescent="0.3">
      <c r="A2041" t="s">
        <v>14</v>
      </c>
      <c r="B2041" t="s">
        <v>29</v>
      </c>
      <c r="C2041" t="s">
        <v>16</v>
      </c>
      <c r="D2041" t="s">
        <v>40</v>
      </c>
      <c r="E2041" t="s">
        <v>43</v>
      </c>
      <c r="F2041" s="9">
        <v>0.14000000000000001</v>
      </c>
      <c r="G2041" s="10">
        <v>7450</v>
      </c>
      <c r="H2041">
        <v>2.95</v>
      </c>
      <c r="I2041" s="5">
        <f>ROUND(Marketing[[#This Row],[Clicks]]*Marketing[[#This Row],[Conversion_Rate]],0)</f>
        <v>105</v>
      </c>
      <c r="J2041" s="12">
        <f>Marketing[[#This Row],[Campaign_Cost]]/Marketing[[#This Row],[Customers]]</f>
        <v>70.952380952380949</v>
      </c>
      <c r="K2041" t="s">
        <v>25</v>
      </c>
      <c r="L2041" t="s">
        <v>39</v>
      </c>
      <c r="M2041">
        <v>748</v>
      </c>
      <c r="N2041">
        <v>6084</v>
      </c>
      <c r="O2041">
        <v>10</v>
      </c>
      <c r="P2041" t="s">
        <v>42</v>
      </c>
      <c r="Q2041" s="1">
        <v>44411</v>
      </c>
    </row>
    <row r="2042" spans="1:17" x14ac:dyDescent="0.3">
      <c r="A2042" t="s">
        <v>49</v>
      </c>
      <c r="B2042" t="s">
        <v>45</v>
      </c>
      <c r="C2042" t="s">
        <v>23</v>
      </c>
      <c r="D2042" t="s">
        <v>46</v>
      </c>
      <c r="E2042" t="s">
        <v>43</v>
      </c>
      <c r="F2042" s="9">
        <v>7.0000000000000007E-2</v>
      </c>
      <c r="G2042" s="10">
        <v>15095</v>
      </c>
      <c r="H2042">
        <v>6.76</v>
      </c>
      <c r="I2042" s="5">
        <f>ROUND(Marketing[[#This Row],[Clicks]]*Marketing[[#This Row],[Conversion_Rate]],0)</f>
        <v>30</v>
      </c>
      <c r="J2042" s="12">
        <f>Marketing[[#This Row],[Campaign_Cost]]/Marketing[[#This Row],[Customers]]</f>
        <v>503.16666666666669</v>
      </c>
      <c r="K2042" t="s">
        <v>19</v>
      </c>
      <c r="L2042" t="s">
        <v>33</v>
      </c>
      <c r="M2042">
        <v>425</v>
      </c>
      <c r="N2042">
        <v>5051</v>
      </c>
      <c r="O2042">
        <v>1</v>
      </c>
      <c r="P2042" t="s">
        <v>44</v>
      </c>
      <c r="Q2042" s="1">
        <v>44412</v>
      </c>
    </row>
    <row r="2043" spans="1:17" x14ac:dyDescent="0.3">
      <c r="A2043" t="s">
        <v>22</v>
      </c>
      <c r="B2043" t="s">
        <v>47</v>
      </c>
      <c r="C2043" t="s">
        <v>16</v>
      </c>
      <c r="D2043" t="s">
        <v>40</v>
      </c>
      <c r="E2043" t="s">
        <v>43</v>
      </c>
      <c r="F2043" s="9">
        <v>0.02</v>
      </c>
      <c r="G2043" s="10">
        <v>18109</v>
      </c>
      <c r="H2043">
        <v>2.36</v>
      </c>
      <c r="I2043" s="5">
        <f>ROUND(Marketing[[#This Row],[Clicks]]*Marketing[[#This Row],[Conversion_Rate]],0)</f>
        <v>18</v>
      </c>
      <c r="J2043" s="12">
        <f>Marketing[[#This Row],[Campaign_Cost]]/Marketing[[#This Row],[Customers]]</f>
        <v>1006.0555555555555</v>
      </c>
      <c r="K2043" t="s">
        <v>51</v>
      </c>
      <c r="L2043" t="s">
        <v>50</v>
      </c>
      <c r="M2043">
        <v>881</v>
      </c>
      <c r="N2043">
        <v>6087</v>
      </c>
      <c r="O2043">
        <v>10</v>
      </c>
      <c r="P2043" t="s">
        <v>21</v>
      </c>
      <c r="Q2043" s="1">
        <v>44413</v>
      </c>
    </row>
    <row r="2044" spans="1:17" x14ac:dyDescent="0.3">
      <c r="A2044" t="s">
        <v>14</v>
      </c>
      <c r="B2044" t="s">
        <v>15</v>
      </c>
      <c r="C2044" t="s">
        <v>52</v>
      </c>
      <c r="D2044" t="s">
        <v>17</v>
      </c>
      <c r="E2044" t="s">
        <v>48</v>
      </c>
      <c r="F2044" s="9">
        <v>0.14000000000000001</v>
      </c>
      <c r="G2044" s="10">
        <v>8213</v>
      </c>
      <c r="H2044">
        <v>7.24</v>
      </c>
      <c r="I2044" s="5">
        <f>ROUND(Marketing[[#This Row],[Clicks]]*Marketing[[#This Row],[Conversion_Rate]],0)</f>
        <v>64</v>
      </c>
      <c r="J2044" s="12">
        <f>Marketing[[#This Row],[Campaign_Cost]]/Marketing[[#This Row],[Customers]]</f>
        <v>128.328125</v>
      </c>
      <c r="K2044" t="s">
        <v>25</v>
      </c>
      <c r="L2044" t="s">
        <v>39</v>
      </c>
      <c r="M2044">
        <v>457</v>
      </c>
      <c r="N2044">
        <v>6784</v>
      </c>
      <c r="O2044">
        <v>4</v>
      </c>
      <c r="P2044" t="s">
        <v>44</v>
      </c>
      <c r="Q2044" s="1">
        <v>44414</v>
      </c>
    </row>
    <row r="2045" spans="1:17" x14ac:dyDescent="0.3">
      <c r="A2045" t="s">
        <v>28</v>
      </c>
      <c r="B2045" t="s">
        <v>15</v>
      </c>
      <c r="C2045" t="s">
        <v>16</v>
      </c>
      <c r="D2045" t="s">
        <v>24</v>
      </c>
      <c r="E2045" t="s">
        <v>31</v>
      </c>
      <c r="F2045" s="9">
        <v>0.04</v>
      </c>
      <c r="G2045" s="10">
        <v>10691</v>
      </c>
      <c r="H2045">
        <v>7.12</v>
      </c>
      <c r="I2045" s="5">
        <f>ROUND(Marketing[[#This Row],[Clicks]]*Marketing[[#This Row],[Conversion_Rate]],0)</f>
        <v>19</v>
      </c>
      <c r="J2045" s="12">
        <f>Marketing[[#This Row],[Campaign_Cost]]/Marketing[[#This Row],[Customers]]</f>
        <v>562.68421052631584</v>
      </c>
      <c r="K2045" t="s">
        <v>25</v>
      </c>
      <c r="L2045" t="s">
        <v>33</v>
      </c>
      <c r="M2045">
        <v>483</v>
      </c>
      <c r="N2045">
        <v>7117</v>
      </c>
      <c r="O2045">
        <v>9</v>
      </c>
      <c r="P2045" t="s">
        <v>21</v>
      </c>
      <c r="Q2045" s="1">
        <v>44415</v>
      </c>
    </row>
    <row r="2046" spans="1:17" x14ac:dyDescent="0.3">
      <c r="A2046" t="s">
        <v>49</v>
      </c>
      <c r="B2046" t="s">
        <v>47</v>
      </c>
      <c r="C2046" t="s">
        <v>52</v>
      </c>
      <c r="D2046" t="s">
        <v>24</v>
      </c>
      <c r="E2046" t="s">
        <v>48</v>
      </c>
      <c r="F2046" s="9">
        <v>0.05</v>
      </c>
      <c r="G2046" s="10">
        <v>6026</v>
      </c>
      <c r="H2046">
        <v>5.21</v>
      </c>
      <c r="I2046" s="5">
        <f>ROUND(Marketing[[#This Row],[Clicks]]*Marketing[[#This Row],[Conversion_Rate]],0)</f>
        <v>25</v>
      </c>
      <c r="J2046" s="12">
        <f>Marketing[[#This Row],[Campaign_Cost]]/Marketing[[#This Row],[Customers]]</f>
        <v>241.04</v>
      </c>
      <c r="K2046" t="s">
        <v>19</v>
      </c>
      <c r="L2046" t="s">
        <v>20</v>
      </c>
      <c r="M2046">
        <v>495</v>
      </c>
      <c r="N2046">
        <v>3000</v>
      </c>
      <c r="O2046">
        <v>9</v>
      </c>
      <c r="P2046" t="s">
        <v>44</v>
      </c>
      <c r="Q2046" s="1">
        <v>44416</v>
      </c>
    </row>
    <row r="2047" spans="1:17" x14ac:dyDescent="0.3">
      <c r="A2047" t="s">
        <v>49</v>
      </c>
      <c r="B2047" t="s">
        <v>29</v>
      </c>
      <c r="C2047" t="s">
        <v>23</v>
      </c>
      <c r="D2047" t="s">
        <v>40</v>
      </c>
      <c r="E2047" t="s">
        <v>43</v>
      </c>
      <c r="F2047" s="9">
        <v>0.11</v>
      </c>
      <c r="G2047" s="10">
        <v>11746</v>
      </c>
      <c r="H2047">
        <v>7.39</v>
      </c>
      <c r="I2047" s="5">
        <f>ROUND(Marketing[[#This Row],[Clicks]]*Marketing[[#This Row],[Conversion_Rate]],0)</f>
        <v>22</v>
      </c>
      <c r="J2047" s="12">
        <f>Marketing[[#This Row],[Campaign_Cost]]/Marketing[[#This Row],[Customers]]</f>
        <v>533.90909090909088</v>
      </c>
      <c r="K2047" t="s">
        <v>51</v>
      </c>
      <c r="L2047" t="s">
        <v>20</v>
      </c>
      <c r="M2047">
        <v>200</v>
      </c>
      <c r="N2047">
        <v>6729</v>
      </c>
      <c r="O2047">
        <v>8</v>
      </c>
      <c r="P2047" t="s">
        <v>27</v>
      </c>
      <c r="Q2047" s="1">
        <v>44417</v>
      </c>
    </row>
    <row r="2048" spans="1:17" x14ac:dyDescent="0.3">
      <c r="A2048" t="s">
        <v>14</v>
      </c>
      <c r="B2048" t="s">
        <v>45</v>
      </c>
      <c r="C2048" t="s">
        <v>23</v>
      </c>
      <c r="D2048" t="s">
        <v>40</v>
      </c>
      <c r="E2048" t="s">
        <v>15</v>
      </c>
      <c r="F2048" s="9">
        <v>7.0000000000000007E-2</v>
      </c>
      <c r="G2048" s="10">
        <v>19764</v>
      </c>
      <c r="H2048">
        <v>2.88</v>
      </c>
      <c r="I2048" s="5">
        <f>ROUND(Marketing[[#This Row],[Clicks]]*Marketing[[#This Row],[Conversion_Rate]],0)</f>
        <v>28</v>
      </c>
      <c r="J2048" s="12">
        <f>Marketing[[#This Row],[Campaign_Cost]]/Marketing[[#This Row],[Customers]]</f>
        <v>705.85714285714289</v>
      </c>
      <c r="K2048" t="s">
        <v>38</v>
      </c>
      <c r="L2048" t="s">
        <v>39</v>
      </c>
      <c r="M2048">
        <v>399</v>
      </c>
      <c r="N2048">
        <v>4829</v>
      </c>
      <c r="O2048">
        <v>3</v>
      </c>
      <c r="P2048" t="s">
        <v>44</v>
      </c>
      <c r="Q2048" s="1">
        <v>44418</v>
      </c>
    </row>
    <row r="2049" spans="1:17" x14ac:dyDescent="0.3">
      <c r="A2049" t="s">
        <v>14</v>
      </c>
      <c r="B2049" t="s">
        <v>45</v>
      </c>
      <c r="C2049" t="s">
        <v>30</v>
      </c>
      <c r="D2049" t="s">
        <v>24</v>
      </c>
      <c r="E2049" t="s">
        <v>15</v>
      </c>
      <c r="F2049" s="9">
        <v>0.03</v>
      </c>
      <c r="G2049" s="10">
        <v>16537</v>
      </c>
      <c r="H2049">
        <v>3.76</v>
      </c>
      <c r="I2049" s="5">
        <f>ROUND(Marketing[[#This Row],[Clicks]]*Marketing[[#This Row],[Conversion_Rate]],0)</f>
        <v>11</v>
      </c>
      <c r="J2049" s="12">
        <f>Marketing[[#This Row],[Campaign_Cost]]/Marketing[[#This Row],[Customers]]</f>
        <v>1503.3636363636363</v>
      </c>
      <c r="K2049" t="s">
        <v>32</v>
      </c>
      <c r="L2049" t="s">
        <v>33</v>
      </c>
      <c r="M2049">
        <v>382</v>
      </c>
      <c r="N2049">
        <v>3692</v>
      </c>
      <c r="O2049">
        <v>2</v>
      </c>
      <c r="P2049" t="s">
        <v>27</v>
      </c>
      <c r="Q2049" s="1">
        <v>44419</v>
      </c>
    </row>
    <row r="2050" spans="1:17" x14ac:dyDescent="0.3">
      <c r="A2050" t="s">
        <v>22</v>
      </c>
      <c r="B2050" t="s">
        <v>36</v>
      </c>
      <c r="C2050" t="s">
        <v>30</v>
      </c>
      <c r="D2050" t="s">
        <v>24</v>
      </c>
      <c r="E2050" t="s">
        <v>41</v>
      </c>
      <c r="F2050" s="9">
        <v>0.14000000000000001</v>
      </c>
      <c r="G2050" s="10">
        <v>16552</v>
      </c>
      <c r="H2050">
        <v>6</v>
      </c>
      <c r="I2050" s="5">
        <f>ROUND(Marketing[[#This Row],[Clicks]]*Marketing[[#This Row],[Conversion_Rate]],0)</f>
        <v>56</v>
      </c>
      <c r="J2050" s="12">
        <f>Marketing[[#This Row],[Campaign_Cost]]/Marketing[[#This Row],[Customers]]</f>
        <v>295.57142857142856</v>
      </c>
      <c r="K2050" t="s">
        <v>51</v>
      </c>
      <c r="L2050" t="s">
        <v>50</v>
      </c>
      <c r="M2050">
        <v>399</v>
      </c>
      <c r="N2050">
        <v>6352</v>
      </c>
      <c r="O2050">
        <v>2</v>
      </c>
      <c r="P2050" t="s">
        <v>44</v>
      </c>
      <c r="Q2050" s="1">
        <v>44420</v>
      </c>
    </row>
    <row r="2051" spans="1:17" x14ac:dyDescent="0.3">
      <c r="A2051" t="s">
        <v>28</v>
      </c>
      <c r="B2051" t="s">
        <v>29</v>
      </c>
      <c r="C2051" t="s">
        <v>23</v>
      </c>
      <c r="D2051" t="s">
        <v>46</v>
      </c>
      <c r="E2051" t="s">
        <v>48</v>
      </c>
      <c r="F2051" s="9">
        <v>0.04</v>
      </c>
      <c r="G2051" s="10">
        <v>15255</v>
      </c>
      <c r="H2051">
        <v>2.5099999999999998</v>
      </c>
      <c r="I2051" s="5">
        <f>ROUND(Marketing[[#This Row],[Clicks]]*Marketing[[#This Row],[Conversion_Rate]],0)</f>
        <v>25</v>
      </c>
      <c r="J2051" s="12">
        <f>Marketing[[#This Row],[Campaign_Cost]]/Marketing[[#This Row],[Customers]]</f>
        <v>610.20000000000005</v>
      </c>
      <c r="K2051" t="s">
        <v>19</v>
      </c>
      <c r="L2051" t="s">
        <v>20</v>
      </c>
      <c r="M2051">
        <v>637</v>
      </c>
      <c r="N2051">
        <v>1916</v>
      </c>
      <c r="O2051">
        <v>7</v>
      </c>
      <c r="P2051" t="s">
        <v>27</v>
      </c>
      <c r="Q2051" s="1">
        <v>44421</v>
      </c>
    </row>
    <row r="2052" spans="1:17" x14ac:dyDescent="0.3">
      <c r="A2052" t="s">
        <v>14</v>
      </c>
      <c r="B2052" t="s">
        <v>36</v>
      </c>
      <c r="C2052" t="s">
        <v>52</v>
      </c>
      <c r="D2052" t="s">
        <v>40</v>
      </c>
      <c r="E2052" t="s">
        <v>48</v>
      </c>
      <c r="F2052" s="9">
        <v>7.0000000000000007E-2</v>
      </c>
      <c r="G2052" s="10">
        <v>19264</v>
      </c>
      <c r="H2052">
        <v>4.55</v>
      </c>
      <c r="I2052" s="5">
        <f>ROUND(Marketing[[#This Row],[Clicks]]*Marketing[[#This Row],[Conversion_Rate]],0)</f>
        <v>57</v>
      </c>
      <c r="J2052" s="12">
        <f>Marketing[[#This Row],[Campaign_Cost]]/Marketing[[#This Row],[Customers]]</f>
        <v>337.96491228070175</v>
      </c>
      <c r="K2052" t="s">
        <v>25</v>
      </c>
      <c r="L2052" t="s">
        <v>20</v>
      </c>
      <c r="M2052">
        <v>813</v>
      </c>
      <c r="N2052">
        <v>2434</v>
      </c>
      <c r="O2052">
        <v>6</v>
      </c>
      <c r="P2052" t="s">
        <v>42</v>
      </c>
      <c r="Q2052" s="1">
        <v>44422</v>
      </c>
    </row>
    <row r="2053" spans="1:17" x14ac:dyDescent="0.3">
      <c r="A2053" t="s">
        <v>49</v>
      </c>
      <c r="B2053" t="s">
        <v>45</v>
      </c>
      <c r="C2053" t="s">
        <v>37</v>
      </c>
      <c r="D2053" t="s">
        <v>40</v>
      </c>
      <c r="E2053" t="s">
        <v>31</v>
      </c>
      <c r="F2053" s="9">
        <v>0.15</v>
      </c>
      <c r="G2053" s="10">
        <v>6935</v>
      </c>
      <c r="H2053">
        <v>3.81</v>
      </c>
      <c r="I2053" s="5">
        <f>ROUND(Marketing[[#This Row],[Clicks]]*Marketing[[#This Row],[Conversion_Rate]],0)</f>
        <v>31</v>
      </c>
      <c r="J2053" s="12">
        <f>Marketing[[#This Row],[Campaign_Cost]]/Marketing[[#This Row],[Customers]]</f>
        <v>223.70967741935485</v>
      </c>
      <c r="K2053" t="s">
        <v>25</v>
      </c>
      <c r="L2053" t="s">
        <v>20</v>
      </c>
      <c r="M2053">
        <v>206</v>
      </c>
      <c r="N2053">
        <v>5707</v>
      </c>
      <c r="O2053">
        <v>1</v>
      </c>
      <c r="P2053" t="s">
        <v>27</v>
      </c>
      <c r="Q2053" s="1">
        <v>44423</v>
      </c>
    </row>
    <row r="2054" spans="1:17" x14ac:dyDescent="0.3">
      <c r="A2054" t="s">
        <v>35</v>
      </c>
      <c r="B2054" t="s">
        <v>47</v>
      </c>
      <c r="C2054" t="s">
        <v>37</v>
      </c>
      <c r="D2054" t="s">
        <v>40</v>
      </c>
      <c r="E2054" t="s">
        <v>18</v>
      </c>
      <c r="F2054" s="9">
        <v>0.08</v>
      </c>
      <c r="G2054" s="10">
        <v>14963</v>
      </c>
      <c r="H2054">
        <v>2.09</v>
      </c>
      <c r="I2054" s="5">
        <f>ROUND(Marketing[[#This Row],[Clicks]]*Marketing[[#This Row],[Conversion_Rate]],0)</f>
        <v>11</v>
      </c>
      <c r="J2054" s="12">
        <f>Marketing[[#This Row],[Campaign_Cost]]/Marketing[[#This Row],[Customers]]</f>
        <v>1360.2727272727273</v>
      </c>
      <c r="K2054" t="s">
        <v>25</v>
      </c>
      <c r="L2054" t="s">
        <v>26</v>
      </c>
      <c r="M2054">
        <v>135</v>
      </c>
      <c r="N2054">
        <v>7505</v>
      </c>
      <c r="O2054">
        <v>4</v>
      </c>
      <c r="P2054" t="s">
        <v>44</v>
      </c>
      <c r="Q2054" s="1">
        <v>44424</v>
      </c>
    </row>
    <row r="2055" spans="1:17" x14ac:dyDescent="0.3">
      <c r="A2055" t="s">
        <v>14</v>
      </c>
      <c r="B2055" t="s">
        <v>45</v>
      </c>
      <c r="C2055" t="s">
        <v>37</v>
      </c>
      <c r="D2055" t="s">
        <v>17</v>
      </c>
      <c r="E2055" t="s">
        <v>18</v>
      </c>
      <c r="F2055" s="9">
        <v>0.13</v>
      </c>
      <c r="G2055" s="10">
        <v>18789</v>
      </c>
      <c r="H2055">
        <v>5.55</v>
      </c>
      <c r="I2055" s="5">
        <f>ROUND(Marketing[[#This Row],[Clicks]]*Marketing[[#This Row],[Conversion_Rate]],0)</f>
        <v>105</v>
      </c>
      <c r="J2055" s="12">
        <f>Marketing[[#This Row],[Campaign_Cost]]/Marketing[[#This Row],[Customers]]</f>
        <v>178.94285714285715</v>
      </c>
      <c r="K2055" t="s">
        <v>32</v>
      </c>
      <c r="L2055" t="s">
        <v>50</v>
      </c>
      <c r="M2055">
        <v>805</v>
      </c>
      <c r="N2055">
        <v>8081</v>
      </c>
      <c r="O2055">
        <v>3</v>
      </c>
      <c r="P2055" t="s">
        <v>21</v>
      </c>
      <c r="Q2055" s="1">
        <v>44425</v>
      </c>
    </row>
    <row r="2056" spans="1:17" x14ac:dyDescent="0.3">
      <c r="A2056" t="s">
        <v>14</v>
      </c>
      <c r="B2056" t="s">
        <v>29</v>
      </c>
      <c r="C2056" t="s">
        <v>30</v>
      </c>
      <c r="D2056" t="s">
        <v>17</v>
      </c>
      <c r="E2056" t="s">
        <v>15</v>
      </c>
      <c r="F2056" s="9">
        <v>0.08</v>
      </c>
      <c r="G2056" s="10">
        <v>16781</v>
      </c>
      <c r="H2056">
        <v>2.2000000000000002</v>
      </c>
      <c r="I2056" s="5">
        <f>ROUND(Marketing[[#This Row],[Clicks]]*Marketing[[#This Row],[Conversion_Rate]],0)</f>
        <v>45</v>
      </c>
      <c r="J2056" s="12">
        <f>Marketing[[#This Row],[Campaign_Cost]]/Marketing[[#This Row],[Customers]]</f>
        <v>372.9111111111111</v>
      </c>
      <c r="K2056" t="s">
        <v>32</v>
      </c>
      <c r="L2056" t="s">
        <v>33</v>
      </c>
      <c r="M2056">
        <v>563</v>
      </c>
      <c r="N2056">
        <v>5553</v>
      </c>
      <c r="O2056">
        <v>4</v>
      </c>
      <c r="P2056" t="s">
        <v>27</v>
      </c>
      <c r="Q2056" s="1">
        <v>44426</v>
      </c>
    </row>
    <row r="2057" spans="1:17" x14ac:dyDescent="0.3">
      <c r="A2057" t="s">
        <v>49</v>
      </c>
      <c r="B2057" t="s">
        <v>36</v>
      </c>
      <c r="C2057" t="s">
        <v>23</v>
      </c>
      <c r="D2057" t="s">
        <v>17</v>
      </c>
      <c r="E2057" t="s">
        <v>15</v>
      </c>
      <c r="F2057" s="9">
        <v>0.09</v>
      </c>
      <c r="G2057" s="10">
        <v>12704</v>
      </c>
      <c r="H2057">
        <v>3.76</v>
      </c>
      <c r="I2057" s="5">
        <f>ROUND(Marketing[[#This Row],[Clicks]]*Marketing[[#This Row],[Conversion_Rate]],0)</f>
        <v>10</v>
      </c>
      <c r="J2057" s="12">
        <f>Marketing[[#This Row],[Campaign_Cost]]/Marketing[[#This Row],[Customers]]</f>
        <v>1270.4000000000001</v>
      </c>
      <c r="K2057" t="s">
        <v>32</v>
      </c>
      <c r="L2057" t="s">
        <v>26</v>
      </c>
      <c r="M2057">
        <v>116</v>
      </c>
      <c r="N2057">
        <v>6691</v>
      </c>
      <c r="O2057">
        <v>9</v>
      </c>
      <c r="P2057" t="s">
        <v>34</v>
      </c>
      <c r="Q2057" s="1">
        <v>44427</v>
      </c>
    </row>
    <row r="2058" spans="1:17" x14ac:dyDescent="0.3">
      <c r="A2058" t="s">
        <v>22</v>
      </c>
      <c r="B2058" t="s">
        <v>36</v>
      </c>
      <c r="C2058" t="s">
        <v>23</v>
      </c>
      <c r="D2058" t="s">
        <v>40</v>
      </c>
      <c r="E2058" t="s">
        <v>41</v>
      </c>
      <c r="F2058" s="9">
        <v>0.05</v>
      </c>
      <c r="G2058" s="10">
        <v>18813</v>
      </c>
      <c r="H2058">
        <v>7.04</v>
      </c>
      <c r="I2058" s="5">
        <f>ROUND(Marketing[[#This Row],[Clicks]]*Marketing[[#This Row],[Conversion_Rate]],0)</f>
        <v>31</v>
      </c>
      <c r="J2058" s="12">
        <f>Marketing[[#This Row],[Campaign_Cost]]/Marketing[[#This Row],[Customers]]</f>
        <v>606.87096774193549</v>
      </c>
      <c r="K2058" t="s">
        <v>25</v>
      </c>
      <c r="L2058" t="s">
        <v>33</v>
      </c>
      <c r="M2058">
        <v>614</v>
      </c>
      <c r="N2058">
        <v>2060</v>
      </c>
      <c r="O2058">
        <v>6</v>
      </c>
      <c r="P2058" t="s">
        <v>27</v>
      </c>
      <c r="Q2058" s="1">
        <v>44428</v>
      </c>
    </row>
    <row r="2059" spans="1:17" x14ac:dyDescent="0.3">
      <c r="A2059" t="s">
        <v>35</v>
      </c>
      <c r="B2059" t="s">
        <v>36</v>
      </c>
      <c r="C2059" t="s">
        <v>37</v>
      </c>
      <c r="D2059" t="s">
        <v>17</v>
      </c>
      <c r="E2059" t="s">
        <v>15</v>
      </c>
      <c r="F2059" s="9">
        <v>0.02</v>
      </c>
      <c r="G2059" s="10">
        <v>9860</v>
      </c>
      <c r="H2059">
        <v>5.75</v>
      </c>
      <c r="I2059" s="5">
        <f>ROUND(Marketing[[#This Row],[Clicks]]*Marketing[[#This Row],[Conversion_Rate]],0)</f>
        <v>11</v>
      </c>
      <c r="J2059" s="12">
        <f>Marketing[[#This Row],[Campaign_Cost]]/Marketing[[#This Row],[Customers]]</f>
        <v>896.36363636363637</v>
      </c>
      <c r="K2059" t="s">
        <v>38</v>
      </c>
      <c r="L2059" t="s">
        <v>20</v>
      </c>
      <c r="M2059">
        <v>544</v>
      </c>
      <c r="N2059">
        <v>4319</v>
      </c>
      <c r="O2059">
        <v>5</v>
      </c>
      <c r="P2059" t="s">
        <v>44</v>
      </c>
      <c r="Q2059" s="1">
        <v>44429</v>
      </c>
    </row>
    <row r="2060" spans="1:17" x14ac:dyDescent="0.3">
      <c r="A2060" t="s">
        <v>14</v>
      </c>
      <c r="B2060" t="s">
        <v>29</v>
      </c>
      <c r="C2060" t="s">
        <v>30</v>
      </c>
      <c r="D2060" t="s">
        <v>46</v>
      </c>
      <c r="E2060" t="s">
        <v>41</v>
      </c>
      <c r="F2060" s="9">
        <v>0.14000000000000001</v>
      </c>
      <c r="G2060" s="10">
        <v>15283</v>
      </c>
      <c r="H2060">
        <v>2.0699999999999998</v>
      </c>
      <c r="I2060" s="5">
        <f>ROUND(Marketing[[#This Row],[Clicks]]*Marketing[[#This Row],[Conversion_Rate]],0)</f>
        <v>28</v>
      </c>
      <c r="J2060" s="12">
        <f>Marketing[[#This Row],[Campaign_Cost]]/Marketing[[#This Row],[Customers]]</f>
        <v>545.82142857142856</v>
      </c>
      <c r="K2060" t="s">
        <v>51</v>
      </c>
      <c r="L2060" t="s">
        <v>26</v>
      </c>
      <c r="M2060">
        <v>198</v>
      </c>
      <c r="N2060">
        <v>6145</v>
      </c>
      <c r="O2060">
        <v>3</v>
      </c>
      <c r="P2060" t="s">
        <v>21</v>
      </c>
      <c r="Q2060" s="1">
        <v>44430</v>
      </c>
    </row>
    <row r="2061" spans="1:17" x14ac:dyDescent="0.3">
      <c r="A2061" t="s">
        <v>28</v>
      </c>
      <c r="B2061" t="s">
        <v>45</v>
      </c>
      <c r="C2061" t="s">
        <v>37</v>
      </c>
      <c r="D2061" t="s">
        <v>46</v>
      </c>
      <c r="E2061" t="s">
        <v>18</v>
      </c>
      <c r="F2061" s="9">
        <v>0.05</v>
      </c>
      <c r="G2061" s="10">
        <v>9803</v>
      </c>
      <c r="H2061">
        <v>4</v>
      </c>
      <c r="I2061" s="5">
        <f>ROUND(Marketing[[#This Row],[Clicks]]*Marketing[[#This Row],[Conversion_Rate]],0)</f>
        <v>24</v>
      </c>
      <c r="J2061" s="12">
        <f>Marketing[[#This Row],[Campaign_Cost]]/Marketing[[#This Row],[Customers]]</f>
        <v>408.45833333333331</v>
      </c>
      <c r="K2061" t="s">
        <v>19</v>
      </c>
      <c r="L2061" t="s">
        <v>33</v>
      </c>
      <c r="M2061">
        <v>488</v>
      </c>
      <c r="N2061">
        <v>4669</v>
      </c>
      <c r="O2061">
        <v>8</v>
      </c>
      <c r="P2061" t="s">
        <v>34</v>
      </c>
      <c r="Q2061" s="1">
        <v>44431</v>
      </c>
    </row>
    <row r="2062" spans="1:17" x14ac:dyDescent="0.3">
      <c r="A2062" t="s">
        <v>35</v>
      </c>
      <c r="B2062" t="s">
        <v>47</v>
      </c>
      <c r="C2062" t="s">
        <v>37</v>
      </c>
      <c r="D2062" t="s">
        <v>46</v>
      </c>
      <c r="E2062" t="s">
        <v>18</v>
      </c>
      <c r="F2062" s="9">
        <v>0.11</v>
      </c>
      <c r="G2062" s="10">
        <v>5211</v>
      </c>
      <c r="H2062">
        <v>5.29</v>
      </c>
      <c r="I2062" s="5">
        <f>ROUND(Marketing[[#This Row],[Clicks]]*Marketing[[#This Row],[Conversion_Rate]],0)</f>
        <v>96</v>
      </c>
      <c r="J2062" s="12">
        <f>Marketing[[#This Row],[Campaign_Cost]]/Marketing[[#This Row],[Customers]]</f>
        <v>54.28125</v>
      </c>
      <c r="K2062" t="s">
        <v>19</v>
      </c>
      <c r="L2062" t="s">
        <v>26</v>
      </c>
      <c r="M2062">
        <v>870</v>
      </c>
      <c r="N2062">
        <v>5910</v>
      </c>
      <c r="O2062">
        <v>10</v>
      </c>
      <c r="P2062" t="s">
        <v>42</v>
      </c>
      <c r="Q2062" s="1">
        <v>44432</v>
      </c>
    </row>
    <row r="2063" spans="1:17" x14ac:dyDescent="0.3">
      <c r="A2063" t="s">
        <v>22</v>
      </c>
      <c r="B2063" t="s">
        <v>45</v>
      </c>
      <c r="C2063" t="s">
        <v>23</v>
      </c>
      <c r="D2063" t="s">
        <v>24</v>
      </c>
      <c r="E2063" t="s">
        <v>31</v>
      </c>
      <c r="F2063" s="9">
        <v>0.05</v>
      </c>
      <c r="G2063" s="10">
        <v>11582</v>
      </c>
      <c r="H2063">
        <v>3.71</v>
      </c>
      <c r="I2063" s="5">
        <f>ROUND(Marketing[[#This Row],[Clicks]]*Marketing[[#This Row],[Conversion_Rate]],0)</f>
        <v>39</v>
      </c>
      <c r="J2063" s="12">
        <f>Marketing[[#This Row],[Campaign_Cost]]/Marketing[[#This Row],[Customers]]</f>
        <v>296.97435897435895</v>
      </c>
      <c r="K2063" t="s">
        <v>32</v>
      </c>
      <c r="L2063" t="s">
        <v>33</v>
      </c>
      <c r="M2063">
        <v>774</v>
      </c>
      <c r="N2063">
        <v>9294</v>
      </c>
      <c r="O2063">
        <v>6</v>
      </c>
      <c r="P2063" t="s">
        <v>42</v>
      </c>
      <c r="Q2063" s="1">
        <v>44433</v>
      </c>
    </row>
    <row r="2064" spans="1:17" x14ac:dyDescent="0.3">
      <c r="A2064" t="s">
        <v>49</v>
      </c>
      <c r="B2064" t="s">
        <v>15</v>
      </c>
      <c r="C2064" t="s">
        <v>30</v>
      </c>
      <c r="D2064" t="s">
        <v>24</v>
      </c>
      <c r="E2064" t="s">
        <v>31</v>
      </c>
      <c r="F2064" s="9">
        <v>0.12</v>
      </c>
      <c r="G2064" s="10">
        <v>8154</v>
      </c>
      <c r="H2064">
        <v>5.23</v>
      </c>
      <c r="I2064" s="5">
        <f>ROUND(Marketing[[#This Row],[Clicks]]*Marketing[[#This Row],[Conversion_Rate]],0)</f>
        <v>44</v>
      </c>
      <c r="J2064" s="12">
        <f>Marketing[[#This Row],[Campaign_Cost]]/Marketing[[#This Row],[Customers]]</f>
        <v>185.31818181818181</v>
      </c>
      <c r="K2064" t="s">
        <v>25</v>
      </c>
      <c r="L2064" t="s">
        <v>26</v>
      </c>
      <c r="M2064">
        <v>370</v>
      </c>
      <c r="N2064">
        <v>5071</v>
      </c>
      <c r="O2064">
        <v>9</v>
      </c>
      <c r="P2064" t="s">
        <v>34</v>
      </c>
      <c r="Q2064" s="1">
        <v>44434</v>
      </c>
    </row>
    <row r="2065" spans="1:17" x14ac:dyDescent="0.3">
      <c r="A2065" t="s">
        <v>14</v>
      </c>
      <c r="B2065" t="s">
        <v>36</v>
      </c>
      <c r="C2065" t="s">
        <v>52</v>
      </c>
      <c r="D2065" t="s">
        <v>17</v>
      </c>
      <c r="E2065" t="s">
        <v>15</v>
      </c>
      <c r="F2065" s="9">
        <v>0.13</v>
      </c>
      <c r="G2065" s="10">
        <v>16754</v>
      </c>
      <c r="H2065">
        <v>6.23</v>
      </c>
      <c r="I2065" s="5">
        <f>ROUND(Marketing[[#This Row],[Clicks]]*Marketing[[#This Row],[Conversion_Rate]],0)</f>
        <v>87</v>
      </c>
      <c r="J2065" s="12">
        <f>Marketing[[#This Row],[Campaign_Cost]]/Marketing[[#This Row],[Customers]]</f>
        <v>192.57471264367817</v>
      </c>
      <c r="K2065" t="s">
        <v>19</v>
      </c>
      <c r="L2065" t="s">
        <v>39</v>
      </c>
      <c r="M2065">
        <v>671</v>
      </c>
      <c r="N2065">
        <v>4846</v>
      </c>
      <c r="O2065">
        <v>10</v>
      </c>
      <c r="P2065" t="s">
        <v>21</v>
      </c>
      <c r="Q2065" s="1">
        <v>44435</v>
      </c>
    </row>
    <row r="2066" spans="1:17" x14ac:dyDescent="0.3">
      <c r="A2066" t="s">
        <v>49</v>
      </c>
      <c r="B2066" t="s">
        <v>47</v>
      </c>
      <c r="C2066" t="s">
        <v>16</v>
      </c>
      <c r="D2066" t="s">
        <v>40</v>
      </c>
      <c r="E2066" t="s">
        <v>18</v>
      </c>
      <c r="F2066" s="9">
        <v>0.13</v>
      </c>
      <c r="G2066" s="10">
        <v>13200</v>
      </c>
      <c r="H2066">
        <v>5.99</v>
      </c>
      <c r="I2066" s="5">
        <f>ROUND(Marketing[[#This Row],[Clicks]]*Marketing[[#This Row],[Conversion_Rate]],0)</f>
        <v>77</v>
      </c>
      <c r="J2066" s="12">
        <f>Marketing[[#This Row],[Campaign_Cost]]/Marketing[[#This Row],[Customers]]</f>
        <v>171.42857142857142</v>
      </c>
      <c r="K2066" t="s">
        <v>19</v>
      </c>
      <c r="L2066" t="s">
        <v>33</v>
      </c>
      <c r="M2066">
        <v>596</v>
      </c>
      <c r="N2066">
        <v>3505</v>
      </c>
      <c r="O2066">
        <v>9</v>
      </c>
      <c r="P2066" t="s">
        <v>42</v>
      </c>
      <c r="Q2066" s="1">
        <v>44436</v>
      </c>
    </row>
    <row r="2067" spans="1:17" x14ac:dyDescent="0.3">
      <c r="A2067" t="s">
        <v>14</v>
      </c>
      <c r="B2067" t="s">
        <v>36</v>
      </c>
      <c r="C2067" t="s">
        <v>30</v>
      </c>
      <c r="D2067" t="s">
        <v>17</v>
      </c>
      <c r="E2067" t="s">
        <v>41</v>
      </c>
      <c r="F2067" s="9">
        <v>0.09</v>
      </c>
      <c r="G2067" s="10">
        <v>19319</v>
      </c>
      <c r="H2067">
        <v>4.74</v>
      </c>
      <c r="I2067" s="5">
        <f>ROUND(Marketing[[#This Row],[Clicks]]*Marketing[[#This Row],[Conversion_Rate]],0)</f>
        <v>67</v>
      </c>
      <c r="J2067" s="12">
        <f>Marketing[[#This Row],[Campaign_Cost]]/Marketing[[#This Row],[Customers]]</f>
        <v>288.34328358208955</v>
      </c>
      <c r="K2067" t="s">
        <v>32</v>
      </c>
      <c r="L2067" t="s">
        <v>50</v>
      </c>
      <c r="M2067">
        <v>746</v>
      </c>
      <c r="N2067">
        <v>3050</v>
      </c>
      <c r="O2067">
        <v>1</v>
      </c>
      <c r="P2067" t="s">
        <v>44</v>
      </c>
      <c r="Q2067" s="1">
        <v>44437</v>
      </c>
    </row>
    <row r="2068" spans="1:17" x14ac:dyDescent="0.3">
      <c r="A2068" t="s">
        <v>35</v>
      </c>
      <c r="B2068" t="s">
        <v>47</v>
      </c>
      <c r="C2068" t="s">
        <v>23</v>
      </c>
      <c r="D2068" t="s">
        <v>40</v>
      </c>
      <c r="E2068" t="s">
        <v>15</v>
      </c>
      <c r="F2068" s="9">
        <v>0.14000000000000001</v>
      </c>
      <c r="G2068" s="10">
        <v>18461</v>
      </c>
      <c r="H2068">
        <v>7.52</v>
      </c>
      <c r="I2068" s="5">
        <f>ROUND(Marketing[[#This Row],[Clicks]]*Marketing[[#This Row],[Conversion_Rate]],0)</f>
        <v>53</v>
      </c>
      <c r="J2068" s="12">
        <f>Marketing[[#This Row],[Campaign_Cost]]/Marketing[[#This Row],[Customers]]</f>
        <v>348.32075471698113</v>
      </c>
      <c r="K2068" t="s">
        <v>19</v>
      </c>
      <c r="L2068" t="s">
        <v>26</v>
      </c>
      <c r="M2068">
        <v>381</v>
      </c>
      <c r="N2068">
        <v>8686</v>
      </c>
      <c r="O2068">
        <v>5</v>
      </c>
      <c r="P2068" t="s">
        <v>21</v>
      </c>
      <c r="Q2068" s="1">
        <v>44438</v>
      </c>
    </row>
    <row r="2069" spans="1:17" x14ac:dyDescent="0.3">
      <c r="A2069" t="s">
        <v>14</v>
      </c>
      <c r="B2069" t="s">
        <v>36</v>
      </c>
      <c r="C2069" t="s">
        <v>16</v>
      </c>
      <c r="D2069" t="s">
        <v>24</v>
      </c>
      <c r="E2069" t="s">
        <v>18</v>
      </c>
      <c r="F2069" s="9">
        <v>0.04</v>
      </c>
      <c r="G2069" s="10">
        <v>14186</v>
      </c>
      <c r="H2069">
        <v>3.74</v>
      </c>
      <c r="I2069" s="5">
        <f>ROUND(Marketing[[#This Row],[Clicks]]*Marketing[[#This Row],[Conversion_Rate]],0)</f>
        <v>18</v>
      </c>
      <c r="J2069" s="12">
        <f>Marketing[[#This Row],[Campaign_Cost]]/Marketing[[#This Row],[Customers]]</f>
        <v>788.11111111111109</v>
      </c>
      <c r="K2069" t="s">
        <v>51</v>
      </c>
      <c r="L2069" t="s">
        <v>39</v>
      </c>
      <c r="M2069">
        <v>460</v>
      </c>
      <c r="N2069">
        <v>5624</v>
      </c>
      <c r="O2069">
        <v>9</v>
      </c>
      <c r="P2069" t="s">
        <v>34</v>
      </c>
      <c r="Q2069" s="1">
        <v>44439</v>
      </c>
    </row>
    <row r="2070" spans="1:17" x14ac:dyDescent="0.3">
      <c r="A2070" t="s">
        <v>49</v>
      </c>
      <c r="B2070" t="s">
        <v>45</v>
      </c>
      <c r="C2070" t="s">
        <v>37</v>
      </c>
      <c r="D2070" t="s">
        <v>40</v>
      </c>
      <c r="E2070" t="s">
        <v>41</v>
      </c>
      <c r="F2070" s="9">
        <v>0.13</v>
      </c>
      <c r="G2070" s="10">
        <v>9690</v>
      </c>
      <c r="H2070">
        <v>2.75</v>
      </c>
      <c r="I2070" s="5">
        <f>ROUND(Marketing[[#This Row],[Clicks]]*Marketing[[#This Row],[Conversion_Rate]],0)</f>
        <v>120</v>
      </c>
      <c r="J2070" s="12">
        <f>Marketing[[#This Row],[Campaign_Cost]]/Marketing[[#This Row],[Customers]]</f>
        <v>80.75</v>
      </c>
      <c r="K2070" t="s">
        <v>51</v>
      </c>
      <c r="L2070" t="s">
        <v>39</v>
      </c>
      <c r="M2070">
        <v>921</v>
      </c>
      <c r="N2070">
        <v>8218</v>
      </c>
      <c r="O2070">
        <v>10</v>
      </c>
      <c r="P2070" t="s">
        <v>21</v>
      </c>
      <c r="Q2070" s="1">
        <v>44440</v>
      </c>
    </row>
    <row r="2071" spans="1:17" x14ac:dyDescent="0.3">
      <c r="A2071" t="s">
        <v>22</v>
      </c>
      <c r="B2071" t="s">
        <v>47</v>
      </c>
      <c r="C2071" t="s">
        <v>16</v>
      </c>
      <c r="D2071" t="s">
        <v>24</v>
      </c>
      <c r="E2071" t="s">
        <v>15</v>
      </c>
      <c r="F2071" s="9">
        <v>0.11</v>
      </c>
      <c r="G2071" s="10">
        <v>16856</v>
      </c>
      <c r="H2071">
        <v>3</v>
      </c>
      <c r="I2071" s="5">
        <f>ROUND(Marketing[[#This Row],[Clicks]]*Marketing[[#This Row],[Conversion_Rate]],0)</f>
        <v>38</v>
      </c>
      <c r="J2071" s="12">
        <f>Marketing[[#This Row],[Campaign_Cost]]/Marketing[[#This Row],[Customers]]</f>
        <v>443.57894736842104</v>
      </c>
      <c r="K2071" t="s">
        <v>51</v>
      </c>
      <c r="L2071" t="s">
        <v>33</v>
      </c>
      <c r="M2071">
        <v>344</v>
      </c>
      <c r="N2071">
        <v>9455</v>
      </c>
      <c r="O2071">
        <v>3</v>
      </c>
      <c r="P2071" t="s">
        <v>42</v>
      </c>
      <c r="Q2071" s="1">
        <v>44441</v>
      </c>
    </row>
    <row r="2072" spans="1:17" x14ac:dyDescent="0.3">
      <c r="A2072" t="s">
        <v>35</v>
      </c>
      <c r="B2072" t="s">
        <v>36</v>
      </c>
      <c r="C2072" t="s">
        <v>30</v>
      </c>
      <c r="D2072" t="s">
        <v>40</v>
      </c>
      <c r="E2072" t="s">
        <v>15</v>
      </c>
      <c r="F2072" s="9">
        <v>0.13</v>
      </c>
      <c r="G2072" s="10">
        <v>11938</v>
      </c>
      <c r="H2072">
        <v>3.94</v>
      </c>
      <c r="I2072" s="5">
        <f>ROUND(Marketing[[#This Row],[Clicks]]*Marketing[[#This Row],[Conversion_Rate]],0)</f>
        <v>37</v>
      </c>
      <c r="J2072" s="12">
        <f>Marketing[[#This Row],[Campaign_Cost]]/Marketing[[#This Row],[Customers]]</f>
        <v>322.64864864864865</v>
      </c>
      <c r="K2072" t="s">
        <v>19</v>
      </c>
      <c r="L2072" t="s">
        <v>50</v>
      </c>
      <c r="M2072">
        <v>285</v>
      </c>
      <c r="N2072">
        <v>8537</v>
      </c>
      <c r="O2072">
        <v>7</v>
      </c>
      <c r="P2072" t="s">
        <v>21</v>
      </c>
      <c r="Q2072" s="1">
        <v>44442</v>
      </c>
    </row>
    <row r="2073" spans="1:17" x14ac:dyDescent="0.3">
      <c r="A2073" t="s">
        <v>28</v>
      </c>
      <c r="B2073" t="s">
        <v>29</v>
      </c>
      <c r="C2073" t="s">
        <v>16</v>
      </c>
      <c r="D2073" t="s">
        <v>24</v>
      </c>
      <c r="E2073" t="s">
        <v>48</v>
      </c>
      <c r="F2073" s="9">
        <v>0.09</v>
      </c>
      <c r="G2073" s="10">
        <v>19309</v>
      </c>
      <c r="H2073">
        <v>6.52</v>
      </c>
      <c r="I2073" s="5">
        <f>ROUND(Marketing[[#This Row],[Clicks]]*Marketing[[#This Row],[Conversion_Rate]],0)</f>
        <v>36</v>
      </c>
      <c r="J2073" s="12">
        <f>Marketing[[#This Row],[Campaign_Cost]]/Marketing[[#This Row],[Customers]]</f>
        <v>536.36111111111109</v>
      </c>
      <c r="K2073" t="s">
        <v>25</v>
      </c>
      <c r="L2073" t="s">
        <v>39</v>
      </c>
      <c r="M2073">
        <v>400</v>
      </c>
      <c r="N2073">
        <v>3410</v>
      </c>
      <c r="O2073">
        <v>10</v>
      </c>
      <c r="P2073" t="s">
        <v>42</v>
      </c>
      <c r="Q2073" s="1">
        <v>44443</v>
      </c>
    </row>
    <row r="2074" spans="1:17" x14ac:dyDescent="0.3">
      <c r="A2074" t="s">
        <v>35</v>
      </c>
      <c r="B2074" t="s">
        <v>45</v>
      </c>
      <c r="C2074" t="s">
        <v>23</v>
      </c>
      <c r="D2074" t="s">
        <v>40</v>
      </c>
      <c r="E2074" t="s">
        <v>15</v>
      </c>
      <c r="F2074" s="9">
        <v>0.05</v>
      </c>
      <c r="G2074" s="10">
        <v>6188</v>
      </c>
      <c r="H2074">
        <v>6.97</v>
      </c>
      <c r="I2074" s="5">
        <f>ROUND(Marketing[[#This Row],[Clicks]]*Marketing[[#This Row],[Conversion_Rate]],0)</f>
        <v>20</v>
      </c>
      <c r="J2074" s="12">
        <f>Marketing[[#This Row],[Campaign_Cost]]/Marketing[[#This Row],[Customers]]</f>
        <v>309.39999999999998</v>
      </c>
      <c r="K2074" t="s">
        <v>25</v>
      </c>
      <c r="L2074" t="s">
        <v>39</v>
      </c>
      <c r="M2074">
        <v>408</v>
      </c>
      <c r="N2074">
        <v>6051</v>
      </c>
      <c r="O2074">
        <v>1</v>
      </c>
      <c r="P2074" t="s">
        <v>27</v>
      </c>
      <c r="Q2074" s="1">
        <v>44444</v>
      </c>
    </row>
    <row r="2075" spans="1:17" x14ac:dyDescent="0.3">
      <c r="A2075" t="s">
        <v>14</v>
      </c>
      <c r="B2075" t="s">
        <v>29</v>
      </c>
      <c r="C2075" t="s">
        <v>16</v>
      </c>
      <c r="D2075" t="s">
        <v>24</v>
      </c>
      <c r="E2075" t="s">
        <v>41</v>
      </c>
      <c r="F2075" s="9">
        <v>0.02</v>
      </c>
      <c r="G2075" s="10">
        <v>10677</v>
      </c>
      <c r="H2075">
        <v>4</v>
      </c>
      <c r="I2075" s="5">
        <f>ROUND(Marketing[[#This Row],[Clicks]]*Marketing[[#This Row],[Conversion_Rate]],0)</f>
        <v>16</v>
      </c>
      <c r="J2075" s="12">
        <f>Marketing[[#This Row],[Campaign_Cost]]/Marketing[[#This Row],[Customers]]</f>
        <v>667.3125</v>
      </c>
      <c r="K2075" t="s">
        <v>25</v>
      </c>
      <c r="L2075" t="s">
        <v>26</v>
      </c>
      <c r="M2075">
        <v>779</v>
      </c>
      <c r="N2075">
        <v>1319</v>
      </c>
      <c r="O2075">
        <v>8</v>
      </c>
      <c r="P2075" t="s">
        <v>42</v>
      </c>
      <c r="Q2075" s="1">
        <v>44445</v>
      </c>
    </row>
    <row r="2076" spans="1:17" x14ac:dyDescent="0.3">
      <c r="A2076" t="s">
        <v>22</v>
      </c>
      <c r="B2076" t="s">
        <v>29</v>
      </c>
      <c r="C2076" t="s">
        <v>52</v>
      </c>
      <c r="D2076" t="s">
        <v>24</v>
      </c>
      <c r="E2076" t="s">
        <v>43</v>
      </c>
      <c r="F2076" s="9">
        <v>0.04</v>
      </c>
      <c r="G2076" s="10">
        <v>18792</v>
      </c>
      <c r="H2076">
        <v>6.86</v>
      </c>
      <c r="I2076" s="5">
        <f>ROUND(Marketing[[#This Row],[Clicks]]*Marketing[[#This Row],[Conversion_Rate]],0)</f>
        <v>8</v>
      </c>
      <c r="J2076" s="12">
        <f>Marketing[[#This Row],[Campaign_Cost]]/Marketing[[#This Row],[Customers]]</f>
        <v>2349</v>
      </c>
      <c r="K2076" t="s">
        <v>38</v>
      </c>
      <c r="L2076" t="s">
        <v>33</v>
      </c>
      <c r="M2076">
        <v>197</v>
      </c>
      <c r="N2076">
        <v>3210</v>
      </c>
      <c r="O2076">
        <v>3</v>
      </c>
      <c r="P2076" t="s">
        <v>42</v>
      </c>
      <c r="Q2076" s="1">
        <v>44446</v>
      </c>
    </row>
    <row r="2077" spans="1:17" x14ac:dyDescent="0.3">
      <c r="A2077" t="s">
        <v>35</v>
      </c>
      <c r="B2077" t="s">
        <v>47</v>
      </c>
      <c r="C2077" t="s">
        <v>52</v>
      </c>
      <c r="D2077" t="s">
        <v>24</v>
      </c>
      <c r="E2077" t="s">
        <v>15</v>
      </c>
      <c r="F2077" s="9">
        <v>0.04</v>
      </c>
      <c r="G2077" s="10">
        <v>17139</v>
      </c>
      <c r="H2077">
        <v>6.26</v>
      </c>
      <c r="I2077" s="5">
        <f>ROUND(Marketing[[#This Row],[Clicks]]*Marketing[[#This Row],[Conversion_Rate]],0)</f>
        <v>39</v>
      </c>
      <c r="J2077" s="12">
        <f>Marketing[[#This Row],[Campaign_Cost]]/Marketing[[#This Row],[Customers]]</f>
        <v>439.46153846153845</v>
      </c>
      <c r="K2077" t="s">
        <v>32</v>
      </c>
      <c r="L2077" t="s">
        <v>26</v>
      </c>
      <c r="M2077">
        <v>970</v>
      </c>
      <c r="N2077">
        <v>6756</v>
      </c>
      <c r="O2077">
        <v>5</v>
      </c>
      <c r="P2077" t="s">
        <v>44</v>
      </c>
      <c r="Q2077" s="1">
        <v>44447</v>
      </c>
    </row>
    <row r="2078" spans="1:17" x14ac:dyDescent="0.3">
      <c r="A2078" t="s">
        <v>35</v>
      </c>
      <c r="B2078" t="s">
        <v>47</v>
      </c>
      <c r="C2078" t="s">
        <v>52</v>
      </c>
      <c r="D2078" t="s">
        <v>17</v>
      </c>
      <c r="E2078" t="s">
        <v>41</v>
      </c>
      <c r="F2078" s="9">
        <v>0.03</v>
      </c>
      <c r="G2078" s="10">
        <v>19911</v>
      </c>
      <c r="H2078">
        <v>6.23</v>
      </c>
      <c r="I2078" s="5">
        <f>ROUND(Marketing[[#This Row],[Clicks]]*Marketing[[#This Row],[Conversion_Rate]],0)</f>
        <v>9</v>
      </c>
      <c r="J2078" s="12">
        <f>Marketing[[#This Row],[Campaign_Cost]]/Marketing[[#This Row],[Customers]]</f>
        <v>2212.3333333333335</v>
      </c>
      <c r="K2078" t="s">
        <v>32</v>
      </c>
      <c r="L2078" t="s">
        <v>50</v>
      </c>
      <c r="M2078">
        <v>307</v>
      </c>
      <c r="N2078">
        <v>6418</v>
      </c>
      <c r="O2078">
        <v>5</v>
      </c>
      <c r="P2078" t="s">
        <v>34</v>
      </c>
      <c r="Q2078" s="1">
        <v>44448</v>
      </c>
    </row>
    <row r="2079" spans="1:17" x14ac:dyDescent="0.3">
      <c r="A2079" t="s">
        <v>28</v>
      </c>
      <c r="B2079" t="s">
        <v>15</v>
      </c>
      <c r="C2079" t="s">
        <v>16</v>
      </c>
      <c r="D2079" t="s">
        <v>40</v>
      </c>
      <c r="E2079" t="s">
        <v>41</v>
      </c>
      <c r="F2079" s="9">
        <v>0.15</v>
      </c>
      <c r="G2079" s="10">
        <v>12811</v>
      </c>
      <c r="H2079">
        <v>6.91</v>
      </c>
      <c r="I2079" s="5">
        <f>ROUND(Marketing[[#This Row],[Clicks]]*Marketing[[#This Row],[Conversion_Rate]],0)</f>
        <v>73</v>
      </c>
      <c r="J2079" s="12">
        <f>Marketing[[#This Row],[Campaign_Cost]]/Marketing[[#This Row],[Customers]]</f>
        <v>175.49315068493149</v>
      </c>
      <c r="K2079" t="s">
        <v>32</v>
      </c>
      <c r="L2079" t="s">
        <v>50</v>
      </c>
      <c r="M2079">
        <v>489</v>
      </c>
      <c r="N2079">
        <v>6013</v>
      </c>
      <c r="O2079">
        <v>9</v>
      </c>
      <c r="P2079" t="s">
        <v>21</v>
      </c>
      <c r="Q2079" s="1">
        <v>44449</v>
      </c>
    </row>
    <row r="2080" spans="1:17" x14ac:dyDescent="0.3">
      <c r="A2080" t="s">
        <v>35</v>
      </c>
      <c r="B2080" t="s">
        <v>15</v>
      </c>
      <c r="C2080" t="s">
        <v>37</v>
      </c>
      <c r="D2080" t="s">
        <v>24</v>
      </c>
      <c r="E2080" t="s">
        <v>48</v>
      </c>
      <c r="F2080" s="9">
        <v>0.09</v>
      </c>
      <c r="G2080" s="10">
        <v>13707</v>
      </c>
      <c r="H2080">
        <v>4.4800000000000004</v>
      </c>
      <c r="I2080" s="5">
        <f>ROUND(Marketing[[#This Row],[Clicks]]*Marketing[[#This Row],[Conversion_Rate]],0)</f>
        <v>73</v>
      </c>
      <c r="J2080" s="12">
        <f>Marketing[[#This Row],[Campaign_Cost]]/Marketing[[#This Row],[Customers]]</f>
        <v>187.76712328767124</v>
      </c>
      <c r="K2080" t="s">
        <v>51</v>
      </c>
      <c r="L2080" t="s">
        <v>20</v>
      </c>
      <c r="M2080">
        <v>811</v>
      </c>
      <c r="N2080">
        <v>7434</v>
      </c>
      <c r="O2080">
        <v>10</v>
      </c>
      <c r="P2080" t="s">
        <v>44</v>
      </c>
      <c r="Q2080" s="1">
        <v>44450</v>
      </c>
    </row>
    <row r="2081" spans="1:17" x14ac:dyDescent="0.3">
      <c r="A2081" t="s">
        <v>35</v>
      </c>
      <c r="B2081" t="s">
        <v>29</v>
      </c>
      <c r="C2081" t="s">
        <v>16</v>
      </c>
      <c r="D2081" t="s">
        <v>40</v>
      </c>
      <c r="E2081" t="s">
        <v>15</v>
      </c>
      <c r="F2081" s="9">
        <v>0.1</v>
      </c>
      <c r="G2081" s="10">
        <v>19839</v>
      </c>
      <c r="H2081">
        <v>4.3499999999999996</v>
      </c>
      <c r="I2081" s="5">
        <f>ROUND(Marketing[[#This Row],[Clicks]]*Marketing[[#This Row],[Conversion_Rate]],0)</f>
        <v>45</v>
      </c>
      <c r="J2081" s="12">
        <f>Marketing[[#This Row],[Campaign_Cost]]/Marketing[[#This Row],[Customers]]</f>
        <v>440.86666666666667</v>
      </c>
      <c r="K2081" t="s">
        <v>19</v>
      </c>
      <c r="L2081" t="s">
        <v>50</v>
      </c>
      <c r="M2081">
        <v>450</v>
      </c>
      <c r="N2081">
        <v>7663</v>
      </c>
      <c r="O2081">
        <v>7</v>
      </c>
      <c r="P2081" t="s">
        <v>21</v>
      </c>
      <c r="Q2081" s="1">
        <v>44451</v>
      </c>
    </row>
    <row r="2082" spans="1:17" x14ac:dyDescent="0.3">
      <c r="A2082" t="s">
        <v>35</v>
      </c>
      <c r="B2082" t="s">
        <v>45</v>
      </c>
      <c r="C2082" t="s">
        <v>23</v>
      </c>
      <c r="D2082" t="s">
        <v>40</v>
      </c>
      <c r="E2082" t="s">
        <v>18</v>
      </c>
      <c r="F2082" s="9">
        <v>0.06</v>
      </c>
      <c r="G2082" s="10">
        <v>7224</v>
      </c>
      <c r="H2082">
        <v>7.77</v>
      </c>
      <c r="I2082" s="5">
        <f>ROUND(Marketing[[#This Row],[Clicks]]*Marketing[[#This Row],[Conversion_Rate]],0)</f>
        <v>39</v>
      </c>
      <c r="J2082" s="12">
        <f>Marketing[[#This Row],[Campaign_Cost]]/Marketing[[#This Row],[Customers]]</f>
        <v>185.23076923076923</v>
      </c>
      <c r="K2082" t="s">
        <v>32</v>
      </c>
      <c r="L2082" t="s">
        <v>50</v>
      </c>
      <c r="M2082">
        <v>658</v>
      </c>
      <c r="N2082">
        <v>3290</v>
      </c>
      <c r="O2082">
        <v>6</v>
      </c>
      <c r="P2082" t="s">
        <v>34</v>
      </c>
      <c r="Q2082" s="1">
        <v>44452</v>
      </c>
    </row>
    <row r="2083" spans="1:17" x14ac:dyDescent="0.3">
      <c r="A2083" t="s">
        <v>22</v>
      </c>
      <c r="B2083" t="s">
        <v>15</v>
      </c>
      <c r="C2083" t="s">
        <v>23</v>
      </c>
      <c r="D2083" t="s">
        <v>24</v>
      </c>
      <c r="E2083" t="s">
        <v>15</v>
      </c>
      <c r="F2083" s="9">
        <v>0.02</v>
      </c>
      <c r="G2083" s="10">
        <v>16746</v>
      </c>
      <c r="H2083">
        <v>7</v>
      </c>
      <c r="I2083" s="5">
        <f>ROUND(Marketing[[#This Row],[Clicks]]*Marketing[[#This Row],[Conversion_Rate]],0)</f>
        <v>2</v>
      </c>
      <c r="J2083" s="12">
        <f>Marketing[[#This Row],[Campaign_Cost]]/Marketing[[#This Row],[Customers]]</f>
        <v>8373</v>
      </c>
      <c r="K2083" t="s">
        <v>19</v>
      </c>
      <c r="L2083" t="s">
        <v>50</v>
      </c>
      <c r="M2083">
        <v>119</v>
      </c>
      <c r="N2083">
        <v>4657</v>
      </c>
      <c r="O2083">
        <v>5</v>
      </c>
      <c r="P2083" t="s">
        <v>42</v>
      </c>
      <c r="Q2083" s="1">
        <v>44453</v>
      </c>
    </row>
    <row r="2084" spans="1:17" x14ac:dyDescent="0.3">
      <c r="A2084" t="s">
        <v>28</v>
      </c>
      <c r="B2084" t="s">
        <v>47</v>
      </c>
      <c r="C2084" t="s">
        <v>16</v>
      </c>
      <c r="D2084" t="s">
        <v>17</v>
      </c>
      <c r="E2084" t="s">
        <v>43</v>
      </c>
      <c r="F2084" s="9">
        <v>0.08</v>
      </c>
      <c r="G2084" s="10">
        <v>16060</v>
      </c>
      <c r="H2084">
        <v>5.07</v>
      </c>
      <c r="I2084" s="5">
        <f>ROUND(Marketing[[#This Row],[Clicks]]*Marketing[[#This Row],[Conversion_Rate]],0)</f>
        <v>63</v>
      </c>
      <c r="J2084" s="12">
        <f>Marketing[[#This Row],[Campaign_Cost]]/Marketing[[#This Row],[Customers]]</f>
        <v>254.92063492063491</v>
      </c>
      <c r="K2084" t="s">
        <v>32</v>
      </c>
      <c r="L2084" t="s">
        <v>50</v>
      </c>
      <c r="M2084">
        <v>790</v>
      </c>
      <c r="N2084">
        <v>8666</v>
      </c>
      <c r="O2084">
        <v>1</v>
      </c>
      <c r="P2084" t="s">
        <v>27</v>
      </c>
      <c r="Q2084" s="1">
        <v>44454</v>
      </c>
    </row>
    <row r="2085" spans="1:17" x14ac:dyDescent="0.3">
      <c r="A2085" t="s">
        <v>22</v>
      </c>
      <c r="B2085" t="s">
        <v>15</v>
      </c>
      <c r="C2085" t="s">
        <v>16</v>
      </c>
      <c r="D2085" t="s">
        <v>46</v>
      </c>
      <c r="E2085" t="s">
        <v>31</v>
      </c>
      <c r="F2085" s="9">
        <v>0.12</v>
      </c>
      <c r="G2085" s="10">
        <v>15397</v>
      </c>
      <c r="H2085">
        <v>2.06</v>
      </c>
      <c r="I2085" s="5">
        <f>ROUND(Marketing[[#This Row],[Clicks]]*Marketing[[#This Row],[Conversion_Rate]],0)</f>
        <v>56</v>
      </c>
      <c r="J2085" s="12">
        <f>Marketing[[#This Row],[Campaign_Cost]]/Marketing[[#This Row],[Customers]]</f>
        <v>274.94642857142856</v>
      </c>
      <c r="K2085" t="s">
        <v>38</v>
      </c>
      <c r="L2085" t="s">
        <v>33</v>
      </c>
      <c r="M2085">
        <v>468</v>
      </c>
      <c r="N2085">
        <v>5703</v>
      </c>
      <c r="O2085">
        <v>5</v>
      </c>
      <c r="P2085" t="s">
        <v>42</v>
      </c>
      <c r="Q2085" s="1">
        <v>44455</v>
      </c>
    </row>
    <row r="2086" spans="1:17" x14ac:dyDescent="0.3">
      <c r="A2086" t="s">
        <v>35</v>
      </c>
      <c r="B2086" t="s">
        <v>47</v>
      </c>
      <c r="C2086" t="s">
        <v>23</v>
      </c>
      <c r="D2086" t="s">
        <v>46</v>
      </c>
      <c r="E2086" t="s">
        <v>18</v>
      </c>
      <c r="F2086" s="9">
        <v>0.1</v>
      </c>
      <c r="G2086" s="10">
        <v>13593</v>
      </c>
      <c r="H2086">
        <v>6.89</v>
      </c>
      <c r="I2086" s="5">
        <f>ROUND(Marketing[[#This Row],[Clicks]]*Marketing[[#This Row],[Conversion_Rate]],0)</f>
        <v>67</v>
      </c>
      <c r="J2086" s="12">
        <f>Marketing[[#This Row],[Campaign_Cost]]/Marketing[[#This Row],[Customers]]</f>
        <v>202.88059701492537</v>
      </c>
      <c r="K2086" t="s">
        <v>25</v>
      </c>
      <c r="L2086" t="s">
        <v>20</v>
      </c>
      <c r="M2086">
        <v>674</v>
      </c>
      <c r="N2086">
        <v>6457</v>
      </c>
      <c r="O2086">
        <v>8</v>
      </c>
      <c r="P2086" t="s">
        <v>42</v>
      </c>
      <c r="Q2086" s="1">
        <v>44456</v>
      </c>
    </row>
    <row r="2087" spans="1:17" x14ac:dyDescent="0.3">
      <c r="A2087" t="s">
        <v>35</v>
      </c>
      <c r="B2087" t="s">
        <v>36</v>
      </c>
      <c r="C2087" t="s">
        <v>30</v>
      </c>
      <c r="D2087" t="s">
        <v>17</v>
      </c>
      <c r="E2087" t="s">
        <v>31</v>
      </c>
      <c r="F2087" s="9">
        <v>0.05</v>
      </c>
      <c r="G2087" s="10">
        <v>19078</v>
      </c>
      <c r="H2087">
        <v>5.2</v>
      </c>
      <c r="I2087" s="5">
        <f>ROUND(Marketing[[#This Row],[Clicks]]*Marketing[[#This Row],[Conversion_Rate]],0)</f>
        <v>32</v>
      </c>
      <c r="J2087" s="12">
        <f>Marketing[[#This Row],[Campaign_Cost]]/Marketing[[#This Row],[Customers]]</f>
        <v>596.1875</v>
      </c>
      <c r="K2087" t="s">
        <v>38</v>
      </c>
      <c r="L2087" t="s">
        <v>33</v>
      </c>
      <c r="M2087">
        <v>639</v>
      </c>
      <c r="N2087">
        <v>1026</v>
      </c>
      <c r="O2087">
        <v>9</v>
      </c>
      <c r="P2087" t="s">
        <v>34</v>
      </c>
      <c r="Q2087" s="1">
        <v>44457</v>
      </c>
    </row>
    <row r="2088" spans="1:17" x14ac:dyDescent="0.3">
      <c r="A2088" t="s">
        <v>28</v>
      </c>
      <c r="B2088" t="s">
        <v>47</v>
      </c>
      <c r="C2088" t="s">
        <v>30</v>
      </c>
      <c r="D2088" t="s">
        <v>17</v>
      </c>
      <c r="E2088" t="s">
        <v>31</v>
      </c>
      <c r="F2088" s="9">
        <v>0.02</v>
      </c>
      <c r="G2088" s="10">
        <v>15734</v>
      </c>
      <c r="H2088">
        <v>4.49</v>
      </c>
      <c r="I2088" s="5">
        <f>ROUND(Marketing[[#This Row],[Clicks]]*Marketing[[#This Row],[Conversion_Rate]],0)</f>
        <v>13</v>
      </c>
      <c r="J2088" s="12">
        <f>Marketing[[#This Row],[Campaign_Cost]]/Marketing[[#This Row],[Customers]]</f>
        <v>1210.3076923076924</v>
      </c>
      <c r="K2088" t="s">
        <v>38</v>
      </c>
      <c r="L2088" t="s">
        <v>39</v>
      </c>
      <c r="M2088">
        <v>669</v>
      </c>
      <c r="N2088">
        <v>7604</v>
      </c>
      <c r="O2088">
        <v>1</v>
      </c>
      <c r="P2088" t="s">
        <v>42</v>
      </c>
      <c r="Q2088" s="1">
        <v>44458</v>
      </c>
    </row>
    <row r="2089" spans="1:17" x14ac:dyDescent="0.3">
      <c r="A2089" t="s">
        <v>22</v>
      </c>
      <c r="B2089" t="s">
        <v>36</v>
      </c>
      <c r="C2089" t="s">
        <v>30</v>
      </c>
      <c r="D2089" t="s">
        <v>46</v>
      </c>
      <c r="E2089" t="s">
        <v>18</v>
      </c>
      <c r="F2089" s="9">
        <v>0.03</v>
      </c>
      <c r="G2089" s="10">
        <v>18054</v>
      </c>
      <c r="H2089">
        <v>7.61</v>
      </c>
      <c r="I2089" s="5">
        <f>ROUND(Marketing[[#This Row],[Clicks]]*Marketing[[#This Row],[Conversion_Rate]],0)</f>
        <v>5</v>
      </c>
      <c r="J2089" s="12">
        <f>Marketing[[#This Row],[Campaign_Cost]]/Marketing[[#This Row],[Customers]]</f>
        <v>3610.8</v>
      </c>
      <c r="K2089" t="s">
        <v>32</v>
      </c>
      <c r="L2089" t="s">
        <v>33</v>
      </c>
      <c r="M2089">
        <v>155</v>
      </c>
      <c r="N2089">
        <v>8552</v>
      </c>
      <c r="O2089">
        <v>1</v>
      </c>
      <c r="P2089" t="s">
        <v>44</v>
      </c>
      <c r="Q2089" s="1">
        <v>44459</v>
      </c>
    </row>
    <row r="2090" spans="1:17" x14ac:dyDescent="0.3">
      <c r="A2090" t="s">
        <v>22</v>
      </c>
      <c r="B2090" t="s">
        <v>15</v>
      </c>
      <c r="C2090" t="s">
        <v>30</v>
      </c>
      <c r="D2090" t="s">
        <v>24</v>
      </c>
      <c r="E2090" t="s">
        <v>15</v>
      </c>
      <c r="F2090" s="9">
        <v>0.05</v>
      </c>
      <c r="G2090" s="10">
        <v>15878</v>
      </c>
      <c r="H2090">
        <v>2.8</v>
      </c>
      <c r="I2090" s="5">
        <f>ROUND(Marketing[[#This Row],[Clicks]]*Marketing[[#This Row],[Conversion_Rate]],0)</f>
        <v>46</v>
      </c>
      <c r="J2090" s="12">
        <f>Marketing[[#This Row],[Campaign_Cost]]/Marketing[[#This Row],[Customers]]</f>
        <v>345.17391304347825</v>
      </c>
      <c r="K2090" t="s">
        <v>32</v>
      </c>
      <c r="L2090" t="s">
        <v>39</v>
      </c>
      <c r="M2090">
        <v>920</v>
      </c>
      <c r="N2090">
        <v>5440</v>
      </c>
      <c r="O2090">
        <v>5</v>
      </c>
      <c r="P2090" t="s">
        <v>42</v>
      </c>
      <c r="Q2090" s="1">
        <v>44460</v>
      </c>
    </row>
    <row r="2091" spans="1:17" x14ac:dyDescent="0.3">
      <c r="A2091" t="s">
        <v>14</v>
      </c>
      <c r="B2091" t="s">
        <v>36</v>
      </c>
      <c r="C2091" t="s">
        <v>23</v>
      </c>
      <c r="D2091" t="s">
        <v>46</v>
      </c>
      <c r="E2091" t="s">
        <v>41</v>
      </c>
      <c r="F2091" s="9">
        <v>0.04</v>
      </c>
      <c r="G2091" s="10">
        <v>5830</v>
      </c>
      <c r="H2091">
        <v>7.46</v>
      </c>
      <c r="I2091" s="5">
        <f>ROUND(Marketing[[#This Row],[Clicks]]*Marketing[[#This Row],[Conversion_Rate]],0)</f>
        <v>30</v>
      </c>
      <c r="J2091" s="12">
        <f>Marketing[[#This Row],[Campaign_Cost]]/Marketing[[#This Row],[Customers]]</f>
        <v>194.33333333333334</v>
      </c>
      <c r="K2091" t="s">
        <v>38</v>
      </c>
      <c r="L2091" t="s">
        <v>20</v>
      </c>
      <c r="M2091">
        <v>749</v>
      </c>
      <c r="N2091">
        <v>6171</v>
      </c>
      <c r="O2091">
        <v>9</v>
      </c>
      <c r="P2091" t="s">
        <v>34</v>
      </c>
      <c r="Q2091" s="1">
        <v>44461</v>
      </c>
    </row>
    <row r="2092" spans="1:17" x14ac:dyDescent="0.3">
      <c r="A2092" t="s">
        <v>35</v>
      </c>
      <c r="B2092" t="s">
        <v>29</v>
      </c>
      <c r="C2092" t="s">
        <v>23</v>
      </c>
      <c r="D2092" t="s">
        <v>17</v>
      </c>
      <c r="E2092" t="s">
        <v>15</v>
      </c>
      <c r="F2092" s="9">
        <v>0.13</v>
      </c>
      <c r="G2092" s="10">
        <v>5311</v>
      </c>
      <c r="H2092">
        <v>5.87</v>
      </c>
      <c r="I2092" s="5">
        <f>ROUND(Marketing[[#This Row],[Clicks]]*Marketing[[#This Row],[Conversion_Rate]],0)</f>
        <v>46</v>
      </c>
      <c r="J2092" s="12">
        <f>Marketing[[#This Row],[Campaign_Cost]]/Marketing[[#This Row],[Customers]]</f>
        <v>115.45652173913044</v>
      </c>
      <c r="K2092" t="s">
        <v>32</v>
      </c>
      <c r="L2092" t="s">
        <v>33</v>
      </c>
      <c r="M2092">
        <v>351</v>
      </c>
      <c r="N2092">
        <v>2343</v>
      </c>
      <c r="O2092">
        <v>8</v>
      </c>
      <c r="P2092" t="s">
        <v>44</v>
      </c>
      <c r="Q2092" s="1">
        <v>44462</v>
      </c>
    </row>
    <row r="2093" spans="1:17" x14ac:dyDescent="0.3">
      <c r="A2093" t="s">
        <v>28</v>
      </c>
      <c r="B2093" t="s">
        <v>47</v>
      </c>
      <c r="C2093" t="s">
        <v>30</v>
      </c>
      <c r="D2093" t="s">
        <v>24</v>
      </c>
      <c r="E2093" t="s">
        <v>43</v>
      </c>
      <c r="F2093" s="9">
        <v>0.11</v>
      </c>
      <c r="G2093" s="10">
        <v>14298</v>
      </c>
      <c r="H2093">
        <v>4.8899999999999997</v>
      </c>
      <c r="I2093" s="5">
        <f>ROUND(Marketing[[#This Row],[Clicks]]*Marketing[[#This Row],[Conversion_Rate]],0)</f>
        <v>32</v>
      </c>
      <c r="J2093" s="12">
        <f>Marketing[[#This Row],[Campaign_Cost]]/Marketing[[#This Row],[Customers]]</f>
        <v>446.8125</v>
      </c>
      <c r="K2093" t="s">
        <v>32</v>
      </c>
      <c r="L2093" t="s">
        <v>20</v>
      </c>
      <c r="M2093">
        <v>288</v>
      </c>
      <c r="N2093">
        <v>3464</v>
      </c>
      <c r="O2093">
        <v>7</v>
      </c>
      <c r="P2093" t="s">
        <v>42</v>
      </c>
      <c r="Q2093" s="1">
        <v>44463</v>
      </c>
    </row>
    <row r="2094" spans="1:17" x14ac:dyDescent="0.3">
      <c r="A2094" t="s">
        <v>22</v>
      </c>
      <c r="B2094" t="s">
        <v>15</v>
      </c>
      <c r="C2094" t="s">
        <v>16</v>
      </c>
      <c r="D2094" t="s">
        <v>46</v>
      </c>
      <c r="E2094" t="s">
        <v>31</v>
      </c>
      <c r="F2094" s="9">
        <v>0.04</v>
      </c>
      <c r="G2094" s="10">
        <v>15701</v>
      </c>
      <c r="H2094">
        <v>4.45</v>
      </c>
      <c r="I2094" s="5">
        <f>ROUND(Marketing[[#This Row],[Clicks]]*Marketing[[#This Row],[Conversion_Rate]],0)</f>
        <v>40</v>
      </c>
      <c r="J2094" s="12">
        <f>Marketing[[#This Row],[Campaign_Cost]]/Marketing[[#This Row],[Customers]]</f>
        <v>392.52499999999998</v>
      </c>
      <c r="K2094" t="s">
        <v>32</v>
      </c>
      <c r="L2094" t="s">
        <v>20</v>
      </c>
      <c r="M2094">
        <v>999</v>
      </c>
      <c r="N2094">
        <v>8554</v>
      </c>
      <c r="O2094">
        <v>10</v>
      </c>
      <c r="P2094" t="s">
        <v>34</v>
      </c>
      <c r="Q2094" s="1">
        <v>44464</v>
      </c>
    </row>
    <row r="2095" spans="1:17" x14ac:dyDescent="0.3">
      <c r="A2095" t="s">
        <v>22</v>
      </c>
      <c r="B2095" t="s">
        <v>45</v>
      </c>
      <c r="C2095" t="s">
        <v>52</v>
      </c>
      <c r="D2095" t="s">
        <v>24</v>
      </c>
      <c r="E2095" t="s">
        <v>18</v>
      </c>
      <c r="F2095" s="9">
        <v>0.1</v>
      </c>
      <c r="G2095" s="10">
        <v>11119</v>
      </c>
      <c r="H2095">
        <v>3.63</v>
      </c>
      <c r="I2095" s="5">
        <f>ROUND(Marketing[[#This Row],[Clicks]]*Marketing[[#This Row],[Conversion_Rate]],0)</f>
        <v>59</v>
      </c>
      <c r="J2095" s="12">
        <f>Marketing[[#This Row],[Campaign_Cost]]/Marketing[[#This Row],[Customers]]</f>
        <v>188.45762711864407</v>
      </c>
      <c r="K2095" t="s">
        <v>25</v>
      </c>
      <c r="L2095" t="s">
        <v>26</v>
      </c>
      <c r="M2095">
        <v>586</v>
      </c>
      <c r="N2095">
        <v>7835</v>
      </c>
      <c r="O2095">
        <v>10</v>
      </c>
      <c r="P2095" t="s">
        <v>34</v>
      </c>
      <c r="Q2095" s="1">
        <v>44465</v>
      </c>
    </row>
    <row r="2096" spans="1:17" x14ac:dyDescent="0.3">
      <c r="A2096" t="s">
        <v>14</v>
      </c>
      <c r="B2096" t="s">
        <v>29</v>
      </c>
      <c r="C2096" t="s">
        <v>52</v>
      </c>
      <c r="D2096" t="s">
        <v>17</v>
      </c>
      <c r="E2096" t="s">
        <v>31</v>
      </c>
      <c r="F2096" s="9">
        <v>0.1</v>
      </c>
      <c r="G2096" s="10">
        <v>6303</v>
      </c>
      <c r="H2096">
        <v>2.95</v>
      </c>
      <c r="I2096" s="5">
        <f>ROUND(Marketing[[#This Row],[Clicks]]*Marketing[[#This Row],[Conversion_Rate]],0)</f>
        <v>84</v>
      </c>
      <c r="J2096" s="12">
        <f>Marketing[[#This Row],[Campaign_Cost]]/Marketing[[#This Row],[Customers]]</f>
        <v>75.035714285714292</v>
      </c>
      <c r="K2096" t="s">
        <v>19</v>
      </c>
      <c r="L2096" t="s">
        <v>20</v>
      </c>
      <c r="M2096">
        <v>838</v>
      </c>
      <c r="N2096">
        <v>4527</v>
      </c>
      <c r="O2096">
        <v>1</v>
      </c>
      <c r="P2096" t="s">
        <v>34</v>
      </c>
      <c r="Q2096" s="1">
        <v>44466</v>
      </c>
    </row>
    <row r="2097" spans="1:17" x14ac:dyDescent="0.3">
      <c r="A2097" t="s">
        <v>22</v>
      </c>
      <c r="B2097" t="s">
        <v>36</v>
      </c>
      <c r="C2097" t="s">
        <v>23</v>
      </c>
      <c r="D2097" t="s">
        <v>46</v>
      </c>
      <c r="E2097" t="s">
        <v>43</v>
      </c>
      <c r="F2097" s="9">
        <v>0.05</v>
      </c>
      <c r="G2097" s="10">
        <v>5333</v>
      </c>
      <c r="H2097">
        <v>5.94</v>
      </c>
      <c r="I2097" s="5">
        <f>ROUND(Marketing[[#This Row],[Clicks]]*Marketing[[#This Row],[Conversion_Rate]],0)</f>
        <v>9</v>
      </c>
      <c r="J2097" s="12">
        <f>Marketing[[#This Row],[Campaign_Cost]]/Marketing[[#This Row],[Customers]]</f>
        <v>592.55555555555554</v>
      </c>
      <c r="K2097" t="s">
        <v>25</v>
      </c>
      <c r="L2097" t="s">
        <v>26</v>
      </c>
      <c r="M2097">
        <v>188</v>
      </c>
      <c r="N2097">
        <v>9412</v>
      </c>
      <c r="O2097">
        <v>7</v>
      </c>
      <c r="P2097" t="s">
        <v>27</v>
      </c>
      <c r="Q2097" s="1">
        <v>44467</v>
      </c>
    </row>
    <row r="2098" spans="1:17" x14ac:dyDescent="0.3">
      <c r="A2098" t="s">
        <v>14</v>
      </c>
      <c r="B2098" t="s">
        <v>29</v>
      </c>
      <c r="C2098" t="s">
        <v>23</v>
      </c>
      <c r="D2098" t="s">
        <v>46</v>
      </c>
      <c r="E2098" t="s">
        <v>18</v>
      </c>
      <c r="F2098" s="9">
        <v>0.08</v>
      </c>
      <c r="G2098" s="10">
        <v>9706</v>
      </c>
      <c r="H2098">
        <v>7.43</v>
      </c>
      <c r="I2098" s="5">
        <f>ROUND(Marketing[[#This Row],[Clicks]]*Marketing[[#This Row],[Conversion_Rate]],0)</f>
        <v>45</v>
      </c>
      <c r="J2098" s="12">
        <f>Marketing[[#This Row],[Campaign_Cost]]/Marketing[[#This Row],[Customers]]</f>
        <v>215.6888888888889</v>
      </c>
      <c r="K2098" t="s">
        <v>19</v>
      </c>
      <c r="L2098" t="s">
        <v>39</v>
      </c>
      <c r="M2098">
        <v>568</v>
      </c>
      <c r="N2098">
        <v>2341</v>
      </c>
      <c r="O2098">
        <v>5</v>
      </c>
      <c r="P2098" t="s">
        <v>42</v>
      </c>
      <c r="Q2098" s="1">
        <v>44468</v>
      </c>
    </row>
    <row r="2099" spans="1:17" x14ac:dyDescent="0.3">
      <c r="A2099" t="s">
        <v>22</v>
      </c>
      <c r="B2099" t="s">
        <v>45</v>
      </c>
      <c r="C2099" t="s">
        <v>30</v>
      </c>
      <c r="D2099" t="s">
        <v>40</v>
      </c>
      <c r="E2099" t="s">
        <v>48</v>
      </c>
      <c r="F2099" s="9">
        <v>0.06</v>
      </c>
      <c r="G2099" s="10">
        <v>12487</v>
      </c>
      <c r="H2099">
        <v>4.8099999999999996</v>
      </c>
      <c r="I2099" s="5">
        <f>ROUND(Marketing[[#This Row],[Clicks]]*Marketing[[#This Row],[Conversion_Rate]],0)</f>
        <v>29</v>
      </c>
      <c r="J2099" s="12">
        <f>Marketing[[#This Row],[Campaign_Cost]]/Marketing[[#This Row],[Customers]]</f>
        <v>430.58620689655174</v>
      </c>
      <c r="K2099" t="s">
        <v>25</v>
      </c>
      <c r="L2099" t="s">
        <v>50</v>
      </c>
      <c r="M2099">
        <v>490</v>
      </c>
      <c r="N2099">
        <v>7763</v>
      </c>
      <c r="O2099">
        <v>9</v>
      </c>
      <c r="P2099" t="s">
        <v>21</v>
      </c>
      <c r="Q2099" s="1">
        <v>44469</v>
      </c>
    </row>
    <row r="2100" spans="1:17" x14ac:dyDescent="0.3">
      <c r="A2100" t="s">
        <v>28</v>
      </c>
      <c r="B2100" t="s">
        <v>29</v>
      </c>
      <c r="C2100" t="s">
        <v>52</v>
      </c>
      <c r="D2100" t="s">
        <v>40</v>
      </c>
      <c r="E2100" t="s">
        <v>18</v>
      </c>
      <c r="F2100" s="9">
        <v>0.13</v>
      </c>
      <c r="G2100" s="10">
        <v>12188</v>
      </c>
      <c r="H2100">
        <v>5.96</v>
      </c>
      <c r="I2100" s="5">
        <f>ROUND(Marketing[[#This Row],[Clicks]]*Marketing[[#This Row],[Conversion_Rate]],0)</f>
        <v>59</v>
      </c>
      <c r="J2100" s="12">
        <f>Marketing[[#This Row],[Campaign_Cost]]/Marketing[[#This Row],[Customers]]</f>
        <v>206.57627118644066</v>
      </c>
      <c r="K2100" t="s">
        <v>38</v>
      </c>
      <c r="L2100" t="s">
        <v>50</v>
      </c>
      <c r="M2100">
        <v>451</v>
      </c>
      <c r="N2100">
        <v>9816</v>
      </c>
      <c r="O2100">
        <v>3</v>
      </c>
      <c r="P2100" t="s">
        <v>27</v>
      </c>
      <c r="Q2100" s="1">
        <v>44470</v>
      </c>
    </row>
    <row r="2101" spans="1:17" x14ac:dyDescent="0.3">
      <c r="A2101" t="s">
        <v>14</v>
      </c>
      <c r="B2101" t="s">
        <v>47</v>
      </c>
      <c r="C2101" t="s">
        <v>16</v>
      </c>
      <c r="D2101" t="s">
        <v>40</v>
      </c>
      <c r="E2101" t="s">
        <v>43</v>
      </c>
      <c r="F2101" s="9">
        <v>0.09</v>
      </c>
      <c r="G2101" s="10">
        <v>13506</v>
      </c>
      <c r="H2101">
        <v>6.24</v>
      </c>
      <c r="I2101" s="5">
        <f>ROUND(Marketing[[#This Row],[Clicks]]*Marketing[[#This Row],[Conversion_Rate]],0)</f>
        <v>87</v>
      </c>
      <c r="J2101" s="12">
        <f>Marketing[[#This Row],[Campaign_Cost]]/Marketing[[#This Row],[Customers]]</f>
        <v>155.24137931034483</v>
      </c>
      <c r="K2101" t="s">
        <v>19</v>
      </c>
      <c r="L2101" t="s">
        <v>20</v>
      </c>
      <c r="M2101">
        <v>968</v>
      </c>
      <c r="N2101">
        <v>7684</v>
      </c>
      <c r="O2101">
        <v>7</v>
      </c>
      <c r="P2101" t="s">
        <v>42</v>
      </c>
      <c r="Q2101" s="1">
        <v>44471</v>
      </c>
    </row>
    <row r="2102" spans="1:17" x14ac:dyDescent="0.3">
      <c r="A2102" t="s">
        <v>14</v>
      </c>
      <c r="B2102" t="s">
        <v>47</v>
      </c>
      <c r="C2102" t="s">
        <v>37</v>
      </c>
      <c r="D2102" t="s">
        <v>46</v>
      </c>
      <c r="E2102" t="s">
        <v>48</v>
      </c>
      <c r="F2102" s="9">
        <v>0.03</v>
      </c>
      <c r="G2102" s="10">
        <v>15594</v>
      </c>
      <c r="H2102">
        <v>6.26</v>
      </c>
      <c r="I2102" s="5">
        <f>ROUND(Marketing[[#This Row],[Clicks]]*Marketing[[#This Row],[Conversion_Rate]],0)</f>
        <v>13</v>
      </c>
      <c r="J2102" s="12">
        <f>Marketing[[#This Row],[Campaign_Cost]]/Marketing[[#This Row],[Customers]]</f>
        <v>1199.5384615384614</v>
      </c>
      <c r="K2102" t="s">
        <v>51</v>
      </c>
      <c r="L2102" t="s">
        <v>39</v>
      </c>
      <c r="M2102">
        <v>436</v>
      </c>
      <c r="N2102">
        <v>5773</v>
      </c>
      <c r="O2102">
        <v>7</v>
      </c>
      <c r="P2102" t="s">
        <v>27</v>
      </c>
      <c r="Q2102" s="1">
        <v>44472</v>
      </c>
    </row>
    <row r="2103" spans="1:17" x14ac:dyDescent="0.3">
      <c r="A2103" t="s">
        <v>22</v>
      </c>
      <c r="B2103" t="s">
        <v>29</v>
      </c>
      <c r="C2103" t="s">
        <v>37</v>
      </c>
      <c r="D2103" t="s">
        <v>24</v>
      </c>
      <c r="E2103" t="s">
        <v>18</v>
      </c>
      <c r="F2103" s="9">
        <v>0.14000000000000001</v>
      </c>
      <c r="G2103" s="10">
        <v>14773</v>
      </c>
      <c r="H2103">
        <v>6.52</v>
      </c>
      <c r="I2103" s="5">
        <f>ROUND(Marketing[[#This Row],[Clicks]]*Marketing[[#This Row],[Conversion_Rate]],0)</f>
        <v>74</v>
      </c>
      <c r="J2103" s="12">
        <f>Marketing[[#This Row],[Campaign_Cost]]/Marketing[[#This Row],[Customers]]</f>
        <v>199.63513513513513</v>
      </c>
      <c r="K2103" t="s">
        <v>25</v>
      </c>
      <c r="L2103" t="s">
        <v>20</v>
      </c>
      <c r="M2103">
        <v>530</v>
      </c>
      <c r="N2103">
        <v>3050</v>
      </c>
      <c r="O2103">
        <v>4</v>
      </c>
      <c r="P2103" t="s">
        <v>21</v>
      </c>
      <c r="Q2103" s="1">
        <v>44473</v>
      </c>
    </row>
    <row r="2104" spans="1:17" x14ac:dyDescent="0.3">
      <c r="A2104" t="s">
        <v>28</v>
      </c>
      <c r="B2104" t="s">
        <v>36</v>
      </c>
      <c r="C2104" t="s">
        <v>30</v>
      </c>
      <c r="D2104" t="s">
        <v>40</v>
      </c>
      <c r="E2104" t="s">
        <v>31</v>
      </c>
      <c r="F2104" s="9">
        <v>0.03</v>
      </c>
      <c r="G2104" s="10">
        <v>14472</v>
      </c>
      <c r="H2104">
        <v>5.93</v>
      </c>
      <c r="I2104" s="5">
        <f>ROUND(Marketing[[#This Row],[Clicks]]*Marketing[[#This Row],[Conversion_Rate]],0)</f>
        <v>28</v>
      </c>
      <c r="J2104" s="12">
        <f>Marketing[[#This Row],[Campaign_Cost]]/Marketing[[#This Row],[Customers]]</f>
        <v>516.85714285714289</v>
      </c>
      <c r="K2104" t="s">
        <v>51</v>
      </c>
      <c r="L2104" t="s">
        <v>50</v>
      </c>
      <c r="M2104">
        <v>935</v>
      </c>
      <c r="N2104">
        <v>6863</v>
      </c>
      <c r="O2104">
        <v>2</v>
      </c>
      <c r="P2104" t="s">
        <v>21</v>
      </c>
      <c r="Q2104" s="1">
        <v>44474</v>
      </c>
    </row>
    <row r="2105" spans="1:17" x14ac:dyDescent="0.3">
      <c r="A2105" t="s">
        <v>22</v>
      </c>
      <c r="B2105" t="s">
        <v>36</v>
      </c>
      <c r="C2105" t="s">
        <v>37</v>
      </c>
      <c r="D2105" t="s">
        <v>46</v>
      </c>
      <c r="E2105" t="s">
        <v>48</v>
      </c>
      <c r="F2105" s="9">
        <v>0.06</v>
      </c>
      <c r="G2105" s="10">
        <v>18423</v>
      </c>
      <c r="H2105">
        <v>4.84</v>
      </c>
      <c r="I2105" s="5">
        <f>ROUND(Marketing[[#This Row],[Clicks]]*Marketing[[#This Row],[Conversion_Rate]],0)</f>
        <v>53</v>
      </c>
      <c r="J2105" s="12">
        <f>Marketing[[#This Row],[Campaign_Cost]]/Marketing[[#This Row],[Customers]]</f>
        <v>347.60377358490564</v>
      </c>
      <c r="K2105" t="s">
        <v>38</v>
      </c>
      <c r="L2105" t="s">
        <v>20</v>
      </c>
      <c r="M2105">
        <v>877</v>
      </c>
      <c r="N2105">
        <v>1710</v>
      </c>
      <c r="O2105">
        <v>2</v>
      </c>
      <c r="P2105" t="s">
        <v>44</v>
      </c>
      <c r="Q2105" s="1">
        <v>44475</v>
      </c>
    </row>
    <row r="2106" spans="1:17" x14ac:dyDescent="0.3">
      <c r="A2106" t="s">
        <v>14</v>
      </c>
      <c r="B2106" t="s">
        <v>29</v>
      </c>
      <c r="C2106" t="s">
        <v>52</v>
      </c>
      <c r="D2106" t="s">
        <v>46</v>
      </c>
      <c r="E2106" t="s">
        <v>18</v>
      </c>
      <c r="F2106" s="9">
        <v>0.04</v>
      </c>
      <c r="G2106" s="10">
        <v>8905</v>
      </c>
      <c r="H2106">
        <v>4.5599999999999996</v>
      </c>
      <c r="I2106" s="5">
        <f>ROUND(Marketing[[#This Row],[Clicks]]*Marketing[[#This Row],[Conversion_Rate]],0)</f>
        <v>28</v>
      </c>
      <c r="J2106" s="12">
        <f>Marketing[[#This Row],[Campaign_Cost]]/Marketing[[#This Row],[Customers]]</f>
        <v>318.03571428571428</v>
      </c>
      <c r="K2106" t="s">
        <v>51</v>
      </c>
      <c r="L2106" t="s">
        <v>33</v>
      </c>
      <c r="M2106">
        <v>689</v>
      </c>
      <c r="N2106">
        <v>6446</v>
      </c>
      <c r="O2106">
        <v>9</v>
      </c>
      <c r="P2106" t="s">
        <v>21</v>
      </c>
      <c r="Q2106" s="1">
        <v>44476</v>
      </c>
    </row>
    <row r="2107" spans="1:17" x14ac:dyDescent="0.3">
      <c r="A2107" t="s">
        <v>14</v>
      </c>
      <c r="B2107" t="s">
        <v>47</v>
      </c>
      <c r="C2107" t="s">
        <v>37</v>
      </c>
      <c r="D2107" t="s">
        <v>40</v>
      </c>
      <c r="E2107" t="s">
        <v>18</v>
      </c>
      <c r="F2107" s="9">
        <v>0.15</v>
      </c>
      <c r="G2107" s="10">
        <v>18488</v>
      </c>
      <c r="H2107">
        <v>5.67</v>
      </c>
      <c r="I2107" s="5">
        <f>ROUND(Marketing[[#This Row],[Clicks]]*Marketing[[#This Row],[Conversion_Rate]],0)</f>
        <v>101</v>
      </c>
      <c r="J2107" s="12">
        <f>Marketing[[#This Row],[Campaign_Cost]]/Marketing[[#This Row],[Customers]]</f>
        <v>183.04950495049505</v>
      </c>
      <c r="K2107" t="s">
        <v>38</v>
      </c>
      <c r="L2107" t="s">
        <v>50</v>
      </c>
      <c r="M2107">
        <v>674</v>
      </c>
      <c r="N2107">
        <v>4576</v>
      </c>
      <c r="O2107">
        <v>7</v>
      </c>
      <c r="P2107" t="s">
        <v>44</v>
      </c>
      <c r="Q2107" s="1">
        <v>44477</v>
      </c>
    </row>
    <row r="2108" spans="1:17" x14ac:dyDescent="0.3">
      <c r="A2108" t="s">
        <v>35</v>
      </c>
      <c r="B2108" t="s">
        <v>47</v>
      </c>
      <c r="C2108" t="s">
        <v>30</v>
      </c>
      <c r="D2108" t="s">
        <v>40</v>
      </c>
      <c r="E2108" t="s">
        <v>15</v>
      </c>
      <c r="F2108" s="9">
        <v>0.06</v>
      </c>
      <c r="G2108" s="10">
        <v>19018</v>
      </c>
      <c r="H2108">
        <v>7.77</v>
      </c>
      <c r="I2108" s="5">
        <f>ROUND(Marketing[[#This Row],[Clicks]]*Marketing[[#This Row],[Conversion_Rate]],0)</f>
        <v>29</v>
      </c>
      <c r="J2108" s="12">
        <f>Marketing[[#This Row],[Campaign_Cost]]/Marketing[[#This Row],[Customers]]</f>
        <v>655.79310344827582</v>
      </c>
      <c r="K2108" t="s">
        <v>25</v>
      </c>
      <c r="L2108" t="s">
        <v>50</v>
      </c>
      <c r="M2108">
        <v>484</v>
      </c>
      <c r="N2108">
        <v>7159</v>
      </c>
      <c r="O2108">
        <v>6</v>
      </c>
      <c r="P2108" t="s">
        <v>42</v>
      </c>
      <c r="Q2108" s="1">
        <v>44478</v>
      </c>
    </row>
    <row r="2109" spans="1:17" x14ac:dyDescent="0.3">
      <c r="A2109" t="s">
        <v>35</v>
      </c>
      <c r="B2109" t="s">
        <v>15</v>
      </c>
      <c r="C2109" t="s">
        <v>30</v>
      </c>
      <c r="D2109" t="s">
        <v>17</v>
      </c>
      <c r="E2109" t="s">
        <v>31</v>
      </c>
      <c r="F2109" s="9">
        <v>0.05</v>
      </c>
      <c r="G2109" s="10">
        <v>15882</v>
      </c>
      <c r="H2109">
        <v>2.86</v>
      </c>
      <c r="I2109" s="5">
        <f>ROUND(Marketing[[#This Row],[Clicks]]*Marketing[[#This Row],[Conversion_Rate]],0)</f>
        <v>18</v>
      </c>
      <c r="J2109" s="12">
        <f>Marketing[[#This Row],[Campaign_Cost]]/Marketing[[#This Row],[Customers]]</f>
        <v>882.33333333333337</v>
      </c>
      <c r="K2109" t="s">
        <v>32</v>
      </c>
      <c r="L2109" t="s">
        <v>20</v>
      </c>
      <c r="M2109">
        <v>363</v>
      </c>
      <c r="N2109">
        <v>2808</v>
      </c>
      <c r="O2109">
        <v>1</v>
      </c>
      <c r="P2109" t="s">
        <v>44</v>
      </c>
      <c r="Q2109" s="1">
        <v>44479</v>
      </c>
    </row>
    <row r="2110" spans="1:17" x14ac:dyDescent="0.3">
      <c r="A2110" t="s">
        <v>49</v>
      </c>
      <c r="B2110" t="s">
        <v>45</v>
      </c>
      <c r="C2110" t="s">
        <v>16</v>
      </c>
      <c r="D2110" t="s">
        <v>40</v>
      </c>
      <c r="E2110" t="s">
        <v>18</v>
      </c>
      <c r="F2110" s="9">
        <v>0.02</v>
      </c>
      <c r="G2110" s="10">
        <v>11357</v>
      </c>
      <c r="H2110">
        <v>5.44</v>
      </c>
      <c r="I2110" s="5">
        <f>ROUND(Marketing[[#This Row],[Clicks]]*Marketing[[#This Row],[Conversion_Rate]],0)</f>
        <v>12</v>
      </c>
      <c r="J2110" s="12">
        <f>Marketing[[#This Row],[Campaign_Cost]]/Marketing[[#This Row],[Customers]]</f>
        <v>946.41666666666663</v>
      </c>
      <c r="K2110" t="s">
        <v>19</v>
      </c>
      <c r="L2110" t="s">
        <v>50</v>
      </c>
      <c r="M2110">
        <v>589</v>
      </c>
      <c r="N2110">
        <v>9161</v>
      </c>
      <c r="O2110">
        <v>1</v>
      </c>
      <c r="P2110" t="s">
        <v>44</v>
      </c>
      <c r="Q2110" s="1">
        <v>44480</v>
      </c>
    </row>
    <row r="2111" spans="1:17" x14ac:dyDescent="0.3">
      <c r="A2111" t="s">
        <v>22</v>
      </c>
      <c r="B2111" t="s">
        <v>15</v>
      </c>
      <c r="C2111" t="s">
        <v>16</v>
      </c>
      <c r="D2111" t="s">
        <v>46</v>
      </c>
      <c r="E2111" t="s">
        <v>31</v>
      </c>
      <c r="F2111" s="9">
        <v>0.14000000000000001</v>
      </c>
      <c r="G2111" s="10">
        <v>16373</v>
      </c>
      <c r="H2111">
        <v>6.85</v>
      </c>
      <c r="I2111" s="5">
        <f>ROUND(Marketing[[#This Row],[Clicks]]*Marketing[[#This Row],[Conversion_Rate]],0)</f>
        <v>56</v>
      </c>
      <c r="J2111" s="12">
        <f>Marketing[[#This Row],[Campaign_Cost]]/Marketing[[#This Row],[Customers]]</f>
        <v>292.375</v>
      </c>
      <c r="K2111" t="s">
        <v>38</v>
      </c>
      <c r="L2111" t="s">
        <v>39</v>
      </c>
      <c r="M2111">
        <v>400</v>
      </c>
      <c r="N2111">
        <v>5617</v>
      </c>
      <c r="O2111">
        <v>8</v>
      </c>
      <c r="P2111" t="s">
        <v>42</v>
      </c>
      <c r="Q2111" s="1">
        <v>44481</v>
      </c>
    </row>
    <row r="2112" spans="1:17" x14ac:dyDescent="0.3">
      <c r="A2112" t="s">
        <v>22</v>
      </c>
      <c r="B2112" t="s">
        <v>47</v>
      </c>
      <c r="C2112" t="s">
        <v>16</v>
      </c>
      <c r="D2112" t="s">
        <v>24</v>
      </c>
      <c r="E2112" t="s">
        <v>18</v>
      </c>
      <c r="F2112" s="9">
        <v>0.09</v>
      </c>
      <c r="G2112" s="10">
        <v>19879</v>
      </c>
      <c r="H2112">
        <v>6.54</v>
      </c>
      <c r="I2112" s="5">
        <f>ROUND(Marketing[[#This Row],[Clicks]]*Marketing[[#This Row],[Conversion_Rate]],0)</f>
        <v>47</v>
      </c>
      <c r="J2112" s="12">
        <f>Marketing[[#This Row],[Campaign_Cost]]/Marketing[[#This Row],[Customers]]</f>
        <v>422.95744680851061</v>
      </c>
      <c r="K2112" t="s">
        <v>51</v>
      </c>
      <c r="L2112" t="s">
        <v>33</v>
      </c>
      <c r="M2112">
        <v>523</v>
      </c>
      <c r="N2112">
        <v>8389</v>
      </c>
      <c r="O2112">
        <v>3</v>
      </c>
      <c r="P2112" t="s">
        <v>44</v>
      </c>
      <c r="Q2112" s="1">
        <v>44482</v>
      </c>
    </row>
    <row r="2113" spans="1:17" x14ac:dyDescent="0.3">
      <c r="A2113" t="s">
        <v>35</v>
      </c>
      <c r="B2113" t="s">
        <v>36</v>
      </c>
      <c r="C2113" t="s">
        <v>30</v>
      </c>
      <c r="D2113" t="s">
        <v>24</v>
      </c>
      <c r="E2113" t="s">
        <v>43</v>
      </c>
      <c r="F2113" s="9">
        <v>0.03</v>
      </c>
      <c r="G2113" s="10">
        <v>15610</v>
      </c>
      <c r="H2113">
        <v>4.25</v>
      </c>
      <c r="I2113" s="5">
        <f>ROUND(Marketing[[#This Row],[Clicks]]*Marketing[[#This Row],[Conversion_Rate]],0)</f>
        <v>19</v>
      </c>
      <c r="J2113" s="12">
        <f>Marketing[[#This Row],[Campaign_Cost]]/Marketing[[#This Row],[Customers]]</f>
        <v>821.57894736842104</v>
      </c>
      <c r="K2113" t="s">
        <v>19</v>
      </c>
      <c r="L2113" t="s">
        <v>26</v>
      </c>
      <c r="M2113">
        <v>642</v>
      </c>
      <c r="N2113">
        <v>3920</v>
      </c>
      <c r="O2113">
        <v>5</v>
      </c>
      <c r="P2113" t="s">
        <v>44</v>
      </c>
      <c r="Q2113" s="1">
        <v>44483</v>
      </c>
    </row>
    <row r="2114" spans="1:17" x14ac:dyDescent="0.3">
      <c r="A2114" t="s">
        <v>49</v>
      </c>
      <c r="B2114" t="s">
        <v>45</v>
      </c>
      <c r="C2114" t="s">
        <v>23</v>
      </c>
      <c r="D2114" t="s">
        <v>17</v>
      </c>
      <c r="E2114" t="s">
        <v>18</v>
      </c>
      <c r="F2114" s="9">
        <v>0.14000000000000001</v>
      </c>
      <c r="G2114" s="10">
        <v>12992</v>
      </c>
      <c r="H2114">
        <v>3.25</v>
      </c>
      <c r="I2114" s="5">
        <f>ROUND(Marketing[[#This Row],[Clicks]]*Marketing[[#This Row],[Conversion_Rate]],0)</f>
        <v>82</v>
      </c>
      <c r="J2114" s="12">
        <f>Marketing[[#This Row],[Campaign_Cost]]/Marketing[[#This Row],[Customers]]</f>
        <v>158.4390243902439</v>
      </c>
      <c r="K2114" t="s">
        <v>51</v>
      </c>
      <c r="L2114" t="s">
        <v>33</v>
      </c>
      <c r="M2114">
        <v>586</v>
      </c>
      <c r="N2114">
        <v>1481</v>
      </c>
      <c r="O2114">
        <v>7</v>
      </c>
      <c r="P2114" t="s">
        <v>27</v>
      </c>
      <c r="Q2114" s="1">
        <v>44484</v>
      </c>
    </row>
    <row r="2115" spans="1:17" x14ac:dyDescent="0.3">
      <c r="A2115" t="s">
        <v>14</v>
      </c>
      <c r="B2115" t="s">
        <v>29</v>
      </c>
      <c r="C2115" t="s">
        <v>37</v>
      </c>
      <c r="D2115" t="s">
        <v>17</v>
      </c>
      <c r="E2115" t="s">
        <v>43</v>
      </c>
      <c r="F2115" s="9">
        <v>0.09</v>
      </c>
      <c r="G2115" s="10">
        <v>17575</v>
      </c>
      <c r="H2115">
        <v>4.1399999999999997</v>
      </c>
      <c r="I2115" s="5">
        <f>ROUND(Marketing[[#This Row],[Clicks]]*Marketing[[#This Row],[Conversion_Rate]],0)</f>
        <v>27</v>
      </c>
      <c r="J2115" s="12">
        <f>Marketing[[#This Row],[Campaign_Cost]]/Marketing[[#This Row],[Customers]]</f>
        <v>650.92592592592598</v>
      </c>
      <c r="K2115" t="s">
        <v>25</v>
      </c>
      <c r="L2115" t="s">
        <v>39</v>
      </c>
      <c r="M2115">
        <v>305</v>
      </c>
      <c r="N2115">
        <v>2454</v>
      </c>
      <c r="O2115">
        <v>2</v>
      </c>
      <c r="P2115" t="s">
        <v>34</v>
      </c>
      <c r="Q2115" s="1">
        <v>44485</v>
      </c>
    </row>
    <row r="2116" spans="1:17" x14ac:dyDescent="0.3">
      <c r="A2116" t="s">
        <v>49</v>
      </c>
      <c r="B2116" t="s">
        <v>15</v>
      </c>
      <c r="C2116" t="s">
        <v>30</v>
      </c>
      <c r="D2116" t="s">
        <v>46</v>
      </c>
      <c r="E2116" t="s">
        <v>41</v>
      </c>
      <c r="F2116" s="9">
        <v>0.05</v>
      </c>
      <c r="G2116" s="10">
        <v>5641</v>
      </c>
      <c r="H2116">
        <v>2.93</v>
      </c>
      <c r="I2116" s="5">
        <f>ROUND(Marketing[[#This Row],[Clicks]]*Marketing[[#This Row],[Conversion_Rate]],0)</f>
        <v>22</v>
      </c>
      <c r="J2116" s="12">
        <f>Marketing[[#This Row],[Campaign_Cost]]/Marketing[[#This Row],[Customers]]</f>
        <v>256.40909090909093</v>
      </c>
      <c r="K2116" t="s">
        <v>51</v>
      </c>
      <c r="L2116" t="s">
        <v>26</v>
      </c>
      <c r="M2116">
        <v>433</v>
      </c>
      <c r="N2116">
        <v>1238</v>
      </c>
      <c r="O2116">
        <v>5</v>
      </c>
      <c r="P2116" t="s">
        <v>21</v>
      </c>
      <c r="Q2116" s="1">
        <v>44486</v>
      </c>
    </row>
    <row r="2117" spans="1:17" x14ac:dyDescent="0.3">
      <c r="A2117" t="s">
        <v>49</v>
      </c>
      <c r="B2117" t="s">
        <v>29</v>
      </c>
      <c r="C2117" t="s">
        <v>16</v>
      </c>
      <c r="D2117" t="s">
        <v>46</v>
      </c>
      <c r="E2117" t="s">
        <v>48</v>
      </c>
      <c r="F2117" s="9">
        <v>0.02</v>
      </c>
      <c r="G2117" s="10">
        <v>16961</v>
      </c>
      <c r="H2117">
        <v>4.46</v>
      </c>
      <c r="I2117" s="5">
        <f>ROUND(Marketing[[#This Row],[Clicks]]*Marketing[[#This Row],[Conversion_Rate]],0)</f>
        <v>11</v>
      </c>
      <c r="J2117" s="12">
        <f>Marketing[[#This Row],[Campaign_Cost]]/Marketing[[#This Row],[Customers]]</f>
        <v>1541.909090909091</v>
      </c>
      <c r="K2117" t="s">
        <v>51</v>
      </c>
      <c r="L2117" t="s">
        <v>26</v>
      </c>
      <c r="M2117">
        <v>568</v>
      </c>
      <c r="N2117">
        <v>2360</v>
      </c>
      <c r="O2117">
        <v>2</v>
      </c>
      <c r="P2117" t="s">
        <v>34</v>
      </c>
      <c r="Q2117" s="1">
        <v>44487</v>
      </c>
    </row>
    <row r="2118" spans="1:17" x14ac:dyDescent="0.3">
      <c r="A2118" t="s">
        <v>28</v>
      </c>
      <c r="B2118" t="s">
        <v>47</v>
      </c>
      <c r="C2118" t="s">
        <v>37</v>
      </c>
      <c r="D2118" t="s">
        <v>46</v>
      </c>
      <c r="E2118" t="s">
        <v>48</v>
      </c>
      <c r="F2118" s="9">
        <v>0.03</v>
      </c>
      <c r="G2118" s="10">
        <v>17991</v>
      </c>
      <c r="H2118">
        <v>3.77</v>
      </c>
      <c r="I2118" s="5">
        <f>ROUND(Marketing[[#This Row],[Clicks]]*Marketing[[#This Row],[Conversion_Rate]],0)</f>
        <v>11</v>
      </c>
      <c r="J2118" s="12">
        <f>Marketing[[#This Row],[Campaign_Cost]]/Marketing[[#This Row],[Customers]]</f>
        <v>1635.5454545454545</v>
      </c>
      <c r="K2118" t="s">
        <v>32</v>
      </c>
      <c r="L2118" t="s">
        <v>33</v>
      </c>
      <c r="M2118">
        <v>358</v>
      </c>
      <c r="N2118">
        <v>4987</v>
      </c>
      <c r="O2118">
        <v>2</v>
      </c>
      <c r="P2118" t="s">
        <v>42</v>
      </c>
      <c r="Q2118" s="1">
        <v>44488</v>
      </c>
    </row>
    <row r="2119" spans="1:17" x14ac:dyDescent="0.3">
      <c r="A2119" t="s">
        <v>49</v>
      </c>
      <c r="B2119" t="s">
        <v>15</v>
      </c>
      <c r="C2119" t="s">
        <v>37</v>
      </c>
      <c r="D2119" t="s">
        <v>46</v>
      </c>
      <c r="E2119" t="s">
        <v>48</v>
      </c>
      <c r="F2119" s="9">
        <v>0.15</v>
      </c>
      <c r="G2119" s="10">
        <v>6118</v>
      </c>
      <c r="H2119">
        <v>2.93</v>
      </c>
      <c r="I2119" s="5">
        <f>ROUND(Marketing[[#This Row],[Clicks]]*Marketing[[#This Row],[Conversion_Rate]],0)</f>
        <v>98</v>
      </c>
      <c r="J2119" s="12">
        <f>Marketing[[#This Row],[Campaign_Cost]]/Marketing[[#This Row],[Customers]]</f>
        <v>62.428571428571431</v>
      </c>
      <c r="K2119" t="s">
        <v>38</v>
      </c>
      <c r="L2119" t="s">
        <v>33</v>
      </c>
      <c r="M2119">
        <v>650</v>
      </c>
      <c r="N2119">
        <v>2301</v>
      </c>
      <c r="O2119">
        <v>7</v>
      </c>
      <c r="P2119" t="s">
        <v>27</v>
      </c>
      <c r="Q2119" s="1">
        <v>44489</v>
      </c>
    </row>
    <row r="2120" spans="1:17" x14ac:dyDescent="0.3">
      <c r="A2120" t="s">
        <v>28</v>
      </c>
      <c r="B2120" t="s">
        <v>36</v>
      </c>
      <c r="C2120" t="s">
        <v>37</v>
      </c>
      <c r="D2120" t="s">
        <v>24</v>
      </c>
      <c r="E2120" t="s">
        <v>31</v>
      </c>
      <c r="F2120" s="9">
        <v>7.0000000000000007E-2</v>
      </c>
      <c r="G2120" s="10">
        <v>16422</v>
      </c>
      <c r="H2120">
        <v>3.99</v>
      </c>
      <c r="I2120" s="5">
        <f>ROUND(Marketing[[#This Row],[Clicks]]*Marketing[[#This Row],[Conversion_Rate]],0)</f>
        <v>30</v>
      </c>
      <c r="J2120" s="12">
        <f>Marketing[[#This Row],[Campaign_Cost]]/Marketing[[#This Row],[Customers]]</f>
        <v>547.4</v>
      </c>
      <c r="K2120" t="s">
        <v>25</v>
      </c>
      <c r="L2120" t="s">
        <v>50</v>
      </c>
      <c r="M2120">
        <v>435</v>
      </c>
      <c r="N2120">
        <v>4346</v>
      </c>
      <c r="O2120">
        <v>3</v>
      </c>
      <c r="P2120" t="s">
        <v>21</v>
      </c>
      <c r="Q2120" s="1">
        <v>44490</v>
      </c>
    </row>
    <row r="2121" spans="1:17" x14ac:dyDescent="0.3">
      <c r="A2121" t="s">
        <v>49</v>
      </c>
      <c r="B2121" t="s">
        <v>36</v>
      </c>
      <c r="C2121" t="s">
        <v>37</v>
      </c>
      <c r="D2121" t="s">
        <v>46</v>
      </c>
      <c r="E2121" t="s">
        <v>41</v>
      </c>
      <c r="F2121" s="9">
        <v>0.02</v>
      </c>
      <c r="G2121" s="10">
        <v>9218</v>
      </c>
      <c r="H2121">
        <v>3.32</v>
      </c>
      <c r="I2121" s="5">
        <f>ROUND(Marketing[[#This Row],[Clicks]]*Marketing[[#This Row],[Conversion_Rate]],0)</f>
        <v>15</v>
      </c>
      <c r="J2121" s="12">
        <f>Marketing[[#This Row],[Campaign_Cost]]/Marketing[[#This Row],[Customers]]</f>
        <v>614.5333333333333</v>
      </c>
      <c r="K2121" t="s">
        <v>51</v>
      </c>
      <c r="L2121" t="s">
        <v>20</v>
      </c>
      <c r="M2121">
        <v>740</v>
      </c>
      <c r="N2121">
        <v>8161</v>
      </c>
      <c r="O2121">
        <v>10</v>
      </c>
      <c r="P2121" t="s">
        <v>27</v>
      </c>
      <c r="Q2121" s="1">
        <v>44491</v>
      </c>
    </row>
    <row r="2122" spans="1:17" x14ac:dyDescent="0.3">
      <c r="A2122" t="s">
        <v>28</v>
      </c>
      <c r="B2122" t="s">
        <v>29</v>
      </c>
      <c r="C2122" t="s">
        <v>52</v>
      </c>
      <c r="D2122" t="s">
        <v>17</v>
      </c>
      <c r="E2122" t="s">
        <v>15</v>
      </c>
      <c r="F2122" s="9">
        <v>0.11</v>
      </c>
      <c r="G2122" s="10">
        <v>8283</v>
      </c>
      <c r="H2122">
        <v>3.57</v>
      </c>
      <c r="I2122" s="5">
        <f>ROUND(Marketing[[#This Row],[Clicks]]*Marketing[[#This Row],[Conversion_Rate]],0)</f>
        <v>104</v>
      </c>
      <c r="J2122" s="12">
        <f>Marketing[[#This Row],[Campaign_Cost]]/Marketing[[#This Row],[Customers]]</f>
        <v>79.644230769230774</v>
      </c>
      <c r="K2122" t="s">
        <v>32</v>
      </c>
      <c r="L2122" t="s">
        <v>20</v>
      </c>
      <c r="M2122">
        <v>944</v>
      </c>
      <c r="N2122">
        <v>1767</v>
      </c>
      <c r="O2122">
        <v>7</v>
      </c>
      <c r="P2122" t="s">
        <v>34</v>
      </c>
      <c r="Q2122" s="1">
        <v>44492</v>
      </c>
    </row>
    <row r="2123" spans="1:17" x14ac:dyDescent="0.3">
      <c r="A2123" t="s">
        <v>14</v>
      </c>
      <c r="B2123" t="s">
        <v>36</v>
      </c>
      <c r="C2123" t="s">
        <v>52</v>
      </c>
      <c r="D2123" t="s">
        <v>40</v>
      </c>
      <c r="E2123" t="s">
        <v>43</v>
      </c>
      <c r="F2123" s="9">
        <v>0.14000000000000001</v>
      </c>
      <c r="G2123" s="10">
        <v>6666</v>
      </c>
      <c r="H2123">
        <v>4.74</v>
      </c>
      <c r="I2123" s="5">
        <f>ROUND(Marketing[[#This Row],[Clicks]]*Marketing[[#This Row],[Conversion_Rate]],0)</f>
        <v>138</v>
      </c>
      <c r="J2123" s="12">
        <f>Marketing[[#This Row],[Campaign_Cost]]/Marketing[[#This Row],[Customers]]</f>
        <v>48.304347826086953</v>
      </c>
      <c r="K2123" t="s">
        <v>19</v>
      </c>
      <c r="L2123" t="s">
        <v>20</v>
      </c>
      <c r="M2123">
        <v>983</v>
      </c>
      <c r="N2123">
        <v>8240</v>
      </c>
      <c r="O2123">
        <v>3</v>
      </c>
      <c r="P2123" t="s">
        <v>34</v>
      </c>
      <c r="Q2123" s="1">
        <v>44493</v>
      </c>
    </row>
    <row r="2124" spans="1:17" x14ac:dyDescent="0.3">
      <c r="A2124" t="s">
        <v>35</v>
      </c>
      <c r="B2124" t="s">
        <v>47</v>
      </c>
      <c r="C2124" t="s">
        <v>23</v>
      </c>
      <c r="D2124" t="s">
        <v>24</v>
      </c>
      <c r="E2124" t="s">
        <v>18</v>
      </c>
      <c r="F2124" s="9">
        <v>0.05</v>
      </c>
      <c r="G2124" s="10">
        <v>18097</v>
      </c>
      <c r="H2124">
        <v>3.07</v>
      </c>
      <c r="I2124" s="5">
        <f>ROUND(Marketing[[#This Row],[Clicks]]*Marketing[[#This Row],[Conversion_Rate]],0)</f>
        <v>28</v>
      </c>
      <c r="J2124" s="12">
        <f>Marketing[[#This Row],[Campaign_Cost]]/Marketing[[#This Row],[Customers]]</f>
        <v>646.32142857142856</v>
      </c>
      <c r="K2124" t="s">
        <v>38</v>
      </c>
      <c r="L2124" t="s">
        <v>20</v>
      </c>
      <c r="M2124">
        <v>556</v>
      </c>
      <c r="N2124">
        <v>3986</v>
      </c>
      <c r="O2124">
        <v>10</v>
      </c>
      <c r="P2124" t="s">
        <v>27</v>
      </c>
      <c r="Q2124" s="1">
        <v>44494</v>
      </c>
    </row>
    <row r="2125" spans="1:17" x14ac:dyDescent="0.3">
      <c r="A2125" t="s">
        <v>28</v>
      </c>
      <c r="B2125" t="s">
        <v>15</v>
      </c>
      <c r="C2125" t="s">
        <v>23</v>
      </c>
      <c r="D2125" t="s">
        <v>17</v>
      </c>
      <c r="E2125" t="s">
        <v>31</v>
      </c>
      <c r="F2125" s="9">
        <v>0.03</v>
      </c>
      <c r="G2125" s="10">
        <v>13709</v>
      </c>
      <c r="H2125">
        <v>2.58</v>
      </c>
      <c r="I2125" s="5">
        <f>ROUND(Marketing[[#This Row],[Clicks]]*Marketing[[#This Row],[Conversion_Rate]],0)</f>
        <v>6</v>
      </c>
      <c r="J2125" s="12">
        <f>Marketing[[#This Row],[Campaign_Cost]]/Marketing[[#This Row],[Customers]]</f>
        <v>2284.8333333333335</v>
      </c>
      <c r="K2125" t="s">
        <v>32</v>
      </c>
      <c r="L2125" t="s">
        <v>26</v>
      </c>
      <c r="M2125">
        <v>190</v>
      </c>
      <c r="N2125">
        <v>3586</v>
      </c>
      <c r="O2125">
        <v>2</v>
      </c>
      <c r="P2125" t="s">
        <v>44</v>
      </c>
      <c r="Q2125" s="1">
        <v>44495</v>
      </c>
    </row>
    <row r="2126" spans="1:17" x14ac:dyDescent="0.3">
      <c r="A2126" t="s">
        <v>49</v>
      </c>
      <c r="B2126" t="s">
        <v>45</v>
      </c>
      <c r="C2126" t="s">
        <v>30</v>
      </c>
      <c r="D2126" t="s">
        <v>17</v>
      </c>
      <c r="E2126" t="s">
        <v>18</v>
      </c>
      <c r="F2126" s="9">
        <v>0.14000000000000001</v>
      </c>
      <c r="G2126" s="10">
        <v>19216</v>
      </c>
      <c r="H2126">
        <v>3.73</v>
      </c>
      <c r="I2126" s="5">
        <f>ROUND(Marketing[[#This Row],[Clicks]]*Marketing[[#This Row],[Conversion_Rate]],0)</f>
        <v>35</v>
      </c>
      <c r="J2126" s="12">
        <f>Marketing[[#This Row],[Campaign_Cost]]/Marketing[[#This Row],[Customers]]</f>
        <v>549.02857142857147</v>
      </c>
      <c r="K2126" t="s">
        <v>25</v>
      </c>
      <c r="L2126" t="s">
        <v>39</v>
      </c>
      <c r="M2126">
        <v>252</v>
      </c>
      <c r="N2126">
        <v>2930</v>
      </c>
      <c r="O2126">
        <v>4</v>
      </c>
      <c r="P2126" t="s">
        <v>34</v>
      </c>
      <c r="Q2126" s="1">
        <v>44496</v>
      </c>
    </row>
    <row r="2127" spans="1:17" x14ac:dyDescent="0.3">
      <c r="A2127" t="s">
        <v>28</v>
      </c>
      <c r="B2127" t="s">
        <v>36</v>
      </c>
      <c r="C2127" t="s">
        <v>30</v>
      </c>
      <c r="D2127" t="s">
        <v>40</v>
      </c>
      <c r="E2127" t="s">
        <v>43</v>
      </c>
      <c r="F2127" s="9">
        <v>0.04</v>
      </c>
      <c r="G2127" s="10">
        <v>19851</v>
      </c>
      <c r="H2127">
        <v>5.36</v>
      </c>
      <c r="I2127" s="5">
        <f>ROUND(Marketing[[#This Row],[Clicks]]*Marketing[[#This Row],[Conversion_Rate]],0)</f>
        <v>12</v>
      </c>
      <c r="J2127" s="12">
        <f>Marketing[[#This Row],[Campaign_Cost]]/Marketing[[#This Row],[Customers]]</f>
        <v>1654.25</v>
      </c>
      <c r="K2127" t="s">
        <v>38</v>
      </c>
      <c r="L2127" t="s">
        <v>26</v>
      </c>
      <c r="M2127">
        <v>311</v>
      </c>
      <c r="N2127">
        <v>7805</v>
      </c>
      <c r="O2127">
        <v>7</v>
      </c>
      <c r="P2127" t="s">
        <v>42</v>
      </c>
      <c r="Q2127" s="1">
        <v>44497</v>
      </c>
    </row>
    <row r="2128" spans="1:17" x14ac:dyDescent="0.3">
      <c r="A2128" t="s">
        <v>49</v>
      </c>
      <c r="B2128" t="s">
        <v>47</v>
      </c>
      <c r="C2128" t="s">
        <v>23</v>
      </c>
      <c r="D2128" t="s">
        <v>17</v>
      </c>
      <c r="E2128" t="s">
        <v>48</v>
      </c>
      <c r="F2128" s="9">
        <v>0.1</v>
      </c>
      <c r="G2128" s="10">
        <v>13651</v>
      </c>
      <c r="H2128">
        <v>3.24</v>
      </c>
      <c r="I2128" s="5">
        <f>ROUND(Marketing[[#This Row],[Clicks]]*Marketing[[#This Row],[Conversion_Rate]],0)</f>
        <v>91</v>
      </c>
      <c r="J2128" s="12">
        <f>Marketing[[#This Row],[Campaign_Cost]]/Marketing[[#This Row],[Customers]]</f>
        <v>150.01098901098902</v>
      </c>
      <c r="K2128" t="s">
        <v>38</v>
      </c>
      <c r="L2128" t="s">
        <v>26</v>
      </c>
      <c r="M2128">
        <v>909</v>
      </c>
      <c r="N2128">
        <v>2665</v>
      </c>
      <c r="O2128">
        <v>8</v>
      </c>
      <c r="P2128" t="s">
        <v>27</v>
      </c>
      <c r="Q2128" s="1">
        <v>44498</v>
      </c>
    </row>
    <row r="2129" spans="1:17" x14ac:dyDescent="0.3">
      <c r="A2129" t="s">
        <v>14</v>
      </c>
      <c r="B2129" t="s">
        <v>45</v>
      </c>
      <c r="C2129" t="s">
        <v>30</v>
      </c>
      <c r="D2129" t="s">
        <v>46</v>
      </c>
      <c r="E2129" t="s">
        <v>18</v>
      </c>
      <c r="F2129" s="9">
        <v>0.13</v>
      </c>
      <c r="G2129" s="10">
        <v>14907</v>
      </c>
      <c r="H2129">
        <v>7.74</v>
      </c>
      <c r="I2129" s="5">
        <f>ROUND(Marketing[[#This Row],[Clicks]]*Marketing[[#This Row],[Conversion_Rate]],0)</f>
        <v>114</v>
      </c>
      <c r="J2129" s="12">
        <f>Marketing[[#This Row],[Campaign_Cost]]/Marketing[[#This Row],[Customers]]</f>
        <v>130.76315789473685</v>
      </c>
      <c r="K2129" t="s">
        <v>38</v>
      </c>
      <c r="L2129" t="s">
        <v>50</v>
      </c>
      <c r="M2129">
        <v>875</v>
      </c>
      <c r="N2129">
        <v>4472</v>
      </c>
      <c r="O2129">
        <v>4</v>
      </c>
      <c r="P2129" t="s">
        <v>44</v>
      </c>
      <c r="Q2129" s="1">
        <v>44499</v>
      </c>
    </row>
    <row r="2130" spans="1:17" x14ac:dyDescent="0.3">
      <c r="A2130" t="s">
        <v>14</v>
      </c>
      <c r="B2130" t="s">
        <v>36</v>
      </c>
      <c r="C2130" t="s">
        <v>37</v>
      </c>
      <c r="D2130" t="s">
        <v>24</v>
      </c>
      <c r="E2130" t="s">
        <v>43</v>
      </c>
      <c r="F2130" s="9">
        <v>0.05</v>
      </c>
      <c r="G2130" s="10">
        <v>19487</v>
      </c>
      <c r="H2130">
        <v>6.79</v>
      </c>
      <c r="I2130" s="5">
        <f>ROUND(Marketing[[#This Row],[Clicks]]*Marketing[[#This Row],[Conversion_Rate]],0)</f>
        <v>20</v>
      </c>
      <c r="J2130" s="12">
        <f>Marketing[[#This Row],[Campaign_Cost]]/Marketing[[#This Row],[Customers]]</f>
        <v>974.35</v>
      </c>
      <c r="K2130" t="s">
        <v>51</v>
      </c>
      <c r="L2130" t="s">
        <v>39</v>
      </c>
      <c r="M2130">
        <v>399</v>
      </c>
      <c r="N2130">
        <v>8441</v>
      </c>
      <c r="O2130">
        <v>5</v>
      </c>
      <c r="P2130" t="s">
        <v>21</v>
      </c>
      <c r="Q2130" s="1">
        <v>44500</v>
      </c>
    </row>
    <row r="2131" spans="1:17" x14ac:dyDescent="0.3">
      <c r="A2131" t="s">
        <v>14</v>
      </c>
      <c r="B2131" t="s">
        <v>47</v>
      </c>
      <c r="C2131" t="s">
        <v>52</v>
      </c>
      <c r="D2131" t="s">
        <v>17</v>
      </c>
      <c r="E2131" t="s">
        <v>31</v>
      </c>
      <c r="F2131" s="9">
        <v>0.14000000000000001</v>
      </c>
      <c r="G2131" s="10">
        <v>12561</v>
      </c>
      <c r="H2131">
        <v>3.16</v>
      </c>
      <c r="I2131" s="5">
        <f>ROUND(Marketing[[#This Row],[Clicks]]*Marketing[[#This Row],[Conversion_Rate]],0)</f>
        <v>138</v>
      </c>
      <c r="J2131" s="12">
        <f>Marketing[[#This Row],[Campaign_Cost]]/Marketing[[#This Row],[Customers]]</f>
        <v>91.021739130434781</v>
      </c>
      <c r="K2131" t="s">
        <v>51</v>
      </c>
      <c r="L2131" t="s">
        <v>39</v>
      </c>
      <c r="M2131">
        <v>984</v>
      </c>
      <c r="N2131">
        <v>3556</v>
      </c>
      <c r="O2131">
        <v>1</v>
      </c>
      <c r="P2131" t="s">
        <v>21</v>
      </c>
      <c r="Q2131" s="1">
        <v>44501</v>
      </c>
    </row>
    <row r="2132" spans="1:17" x14ac:dyDescent="0.3">
      <c r="A2132" t="s">
        <v>35</v>
      </c>
      <c r="B2132" t="s">
        <v>36</v>
      </c>
      <c r="C2132" t="s">
        <v>16</v>
      </c>
      <c r="D2132" t="s">
        <v>17</v>
      </c>
      <c r="E2132" t="s">
        <v>31</v>
      </c>
      <c r="F2132" s="9">
        <v>0.1</v>
      </c>
      <c r="G2132" s="10">
        <v>16135</v>
      </c>
      <c r="H2132">
        <v>4.8099999999999996</v>
      </c>
      <c r="I2132" s="5">
        <f>ROUND(Marketing[[#This Row],[Clicks]]*Marketing[[#This Row],[Conversion_Rate]],0)</f>
        <v>27</v>
      </c>
      <c r="J2132" s="12">
        <f>Marketing[[#This Row],[Campaign_Cost]]/Marketing[[#This Row],[Customers]]</f>
        <v>597.59259259259261</v>
      </c>
      <c r="K2132" t="s">
        <v>19</v>
      </c>
      <c r="L2132" t="s">
        <v>20</v>
      </c>
      <c r="M2132">
        <v>271</v>
      </c>
      <c r="N2132">
        <v>3384</v>
      </c>
      <c r="O2132">
        <v>1</v>
      </c>
      <c r="P2132" t="s">
        <v>27</v>
      </c>
      <c r="Q2132" s="1">
        <v>44502</v>
      </c>
    </row>
    <row r="2133" spans="1:17" x14ac:dyDescent="0.3">
      <c r="A2133" t="s">
        <v>28</v>
      </c>
      <c r="B2133" t="s">
        <v>36</v>
      </c>
      <c r="C2133" t="s">
        <v>23</v>
      </c>
      <c r="D2133" t="s">
        <v>17</v>
      </c>
      <c r="E2133" t="s">
        <v>15</v>
      </c>
      <c r="F2133" s="9">
        <v>0.1</v>
      </c>
      <c r="G2133" s="10">
        <v>19306</v>
      </c>
      <c r="H2133">
        <v>6.67</v>
      </c>
      <c r="I2133" s="5">
        <f>ROUND(Marketing[[#This Row],[Clicks]]*Marketing[[#This Row],[Conversion_Rate]],0)</f>
        <v>100</v>
      </c>
      <c r="J2133" s="12">
        <f>Marketing[[#This Row],[Campaign_Cost]]/Marketing[[#This Row],[Customers]]</f>
        <v>193.06</v>
      </c>
      <c r="K2133" t="s">
        <v>51</v>
      </c>
      <c r="L2133" t="s">
        <v>26</v>
      </c>
      <c r="M2133">
        <v>999</v>
      </c>
      <c r="N2133">
        <v>8996</v>
      </c>
      <c r="O2133">
        <v>1</v>
      </c>
      <c r="P2133" t="s">
        <v>27</v>
      </c>
      <c r="Q2133" s="1">
        <v>44503</v>
      </c>
    </row>
    <row r="2134" spans="1:17" x14ac:dyDescent="0.3">
      <c r="A2134" t="s">
        <v>35</v>
      </c>
      <c r="B2134" t="s">
        <v>45</v>
      </c>
      <c r="C2134" t="s">
        <v>16</v>
      </c>
      <c r="D2134" t="s">
        <v>46</v>
      </c>
      <c r="E2134" t="s">
        <v>43</v>
      </c>
      <c r="F2134" s="9">
        <v>0.14000000000000001</v>
      </c>
      <c r="G2134" s="10">
        <v>10820</v>
      </c>
      <c r="H2134">
        <v>3.97</v>
      </c>
      <c r="I2134" s="5">
        <f>ROUND(Marketing[[#This Row],[Clicks]]*Marketing[[#This Row],[Conversion_Rate]],0)</f>
        <v>15</v>
      </c>
      <c r="J2134" s="12">
        <f>Marketing[[#This Row],[Campaign_Cost]]/Marketing[[#This Row],[Customers]]</f>
        <v>721.33333333333337</v>
      </c>
      <c r="K2134" t="s">
        <v>51</v>
      </c>
      <c r="L2134" t="s">
        <v>20</v>
      </c>
      <c r="M2134">
        <v>106</v>
      </c>
      <c r="N2134">
        <v>5823</v>
      </c>
      <c r="O2134">
        <v>5</v>
      </c>
      <c r="P2134" t="s">
        <v>42</v>
      </c>
      <c r="Q2134" s="1">
        <v>44504</v>
      </c>
    </row>
    <row r="2135" spans="1:17" x14ac:dyDescent="0.3">
      <c r="A2135" t="s">
        <v>22</v>
      </c>
      <c r="B2135" t="s">
        <v>36</v>
      </c>
      <c r="C2135" t="s">
        <v>52</v>
      </c>
      <c r="D2135" t="s">
        <v>17</v>
      </c>
      <c r="E2135" t="s">
        <v>41</v>
      </c>
      <c r="F2135" s="9">
        <v>0.1</v>
      </c>
      <c r="G2135" s="10">
        <v>9942</v>
      </c>
      <c r="H2135">
        <v>7.07</v>
      </c>
      <c r="I2135" s="5">
        <f>ROUND(Marketing[[#This Row],[Clicks]]*Marketing[[#This Row],[Conversion_Rate]],0)</f>
        <v>82</v>
      </c>
      <c r="J2135" s="12">
        <f>Marketing[[#This Row],[Campaign_Cost]]/Marketing[[#This Row],[Customers]]</f>
        <v>121.2439024390244</v>
      </c>
      <c r="K2135" t="s">
        <v>32</v>
      </c>
      <c r="L2135" t="s">
        <v>33</v>
      </c>
      <c r="M2135">
        <v>820</v>
      </c>
      <c r="N2135">
        <v>6246</v>
      </c>
      <c r="O2135">
        <v>9</v>
      </c>
      <c r="P2135" t="s">
        <v>21</v>
      </c>
      <c r="Q2135" s="1">
        <v>44505</v>
      </c>
    </row>
    <row r="2136" spans="1:17" x14ac:dyDescent="0.3">
      <c r="A2136" t="s">
        <v>49</v>
      </c>
      <c r="B2136" t="s">
        <v>45</v>
      </c>
      <c r="C2136" t="s">
        <v>37</v>
      </c>
      <c r="D2136" t="s">
        <v>40</v>
      </c>
      <c r="E2136" t="s">
        <v>48</v>
      </c>
      <c r="F2136" s="9">
        <v>0.12</v>
      </c>
      <c r="G2136" s="10">
        <v>5813</v>
      </c>
      <c r="H2136">
        <v>6.67</v>
      </c>
      <c r="I2136" s="5">
        <f>ROUND(Marketing[[#This Row],[Clicks]]*Marketing[[#This Row],[Conversion_Rate]],0)</f>
        <v>98</v>
      </c>
      <c r="J2136" s="12">
        <f>Marketing[[#This Row],[Campaign_Cost]]/Marketing[[#This Row],[Customers]]</f>
        <v>59.316326530612244</v>
      </c>
      <c r="K2136" t="s">
        <v>51</v>
      </c>
      <c r="L2136" t="s">
        <v>39</v>
      </c>
      <c r="M2136">
        <v>816</v>
      </c>
      <c r="N2136">
        <v>5615</v>
      </c>
      <c r="O2136">
        <v>6</v>
      </c>
      <c r="P2136" t="s">
        <v>44</v>
      </c>
      <c r="Q2136" s="1">
        <v>44506</v>
      </c>
    </row>
    <row r="2137" spans="1:17" x14ac:dyDescent="0.3">
      <c r="A2137" t="s">
        <v>35</v>
      </c>
      <c r="B2137" t="s">
        <v>15</v>
      </c>
      <c r="C2137" t="s">
        <v>37</v>
      </c>
      <c r="D2137" t="s">
        <v>46</v>
      </c>
      <c r="E2137" t="s">
        <v>15</v>
      </c>
      <c r="F2137" s="9">
        <v>0.12</v>
      </c>
      <c r="G2137" s="10">
        <v>17038</v>
      </c>
      <c r="H2137">
        <v>5.9</v>
      </c>
      <c r="I2137" s="5">
        <f>ROUND(Marketing[[#This Row],[Clicks]]*Marketing[[#This Row],[Conversion_Rate]],0)</f>
        <v>86</v>
      </c>
      <c r="J2137" s="12">
        <f>Marketing[[#This Row],[Campaign_Cost]]/Marketing[[#This Row],[Customers]]</f>
        <v>198.11627906976744</v>
      </c>
      <c r="K2137" t="s">
        <v>38</v>
      </c>
      <c r="L2137" t="s">
        <v>20</v>
      </c>
      <c r="M2137">
        <v>719</v>
      </c>
      <c r="N2137">
        <v>5184</v>
      </c>
      <c r="O2137">
        <v>8</v>
      </c>
      <c r="P2137" t="s">
        <v>21</v>
      </c>
      <c r="Q2137" s="1">
        <v>44507</v>
      </c>
    </row>
    <row r="2138" spans="1:17" x14ac:dyDescent="0.3">
      <c r="A2138" t="s">
        <v>14</v>
      </c>
      <c r="B2138" t="s">
        <v>29</v>
      </c>
      <c r="C2138" t="s">
        <v>52</v>
      </c>
      <c r="D2138" t="s">
        <v>17</v>
      </c>
      <c r="E2138" t="s">
        <v>41</v>
      </c>
      <c r="F2138" s="9">
        <v>0.11</v>
      </c>
      <c r="G2138" s="10">
        <v>8616</v>
      </c>
      <c r="H2138">
        <v>2.09</v>
      </c>
      <c r="I2138" s="5">
        <f>ROUND(Marketing[[#This Row],[Clicks]]*Marketing[[#This Row],[Conversion_Rate]],0)</f>
        <v>60</v>
      </c>
      <c r="J2138" s="12">
        <f>Marketing[[#This Row],[Campaign_Cost]]/Marketing[[#This Row],[Customers]]</f>
        <v>143.6</v>
      </c>
      <c r="K2138" t="s">
        <v>38</v>
      </c>
      <c r="L2138" t="s">
        <v>33</v>
      </c>
      <c r="M2138">
        <v>547</v>
      </c>
      <c r="N2138">
        <v>8621</v>
      </c>
      <c r="O2138">
        <v>5</v>
      </c>
      <c r="P2138" t="s">
        <v>21</v>
      </c>
      <c r="Q2138" s="1">
        <v>44508</v>
      </c>
    </row>
    <row r="2139" spans="1:17" x14ac:dyDescent="0.3">
      <c r="A2139" t="s">
        <v>35</v>
      </c>
      <c r="B2139" t="s">
        <v>15</v>
      </c>
      <c r="C2139" t="s">
        <v>52</v>
      </c>
      <c r="D2139" t="s">
        <v>46</v>
      </c>
      <c r="E2139" t="s">
        <v>18</v>
      </c>
      <c r="F2139" s="9">
        <v>0.13</v>
      </c>
      <c r="G2139" s="10">
        <v>16074</v>
      </c>
      <c r="H2139">
        <v>5.83</v>
      </c>
      <c r="I2139" s="5">
        <f>ROUND(Marketing[[#This Row],[Clicks]]*Marketing[[#This Row],[Conversion_Rate]],0)</f>
        <v>93</v>
      </c>
      <c r="J2139" s="12">
        <f>Marketing[[#This Row],[Campaign_Cost]]/Marketing[[#This Row],[Customers]]</f>
        <v>172.83870967741936</v>
      </c>
      <c r="K2139" t="s">
        <v>38</v>
      </c>
      <c r="L2139" t="s">
        <v>50</v>
      </c>
      <c r="M2139">
        <v>712</v>
      </c>
      <c r="N2139">
        <v>5173</v>
      </c>
      <c r="O2139">
        <v>4</v>
      </c>
      <c r="P2139" t="s">
        <v>21</v>
      </c>
      <c r="Q2139" s="1">
        <v>44509</v>
      </c>
    </row>
    <row r="2140" spans="1:17" x14ac:dyDescent="0.3">
      <c r="A2140" t="s">
        <v>28</v>
      </c>
      <c r="B2140" t="s">
        <v>15</v>
      </c>
      <c r="C2140" t="s">
        <v>52</v>
      </c>
      <c r="D2140" t="s">
        <v>24</v>
      </c>
      <c r="E2140" t="s">
        <v>48</v>
      </c>
      <c r="F2140" s="9">
        <v>7.0000000000000007E-2</v>
      </c>
      <c r="G2140" s="10">
        <v>5091</v>
      </c>
      <c r="H2140">
        <v>7.95</v>
      </c>
      <c r="I2140" s="5">
        <f>ROUND(Marketing[[#This Row],[Clicks]]*Marketing[[#This Row],[Conversion_Rate]],0)</f>
        <v>70</v>
      </c>
      <c r="J2140" s="12">
        <f>Marketing[[#This Row],[Campaign_Cost]]/Marketing[[#This Row],[Customers]]</f>
        <v>72.728571428571428</v>
      </c>
      <c r="K2140" t="s">
        <v>19</v>
      </c>
      <c r="L2140" t="s">
        <v>50</v>
      </c>
      <c r="M2140">
        <v>996</v>
      </c>
      <c r="N2140">
        <v>3761</v>
      </c>
      <c r="O2140">
        <v>9</v>
      </c>
      <c r="P2140" t="s">
        <v>21</v>
      </c>
      <c r="Q2140" s="1">
        <v>44510</v>
      </c>
    </row>
    <row r="2141" spans="1:17" x14ac:dyDescent="0.3">
      <c r="A2141" t="s">
        <v>14</v>
      </c>
      <c r="B2141" t="s">
        <v>29</v>
      </c>
      <c r="C2141" t="s">
        <v>52</v>
      </c>
      <c r="D2141" t="s">
        <v>24</v>
      </c>
      <c r="E2141" t="s">
        <v>48</v>
      </c>
      <c r="F2141" s="9">
        <v>0.04</v>
      </c>
      <c r="G2141" s="10">
        <v>6250</v>
      </c>
      <c r="H2141">
        <v>6.02</v>
      </c>
      <c r="I2141" s="5">
        <f>ROUND(Marketing[[#This Row],[Clicks]]*Marketing[[#This Row],[Conversion_Rate]],0)</f>
        <v>28</v>
      </c>
      <c r="J2141" s="12">
        <f>Marketing[[#This Row],[Campaign_Cost]]/Marketing[[#This Row],[Customers]]</f>
        <v>223.21428571428572</v>
      </c>
      <c r="K2141" t="s">
        <v>32</v>
      </c>
      <c r="L2141" t="s">
        <v>20</v>
      </c>
      <c r="M2141">
        <v>708</v>
      </c>
      <c r="N2141">
        <v>9381</v>
      </c>
      <c r="O2141">
        <v>9</v>
      </c>
      <c r="P2141" t="s">
        <v>27</v>
      </c>
      <c r="Q2141" s="1">
        <v>44511</v>
      </c>
    </row>
    <row r="2142" spans="1:17" x14ac:dyDescent="0.3">
      <c r="A2142" t="s">
        <v>49</v>
      </c>
      <c r="B2142" t="s">
        <v>29</v>
      </c>
      <c r="C2142" t="s">
        <v>23</v>
      </c>
      <c r="D2142" t="s">
        <v>17</v>
      </c>
      <c r="E2142" t="s">
        <v>15</v>
      </c>
      <c r="F2142" s="9">
        <v>0.02</v>
      </c>
      <c r="G2142" s="10">
        <v>19937</v>
      </c>
      <c r="H2142">
        <v>6.9</v>
      </c>
      <c r="I2142" s="5">
        <f>ROUND(Marketing[[#This Row],[Clicks]]*Marketing[[#This Row],[Conversion_Rate]],0)</f>
        <v>17</v>
      </c>
      <c r="J2142" s="12">
        <f>Marketing[[#This Row],[Campaign_Cost]]/Marketing[[#This Row],[Customers]]</f>
        <v>1172.7647058823529</v>
      </c>
      <c r="K2142" t="s">
        <v>19</v>
      </c>
      <c r="L2142" t="s">
        <v>33</v>
      </c>
      <c r="M2142">
        <v>826</v>
      </c>
      <c r="N2142">
        <v>5481</v>
      </c>
      <c r="O2142">
        <v>1</v>
      </c>
      <c r="P2142" t="s">
        <v>42</v>
      </c>
      <c r="Q2142" s="1">
        <v>44512</v>
      </c>
    </row>
    <row r="2143" spans="1:17" x14ac:dyDescent="0.3">
      <c r="A2143" t="s">
        <v>22</v>
      </c>
      <c r="B2143" t="s">
        <v>47</v>
      </c>
      <c r="C2143" t="s">
        <v>23</v>
      </c>
      <c r="D2143" t="s">
        <v>17</v>
      </c>
      <c r="E2143" t="s">
        <v>48</v>
      </c>
      <c r="F2143" s="9">
        <v>0.08</v>
      </c>
      <c r="G2143" s="10">
        <v>12861</v>
      </c>
      <c r="H2143">
        <v>6.23</v>
      </c>
      <c r="I2143" s="5">
        <f>ROUND(Marketing[[#This Row],[Clicks]]*Marketing[[#This Row],[Conversion_Rate]],0)</f>
        <v>15</v>
      </c>
      <c r="J2143" s="12">
        <f>Marketing[[#This Row],[Campaign_Cost]]/Marketing[[#This Row],[Customers]]</f>
        <v>857.4</v>
      </c>
      <c r="K2143" t="s">
        <v>25</v>
      </c>
      <c r="L2143" t="s">
        <v>50</v>
      </c>
      <c r="M2143">
        <v>182</v>
      </c>
      <c r="N2143">
        <v>1018</v>
      </c>
      <c r="O2143">
        <v>3</v>
      </c>
      <c r="P2143" t="s">
        <v>21</v>
      </c>
      <c r="Q2143" s="1">
        <v>44513</v>
      </c>
    </row>
    <row r="2144" spans="1:17" x14ac:dyDescent="0.3">
      <c r="A2144" t="s">
        <v>35</v>
      </c>
      <c r="B2144" t="s">
        <v>29</v>
      </c>
      <c r="C2144" t="s">
        <v>30</v>
      </c>
      <c r="D2144" t="s">
        <v>17</v>
      </c>
      <c r="E2144" t="s">
        <v>15</v>
      </c>
      <c r="F2144" s="9">
        <v>0.11</v>
      </c>
      <c r="G2144" s="10">
        <v>17418</v>
      </c>
      <c r="H2144">
        <v>4.08</v>
      </c>
      <c r="I2144" s="5">
        <f>ROUND(Marketing[[#This Row],[Clicks]]*Marketing[[#This Row],[Conversion_Rate]],0)</f>
        <v>48</v>
      </c>
      <c r="J2144" s="12">
        <f>Marketing[[#This Row],[Campaign_Cost]]/Marketing[[#This Row],[Customers]]</f>
        <v>362.875</v>
      </c>
      <c r="K2144" t="s">
        <v>32</v>
      </c>
      <c r="L2144" t="s">
        <v>50</v>
      </c>
      <c r="M2144">
        <v>440</v>
      </c>
      <c r="N2144">
        <v>1654</v>
      </c>
      <c r="O2144">
        <v>6</v>
      </c>
      <c r="P2144" t="s">
        <v>42</v>
      </c>
      <c r="Q2144" s="1">
        <v>44514</v>
      </c>
    </row>
    <row r="2145" spans="1:17" x14ac:dyDescent="0.3">
      <c r="A2145" t="s">
        <v>28</v>
      </c>
      <c r="B2145" t="s">
        <v>29</v>
      </c>
      <c r="C2145" t="s">
        <v>52</v>
      </c>
      <c r="D2145" t="s">
        <v>24</v>
      </c>
      <c r="E2145" t="s">
        <v>41</v>
      </c>
      <c r="F2145" s="9">
        <v>0.15</v>
      </c>
      <c r="G2145" s="10">
        <v>9055</v>
      </c>
      <c r="H2145">
        <v>5.29</v>
      </c>
      <c r="I2145" s="5">
        <f>ROUND(Marketing[[#This Row],[Clicks]]*Marketing[[#This Row],[Conversion_Rate]],0)</f>
        <v>130</v>
      </c>
      <c r="J2145" s="12">
        <f>Marketing[[#This Row],[Campaign_Cost]]/Marketing[[#This Row],[Customers]]</f>
        <v>69.65384615384616</v>
      </c>
      <c r="K2145" t="s">
        <v>32</v>
      </c>
      <c r="L2145" t="s">
        <v>20</v>
      </c>
      <c r="M2145">
        <v>868</v>
      </c>
      <c r="N2145">
        <v>1120</v>
      </c>
      <c r="O2145">
        <v>5</v>
      </c>
      <c r="P2145" t="s">
        <v>42</v>
      </c>
      <c r="Q2145" s="1">
        <v>44515</v>
      </c>
    </row>
    <row r="2146" spans="1:17" x14ac:dyDescent="0.3">
      <c r="A2146" t="s">
        <v>35</v>
      </c>
      <c r="B2146" t="s">
        <v>47</v>
      </c>
      <c r="C2146" t="s">
        <v>30</v>
      </c>
      <c r="D2146" t="s">
        <v>40</v>
      </c>
      <c r="E2146" t="s">
        <v>15</v>
      </c>
      <c r="F2146" s="9">
        <v>0.1</v>
      </c>
      <c r="G2146" s="10">
        <v>15166</v>
      </c>
      <c r="H2146">
        <v>6.77</v>
      </c>
      <c r="I2146" s="5">
        <f>ROUND(Marketing[[#This Row],[Clicks]]*Marketing[[#This Row],[Conversion_Rate]],0)</f>
        <v>86</v>
      </c>
      <c r="J2146" s="12">
        <f>Marketing[[#This Row],[Campaign_Cost]]/Marketing[[#This Row],[Customers]]</f>
        <v>176.34883720930233</v>
      </c>
      <c r="K2146" t="s">
        <v>38</v>
      </c>
      <c r="L2146" t="s">
        <v>39</v>
      </c>
      <c r="M2146">
        <v>855</v>
      </c>
      <c r="N2146">
        <v>1920</v>
      </c>
      <c r="O2146">
        <v>3</v>
      </c>
      <c r="P2146" t="s">
        <v>21</v>
      </c>
      <c r="Q2146" s="1">
        <v>44516</v>
      </c>
    </row>
    <row r="2147" spans="1:17" x14ac:dyDescent="0.3">
      <c r="A2147" t="s">
        <v>49</v>
      </c>
      <c r="B2147" t="s">
        <v>45</v>
      </c>
      <c r="C2147" t="s">
        <v>23</v>
      </c>
      <c r="D2147" t="s">
        <v>17</v>
      </c>
      <c r="E2147" t="s">
        <v>15</v>
      </c>
      <c r="F2147" s="9">
        <v>0.12</v>
      </c>
      <c r="G2147" s="10">
        <v>17786</v>
      </c>
      <c r="H2147">
        <v>4.4000000000000004</v>
      </c>
      <c r="I2147" s="5">
        <f>ROUND(Marketing[[#This Row],[Clicks]]*Marketing[[#This Row],[Conversion_Rate]],0)</f>
        <v>43</v>
      </c>
      <c r="J2147" s="12">
        <f>Marketing[[#This Row],[Campaign_Cost]]/Marketing[[#This Row],[Customers]]</f>
        <v>413.62790697674421</v>
      </c>
      <c r="K2147" t="s">
        <v>38</v>
      </c>
      <c r="L2147" t="s">
        <v>26</v>
      </c>
      <c r="M2147">
        <v>357</v>
      </c>
      <c r="N2147">
        <v>6184</v>
      </c>
      <c r="O2147">
        <v>2</v>
      </c>
      <c r="P2147" t="s">
        <v>34</v>
      </c>
      <c r="Q2147" s="1">
        <v>44517</v>
      </c>
    </row>
    <row r="2148" spans="1:17" x14ac:dyDescent="0.3">
      <c r="A2148" t="s">
        <v>22</v>
      </c>
      <c r="B2148" t="s">
        <v>15</v>
      </c>
      <c r="C2148" t="s">
        <v>52</v>
      </c>
      <c r="D2148" t="s">
        <v>24</v>
      </c>
      <c r="E2148" t="s">
        <v>18</v>
      </c>
      <c r="F2148" s="9">
        <v>0.06</v>
      </c>
      <c r="G2148" s="10">
        <v>17718</v>
      </c>
      <c r="H2148">
        <v>4.63</v>
      </c>
      <c r="I2148" s="5">
        <f>ROUND(Marketing[[#This Row],[Clicks]]*Marketing[[#This Row],[Conversion_Rate]],0)</f>
        <v>52</v>
      </c>
      <c r="J2148" s="12">
        <f>Marketing[[#This Row],[Campaign_Cost]]/Marketing[[#This Row],[Customers]]</f>
        <v>340.73076923076923</v>
      </c>
      <c r="K2148" t="s">
        <v>51</v>
      </c>
      <c r="L2148" t="s">
        <v>50</v>
      </c>
      <c r="M2148">
        <v>869</v>
      </c>
      <c r="N2148">
        <v>1365</v>
      </c>
      <c r="O2148">
        <v>2</v>
      </c>
      <c r="P2148" t="s">
        <v>44</v>
      </c>
      <c r="Q2148" s="1">
        <v>44518</v>
      </c>
    </row>
    <row r="2149" spans="1:17" x14ac:dyDescent="0.3">
      <c r="A2149" t="s">
        <v>22</v>
      </c>
      <c r="B2149" t="s">
        <v>45</v>
      </c>
      <c r="C2149" t="s">
        <v>30</v>
      </c>
      <c r="D2149" t="s">
        <v>40</v>
      </c>
      <c r="E2149" t="s">
        <v>31</v>
      </c>
      <c r="F2149" s="9">
        <v>0.13</v>
      </c>
      <c r="G2149" s="10">
        <v>15024</v>
      </c>
      <c r="H2149">
        <v>4.04</v>
      </c>
      <c r="I2149" s="5">
        <f>ROUND(Marketing[[#This Row],[Clicks]]*Marketing[[#This Row],[Conversion_Rate]],0)</f>
        <v>35</v>
      </c>
      <c r="J2149" s="12">
        <f>Marketing[[#This Row],[Campaign_Cost]]/Marketing[[#This Row],[Customers]]</f>
        <v>429.25714285714287</v>
      </c>
      <c r="K2149" t="s">
        <v>25</v>
      </c>
      <c r="L2149" t="s">
        <v>20</v>
      </c>
      <c r="M2149">
        <v>266</v>
      </c>
      <c r="N2149">
        <v>7842</v>
      </c>
      <c r="O2149">
        <v>5</v>
      </c>
      <c r="P2149" t="s">
        <v>44</v>
      </c>
      <c r="Q2149" s="1">
        <v>44519</v>
      </c>
    </row>
    <row r="2150" spans="1:17" x14ac:dyDescent="0.3">
      <c r="A2150" t="s">
        <v>22</v>
      </c>
      <c r="B2150" t="s">
        <v>36</v>
      </c>
      <c r="C2150" t="s">
        <v>16</v>
      </c>
      <c r="D2150" t="s">
        <v>24</v>
      </c>
      <c r="E2150" t="s">
        <v>43</v>
      </c>
      <c r="F2150" s="9">
        <v>0.01</v>
      </c>
      <c r="G2150" s="10">
        <v>5751</v>
      </c>
      <c r="H2150">
        <v>6.4</v>
      </c>
      <c r="I2150" s="5">
        <f>ROUND(Marketing[[#This Row],[Clicks]]*Marketing[[#This Row],[Conversion_Rate]],0)</f>
        <v>5</v>
      </c>
      <c r="J2150" s="12">
        <f>Marketing[[#This Row],[Campaign_Cost]]/Marketing[[#This Row],[Customers]]</f>
        <v>1150.2</v>
      </c>
      <c r="K2150" t="s">
        <v>32</v>
      </c>
      <c r="L2150" t="s">
        <v>50</v>
      </c>
      <c r="M2150">
        <v>497</v>
      </c>
      <c r="N2150">
        <v>9945</v>
      </c>
      <c r="O2150">
        <v>9</v>
      </c>
      <c r="P2150" t="s">
        <v>34</v>
      </c>
      <c r="Q2150" s="1">
        <v>44520</v>
      </c>
    </row>
    <row r="2151" spans="1:17" x14ac:dyDescent="0.3">
      <c r="A2151" t="s">
        <v>14</v>
      </c>
      <c r="B2151" t="s">
        <v>45</v>
      </c>
      <c r="C2151" t="s">
        <v>37</v>
      </c>
      <c r="D2151" t="s">
        <v>40</v>
      </c>
      <c r="E2151" t="s">
        <v>48</v>
      </c>
      <c r="F2151" s="9">
        <v>0.04</v>
      </c>
      <c r="G2151" s="10">
        <v>8988</v>
      </c>
      <c r="H2151">
        <v>4.58</v>
      </c>
      <c r="I2151" s="5">
        <f>ROUND(Marketing[[#This Row],[Clicks]]*Marketing[[#This Row],[Conversion_Rate]],0)</f>
        <v>39</v>
      </c>
      <c r="J2151" s="12">
        <f>Marketing[[#This Row],[Campaign_Cost]]/Marketing[[#This Row],[Customers]]</f>
        <v>230.46153846153845</v>
      </c>
      <c r="K2151" t="s">
        <v>51</v>
      </c>
      <c r="L2151" t="s">
        <v>50</v>
      </c>
      <c r="M2151">
        <v>985</v>
      </c>
      <c r="N2151">
        <v>8755</v>
      </c>
      <c r="O2151">
        <v>2</v>
      </c>
      <c r="P2151" t="s">
        <v>27</v>
      </c>
      <c r="Q2151" s="1">
        <v>44521</v>
      </c>
    </row>
    <row r="2152" spans="1:17" x14ac:dyDescent="0.3">
      <c r="A2152" t="s">
        <v>35</v>
      </c>
      <c r="B2152" t="s">
        <v>15</v>
      </c>
      <c r="C2152" t="s">
        <v>52</v>
      </c>
      <c r="D2152" t="s">
        <v>24</v>
      </c>
      <c r="E2152" t="s">
        <v>15</v>
      </c>
      <c r="F2152" s="9">
        <v>0.08</v>
      </c>
      <c r="G2152" s="10">
        <v>18258</v>
      </c>
      <c r="H2152">
        <v>5.38</v>
      </c>
      <c r="I2152" s="5">
        <f>ROUND(Marketing[[#This Row],[Clicks]]*Marketing[[#This Row],[Conversion_Rate]],0)</f>
        <v>37</v>
      </c>
      <c r="J2152" s="12">
        <f>Marketing[[#This Row],[Campaign_Cost]]/Marketing[[#This Row],[Customers]]</f>
        <v>493.45945945945948</v>
      </c>
      <c r="K2152" t="s">
        <v>19</v>
      </c>
      <c r="L2152" t="s">
        <v>20</v>
      </c>
      <c r="M2152">
        <v>466</v>
      </c>
      <c r="N2152">
        <v>5173</v>
      </c>
      <c r="O2152">
        <v>4</v>
      </c>
      <c r="P2152" t="s">
        <v>21</v>
      </c>
      <c r="Q2152" s="1">
        <v>44522</v>
      </c>
    </row>
    <row r="2153" spans="1:17" x14ac:dyDescent="0.3">
      <c r="A2153" t="s">
        <v>28</v>
      </c>
      <c r="B2153" t="s">
        <v>47</v>
      </c>
      <c r="C2153" t="s">
        <v>52</v>
      </c>
      <c r="D2153" t="s">
        <v>17</v>
      </c>
      <c r="E2153" t="s">
        <v>41</v>
      </c>
      <c r="F2153" s="9">
        <v>7.0000000000000007E-2</v>
      </c>
      <c r="G2153" s="10">
        <v>15584</v>
      </c>
      <c r="H2153">
        <v>2.57</v>
      </c>
      <c r="I2153" s="5">
        <f>ROUND(Marketing[[#This Row],[Clicks]]*Marketing[[#This Row],[Conversion_Rate]],0)</f>
        <v>32</v>
      </c>
      <c r="J2153" s="12">
        <f>Marketing[[#This Row],[Campaign_Cost]]/Marketing[[#This Row],[Customers]]</f>
        <v>487</v>
      </c>
      <c r="K2153" t="s">
        <v>19</v>
      </c>
      <c r="L2153" t="s">
        <v>33</v>
      </c>
      <c r="M2153">
        <v>456</v>
      </c>
      <c r="N2153">
        <v>6205</v>
      </c>
      <c r="O2153">
        <v>10</v>
      </c>
      <c r="P2153" t="s">
        <v>44</v>
      </c>
      <c r="Q2153" s="1">
        <v>44523</v>
      </c>
    </row>
    <row r="2154" spans="1:17" x14ac:dyDescent="0.3">
      <c r="A2154" t="s">
        <v>22</v>
      </c>
      <c r="B2154" t="s">
        <v>45</v>
      </c>
      <c r="C2154" t="s">
        <v>23</v>
      </c>
      <c r="D2154" t="s">
        <v>17</v>
      </c>
      <c r="E2154" t="s">
        <v>41</v>
      </c>
      <c r="F2154" s="9">
        <v>0.11</v>
      </c>
      <c r="G2154" s="10">
        <v>8265</v>
      </c>
      <c r="H2154">
        <v>3.41</v>
      </c>
      <c r="I2154" s="5">
        <f>ROUND(Marketing[[#This Row],[Clicks]]*Marketing[[#This Row],[Conversion_Rate]],0)</f>
        <v>83</v>
      </c>
      <c r="J2154" s="12">
        <f>Marketing[[#This Row],[Campaign_Cost]]/Marketing[[#This Row],[Customers]]</f>
        <v>99.578313253012041</v>
      </c>
      <c r="K2154" t="s">
        <v>32</v>
      </c>
      <c r="L2154" t="s">
        <v>20</v>
      </c>
      <c r="M2154">
        <v>752</v>
      </c>
      <c r="N2154">
        <v>8553</v>
      </c>
      <c r="O2154">
        <v>7</v>
      </c>
      <c r="P2154" t="s">
        <v>44</v>
      </c>
      <c r="Q2154" s="1">
        <v>44524</v>
      </c>
    </row>
    <row r="2155" spans="1:17" x14ac:dyDescent="0.3">
      <c r="A2155" t="s">
        <v>35</v>
      </c>
      <c r="B2155" t="s">
        <v>29</v>
      </c>
      <c r="C2155" t="s">
        <v>23</v>
      </c>
      <c r="D2155" t="s">
        <v>17</v>
      </c>
      <c r="E2155" t="s">
        <v>15</v>
      </c>
      <c r="F2155" s="9">
        <v>0.13</v>
      </c>
      <c r="G2155" s="10">
        <v>16295</v>
      </c>
      <c r="H2155">
        <v>4.78</v>
      </c>
      <c r="I2155" s="5">
        <f>ROUND(Marketing[[#This Row],[Clicks]]*Marketing[[#This Row],[Conversion_Rate]],0)</f>
        <v>70</v>
      </c>
      <c r="J2155" s="12">
        <f>Marketing[[#This Row],[Campaign_Cost]]/Marketing[[#This Row],[Customers]]</f>
        <v>232.78571428571428</v>
      </c>
      <c r="K2155" t="s">
        <v>51</v>
      </c>
      <c r="L2155" t="s">
        <v>20</v>
      </c>
      <c r="M2155">
        <v>541</v>
      </c>
      <c r="N2155">
        <v>7010</v>
      </c>
      <c r="O2155">
        <v>3</v>
      </c>
      <c r="P2155" t="s">
        <v>21</v>
      </c>
      <c r="Q2155" s="1">
        <v>44525</v>
      </c>
    </row>
    <row r="2156" spans="1:17" x14ac:dyDescent="0.3">
      <c r="A2156" t="s">
        <v>14</v>
      </c>
      <c r="B2156" t="s">
        <v>15</v>
      </c>
      <c r="C2156" t="s">
        <v>30</v>
      </c>
      <c r="D2156" t="s">
        <v>17</v>
      </c>
      <c r="E2156" t="s">
        <v>48</v>
      </c>
      <c r="F2156" s="9">
        <v>0.04</v>
      </c>
      <c r="G2156" s="10">
        <v>6916</v>
      </c>
      <c r="H2156">
        <v>4.3499999999999996</v>
      </c>
      <c r="I2156" s="5">
        <f>ROUND(Marketing[[#This Row],[Clicks]]*Marketing[[#This Row],[Conversion_Rate]],0)</f>
        <v>28</v>
      </c>
      <c r="J2156" s="12">
        <f>Marketing[[#This Row],[Campaign_Cost]]/Marketing[[#This Row],[Customers]]</f>
        <v>247</v>
      </c>
      <c r="K2156" t="s">
        <v>51</v>
      </c>
      <c r="L2156" t="s">
        <v>26</v>
      </c>
      <c r="M2156">
        <v>697</v>
      </c>
      <c r="N2156">
        <v>2726</v>
      </c>
      <c r="O2156">
        <v>5</v>
      </c>
      <c r="P2156" t="s">
        <v>34</v>
      </c>
      <c r="Q2156" s="1">
        <v>44526</v>
      </c>
    </row>
    <row r="2157" spans="1:17" x14ac:dyDescent="0.3">
      <c r="A2157" t="s">
        <v>28</v>
      </c>
      <c r="B2157" t="s">
        <v>47</v>
      </c>
      <c r="C2157" t="s">
        <v>30</v>
      </c>
      <c r="D2157" t="s">
        <v>40</v>
      </c>
      <c r="E2157" t="s">
        <v>15</v>
      </c>
      <c r="F2157" s="9">
        <v>0.09</v>
      </c>
      <c r="G2157" s="10">
        <v>7106</v>
      </c>
      <c r="H2157">
        <v>5.22</v>
      </c>
      <c r="I2157" s="5">
        <f>ROUND(Marketing[[#This Row],[Clicks]]*Marketing[[#This Row],[Conversion_Rate]],0)</f>
        <v>74</v>
      </c>
      <c r="J2157" s="12">
        <f>Marketing[[#This Row],[Campaign_Cost]]/Marketing[[#This Row],[Customers]]</f>
        <v>96.027027027027032</v>
      </c>
      <c r="K2157" t="s">
        <v>38</v>
      </c>
      <c r="L2157" t="s">
        <v>50</v>
      </c>
      <c r="M2157">
        <v>822</v>
      </c>
      <c r="N2157">
        <v>8820</v>
      </c>
      <c r="O2157">
        <v>9</v>
      </c>
      <c r="P2157" t="s">
        <v>42</v>
      </c>
      <c r="Q2157" s="1">
        <v>44527</v>
      </c>
    </row>
    <row r="2158" spans="1:17" x14ac:dyDescent="0.3">
      <c r="A2158" t="s">
        <v>14</v>
      </c>
      <c r="B2158" t="s">
        <v>36</v>
      </c>
      <c r="C2158" t="s">
        <v>30</v>
      </c>
      <c r="D2158" t="s">
        <v>40</v>
      </c>
      <c r="E2158" t="s">
        <v>31</v>
      </c>
      <c r="F2158" s="9">
        <v>0.06</v>
      </c>
      <c r="G2158" s="10">
        <v>15851</v>
      </c>
      <c r="H2158">
        <v>3.77</v>
      </c>
      <c r="I2158" s="5">
        <f>ROUND(Marketing[[#This Row],[Clicks]]*Marketing[[#This Row],[Conversion_Rate]],0)</f>
        <v>60</v>
      </c>
      <c r="J2158" s="12">
        <f>Marketing[[#This Row],[Campaign_Cost]]/Marketing[[#This Row],[Customers]]</f>
        <v>264.18333333333334</v>
      </c>
      <c r="K2158" t="s">
        <v>32</v>
      </c>
      <c r="L2158" t="s">
        <v>39</v>
      </c>
      <c r="M2158">
        <v>996</v>
      </c>
      <c r="N2158">
        <v>8275</v>
      </c>
      <c r="O2158">
        <v>4</v>
      </c>
      <c r="P2158" t="s">
        <v>42</v>
      </c>
      <c r="Q2158" s="1">
        <v>44528</v>
      </c>
    </row>
    <row r="2159" spans="1:17" x14ac:dyDescent="0.3">
      <c r="A2159" t="s">
        <v>28</v>
      </c>
      <c r="B2159" t="s">
        <v>47</v>
      </c>
      <c r="C2159" t="s">
        <v>23</v>
      </c>
      <c r="D2159" t="s">
        <v>17</v>
      </c>
      <c r="E2159" t="s">
        <v>31</v>
      </c>
      <c r="F2159" s="9">
        <v>0.1</v>
      </c>
      <c r="G2159" s="10">
        <v>5991</v>
      </c>
      <c r="H2159">
        <v>6.7</v>
      </c>
      <c r="I2159" s="5">
        <f>ROUND(Marketing[[#This Row],[Clicks]]*Marketing[[#This Row],[Conversion_Rate]],0)</f>
        <v>35</v>
      </c>
      <c r="J2159" s="12">
        <f>Marketing[[#This Row],[Campaign_Cost]]/Marketing[[#This Row],[Customers]]</f>
        <v>171.17142857142858</v>
      </c>
      <c r="K2159" t="s">
        <v>32</v>
      </c>
      <c r="L2159" t="s">
        <v>20</v>
      </c>
      <c r="M2159">
        <v>354</v>
      </c>
      <c r="N2159">
        <v>6358</v>
      </c>
      <c r="O2159">
        <v>7</v>
      </c>
      <c r="P2159" t="s">
        <v>21</v>
      </c>
      <c r="Q2159" s="1">
        <v>44529</v>
      </c>
    </row>
    <row r="2160" spans="1:17" x14ac:dyDescent="0.3">
      <c r="A2160" t="s">
        <v>28</v>
      </c>
      <c r="B2160" t="s">
        <v>47</v>
      </c>
      <c r="C2160" t="s">
        <v>16</v>
      </c>
      <c r="D2160" t="s">
        <v>17</v>
      </c>
      <c r="E2160" t="s">
        <v>15</v>
      </c>
      <c r="F2160" s="9">
        <v>0.08</v>
      </c>
      <c r="G2160" s="10">
        <v>12922</v>
      </c>
      <c r="H2160">
        <v>7.52</v>
      </c>
      <c r="I2160" s="5">
        <f>ROUND(Marketing[[#This Row],[Clicks]]*Marketing[[#This Row],[Conversion_Rate]],0)</f>
        <v>72</v>
      </c>
      <c r="J2160" s="12">
        <f>Marketing[[#This Row],[Campaign_Cost]]/Marketing[[#This Row],[Customers]]</f>
        <v>179.47222222222223</v>
      </c>
      <c r="K2160" t="s">
        <v>38</v>
      </c>
      <c r="L2160" t="s">
        <v>20</v>
      </c>
      <c r="M2160">
        <v>902</v>
      </c>
      <c r="N2160">
        <v>6242</v>
      </c>
      <c r="O2160">
        <v>5</v>
      </c>
      <c r="P2160" t="s">
        <v>27</v>
      </c>
      <c r="Q2160" s="1">
        <v>44530</v>
      </c>
    </row>
    <row r="2161" spans="1:17" x14ac:dyDescent="0.3">
      <c r="A2161" t="s">
        <v>49</v>
      </c>
      <c r="B2161" t="s">
        <v>36</v>
      </c>
      <c r="C2161" t="s">
        <v>30</v>
      </c>
      <c r="D2161" t="s">
        <v>24</v>
      </c>
      <c r="E2161" t="s">
        <v>43</v>
      </c>
      <c r="F2161" s="9">
        <v>0.14000000000000001</v>
      </c>
      <c r="G2161" s="10">
        <v>15594</v>
      </c>
      <c r="H2161">
        <v>2.15</v>
      </c>
      <c r="I2161" s="5">
        <f>ROUND(Marketing[[#This Row],[Clicks]]*Marketing[[#This Row],[Conversion_Rate]],0)</f>
        <v>62</v>
      </c>
      <c r="J2161" s="12">
        <f>Marketing[[#This Row],[Campaign_Cost]]/Marketing[[#This Row],[Customers]]</f>
        <v>251.51612903225808</v>
      </c>
      <c r="K2161" t="s">
        <v>25</v>
      </c>
      <c r="L2161" t="s">
        <v>20</v>
      </c>
      <c r="M2161">
        <v>446</v>
      </c>
      <c r="N2161">
        <v>7057</v>
      </c>
      <c r="O2161">
        <v>4</v>
      </c>
      <c r="P2161" t="s">
        <v>42</v>
      </c>
      <c r="Q2161" s="1">
        <v>44531</v>
      </c>
    </row>
    <row r="2162" spans="1:17" x14ac:dyDescent="0.3">
      <c r="A2162" t="s">
        <v>28</v>
      </c>
      <c r="B2162" t="s">
        <v>15</v>
      </c>
      <c r="C2162" t="s">
        <v>37</v>
      </c>
      <c r="D2162" t="s">
        <v>17</v>
      </c>
      <c r="E2162" t="s">
        <v>31</v>
      </c>
      <c r="F2162" s="9">
        <v>0.1</v>
      </c>
      <c r="G2162" s="10">
        <v>5600</v>
      </c>
      <c r="H2162">
        <v>7.87</v>
      </c>
      <c r="I2162" s="5">
        <f>ROUND(Marketing[[#This Row],[Clicks]]*Marketing[[#This Row],[Conversion_Rate]],0)</f>
        <v>95</v>
      </c>
      <c r="J2162" s="12">
        <f>Marketing[[#This Row],[Campaign_Cost]]/Marketing[[#This Row],[Customers]]</f>
        <v>58.94736842105263</v>
      </c>
      <c r="K2162" t="s">
        <v>51</v>
      </c>
      <c r="L2162" t="s">
        <v>39</v>
      </c>
      <c r="M2162">
        <v>952</v>
      </c>
      <c r="N2162">
        <v>6921</v>
      </c>
      <c r="O2162">
        <v>5</v>
      </c>
      <c r="P2162" t="s">
        <v>21</v>
      </c>
      <c r="Q2162" s="1">
        <v>44532</v>
      </c>
    </row>
    <row r="2163" spans="1:17" x14ac:dyDescent="0.3">
      <c r="A2163" t="s">
        <v>14</v>
      </c>
      <c r="B2163" t="s">
        <v>36</v>
      </c>
      <c r="C2163" t="s">
        <v>37</v>
      </c>
      <c r="D2163" t="s">
        <v>17</v>
      </c>
      <c r="E2163" t="s">
        <v>48</v>
      </c>
      <c r="F2163" s="9">
        <v>0.09</v>
      </c>
      <c r="G2163" s="10">
        <v>5119</v>
      </c>
      <c r="H2163">
        <v>4.1100000000000003</v>
      </c>
      <c r="I2163" s="5">
        <f>ROUND(Marketing[[#This Row],[Clicks]]*Marketing[[#This Row],[Conversion_Rate]],0)</f>
        <v>77</v>
      </c>
      <c r="J2163" s="12">
        <f>Marketing[[#This Row],[Campaign_Cost]]/Marketing[[#This Row],[Customers]]</f>
        <v>66.480519480519476</v>
      </c>
      <c r="K2163" t="s">
        <v>19</v>
      </c>
      <c r="L2163" t="s">
        <v>26</v>
      </c>
      <c r="M2163">
        <v>857</v>
      </c>
      <c r="N2163">
        <v>5472</v>
      </c>
      <c r="O2163">
        <v>2</v>
      </c>
      <c r="P2163" t="s">
        <v>34</v>
      </c>
      <c r="Q2163" s="1">
        <v>44533</v>
      </c>
    </row>
    <row r="2164" spans="1:17" x14ac:dyDescent="0.3">
      <c r="A2164" t="s">
        <v>14</v>
      </c>
      <c r="B2164" t="s">
        <v>36</v>
      </c>
      <c r="C2164" t="s">
        <v>23</v>
      </c>
      <c r="D2164" t="s">
        <v>17</v>
      </c>
      <c r="E2164" t="s">
        <v>43</v>
      </c>
      <c r="F2164" s="9">
        <v>0.02</v>
      </c>
      <c r="G2164" s="10">
        <v>7212</v>
      </c>
      <c r="H2164">
        <v>2.09</v>
      </c>
      <c r="I2164" s="5">
        <f>ROUND(Marketing[[#This Row],[Clicks]]*Marketing[[#This Row],[Conversion_Rate]],0)</f>
        <v>2</v>
      </c>
      <c r="J2164" s="12">
        <f>Marketing[[#This Row],[Campaign_Cost]]/Marketing[[#This Row],[Customers]]</f>
        <v>3606</v>
      </c>
      <c r="K2164" t="s">
        <v>19</v>
      </c>
      <c r="L2164" t="s">
        <v>33</v>
      </c>
      <c r="M2164">
        <v>115</v>
      </c>
      <c r="N2164">
        <v>2414</v>
      </c>
      <c r="O2164">
        <v>4</v>
      </c>
      <c r="P2164" t="s">
        <v>21</v>
      </c>
      <c r="Q2164" s="1">
        <v>44534</v>
      </c>
    </row>
    <row r="2165" spans="1:17" x14ac:dyDescent="0.3">
      <c r="A2165" t="s">
        <v>49</v>
      </c>
      <c r="B2165" t="s">
        <v>29</v>
      </c>
      <c r="C2165" t="s">
        <v>52</v>
      </c>
      <c r="D2165" t="s">
        <v>46</v>
      </c>
      <c r="E2165" t="s">
        <v>15</v>
      </c>
      <c r="F2165" s="9">
        <v>7.0000000000000007E-2</v>
      </c>
      <c r="G2165" s="10">
        <v>18076</v>
      </c>
      <c r="H2165">
        <v>5.75</v>
      </c>
      <c r="I2165" s="5">
        <f>ROUND(Marketing[[#This Row],[Clicks]]*Marketing[[#This Row],[Conversion_Rate]],0)</f>
        <v>37</v>
      </c>
      <c r="J2165" s="12">
        <f>Marketing[[#This Row],[Campaign_Cost]]/Marketing[[#This Row],[Customers]]</f>
        <v>488.54054054054052</v>
      </c>
      <c r="K2165" t="s">
        <v>25</v>
      </c>
      <c r="L2165" t="s">
        <v>33</v>
      </c>
      <c r="M2165">
        <v>534</v>
      </c>
      <c r="N2165">
        <v>5432</v>
      </c>
      <c r="O2165">
        <v>1</v>
      </c>
      <c r="P2165" t="s">
        <v>42</v>
      </c>
      <c r="Q2165" s="1">
        <v>44535</v>
      </c>
    </row>
    <row r="2166" spans="1:17" x14ac:dyDescent="0.3">
      <c r="A2166" t="s">
        <v>35</v>
      </c>
      <c r="B2166" t="s">
        <v>36</v>
      </c>
      <c r="C2166" t="s">
        <v>16</v>
      </c>
      <c r="D2166" t="s">
        <v>17</v>
      </c>
      <c r="E2166" t="s">
        <v>43</v>
      </c>
      <c r="F2166" s="9">
        <v>0.13</v>
      </c>
      <c r="G2166" s="10">
        <v>9028</v>
      </c>
      <c r="H2166">
        <v>6.16</v>
      </c>
      <c r="I2166" s="5">
        <f>ROUND(Marketing[[#This Row],[Clicks]]*Marketing[[#This Row],[Conversion_Rate]],0)</f>
        <v>41</v>
      </c>
      <c r="J2166" s="12">
        <f>Marketing[[#This Row],[Campaign_Cost]]/Marketing[[#This Row],[Customers]]</f>
        <v>220.19512195121951</v>
      </c>
      <c r="K2166" t="s">
        <v>25</v>
      </c>
      <c r="L2166" t="s">
        <v>20</v>
      </c>
      <c r="M2166">
        <v>316</v>
      </c>
      <c r="N2166">
        <v>5755</v>
      </c>
      <c r="O2166">
        <v>6</v>
      </c>
      <c r="P2166" t="s">
        <v>27</v>
      </c>
      <c r="Q2166" s="1">
        <v>44536</v>
      </c>
    </row>
    <row r="2167" spans="1:17" x14ac:dyDescent="0.3">
      <c r="A2167" t="s">
        <v>35</v>
      </c>
      <c r="B2167" t="s">
        <v>15</v>
      </c>
      <c r="C2167" t="s">
        <v>30</v>
      </c>
      <c r="D2167" t="s">
        <v>24</v>
      </c>
      <c r="E2167" t="s">
        <v>48</v>
      </c>
      <c r="F2167" s="9">
        <v>0.02</v>
      </c>
      <c r="G2167" s="10">
        <v>15805</v>
      </c>
      <c r="H2167">
        <v>2.29</v>
      </c>
      <c r="I2167" s="5">
        <f>ROUND(Marketing[[#This Row],[Clicks]]*Marketing[[#This Row],[Conversion_Rate]],0)</f>
        <v>10</v>
      </c>
      <c r="J2167" s="12">
        <f>Marketing[[#This Row],[Campaign_Cost]]/Marketing[[#This Row],[Customers]]</f>
        <v>1580.5</v>
      </c>
      <c r="K2167" t="s">
        <v>38</v>
      </c>
      <c r="L2167" t="s">
        <v>33</v>
      </c>
      <c r="M2167">
        <v>491</v>
      </c>
      <c r="N2167">
        <v>9129</v>
      </c>
      <c r="O2167">
        <v>7</v>
      </c>
      <c r="P2167" t="s">
        <v>27</v>
      </c>
      <c r="Q2167" s="1">
        <v>44537</v>
      </c>
    </row>
    <row r="2168" spans="1:17" x14ac:dyDescent="0.3">
      <c r="A2168" t="s">
        <v>49</v>
      </c>
      <c r="B2168" t="s">
        <v>15</v>
      </c>
      <c r="C2168" t="s">
        <v>30</v>
      </c>
      <c r="D2168" t="s">
        <v>24</v>
      </c>
      <c r="E2168" t="s">
        <v>31</v>
      </c>
      <c r="F2168" s="9">
        <v>0.1</v>
      </c>
      <c r="G2168" s="10">
        <v>19781</v>
      </c>
      <c r="H2168">
        <v>3.68</v>
      </c>
      <c r="I2168" s="5">
        <f>ROUND(Marketing[[#This Row],[Clicks]]*Marketing[[#This Row],[Conversion_Rate]],0)</f>
        <v>66</v>
      </c>
      <c r="J2168" s="12">
        <f>Marketing[[#This Row],[Campaign_Cost]]/Marketing[[#This Row],[Customers]]</f>
        <v>299.71212121212119</v>
      </c>
      <c r="K2168" t="s">
        <v>51</v>
      </c>
      <c r="L2168" t="s">
        <v>20</v>
      </c>
      <c r="M2168">
        <v>662</v>
      </c>
      <c r="N2168">
        <v>2838</v>
      </c>
      <c r="O2168">
        <v>5</v>
      </c>
      <c r="P2168" t="s">
        <v>27</v>
      </c>
      <c r="Q2168" s="1">
        <v>44538</v>
      </c>
    </row>
    <row r="2169" spans="1:17" x14ac:dyDescent="0.3">
      <c r="A2169" t="s">
        <v>28</v>
      </c>
      <c r="B2169" t="s">
        <v>36</v>
      </c>
      <c r="C2169" t="s">
        <v>16</v>
      </c>
      <c r="D2169" t="s">
        <v>24</v>
      </c>
      <c r="E2169" t="s">
        <v>15</v>
      </c>
      <c r="F2169" s="9">
        <v>0.15</v>
      </c>
      <c r="G2169" s="10">
        <v>13341</v>
      </c>
      <c r="H2169">
        <v>7.51</v>
      </c>
      <c r="I2169" s="5">
        <f>ROUND(Marketing[[#This Row],[Clicks]]*Marketing[[#This Row],[Conversion_Rate]],0)</f>
        <v>127</v>
      </c>
      <c r="J2169" s="12">
        <f>Marketing[[#This Row],[Campaign_Cost]]/Marketing[[#This Row],[Customers]]</f>
        <v>105.04724409448819</v>
      </c>
      <c r="K2169" t="s">
        <v>19</v>
      </c>
      <c r="L2169" t="s">
        <v>50</v>
      </c>
      <c r="M2169">
        <v>844</v>
      </c>
      <c r="N2169">
        <v>7058</v>
      </c>
      <c r="O2169">
        <v>2</v>
      </c>
      <c r="P2169" t="s">
        <v>44</v>
      </c>
      <c r="Q2169" s="1">
        <v>44539</v>
      </c>
    </row>
    <row r="2170" spans="1:17" x14ac:dyDescent="0.3">
      <c r="A2170" t="s">
        <v>35</v>
      </c>
      <c r="B2170" t="s">
        <v>36</v>
      </c>
      <c r="C2170" t="s">
        <v>52</v>
      </c>
      <c r="D2170" t="s">
        <v>17</v>
      </c>
      <c r="E2170" t="s">
        <v>43</v>
      </c>
      <c r="F2170" s="9">
        <v>0.06</v>
      </c>
      <c r="G2170" s="10">
        <v>6152</v>
      </c>
      <c r="H2170">
        <v>2.23</v>
      </c>
      <c r="I2170" s="5">
        <f>ROUND(Marketing[[#This Row],[Clicks]]*Marketing[[#This Row],[Conversion_Rate]],0)</f>
        <v>16</v>
      </c>
      <c r="J2170" s="12">
        <f>Marketing[[#This Row],[Campaign_Cost]]/Marketing[[#This Row],[Customers]]</f>
        <v>384.5</v>
      </c>
      <c r="K2170" t="s">
        <v>25</v>
      </c>
      <c r="L2170" t="s">
        <v>33</v>
      </c>
      <c r="M2170">
        <v>264</v>
      </c>
      <c r="N2170">
        <v>2518</v>
      </c>
      <c r="O2170">
        <v>7</v>
      </c>
      <c r="P2170" t="s">
        <v>42</v>
      </c>
      <c r="Q2170" s="1">
        <v>44540</v>
      </c>
    </row>
    <row r="2171" spans="1:17" x14ac:dyDescent="0.3">
      <c r="A2171" t="s">
        <v>28</v>
      </c>
      <c r="B2171" t="s">
        <v>47</v>
      </c>
      <c r="C2171" t="s">
        <v>23</v>
      </c>
      <c r="D2171" t="s">
        <v>24</v>
      </c>
      <c r="E2171" t="s">
        <v>18</v>
      </c>
      <c r="F2171" s="9">
        <v>0.06</v>
      </c>
      <c r="G2171" s="10">
        <v>10913</v>
      </c>
      <c r="H2171">
        <v>5.38</v>
      </c>
      <c r="I2171" s="5">
        <f>ROUND(Marketing[[#This Row],[Clicks]]*Marketing[[#This Row],[Conversion_Rate]],0)</f>
        <v>44</v>
      </c>
      <c r="J2171" s="12">
        <f>Marketing[[#This Row],[Campaign_Cost]]/Marketing[[#This Row],[Customers]]</f>
        <v>248.02272727272728</v>
      </c>
      <c r="K2171" t="s">
        <v>25</v>
      </c>
      <c r="L2171" t="s">
        <v>39</v>
      </c>
      <c r="M2171">
        <v>731</v>
      </c>
      <c r="N2171">
        <v>7506</v>
      </c>
      <c r="O2171">
        <v>10</v>
      </c>
      <c r="P2171" t="s">
        <v>34</v>
      </c>
      <c r="Q2171" s="1">
        <v>44541</v>
      </c>
    </row>
    <row r="2172" spans="1:17" x14ac:dyDescent="0.3">
      <c r="A2172" t="s">
        <v>28</v>
      </c>
      <c r="B2172" t="s">
        <v>45</v>
      </c>
      <c r="C2172" t="s">
        <v>16</v>
      </c>
      <c r="D2172" t="s">
        <v>40</v>
      </c>
      <c r="E2172" t="s">
        <v>31</v>
      </c>
      <c r="F2172" s="9">
        <v>0.01</v>
      </c>
      <c r="G2172" s="10">
        <v>16624</v>
      </c>
      <c r="H2172">
        <v>5.47</v>
      </c>
      <c r="I2172" s="5">
        <f>ROUND(Marketing[[#This Row],[Clicks]]*Marketing[[#This Row],[Conversion_Rate]],0)</f>
        <v>3</v>
      </c>
      <c r="J2172" s="12">
        <f>Marketing[[#This Row],[Campaign_Cost]]/Marketing[[#This Row],[Customers]]</f>
        <v>5541.333333333333</v>
      </c>
      <c r="K2172" t="s">
        <v>25</v>
      </c>
      <c r="L2172" t="s">
        <v>50</v>
      </c>
      <c r="M2172">
        <v>304</v>
      </c>
      <c r="N2172">
        <v>7253</v>
      </c>
      <c r="O2172">
        <v>5</v>
      </c>
      <c r="P2172" t="s">
        <v>21</v>
      </c>
      <c r="Q2172" s="1">
        <v>44542</v>
      </c>
    </row>
    <row r="2173" spans="1:17" x14ac:dyDescent="0.3">
      <c r="A2173" t="s">
        <v>22</v>
      </c>
      <c r="B2173" t="s">
        <v>45</v>
      </c>
      <c r="C2173" t="s">
        <v>52</v>
      </c>
      <c r="D2173" t="s">
        <v>46</v>
      </c>
      <c r="E2173" t="s">
        <v>31</v>
      </c>
      <c r="F2173" s="9">
        <v>0.08</v>
      </c>
      <c r="G2173" s="10">
        <v>13801</v>
      </c>
      <c r="H2173">
        <v>2.58</v>
      </c>
      <c r="I2173" s="5">
        <f>ROUND(Marketing[[#This Row],[Clicks]]*Marketing[[#This Row],[Conversion_Rate]],0)</f>
        <v>53</v>
      </c>
      <c r="J2173" s="12">
        <f>Marketing[[#This Row],[Campaign_Cost]]/Marketing[[#This Row],[Customers]]</f>
        <v>260.39622641509436</v>
      </c>
      <c r="K2173" t="s">
        <v>19</v>
      </c>
      <c r="L2173" t="s">
        <v>33</v>
      </c>
      <c r="M2173">
        <v>661</v>
      </c>
      <c r="N2173">
        <v>1774</v>
      </c>
      <c r="O2173">
        <v>9</v>
      </c>
      <c r="P2173" t="s">
        <v>44</v>
      </c>
      <c r="Q2173" s="1">
        <v>44543</v>
      </c>
    </row>
    <row r="2174" spans="1:17" x14ac:dyDescent="0.3">
      <c r="A2174" t="s">
        <v>14</v>
      </c>
      <c r="B2174" t="s">
        <v>29</v>
      </c>
      <c r="C2174" t="s">
        <v>16</v>
      </c>
      <c r="D2174" t="s">
        <v>40</v>
      </c>
      <c r="E2174" t="s">
        <v>31</v>
      </c>
      <c r="F2174" s="9">
        <v>0.04</v>
      </c>
      <c r="G2174" s="10">
        <v>8939</v>
      </c>
      <c r="H2174">
        <v>5.78</v>
      </c>
      <c r="I2174" s="5">
        <f>ROUND(Marketing[[#This Row],[Clicks]]*Marketing[[#This Row],[Conversion_Rate]],0)</f>
        <v>29</v>
      </c>
      <c r="J2174" s="12">
        <f>Marketing[[#This Row],[Campaign_Cost]]/Marketing[[#This Row],[Customers]]</f>
        <v>308.24137931034483</v>
      </c>
      <c r="K2174" t="s">
        <v>19</v>
      </c>
      <c r="L2174" t="s">
        <v>50</v>
      </c>
      <c r="M2174">
        <v>725</v>
      </c>
      <c r="N2174">
        <v>5871</v>
      </c>
      <c r="O2174">
        <v>1</v>
      </c>
      <c r="P2174" t="s">
        <v>21</v>
      </c>
      <c r="Q2174" s="1">
        <v>44544</v>
      </c>
    </row>
    <row r="2175" spans="1:17" x14ac:dyDescent="0.3">
      <c r="A2175" t="s">
        <v>28</v>
      </c>
      <c r="B2175" t="s">
        <v>36</v>
      </c>
      <c r="C2175" t="s">
        <v>23</v>
      </c>
      <c r="D2175" t="s">
        <v>17</v>
      </c>
      <c r="E2175" t="s">
        <v>48</v>
      </c>
      <c r="F2175" s="9">
        <v>0.11</v>
      </c>
      <c r="G2175" s="10">
        <v>7015</v>
      </c>
      <c r="H2175">
        <v>5.23</v>
      </c>
      <c r="I2175" s="5">
        <f>ROUND(Marketing[[#This Row],[Clicks]]*Marketing[[#This Row],[Conversion_Rate]],0)</f>
        <v>42</v>
      </c>
      <c r="J2175" s="12">
        <f>Marketing[[#This Row],[Campaign_Cost]]/Marketing[[#This Row],[Customers]]</f>
        <v>167.02380952380952</v>
      </c>
      <c r="K2175" t="s">
        <v>51</v>
      </c>
      <c r="L2175" t="s">
        <v>39</v>
      </c>
      <c r="M2175">
        <v>382</v>
      </c>
      <c r="N2175">
        <v>1754</v>
      </c>
      <c r="O2175">
        <v>6</v>
      </c>
      <c r="P2175" t="s">
        <v>44</v>
      </c>
      <c r="Q2175" s="1">
        <v>44545</v>
      </c>
    </row>
    <row r="2176" spans="1:17" x14ac:dyDescent="0.3">
      <c r="A2176" t="s">
        <v>35</v>
      </c>
      <c r="B2176" t="s">
        <v>36</v>
      </c>
      <c r="C2176" t="s">
        <v>23</v>
      </c>
      <c r="D2176" t="s">
        <v>17</v>
      </c>
      <c r="E2176" t="s">
        <v>43</v>
      </c>
      <c r="F2176" s="9">
        <v>0.05</v>
      </c>
      <c r="G2176" s="10">
        <v>14263</v>
      </c>
      <c r="H2176">
        <v>6.73</v>
      </c>
      <c r="I2176" s="5">
        <f>ROUND(Marketing[[#This Row],[Clicks]]*Marketing[[#This Row],[Conversion_Rate]],0)</f>
        <v>32</v>
      </c>
      <c r="J2176" s="12">
        <f>Marketing[[#This Row],[Campaign_Cost]]/Marketing[[#This Row],[Customers]]</f>
        <v>445.71875</v>
      </c>
      <c r="K2176" t="s">
        <v>32</v>
      </c>
      <c r="L2176" t="s">
        <v>33</v>
      </c>
      <c r="M2176">
        <v>637</v>
      </c>
      <c r="N2176">
        <v>1403</v>
      </c>
      <c r="O2176">
        <v>5</v>
      </c>
      <c r="P2176" t="s">
        <v>42</v>
      </c>
      <c r="Q2176" s="1">
        <v>44546</v>
      </c>
    </row>
    <row r="2177" spans="1:17" x14ac:dyDescent="0.3">
      <c r="A2177" t="s">
        <v>22</v>
      </c>
      <c r="B2177" t="s">
        <v>15</v>
      </c>
      <c r="C2177" t="s">
        <v>37</v>
      </c>
      <c r="D2177" t="s">
        <v>40</v>
      </c>
      <c r="E2177" t="s">
        <v>31</v>
      </c>
      <c r="F2177" s="9">
        <v>0.04</v>
      </c>
      <c r="G2177" s="10">
        <v>8654</v>
      </c>
      <c r="H2177">
        <v>5.47</v>
      </c>
      <c r="I2177" s="5">
        <f>ROUND(Marketing[[#This Row],[Clicks]]*Marketing[[#This Row],[Conversion_Rate]],0)</f>
        <v>19</v>
      </c>
      <c r="J2177" s="12">
        <f>Marketing[[#This Row],[Campaign_Cost]]/Marketing[[#This Row],[Customers]]</f>
        <v>455.4736842105263</v>
      </c>
      <c r="K2177" t="s">
        <v>25</v>
      </c>
      <c r="L2177" t="s">
        <v>39</v>
      </c>
      <c r="M2177">
        <v>463</v>
      </c>
      <c r="N2177">
        <v>3253</v>
      </c>
      <c r="O2177">
        <v>2</v>
      </c>
      <c r="P2177" t="s">
        <v>42</v>
      </c>
      <c r="Q2177" s="1">
        <v>44547</v>
      </c>
    </row>
    <row r="2178" spans="1:17" x14ac:dyDescent="0.3">
      <c r="A2178" t="s">
        <v>49</v>
      </c>
      <c r="B2178" t="s">
        <v>29</v>
      </c>
      <c r="C2178" t="s">
        <v>37</v>
      </c>
      <c r="D2178" t="s">
        <v>46</v>
      </c>
      <c r="E2178" t="s">
        <v>43</v>
      </c>
      <c r="F2178" s="9">
        <v>0.13</v>
      </c>
      <c r="G2178" s="10">
        <v>17347</v>
      </c>
      <c r="H2178">
        <v>6.16</v>
      </c>
      <c r="I2178" s="5">
        <f>ROUND(Marketing[[#This Row],[Clicks]]*Marketing[[#This Row],[Conversion_Rate]],0)</f>
        <v>88</v>
      </c>
      <c r="J2178" s="12">
        <f>Marketing[[#This Row],[Campaign_Cost]]/Marketing[[#This Row],[Customers]]</f>
        <v>197.125</v>
      </c>
      <c r="K2178" t="s">
        <v>51</v>
      </c>
      <c r="L2178" t="s">
        <v>20</v>
      </c>
      <c r="M2178">
        <v>674</v>
      </c>
      <c r="N2178">
        <v>6417</v>
      </c>
      <c r="O2178">
        <v>10</v>
      </c>
      <c r="P2178" t="s">
        <v>27</v>
      </c>
      <c r="Q2178" s="1">
        <v>44548</v>
      </c>
    </row>
    <row r="2179" spans="1:17" x14ac:dyDescent="0.3">
      <c r="A2179" t="s">
        <v>22</v>
      </c>
      <c r="B2179" t="s">
        <v>15</v>
      </c>
      <c r="C2179" t="s">
        <v>37</v>
      </c>
      <c r="D2179" t="s">
        <v>24</v>
      </c>
      <c r="E2179" t="s">
        <v>31</v>
      </c>
      <c r="F2179" s="9">
        <v>0.05</v>
      </c>
      <c r="G2179" s="10">
        <v>11481</v>
      </c>
      <c r="H2179">
        <v>4.32</v>
      </c>
      <c r="I2179" s="5">
        <f>ROUND(Marketing[[#This Row],[Clicks]]*Marketing[[#This Row],[Conversion_Rate]],0)</f>
        <v>7</v>
      </c>
      <c r="J2179" s="12">
        <f>Marketing[[#This Row],[Campaign_Cost]]/Marketing[[#This Row],[Customers]]</f>
        <v>1640.1428571428571</v>
      </c>
      <c r="K2179" t="s">
        <v>32</v>
      </c>
      <c r="L2179" t="s">
        <v>20</v>
      </c>
      <c r="M2179">
        <v>146</v>
      </c>
      <c r="N2179">
        <v>5136</v>
      </c>
      <c r="O2179">
        <v>7</v>
      </c>
      <c r="P2179" t="s">
        <v>27</v>
      </c>
      <c r="Q2179" s="1">
        <v>44549</v>
      </c>
    </row>
    <row r="2180" spans="1:17" x14ac:dyDescent="0.3">
      <c r="A2180" t="s">
        <v>14</v>
      </c>
      <c r="B2180" t="s">
        <v>36</v>
      </c>
      <c r="C2180" t="s">
        <v>23</v>
      </c>
      <c r="D2180" t="s">
        <v>46</v>
      </c>
      <c r="E2180" t="s">
        <v>43</v>
      </c>
      <c r="F2180" s="9">
        <v>0.12</v>
      </c>
      <c r="G2180" s="10">
        <v>18199</v>
      </c>
      <c r="H2180">
        <v>3.87</v>
      </c>
      <c r="I2180" s="5">
        <f>ROUND(Marketing[[#This Row],[Clicks]]*Marketing[[#This Row],[Conversion_Rate]],0)</f>
        <v>73</v>
      </c>
      <c r="J2180" s="12">
        <f>Marketing[[#This Row],[Campaign_Cost]]/Marketing[[#This Row],[Customers]]</f>
        <v>249.30136986301369</v>
      </c>
      <c r="K2180" t="s">
        <v>32</v>
      </c>
      <c r="L2180" t="s">
        <v>26</v>
      </c>
      <c r="M2180">
        <v>612</v>
      </c>
      <c r="N2180">
        <v>7742</v>
      </c>
      <c r="O2180">
        <v>10</v>
      </c>
      <c r="P2180" t="s">
        <v>34</v>
      </c>
      <c r="Q2180" s="1">
        <v>44550</v>
      </c>
    </row>
    <row r="2181" spans="1:17" x14ac:dyDescent="0.3">
      <c r="A2181" t="s">
        <v>49</v>
      </c>
      <c r="B2181" t="s">
        <v>36</v>
      </c>
      <c r="C2181" t="s">
        <v>23</v>
      </c>
      <c r="D2181" t="s">
        <v>40</v>
      </c>
      <c r="E2181" t="s">
        <v>43</v>
      </c>
      <c r="F2181" s="9">
        <v>0.15</v>
      </c>
      <c r="G2181" s="10">
        <v>12086</v>
      </c>
      <c r="H2181">
        <v>4.58</v>
      </c>
      <c r="I2181" s="5">
        <f>ROUND(Marketing[[#This Row],[Clicks]]*Marketing[[#This Row],[Conversion_Rate]],0)</f>
        <v>84</v>
      </c>
      <c r="J2181" s="12">
        <f>Marketing[[#This Row],[Campaign_Cost]]/Marketing[[#This Row],[Customers]]</f>
        <v>143.88095238095238</v>
      </c>
      <c r="K2181" t="s">
        <v>32</v>
      </c>
      <c r="L2181" t="s">
        <v>39</v>
      </c>
      <c r="M2181">
        <v>560</v>
      </c>
      <c r="N2181">
        <v>8597</v>
      </c>
      <c r="O2181">
        <v>6</v>
      </c>
      <c r="P2181" t="s">
        <v>27</v>
      </c>
      <c r="Q2181" s="1">
        <v>44551</v>
      </c>
    </row>
    <row r="2182" spans="1:17" x14ac:dyDescent="0.3">
      <c r="A2182" t="s">
        <v>14</v>
      </c>
      <c r="B2182" t="s">
        <v>47</v>
      </c>
      <c r="C2182" t="s">
        <v>23</v>
      </c>
      <c r="D2182" t="s">
        <v>40</v>
      </c>
      <c r="E2182" t="s">
        <v>43</v>
      </c>
      <c r="F2182" s="9">
        <v>7.0000000000000007E-2</v>
      </c>
      <c r="G2182" s="10">
        <v>10328</v>
      </c>
      <c r="H2182">
        <v>5.61</v>
      </c>
      <c r="I2182" s="5">
        <f>ROUND(Marketing[[#This Row],[Clicks]]*Marketing[[#This Row],[Conversion_Rate]],0)</f>
        <v>49</v>
      </c>
      <c r="J2182" s="12">
        <f>Marketing[[#This Row],[Campaign_Cost]]/Marketing[[#This Row],[Customers]]</f>
        <v>210.77551020408163</v>
      </c>
      <c r="K2182" t="s">
        <v>25</v>
      </c>
      <c r="L2182" t="s">
        <v>20</v>
      </c>
      <c r="M2182">
        <v>702</v>
      </c>
      <c r="N2182">
        <v>7624</v>
      </c>
      <c r="O2182">
        <v>4</v>
      </c>
      <c r="P2182" t="s">
        <v>21</v>
      </c>
      <c r="Q2182" s="1">
        <v>44552</v>
      </c>
    </row>
    <row r="2183" spans="1:17" x14ac:dyDescent="0.3">
      <c r="A2183" t="s">
        <v>49</v>
      </c>
      <c r="B2183" t="s">
        <v>36</v>
      </c>
      <c r="C2183" t="s">
        <v>52</v>
      </c>
      <c r="D2183" t="s">
        <v>17</v>
      </c>
      <c r="E2183" t="s">
        <v>43</v>
      </c>
      <c r="F2183" s="9">
        <v>0.1</v>
      </c>
      <c r="G2183" s="10">
        <v>15463</v>
      </c>
      <c r="H2183">
        <v>2.94</v>
      </c>
      <c r="I2183" s="5">
        <f>ROUND(Marketing[[#This Row],[Clicks]]*Marketing[[#This Row],[Conversion_Rate]],0)</f>
        <v>84</v>
      </c>
      <c r="J2183" s="12">
        <f>Marketing[[#This Row],[Campaign_Cost]]/Marketing[[#This Row],[Customers]]</f>
        <v>184.08333333333334</v>
      </c>
      <c r="K2183" t="s">
        <v>32</v>
      </c>
      <c r="L2183" t="s">
        <v>20</v>
      </c>
      <c r="M2183">
        <v>837</v>
      </c>
      <c r="N2183">
        <v>4717</v>
      </c>
      <c r="O2183">
        <v>4</v>
      </c>
      <c r="P2183" t="s">
        <v>27</v>
      </c>
      <c r="Q2183" s="1">
        <v>44553</v>
      </c>
    </row>
    <row r="2184" spans="1:17" x14ac:dyDescent="0.3">
      <c r="A2184" t="s">
        <v>28</v>
      </c>
      <c r="B2184" t="s">
        <v>15</v>
      </c>
      <c r="C2184" t="s">
        <v>23</v>
      </c>
      <c r="D2184" t="s">
        <v>46</v>
      </c>
      <c r="E2184" t="s">
        <v>41</v>
      </c>
      <c r="F2184" s="9">
        <v>0.12</v>
      </c>
      <c r="G2184" s="10">
        <v>13911</v>
      </c>
      <c r="H2184">
        <v>2.11</v>
      </c>
      <c r="I2184" s="5">
        <f>ROUND(Marketing[[#This Row],[Clicks]]*Marketing[[#This Row],[Conversion_Rate]],0)</f>
        <v>81</v>
      </c>
      <c r="J2184" s="12">
        <f>Marketing[[#This Row],[Campaign_Cost]]/Marketing[[#This Row],[Customers]]</f>
        <v>171.74074074074073</v>
      </c>
      <c r="K2184" t="s">
        <v>25</v>
      </c>
      <c r="L2184" t="s">
        <v>20</v>
      </c>
      <c r="M2184">
        <v>675</v>
      </c>
      <c r="N2184">
        <v>6917</v>
      </c>
      <c r="O2184">
        <v>10</v>
      </c>
      <c r="P2184" t="s">
        <v>21</v>
      </c>
      <c r="Q2184" s="1">
        <v>44554</v>
      </c>
    </row>
    <row r="2185" spans="1:17" x14ac:dyDescent="0.3">
      <c r="A2185" t="s">
        <v>49</v>
      </c>
      <c r="B2185" t="s">
        <v>15</v>
      </c>
      <c r="C2185" t="s">
        <v>37</v>
      </c>
      <c r="D2185" t="s">
        <v>40</v>
      </c>
      <c r="E2185" t="s">
        <v>48</v>
      </c>
      <c r="F2185" s="9">
        <v>0.08</v>
      </c>
      <c r="G2185" s="10">
        <v>16063</v>
      </c>
      <c r="H2185">
        <v>6.59</v>
      </c>
      <c r="I2185" s="5">
        <f>ROUND(Marketing[[#This Row],[Clicks]]*Marketing[[#This Row],[Conversion_Rate]],0)</f>
        <v>21</v>
      </c>
      <c r="J2185" s="12">
        <f>Marketing[[#This Row],[Campaign_Cost]]/Marketing[[#This Row],[Customers]]</f>
        <v>764.90476190476193</v>
      </c>
      <c r="K2185" t="s">
        <v>32</v>
      </c>
      <c r="L2185" t="s">
        <v>20</v>
      </c>
      <c r="M2185">
        <v>263</v>
      </c>
      <c r="N2185">
        <v>6561</v>
      </c>
      <c r="O2185">
        <v>1</v>
      </c>
      <c r="P2185" t="s">
        <v>21</v>
      </c>
      <c r="Q2185" s="1">
        <v>44555</v>
      </c>
    </row>
    <row r="2186" spans="1:17" x14ac:dyDescent="0.3">
      <c r="A2186" t="s">
        <v>28</v>
      </c>
      <c r="B2186" t="s">
        <v>15</v>
      </c>
      <c r="C2186" t="s">
        <v>52</v>
      </c>
      <c r="D2186" t="s">
        <v>40</v>
      </c>
      <c r="E2186" t="s">
        <v>48</v>
      </c>
      <c r="F2186" s="9">
        <v>0.06</v>
      </c>
      <c r="G2186" s="10">
        <v>16302</v>
      </c>
      <c r="H2186">
        <v>7.77</v>
      </c>
      <c r="I2186" s="5">
        <f>ROUND(Marketing[[#This Row],[Clicks]]*Marketing[[#This Row],[Conversion_Rate]],0)</f>
        <v>23</v>
      </c>
      <c r="J2186" s="12">
        <f>Marketing[[#This Row],[Campaign_Cost]]/Marketing[[#This Row],[Customers]]</f>
        <v>708.78260869565213</v>
      </c>
      <c r="K2186" t="s">
        <v>32</v>
      </c>
      <c r="L2186" t="s">
        <v>50</v>
      </c>
      <c r="M2186">
        <v>385</v>
      </c>
      <c r="N2186">
        <v>9401</v>
      </c>
      <c r="O2186">
        <v>7</v>
      </c>
      <c r="P2186" t="s">
        <v>34</v>
      </c>
      <c r="Q2186" s="1">
        <v>44556</v>
      </c>
    </row>
    <row r="2187" spans="1:17" x14ac:dyDescent="0.3">
      <c r="A2187" t="s">
        <v>22</v>
      </c>
      <c r="B2187" t="s">
        <v>36</v>
      </c>
      <c r="C2187" t="s">
        <v>23</v>
      </c>
      <c r="D2187" t="s">
        <v>24</v>
      </c>
      <c r="E2187" t="s">
        <v>41</v>
      </c>
      <c r="F2187" s="9">
        <v>0.14000000000000001</v>
      </c>
      <c r="G2187" s="10">
        <v>10109</v>
      </c>
      <c r="H2187">
        <v>7.16</v>
      </c>
      <c r="I2187" s="5">
        <f>ROUND(Marketing[[#This Row],[Clicks]]*Marketing[[#This Row],[Conversion_Rate]],0)</f>
        <v>94</v>
      </c>
      <c r="J2187" s="12">
        <f>Marketing[[#This Row],[Campaign_Cost]]/Marketing[[#This Row],[Customers]]</f>
        <v>107.54255319148936</v>
      </c>
      <c r="K2187" t="s">
        <v>51</v>
      </c>
      <c r="L2187" t="s">
        <v>20</v>
      </c>
      <c r="M2187">
        <v>671</v>
      </c>
      <c r="N2187">
        <v>7953</v>
      </c>
      <c r="O2187">
        <v>10</v>
      </c>
      <c r="P2187" t="s">
        <v>21</v>
      </c>
      <c r="Q2187" s="1">
        <v>44557</v>
      </c>
    </row>
    <row r="2188" spans="1:17" x14ac:dyDescent="0.3">
      <c r="A2188" t="s">
        <v>14</v>
      </c>
      <c r="B2188" t="s">
        <v>36</v>
      </c>
      <c r="C2188" t="s">
        <v>30</v>
      </c>
      <c r="D2188" t="s">
        <v>40</v>
      </c>
      <c r="E2188" t="s">
        <v>31</v>
      </c>
      <c r="F2188" s="9">
        <v>0.1</v>
      </c>
      <c r="G2188" s="10">
        <v>10456</v>
      </c>
      <c r="H2188">
        <v>3.09</v>
      </c>
      <c r="I2188" s="5">
        <f>ROUND(Marketing[[#This Row],[Clicks]]*Marketing[[#This Row],[Conversion_Rate]],0)</f>
        <v>96</v>
      </c>
      <c r="J2188" s="12">
        <f>Marketing[[#This Row],[Campaign_Cost]]/Marketing[[#This Row],[Customers]]</f>
        <v>108.91666666666667</v>
      </c>
      <c r="K2188" t="s">
        <v>51</v>
      </c>
      <c r="L2188" t="s">
        <v>26</v>
      </c>
      <c r="M2188">
        <v>962</v>
      </c>
      <c r="N2188">
        <v>2328</v>
      </c>
      <c r="O2188">
        <v>1</v>
      </c>
      <c r="P2188" t="s">
        <v>21</v>
      </c>
      <c r="Q2188" s="1">
        <v>44558</v>
      </c>
    </row>
    <row r="2189" spans="1:17" x14ac:dyDescent="0.3">
      <c r="A2189" t="s">
        <v>28</v>
      </c>
      <c r="B2189" t="s">
        <v>45</v>
      </c>
      <c r="C2189" t="s">
        <v>37</v>
      </c>
      <c r="D2189" t="s">
        <v>24</v>
      </c>
      <c r="E2189" t="s">
        <v>41</v>
      </c>
      <c r="F2189" s="9">
        <v>0.02</v>
      </c>
      <c r="G2189" s="10">
        <v>14530</v>
      </c>
      <c r="H2189">
        <v>3.5</v>
      </c>
      <c r="I2189" s="5">
        <f>ROUND(Marketing[[#This Row],[Clicks]]*Marketing[[#This Row],[Conversion_Rate]],0)</f>
        <v>17</v>
      </c>
      <c r="J2189" s="12">
        <f>Marketing[[#This Row],[Campaign_Cost]]/Marketing[[#This Row],[Customers]]</f>
        <v>854.70588235294122</v>
      </c>
      <c r="K2189" t="s">
        <v>19</v>
      </c>
      <c r="L2189" t="s">
        <v>33</v>
      </c>
      <c r="M2189">
        <v>828</v>
      </c>
      <c r="N2189">
        <v>2685</v>
      </c>
      <c r="O2189">
        <v>7</v>
      </c>
      <c r="P2189" t="s">
        <v>21</v>
      </c>
      <c r="Q2189" s="1">
        <v>44559</v>
      </c>
    </row>
    <row r="2190" spans="1:17" x14ac:dyDescent="0.3">
      <c r="A2190" t="s">
        <v>28</v>
      </c>
      <c r="B2190" t="s">
        <v>29</v>
      </c>
      <c r="C2190" t="s">
        <v>16</v>
      </c>
      <c r="D2190" t="s">
        <v>17</v>
      </c>
      <c r="E2190" t="s">
        <v>41</v>
      </c>
      <c r="F2190" s="9">
        <v>0.14000000000000001</v>
      </c>
      <c r="G2190" s="10">
        <v>16136</v>
      </c>
      <c r="H2190">
        <v>7.93</v>
      </c>
      <c r="I2190" s="5">
        <f>ROUND(Marketing[[#This Row],[Clicks]]*Marketing[[#This Row],[Conversion_Rate]],0)</f>
        <v>18</v>
      </c>
      <c r="J2190" s="12">
        <f>Marketing[[#This Row],[Campaign_Cost]]/Marketing[[#This Row],[Customers]]</f>
        <v>896.44444444444446</v>
      </c>
      <c r="K2190" t="s">
        <v>38</v>
      </c>
      <c r="L2190" t="s">
        <v>39</v>
      </c>
      <c r="M2190">
        <v>126</v>
      </c>
      <c r="N2190">
        <v>1514</v>
      </c>
      <c r="O2190">
        <v>7</v>
      </c>
      <c r="P2190" t="s">
        <v>44</v>
      </c>
      <c r="Q2190" s="1">
        <v>44560</v>
      </c>
    </row>
    <row r="2191" spans="1:17" x14ac:dyDescent="0.3">
      <c r="A2191" t="s">
        <v>35</v>
      </c>
      <c r="B2191" t="s">
        <v>47</v>
      </c>
      <c r="C2191" t="s">
        <v>52</v>
      </c>
      <c r="D2191" t="s">
        <v>17</v>
      </c>
      <c r="E2191" t="s">
        <v>15</v>
      </c>
      <c r="F2191" s="9">
        <v>0.12</v>
      </c>
      <c r="G2191" s="10">
        <v>12154</v>
      </c>
      <c r="H2191">
        <v>3.99</v>
      </c>
      <c r="I2191" s="5">
        <f>ROUND(Marketing[[#This Row],[Clicks]]*Marketing[[#This Row],[Conversion_Rate]],0)</f>
        <v>39</v>
      </c>
      <c r="J2191" s="12">
        <f>Marketing[[#This Row],[Campaign_Cost]]/Marketing[[#This Row],[Customers]]</f>
        <v>311.64102564102564</v>
      </c>
      <c r="K2191" t="s">
        <v>25</v>
      </c>
      <c r="L2191" t="s">
        <v>20</v>
      </c>
      <c r="M2191">
        <v>329</v>
      </c>
      <c r="N2191">
        <v>7443</v>
      </c>
      <c r="O2191">
        <v>6</v>
      </c>
      <c r="P2191" t="s">
        <v>21</v>
      </c>
      <c r="Q2191" s="1">
        <v>44561</v>
      </c>
    </row>
    <row r="2192" spans="1:17" x14ac:dyDescent="0.3">
      <c r="A2192" t="s">
        <v>22</v>
      </c>
      <c r="B2192" t="s">
        <v>36</v>
      </c>
      <c r="C2192" t="s">
        <v>16</v>
      </c>
      <c r="D2192" t="s">
        <v>24</v>
      </c>
      <c r="E2192" t="s">
        <v>43</v>
      </c>
      <c r="F2192" s="9">
        <v>0.08</v>
      </c>
      <c r="G2192" s="10">
        <v>12479</v>
      </c>
      <c r="H2192">
        <v>5.57</v>
      </c>
      <c r="I2192" s="5">
        <f>ROUND(Marketing[[#This Row],[Clicks]]*Marketing[[#This Row],[Conversion_Rate]],0)</f>
        <v>9</v>
      </c>
      <c r="J2192" s="12">
        <f>Marketing[[#This Row],[Campaign_Cost]]/Marketing[[#This Row],[Customers]]</f>
        <v>1386.5555555555557</v>
      </c>
      <c r="K2192" t="s">
        <v>25</v>
      </c>
      <c r="L2192" t="s">
        <v>39</v>
      </c>
      <c r="M2192">
        <v>111</v>
      </c>
      <c r="N2192">
        <v>3210</v>
      </c>
      <c r="O2192">
        <v>8</v>
      </c>
      <c r="P2192" t="s">
        <v>42</v>
      </c>
      <c r="Q2192" s="1">
        <v>44197</v>
      </c>
    </row>
    <row r="2193" spans="1:17" x14ac:dyDescent="0.3">
      <c r="A2193" t="s">
        <v>14</v>
      </c>
      <c r="B2193" t="s">
        <v>15</v>
      </c>
      <c r="C2193" t="s">
        <v>30</v>
      </c>
      <c r="D2193" t="s">
        <v>24</v>
      </c>
      <c r="E2193" t="s">
        <v>31</v>
      </c>
      <c r="F2193" s="9">
        <v>0.01</v>
      </c>
      <c r="G2193" s="10">
        <v>15284</v>
      </c>
      <c r="H2193">
        <v>3.1</v>
      </c>
      <c r="I2193" s="5">
        <f>ROUND(Marketing[[#This Row],[Clicks]]*Marketing[[#This Row],[Conversion_Rate]],0)</f>
        <v>1</v>
      </c>
      <c r="J2193" s="12">
        <f>Marketing[[#This Row],[Campaign_Cost]]/Marketing[[#This Row],[Customers]]</f>
        <v>15284</v>
      </c>
      <c r="K2193" t="s">
        <v>19</v>
      </c>
      <c r="L2193" t="s">
        <v>50</v>
      </c>
      <c r="M2193">
        <v>134</v>
      </c>
      <c r="N2193">
        <v>2509</v>
      </c>
      <c r="O2193">
        <v>10</v>
      </c>
      <c r="P2193" t="s">
        <v>27</v>
      </c>
      <c r="Q2193" s="1">
        <v>44198</v>
      </c>
    </row>
    <row r="2194" spans="1:17" x14ac:dyDescent="0.3">
      <c r="A2194" t="s">
        <v>22</v>
      </c>
      <c r="B2194" t="s">
        <v>36</v>
      </c>
      <c r="C2194" t="s">
        <v>16</v>
      </c>
      <c r="D2194" t="s">
        <v>17</v>
      </c>
      <c r="E2194" t="s">
        <v>48</v>
      </c>
      <c r="F2194" s="9">
        <v>0.13</v>
      </c>
      <c r="G2194" s="10">
        <v>15804</v>
      </c>
      <c r="H2194">
        <v>2.4900000000000002</v>
      </c>
      <c r="I2194" s="5">
        <f>ROUND(Marketing[[#This Row],[Clicks]]*Marketing[[#This Row],[Conversion_Rate]],0)</f>
        <v>107</v>
      </c>
      <c r="J2194" s="12">
        <f>Marketing[[#This Row],[Campaign_Cost]]/Marketing[[#This Row],[Customers]]</f>
        <v>147.70093457943926</v>
      </c>
      <c r="K2194" t="s">
        <v>38</v>
      </c>
      <c r="L2194" t="s">
        <v>20</v>
      </c>
      <c r="M2194">
        <v>822</v>
      </c>
      <c r="N2194">
        <v>6570</v>
      </c>
      <c r="O2194">
        <v>6</v>
      </c>
      <c r="P2194" t="s">
        <v>27</v>
      </c>
      <c r="Q2194" s="1">
        <v>44199</v>
      </c>
    </row>
    <row r="2195" spans="1:17" x14ac:dyDescent="0.3">
      <c r="A2195" t="s">
        <v>28</v>
      </c>
      <c r="B2195" t="s">
        <v>15</v>
      </c>
      <c r="C2195" t="s">
        <v>16</v>
      </c>
      <c r="D2195" t="s">
        <v>17</v>
      </c>
      <c r="E2195" t="s">
        <v>48</v>
      </c>
      <c r="F2195" s="9">
        <v>0.12</v>
      </c>
      <c r="G2195" s="10">
        <v>14984</v>
      </c>
      <c r="H2195">
        <v>4.2300000000000004</v>
      </c>
      <c r="I2195" s="5">
        <f>ROUND(Marketing[[#This Row],[Clicks]]*Marketing[[#This Row],[Conversion_Rate]],0)</f>
        <v>31</v>
      </c>
      <c r="J2195" s="12">
        <f>Marketing[[#This Row],[Campaign_Cost]]/Marketing[[#This Row],[Customers]]</f>
        <v>483.35483870967744</v>
      </c>
      <c r="K2195" t="s">
        <v>25</v>
      </c>
      <c r="L2195" t="s">
        <v>33</v>
      </c>
      <c r="M2195">
        <v>259</v>
      </c>
      <c r="N2195">
        <v>2263</v>
      </c>
      <c r="O2195">
        <v>9</v>
      </c>
      <c r="P2195" t="s">
        <v>44</v>
      </c>
      <c r="Q2195" s="1">
        <v>44200</v>
      </c>
    </row>
    <row r="2196" spans="1:17" x14ac:dyDescent="0.3">
      <c r="A2196" t="s">
        <v>28</v>
      </c>
      <c r="B2196" t="s">
        <v>45</v>
      </c>
      <c r="C2196" t="s">
        <v>23</v>
      </c>
      <c r="D2196" t="s">
        <v>46</v>
      </c>
      <c r="E2196" t="s">
        <v>43</v>
      </c>
      <c r="F2196" s="9">
        <v>0.04</v>
      </c>
      <c r="G2196" s="10">
        <v>17075</v>
      </c>
      <c r="H2196">
        <v>6.63</v>
      </c>
      <c r="I2196" s="5">
        <f>ROUND(Marketing[[#This Row],[Clicks]]*Marketing[[#This Row],[Conversion_Rate]],0)</f>
        <v>8</v>
      </c>
      <c r="J2196" s="12">
        <f>Marketing[[#This Row],[Campaign_Cost]]/Marketing[[#This Row],[Customers]]</f>
        <v>2134.375</v>
      </c>
      <c r="K2196" t="s">
        <v>19</v>
      </c>
      <c r="L2196" t="s">
        <v>20</v>
      </c>
      <c r="M2196">
        <v>188</v>
      </c>
      <c r="N2196">
        <v>8202</v>
      </c>
      <c r="O2196">
        <v>3</v>
      </c>
      <c r="P2196" t="s">
        <v>21</v>
      </c>
      <c r="Q2196" s="1">
        <v>44201</v>
      </c>
    </row>
    <row r="2197" spans="1:17" x14ac:dyDescent="0.3">
      <c r="A2197" t="s">
        <v>22</v>
      </c>
      <c r="B2197" t="s">
        <v>15</v>
      </c>
      <c r="C2197" t="s">
        <v>30</v>
      </c>
      <c r="D2197" t="s">
        <v>17</v>
      </c>
      <c r="E2197" t="s">
        <v>41</v>
      </c>
      <c r="F2197" s="9">
        <v>0.12</v>
      </c>
      <c r="G2197" s="10">
        <v>13273</v>
      </c>
      <c r="H2197">
        <v>7.12</v>
      </c>
      <c r="I2197" s="5">
        <f>ROUND(Marketing[[#This Row],[Clicks]]*Marketing[[#This Row],[Conversion_Rate]],0)</f>
        <v>120</v>
      </c>
      <c r="J2197" s="12">
        <f>Marketing[[#This Row],[Campaign_Cost]]/Marketing[[#This Row],[Customers]]</f>
        <v>110.60833333333333</v>
      </c>
      <c r="K2197" t="s">
        <v>25</v>
      </c>
      <c r="L2197" t="s">
        <v>26</v>
      </c>
      <c r="M2197">
        <v>1000</v>
      </c>
      <c r="N2197">
        <v>7404</v>
      </c>
      <c r="O2197">
        <v>4</v>
      </c>
      <c r="P2197" t="s">
        <v>44</v>
      </c>
      <c r="Q2197" s="1">
        <v>44202</v>
      </c>
    </row>
    <row r="2198" spans="1:17" x14ac:dyDescent="0.3">
      <c r="A2198" t="s">
        <v>35</v>
      </c>
      <c r="B2198" t="s">
        <v>29</v>
      </c>
      <c r="C2198" t="s">
        <v>23</v>
      </c>
      <c r="D2198" t="s">
        <v>40</v>
      </c>
      <c r="E2198" t="s">
        <v>31</v>
      </c>
      <c r="F2198" s="9">
        <v>0.09</v>
      </c>
      <c r="G2198" s="10">
        <v>18054</v>
      </c>
      <c r="H2198">
        <v>4.79</v>
      </c>
      <c r="I2198" s="5">
        <f>ROUND(Marketing[[#This Row],[Clicks]]*Marketing[[#This Row],[Conversion_Rate]],0)</f>
        <v>14</v>
      </c>
      <c r="J2198" s="12">
        <f>Marketing[[#This Row],[Campaign_Cost]]/Marketing[[#This Row],[Customers]]</f>
        <v>1289.5714285714287</v>
      </c>
      <c r="K2198" t="s">
        <v>38</v>
      </c>
      <c r="L2198" t="s">
        <v>33</v>
      </c>
      <c r="M2198">
        <v>155</v>
      </c>
      <c r="N2198">
        <v>5629</v>
      </c>
      <c r="O2198">
        <v>4</v>
      </c>
      <c r="P2198" t="s">
        <v>27</v>
      </c>
      <c r="Q2198" s="1">
        <v>44203</v>
      </c>
    </row>
    <row r="2199" spans="1:17" x14ac:dyDescent="0.3">
      <c r="A2199" t="s">
        <v>35</v>
      </c>
      <c r="B2199" t="s">
        <v>36</v>
      </c>
      <c r="C2199" t="s">
        <v>30</v>
      </c>
      <c r="D2199" t="s">
        <v>40</v>
      </c>
      <c r="E2199" t="s">
        <v>15</v>
      </c>
      <c r="F2199" s="9">
        <v>0.04</v>
      </c>
      <c r="G2199" s="10">
        <v>5407</v>
      </c>
      <c r="H2199">
        <v>5.48</v>
      </c>
      <c r="I2199" s="5">
        <f>ROUND(Marketing[[#This Row],[Clicks]]*Marketing[[#This Row],[Conversion_Rate]],0)</f>
        <v>10</v>
      </c>
      <c r="J2199" s="12">
        <f>Marketing[[#This Row],[Campaign_Cost]]/Marketing[[#This Row],[Customers]]</f>
        <v>540.70000000000005</v>
      </c>
      <c r="K2199" t="s">
        <v>38</v>
      </c>
      <c r="L2199" t="s">
        <v>33</v>
      </c>
      <c r="M2199">
        <v>258</v>
      </c>
      <c r="N2199">
        <v>8329</v>
      </c>
      <c r="O2199">
        <v>2</v>
      </c>
      <c r="P2199" t="s">
        <v>42</v>
      </c>
      <c r="Q2199" s="1">
        <v>44204</v>
      </c>
    </row>
    <row r="2200" spans="1:17" x14ac:dyDescent="0.3">
      <c r="A2200" t="s">
        <v>28</v>
      </c>
      <c r="B2200" t="s">
        <v>47</v>
      </c>
      <c r="C2200" t="s">
        <v>16</v>
      </c>
      <c r="D2200" t="s">
        <v>24</v>
      </c>
      <c r="E2200" t="s">
        <v>31</v>
      </c>
      <c r="F2200" s="9">
        <v>0.03</v>
      </c>
      <c r="G2200" s="10">
        <v>9977</v>
      </c>
      <c r="H2200">
        <v>7.94</v>
      </c>
      <c r="I2200" s="5">
        <f>ROUND(Marketing[[#This Row],[Clicks]]*Marketing[[#This Row],[Conversion_Rate]],0)</f>
        <v>23</v>
      </c>
      <c r="J2200" s="12">
        <f>Marketing[[#This Row],[Campaign_Cost]]/Marketing[[#This Row],[Customers]]</f>
        <v>433.78260869565219</v>
      </c>
      <c r="K2200" t="s">
        <v>25</v>
      </c>
      <c r="L2200" t="s">
        <v>39</v>
      </c>
      <c r="M2200">
        <v>762</v>
      </c>
      <c r="N2200">
        <v>9525</v>
      </c>
      <c r="O2200">
        <v>7</v>
      </c>
      <c r="P2200" t="s">
        <v>21</v>
      </c>
      <c r="Q2200" s="1">
        <v>44205</v>
      </c>
    </row>
    <row r="2201" spans="1:17" x14ac:dyDescent="0.3">
      <c r="A2201" t="s">
        <v>22</v>
      </c>
      <c r="B2201" t="s">
        <v>36</v>
      </c>
      <c r="C2201" t="s">
        <v>52</v>
      </c>
      <c r="D2201" t="s">
        <v>17</v>
      </c>
      <c r="E2201" t="s">
        <v>15</v>
      </c>
      <c r="F2201" s="9">
        <v>0.06</v>
      </c>
      <c r="G2201" s="10">
        <v>13780</v>
      </c>
      <c r="H2201">
        <v>5.81</v>
      </c>
      <c r="I2201" s="5">
        <f>ROUND(Marketing[[#This Row],[Clicks]]*Marketing[[#This Row],[Conversion_Rate]],0)</f>
        <v>12</v>
      </c>
      <c r="J2201" s="12">
        <f>Marketing[[#This Row],[Campaign_Cost]]/Marketing[[#This Row],[Customers]]</f>
        <v>1148.3333333333333</v>
      </c>
      <c r="K2201" t="s">
        <v>32</v>
      </c>
      <c r="L2201" t="s">
        <v>26</v>
      </c>
      <c r="M2201">
        <v>193</v>
      </c>
      <c r="N2201">
        <v>2695</v>
      </c>
      <c r="O2201">
        <v>9</v>
      </c>
      <c r="P2201" t="s">
        <v>44</v>
      </c>
      <c r="Q2201" s="1">
        <v>44206</v>
      </c>
    </row>
    <row r="2202" spans="1:17" x14ac:dyDescent="0.3">
      <c r="A2202" t="s">
        <v>14</v>
      </c>
      <c r="B2202" t="s">
        <v>29</v>
      </c>
      <c r="C2202" t="s">
        <v>37</v>
      </c>
      <c r="D2202" t="s">
        <v>17</v>
      </c>
      <c r="E2202" t="s">
        <v>15</v>
      </c>
      <c r="F2202" s="9">
        <v>0.13</v>
      </c>
      <c r="G2202" s="10">
        <v>14677</v>
      </c>
      <c r="H2202">
        <v>5.18</v>
      </c>
      <c r="I2202" s="5">
        <f>ROUND(Marketing[[#This Row],[Clicks]]*Marketing[[#This Row],[Conversion_Rate]],0)</f>
        <v>74</v>
      </c>
      <c r="J2202" s="12">
        <f>Marketing[[#This Row],[Campaign_Cost]]/Marketing[[#This Row],[Customers]]</f>
        <v>198.33783783783784</v>
      </c>
      <c r="K2202" t="s">
        <v>38</v>
      </c>
      <c r="L2202" t="s">
        <v>39</v>
      </c>
      <c r="M2202">
        <v>567</v>
      </c>
      <c r="N2202">
        <v>4474</v>
      </c>
      <c r="O2202">
        <v>1</v>
      </c>
      <c r="P2202" t="s">
        <v>27</v>
      </c>
      <c r="Q2202" s="1">
        <v>44207</v>
      </c>
    </row>
    <row r="2203" spans="1:17" x14ac:dyDescent="0.3">
      <c r="A2203" t="s">
        <v>35</v>
      </c>
      <c r="B2203" t="s">
        <v>29</v>
      </c>
      <c r="C2203" t="s">
        <v>16</v>
      </c>
      <c r="D2203" t="s">
        <v>24</v>
      </c>
      <c r="E2203" t="s">
        <v>43</v>
      </c>
      <c r="F2203" s="9">
        <v>0.09</v>
      </c>
      <c r="G2203" s="10">
        <v>6255</v>
      </c>
      <c r="H2203">
        <v>7.58</v>
      </c>
      <c r="I2203" s="5">
        <f>ROUND(Marketing[[#This Row],[Clicks]]*Marketing[[#This Row],[Conversion_Rate]],0)</f>
        <v>65</v>
      </c>
      <c r="J2203" s="12">
        <f>Marketing[[#This Row],[Campaign_Cost]]/Marketing[[#This Row],[Customers]]</f>
        <v>96.230769230769226</v>
      </c>
      <c r="K2203" t="s">
        <v>38</v>
      </c>
      <c r="L2203" t="s">
        <v>26</v>
      </c>
      <c r="M2203">
        <v>724</v>
      </c>
      <c r="N2203">
        <v>4337</v>
      </c>
      <c r="O2203">
        <v>5</v>
      </c>
      <c r="P2203" t="s">
        <v>27</v>
      </c>
      <c r="Q2203" s="1">
        <v>44208</v>
      </c>
    </row>
    <row r="2204" spans="1:17" x14ac:dyDescent="0.3">
      <c r="A2204" t="s">
        <v>49</v>
      </c>
      <c r="B2204" t="s">
        <v>47</v>
      </c>
      <c r="C2204" t="s">
        <v>16</v>
      </c>
      <c r="D2204" t="s">
        <v>17</v>
      </c>
      <c r="E2204" t="s">
        <v>48</v>
      </c>
      <c r="F2204" s="9">
        <v>0.04</v>
      </c>
      <c r="G2204" s="10">
        <v>8133</v>
      </c>
      <c r="H2204">
        <v>3.14</v>
      </c>
      <c r="I2204" s="5">
        <f>ROUND(Marketing[[#This Row],[Clicks]]*Marketing[[#This Row],[Conversion_Rate]],0)</f>
        <v>39</v>
      </c>
      <c r="J2204" s="12">
        <f>Marketing[[#This Row],[Campaign_Cost]]/Marketing[[#This Row],[Customers]]</f>
        <v>208.53846153846155</v>
      </c>
      <c r="K2204" t="s">
        <v>51</v>
      </c>
      <c r="L2204" t="s">
        <v>50</v>
      </c>
      <c r="M2204">
        <v>977</v>
      </c>
      <c r="N2204">
        <v>1895</v>
      </c>
      <c r="O2204">
        <v>1</v>
      </c>
      <c r="P2204" t="s">
        <v>21</v>
      </c>
      <c r="Q2204" s="1">
        <v>44209</v>
      </c>
    </row>
    <row r="2205" spans="1:17" x14ac:dyDescent="0.3">
      <c r="A2205" t="s">
        <v>28</v>
      </c>
      <c r="B2205" t="s">
        <v>45</v>
      </c>
      <c r="C2205" t="s">
        <v>52</v>
      </c>
      <c r="D2205" t="s">
        <v>17</v>
      </c>
      <c r="E2205" t="s">
        <v>43</v>
      </c>
      <c r="F2205" s="9">
        <v>0.04</v>
      </c>
      <c r="G2205" s="10">
        <v>6773</v>
      </c>
      <c r="H2205">
        <v>2.12</v>
      </c>
      <c r="I2205" s="5">
        <f>ROUND(Marketing[[#This Row],[Clicks]]*Marketing[[#This Row],[Conversion_Rate]],0)</f>
        <v>4</v>
      </c>
      <c r="J2205" s="12">
        <f>Marketing[[#This Row],[Campaign_Cost]]/Marketing[[#This Row],[Customers]]</f>
        <v>1693.25</v>
      </c>
      <c r="K2205" t="s">
        <v>51</v>
      </c>
      <c r="L2205" t="s">
        <v>20</v>
      </c>
      <c r="M2205">
        <v>110</v>
      </c>
      <c r="N2205">
        <v>6469</v>
      </c>
      <c r="O2205">
        <v>7</v>
      </c>
      <c r="P2205" t="s">
        <v>44</v>
      </c>
      <c r="Q2205" s="1">
        <v>44210</v>
      </c>
    </row>
    <row r="2206" spans="1:17" x14ac:dyDescent="0.3">
      <c r="A2206" t="s">
        <v>35</v>
      </c>
      <c r="B2206" t="s">
        <v>15</v>
      </c>
      <c r="C2206" t="s">
        <v>52</v>
      </c>
      <c r="D2206" t="s">
        <v>17</v>
      </c>
      <c r="E2206" t="s">
        <v>31</v>
      </c>
      <c r="F2206" s="9">
        <v>0.04</v>
      </c>
      <c r="G2206" s="10">
        <v>7122</v>
      </c>
      <c r="H2206">
        <v>2.02</v>
      </c>
      <c r="I2206" s="5">
        <f>ROUND(Marketing[[#This Row],[Clicks]]*Marketing[[#This Row],[Conversion_Rate]],0)</f>
        <v>31</v>
      </c>
      <c r="J2206" s="12">
        <f>Marketing[[#This Row],[Campaign_Cost]]/Marketing[[#This Row],[Customers]]</f>
        <v>229.74193548387098</v>
      </c>
      <c r="K2206" t="s">
        <v>38</v>
      </c>
      <c r="L2206" t="s">
        <v>50</v>
      </c>
      <c r="M2206">
        <v>772</v>
      </c>
      <c r="N2206">
        <v>5967</v>
      </c>
      <c r="O2206">
        <v>6</v>
      </c>
      <c r="P2206" t="s">
        <v>42</v>
      </c>
      <c r="Q2206" s="1">
        <v>44211</v>
      </c>
    </row>
    <row r="2207" spans="1:17" x14ac:dyDescent="0.3">
      <c r="A2207" t="s">
        <v>14</v>
      </c>
      <c r="B2207" t="s">
        <v>15</v>
      </c>
      <c r="C2207" t="s">
        <v>23</v>
      </c>
      <c r="D2207" t="s">
        <v>46</v>
      </c>
      <c r="E2207" t="s">
        <v>15</v>
      </c>
      <c r="F2207" s="9">
        <v>7.0000000000000007E-2</v>
      </c>
      <c r="G2207" s="10">
        <v>19598</v>
      </c>
      <c r="H2207">
        <v>6.84</v>
      </c>
      <c r="I2207" s="5">
        <f>ROUND(Marketing[[#This Row],[Clicks]]*Marketing[[#This Row],[Conversion_Rate]],0)</f>
        <v>17</v>
      </c>
      <c r="J2207" s="12">
        <f>Marketing[[#This Row],[Campaign_Cost]]/Marketing[[#This Row],[Customers]]</f>
        <v>1152.8235294117646</v>
      </c>
      <c r="K2207" t="s">
        <v>25</v>
      </c>
      <c r="L2207" t="s">
        <v>39</v>
      </c>
      <c r="M2207">
        <v>246</v>
      </c>
      <c r="N2207">
        <v>5758</v>
      </c>
      <c r="O2207">
        <v>2</v>
      </c>
      <c r="P2207" t="s">
        <v>27</v>
      </c>
      <c r="Q2207" s="1">
        <v>44212</v>
      </c>
    </row>
    <row r="2208" spans="1:17" x14ac:dyDescent="0.3">
      <c r="A2208" t="s">
        <v>35</v>
      </c>
      <c r="B2208" t="s">
        <v>47</v>
      </c>
      <c r="C2208" t="s">
        <v>52</v>
      </c>
      <c r="D2208" t="s">
        <v>46</v>
      </c>
      <c r="E2208" t="s">
        <v>43</v>
      </c>
      <c r="F2208" s="9">
        <v>0.11</v>
      </c>
      <c r="G2208" s="10">
        <v>15798</v>
      </c>
      <c r="H2208">
        <v>4.75</v>
      </c>
      <c r="I2208" s="5">
        <f>ROUND(Marketing[[#This Row],[Clicks]]*Marketing[[#This Row],[Conversion_Rate]],0)</f>
        <v>68</v>
      </c>
      <c r="J2208" s="12">
        <f>Marketing[[#This Row],[Campaign_Cost]]/Marketing[[#This Row],[Customers]]</f>
        <v>232.3235294117647</v>
      </c>
      <c r="K2208" t="s">
        <v>32</v>
      </c>
      <c r="L2208" t="s">
        <v>20</v>
      </c>
      <c r="M2208">
        <v>616</v>
      </c>
      <c r="N2208">
        <v>7598</v>
      </c>
      <c r="O2208">
        <v>5</v>
      </c>
      <c r="P2208" t="s">
        <v>34</v>
      </c>
      <c r="Q2208" s="1">
        <v>44213</v>
      </c>
    </row>
    <row r="2209" spans="1:17" x14ac:dyDescent="0.3">
      <c r="A2209" t="s">
        <v>22</v>
      </c>
      <c r="B2209" t="s">
        <v>29</v>
      </c>
      <c r="C2209" t="s">
        <v>30</v>
      </c>
      <c r="D2209" t="s">
        <v>46</v>
      </c>
      <c r="E2209" t="s">
        <v>43</v>
      </c>
      <c r="F2209" s="9">
        <v>0.02</v>
      </c>
      <c r="G2209" s="10">
        <v>13170</v>
      </c>
      <c r="H2209">
        <v>3.01</v>
      </c>
      <c r="I2209" s="5">
        <f>ROUND(Marketing[[#This Row],[Clicks]]*Marketing[[#This Row],[Conversion_Rate]],0)</f>
        <v>6</v>
      </c>
      <c r="J2209" s="12">
        <f>Marketing[[#This Row],[Campaign_Cost]]/Marketing[[#This Row],[Customers]]</f>
        <v>2195</v>
      </c>
      <c r="K2209" t="s">
        <v>32</v>
      </c>
      <c r="L2209" t="s">
        <v>39</v>
      </c>
      <c r="M2209">
        <v>308</v>
      </c>
      <c r="N2209">
        <v>7725</v>
      </c>
      <c r="O2209">
        <v>2</v>
      </c>
      <c r="P2209" t="s">
        <v>44</v>
      </c>
      <c r="Q2209" s="1">
        <v>44214</v>
      </c>
    </row>
    <row r="2210" spans="1:17" x14ac:dyDescent="0.3">
      <c r="A2210" t="s">
        <v>14</v>
      </c>
      <c r="B2210" t="s">
        <v>47</v>
      </c>
      <c r="C2210" t="s">
        <v>52</v>
      </c>
      <c r="D2210" t="s">
        <v>17</v>
      </c>
      <c r="E2210" t="s">
        <v>15</v>
      </c>
      <c r="F2210" s="9">
        <v>0.1</v>
      </c>
      <c r="G2210" s="10">
        <v>6867</v>
      </c>
      <c r="H2210">
        <v>5.24</v>
      </c>
      <c r="I2210" s="5">
        <f>ROUND(Marketing[[#This Row],[Clicks]]*Marketing[[#This Row],[Conversion_Rate]],0)</f>
        <v>46</v>
      </c>
      <c r="J2210" s="12">
        <f>Marketing[[#This Row],[Campaign_Cost]]/Marketing[[#This Row],[Customers]]</f>
        <v>149.28260869565219</v>
      </c>
      <c r="K2210" t="s">
        <v>25</v>
      </c>
      <c r="L2210" t="s">
        <v>20</v>
      </c>
      <c r="M2210">
        <v>462</v>
      </c>
      <c r="N2210">
        <v>9594</v>
      </c>
      <c r="O2210">
        <v>7</v>
      </c>
      <c r="P2210" t="s">
        <v>44</v>
      </c>
      <c r="Q2210" s="1">
        <v>44215</v>
      </c>
    </row>
    <row r="2211" spans="1:17" x14ac:dyDescent="0.3">
      <c r="A2211" t="s">
        <v>22</v>
      </c>
      <c r="B2211" t="s">
        <v>15</v>
      </c>
      <c r="C2211" t="s">
        <v>16</v>
      </c>
      <c r="D2211" t="s">
        <v>46</v>
      </c>
      <c r="E2211" t="s">
        <v>15</v>
      </c>
      <c r="F2211" s="9">
        <v>0.09</v>
      </c>
      <c r="G2211" s="10">
        <v>14247</v>
      </c>
      <c r="H2211">
        <v>3.9</v>
      </c>
      <c r="I2211" s="5">
        <f>ROUND(Marketing[[#This Row],[Clicks]]*Marketing[[#This Row],[Conversion_Rate]],0)</f>
        <v>71</v>
      </c>
      <c r="J2211" s="12">
        <f>Marketing[[#This Row],[Campaign_Cost]]/Marketing[[#This Row],[Customers]]</f>
        <v>200.66197183098592</v>
      </c>
      <c r="K2211" t="s">
        <v>25</v>
      </c>
      <c r="L2211" t="s">
        <v>26</v>
      </c>
      <c r="M2211">
        <v>786</v>
      </c>
      <c r="N2211">
        <v>4885</v>
      </c>
      <c r="O2211">
        <v>10</v>
      </c>
      <c r="P2211" t="s">
        <v>34</v>
      </c>
      <c r="Q2211" s="1">
        <v>44216</v>
      </c>
    </row>
    <row r="2212" spans="1:17" x14ac:dyDescent="0.3">
      <c r="A2212" t="s">
        <v>35</v>
      </c>
      <c r="B2212" t="s">
        <v>47</v>
      </c>
      <c r="C2212" t="s">
        <v>30</v>
      </c>
      <c r="D2212" t="s">
        <v>40</v>
      </c>
      <c r="E2212" t="s">
        <v>41</v>
      </c>
      <c r="F2212" s="9">
        <v>7.0000000000000007E-2</v>
      </c>
      <c r="G2212" s="10">
        <v>19143</v>
      </c>
      <c r="H2212">
        <v>6.18</v>
      </c>
      <c r="I2212" s="5">
        <f>ROUND(Marketing[[#This Row],[Clicks]]*Marketing[[#This Row],[Conversion_Rate]],0)</f>
        <v>9</v>
      </c>
      <c r="J2212" s="12">
        <f>Marketing[[#This Row],[Campaign_Cost]]/Marketing[[#This Row],[Customers]]</f>
        <v>2127</v>
      </c>
      <c r="K2212" t="s">
        <v>51</v>
      </c>
      <c r="L2212" t="s">
        <v>50</v>
      </c>
      <c r="M2212">
        <v>133</v>
      </c>
      <c r="N2212">
        <v>6695</v>
      </c>
      <c r="O2212">
        <v>5</v>
      </c>
      <c r="P2212" t="s">
        <v>27</v>
      </c>
      <c r="Q2212" s="1">
        <v>44217</v>
      </c>
    </row>
    <row r="2213" spans="1:17" x14ac:dyDescent="0.3">
      <c r="A2213" t="s">
        <v>49</v>
      </c>
      <c r="B2213" t="s">
        <v>36</v>
      </c>
      <c r="C2213" t="s">
        <v>37</v>
      </c>
      <c r="D2213" t="s">
        <v>17</v>
      </c>
      <c r="E2213" t="s">
        <v>31</v>
      </c>
      <c r="F2213" s="9">
        <v>0.15</v>
      </c>
      <c r="G2213" s="10">
        <v>11999</v>
      </c>
      <c r="H2213">
        <v>6.14</v>
      </c>
      <c r="I2213" s="5">
        <f>ROUND(Marketing[[#This Row],[Clicks]]*Marketing[[#This Row],[Conversion_Rate]],0)</f>
        <v>121</v>
      </c>
      <c r="J2213" s="12">
        <f>Marketing[[#This Row],[Campaign_Cost]]/Marketing[[#This Row],[Customers]]</f>
        <v>99.165289256198349</v>
      </c>
      <c r="K2213" t="s">
        <v>38</v>
      </c>
      <c r="L2213" t="s">
        <v>20</v>
      </c>
      <c r="M2213">
        <v>808</v>
      </c>
      <c r="N2213">
        <v>4611</v>
      </c>
      <c r="O2213">
        <v>4</v>
      </c>
      <c r="P2213" t="s">
        <v>44</v>
      </c>
      <c r="Q2213" s="1">
        <v>44218</v>
      </c>
    </row>
    <row r="2214" spans="1:17" x14ac:dyDescent="0.3">
      <c r="A2214" t="s">
        <v>28</v>
      </c>
      <c r="B2214" t="s">
        <v>15</v>
      </c>
      <c r="C2214" t="s">
        <v>37</v>
      </c>
      <c r="D2214" t="s">
        <v>46</v>
      </c>
      <c r="E2214" t="s">
        <v>31</v>
      </c>
      <c r="F2214" s="9">
        <v>7.0000000000000007E-2</v>
      </c>
      <c r="G2214" s="10">
        <v>6781</v>
      </c>
      <c r="H2214">
        <v>3.27</v>
      </c>
      <c r="I2214" s="5">
        <f>ROUND(Marketing[[#This Row],[Clicks]]*Marketing[[#This Row],[Conversion_Rate]],0)</f>
        <v>21</v>
      </c>
      <c r="J2214" s="12">
        <f>Marketing[[#This Row],[Campaign_Cost]]/Marketing[[#This Row],[Customers]]</f>
        <v>322.90476190476193</v>
      </c>
      <c r="K2214" t="s">
        <v>51</v>
      </c>
      <c r="L2214" t="s">
        <v>39</v>
      </c>
      <c r="M2214">
        <v>293</v>
      </c>
      <c r="N2214">
        <v>5727</v>
      </c>
      <c r="O2214">
        <v>6</v>
      </c>
      <c r="P2214" t="s">
        <v>34</v>
      </c>
      <c r="Q2214" s="1">
        <v>44219</v>
      </c>
    </row>
    <row r="2215" spans="1:17" x14ac:dyDescent="0.3">
      <c r="A2215" t="s">
        <v>28</v>
      </c>
      <c r="B2215" t="s">
        <v>47</v>
      </c>
      <c r="C2215" t="s">
        <v>52</v>
      </c>
      <c r="D2215" t="s">
        <v>24</v>
      </c>
      <c r="E2215" t="s">
        <v>43</v>
      </c>
      <c r="F2215" s="9">
        <v>7.0000000000000007E-2</v>
      </c>
      <c r="G2215" s="10">
        <v>10403</v>
      </c>
      <c r="H2215">
        <v>6.16</v>
      </c>
      <c r="I2215" s="5">
        <f>ROUND(Marketing[[#This Row],[Clicks]]*Marketing[[#This Row],[Conversion_Rate]],0)</f>
        <v>26</v>
      </c>
      <c r="J2215" s="12">
        <f>Marketing[[#This Row],[Campaign_Cost]]/Marketing[[#This Row],[Customers]]</f>
        <v>400.11538461538464</v>
      </c>
      <c r="K2215" t="s">
        <v>32</v>
      </c>
      <c r="L2215" t="s">
        <v>20</v>
      </c>
      <c r="M2215">
        <v>371</v>
      </c>
      <c r="N2215">
        <v>4879</v>
      </c>
      <c r="O2215">
        <v>7</v>
      </c>
      <c r="P2215" t="s">
        <v>27</v>
      </c>
      <c r="Q2215" s="1">
        <v>44220</v>
      </c>
    </row>
    <row r="2216" spans="1:17" x14ac:dyDescent="0.3">
      <c r="A2216" t="s">
        <v>28</v>
      </c>
      <c r="B2216" t="s">
        <v>29</v>
      </c>
      <c r="C2216" t="s">
        <v>16</v>
      </c>
      <c r="D2216" t="s">
        <v>24</v>
      </c>
      <c r="E2216" t="s">
        <v>31</v>
      </c>
      <c r="F2216" s="9">
        <v>7.0000000000000007E-2</v>
      </c>
      <c r="G2216" s="10">
        <v>14506</v>
      </c>
      <c r="H2216">
        <v>6.37</v>
      </c>
      <c r="I2216" s="5">
        <f>ROUND(Marketing[[#This Row],[Clicks]]*Marketing[[#This Row],[Conversion_Rate]],0)</f>
        <v>54</v>
      </c>
      <c r="J2216" s="12">
        <f>Marketing[[#This Row],[Campaign_Cost]]/Marketing[[#This Row],[Customers]]</f>
        <v>268.62962962962962</v>
      </c>
      <c r="K2216" t="s">
        <v>19</v>
      </c>
      <c r="L2216" t="s">
        <v>39</v>
      </c>
      <c r="M2216">
        <v>774</v>
      </c>
      <c r="N2216">
        <v>7736</v>
      </c>
      <c r="O2216">
        <v>3</v>
      </c>
      <c r="P2216" t="s">
        <v>21</v>
      </c>
      <c r="Q2216" s="1">
        <v>44221</v>
      </c>
    </row>
    <row r="2217" spans="1:17" x14ac:dyDescent="0.3">
      <c r="A2217" t="s">
        <v>22</v>
      </c>
      <c r="B2217" t="s">
        <v>45</v>
      </c>
      <c r="C2217" t="s">
        <v>16</v>
      </c>
      <c r="D2217" t="s">
        <v>40</v>
      </c>
      <c r="E2217" t="s">
        <v>15</v>
      </c>
      <c r="F2217" s="9">
        <v>0.01</v>
      </c>
      <c r="G2217" s="10">
        <v>14071</v>
      </c>
      <c r="H2217">
        <v>6.97</v>
      </c>
      <c r="I2217" s="5">
        <f>ROUND(Marketing[[#This Row],[Clicks]]*Marketing[[#This Row],[Conversion_Rate]],0)</f>
        <v>8</v>
      </c>
      <c r="J2217" s="12">
        <f>Marketing[[#This Row],[Campaign_Cost]]/Marketing[[#This Row],[Customers]]</f>
        <v>1758.875</v>
      </c>
      <c r="K2217" t="s">
        <v>19</v>
      </c>
      <c r="L2217" t="s">
        <v>50</v>
      </c>
      <c r="M2217">
        <v>750</v>
      </c>
      <c r="N2217">
        <v>1612</v>
      </c>
      <c r="O2217">
        <v>1</v>
      </c>
      <c r="P2217" t="s">
        <v>27</v>
      </c>
      <c r="Q2217" s="1">
        <v>44222</v>
      </c>
    </row>
    <row r="2218" spans="1:17" x14ac:dyDescent="0.3">
      <c r="A2218" t="s">
        <v>14</v>
      </c>
      <c r="B2218" t="s">
        <v>15</v>
      </c>
      <c r="C2218" t="s">
        <v>16</v>
      </c>
      <c r="D2218" t="s">
        <v>24</v>
      </c>
      <c r="E2218" t="s">
        <v>31</v>
      </c>
      <c r="F2218" s="9">
        <v>0.02</v>
      </c>
      <c r="G2218" s="10">
        <v>19016</v>
      </c>
      <c r="H2218">
        <v>5.37</v>
      </c>
      <c r="I2218" s="5">
        <f>ROUND(Marketing[[#This Row],[Clicks]]*Marketing[[#This Row],[Conversion_Rate]],0)</f>
        <v>14</v>
      </c>
      <c r="J2218" s="12">
        <f>Marketing[[#This Row],[Campaign_Cost]]/Marketing[[#This Row],[Customers]]</f>
        <v>1358.2857142857142</v>
      </c>
      <c r="K2218" t="s">
        <v>25</v>
      </c>
      <c r="L2218" t="s">
        <v>39</v>
      </c>
      <c r="M2218">
        <v>688</v>
      </c>
      <c r="N2218">
        <v>2476</v>
      </c>
      <c r="O2218">
        <v>8</v>
      </c>
      <c r="P2218" t="s">
        <v>34</v>
      </c>
      <c r="Q2218" s="1">
        <v>44223</v>
      </c>
    </row>
    <row r="2219" spans="1:17" x14ac:dyDescent="0.3">
      <c r="A2219" t="s">
        <v>22</v>
      </c>
      <c r="B2219" t="s">
        <v>36</v>
      </c>
      <c r="C2219" t="s">
        <v>23</v>
      </c>
      <c r="D2219" t="s">
        <v>24</v>
      </c>
      <c r="E2219" t="s">
        <v>31</v>
      </c>
      <c r="F2219" s="9">
        <v>0.13</v>
      </c>
      <c r="G2219" s="10">
        <v>19690</v>
      </c>
      <c r="H2219">
        <v>3.36</v>
      </c>
      <c r="I2219" s="5">
        <f>ROUND(Marketing[[#This Row],[Clicks]]*Marketing[[#This Row],[Conversion_Rate]],0)</f>
        <v>93</v>
      </c>
      <c r="J2219" s="12">
        <f>Marketing[[#This Row],[Campaign_Cost]]/Marketing[[#This Row],[Customers]]</f>
        <v>211.72043010752688</v>
      </c>
      <c r="K2219" t="s">
        <v>38</v>
      </c>
      <c r="L2219" t="s">
        <v>26</v>
      </c>
      <c r="M2219">
        <v>715</v>
      </c>
      <c r="N2219">
        <v>1219</v>
      </c>
      <c r="O2219">
        <v>4</v>
      </c>
      <c r="P2219" t="s">
        <v>27</v>
      </c>
      <c r="Q2219" s="1">
        <v>44224</v>
      </c>
    </row>
    <row r="2220" spans="1:17" x14ac:dyDescent="0.3">
      <c r="A2220" t="s">
        <v>22</v>
      </c>
      <c r="B2220" t="s">
        <v>29</v>
      </c>
      <c r="C2220" t="s">
        <v>52</v>
      </c>
      <c r="D2220" t="s">
        <v>40</v>
      </c>
      <c r="E2220" t="s">
        <v>43</v>
      </c>
      <c r="F2220" s="9">
        <v>0.08</v>
      </c>
      <c r="G2220" s="10">
        <v>10402</v>
      </c>
      <c r="H2220">
        <v>2.54</v>
      </c>
      <c r="I2220" s="5">
        <f>ROUND(Marketing[[#This Row],[Clicks]]*Marketing[[#This Row],[Conversion_Rate]],0)</f>
        <v>40</v>
      </c>
      <c r="J2220" s="12">
        <f>Marketing[[#This Row],[Campaign_Cost]]/Marketing[[#This Row],[Customers]]</f>
        <v>260.05</v>
      </c>
      <c r="K2220" t="s">
        <v>51</v>
      </c>
      <c r="L2220" t="s">
        <v>50</v>
      </c>
      <c r="M2220">
        <v>502</v>
      </c>
      <c r="N2220">
        <v>8711</v>
      </c>
      <c r="O2220">
        <v>9</v>
      </c>
      <c r="P2220" t="s">
        <v>44</v>
      </c>
      <c r="Q2220" s="1">
        <v>44225</v>
      </c>
    </row>
    <row r="2221" spans="1:17" x14ac:dyDescent="0.3">
      <c r="A2221" t="s">
        <v>35</v>
      </c>
      <c r="B2221" t="s">
        <v>47</v>
      </c>
      <c r="C2221" t="s">
        <v>16</v>
      </c>
      <c r="D2221" t="s">
        <v>40</v>
      </c>
      <c r="E2221" t="s">
        <v>31</v>
      </c>
      <c r="F2221" s="9">
        <v>0.04</v>
      </c>
      <c r="G2221" s="10">
        <v>15063</v>
      </c>
      <c r="H2221">
        <v>6.02</v>
      </c>
      <c r="I2221" s="5">
        <f>ROUND(Marketing[[#This Row],[Clicks]]*Marketing[[#This Row],[Conversion_Rate]],0)</f>
        <v>7</v>
      </c>
      <c r="J2221" s="12">
        <f>Marketing[[#This Row],[Campaign_Cost]]/Marketing[[#This Row],[Customers]]</f>
        <v>2151.8571428571427</v>
      </c>
      <c r="K2221" t="s">
        <v>51</v>
      </c>
      <c r="L2221" t="s">
        <v>26</v>
      </c>
      <c r="M2221">
        <v>167</v>
      </c>
      <c r="N2221">
        <v>3492</v>
      </c>
      <c r="O2221">
        <v>10</v>
      </c>
      <c r="P2221" t="s">
        <v>34</v>
      </c>
      <c r="Q2221" s="1">
        <v>44226</v>
      </c>
    </row>
    <row r="2222" spans="1:17" x14ac:dyDescent="0.3">
      <c r="A2222" t="s">
        <v>14</v>
      </c>
      <c r="B2222" t="s">
        <v>29</v>
      </c>
      <c r="C2222" t="s">
        <v>23</v>
      </c>
      <c r="D2222" t="s">
        <v>24</v>
      </c>
      <c r="E2222" t="s">
        <v>48</v>
      </c>
      <c r="F2222" s="9">
        <v>0.09</v>
      </c>
      <c r="G2222" s="10">
        <v>5726</v>
      </c>
      <c r="H2222">
        <v>6.61</v>
      </c>
      <c r="I2222" s="5">
        <f>ROUND(Marketing[[#This Row],[Clicks]]*Marketing[[#This Row],[Conversion_Rate]],0)</f>
        <v>89</v>
      </c>
      <c r="J2222" s="12">
        <f>Marketing[[#This Row],[Campaign_Cost]]/Marketing[[#This Row],[Customers]]</f>
        <v>64.337078651685388</v>
      </c>
      <c r="K2222" t="s">
        <v>19</v>
      </c>
      <c r="L2222" t="s">
        <v>20</v>
      </c>
      <c r="M2222">
        <v>994</v>
      </c>
      <c r="N2222">
        <v>9968</v>
      </c>
      <c r="O2222">
        <v>7</v>
      </c>
      <c r="P2222" t="s">
        <v>42</v>
      </c>
      <c r="Q2222" s="1">
        <v>44227</v>
      </c>
    </row>
    <row r="2223" spans="1:17" x14ac:dyDescent="0.3">
      <c r="A2223" t="s">
        <v>35</v>
      </c>
      <c r="B2223" t="s">
        <v>47</v>
      </c>
      <c r="C2223" t="s">
        <v>52</v>
      </c>
      <c r="D2223" t="s">
        <v>17</v>
      </c>
      <c r="E2223" t="s">
        <v>31</v>
      </c>
      <c r="F2223" s="9">
        <v>0.01</v>
      </c>
      <c r="G2223" s="10">
        <v>17171</v>
      </c>
      <c r="H2223">
        <v>4.66</v>
      </c>
      <c r="I2223" s="5">
        <f>ROUND(Marketing[[#This Row],[Clicks]]*Marketing[[#This Row],[Conversion_Rate]],0)</f>
        <v>5</v>
      </c>
      <c r="J2223" s="12">
        <f>Marketing[[#This Row],[Campaign_Cost]]/Marketing[[#This Row],[Customers]]</f>
        <v>3434.2</v>
      </c>
      <c r="K2223" t="s">
        <v>25</v>
      </c>
      <c r="L2223" t="s">
        <v>39</v>
      </c>
      <c r="M2223">
        <v>528</v>
      </c>
      <c r="N2223">
        <v>9873</v>
      </c>
      <c r="O2223">
        <v>3</v>
      </c>
      <c r="P2223" t="s">
        <v>21</v>
      </c>
      <c r="Q2223" s="1">
        <v>44228</v>
      </c>
    </row>
    <row r="2224" spans="1:17" x14ac:dyDescent="0.3">
      <c r="A2224" t="s">
        <v>22</v>
      </c>
      <c r="B2224" t="s">
        <v>47</v>
      </c>
      <c r="C2224" t="s">
        <v>30</v>
      </c>
      <c r="D2224" t="s">
        <v>46</v>
      </c>
      <c r="E2224" t="s">
        <v>43</v>
      </c>
      <c r="F2224" s="9">
        <v>0.05</v>
      </c>
      <c r="G2224" s="10">
        <v>16567</v>
      </c>
      <c r="H2224">
        <v>4.66</v>
      </c>
      <c r="I2224" s="5">
        <f>ROUND(Marketing[[#This Row],[Clicks]]*Marketing[[#This Row],[Conversion_Rate]],0)</f>
        <v>11</v>
      </c>
      <c r="J2224" s="12">
        <f>Marketing[[#This Row],[Campaign_Cost]]/Marketing[[#This Row],[Customers]]</f>
        <v>1506.090909090909</v>
      </c>
      <c r="K2224" t="s">
        <v>25</v>
      </c>
      <c r="L2224" t="s">
        <v>20</v>
      </c>
      <c r="M2224">
        <v>224</v>
      </c>
      <c r="N2224">
        <v>9023</v>
      </c>
      <c r="O2224">
        <v>1</v>
      </c>
      <c r="P2224" t="s">
        <v>34</v>
      </c>
      <c r="Q2224" s="1">
        <v>44229</v>
      </c>
    </row>
    <row r="2225" spans="1:17" x14ac:dyDescent="0.3">
      <c r="A2225" t="s">
        <v>22</v>
      </c>
      <c r="B2225" t="s">
        <v>47</v>
      </c>
      <c r="C2225" t="s">
        <v>37</v>
      </c>
      <c r="D2225" t="s">
        <v>17</v>
      </c>
      <c r="E2225" t="s">
        <v>43</v>
      </c>
      <c r="F2225" s="9">
        <v>0.02</v>
      </c>
      <c r="G2225" s="10">
        <v>10262</v>
      </c>
      <c r="H2225">
        <v>5.03</v>
      </c>
      <c r="I2225" s="5">
        <f>ROUND(Marketing[[#This Row],[Clicks]]*Marketing[[#This Row],[Conversion_Rate]],0)</f>
        <v>5</v>
      </c>
      <c r="J2225" s="12">
        <f>Marketing[[#This Row],[Campaign_Cost]]/Marketing[[#This Row],[Customers]]</f>
        <v>2052.4</v>
      </c>
      <c r="K2225" t="s">
        <v>19</v>
      </c>
      <c r="L2225" t="s">
        <v>20</v>
      </c>
      <c r="M2225">
        <v>259</v>
      </c>
      <c r="N2225">
        <v>4082</v>
      </c>
      <c r="O2225">
        <v>4</v>
      </c>
      <c r="P2225" t="s">
        <v>21</v>
      </c>
      <c r="Q2225" s="1">
        <v>44230</v>
      </c>
    </row>
    <row r="2226" spans="1:17" x14ac:dyDescent="0.3">
      <c r="A2226" t="s">
        <v>35</v>
      </c>
      <c r="B2226" t="s">
        <v>36</v>
      </c>
      <c r="C2226" t="s">
        <v>52</v>
      </c>
      <c r="D2226" t="s">
        <v>17</v>
      </c>
      <c r="E2226" t="s">
        <v>41</v>
      </c>
      <c r="F2226" s="9">
        <v>0.05</v>
      </c>
      <c r="G2226" s="10">
        <v>15986</v>
      </c>
      <c r="H2226">
        <v>2.5299999999999998</v>
      </c>
      <c r="I2226" s="5">
        <f>ROUND(Marketing[[#This Row],[Clicks]]*Marketing[[#This Row],[Conversion_Rate]],0)</f>
        <v>27</v>
      </c>
      <c r="J2226" s="12">
        <f>Marketing[[#This Row],[Campaign_Cost]]/Marketing[[#This Row],[Customers]]</f>
        <v>592.07407407407402</v>
      </c>
      <c r="K2226" t="s">
        <v>38</v>
      </c>
      <c r="L2226" t="s">
        <v>20</v>
      </c>
      <c r="M2226">
        <v>530</v>
      </c>
      <c r="N2226">
        <v>8170</v>
      </c>
      <c r="O2226">
        <v>10</v>
      </c>
      <c r="P2226" t="s">
        <v>44</v>
      </c>
      <c r="Q2226" s="1">
        <v>44231</v>
      </c>
    </row>
    <row r="2227" spans="1:17" x14ac:dyDescent="0.3">
      <c r="A2227" t="s">
        <v>35</v>
      </c>
      <c r="B2227" t="s">
        <v>47</v>
      </c>
      <c r="C2227" t="s">
        <v>37</v>
      </c>
      <c r="D2227" t="s">
        <v>24</v>
      </c>
      <c r="E2227" t="s">
        <v>41</v>
      </c>
      <c r="F2227" s="9">
        <v>0.11</v>
      </c>
      <c r="G2227" s="10">
        <v>15183</v>
      </c>
      <c r="H2227">
        <v>4.8899999999999997</v>
      </c>
      <c r="I2227" s="5">
        <f>ROUND(Marketing[[#This Row],[Clicks]]*Marketing[[#This Row],[Conversion_Rate]],0)</f>
        <v>101</v>
      </c>
      <c r="J2227" s="12">
        <f>Marketing[[#This Row],[Campaign_Cost]]/Marketing[[#This Row],[Customers]]</f>
        <v>150.32673267326732</v>
      </c>
      <c r="K2227" t="s">
        <v>25</v>
      </c>
      <c r="L2227" t="s">
        <v>39</v>
      </c>
      <c r="M2227">
        <v>920</v>
      </c>
      <c r="N2227">
        <v>4823</v>
      </c>
      <c r="O2227">
        <v>9</v>
      </c>
      <c r="P2227" t="s">
        <v>44</v>
      </c>
      <c r="Q2227" s="1">
        <v>44232</v>
      </c>
    </row>
    <row r="2228" spans="1:17" x14ac:dyDescent="0.3">
      <c r="A2228" t="s">
        <v>49</v>
      </c>
      <c r="B2228" t="s">
        <v>47</v>
      </c>
      <c r="C2228" t="s">
        <v>16</v>
      </c>
      <c r="D2228" t="s">
        <v>40</v>
      </c>
      <c r="E2228" t="s">
        <v>18</v>
      </c>
      <c r="F2228" s="9">
        <v>0.1</v>
      </c>
      <c r="G2228" s="10">
        <v>9376</v>
      </c>
      <c r="H2228">
        <v>3.91</v>
      </c>
      <c r="I2228" s="5">
        <f>ROUND(Marketing[[#This Row],[Clicks]]*Marketing[[#This Row],[Conversion_Rate]],0)</f>
        <v>85</v>
      </c>
      <c r="J2228" s="12">
        <f>Marketing[[#This Row],[Campaign_Cost]]/Marketing[[#This Row],[Customers]]</f>
        <v>110.30588235294118</v>
      </c>
      <c r="K2228" t="s">
        <v>38</v>
      </c>
      <c r="L2228" t="s">
        <v>26</v>
      </c>
      <c r="M2228">
        <v>847</v>
      </c>
      <c r="N2228">
        <v>9081</v>
      </c>
      <c r="O2228">
        <v>6</v>
      </c>
      <c r="P2228" t="s">
        <v>42</v>
      </c>
      <c r="Q2228" s="1">
        <v>44233</v>
      </c>
    </row>
    <row r="2229" spans="1:17" x14ac:dyDescent="0.3">
      <c r="A2229" t="s">
        <v>22</v>
      </c>
      <c r="B2229" t="s">
        <v>29</v>
      </c>
      <c r="C2229" t="s">
        <v>23</v>
      </c>
      <c r="D2229" t="s">
        <v>17</v>
      </c>
      <c r="E2229" t="s">
        <v>41</v>
      </c>
      <c r="F2229" s="9">
        <v>0.03</v>
      </c>
      <c r="G2229" s="10">
        <v>18232</v>
      </c>
      <c r="H2229">
        <v>6.5</v>
      </c>
      <c r="I2229" s="5">
        <f>ROUND(Marketing[[#This Row],[Clicks]]*Marketing[[#This Row],[Conversion_Rate]],0)</f>
        <v>11</v>
      </c>
      <c r="J2229" s="12">
        <f>Marketing[[#This Row],[Campaign_Cost]]/Marketing[[#This Row],[Customers]]</f>
        <v>1657.4545454545455</v>
      </c>
      <c r="K2229" t="s">
        <v>19</v>
      </c>
      <c r="L2229" t="s">
        <v>33</v>
      </c>
      <c r="M2229">
        <v>373</v>
      </c>
      <c r="N2229">
        <v>8439</v>
      </c>
      <c r="O2229">
        <v>10</v>
      </c>
      <c r="P2229" t="s">
        <v>27</v>
      </c>
      <c r="Q2229" s="1">
        <v>44234</v>
      </c>
    </row>
    <row r="2230" spans="1:17" x14ac:dyDescent="0.3">
      <c r="A2230" t="s">
        <v>14</v>
      </c>
      <c r="B2230" t="s">
        <v>47</v>
      </c>
      <c r="C2230" t="s">
        <v>23</v>
      </c>
      <c r="D2230" t="s">
        <v>17</v>
      </c>
      <c r="E2230" t="s">
        <v>41</v>
      </c>
      <c r="F2230" s="9">
        <v>0.11</v>
      </c>
      <c r="G2230" s="10">
        <v>18456</v>
      </c>
      <c r="H2230">
        <v>6.62</v>
      </c>
      <c r="I2230" s="5">
        <f>ROUND(Marketing[[#This Row],[Clicks]]*Marketing[[#This Row],[Conversion_Rate]],0)</f>
        <v>34</v>
      </c>
      <c r="J2230" s="12">
        <f>Marketing[[#This Row],[Campaign_Cost]]/Marketing[[#This Row],[Customers]]</f>
        <v>542.82352941176475</v>
      </c>
      <c r="K2230" t="s">
        <v>25</v>
      </c>
      <c r="L2230" t="s">
        <v>33</v>
      </c>
      <c r="M2230">
        <v>311</v>
      </c>
      <c r="N2230">
        <v>4844</v>
      </c>
      <c r="O2230">
        <v>10</v>
      </c>
      <c r="P2230" t="s">
        <v>27</v>
      </c>
      <c r="Q2230" s="1">
        <v>44235</v>
      </c>
    </row>
    <row r="2231" spans="1:17" x14ac:dyDescent="0.3">
      <c r="A2231" t="s">
        <v>14</v>
      </c>
      <c r="B2231" t="s">
        <v>15</v>
      </c>
      <c r="C2231" t="s">
        <v>52</v>
      </c>
      <c r="D2231" t="s">
        <v>17</v>
      </c>
      <c r="E2231" t="s">
        <v>31</v>
      </c>
      <c r="F2231" s="9">
        <v>0.04</v>
      </c>
      <c r="G2231" s="10">
        <v>9698</v>
      </c>
      <c r="H2231">
        <v>5.71</v>
      </c>
      <c r="I2231" s="5">
        <f>ROUND(Marketing[[#This Row],[Clicks]]*Marketing[[#This Row],[Conversion_Rate]],0)</f>
        <v>26</v>
      </c>
      <c r="J2231" s="12">
        <f>Marketing[[#This Row],[Campaign_Cost]]/Marketing[[#This Row],[Customers]]</f>
        <v>373</v>
      </c>
      <c r="K2231" t="s">
        <v>38</v>
      </c>
      <c r="L2231" t="s">
        <v>20</v>
      </c>
      <c r="M2231">
        <v>650</v>
      </c>
      <c r="N2231">
        <v>8673</v>
      </c>
      <c r="O2231">
        <v>7</v>
      </c>
      <c r="P2231" t="s">
        <v>34</v>
      </c>
      <c r="Q2231" s="1">
        <v>44236</v>
      </c>
    </row>
    <row r="2232" spans="1:17" x14ac:dyDescent="0.3">
      <c r="A2232" t="s">
        <v>49</v>
      </c>
      <c r="B2232" t="s">
        <v>36</v>
      </c>
      <c r="C2232" t="s">
        <v>23</v>
      </c>
      <c r="D2232" t="s">
        <v>40</v>
      </c>
      <c r="E2232" t="s">
        <v>31</v>
      </c>
      <c r="F2232" s="9">
        <v>0.04</v>
      </c>
      <c r="G2232" s="10">
        <v>13976</v>
      </c>
      <c r="H2232">
        <v>4.34</v>
      </c>
      <c r="I2232" s="5">
        <f>ROUND(Marketing[[#This Row],[Clicks]]*Marketing[[#This Row],[Conversion_Rate]],0)</f>
        <v>40</v>
      </c>
      <c r="J2232" s="12">
        <f>Marketing[[#This Row],[Campaign_Cost]]/Marketing[[#This Row],[Customers]]</f>
        <v>349.4</v>
      </c>
      <c r="K2232" t="s">
        <v>19</v>
      </c>
      <c r="L2232" t="s">
        <v>20</v>
      </c>
      <c r="M2232">
        <v>996</v>
      </c>
      <c r="N2232">
        <v>1545</v>
      </c>
      <c r="O2232">
        <v>1</v>
      </c>
      <c r="P2232" t="s">
        <v>27</v>
      </c>
      <c r="Q2232" s="1">
        <v>44237</v>
      </c>
    </row>
    <row r="2233" spans="1:17" x14ac:dyDescent="0.3">
      <c r="A2233" t="s">
        <v>35</v>
      </c>
      <c r="B2233" t="s">
        <v>15</v>
      </c>
      <c r="C2233" t="s">
        <v>30</v>
      </c>
      <c r="D2233" t="s">
        <v>17</v>
      </c>
      <c r="E2233" t="s">
        <v>31</v>
      </c>
      <c r="F2233" s="9">
        <v>0.13</v>
      </c>
      <c r="G2233" s="10">
        <v>9188</v>
      </c>
      <c r="H2233">
        <v>6.78</v>
      </c>
      <c r="I2233" s="5">
        <f>ROUND(Marketing[[#This Row],[Clicks]]*Marketing[[#This Row],[Conversion_Rate]],0)</f>
        <v>114</v>
      </c>
      <c r="J2233" s="12">
        <f>Marketing[[#This Row],[Campaign_Cost]]/Marketing[[#This Row],[Customers]]</f>
        <v>80.596491228070178</v>
      </c>
      <c r="K2233" t="s">
        <v>51</v>
      </c>
      <c r="L2233" t="s">
        <v>26</v>
      </c>
      <c r="M2233">
        <v>880</v>
      </c>
      <c r="N2233">
        <v>4426</v>
      </c>
      <c r="O2233">
        <v>1</v>
      </c>
      <c r="P2233" t="s">
        <v>42</v>
      </c>
      <c r="Q2233" s="1">
        <v>44238</v>
      </c>
    </row>
    <row r="2234" spans="1:17" x14ac:dyDescent="0.3">
      <c r="A2234" t="s">
        <v>22</v>
      </c>
      <c r="B2234" t="s">
        <v>45</v>
      </c>
      <c r="C2234" t="s">
        <v>23</v>
      </c>
      <c r="D2234" t="s">
        <v>24</v>
      </c>
      <c r="E2234" t="s">
        <v>48</v>
      </c>
      <c r="F2234" s="9">
        <v>0.04</v>
      </c>
      <c r="G2234" s="10">
        <v>5785</v>
      </c>
      <c r="H2234">
        <v>3.66</v>
      </c>
      <c r="I2234" s="5">
        <f>ROUND(Marketing[[#This Row],[Clicks]]*Marketing[[#This Row],[Conversion_Rate]],0)</f>
        <v>28</v>
      </c>
      <c r="J2234" s="12">
        <f>Marketing[[#This Row],[Campaign_Cost]]/Marketing[[#This Row],[Customers]]</f>
        <v>206.60714285714286</v>
      </c>
      <c r="K2234" t="s">
        <v>25</v>
      </c>
      <c r="L2234" t="s">
        <v>20</v>
      </c>
      <c r="M2234">
        <v>699</v>
      </c>
      <c r="N2234">
        <v>5448</v>
      </c>
      <c r="O2234">
        <v>6</v>
      </c>
      <c r="P2234" t="s">
        <v>27</v>
      </c>
      <c r="Q2234" s="1">
        <v>44239</v>
      </c>
    </row>
    <row r="2235" spans="1:17" x14ac:dyDescent="0.3">
      <c r="A2235" t="s">
        <v>14</v>
      </c>
      <c r="B2235" t="s">
        <v>15</v>
      </c>
      <c r="C2235" t="s">
        <v>16</v>
      </c>
      <c r="D2235" t="s">
        <v>17</v>
      </c>
      <c r="E2235" t="s">
        <v>41</v>
      </c>
      <c r="F2235" s="9">
        <v>0.11</v>
      </c>
      <c r="G2235" s="10">
        <v>18912</v>
      </c>
      <c r="H2235">
        <v>7.14</v>
      </c>
      <c r="I2235" s="5">
        <f>ROUND(Marketing[[#This Row],[Clicks]]*Marketing[[#This Row],[Conversion_Rate]],0)</f>
        <v>89</v>
      </c>
      <c r="J2235" s="12">
        <f>Marketing[[#This Row],[Campaign_Cost]]/Marketing[[#This Row],[Customers]]</f>
        <v>212.49438202247191</v>
      </c>
      <c r="K2235" t="s">
        <v>32</v>
      </c>
      <c r="L2235" t="s">
        <v>39</v>
      </c>
      <c r="M2235">
        <v>808</v>
      </c>
      <c r="N2235">
        <v>2690</v>
      </c>
      <c r="O2235">
        <v>9</v>
      </c>
      <c r="P2235" t="s">
        <v>21</v>
      </c>
      <c r="Q2235" s="1">
        <v>44240</v>
      </c>
    </row>
    <row r="2236" spans="1:17" x14ac:dyDescent="0.3">
      <c r="A2236" t="s">
        <v>49</v>
      </c>
      <c r="B2236" t="s">
        <v>29</v>
      </c>
      <c r="C2236" t="s">
        <v>30</v>
      </c>
      <c r="D2236" t="s">
        <v>24</v>
      </c>
      <c r="E2236" t="s">
        <v>18</v>
      </c>
      <c r="F2236" s="9">
        <v>0.12</v>
      </c>
      <c r="G2236" s="10">
        <v>8005</v>
      </c>
      <c r="H2236">
        <v>3.67</v>
      </c>
      <c r="I2236" s="5">
        <f>ROUND(Marketing[[#This Row],[Clicks]]*Marketing[[#This Row],[Conversion_Rate]],0)</f>
        <v>44</v>
      </c>
      <c r="J2236" s="12">
        <f>Marketing[[#This Row],[Campaign_Cost]]/Marketing[[#This Row],[Customers]]</f>
        <v>181.93181818181819</v>
      </c>
      <c r="K2236" t="s">
        <v>19</v>
      </c>
      <c r="L2236" t="s">
        <v>33</v>
      </c>
      <c r="M2236">
        <v>366</v>
      </c>
      <c r="N2236">
        <v>8388</v>
      </c>
      <c r="O2236">
        <v>3</v>
      </c>
      <c r="P2236" t="s">
        <v>42</v>
      </c>
      <c r="Q2236" s="1">
        <v>44241</v>
      </c>
    </row>
    <row r="2237" spans="1:17" x14ac:dyDescent="0.3">
      <c r="A2237" t="s">
        <v>35</v>
      </c>
      <c r="B2237" t="s">
        <v>36</v>
      </c>
      <c r="C2237" t="s">
        <v>37</v>
      </c>
      <c r="D2237" t="s">
        <v>17</v>
      </c>
      <c r="E2237" t="s">
        <v>43</v>
      </c>
      <c r="F2237" s="9">
        <v>0.12</v>
      </c>
      <c r="G2237" s="10">
        <v>14403</v>
      </c>
      <c r="H2237">
        <v>2.67</v>
      </c>
      <c r="I2237" s="5">
        <f>ROUND(Marketing[[#This Row],[Clicks]]*Marketing[[#This Row],[Conversion_Rate]],0)</f>
        <v>32</v>
      </c>
      <c r="J2237" s="12">
        <f>Marketing[[#This Row],[Campaign_Cost]]/Marketing[[#This Row],[Customers]]</f>
        <v>450.09375</v>
      </c>
      <c r="K2237" t="s">
        <v>38</v>
      </c>
      <c r="L2237" t="s">
        <v>26</v>
      </c>
      <c r="M2237">
        <v>270</v>
      </c>
      <c r="N2237">
        <v>6230</v>
      </c>
      <c r="O2237">
        <v>1</v>
      </c>
      <c r="P2237" t="s">
        <v>44</v>
      </c>
      <c r="Q2237" s="1">
        <v>44242</v>
      </c>
    </row>
    <row r="2238" spans="1:17" x14ac:dyDescent="0.3">
      <c r="A2238" t="s">
        <v>28</v>
      </c>
      <c r="B2238" t="s">
        <v>15</v>
      </c>
      <c r="C2238" t="s">
        <v>37</v>
      </c>
      <c r="D2238" t="s">
        <v>24</v>
      </c>
      <c r="E2238" t="s">
        <v>41</v>
      </c>
      <c r="F2238" s="9">
        <v>0.06</v>
      </c>
      <c r="G2238" s="10">
        <v>14288</v>
      </c>
      <c r="H2238">
        <v>3.37</v>
      </c>
      <c r="I2238" s="5">
        <f>ROUND(Marketing[[#This Row],[Clicks]]*Marketing[[#This Row],[Conversion_Rate]],0)</f>
        <v>9</v>
      </c>
      <c r="J2238" s="12">
        <f>Marketing[[#This Row],[Campaign_Cost]]/Marketing[[#This Row],[Customers]]</f>
        <v>1587.5555555555557</v>
      </c>
      <c r="K2238" t="s">
        <v>25</v>
      </c>
      <c r="L2238" t="s">
        <v>26</v>
      </c>
      <c r="M2238">
        <v>147</v>
      </c>
      <c r="N2238">
        <v>4409</v>
      </c>
      <c r="O2238">
        <v>3</v>
      </c>
      <c r="P2238" t="s">
        <v>21</v>
      </c>
      <c r="Q2238" s="1">
        <v>44243</v>
      </c>
    </row>
    <row r="2239" spans="1:17" x14ac:dyDescent="0.3">
      <c r="A2239" t="s">
        <v>22</v>
      </c>
      <c r="B2239" t="s">
        <v>45</v>
      </c>
      <c r="C2239" t="s">
        <v>23</v>
      </c>
      <c r="D2239" t="s">
        <v>24</v>
      </c>
      <c r="E2239" t="s">
        <v>41</v>
      </c>
      <c r="F2239" s="9">
        <v>0.05</v>
      </c>
      <c r="G2239" s="10">
        <v>17872</v>
      </c>
      <c r="H2239">
        <v>4.45</v>
      </c>
      <c r="I2239" s="5">
        <f>ROUND(Marketing[[#This Row],[Clicks]]*Marketing[[#This Row],[Conversion_Rate]],0)</f>
        <v>9</v>
      </c>
      <c r="J2239" s="12">
        <f>Marketing[[#This Row],[Campaign_Cost]]/Marketing[[#This Row],[Customers]]</f>
        <v>1985.7777777777778</v>
      </c>
      <c r="K2239" t="s">
        <v>32</v>
      </c>
      <c r="L2239" t="s">
        <v>20</v>
      </c>
      <c r="M2239">
        <v>176</v>
      </c>
      <c r="N2239">
        <v>4689</v>
      </c>
      <c r="O2239">
        <v>9</v>
      </c>
      <c r="P2239" t="s">
        <v>34</v>
      </c>
      <c r="Q2239" s="1">
        <v>44244</v>
      </c>
    </row>
    <row r="2240" spans="1:17" x14ac:dyDescent="0.3">
      <c r="A2240" t="s">
        <v>14</v>
      </c>
      <c r="B2240" t="s">
        <v>15</v>
      </c>
      <c r="C2240" t="s">
        <v>16</v>
      </c>
      <c r="D2240" t="s">
        <v>17</v>
      </c>
      <c r="E2240" t="s">
        <v>48</v>
      </c>
      <c r="F2240" s="9">
        <v>0.13</v>
      </c>
      <c r="G2240" s="10">
        <v>7275</v>
      </c>
      <c r="H2240">
        <v>2.72</v>
      </c>
      <c r="I2240" s="5">
        <f>ROUND(Marketing[[#This Row],[Clicks]]*Marketing[[#This Row],[Conversion_Rate]],0)</f>
        <v>27</v>
      </c>
      <c r="J2240" s="12">
        <f>Marketing[[#This Row],[Campaign_Cost]]/Marketing[[#This Row],[Customers]]</f>
        <v>269.44444444444446</v>
      </c>
      <c r="K2240" t="s">
        <v>51</v>
      </c>
      <c r="L2240" t="s">
        <v>50</v>
      </c>
      <c r="M2240">
        <v>211</v>
      </c>
      <c r="N2240">
        <v>8935</v>
      </c>
      <c r="O2240">
        <v>6</v>
      </c>
      <c r="P2240" t="s">
        <v>34</v>
      </c>
      <c r="Q2240" s="1">
        <v>44245</v>
      </c>
    </row>
    <row r="2241" spans="1:17" x14ac:dyDescent="0.3">
      <c r="A2241" t="s">
        <v>35</v>
      </c>
      <c r="B2241" t="s">
        <v>29</v>
      </c>
      <c r="C2241" t="s">
        <v>16</v>
      </c>
      <c r="D2241" t="s">
        <v>17</v>
      </c>
      <c r="E2241" t="s">
        <v>15</v>
      </c>
      <c r="F2241" s="9">
        <v>0.15</v>
      </c>
      <c r="G2241" s="10">
        <v>8135</v>
      </c>
      <c r="H2241">
        <v>4.26</v>
      </c>
      <c r="I2241" s="5">
        <f>ROUND(Marketing[[#This Row],[Clicks]]*Marketing[[#This Row],[Conversion_Rate]],0)</f>
        <v>30</v>
      </c>
      <c r="J2241" s="12">
        <f>Marketing[[#This Row],[Campaign_Cost]]/Marketing[[#This Row],[Customers]]</f>
        <v>271.16666666666669</v>
      </c>
      <c r="K2241" t="s">
        <v>51</v>
      </c>
      <c r="L2241" t="s">
        <v>26</v>
      </c>
      <c r="M2241">
        <v>197</v>
      </c>
      <c r="N2241">
        <v>1156</v>
      </c>
      <c r="O2241">
        <v>10</v>
      </c>
      <c r="P2241" t="s">
        <v>44</v>
      </c>
      <c r="Q2241" s="1">
        <v>44246</v>
      </c>
    </row>
    <row r="2242" spans="1:17" x14ac:dyDescent="0.3">
      <c r="A2242" t="s">
        <v>22</v>
      </c>
      <c r="B2242" t="s">
        <v>15</v>
      </c>
      <c r="C2242" t="s">
        <v>52</v>
      </c>
      <c r="D2242" t="s">
        <v>24</v>
      </c>
      <c r="E2242" t="s">
        <v>18</v>
      </c>
      <c r="F2242" s="9">
        <v>7.0000000000000007E-2</v>
      </c>
      <c r="G2242" s="10">
        <v>5199</v>
      </c>
      <c r="H2242">
        <v>4.97</v>
      </c>
      <c r="I2242" s="5">
        <f>ROUND(Marketing[[#This Row],[Clicks]]*Marketing[[#This Row],[Conversion_Rate]],0)</f>
        <v>45</v>
      </c>
      <c r="J2242" s="12">
        <f>Marketing[[#This Row],[Campaign_Cost]]/Marketing[[#This Row],[Customers]]</f>
        <v>115.53333333333333</v>
      </c>
      <c r="K2242" t="s">
        <v>38</v>
      </c>
      <c r="L2242" t="s">
        <v>26</v>
      </c>
      <c r="M2242">
        <v>642</v>
      </c>
      <c r="N2242">
        <v>2507</v>
      </c>
      <c r="O2242">
        <v>5</v>
      </c>
      <c r="P2242" t="s">
        <v>44</v>
      </c>
      <c r="Q2242" s="1">
        <v>44247</v>
      </c>
    </row>
    <row r="2243" spans="1:17" x14ac:dyDescent="0.3">
      <c r="A2243" t="s">
        <v>49</v>
      </c>
      <c r="B2243" t="s">
        <v>45</v>
      </c>
      <c r="C2243" t="s">
        <v>16</v>
      </c>
      <c r="D2243" t="s">
        <v>40</v>
      </c>
      <c r="E2243" t="s">
        <v>41</v>
      </c>
      <c r="F2243" s="9">
        <v>0.08</v>
      </c>
      <c r="G2243" s="10">
        <v>5470</v>
      </c>
      <c r="H2243">
        <v>7.07</v>
      </c>
      <c r="I2243" s="5">
        <f>ROUND(Marketing[[#This Row],[Clicks]]*Marketing[[#This Row],[Conversion_Rate]],0)</f>
        <v>78</v>
      </c>
      <c r="J2243" s="12">
        <f>Marketing[[#This Row],[Campaign_Cost]]/Marketing[[#This Row],[Customers]]</f>
        <v>70.128205128205124</v>
      </c>
      <c r="K2243" t="s">
        <v>38</v>
      </c>
      <c r="L2243" t="s">
        <v>33</v>
      </c>
      <c r="M2243">
        <v>969</v>
      </c>
      <c r="N2243">
        <v>7544</v>
      </c>
      <c r="O2243">
        <v>8</v>
      </c>
      <c r="P2243" t="s">
        <v>42</v>
      </c>
      <c r="Q2243" s="1">
        <v>44248</v>
      </c>
    </row>
    <row r="2244" spans="1:17" x14ac:dyDescent="0.3">
      <c r="A2244" t="s">
        <v>22</v>
      </c>
      <c r="B2244" t="s">
        <v>29</v>
      </c>
      <c r="C2244" t="s">
        <v>30</v>
      </c>
      <c r="D2244" t="s">
        <v>46</v>
      </c>
      <c r="E2244" t="s">
        <v>48</v>
      </c>
      <c r="F2244" s="9">
        <v>0.02</v>
      </c>
      <c r="G2244" s="10">
        <v>10790</v>
      </c>
      <c r="H2244">
        <v>6.99</v>
      </c>
      <c r="I2244" s="5">
        <f>ROUND(Marketing[[#This Row],[Clicks]]*Marketing[[#This Row],[Conversion_Rate]],0)</f>
        <v>14</v>
      </c>
      <c r="J2244" s="12">
        <f>Marketing[[#This Row],[Campaign_Cost]]/Marketing[[#This Row],[Customers]]</f>
        <v>770.71428571428567</v>
      </c>
      <c r="K2244" t="s">
        <v>25</v>
      </c>
      <c r="L2244" t="s">
        <v>39</v>
      </c>
      <c r="M2244">
        <v>706</v>
      </c>
      <c r="N2244">
        <v>2982</v>
      </c>
      <c r="O2244">
        <v>2</v>
      </c>
      <c r="P2244" t="s">
        <v>44</v>
      </c>
      <c r="Q2244" s="1">
        <v>44249</v>
      </c>
    </row>
    <row r="2245" spans="1:17" x14ac:dyDescent="0.3">
      <c r="A2245" t="s">
        <v>14</v>
      </c>
      <c r="B2245" t="s">
        <v>47</v>
      </c>
      <c r="C2245" t="s">
        <v>37</v>
      </c>
      <c r="D2245" t="s">
        <v>24</v>
      </c>
      <c r="E2245" t="s">
        <v>31</v>
      </c>
      <c r="F2245" s="9">
        <v>0.06</v>
      </c>
      <c r="G2245" s="10">
        <v>10660</v>
      </c>
      <c r="H2245">
        <v>5.41</v>
      </c>
      <c r="I2245" s="5">
        <f>ROUND(Marketing[[#This Row],[Clicks]]*Marketing[[#This Row],[Conversion_Rate]],0)</f>
        <v>47</v>
      </c>
      <c r="J2245" s="12">
        <f>Marketing[[#This Row],[Campaign_Cost]]/Marketing[[#This Row],[Customers]]</f>
        <v>226.80851063829786</v>
      </c>
      <c r="K2245" t="s">
        <v>32</v>
      </c>
      <c r="L2245" t="s">
        <v>20</v>
      </c>
      <c r="M2245">
        <v>778</v>
      </c>
      <c r="N2245">
        <v>8797</v>
      </c>
      <c r="O2245">
        <v>4</v>
      </c>
      <c r="P2245" t="s">
        <v>27</v>
      </c>
      <c r="Q2245" s="1">
        <v>44250</v>
      </c>
    </row>
    <row r="2246" spans="1:17" x14ac:dyDescent="0.3">
      <c r="A2246" t="s">
        <v>14</v>
      </c>
      <c r="B2246" t="s">
        <v>47</v>
      </c>
      <c r="C2246" t="s">
        <v>37</v>
      </c>
      <c r="D2246" t="s">
        <v>24</v>
      </c>
      <c r="E2246" t="s">
        <v>43</v>
      </c>
      <c r="F2246" s="9">
        <v>0.13</v>
      </c>
      <c r="G2246" s="10">
        <v>18131</v>
      </c>
      <c r="H2246">
        <v>6.57</v>
      </c>
      <c r="I2246" s="5">
        <f>ROUND(Marketing[[#This Row],[Clicks]]*Marketing[[#This Row],[Conversion_Rate]],0)</f>
        <v>58</v>
      </c>
      <c r="J2246" s="12">
        <f>Marketing[[#This Row],[Campaign_Cost]]/Marketing[[#This Row],[Customers]]</f>
        <v>312.60344827586209</v>
      </c>
      <c r="K2246" t="s">
        <v>38</v>
      </c>
      <c r="L2246" t="s">
        <v>26</v>
      </c>
      <c r="M2246">
        <v>447</v>
      </c>
      <c r="N2246">
        <v>5793</v>
      </c>
      <c r="O2246">
        <v>3</v>
      </c>
      <c r="P2246" t="s">
        <v>34</v>
      </c>
      <c r="Q2246" s="1">
        <v>44251</v>
      </c>
    </row>
    <row r="2247" spans="1:17" x14ac:dyDescent="0.3">
      <c r="A2247" t="s">
        <v>22</v>
      </c>
      <c r="B2247" t="s">
        <v>29</v>
      </c>
      <c r="C2247" t="s">
        <v>16</v>
      </c>
      <c r="D2247" t="s">
        <v>24</v>
      </c>
      <c r="E2247" t="s">
        <v>15</v>
      </c>
      <c r="F2247" s="9">
        <v>0.11</v>
      </c>
      <c r="G2247" s="10">
        <v>9063</v>
      </c>
      <c r="H2247">
        <v>5.33</v>
      </c>
      <c r="I2247" s="5">
        <f>ROUND(Marketing[[#This Row],[Clicks]]*Marketing[[#This Row],[Conversion_Rate]],0)</f>
        <v>66</v>
      </c>
      <c r="J2247" s="12">
        <f>Marketing[[#This Row],[Campaign_Cost]]/Marketing[[#This Row],[Customers]]</f>
        <v>137.31818181818181</v>
      </c>
      <c r="K2247" t="s">
        <v>25</v>
      </c>
      <c r="L2247" t="s">
        <v>20</v>
      </c>
      <c r="M2247">
        <v>596</v>
      </c>
      <c r="N2247">
        <v>8945</v>
      </c>
      <c r="O2247">
        <v>2</v>
      </c>
      <c r="P2247" t="s">
        <v>44</v>
      </c>
      <c r="Q2247" s="1">
        <v>44252</v>
      </c>
    </row>
    <row r="2248" spans="1:17" x14ac:dyDescent="0.3">
      <c r="A2248" t="s">
        <v>14</v>
      </c>
      <c r="B2248" t="s">
        <v>36</v>
      </c>
      <c r="C2248" t="s">
        <v>16</v>
      </c>
      <c r="D2248" t="s">
        <v>24</v>
      </c>
      <c r="E2248" t="s">
        <v>15</v>
      </c>
      <c r="F2248" s="9">
        <v>0.04</v>
      </c>
      <c r="G2248" s="10">
        <v>6743</v>
      </c>
      <c r="H2248">
        <v>3.88</v>
      </c>
      <c r="I2248" s="5">
        <f>ROUND(Marketing[[#This Row],[Clicks]]*Marketing[[#This Row],[Conversion_Rate]],0)</f>
        <v>24</v>
      </c>
      <c r="J2248" s="12">
        <f>Marketing[[#This Row],[Campaign_Cost]]/Marketing[[#This Row],[Customers]]</f>
        <v>280.95833333333331</v>
      </c>
      <c r="K2248" t="s">
        <v>32</v>
      </c>
      <c r="L2248" t="s">
        <v>26</v>
      </c>
      <c r="M2248">
        <v>598</v>
      </c>
      <c r="N2248">
        <v>9529</v>
      </c>
      <c r="O2248">
        <v>4</v>
      </c>
      <c r="P2248" t="s">
        <v>21</v>
      </c>
      <c r="Q2248" s="1">
        <v>44253</v>
      </c>
    </row>
    <row r="2249" spans="1:17" x14ac:dyDescent="0.3">
      <c r="A2249" t="s">
        <v>28</v>
      </c>
      <c r="B2249" t="s">
        <v>45</v>
      </c>
      <c r="C2249" t="s">
        <v>37</v>
      </c>
      <c r="D2249" t="s">
        <v>17</v>
      </c>
      <c r="E2249" t="s">
        <v>18</v>
      </c>
      <c r="F2249" s="9">
        <v>0.09</v>
      </c>
      <c r="G2249" s="10">
        <v>14294</v>
      </c>
      <c r="H2249">
        <v>7.19</v>
      </c>
      <c r="I2249" s="5">
        <f>ROUND(Marketing[[#This Row],[Clicks]]*Marketing[[#This Row],[Conversion_Rate]],0)</f>
        <v>15</v>
      </c>
      <c r="J2249" s="12">
        <f>Marketing[[#This Row],[Campaign_Cost]]/Marketing[[#This Row],[Customers]]</f>
        <v>952.93333333333328</v>
      </c>
      <c r="K2249" t="s">
        <v>19</v>
      </c>
      <c r="L2249" t="s">
        <v>20</v>
      </c>
      <c r="M2249">
        <v>170</v>
      </c>
      <c r="N2249">
        <v>1248</v>
      </c>
      <c r="O2249">
        <v>2</v>
      </c>
      <c r="P2249" t="s">
        <v>34</v>
      </c>
      <c r="Q2249" s="1">
        <v>44254</v>
      </c>
    </row>
    <row r="2250" spans="1:17" x14ac:dyDescent="0.3">
      <c r="A2250" t="s">
        <v>22</v>
      </c>
      <c r="B2250" t="s">
        <v>36</v>
      </c>
      <c r="C2250" t="s">
        <v>37</v>
      </c>
      <c r="D2250" t="s">
        <v>46</v>
      </c>
      <c r="E2250" t="s">
        <v>15</v>
      </c>
      <c r="F2250" s="9">
        <v>0.02</v>
      </c>
      <c r="G2250" s="10">
        <v>12025</v>
      </c>
      <c r="H2250">
        <v>4.2300000000000004</v>
      </c>
      <c r="I2250" s="5">
        <f>ROUND(Marketing[[#This Row],[Clicks]]*Marketing[[#This Row],[Conversion_Rate]],0)</f>
        <v>2</v>
      </c>
      <c r="J2250" s="12">
        <f>Marketing[[#This Row],[Campaign_Cost]]/Marketing[[#This Row],[Customers]]</f>
        <v>6012.5</v>
      </c>
      <c r="K2250" t="s">
        <v>25</v>
      </c>
      <c r="L2250" t="s">
        <v>50</v>
      </c>
      <c r="M2250">
        <v>110</v>
      </c>
      <c r="N2250">
        <v>1464</v>
      </c>
      <c r="O2250">
        <v>2</v>
      </c>
      <c r="P2250" t="s">
        <v>34</v>
      </c>
      <c r="Q2250" s="1">
        <v>44255</v>
      </c>
    </row>
    <row r="2251" spans="1:17" x14ac:dyDescent="0.3">
      <c r="A2251" t="s">
        <v>28</v>
      </c>
      <c r="B2251" t="s">
        <v>47</v>
      </c>
      <c r="C2251" t="s">
        <v>52</v>
      </c>
      <c r="D2251" t="s">
        <v>17</v>
      </c>
      <c r="E2251" t="s">
        <v>15</v>
      </c>
      <c r="F2251" s="9">
        <v>0.1</v>
      </c>
      <c r="G2251" s="10">
        <v>7346</v>
      </c>
      <c r="H2251">
        <v>4.6399999999999997</v>
      </c>
      <c r="I2251" s="5">
        <f>ROUND(Marketing[[#This Row],[Clicks]]*Marketing[[#This Row],[Conversion_Rate]],0)</f>
        <v>87</v>
      </c>
      <c r="J2251" s="12">
        <f>Marketing[[#This Row],[Campaign_Cost]]/Marketing[[#This Row],[Customers]]</f>
        <v>84.436781609195407</v>
      </c>
      <c r="K2251" t="s">
        <v>25</v>
      </c>
      <c r="L2251" t="s">
        <v>39</v>
      </c>
      <c r="M2251">
        <v>869</v>
      </c>
      <c r="N2251">
        <v>6506</v>
      </c>
      <c r="O2251">
        <v>3</v>
      </c>
      <c r="P2251" t="s">
        <v>42</v>
      </c>
      <c r="Q2251" s="1">
        <v>44256</v>
      </c>
    </row>
    <row r="2252" spans="1:17" x14ac:dyDescent="0.3">
      <c r="A2252" t="s">
        <v>49</v>
      </c>
      <c r="B2252" t="s">
        <v>36</v>
      </c>
      <c r="C2252" t="s">
        <v>23</v>
      </c>
      <c r="D2252" t="s">
        <v>46</v>
      </c>
      <c r="E2252" t="s">
        <v>31</v>
      </c>
      <c r="F2252" s="9">
        <v>0.08</v>
      </c>
      <c r="G2252" s="10">
        <v>19647</v>
      </c>
      <c r="H2252">
        <v>3.86</v>
      </c>
      <c r="I2252" s="5">
        <f>ROUND(Marketing[[#This Row],[Clicks]]*Marketing[[#This Row],[Conversion_Rate]],0)</f>
        <v>46</v>
      </c>
      <c r="J2252" s="12">
        <f>Marketing[[#This Row],[Campaign_Cost]]/Marketing[[#This Row],[Customers]]</f>
        <v>427.10869565217394</v>
      </c>
      <c r="K2252" t="s">
        <v>19</v>
      </c>
      <c r="L2252" t="s">
        <v>26</v>
      </c>
      <c r="M2252">
        <v>573</v>
      </c>
      <c r="N2252">
        <v>5757</v>
      </c>
      <c r="O2252">
        <v>8</v>
      </c>
      <c r="P2252" t="s">
        <v>21</v>
      </c>
      <c r="Q2252" s="1">
        <v>44257</v>
      </c>
    </row>
    <row r="2253" spans="1:17" x14ac:dyDescent="0.3">
      <c r="A2253" t="s">
        <v>22</v>
      </c>
      <c r="B2253" t="s">
        <v>29</v>
      </c>
      <c r="C2253" t="s">
        <v>23</v>
      </c>
      <c r="D2253" t="s">
        <v>40</v>
      </c>
      <c r="E2253" t="s">
        <v>15</v>
      </c>
      <c r="F2253" s="9">
        <v>0.08</v>
      </c>
      <c r="G2253" s="10">
        <v>17019</v>
      </c>
      <c r="H2253">
        <v>2.48</v>
      </c>
      <c r="I2253" s="5">
        <f>ROUND(Marketing[[#This Row],[Clicks]]*Marketing[[#This Row],[Conversion_Rate]],0)</f>
        <v>56</v>
      </c>
      <c r="J2253" s="12">
        <f>Marketing[[#This Row],[Campaign_Cost]]/Marketing[[#This Row],[Customers]]</f>
        <v>303.91071428571428</v>
      </c>
      <c r="K2253" t="s">
        <v>51</v>
      </c>
      <c r="L2253" t="s">
        <v>50</v>
      </c>
      <c r="M2253">
        <v>701</v>
      </c>
      <c r="N2253">
        <v>6685</v>
      </c>
      <c r="O2253">
        <v>4</v>
      </c>
      <c r="P2253" t="s">
        <v>34</v>
      </c>
      <c r="Q2253" s="1">
        <v>44258</v>
      </c>
    </row>
    <row r="2254" spans="1:17" x14ac:dyDescent="0.3">
      <c r="A2254" t="s">
        <v>14</v>
      </c>
      <c r="B2254" t="s">
        <v>47</v>
      </c>
      <c r="C2254" t="s">
        <v>23</v>
      </c>
      <c r="D2254" t="s">
        <v>17</v>
      </c>
      <c r="E2254" t="s">
        <v>41</v>
      </c>
      <c r="F2254" s="9">
        <v>0.1</v>
      </c>
      <c r="G2254" s="10">
        <v>17736</v>
      </c>
      <c r="H2254">
        <v>5.9</v>
      </c>
      <c r="I2254" s="5">
        <f>ROUND(Marketing[[#This Row],[Clicks]]*Marketing[[#This Row],[Conversion_Rate]],0)</f>
        <v>24</v>
      </c>
      <c r="J2254" s="12">
        <f>Marketing[[#This Row],[Campaign_Cost]]/Marketing[[#This Row],[Customers]]</f>
        <v>739</v>
      </c>
      <c r="K2254" t="s">
        <v>19</v>
      </c>
      <c r="L2254" t="s">
        <v>33</v>
      </c>
      <c r="M2254">
        <v>239</v>
      </c>
      <c r="N2254">
        <v>2931</v>
      </c>
      <c r="O2254">
        <v>9</v>
      </c>
      <c r="P2254" t="s">
        <v>44</v>
      </c>
      <c r="Q2254" s="1">
        <v>44259</v>
      </c>
    </row>
    <row r="2255" spans="1:17" x14ac:dyDescent="0.3">
      <c r="A2255" t="s">
        <v>28</v>
      </c>
      <c r="B2255" t="s">
        <v>36</v>
      </c>
      <c r="C2255" t="s">
        <v>23</v>
      </c>
      <c r="D2255" t="s">
        <v>40</v>
      </c>
      <c r="E2255" t="s">
        <v>48</v>
      </c>
      <c r="F2255" s="9">
        <v>0.03</v>
      </c>
      <c r="G2255" s="10">
        <v>9165</v>
      </c>
      <c r="H2255">
        <v>2.5099999999999998</v>
      </c>
      <c r="I2255" s="5">
        <f>ROUND(Marketing[[#This Row],[Clicks]]*Marketing[[#This Row],[Conversion_Rate]],0)</f>
        <v>26</v>
      </c>
      <c r="J2255" s="12">
        <f>Marketing[[#This Row],[Campaign_Cost]]/Marketing[[#This Row],[Customers]]</f>
        <v>352.5</v>
      </c>
      <c r="K2255" t="s">
        <v>32</v>
      </c>
      <c r="L2255" t="s">
        <v>50</v>
      </c>
      <c r="M2255">
        <v>869</v>
      </c>
      <c r="N2255">
        <v>4877</v>
      </c>
      <c r="O2255">
        <v>7</v>
      </c>
      <c r="P2255" t="s">
        <v>44</v>
      </c>
      <c r="Q2255" s="1">
        <v>44260</v>
      </c>
    </row>
    <row r="2256" spans="1:17" x14ac:dyDescent="0.3">
      <c r="A2256" t="s">
        <v>14</v>
      </c>
      <c r="B2256" t="s">
        <v>47</v>
      </c>
      <c r="C2256" t="s">
        <v>52</v>
      </c>
      <c r="D2256" t="s">
        <v>24</v>
      </c>
      <c r="E2256" t="s">
        <v>31</v>
      </c>
      <c r="F2256" s="9">
        <v>0.13</v>
      </c>
      <c r="G2256" s="10">
        <v>17890</v>
      </c>
      <c r="H2256">
        <v>4.8499999999999996</v>
      </c>
      <c r="I2256" s="5">
        <f>ROUND(Marketing[[#This Row],[Clicks]]*Marketing[[#This Row],[Conversion_Rate]],0)</f>
        <v>115</v>
      </c>
      <c r="J2256" s="12">
        <f>Marketing[[#This Row],[Campaign_Cost]]/Marketing[[#This Row],[Customers]]</f>
        <v>155.56521739130434</v>
      </c>
      <c r="K2256" t="s">
        <v>25</v>
      </c>
      <c r="L2256" t="s">
        <v>20</v>
      </c>
      <c r="M2256">
        <v>886</v>
      </c>
      <c r="N2256">
        <v>2856</v>
      </c>
      <c r="O2256">
        <v>4</v>
      </c>
      <c r="P2256" t="s">
        <v>21</v>
      </c>
      <c r="Q2256" s="1">
        <v>44261</v>
      </c>
    </row>
    <row r="2257" spans="1:17" x14ac:dyDescent="0.3">
      <c r="A2257" t="s">
        <v>14</v>
      </c>
      <c r="B2257" t="s">
        <v>15</v>
      </c>
      <c r="C2257" t="s">
        <v>52</v>
      </c>
      <c r="D2257" t="s">
        <v>17</v>
      </c>
      <c r="E2257" t="s">
        <v>48</v>
      </c>
      <c r="F2257" s="9">
        <v>7.0000000000000007E-2</v>
      </c>
      <c r="G2257" s="10">
        <v>13186</v>
      </c>
      <c r="H2257">
        <v>5.71</v>
      </c>
      <c r="I2257" s="5">
        <f>ROUND(Marketing[[#This Row],[Clicks]]*Marketing[[#This Row],[Conversion_Rate]],0)</f>
        <v>52</v>
      </c>
      <c r="J2257" s="12">
        <f>Marketing[[#This Row],[Campaign_Cost]]/Marketing[[#This Row],[Customers]]</f>
        <v>253.57692307692307</v>
      </c>
      <c r="K2257" t="s">
        <v>25</v>
      </c>
      <c r="L2257" t="s">
        <v>26</v>
      </c>
      <c r="M2257">
        <v>748</v>
      </c>
      <c r="N2257">
        <v>8395</v>
      </c>
      <c r="O2257">
        <v>3</v>
      </c>
      <c r="P2257" t="s">
        <v>42</v>
      </c>
      <c r="Q2257" s="1">
        <v>44262</v>
      </c>
    </row>
    <row r="2258" spans="1:17" x14ac:dyDescent="0.3">
      <c r="A2258" t="s">
        <v>14</v>
      </c>
      <c r="B2258" t="s">
        <v>45</v>
      </c>
      <c r="C2258" t="s">
        <v>16</v>
      </c>
      <c r="D2258" t="s">
        <v>17</v>
      </c>
      <c r="E2258" t="s">
        <v>31</v>
      </c>
      <c r="F2258" s="9">
        <v>0.11</v>
      </c>
      <c r="G2258" s="10">
        <v>19844</v>
      </c>
      <c r="H2258">
        <v>5.0199999999999996</v>
      </c>
      <c r="I2258" s="5">
        <f>ROUND(Marketing[[#This Row],[Clicks]]*Marketing[[#This Row],[Conversion_Rate]],0)</f>
        <v>103</v>
      </c>
      <c r="J2258" s="12">
        <f>Marketing[[#This Row],[Campaign_Cost]]/Marketing[[#This Row],[Customers]]</f>
        <v>192.66019417475729</v>
      </c>
      <c r="K2258" t="s">
        <v>25</v>
      </c>
      <c r="L2258" t="s">
        <v>50</v>
      </c>
      <c r="M2258">
        <v>939</v>
      </c>
      <c r="N2258">
        <v>8284</v>
      </c>
      <c r="O2258">
        <v>8</v>
      </c>
      <c r="P2258" t="s">
        <v>44</v>
      </c>
      <c r="Q2258" s="1">
        <v>44263</v>
      </c>
    </row>
    <row r="2259" spans="1:17" x14ac:dyDescent="0.3">
      <c r="A2259" t="s">
        <v>22</v>
      </c>
      <c r="B2259" t="s">
        <v>45</v>
      </c>
      <c r="C2259" t="s">
        <v>37</v>
      </c>
      <c r="D2259" t="s">
        <v>17</v>
      </c>
      <c r="E2259" t="s">
        <v>48</v>
      </c>
      <c r="F2259" s="9">
        <v>0.12</v>
      </c>
      <c r="G2259" s="10">
        <v>15446</v>
      </c>
      <c r="H2259">
        <v>2.56</v>
      </c>
      <c r="I2259" s="5">
        <f>ROUND(Marketing[[#This Row],[Clicks]]*Marketing[[#This Row],[Conversion_Rate]],0)</f>
        <v>66</v>
      </c>
      <c r="J2259" s="12">
        <f>Marketing[[#This Row],[Campaign_Cost]]/Marketing[[#This Row],[Customers]]</f>
        <v>234.03030303030303</v>
      </c>
      <c r="K2259" t="s">
        <v>38</v>
      </c>
      <c r="L2259" t="s">
        <v>33</v>
      </c>
      <c r="M2259">
        <v>546</v>
      </c>
      <c r="N2259">
        <v>5625</v>
      </c>
      <c r="O2259">
        <v>5</v>
      </c>
      <c r="P2259" t="s">
        <v>27</v>
      </c>
      <c r="Q2259" s="1">
        <v>44264</v>
      </c>
    </row>
    <row r="2260" spans="1:17" x14ac:dyDescent="0.3">
      <c r="A2260" t="s">
        <v>49</v>
      </c>
      <c r="B2260" t="s">
        <v>36</v>
      </c>
      <c r="C2260" t="s">
        <v>37</v>
      </c>
      <c r="D2260" t="s">
        <v>40</v>
      </c>
      <c r="E2260" t="s">
        <v>41</v>
      </c>
      <c r="F2260" s="9">
        <v>0.1</v>
      </c>
      <c r="G2260" s="10">
        <v>8257</v>
      </c>
      <c r="H2260">
        <v>7.81</v>
      </c>
      <c r="I2260" s="5">
        <f>ROUND(Marketing[[#This Row],[Clicks]]*Marketing[[#This Row],[Conversion_Rate]],0)</f>
        <v>97</v>
      </c>
      <c r="J2260" s="12">
        <f>Marketing[[#This Row],[Campaign_Cost]]/Marketing[[#This Row],[Customers]]</f>
        <v>85.123711340206185</v>
      </c>
      <c r="K2260" t="s">
        <v>38</v>
      </c>
      <c r="L2260" t="s">
        <v>33</v>
      </c>
      <c r="M2260">
        <v>972</v>
      </c>
      <c r="N2260">
        <v>5247</v>
      </c>
      <c r="O2260">
        <v>8</v>
      </c>
      <c r="P2260" t="s">
        <v>27</v>
      </c>
      <c r="Q2260" s="1">
        <v>44265</v>
      </c>
    </row>
    <row r="2261" spans="1:17" x14ac:dyDescent="0.3">
      <c r="A2261" t="s">
        <v>14</v>
      </c>
      <c r="B2261" t="s">
        <v>47</v>
      </c>
      <c r="C2261" t="s">
        <v>23</v>
      </c>
      <c r="D2261" t="s">
        <v>24</v>
      </c>
      <c r="E2261" t="s">
        <v>18</v>
      </c>
      <c r="F2261" s="9">
        <v>0.08</v>
      </c>
      <c r="G2261" s="10">
        <v>8175</v>
      </c>
      <c r="H2261">
        <v>2.73</v>
      </c>
      <c r="I2261" s="5">
        <f>ROUND(Marketing[[#This Row],[Clicks]]*Marketing[[#This Row],[Conversion_Rate]],0)</f>
        <v>46</v>
      </c>
      <c r="J2261" s="12">
        <f>Marketing[[#This Row],[Campaign_Cost]]/Marketing[[#This Row],[Customers]]</f>
        <v>177.71739130434781</v>
      </c>
      <c r="K2261" t="s">
        <v>25</v>
      </c>
      <c r="L2261" t="s">
        <v>50</v>
      </c>
      <c r="M2261">
        <v>580</v>
      </c>
      <c r="N2261">
        <v>3203</v>
      </c>
      <c r="O2261">
        <v>4</v>
      </c>
      <c r="P2261" t="s">
        <v>27</v>
      </c>
      <c r="Q2261" s="1">
        <v>44266</v>
      </c>
    </row>
    <row r="2262" spans="1:17" x14ac:dyDescent="0.3">
      <c r="A2262" t="s">
        <v>28</v>
      </c>
      <c r="B2262" t="s">
        <v>29</v>
      </c>
      <c r="C2262" t="s">
        <v>16</v>
      </c>
      <c r="D2262" t="s">
        <v>24</v>
      </c>
      <c r="E2262" t="s">
        <v>43</v>
      </c>
      <c r="F2262" s="9">
        <v>0.04</v>
      </c>
      <c r="G2262" s="10">
        <v>14895</v>
      </c>
      <c r="H2262">
        <v>5.89</v>
      </c>
      <c r="I2262" s="5">
        <f>ROUND(Marketing[[#This Row],[Clicks]]*Marketing[[#This Row],[Conversion_Rate]],0)</f>
        <v>17</v>
      </c>
      <c r="J2262" s="12">
        <f>Marketing[[#This Row],[Campaign_Cost]]/Marketing[[#This Row],[Customers]]</f>
        <v>876.17647058823525</v>
      </c>
      <c r="K2262" t="s">
        <v>19</v>
      </c>
      <c r="L2262" t="s">
        <v>39</v>
      </c>
      <c r="M2262">
        <v>434</v>
      </c>
      <c r="N2262">
        <v>7639</v>
      </c>
      <c r="O2262">
        <v>5</v>
      </c>
      <c r="P2262" t="s">
        <v>44</v>
      </c>
      <c r="Q2262" s="1">
        <v>44267</v>
      </c>
    </row>
    <row r="2263" spans="1:17" x14ac:dyDescent="0.3">
      <c r="A2263" t="s">
        <v>49</v>
      </c>
      <c r="B2263" t="s">
        <v>29</v>
      </c>
      <c r="C2263" t="s">
        <v>52</v>
      </c>
      <c r="D2263" t="s">
        <v>24</v>
      </c>
      <c r="E2263" t="s">
        <v>43</v>
      </c>
      <c r="F2263" s="9">
        <v>0.06</v>
      </c>
      <c r="G2263" s="10">
        <v>16370</v>
      </c>
      <c r="H2263">
        <v>3.97</v>
      </c>
      <c r="I2263" s="5">
        <f>ROUND(Marketing[[#This Row],[Clicks]]*Marketing[[#This Row],[Conversion_Rate]],0)</f>
        <v>23</v>
      </c>
      <c r="J2263" s="12">
        <f>Marketing[[#This Row],[Campaign_Cost]]/Marketing[[#This Row],[Customers]]</f>
        <v>711.73913043478262</v>
      </c>
      <c r="K2263" t="s">
        <v>38</v>
      </c>
      <c r="L2263" t="s">
        <v>50</v>
      </c>
      <c r="M2263">
        <v>378</v>
      </c>
      <c r="N2263">
        <v>9230</v>
      </c>
      <c r="O2263">
        <v>5</v>
      </c>
      <c r="P2263" t="s">
        <v>34</v>
      </c>
      <c r="Q2263" s="1">
        <v>44268</v>
      </c>
    </row>
    <row r="2264" spans="1:17" x14ac:dyDescent="0.3">
      <c r="A2264" t="s">
        <v>28</v>
      </c>
      <c r="B2264" t="s">
        <v>15</v>
      </c>
      <c r="C2264" t="s">
        <v>23</v>
      </c>
      <c r="D2264" t="s">
        <v>24</v>
      </c>
      <c r="E2264" t="s">
        <v>15</v>
      </c>
      <c r="F2264" s="9">
        <v>0.14000000000000001</v>
      </c>
      <c r="G2264" s="10">
        <v>6516</v>
      </c>
      <c r="H2264">
        <v>5.9</v>
      </c>
      <c r="I2264" s="5">
        <f>ROUND(Marketing[[#This Row],[Clicks]]*Marketing[[#This Row],[Conversion_Rate]],0)</f>
        <v>39</v>
      </c>
      <c r="J2264" s="12">
        <f>Marketing[[#This Row],[Campaign_Cost]]/Marketing[[#This Row],[Customers]]</f>
        <v>167.07692307692307</v>
      </c>
      <c r="K2264" t="s">
        <v>38</v>
      </c>
      <c r="L2264" t="s">
        <v>33</v>
      </c>
      <c r="M2264">
        <v>275</v>
      </c>
      <c r="N2264">
        <v>8703</v>
      </c>
      <c r="O2264">
        <v>2</v>
      </c>
      <c r="P2264" t="s">
        <v>34</v>
      </c>
      <c r="Q2264" s="1">
        <v>44269</v>
      </c>
    </row>
    <row r="2265" spans="1:17" x14ac:dyDescent="0.3">
      <c r="A2265" t="s">
        <v>49</v>
      </c>
      <c r="B2265" t="s">
        <v>15</v>
      </c>
      <c r="C2265" t="s">
        <v>23</v>
      </c>
      <c r="D2265" t="s">
        <v>46</v>
      </c>
      <c r="E2265" t="s">
        <v>31</v>
      </c>
      <c r="F2265" s="9">
        <v>0.08</v>
      </c>
      <c r="G2265" s="10">
        <v>10714</v>
      </c>
      <c r="H2265">
        <v>5.94</v>
      </c>
      <c r="I2265" s="5">
        <f>ROUND(Marketing[[#This Row],[Clicks]]*Marketing[[#This Row],[Conversion_Rate]],0)</f>
        <v>35</v>
      </c>
      <c r="J2265" s="12">
        <f>Marketing[[#This Row],[Campaign_Cost]]/Marketing[[#This Row],[Customers]]</f>
        <v>306.1142857142857</v>
      </c>
      <c r="K2265" t="s">
        <v>25</v>
      </c>
      <c r="L2265" t="s">
        <v>26</v>
      </c>
      <c r="M2265">
        <v>435</v>
      </c>
      <c r="N2265">
        <v>4529</v>
      </c>
      <c r="O2265">
        <v>2</v>
      </c>
      <c r="P2265" t="s">
        <v>44</v>
      </c>
      <c r="Q2265" s="1">
        <v>44270</v>
      </c>
    </row>
    <row r="2266" spans="1:17" x14ac:dyDescent="0.3">
      <c r="A2266" t="s">
        <v>28</v>
      </c>
      <c r="B2266" t="s">
        <v>45</v>
      </c>
      <c r="C2266" t="s">
        <v>16</v>
      </c>
      <c r="D2266" t="s">
        <v>40</v>
      </c>
      <c r="E2266" t="s">
        <v>15</v>
      </c>
      <c r="F2266" s="9">
        <v>0.14000000000000001</v>
      </c>
      <c r="G2266" s="10">
        <v>17422</v>
      </c>
      <c r="H2266">
        <v>5.18</v>
      </c>
      <c r="I2266" s="5">
        <f>ROUND(Marketing[[#This Row],[Clicks]]*Marketing[[#This Row],[Conversion_Rate]],0)</f>
        <v>75</v>
      </c>
      <c r="J2266" s="12">
        <f>Marketing[[#This Row],[Campaign_Cost]]/Marketing[[#This Row],[Customers]]</f>
        <v>232.29333333333332</v>
      </c>
      <c r="K2266" t="s">
        <v>38</v>
      </c>
      <c r="L2266" t="s">
        <v>39</v>
      </c>
      <c r="M2266">
        <v>538</v>
      </c>
      <c r="N2266">
        <v>2472</v>
      </c>
      <c r="O2266">
        <v>10</v>
      </c>
      <c r="P2266" t="s">
        <v>42</v>
      </c>
      <c r="Q2266" s="1">
        <v>44271</v>
      </c>
    </row>
    <row r="2267" spans="1:17" x14ac:dyDescent="0.3">
      <c r="A2267" t="s">
        <v>49</v>
      </c>
      <c r="B2267" t="s">
        <v>29</v>
      </c>
      <c r="C2267" t="s">
        <v>23</v>
      </c>
      <c r="D2267" t="s">
        <v>17</v>
      </c>
      <c r="E2267" t="s">
        <v>41</v>
      </c>
      <c r="F2267" s="9">
        <v>7.0000000000000007E-2</v>
      </c>
      <c r="G2267" s="10">
        <v>16592</v>
      </c>
      <c r="H2267">
        <v>5.45</v>
      </c>
      <c r="I2267" s="5">
        <f>ROUND(Marketing[[#This Row],[Clicks]]*Marketing[[#This Row],[Conversion_Rate]],0)</f>
        <v>49</v>
      </c>
      <c r="J2267" s="12">
        <f>Marketing[[#This Row],[Campaign_Cost]]/Marketing[[#This Row],[Customers]]</f>
        <v>338.61224489795916</v>
      </c>
      <c r="K2267" t="s">
        <v>25</v>
      </c>
      <c r="L2267" t="s">
        <v>20</v>
      </c>
      <c r="M2267">
        <v>698</v>
      </c>
      <c r="N2267">
        <v>2804</v>
      </c>
      <c r="O2267">
        <v>7</v>
      </c>
      <c r="P2267" t="s">
        <v>27</v>
      </c>
      <c r="Q2267" s="1">
        <v>44272</v>
      </c>
    </row>
    <row r="2268" spans="1:17" x14ac:dyDescent="0.3">
      <c r="A2268" t="s">
        <v>22</v>
      </c>
      <c r="B2268" t="s">
        <v>47</v>
      </c>
      <c r="C2268" t="s">
        <v>30</v>
      </c>
      <c r="D2268" t="s">
        <v>46</v>
      </c>
      <c r="E2268" t="s">
        <v>18</v>
      </c>
      <c r="F2268" s="9">
        <v>0.11</v>
      </c>
      <c r="G2268" s="10">
        <v>13201</v>
      </c>
      <c r="H2268">
        <v>4.8600000000000003</v>
      </c>
      <c r="I2268" s="5">
        <f>ROUND(Marketing[[#This Row],[Clicks]]*Marketing[[#This Row],[Conversion_Rate]],0)</f>
        <v>68</v>
      </c>
      <c r="J2268" s="12">
        <f>Marketing[[#This Row],[Campaign_Cost]]/Marketing[[#This Row],[Customers]]</f>
        <v>194.13235294117646</v>
      </c>
      <c r="K2268" t="s">
        <v>38</v>
      </c>
      <c r="L2268" t="s">
        <v>26</v>
      </c>
      <c r="M2268">
        <v>622</v>
      </c>
      <c r="N2268">
        <v>3026</v>
      </c>
      <c r="O2268">
        <v>8</v>
      </c>
      <c r="P2268" t="s">
        <v>34</v>
      </c>
      <c r="Q2268" s="1">
        <v>44273</v>
      </c>
    </row>
    <row r="2269" spans="1:17" x14ac:dyDescent="0.3">
      <c r="A2269" t="s">
        <v>14</v>
      </c>
      <c r="B2269" t="s">
        <v>47</v>
      </c>
      <c r="C2269" t="s">
        <v>37</v>
      </c>
      <c r="D2269" t="s">
        <v>17</v>
      </c>
      <c r="E2269" t="s">
        <v>31</v>
      </c>
      <c r="F2269" s="9">
        <v>0.05</v>
      </c>
      <c r="G2269" s="10">
        <v>7668</v>
      </c>
      <c r="H2269">
        <v>6.71</v>
      </c>
      <c r="I2269" s="5">
        <f>ROUND(Marketing[[#This Row],[Clicks]]*Marketing[[#This Row],[Conversion_Rate]],0)</f>
        <v>47</v>
      </c>
      <c r="J2269" s="12">
        <f>Marketing[[#This Row],[Campaign_Cost]]/Marketing[[#This Row],[Customers]]</f>
        <v>163.14893617021278</v>
      </c>
      <c r="K2269" t="s">
        <v>51</v>
      </c>
      <c r="L2269" t="s">
        <v>26</v>
      </c>
      <c r="M2269">
        <v>949</v>
      </c>
      <c r="N2269">
        <v>2415</v>
      </c>
      <c r="O2269">
        <v>4</v>
      </c>
      <c r="P2269" t="s">
        <v>27</v>
      </c>
      <c r="Q2269" s="1">
        <v>44274</v>
      </c>
    </row>
    <row r="2270" spans="1:17" x14ac:dyDescent="0.3">
      <c r="A2270" t="s">
        <v>49</v>
      </c>
      <c r="B2270" t="s">
        <v>29</v>
      </c>
      <c r="C2270" t="s">
        <v>52</v>
      </c>
      <c r="D2270" t="s">
        <v>17</v>
      </c>
      <c r="E2270" t="s">
        <v>41</v>
      </c>
      <c r="F2270" s="9">
        <v>0.12</v>
      </c>
      <c r="G2270" s="10">
        <v>9875</v>
      </c>
      <c r="H2270">
        <v>7.74</v>
      </c>
      <c r="I2270" s="5">
        <f>ROUND(Marketing[[#This Row],[Clicks]]*Marketing[[#This Row],[Conversion_Rate]],0)</f>
        <v>97</v>
      </c>
      <c r="J2270" s="12">
        <f>Marketing[[#This Row],[Campaign_Cost]]/Marketing[[#This Row],[Customers]]</f>
        <v>101.80412371134021</v>
      </c>
      <c r="K2270" t="s">
        <v>51</v>
      </c>
      <c r="L2270" t="s">
        <v>39</v>
      </c>
      <c r="M2270">
        <v>807</v>
      </c>
      <c r="N2270">
        <v>8503</v>
      </c>
      <c r="O2270">
        <v>1</v>
      </c>
      <c r="P2270" t="s">
        <v>34</v>
      </c>
      <c r="Q2270" s="1">
        <v>44275</v>
      </c>
    </row>
    <row r="2271" spans="1:17" x14ac:dyDescent="0.3">
      <c r="A2271" t="s">
        <v>14</v>
      </c>
      <c r="B2271" t="s">
        <v>15</v>
      </c>
      <c r="C2271" t="s">
        <v>37</v>
      </c>
      <c r="D2271" t="s">
        <v>40</v>
      </c>
      <c r="E2271" t="s">
        <v>43</v>
      </c>
      <c r="F2271" s="9">
        <v>0.03</v>
      </c>
      <c r="G2271" s="10">
        <v>11342</v>
      </c>
      <c r="H2271">
        <v>7.88</v>
      </c>
      <c r="I2271" s="5">
        <f>ROUND(Marketing[[#This Row],[Clicks]]*Marketing[[#This Row],[Conversion_Rate]],0)</f>
        <v>27</v>
      </c>
      <c r="J2271" s="12">
        <f>Marketing[[#This Row],[Campaign_Cost]]/Marketing[[#This Row],[Customers]]</f>
        <v>420.07407407407408</v>
      </c>
      <c r="K2271" t="s">
        <v>38</v>
      </c>
      <c r="L2271" t="s">
        <v>50</v>
      </c>
      <c r="M2271">
        <v>888</v>
      </c>
      <c r="N2271">
        <v>5107</v>
      </c>
      <c r="O2271">
        <v>8</v>
      </c>
      <c r="P2271" t="s">
        <v>34</v>
      </c>
      <c r="Q2271" s="1">
        <v>44276</v>
      </c>
    </row>
    <row r="2272" spans="1:17" x14ac:dyDescent="0.3">
      <c r="A2272" t="s">
        <v>35</v>
      </c>
      <c r="B2272" t="s">
        <v>15</v>
      </c>
      <c r="C2272" t="s">
        <v>16</v>
      </c>
      <c r="D2272" t="s">
        <v>46</v>
      </c>
      <c r="E2272" t="s">
        <v>18</v>
      </c>
      <c r="F2272" s="9">
        <v>0.15</v>
      </c>
      <c r="G2272" s="10">
        <v>8319</v>
      </c>
      <c r="H2272">
        <v>7.49</v>
      </c>
      <c r="I2272" s="5">
        <f>ROUND(Marketing[[#This Row],[Clicks]]*Marketing[[#This Row],[Conversion_Rate]],0)</f>
        <v>17</v>
      </c>
      <c r="J2272" s="12">
        <f>Marketing[[#This Row],[Campaign_Cost]]/Marketing[[#This Row],[Customers]]</f>
        <v>489.35294117647061</v>
      </c>
      <c r="K2272" t="s">
        <v>51</v>
      </c>
      <c r="L2272" t="s">
        <v>39</v>
      </c>
      <c r="M2272">
        <v>110</v>
      </c>
      <c r="N2272">
        <v>1951</v>
      </c>
      <c r="O2272">
        <v>9</v>
      </c>
      <c r="P2272" t="s">
        <v>21</v>
      </c>
      <c r="Q2272" s="1">
        <v>44277</v>
      </c>
    </row>
    <row r="2273" spans="1:17" x14ac:dyDescent="0.3">
      <c r="A2273" t="s">
        <v>49</v>
      </c>
      <c r="B2273" t="s">
        <v>15</v>
      </c>
      <c r="C2273" t="s">
        <v>37</v>
      </c>
      <c r="D2273" t="s">
        <v>46</v>
      </c>
      <c r="E2273" t="s">
        <v>18</v>
      </c>
      <c r="F2273" s="9">
        <v>0.12</v>
      </c>
      <c r="G2273" s="10">
        <v>7384</v>
      </c>
      <c r="H2273">
        <v>5.68</v>
      </c>
      <c r="I2273" s="5">
        <f>ROUND(Marketing[[#This Row],[Clicks]]*Marketing[[#This Row],[Conversion_Rate]],0)</f>
        <v>63</v>
      </c>
      <c r="J2273" s="12">
        <f>Marketing[[#This Row],[Campaign_Cost]]/Marketing[[#This Row],[Customers]]</f>
        <v>117.2063492063492</v>
      </c>
      <c r="K2273" t="s">
        <v>19</v>
      </c>
      <c r="L2273" t="s">
        <v>26</v>
      </c>
      <c r="M2273">
        <v>523</v>
      </c>
      <c r="N2273">
        <v>1266</v>
      </c>
      <c r="O2273">
        <v>5</v>
      </c>
      <c r="P2273" t="s">
        <v>21</v>
      </c>
      <c r="Q2273" s="1">
        <v>44278</v>
      </c>
    </row>
    <row r="2274" spans="1:17" x14ac:dyDescent="0.3">
      <c r="A2274" t="s">
        <v>35</v>
      </c>
      <c r="B2274" t="s">
        <v>36</v>
      </c>
      <c r="C2274" t="s">
        <v>30</v>
      </c>
      <c r="D2274" t="s">
        <v>17</v>
      </c>
      <c r="E2274" t="s">
        <v>48</v>
      </c>
      <c r="F2274" s="9">
        <v>0.13</v>
      </c>
      <c r="G2274" s="10">
        <v>18529</v>
      </c>
      <c r="H2274">
        <v>6.44</v>
      </c>
      <c r="I2274" s="5">
        <f>ROUND(Marketing[[#This Row],[Clicks]]*Marketing[[#This Row],[Conversion_Rate]],0)</f>
        <v>62</v>
      </c>
      <c r="J2274" s="12">
        <f>Marketing[[#This Row],[Campaign_Cost]]/Marketing[[#This Row],[Customers]]</f>
        <v>298.85483870967744</v>
      </c>
      <c r="K2274" t="s">
        <v>25</v>
      </c>
      <c r="L2274" t="s">
        <v>50</v>
      </c>
      <c r="M2274">
        <v>477</v>
      </c>
      <c r="N2274">
        <v>1083</v>
      </c>
      <c r="O2274">
        <v>4</v>
      </c>
      <c r="P2274" t="s">
        <v>27</v>
      </c>
      <c r="Q2274" s="1">
        <v>44279</v>
      </c>
    </row>
    <row r="2275" spans="1:17" x14ac:dyDescent="0.3">
      <c r="A2275" t="s">
        <v>14</v>
      </c>
      <c r="B2275" t="s">
        <v>15</v>
      </c>
      <c r="C2275" t="s">
        <v>16</v>
      </c>
      <c r="D2275" t="s">
        <v>17</v>
      </c>
      <c r="E2275" t="s">
        <v>48</v>
      </c>
      <c r="F2275" s="9">
        <v>0.05</v>
      </c>
      <c r="G2275" s="10">
        <v>19171</v>
      </c>
      <c r="H2275">
        <v>7.37</v>
      </c>
      <c r="I2275" s="5">
        <f>ROUND(Marketing[[#This Row],[Clicks]]*Marketing[[#This Row],[Conversion_Rate]],0)</f>
        <v>30</v>
      </c>
      <c r="J2275" s="12">
        <f>Marketing[[#This Row],[Campaign_Cost]]/Marketing[[#This Row],[Customers]]</f>
        <v>639.0333333333333</v>
      </c>
      <c r="K2275" t="s">
        <v>51</v>
      </c>
      <c r="L2275" t="s">
        <v>39</v>
      </c>
      <c r="M2275">
        <v>597</v>
      </c>
      <c r="N2275">
        <v>1319</v>
      </c>
      <c r="O2275">
        <v>10</v>
      </c>
      <c r="P2275" t="s">
        <v>42</v>
      </c>
      <c r="Q2275" s="1">
        <v>44280</v>
      </c>
    </row>
    <row r="2276" spans="1:17" x14ac:dyDescent="0.3">
      <c r="A2276" t="s">
        <v>35</v>
      </c>
      <c r="B2276" t="s">
        <v>45</v>
      </c>
      <c r="C2276" t="s">
        <v>30</v>
      </c>
      <c r="D2276" t="s">
        <v>24</v>
      </c>
      <c r="E2276" t="s">
        <v>41</v>
      </c>
      <c r="F2276" s="9">
        <v>0.1</v>
      </c>
      <c r="G2276" s="10">
        <v>13545</v>
      </c>
      <c r="H2276">
        <v>4.4400000000000004</v>
      </c>
      <c r="I2276" s="5">
        <f>ROUND(Marketing[[#This Row],[Clicks]]*Marketing[[#This Row],[Conversion_Rate]],0)</f>
        <v>45</v>
      </c>
      <c r="J2276" s="12">
        <f>Marketing[[#This Row],[Campaign_Cost]]/Marketing[[#This Row],[Customers]]</f>
        <v>301</v>
      </c>
      <c r="K2276" t="s">
        <v>51</v>
      </c>
      <c r="L2276" t="s">
        <v>50</v>
      </c>
      <c r="M2276">
        <v>454</v>
      </c>
      <c r="N2276">
        <v>2794</v>
      </c>
      <c r="O2276">
        <v>5</v>
      </c>
      <c r="P2276" t="s">
        <v>27</v>
      </c>
      <c r="Q2276" s="1">
        <v>44281</v>
      </c>
    </row>
    <row r="2277" spans="1:17" x14ac:dyDescent="0.3">
      <c r="A2277" t="s">
        <v>14</v>
      </c>
      <c r="B2277" t="s">
        <v>47</v>
      </c>
      <c r="C2277" t="s">
        <v>52</v>
      </c>
      <c r="D2277" t="s">
        <v>40</v>
      </c>
      <c r="E2277" t="s">
        <v>31</v>
      </c>
      <c r="F2277" s="9">
        <v>0.01</v>
      </c>
      <c r="G2277" s="10">
        <v>17071</v>
      </c>
      <c r="H2277">
        <v>3.97</v>
      </c>
      <c r="I2277" s="5">
        <f>ROUND(Marketing[[#This Row],[Clicks]]*Marketing[[#This Row],[Conversion_Rate]],0)</f>
        <v>3</v>
      </c>
      <c r="J2277" s="12">
        <f>Marketing[[#This Row],[Campaign_Cost]]/Marketing[[#This Row],[Customers]]</f>
        <v>5690.333333333333</v>
      </c>
      <c r="K2277" t="s">
        <v>38</v>
      </c>
      <c r="L2277" t="s">
        <v>39</v>
      </c>
      <c r="M2277">
        <v>318</v>
      </c>
      <c r="N2277">
        <v>5255</v>
      </c>
      <c r="O2277">
        <v>9</v>
      </c>
      <c r="P2277" t="s">
        <v>27</v>
      </c>
      <c r="Q2277" s="1">
        <v>44282</v>
      </c>
    </row>
    <row r="2278" spans="1:17" x14ac:dyDescent="0.3">
      <c r="A2278" t="s">
        <v>14</v>
      </c>
      <c r="B2278" t="s">
        <v>45</v>
      </c>
      <c r="C2278" t="s">
        <v>23</v>
      </c>
      <c r="D2278" t="s">
        <v>24</v>
      </c>
      <c r="E2278" t="s">
        <v>18</v>
      </c>
      <c r="F2278" s="9">
        <v>0.02</v>
      </c>
      <c r="G2278" s="10">
        <v>6555</v>
      </c>
      <c r="H2278">
        <v>3.27</v>
      </c>
      <c r="I2278" s="5">
        <f>ROUND(Marketing[[#This Row],[Clicks]]*Marketing[[#This Row],[Conversion_Rate]],0)</f>
        <v>13</v>
      </c>
      <c r="J2278" s="12">
        <f>Marketing[[#This Row],[Campaign_Cost]]/Marketing[[#This Row],[Customers]]</f>
        <v>504.23076923076923</v>
      </c>
      <c r="K2278" t="s">
        <v>38</v>
      </c>
      <c r="L2278" t="s">
        <v>33</v>
      </c>
      <c r="M2278">
        <v>664</v>
      </c>
      <c r="N2278">
        <v>1064</v>
      </c>
      <c r="O2278">
        <v>3</v>
      </c>
      <c r="P2278" t="s">
        <v>44</v>
      </c>
      <c r="Q2278" s="1">
        <v>44283</v>
      </c>
    </row>
    <row r="2279" spans="1:17" x14ac:dyDescent="0.3">
      <c r="A2279" t="s">
        <v>35</v>
      </c>
      <c r="B2279" t="s">
        <v>36</v>
      </c>
      <c r="C2279" t="s">
        <v>16</v>
      </c>
      <c r="D2279" t="s">
        <v>17</v>
      </c>
      <c r="E2279" t="s">
        <v>41</v>
      </c>
      <c r="F2279" s="9">
        <v>0.11</v>
      </c>
      <c r="G2279" s="10">
        <v>8078</v>
      </c>
      <c r="H2279">
        <v>7.16</v>
      </c>
      <c r="I2279" s="5">
        <f>ROUND(Marketing[[#This Row],[Clicks]]*Marketing[[#This Row],[Conversion_Rate]],0)</f>
        <v>109</v>
      </c>
      <c r="J2279" s="12">
        <f>Marketing[[#This Row],[Campaign_Cost]]/Marketing[[#This Row],[Customers]]</f>
        <v>74.11009174311927</v>
      </c>
      <c r="K2279" t="s">
        <v>32</v>
      </c>
      <c r="L2279" t="s">
        <v>20</v>
      </c>
      <c r="M2279">
        <v>990</v>
      </c>
      <c r="N2279">
        <v>9660</v>
      </c>
      <c r="O2279">
        <v>2</v>
      </c>
      <c r="P2279" t="s">
        <v>27</v>
      </c>
      <c r="Q2279" s="1">
        <v>44284</v>
      </c>
    </row>
    <row r="2280" spans="1:17" x14ac:dyDescent="0.3">
      <c r="A2280" t="s">
        <v>28</v>
      </c>
      <c r="B2280" t="s">
        <v>29</v>
      </c>
      <c r="C2280" t="s">
        <v>52</v>
      </c>
      <c r="D2280" t="s">
        <v>46</v>
      </c>
      <c r="E2280" t="s">
        <v>31</v>
      </c>
      <c r="F2280" s="9">
        <v>0.05</v>
      </c>
      <c r="G2280" s="10">
        <v>16839</v>
      </c>
      <c r="H2280">
        <v>4.8899999999999997</v>
      </c>
      <c r="I2280" s="5">
        <f>ROUND(Marketing[[#This Row],[Clicks]]*Marketing[[#This Row],[Conversion_Rate]],0)</f>
        <v>36</v>
      </c>
      <c r="J2280" s="12">
        <f>Marketing[[#This Row],[Campaign_Cost]]/Marketing[[#This Row],[Customers]]</f>
        <v>467.75</v>
      </c>
      <c r="K2280" t="s">
        <v>51</v>
      </c>
      <c r="L2280" t="s">
        <v>20</v>
      </c>
      <c r="M2280">
        <v>713</v>
      </c>
      <c r="N2280">
        <v>1044</v>
      </c>
      <c r="O2280">
        <v>10</v>
      </c>
      <c r="P2280" t="s">
        <v>44</v>
      </c>
      <c r="Q2280" s="1">
        <v>44285</v>
      </c>
    </row>
    <row r="2281" spans="1:17" x14ac:dyDescent="0.3">
      <c r="A2281" t="s">
        <v>22</v>
      </c>
      <c r="B2281" t="s">
        <v>29</v>
      </c>
      <c r="C2281" t="s">
        <v>37</v>
      </c>
      <c r="D2281" t="s">
        <v>24</v>
      </c>
      <c r="E2281" t="s">
        <v>48</v>
      </c>
      <c r="F2281" s="9">
        <v>0.11</v>
      </c>
      <c r="G2281" s="10">
        <v>19512</v>
      </c>
      <c r="H2281">
        <v>5.17</v>
      </c>
      <c r="I2281" s="5">
        <f>ROUND(Marketing[[#This Row],[Clicks]]*Marketing[[#This Row],[Conversion_Rate]],0)</f>
        <v>42</v>
      </c>
      <c r="J2281" s="12">
        <f>Marketing[[#This Row],[Campaign_Cost]]/Marketing[[#This Row],[Customers]]</f>
        <v>464.57142857142856</v>
      </c>
      <c r="K2281" t="s">
        <v>51</v>
      </c>
      <c r="L2281" t="s">
        <v>39</v>
      </c>
      <c r="M2281">
        <v>386</v>
      </c>
      <c r="N2281">
        <v>8986</v>
      </c>
      <c r="O2281">
        <v>4</v>
      </c>
      <c r="P2281" t="s">
        <v>34</v>
      </c>
      <c r="Q2281" s="1">
        <v>44286</v>
      </c>
    </row>
    <row r="2282" spans="1:17" x14ac:dyDescent="0.3">
      <c r="A2282" t="s">
        <v>35</v>
      </c>
      <c r="B2282" t="s">
        <v>45</v>
      </c>
      <c r="C2282" t="s">
        <v>23</v>
      </c>
      <c r="D2282" t="s">
        <v>24</v>
      </c>
      <c r="E2282" t="s">
        <v>15</v>
      </c>
      <c r="F2282" s="9">
        <v>0.1</v>
      </c>
      <c r="G2282" s="10">
        <v>18122</v>
      </c>
      <c r="H2282">
        <v>4.3</v>
      </c>
      <c r="I2282" s="5">
        <f>ROUND(Marketing[[#This Row],[Clicks]]*Marketing[[#This Row],[Conversion_Rate]],0)</f>
        <v>25</v>
      </c>
      <c r="J2282" s="12">
        <f>Marketing[[#This Row],[Campaign_Cost]]/Marketing[[#This Row],[Customers]]</f>
        <v>724.88</v>
      </c>
      <c r="K2282" t="s">
        <v>51</v>
      </c>
      <c r="L2282" t="s">
        <v>39</v>
      </c>
      <c r="M2282">
        <v>253</v>
      </c>
      <c r="N2282">
        <v>9161</v>
      </c>
      <c r="O2282">
        <v>1</v>
      </c>
      <c r="P2282" t="s">
        <v>21</v>
      </c>
      <c r="Q2282" s="1">
        <v>44287</v>
      </c>
    </row>
    <row r="2283" spans="1:17" x14ac:dyDescent="0.3">
      <c r="A2283" t="s">
        <v>22</v>
      </c>
      <c r="B2283" t="s">
        <v>15</v>
      </c>
      <c r="C2283" t="s">
        <v>23</v>
      </c>
      <c r="D2283" t="s">
        <v>40</v>
      </c>
      <c r="E2283" t="s">
        <v>43</v>
      </c>
      <c r="F2283" s="9">
        <v>0.1</v>
      </c>
      <c r="G2283" s="10">
        <v>17790</v>
      </c>
      <c r="H2283">
        <v>3.83</v>
      </c>
      <c r="I2283" s="5">
        <f>ROUND(Marketing[[#This Row],[Clicks]]*Marketing[[#This Row],[Conversion_Rate]],0)</f>
        <v>100</v>
      </c>
      <c r="J2283" s="12">
        <f>Marketing[[#This Row],[Campaign_Cost]]/Marketing[[#This Row],[Customers]]</f>
        <v>177.9</v>
      </c>
      <c r="K2283" t="s">
        <v>19</v>
      </c>
      <c r="L2283" t="s">
        <v>20</v>
      </c>
      <c r="M2283">
        <v>1000</v>
      </c>
      <c r="N2283">
        <v>5932</v>
      </c>
      <c r="O2283">
        <v>7</v>
      </c>
      <c r="P2283" t="s">
        <v>44</v>
      </c>
      <c r="Q2283" s="1">
        <v>44288</v>
      </c>
    </row>
    <row r="2284" spans="1:17" x14ac:dyDescent="0.3">
      <c r="A2284" t="s">
        <v>49</v>
      </c>
      <c r="B2284" t="s">
        <v>47</v>
      </c>
      <c r="C2284" t="s">
        <v>16</v>
      </c>
      <c r="D2284" t="s">
        <v>46</v>
      </c>
      <c r="E2284" t="s">
        <v>41</v>
      </c>
      <c r="F2284" s="9">
        <v>0.03</v>
      </c>
      <c r="G2284" s="10">
        <v>12449</v>
      </c>
      <c r="H2284">
        <v>7.05</v>
      </c>
      <c r="I2284" s="5">
        <f>ROUND(Marketing[[#This Row],[Clicks]]*Marketing[[#This Row],[Conversion_Rate]],0)</f>
        <v>8</v>
      </c>
      <c r="J2284" s="12">
        <f>Marketing[[#This Row],[Campaign_Cost]]/Marketing[[#This Row],[Customers]]</f>
        <v>1556.125</v>
      </c>
      <c r="K2284" t="s">
        <v>19</v>
      </c>
      <c r="L2284" t="s">
        <v>50</v>
      </c>
      <c r="M2284">
        <v>275</v>
      </c>
      <c r="N2284">
        <v>1542</v>
      </c>
      <c r="O2284">
        <v>3</v>
      </c>
      <c r="P2284" t="s">
        <v>21</v>
      </c>
      <c r="Q2284" s="1">
        <v>44289</v>
      </c>
    </row>
    <row r="2285" spans="1:17" x14ac:dyDescent="0.3">
      <c r="A2285" t="s">
        <v>35</v>
      </c>
      <c r="B2285" t="s">
        <v>47</v>
      </c>
      <c r="C2285" t="s">
        <v>23</v>
      </c>
      <c r="D2285" t="s">
        <v>17</v>
      </c>
      <c r="E2285" t="s">
        <v>15</v>
      </c>
      <c r="F2285" s="9">
        <v>0.02</v>
      </c>
      <c r="G2285" s="10">
        <v>13793</v>
      </c>
      <c r="H2285">
        <v>3.56</v>
      </c>
      <c r="I2285" s="5">
        <f>ROUND(Marketing[[#This Row],[Clicks]]*Marketing[[#This Row],[Conversion_Rate]],0)</f>
        <v>13</v>
      </c>
      <c r="J2285" s="12">
        <f>Marketing[[#This Row],[Campaign_Cost]]/Marketing[[#This Row],[Customers]]</f>
        <v>1061</v>
      </c>
      <c r="K2285" t="s">
        <v>32</v>
      </c>
      <c r="L2285" t="s">
        <v>50</v>
      </c>
      <c r="M2285">
        <v>646</v>
      </c>
      <c r="N2285">
        <v>5062</v>
      </c>
      <c r="O2285">
        <v>10</v>
      </c>
      <c r="P2285" t="s">
        <v>27</v>
      </c>
      <c r="Q2285" s="1">
        <v>44290</v>
      </c>
    </row>
    <row r="2286" spans="1:17" x14ac:dyDescent="0.3">
      <c r="A2286" t="s">
        <v>14</v>
      </c>
      <c r="B2286" t="s">
        <v>29</v>
      </c>
      <c r="C2286" t="s">
        <v>23</v>
      </c>
      <c r="D2286" t="s">
        <v>17</v>
      </c>
      <c r="E2286" t="s">
        <v>15</v>
      </c>
      <c r="F2286" s="9">
        <v>0.12</v>
      </c>
      <c r="G2286" s="10">
        <v>14690</v>
      </c>
      <c r="H2286">
        <v>3.72</v>
      </c>
      <c r="I2286" s="5">
        <f>ROUND(Marketing[[#This Row],[Clicks]]*Marketing[[#This Row],[Conversion_Rate]],0)</f>
        <v>119</v>
      </c>
      <c r="J2286" s="12">
        <f>Marketing[[#This Row],[Campaign_Cost]]/Marketing[[#This Row],[Customers]]</f>
        <v>123.4453781512605</v>
      </c>
      <c r="K2286" t="s">
        <v>32</v>
      </c>
      <c r="L2286" t="s">
        <v>20</v>
      </c>
      <c r="M2286">
        <v>995</v>
      </c>
      <c r="N2286">
        <v>2425</v>
      </c>
      <c r="O2286">
        <v>1</v>
      </c>
      <c r="P2286" t="s">
        <v>27</v>
      </c>
      <c r="Q2286" s="1">
        <v>44291</v>
      </c>
    </row>
    <row r="2287" spans="1:17" x14ac:dyDescent="0.3">
      <c r="A2287" t="s">
        <v>14</v>
      </c>
      <c r="B2287" t="s">
        <v>47</v>
      </c>
      <c r="C2287" t="s">
        <v>16</v>
      </c>
      <c r="D2287" t="s">
        <v>46</v>
      </c>
      <c r="E2287" t="s">
        <v>15</v>
      </c>
      <c r="F2287" s="9">
        <v>0.02</v>
      </c>
      <c r="G2287" s="10">
        <v>10365</v>
      </c>
      <c r="H2287">
        <v>7.59</v>
      </c>
      <c r="I2287" s="5">
        <f>ROUND(Marketing[[#This Row],[Clicks]]*Marketing[[#This Row],[Conversion_Rate]],0)</f>
        <v>18</v>
      </c>
      <c r="J2287" s="12">
        <f>Marketing[[#This Row],[Campaign_Cost]]/Marketing[[#This Row],[Customers]]</f>
        <v>575.83333333333337</v>
      </c>
      <c r="K2287" t="s">
        <v>51</v>
      </c>
      <c r="L2287" t="s">
        <v>26</v>
      </c>
      <c r="M2287">
        <v>907</v>
      </c>
      <c r="N2287">
        <v>5326</v>
      </c>
      <c r="O2287">
        <v>1</v>
      </c>
      <c r="P2287" t="s">
        <v>21</v>
      </c>
      <c r="Q2287" s="1">
        <v>44292</v>
      </c>
    </row>
    <row r="2288" spans="1:17" x14ac:dyDescent="0.3">
      <c r="A2288" t="s">
        <v>35</v>
      </c>
      <c r="B2288" t="s">
        <v>29</v>
      </c>
      <c r="C2288" t="s">
        <v>16</v>
      </c>
      <c r="D2288" t="s">
        <v>17</v>
      </c>
      <c r="E2288" t="s">
        <v>48</v>
      </c>
      <c r="F2288" s="9">
        <v>0.1</v>
      </c>
      <c r="G2288" s="10">
        <v>13600</v>
      </c>
      <c r="H2288">
        <v>6.58</v>
      </c>
      <c r="I2288" s="5">
        <f>ROUND(Marketing[[#This Row],[Clicks]]*Marketing[[#This Row],[Conversion_Rate]],0)</f>
        <v>89</v>
      </c>
      <c r="J2288" s="12">
        <f>Marketing[[#This Row],[Campaign_Cost]]/Marketing[[#This Row],[Customers]]</f>
        <v>152.80898876404495</v>
      </c>
      <c r="K2288" t="s">
        <v>25</v>
      </c>
      <c r="L2288" t="s">
        <v>39</v>
      </c>
      <c r="M2288">
        <v>891</v>
      </c>
      <c r="N2288">
        <v>5901</v>
      </c>
      <c r="O2288">
        <v>3</v>
      </c>
      <c r="P2288" t="s">
        <v>21</v>
      </c>
      <c r="Q2288" s="1">
        <v>44293</v>
      </c>
    </row>
    <row r="2289" spans="1:17" x14ac:dyDescent="0.3">
      <c r="A2289" t="s">
        <v>28</v>
      </c>
      <c r="B2289" t="s">
        <v>29</v>
      </c>
      <c r="C2289" t="s">
        <v>30</v>
      </c>
      <c r="D2289" t="s">
        <v>24</v>
      </c>
      <c r="E2289" t="s">
        <v>15</v>
      </c>
      <c r="F2289" s="9">
        <v>0.1</v>
      </c>
      <c r="G2289" s="10">
        <v>6652</v>
      </c>
      <c r="H2289">
        <v>3.35</v>
      </c>
      <c r="I2289" s="5">
        <f>ROUND(Marketing[[#This Row],[Clicks]]*Marketing[[#This Row],[Conversion_Rate]],0)</f>
        <v>96</v>
      </c>
      <c r="J2289" s="12">
        <f>Marketing[[#This Row],[Campaign_Cost]]/Marketing[[#This Row],[Customers]]</f>
        <v>69.291666666666671</v>
      </c>
      <c r="K2289" t="s">
        <v>38</v>
      </c>
      <c r="L2289" t="s">
        <v>39</v>
      </c>
      <c r="M2289">
        <v>955</v>
      </c>
      <c r="N2289">
        <v>8367</v>
      </c>
      <c r="O2289">
        <v>7</v>
      </c>
      <c r="P2289" t="s">
        <v>21</v>
      </c>
      <c r="Q2289" s="1">
        <v>44294</v>
      </c>
    </row>
    <row r="2290" spans="1:17" x14ac:dyDescent="0.3">
      <c r="A2290" t="s">
        <v>28</v>
      </c>
      <c r="B2290" t="s">
        <v>45</v>
      </c>
      <c r="C2290" t="s">
        <v>52</v>
      </c>
      <c r="D2290" t="s">
        <v>24</v>
      </c>
      <c r="E2290" t="s">
        <v>18</v>
      </c>
      <c r="F2290" s="9">
        <v>0.1</v>
      </c>
      <c r="G2290" s="10">
        <v>14853</v>
      </c>
      <c r="H2290">
        <v>6.1</v>
      </c>
      <c r="I2290" s="5">
        <f>ROUND(Marketing[[#This Row],[Clicks]]*Marketing[[#This Row],[Conversion_Rate]],0)</f>
        <v>45</v>
      </c>
      <c r="J2290" s="12">
        <f>Marketing[[#This Row],[Campaign_Cost]]/Marketing[[#This Row],[Customers]]</f>
        <v>330.06666666666666</v>
      </c>
      <c r="K2290" t="s">
        <v>32</v>
      </c>
      <c r="L2290" t="s">
        <v>50</v>
      </c>
      <c r="M2290">
        <v>445</v>
      </c>
      <c r="N2290">
        <v>2152</v>
      </c>
      <c r="O2290">
        <v>5</v>
      </c>
      <c r="P2290" t="s">
        <v>44</v>
      </c>
      <c r="Q2290" s="1">
        <v>44295</v>
      </c>
    </row>
    <row r="2291" spans="1:17" x14ac:dyDescent="0.3">
      <c r="A2291" t="s">
        <v>35</v>
      </c>
      <c r="B2291" t="s">
        <v>47</v>
      </c>
      <c r="C2291" t="s">
        <v>30</v>
      </c>
      <c r="D2291" t="s">
        <v>46</v>
      </c>
      <c r="E2291" t="s">
        <v>15</v>
      </c>
      <c r="F2291" s="9">
        <v>0.05</v>
      </c>
      <c r="G2291" s="10">
        <v>8123</v>
      </c>
      <c r="H2291">
        <v>5.19</v>
      </c>
      <c r="I2291" s="5">
        <f>ROUND(Marketing[[#This Row],[Clicks]]*Marketing[[#This Row],[Conversion_Rate]],0)</f>
        <v>25</v>
      </c>
      <c r="J2291" s="12">
        <f>Marketing[[#This Row],[Campaign_Cost]]/Marketing[[#This Row],[Customers]]</f>
        <v>324.92</v>
      </c>
      <c r="K2291" t="s">
        <v>32</v>
      </c>
      <c r="L2291" t="s">
        <v>20</v>
      </c>
      <c r="M2291">
        <v>509</v>
      </c>
      <c r="N2291">
        <v>2862</v>
      </c>
      <c r="O2291">
        <v>8</v>
      </c>
      <c r="P2291" t="s">
        <v>21</v>
      </c>
      <c r="Q2291" s="1">
        <v>44296</v>
      </c>
    </row>
    <row r="2292" spans="1:17" x14ac:dyDescent="0.3">
      <c r="A2292" t="s">
        <v>14</v>
      </c>
      <c r="B2292" t="s">
        <v>45</v>
      </c>
      <c r="C2292" t="s">
        <v>37</v>
      </c>
      <c r="D2292" t="s">
        <v>40</v>
      </c>
      <c r="E2292" t="s">
        <v>43</v>
      </c>
      <c r="F2292" s="9">
        <v>0.09</v>
      </c>
      <c r="G2292" s="10">
        <v>13778</v>
      </c>
      <c r="H2292">
        <v>6.95</v>
      </c>
      <c r="I2292" s="5">
        <f>ROUND(Marketing[[#This Row],[Clicks]]*Marketing[[#This Row],[Conversion_Rate]],0)</f>
        <v>75</v>
      </c>
      <c r="J2292" s="12">
        <f>Marketing[[#This Row],[Campaign_Cost]]/Marketing[[#This Row],[Customers]]</f>
        <v>183.70666666666668</v>
      </c>
      <c r="K2292" t="s">
        <v>32</v>
      </c>
      <c r="L2292" t="s">
        <v>33</v>
      </c>
      <c r="M2292">
        <v>830</v>
      </c>
      <c r="N2292">
        <v>4948</v>
      </c>
      <c r="O2292">
        <v>10</v>
      </c>
      <c r="P2292" t="s">
        <v>44</v>
      </c>
      <c r="Q2292" s="1">
        <v>44297</v>
      </c>
    </row>
    <row r="2293" spans="1:17" x14ac:dyDescent="0.3">
      <c r="A2293" t="s">
        <v>28</v>
      </c>
      <c r="B2293" t="s">
        <v>36</v>
      </c>
      <c r="C2293" t="s">
        <v>30</v>
      </c>
      <c r="D2293" t="s">
        <v>17</v>
      </c>
      <c r="E2293" t="s">
        <v>31</v>
      </c>
      <c r="F2293" s="9">
        <v>0.14000000000000001</v>
      </c>
      <c r="G2293" s="10">
        <v>16489</v>
      </c>
      <c r="H2293">
        <v>2.3199999999999998</v>
      </c>
      <c r="I2293" s="5">
        <f>ROUND(Marketing[[#This Row],[Clicks]]*Marketing[[#This Row],[Conversion_Rate]],0)</f>
        <v>40</v>
      </c>
      <c r="J2293" s="12">
        <f>Marketing[[#This Row],[Campaign_Cost]]/Marketing[[#This Row],[Customers]]</f>
        <v>412.22500000000002</v>
      </c>
      <c r="K2293" t="s">
        <v>25</v>
      </c>
      <c r="L2293" t="s">
        <v>39</v>
      </c>
      <c r="M2293">
        <v>284</v>
      </c>
      <c r="N2293">
        <v>4935</v>
      </c>
      <c r="O2293">
        <v>6</v>
      </c>
      <c r="P2293" t="s">
        <v>21</v>
      </c>
      <c r="Q2293" s="1">
        <v>44298</v>
      </c>
    </row>
    <row r="2294" spans="1:17" x14ac:dyDescent="0.3">
      <c r="A2294" t="s">
        <v>28</v>
      </c>
      <c r="B2294" t="s">
        <v>36</v>
      </c>
      <c r="C2294" t="s">
        <v>16</v>
      </c>
      <c r="D2294" t="s">
        <v>17</v>
      </c>
      <c r="E2294" t="s">
        <v>31</v>
      </c>
      <c r="F2294" s="9">
        <v>0.1</v>
      </c>
      <c r="G2294" s="10">
        <v>5127</v>
      </c>
      <c r="H2294">
        <v>6.36</v>
      </c>
      <c r="I2294" s="5">
        <f>ROUND(Marketing[[#This Row],[Clicks]]*Marketing[[#This Row],[Conversion_Rate]],0)</f>
        <v>52</v>
      </c>
      <c r="J2294" s="12">
        <f>Marketing[[#This Row],[Campaign_Cost]]/Marketing[[#This Row],[Customers]]</f>
        <v>98.59615384615384</v>
      </c>
      <c r="K2294" t="s">
        <v>51</v>
      </c>
      <c r="L2294" t="s">
        <v>33</v>
      </c>
      <c r="M2294">
        <v>519</v>
      </c>
      <c r="N2294">
        <v>5752</v>
      </c>
      <c r="O2294">
        <v>2</v>
      </c>
      <c r="P2294" t="s">
        <v>44</v>
      </c>
      <c r="Q2294" s="1">
        <v>44299</v>
      </c>
    </row>
    <row r="2295" spans="1:17" x14ac:dyDescent="0.3">
      <c r="A2295" t="s">
        <v>49</v>
      </c>
      <c r="B2295" t="s">
        <v>36</v>
      </c>
      <c r="C2295" t="s">
        <v>30</v>
      </c>
      <c r="D2295" t="s">
        <v>17</v>
      </c>
      <c r="E2295" t="s">
        <v>15</v>
      </c>
      <c r="F2295" s="9">
        <v>0.15</v>
      </c>
      <c r="G2295" s="10">
        <v>6415</v>
      </c>
      <c r="H2295">
        <v>4.32</v>
      </c>
      <c r="I2295" s="5">
        <f>ROUND(Marketing[[#This Row],[Clicks]]*Marketing[[#This Row],[Conversion_Rate]],0)</f>
        <v>63</v>
      </c>
      <c r="J2295" s="12">
        <f>Marketing[[#This Row],[Campaign_Cost]]/Marketing[[#This Row],[Customers]]</f>
        <v>101.82539682539682</v>
      </c>
      <c r="K2295" t="s">
        <v>38</v>
      </c>
      <c r="L2295" t="s">
        <v>39</v>
      </c>
      <c r="M2295">
        <v>422</v>
      </c>
      <c r="N2295">
        <v>5986</v>
      </c>
      <c r="O2295">
        <v>2</v>
      </c>
      <c r="P2295" t="s">
        <v>34</v>
      </c>
      <c r="Q2295" s="1">
        <v>44300</v>
      </c>
    </row>
    <row r="2296" spans="1:17" x14ac:dyDescent="0.3">
      <c r="A2296" t="s">
        <v>14</v>
      </c>
      <c r="B2296" t="s">
        <v>45</v>
      </c>
      <c r="C2296" t="s">
        <v>52</v>
      </c>
      <c r="D2296" t="s">
        <v>24</v>
      </c>
      <c r="E2296" t="s">
        <v>43</v>
      </c>
      <c r="F2296" s="9">
        <v>0.1</v>
      </c>
      <c r="G2296" s="10">
        <v>11724</v>
      </c>
      <c r="H2296">
        <v>7.9</v>
      </c>
      <c r="I2296" s="5">
        <f>ROUND(Marketing[[#This Row],[Clicks]]*Marketing[[#This Row],[Conversion_Rate]],0)</f>
        <v>22</v>
      </c>
      <c r="J2296" s="12">
        <f>Marketing[[#This Row],[Campaign_Cost]]/Marketing[[#This Row],[Customers]]</f>
        <v>532.90909090909088</v>
      </c>
      <c r="K2296" t="s">
        <v>38</v>
      </c>
      <c r="L2296" t="s">
        <v>50</v>
      </c>
      <c r="M2296">
        <v>222</v>
      </c>
      <c r="N2296">
        <v>4607</v>
      </c>
      <c r="O2296">
        <v>10</v>
      </c>
      <c r="P2296" t="s">
        <v>27</v>
      </c>
      <c r="Q2296" s="1">
        <v>44301</v>
      </c>
    </row>
    <row r="2297" spans="1:17" x14ac:dyDescent="0.3">
      <c r="A2297" t="s">
        <v>28</v>
      </c>
      <c r="B2297" t="s">
        <v>36</v>
      </c>
      <c r="C2297" t="s">
        <v>37</v>
      </c>
      <c r="D2297" t="s">
        <v>17</v>
      </c>
      <c r="E2297" t="s">
        <v>48</v>
      </c>
      <c r="F2297" s="9">
        <v>0.09</v>
      </c>
      <c r="G2297" s="10">
        <v>19571</v>
      </c>
      <c r="H2297">
        <v>3.28</v>
      </c>
      <c r="I2297" s="5">
        <f>ROUND(Marketing[[#This Row],[Clicks]]*Marketing[[#This Row],[Conversion_Rate]],0)</f>
        <v>81</v>
      </c>
      <c r="J2297" s="12">
        <f>Marketing[[#This Row],[Campaign_Cost]]/Marketing[[#This Row],[Customers]]</f>
        <v>241.61728395061729</v>
      </c>
      <c r="K2297" t="s">
        <v>32</v>
      </c>
      <c r="L2297" t="s">
        <v>50</v>
      </c>
      <c r="M2297">
        <v>898</v>
      </c>
      <c r="N2297">
        <v>3164</v>
      </c>
      <c r="O2297">
        <v>7</v>
      </c>
      <c r="P2297" t="s">
        <v>27</v>
      </c>
      <c r="Q2297" s="1">
        <v>44302</v>
      </c>
    </row>
    <row r="2298" spans="1:17" x14ac:dyDescent="0.3">
      <c r="A2298" t="s">
        <v>22</v>
      </c>
      <c r="B2298" t="s">
        <v>47</v>
      </c>
      <c r="C2298" t="s">
        <v>16</v>
      </c>
      <c r="D2298" t="s">
        <v>17</v>
      </c>
      <c r="E2298" t="s">
        <v>18</v>
      </c>
      <c r="F2298" s="9">
        <v>0.09</v>
      </c>
      <c r="G2298" s="10">
        <v>15837</v>
      </c>
      <c r="H2298">
        <v>3.53</v>
      </c>
      <c r="I2298" s="5">
        <f>ROUND(Marketing[[#This Row],[Clicks]]*Marketing[[#This Row],[Conversion_Rate]],0)</f>
        <v>12</v>
      </c>
      <c r="J2298" s="12">
        <f>Marketing[[#This Row],[Campaign_Cost]]/Marketing[[#This Row],[Customers]]</f>
        <v>1319.75</v>
      </c>
      <c r="K2298" t="s">
        <v>38</v>
      </c>
      <c r="L2298" t="s">
        <v>33</v>
      </c>
      <c r="M2298">
        <v>138</v>
      </c>
      <c r="N2298">
        <v>6072</v>
      </c>
      <c r="O2298">
        <v>3</v>
      </c>
      <c r="P2298" t="s">
        <v>44</v>
      </c>
      <c r="Q2298" s="1">
        <v>44303</v>
      </c>
    </row>
    <row r="2299" spans="1:17" x14ac:dyDescent="0.3">
      <c r="A2299" t="s">
        <v>22</v>
      </c>
      <c r="B2299" t="s">
        <v>45</v>
      </c>
      <c r="C2299" t="s">
        <v>30</v>
      </c>
      <c r="D2299" t="s">
        <v>40</v>
      </c>
      <c r="E2299" t="s">
        <v>18</v>
      </c>
      <c r="F2299" s="9">
        <v>0.08</v>
      </c>
      <c r="G2299" s="10">
        <v>16633</v>
      </c>
      <c r="H2299">
        <v>5.1100000000000003</v>
      </c>
      <c r="I2299" s="5">
        <f>ROUND(Marketing[[#This Row],[Clicks]]*Marketing[[#This Row],[Conversion_Rate]],0)</f>
        <v>56</v>
      </c>
      <c r="J2299" s="12">
        <f>Marketing[[#This Row],[Campaign_Cost]]/Marketing[[#This Row],[Customers]]</f>
        <v>297.01785714285717</v>
      </c>
      <c r="K2299" t="s">
        <v>19</v>
      </c>
      <c r="L2299" t="s">
        <v>39</v>
      </c>
      <c r="M2299">
        <v>706</v>
      </c>
      <c r="N2299">
        <v>2055</v>
      </c>
      <c r="O2299">
        <v>1</v>
      </c>
      <c r="P2299" t="s">
        <v>42</v>
      </c>
      <c r="Q2299" s="1">
        <v>44304</v>
      </c>
    </row>
    <row r="2300" spans="1:17" x14ac:dyDescent="0.3">
      <c r="A2300" t="s">
        <v>49</v>
      </c>
      <c r="B2300" t="s">
        <v>45</v>
      </c>
      <c r="C2300" t="s">
        <v>30</v>
      </c>
      <c r="D2300" t="s">
        <v>17</v>
      </c>
      <c r="E2300" t="s">
        <v>48</v>
      </c>
      <c r="F2300" s="9">
        <v>0.05</v>
      </c>
      <c r="G2300" s="10">
        <v>14582</v>
      </c>
      <c r="H2300">
        <v>5.88</v>
      </c>
      <c r="I2300" s="5">
        <f>ROUND(Marketing[[#This Row],[Clicks]]*Marketing[[#This Row],[Conversion_Rate]],0)</f>
        <v>29</v>
      </c>
      <c r="J2300" s="12">
        <f>Marketing[[#This Row],[Campaign_Cost]]/Marketing[[#This Row],[Customers]]</f>
        <v>502.82758620689657</v>
      </c>
      <c r="K2300" t="s">
        <v>25</v>
      </c>
      <c r="L2300" t="s">
        <v>33</v>
      </c>
      <c r="M2300">
        <v>576</v>
      </c>
      <c r="N2300">
        <v>8364</v>
      </c>
      <c r="O2300">
        <v>4</v>
      </c>
      <c r="P2300" t="s">
        <v>34</v>
      </c>
      <c r="Q2300" s="1">
        <v>44305</v>
      </c>
    </row>
    <row r="2301" spans="1:17" x14ac:dyDescent="0.3">
      <c r="A2301" t="s">
        <v>22</v>
      </c>
      <c r="B2301" t="s">
        <v>36</v>
      </c>
      <c r="C2301" t="s">
        <v>16</v>
      </c>
      <c r="D2301" t="s">
        <v>17</v>
      </c>
      <c r="E2301" t="s">
        <v>48</v>
      </c>
      <c r="F2301" s="9">
        <v>0.15</v>
      </c>
      <c r="G2301" s="10">
        <v>9150</v>
      </c>
      <c r="H2301">
        <v>5.21</v>
      </c>
      <c r="I2301" s="5">
        <f>ROUND(Marketing[[#This Row],[Clicks]]*Marketing[[#This Row],[Conversion_Rate]],0)</f>
        <v>44</v>
      </c>
      <c r="J2301" s="12">
        <f>Marketing[[#This Row],[Campaign_Cost]]/Marketing[[#This Row],[Customers]]</f>
        <v>207.95454545454547</v>
      </c>
      <c r="K2301" t="s">
        <v>32</v>
      </c>
      <c r="L2301" t="s">
        <v>26</v>
      </c>
      <c r="M2301">
        <v>294</v>
      </c>
      <c r="N2301">
        <v>6708</v>
      </c>
      <c r="O2301">
        <v>2</v>
      </c>
      <c r="P2301" t="s">
        <v>27</v>
      </c>
      <c r="Q2301" s="1">
        <v>44306</v>
      </c>
    </row>
    <row r="2302" spans="1:17" x14ac:dyDescent="0.3">
      <c r="A2302" t="s">
        <v>49</v>
      </c>
      <c r="B2302" t="s">
        <v>47</v>
      </c>
      <c r="C2302" t="s">
        <v>23</v>
      </c>
      <c r="D2302" t="s">
        <v>40</v>
      </c>
      <c r="E2302" t="s">
        <v>15</v>
      </c>
      <c r="F2302" s="9">
        <v>0.04</v>
      </c>
      <c r="G2302" s="10">
        <v>13572</v>
      </c>
      <c r="H2302">
        <v>2.67</v>
      </c>
      <c r="I2302" s="5">
        <f>ROUND(Marketing[[#This Row],[Clicks]]*Marketing[[#This Row],[Conversion_Rate]],0)</f>
        <v>14</v>
      </c>
      <c r="J2302" s="12">
        <f>Marketing[[#This Row],[Campaign_Cost]]/Marketing[[#This Row],[Customers]]</f>
        <v>969.42857142857144</v>
      </c>
      <c r="K2302" t="s">
        <v>38</v>
      </c>
      <c r="L2302" t="s">
        <v>50</v>
      </c>
      <c r="M2302">
        <v>343</v>
      </c>
      <c r="N2302">
        <v>1261</v>
      </c>
      <c r="O2302">
        <v>7</v>
      </c>
      <c r="P2302" t="s">
        <v>27</v>
      </c>
      <c r="Q2302" s="1">
        <v>44307</v>
      </c>
    </row>
    <row r="2303" spans="1:17" x14ac:dyDescent="0.3">
      <c r="A2303" t="s">
        <v>22</v>
      </c>
      <c r="B2303" t="s">
        <v>15</v>
      </c>
      <c r="C2303" t="s">
        <v>23</v>
      </c>
      <c r="D2303" t="s">
        <v>24</v>
      </c>
      <c r="E2303" t="s">
        <v>15</v>
      </c>
      <c r="F2303" s="9">
        <v>0.09</v>
      </c>
      <c r="G2303" s="10">
        <v>19732</v>
      </c>
      <c r="H2303">
        <v>7.87</v>
      </c>
      <c r="I2303" s="5">
        <f>ROUND(Marketing[[#This Row],[Clicks]]*Marketing[[#This Row],[Conversion_Rate]],0)</f>
        <v>32</v>
      </c>
      <c r="J2303" s="12">
        <f>Marketing[[#This Row],[Campaign_Cost]]/Marketing[[#This Row],[Customers]]</f>
        <v>616.625</v>
      </c>
      <c r="K2303" t="s">
        <v>25</v>
      </c>
      <c r="L2303" t="s">
        <v>26</v>
      </c>
      <c r="M2303">
        <v>350</v>
      </c>
      <c r="N2303">
        <v>3717</v>
      </c>
      <c r="O2303">
        <v>5</v>
      </c>
      <c r="P2303" t="s">
        <v>44</v>
      </c>
      <c r="Q2303" s="1">
        <v>44308</v>
      </c>
    </row>
    <row r="2304" spans="1:17" x14ac:dyDescent="0.3">
      <c r="A2304" t="s">
        <v>49</v>
      </c>
      <c r="B2304" t="s">
        <v>36</v>
      </c>
      <c r="C2304" t="s">
        <v>37</v>
      </c>
      <c r="D2304" t="s">
        <v>24</v>
      </c>
      <c r="E2304" t="s">
        <v>43</v>
      </c>
      <c r="F2304" s="9">
        <v>0.02</v>
      </c>
      <c r="G2304" s="10">
        <v>8126</v>
      </c>
      <c r="H2304">
        <v>2.79</v>
      </c>
      <c r="I2304" s="5">
        <f>ROUND(Marketing[[#This Row],[Clicks]]*Marketing[[#This Row],[Conversion_Rate]],0)</f>
        <v>2</v>
      </c>
      <c r="J2304" s="12">
        <f>Marketing[[#This Row],[Campaign_Cost]]/Marketing[[#This Row],[Customers]]</f>
        <v>4063</v>
      </c>
      <c r="K2304" t="s">
        <v>51</v>
      </c>
      <c r="L2304" t="s">
        <v>33</v>
      </c>
      <c r="M2304">
        <v>100</v>
      </c>
      <c r="N2304">
        <v>9341</v>
      </c>
      <c r="O2304">
        <v>3</v>
      </c>
      <c r="P2304" t="s">
        <v>21</v>
      </c>
      <c r="Q2304" s="1">
        <v>44309</v>
      </c>
    </row>
    <row r="2305" spans="1:17" x14ac:dyDescent="0.3">
      <c r="A2305" t="s">
        <v>28</v>
      </c>
      <c r="B2305" t="s">
        <v>36</v>
      </c>
      <c r="C2305" t="s">
        <v>52</v>
      </c>
      <c r="D2305" t="s">
        <v>24</v>
      </c>
      <c r="E2305" t="s">
        <v>41</v>
      </c>
      <c r="F2305" s="9">
        <v>0.1</v>
      </c>
      <c r="G2305" s="10">
        <v>17216</v>
      </c>
      <c r="H2305">
        <v>5.88</v>
      </c>
      <c r="I2305" s="5">
        <f>ROUND(Marketing[[#This Row],[Clicks]]*Marketing[[#This Row],[Conversion_Rate]],0)</f>
        <v>63</v>
      </c>
      <c r="J2305" s="12">
        <f>Marketing[[#This Row],[Campaign_Cost]]/Marketing[[#This Row],[Customers]]</f>
        <v>273.26984126984127</v>
      </c>
      <c r="K2305" t="s">
        <v>25</v>
      </c>
      <c r="L2305" t="s">
        <v>26</v>
      </c>
      <c r="M2305">
        <v>633</v>
      </c>
      <c r="N2305">
        <v>5119</v>
      </c>
      <c r="O2305">
        <v>6</v>
      </c>
      <c r="P2305" t="s">
        <v>34</v>
      </c>
      <c r="Q2305" s="1">
        <v>44310</v>
      </c>
    </row>
    <row r="2306" spans="1:17" x14ac:dyDescent="0.3">
      <c r="A2306" t="s">
        <v>22</v>
      </c>
      <c r="B2306" t="s">
        <v>29</v>
      </c>
      <c r="C2306" t="s">
        <v>16</v>
      </c>
      <c r="D2306" t="s">
        <v>17</v>
      </c>
      <c r="E2306" t="s">
        <v>18</v>
      </c>
      <c r="F2306" s="9">
        <v>0.05</v>
      </c>
      <c r="G2306" s="10">
        <v>5564</v>
      </c>
      <c r="H2306">
        <v>7.25</v>
      </c>
      <c r="I2306" s="5">
        <f>ROUND(Marketing[[#This Row],[Clicks]]*Marketing[[#This Row],[Conversion_Rate]],0)</f>
        <v>33</v>
      </c>
      <c r="J2306" s="12">
        <f>Marketing[[#This Row],[Campaign_Cost]]/Marketing[[#This Row],[Customers]]</f>
        <v>168.60606060606059</v>
      </c>
      <c r="K2306" t="s">
        <v>51</v>
      </c>
      <c r="L2306" t="s">
        <v>20</v>
      </c>
      <c r="M2306">
        <v>662</v>
      </c>
      <c r="N2306">
        <v>7544</v>
      </c>
      <c r="O2306">
        <v>5</v>
      </c>
      <c r="P2306" t="s">
        <v>27</v>
      </c>
      <c r="Q2306" s="1">
        <v>44311</v>
      </c>
    </row>
    <row r="2307" spans="1:17" x14ac:dyDescent="0.3">
      <c r="A2307" t="s">
        <v>22</v>
      </c>
      <c r="B2307" t="s">
        <v>29</v>
      </c>
      <c r="C2307" t="s">
        <v>30</v>
      </c>
      <c r="D2307" t="s">
        <v>17</v>
      </c>
      <c r="E2307" t="s">
        <v>18</v>
      </c>
      <c r="F2307" s="9">
        <v>0.12</v>
      </c>
      <c r="G2307" s="10">
        <v>13100</v>
      </c>
      <c r="H2307">
        <v>5.35</v>
      </c>
      <c r="I2307" s="5">
        <f>ROUND(Marketing[[#This Row],[Clicks]]*Marketing[[#This Row],[Conversion_Rate]],0)</f>
        <v>31</v>
      </c>
      <c r="J2307" s="12">
        <f>Marketing[[#This Row],[Campaign_Cost]]/Marketing[[#This Row],[Customers]]</f>
        <v>422.58064516129031</v>
      </c>
      <c r="K2307" t="s">
        <v>19</v>
      </c>
      <c r="L2307" t="s">
        <v>20</v>
      </c>
      <c r="M2307">
        <v>262</v>
      </c>
      <c r="N2307">
        <v>7322</v>
      </c>
      <c r="O2307">
        <v>6</v>
      </c>
      <c r="P2307" t="s">
        <v>27</v>
      </c>
      <c r="Q2307" s="1">
        <v>44312</v>
      </c>
    </row>
    <row r="2308" spans="1:17" x14ac:dyDescent="0.3">
      <c r="A2308" t="s">
        <v>14</v>
      </c>
      <c r="B2308" t="s">
        <v>45</v>
      </c>
      <c r="C2308" t="s">
        <v>16</v>
      </c>
      <c r="D2308" t="s">
        <v>46</v>
      </c>
      <c r="E2308" t="s">
        <v>15</v>
      </c>
      <c r="F2308" s="9">
        <v>0.14000000000000001</v>
      </c>
      <c r="G2308" s="10">
        <v>12068</v>
      </c>
      <c r="H2308">
        <v>2.82</v>
      </c>
      <c r="I2308" s="5">
        <f>ROUND(Marketing[[#This Row],[Clicks]]*Marketing[[#This Row],[Conversion_Rate]],0)</f>
        <v>75</v>
      </c>
      <c r="J2308" s="12">
        <f>Marketing[[#This Row],[Campaign_Cost]]/Marketing[[#This Row],[Customers]]</f>
        <v>160.90666666666667</v>
      </c>
      <c r="K2308" t="s">
        <v>51</v>
      </c>
      <c r="L2308" t="s">
        <v>26</v>
      </c>
      <c r="M2308">
        <v>533</v>
      </c>
      <c r="N2308">
        <v>5078</v>
      </c>
      <c r="O2308">
        <v>5</v>
      </c>
      <c r="P2308" t="s">
        <v>34</v>
      </c>
      <c r="Q2308" s="1">
        <v>44313</v>
      </c>
    </row>
    <row r="2309" spans="1:17" x14ac:dyDescent="0.3">
      <c r="A2309" t="s">
        <v>49</v>
      </c>
      <c r="B2309" t="s">
        <v>29</v>
      </c>
      <c r="C2309" t="s">
        <v>16</v>
      </c>
      <c r="D2309" t="s">
        <v>17</v>
      </c>
      <c r="E2309" t="s">
        <v>48</v>
      </c>
      <c r="F2309" s="9">
        <v>0.09</v>
      </c>
      <c r="G2309" s="10">
        <v>12142</v>
      </c>
      <c r="H2309">
        <v>3.51</v>
      </c>
      <c r="I2309" s="5">
        <f>ROUND(Marketing[[#This Row],[Clicks]]*Marketing[[#This Row],[Conversion_Rate]],0)</f>
        <v>63</v>
      </c>
      <c r="J2309" s="12">
        <f>Marketing[[#This Row],[Campaign_Cost]]/Marketing[[#This Row],[Customers]]</f>
        <v>192.73015873015873</v>
      </c>
      <c r="K2309" t="s">
        <v>51</v>
      </c>
      <c r="L2309" t="s">
        <v>39</v>
      </c>
      <c r="M2309">
        <v>698</v>
      </c>
      <c r="N2309">
        <v>3263</v>
      </c>
      <c r="O2309">
        <v>6</v>
      </c>
      <c r="P2309" t="s">
        <v>21</v>
      </c>
      <c r="Q2309" s="1">
        <v>44314</v>
      </c>
    </row>
    <row r="2310" spans="1:17" x14ac:dyDescent="0.3">
      <c r="A2310" t="s">
        <v>28</v>
      </c>
      <c r="B2310" t="s">
        <v>45</v>
      </c>
      <c r="C2310" t="s">
        <v>30</v>
      </c>
      <c r="D2310" t="s">
        <v>40</v>
      </c>
      <c r="E2310" t="s">
        <v>43</v>
      </c>
      <c r="F2310" s="9">
        <v>0.06</v>
      </c>
      <c r="G2310" s="10">
        <v>6222</v>
      </c>
      <c r="H2310">
        <v>2.76</v>
      </c>
      <c r="I2310" s="5">
        <f>ROUND(Marketing[[#This Row],[Clicks]]*Marketing[[#This Row],[Conversion_Rate]],0)</f>
        <v>45</v>
      </c>
      <c r="J2310" s="12">
        <f>Marketing[[#This Row],[Campaign_Cost]]/Marketing[[#This Row],[Customers]]</f>
        <v>138.26666666666668</v>
      </c>
      <c r="K2310" t="s">
        <v>25</v>
      </c>
      <c r="L2310" t="s">
        <v>39</v>
      </c>
      <c r="M2310">
        <v>750</v>
      </c>
      <c r="N2310">
        <v>7076</v>
      </c>
      <c r="O2310">
        <v>6</v>
      </c>
      <c r="P2310" t="s">
        <v>42</v>
      </c>
      <c r="Q2310" s="1">
        <v>44315</v>
      </c>
    </row>
    <row r="2311" spans="1:17" x14ac:dyDescent="0.3">
      <c r="A2311" t="s">
        <v>35</v>
      </c>
      <c r="B2311" t="s">
        <v>29</v>
      </c>
      <c r="C2311" t="s">
        <v>52</v>
      </c>
      <c r="D2311" t="s">
        <v>40</v>
      </c>
      <c r="E2311" t="s">
        <v>15</v>
      </c>
      <c r="F2311" s="9">
        <v>7.0000000000000007E-2</v>
      </c>
      <c r="G2311" s="10">
        <v>18362</v>
      </c>
      <c r="H2311">
        <v>2.2799999999999998</v>
      </c>
      <c r="I2311" s="5">
        <f>ROUND(Marketing[[#This Row],[Clicks]]*Marketing[[#This Row],[Conversion_Rate]],0)</f>
        <v>64</v>
      </c>
      <c r="J2311" s="12">
        <f>Marketing[[#This Row],[Campaign_Cost]]/Marketing[[#This Row],[Customers]]</f>
        <v>286.90625</v>
      </c>
      <c r="K2311" t="s">
        <v>19</v>
      </c>
      <c r="L2311" t="s">
        <v>26</v>
      </c>
      <c r="M2311">
        <v>909</v>
      </c>
      <c r="N2311">
        <v>9062</v>
      </c>
      <c r="O2311">
        <v>4</v>
      </c>
      <c r="P2311" t="s">
        <v>21</v>
      </c>
      <c r="Q2311" s="1">
        <v>44316</v>
      </c>
    </row>
    <row r="2312" spans="1:17" x14ac:dyDescent="0.3">
      <c r="A2312" t="s">
        <v>14</v>
      </c>
      <c r="B2312" t="s">
        <v>15</v>
      </c>
      <c r="C2312" t="s">
        <v>52</v>
      </c>
      <c r="D2312" t="s">
        <v>17</v>
      </c>
      <c r="E2312" t="s">
        <v>15</v>
      </c>
      <c r="F2312" s="9">
        <v>0.04</v>
      </c>
      <c r="G2312" s="10">
        <v>10264</v>
      </c>
      <c r="H2312">
        <v>3.58</v>
      </c>
      <c r="I2312" s="5">
        <f>ROUND(Marketing[[#This Row],[Clicks]]*Marketing[[#This Row],[Conversion_Rate]],0)</f>
        <v>22</v>
      </c>
      <c r="J2312" s="12">
        <f>Marketing[[#This Row],[Campaign_Cost]]/Marketing[[#This Row],[Customers]]</f>
        <v>466.54545454545456</v>
      </c>
      <c r="K2312" t="s">
        <v>38</v>
      </c>
      <c r="L2312" t="s">
        <v>39</v>
      </c>
      <c r="M2312">
        <v>550</v>
      </c>
      <c r="N2312">
        <v>4759</v>
      </c>
      <c r="O2312">
        <v>4</v>
      </c>
      <c r="P2312" t="s">
        <v>44</v>
      </c>
      <c r="Q2312" s="1">
        <v>44317</v>
      </c>
    </row>
    <row r="2313" spans="1:17" x14ac:dyDescent="0.3">
      <c r="A2313" t="s">
        <v>35</v>
      </c>
      <c r="B2313" t="s">
        <v>15</v>
      </c>
      <c r="C2313" t="s">
        <v>52</v>
      </c>
      <c r="D2313" t="s">
        <v>24</v>
      </c>
      <c r="E2313" t="s">
        <v>41</v>
      </c>
      <c r="F2313" s="9">
        <v>0.15</v>
      </c>
      <c r="G2313" s="10">
        <v>13470</v>
      </c>
      <c r="H2313">
        <v>5.86</v>
      </c>
      <c r="I2313" s="5">
        <f>ROUND(Marketing[[#This Row],[Clicks]]*Marketing[[#This Row],[Conversion_Rate]],0)</f>
        <v>21</v>
      </c>
      <c r="J2313" s="12">
        <f>Marketing[[#This Row],[Campaign_Cost]]/Marketing[[#This Row],[Customers]]</f>
        <v>641.42857142857144</v>
      </c>
      <c r="K2313" t="s">
        <v>51</v>
      </c>
      <c r="L2313" t="s">
        <v>33</v>
      </c>
      <c r="M2313">
        <v>141</v>
      </c>
      <c r="N2313">
        <v>2487</v>
      </c>
      <c r="O2313">
        <v>4</v>
      </c>
      <c r="P2313" t="s">
        <v>44</v>
      </c>
      <c r="Q2313" s="1">
        <v>44318</v>
      </c>
    </row>
    <row r="2314" spans="1:17" x14ac:dyDescent="0.3">
      <c r="A2314" t="s">
        <v>14</v>
      </c>
      <c r="B2314" t="s">
        <v>15</v>
      </c>
      <c r="C2314" t="s">
        <v>52</v>
      </c>
      <c r="D2314" t="s">
        <v>24</v>
      </c>
      <c r="E2314" t="s">
        <v>48</v>
      </c>
      <c r="F2314" s="9">
        <v>0.05</v>
      </c>
      <c r="G2314" s="10">
        <v>19834</v>
      </c>
      <c r="H2314">
        <v>4.5599999999999996</v>
      </c>
      <c r="I2314" s="5">
        <f>ROUND(Marketing[[#This Row],[Clicks]]*Marketing[[#This Row],[Conversion_Rate]],0)</f>
        <v>41</v>
      </c>
      <c r="J2314" s="12">
        <f>Marketing[[#This Row],[Campaign_Cost]]/Marketing[[#This Row],[Customers]]</f>
        <v>483.7560975609756</v>
      </c>
      <c r="K2314" t="s">
        <v>25</v>
      </c>
      <c r="L2314" t="s">
        <v>50</v>
      </c>
      <c r="M2314">
        <v>815</v>
      </c>
      <c r="N2314">
        <v>3412</v>
      </c>
      <c r="O2314">
        <v>9</v>
      </c>
      <c r="P2314" t="s">
        <v>34</v>
      </c>
      <c r="Q2314" s="1">
        <v>44319</v>
      </c>
    </row>
    <row r="2315" spans="1:17" x14ac:dyDescent="0.3">
      <c r="A2315" t="s">
        <v>35</v>
      </c>
      <c r="B2315" t="s">
        <v>36</v>
      </c>
      <c r="C2315" t="s">
        <v>30</v>
      </c>
      <c r="D2315" t="s">
        <v>46</v>
      </c>
      <c r="E2315" t="s">
        <v>48</v>
      </c>
      <c r="F2315" s="9">
        <v>0.15</v>
      </c>
      <c r="G2315" s="10">
        <v>8185</v>
      </c>
      <c r="H2315">
        <v>4.57</v>
      </c>
      <c r="I2315" s="5">
        <f>ROUND(Marketing[[#This Row],[Clicks]]*Marketing[[#This Row],[Conversion_Rate]],0)</f>
        <v>69</v>
      </c>
      <c r="J2315" s="12">
        <f>Marketing[[#This Row],[Campaign_Cost]]/Marketing[[#This Row],[Customers]]</f>
        <v>118.62318840579709</v>
      </c>
      <c r="K2315" t="s">
        <v>25</v>
      </c>
      <c r="L2315" t="s">
        <v>50</v>
      </c>
      <c r="M2315">
        <v>461</v>
      </c>
      <c r="N2315">
        <v>4216</v>
      </c>
      <c r="O2315">
        <v>3</v>
      </c>
      <c r="P2315" t="s">
        <v>42</v>
      </c>
      <c r="Q2315" s="1">
        <v>44320</v>
      </c>
    </row>
    <row r="2316" spans="1:17" x14ac:dyDescent="0.3">
      <c r="A2316" t="s">
        <v>14</v>
      </c>
      <c r="B2316" t="s">
        <v>36</v>
      </c>
      <c r="C2316" t="s">
        <v>16</v>
      </c>
      <c r="D2316" t="s">
        <v>46</v>
      </c>
      <c r="E2316" t="s">
        <v>31</v>
      </c>
      <c r="F2316" s="9">
        <v>0.13</v>
      </c>
      <c r="G2316" s="10">
        <v>11728</v>
      </c>
      <c r="H2316">
        <v>7.5</v>
      </c>
      <c r="I2316" s="5">
        <f>ROUND(Marketing[[#This Row],[Clicks]]*Marketing[[#This Row],[Conversion_Rate]],0)</f>
        <v>101</v>
      </c>
      <c r="J2316" s="12">
        <f>Marketing[[#This Row],[Campaign_Cost]]/Marketing[[#This Row],[Customers]]</f>
        <v>116.11881188118812</v>
      </c>
      <c r="K2316" t="s">
        <v>38</v>
      </c>
      <c r="L2316" t="s">
        <v>20</v>
      </c>
      <c r="M2316">
        <v>774</v>
      </c>
      <c r="N2316">
        <v>2423</v>
      </c>
      <c r="O2316">
        <v>6</v>
      </c>
      <c r="P2316" t="s">
        <v>21</v>
      </c>
      <c r="Q2316" s="1">
        <v>44321</v>
      </c>
    </row>
    <row r="2317" spans="1:17" x14ac:dyDescent="0.3">
      <c r="A2317" t="s">
        <v>22</v>
      </c>
      <c r="B2317" t="s">
        <v>29</v>
      </c>
      <c r="C2317" t="s">
        <v>23</v>
      </c>
      <c r="D2317" t="s">
        <v>46</v>
      </c>
      <c r="E2317" t="s">
        <v>15</v>
      </c>
      <c r="F2317" s="9">
        <v>0.15</v>
      </c>
      <c r="G2317" s="10">
        <v>17745</v>
      </c>
      <c r="H2317">
        <v>7.72</v>
      </c>
      <c r="I2317" s="5">
        <f>ROUND(Marketing[[#This Row],[Clicks]]*Marketing[[#This Row],[Conversion_Rate]],0)</f>
        <v>50</v>
      </c>
      <c r="J2317" s="12">
        <f>Marketing[[#This Row],[Campaign_Cost]]/Marketing[[#This Row],[Customers]]</f>
        <v>354.9</v>
      </c>
      <c r="K2317" t="s">
        <v>32</v>
      </c>
      <c r="L2317" t="s">
        <v>26</v>
      </c>
      <c r="M2317">
        <v>330</v>
      </c>
      <c r="N2317">
        <v>4118</v>
      </c>
      <c r="O2317">
        <v>5</v>
      </c>
      <c r="P2317" t="s">
        <v>27</v>
      </c>
      <c r="Q2317" s="1">
        <v>44322</v>
      </c>
    </row>
    <row r="2318" spans="1:17" x14ac:dyDescent="0.3">
      <c r="A2318" t="s">
        <v>35</v>
      </c>
      <c r="B2318" t="s">
        <v>29</v>
      </c>
      <c r="C2318" t="s">
        <v>37</v>
      </c>
      <c r="D2318" t="s">
        <v>46</v>
      </c>
      <c r="E2318" t="s">
        <v>15</v>
      </c>
      <c r="F2318" s="9">
        <v>0.12</v>
      </c>
      <c r="G2318" s="10">
        <v>14807</v>
      </c>
      <c r="H2318">
        <v>3.58</v>
      </c>
      <c r="I2318" s="5">
        <f>ROUND(Marketing[[#This Row],[Clicks]]*Marketing[[#This Row],[Conversion_Rate]],0)</f>
        <v>91</v>
      </c>
      <c r="J2318" s="12">
        <f>Marketing[[#This Row],[Campaign_Cost]]/Marketing[[#This Row],[Customers]]</f>
        <v>162.71428571428572</v>
      </c>
      <c r="K2318" t="s">
        <v>25</v>
      </c>
      <c r="L2318" t="s">
        <v>39</v>
      </c>
      <c r="M2318">
        <v>756</v>
      </c>
      <c r="N2318">
        <v>1655</v>
      </c>
      <c r="O2318">
        <v>9</v>
      </c>
      <c r="P2318" t="s">
        <v>42</v>
      </c>
      <c r="Q2318" s="1">
        <v>44323</v>
      </c>
    </row>
    <row r="2319" spans="1:17" x14ac:dyDescent="0.3">
      <c r="A2319" t="s">
        <v>49</v>
      </c>
      <c r="B2319" t="s">
        <v>15</v>
      </c>
      <c r="C2319" t="s">
        <v>52</v>
      </c>
      <c r="D2319" t="s">
        <v>24</v>
      </c>
      <c r="E2319" t="s">
        <v>43</v>
      </c>
      <c r="F2319" s="9">
        <v>0.08</v>
      </c>
      <c r="G2319" s="10">
        <v>5556</v>
      </c>
      <c r="H2319">
        <v>5.66</v>
      </c>
      <c r="I2319" s="5">
        <f>ROUND(Marketing[[#This Row],[Clicks]]*Marketing[[#This Row],[Conversion_Rate]],0)</f>
        <v>42</v>
      </c>
      <c r="J2319" s="12">
        <f>Marketing[[#This Row],[Campaign_Cost]]/Marketing[[#This Row],[Customers]]</f>
        <v>132.28571428571428</v>
      </c>
      <c r="K2319" t="s">
        <v>19</v>
      </c>
      <c r="L2319" t="s">
        <v>26</v>
      </c>
      <c r="M2319">
        <v>531</v>
      </c>
      <c r="N2319">
        <v>3410</v>
      </c>
      <c r="O2319">
        <v>1</v>
      </c>
      <c r="P2319" t="s">
        <v>42</v>
      </c>
      <c r="Q2319" s="1">
        <v>44324</v>
      </c>
    </row>
    <row r="2320" spans="1:17" x14ac:dyDescent="0.3">
      <c r="A2320" t="s">
        <v>49</v>
      </c>
      <c r="B2320" t="s">
        <v>45</v>
      </c>
      <c r="C2320" t="s">
        <v>30</v>
      </c>
      <c r="D2320" t="s">
        <v>24</v>
      </c>
      <c r="E2320" t="s">
        <v>41</v>
      </c>
      <c r="F2320" s="9">
        <v>0.03</v>
      </c>
      <c r="G2320" s="10">
        <v>12009</v>
      </c>
      <c r="H2320">
        <v>6.95</v>
      </c>
      <c r="I2320" s="5">
        <f>ROUND(Marketing[[#This Row],[Clicks]]*Marketing[[#This Row],[Conversion_Rate]],0)</f>
        <v>8</v>
      </c>
      <c r="J2320" s="12">
        <f>Marketing[[#This Row],[Campaign_Cost]]/Marketing[[#This Row],[Customers]]</f>
        <v>1501.125</v>
      </c>
      <c r="K2320" t="s">
        <v>25</v>
      </c>
      <c r="L2320" t="s">
        <v>50</v>
      </c>
      <c r="M2320">
        <v>265</v>
      </c>
      <c r="N2320">
        <v>9940</v>
      </c>
      <c r="O2320">
        <v>3</v>
      </c>
      <c r="P2320" t="s">
        <v>42</v>
      </c>
      <c r="Q2320" s="1">
        <v>44325</v>
      </c>
    </row>
    <row r="2321" spans="1:17" x14ac:dyDescent="0.3">
      <c r="A2321" t="s">
        <v>49</v>
      </c>
      <c r="B2321" t="s">
        <v>36</v>
      </c>
      <c r="C2321" t="s">
        <v>16</v>
      </c>
      <c r="D2321" t="s">
        <v>24</v>
      </c>
      <c r="E2321" t="s">
        <v>43</v>
      </c>
      <c r="F2321" s="9">
        <v>0.01</v>
      </c>
      <c r="G2321" s="10">
        <v>11925</v>
      </c>
      <c r="H2321">
        <v>6.92</v>
      </c>
      <c r="I2321" s="5">
        <f>ROUND(Marketing[[#This Row],[Clicks]]*Marketing[[#This Row],[Conversion_Rate]],0)</f>
        <v>9</v>
      </c>
      <c r="J2321" s="12">
        <f>Marketing[[#This Row],[Campaign_Cost]]/Marketing[[#This Row],[Customers]]</f>
        <v>1325</v>
      </c>
      <c r="K2321" t="s">
        <v>25</v>
      </c>
      <c r="L2321" t="s">
        <v>20</v>
      </c>
      <c r="M2321">
        <v>854</v>
      </c>
      <c r="N2321">
        <v>2980</v>
      </c>
      <c r="O2321">
        <v>8</v>
      </c>
      <c r="P2321" t="s">
        <v>34</v>
      </c>
      <c r="Q2321" s="1">
        <v>44326</v>
      </c>
    </row>
    <row r="2322" spans="1:17" x14ac:dyDescent="0.3">
      <c r="A2322" t="s">
        <v>28</v>
      </c>
      <c r="B2322" t="s">
        <v>29</v>
      </c>
      <c r="C2322" t="s">
        <v>16</v>
      </c>
      <c r="D2322" t="s">
        <v>17</v>
      </c>
      <c r="E2322" t="s">
        <v>48</v>
      </c>
      <c r="F2322" s="9">
        <v>0.04</v>
      </c>
      <c r="G2322" s="10">
        <v>18835</v>
      </c>
      <c r="H2322">
        <v>7.05</v>
      </c>
      <c r="I2322" s="5">
        <f>ROUND(Marketing[[#This Row],[Clicks]]*Marketing[[#This Row],[Conversion_Rate]],0)</f>
        <v>20</v>
      </c>
      <c r="J2322" s="12">
        <f>Marketing[[#This Row],[Campaign_Cost]]/Marketing[[#This Row],[Customers]]</f>
        <v>941.75</v>
      </c>
      <c r="K2322" t="s">
        <v>19</v>
      </c>
      <c r="L2322" t="s">
        <v>50</v>
      </c>
      <c r="M2322">
        <v>488</v>
      </c>
      <c r="N2322">
        <v>1101</v>
      </c>
      <c r="O2322">
        <v>7</v>
      </c>
      <c r="P2322" t="s">
        <v>42</v>
      </c>
      <c r="Q2322" s="1">
        <v>44327</v>
      </c>
    </row>
    <row r="2323" spans="1:17" x14ac:dyDescent="0.3">
      <c r="A2323" t="s">
        <v>49</v>
      </c>
      <c r="B2323" t="s">
        <v>29</v>
      </c>
      <c r="C2323" t="s">
        <v>23</v>
      </c>
      <c r="D2323" t="s">
        <v>24</v>
      </c>
      <c r="E2323" t="s">
        <v>43</v>
      </c>
      <c r="F2323" s="9">
        <v>0.09</v>
      </c>
      <c r="G2323" s="10">
        <v>14141</v>
      </c>
      <c r="H2323">
        <v>7.42</v>
      </c>
      <c r="I2323" s="5">
        <f>ROUND(Marketing[[#This Row],[Clicks]]*Marketing[[#This Row],[Conversion_Rate]],0)</f>
        <v>78</v>
      </c>
      <c r="J2323" s="12">
        <f>Marketing[[#This Row],[Campaign_Cost]]/Marketing[[#This Row],[Customers]]</f>
        <v>181.2948717948718</v>
      </c>
      <c r="K2323" t="s">
        <v>19</v>
      </c>
      <c r="L2323" t="s">
        <v>20</v>
      </c>
      <c r="M2323">
        <v>863</v>
      </c>
      <c r="N2323">
        <v>5569</v>
      </c>
      <c r="O2323">
        <v>3</v>
      </c>
      <c r="P2323" t="s">
        <v>44</v>
      </c>
      <c r="Q2323" s="1">
        <v>44328</v>
      </c>
    </row>
    <row r="2324" spans="1:17" x14ac:dyDescent="0.3">
      <c r="A2324" t="s">
        <v>22</v>
      </c>
      <c r="B2324" t="s">
        <v>45</v>
      </c>
      <c r="C2324" t="s">
        <v>30</v>
      </c>
      <c r="D2324" t="s">
        <v>46</v>
      </c>
      <c r="E2324" t="s">
        <v>41</v>
      </c>
      <c r="F2324" s="9">
        <v>0.03</v>
      </c>
      <c r="G2324" s="10">
        <v>18496</v>
      </c>
      <c r="H2324">
        <v>2.52</v>
      </c>
      <c r="I2324" s="5">
        <f>ROUND(Marketing[[#This Row],[Clicks]]*Marketing[[#This Row],[Conversion_Rate]],0)</f>
        <v>7</v>
      </c>
      <c r="J2324" s="12">
        <f>Marketing[[#This Row],[Campaign_Cost]]/Marketing[[#This Row],[Customers]]</f>
        <v>2642.2857142857142</v>
      </c>
      <c r="K2324" t="s">
        <v>32</v>
      </c>
      <c r="L2324" t="s">
        <v>20</v>
      </c>
      <c r="M2324">
        <v>219</v>
      </c>
      <c r="N2324">
        <v>3342</v>
      </c>
      <c r="O2324">
        <v>1</v>
      </c>
      <c r="P2324" t="s">
        <v>27</v>
      </c>
      <c r="Q2324" s="1">
        <v>44329</v>
      </c>
    </row>
    <row r="2325" spans="1:17" x14ac:dyDescent="0.3">
      <c r="A2325" t="s">
        <v>35</v>
      </c>
      <c r="B2325" t="s">
        <v>36</v>
      </c>
      <c r="C2325" t="s">
        <v>37</v>
      </c>
      <c r="D2325" t="s">
        <v>46</v>
      </c>
      <c r="E2325" t="s">
        <v>31</v>
      </c>
      <c r="F2325" s="9">
        <v>0.09</v>
      </c>
      <c r="G2325" s="10">
        <v>12051</v>
      </c>
      <c r="H2325">
        <v>5.72</v>
      </c>
      <c r="I2325" s="5">
        <f>ROUND(Marketing[[#This Row],[Clicks]]*Marketing[[#This Row],[Conversion_Rate]],0)</f>
        <v>22</v>
      </c>
      <c r="J2325" s="12">
        <f>Marketing[[#This Row],[Campaign_Cost]]/Marketing[[#This Row],[Customers]]</f>
        <v>547.77272727272725</v>
      </c>
      <c r="K2325" t="s">
        <v>38</v>
      </c>
      <c r="L2325" t="s">
        <v>50</v>
      </c>
      <c r="M2325">
        <v>247</v>
      </c>
      <c r="N2325">
        <v>3788</v>
      </c>
      <c r="O2325">
        <v>1</v>
      </c>
      <c r="P2325" t="s">
        <v>44</v>
      </c>
      <c r="Q2325" s="1">
        <v>44330</v>
      </c>
    </row>
    <row r="2326" spans="1:17" x14ac:dyDescent="0.3">
      <c r="A2326" t="s">
        <v>14</v>
      </c>
      <c r="B2326" t="s">
        <v>47</v>
      </c>
      <c r="C2326" t="s">
        <v>52</v>
      </c>
      <c r="D2326" t="s">
        <v>40</v>
      </c>
      <c r="E2326" t="s">
        <v>43</v>
      </c>
      <c r="F2326" s="9">
        <v>0.02</v>
      </c>
      <c r="G2326" s="10">
        <v>12952</v>
      </c>
      <c r="H2326">
        <v>4.7699999999999996</v>
      </c>
      <c r="I2326" s="5">
        <f>ROUND(Marketing[[#This Row],[Clicks]]*Marketing[[#This Row],[Conversion_Rate]],0)</f>
        <v>10</v>
      </c>
      <c r="J2326" s="12">
        <f>Marketing[[#This Row],[Campaign_Cost]]/Marketing[[#This Row],[Customers]]</f>
        <v>1295.2</v>
      </c>
      <c r="K2326" t="s">
        <v>51</v>
      </c>
      <c r="L2326" t="s">
        <v>33</v>
      </c>
      <c r="M2326">
        <v>503</v>
      </c>
      <c r="N2326">
        <v>6123</v>
      </c>
      <c r="O2326">
        <v>10</v>
      </c>
      <c r="P2326" t="s">
        <v>21</v>
      </c>
      <c r="Q2326" s="1">
        <v>44331</v>
      </c>
    </row>
    <row r="2327" spans="1:17" x14ac:dyDescent="0.3">
      <c r="A2327" t="s">
        <v>28</v>
      </c>
      <c r="B2327" t="s">
        <v>15</v>
      </c>
      <c r="C2327" t="s">
        <v>16</v>
      </c>
      <c r="D2327" t="s">
        <v>46</v>
      </c>
      <c r="E2327" t="s">
        <v>41</v>
      </c>
      <c r="F2327" s="9">
        <v>0.01</v>
      </c>
      <c r="G2327" s="10">
        <v>17515</v>
      </c>
      <c r="H2327">
        <v>2.87</v>
      </c>
      <c r="I2327" s="5">
        <f>ROUND(Marketing[[#This Row],[Clicks]]*Marketing[[#This Row],[Conversion_Rate]],0)</f>
        <v>1</v>
      </c>
      <c r="J2327" s="12">
        <f>Marketing[[#This Row],[Campaign_Cost]]/Marketing[[#This Row],[Customers]]</f>
        <v>17515</v>
      </c>
      <c r="K2327" t="s">
        <v>38</v>
      </c>
      <c r="L2327" t="s">
        <v>39</v>
      </c>
      <c r="M2327">
        <v>137</v>
      </c>
      <c r="N2327">
        <v>9382</v>
      </c>
      <c r="O2327">
        <v>7</v>
      </c>
      <c r="P2327" t="s">
        <v>34</v>
      </c>
      <c r="Q2327" s="1">
        <v>44332</v>
      </c>
    </row>
    <row r="2328" spans="1:17" x14ac:dyDescent="0.3">
      <c r="A2328" t="s">
        <v>14</v>
      </c>
      <c r="B2328" t="s">
        <v>45</v>
      </c>
      <c r="C2328" t="s">
        <v>30</v>
      </c>
      <c r="D2328" t="s">
        <v>17</v>
      </c>
      <c r="E2328" t="s">
        <v>15</v>
      </c>
      <c r="F2328" s="9">
        <v>0.1</v>
      </c>
      <c r="G2328" s="10">
        <v>9056</v>
      </c>
      <c r="H2328">
        <v>4.53</v>
      </c>
      <c r="I2328" s="5">
        <f>ROUND(Marketing[[#This Row],[Clicks]]*Marketing[[#This Row],[Conversion_Rate]],0)</f>
        <v>20</v>
      </c>
      <c r="J2328" s="12">
        <f>Marketing[[#This Row],[Campaign_Cost]]/Marketing[[#This Row],[Customers]]</f>
        <v>452.8</v>
      </c>
      <c r="K2328" t="s">
        <v>25</v>
      </c>
      <c r="L2328" t="s">
        <v>39</v>
      </c>
      <c r="M2328">
        <v>198</v>
      </c>
      <c r="N2328">
        <v>1859</v>
      </c>
      <c r="O2328">
        <v>9</v>
      </c>
      <c r="P2328" t="s">
        <v>44</v>
      </c>
      <c r="Q2328" s="1">
        <v>44333</v>
      </c>
    </row>
    <row r="2329" spans="1:17" x14ac:dyDescent="0.3">
      <c r="A2329" t="s">
        <v>14</v>
      </c>
      <c r="B2329" t="s">
        <v>29</v>
      </c>
      <c r="C2329" t="s">
        <v>16</v>
      </c>
      <c r="D2329" t="s">
        <v>46</v>
      </c>
      <c r="E2329" t="s">
        <v>48</v>
      </c>
      <c r="F2329" s="9">
        <v>0.14000000000000001</v>
      </c>
      <c r="G2329" s="10">
        <v>15346</v>
      </c>
      <c r="H2329">
        <v>6.63</v>
      </c>
      <c r="I2329" s="5">
        <f>ROUND(Marketing[[#This Row],[Clicks]]*Marketing[[#This Row],[Conversion_Rate]],0)</f>
        <v>20</v>
      </c>
      <c r="J2329" s="12">
        <f>Marketing[[#This Row],[Campaign_Cost]]/Marketing[[#This Row],[Customers]]</f>
        <v>767.3</v>
      </c>
      <c r="K2329" t="s">
        <v>19</v>
      </c>
      <c r="L2329" t="s">
        <v>20</v>
      </c>
      <c r="M2329">
        <v>144</v>
      </c>
      <c r="N2329">
        <v>5868</v>
      </c>
      <c r="O2329">
        <v>5</v>
      </c>
      <c r="P2329" t="s">
        <v>44</v>
      </c>
      <c r="Q2329" s="1">
        <v>44334</v>
      </c>
    </row>
    <row r="2330" spans="1:17" x14ac:dyDescent="0.3">
      <c r="A2330" t="s">
        <v>35</v>
      </c>
      <c r="B2330" t="s">
        <v>29</v>
      </c>
      <c r="C2330" t="s">
        <v>23</v>
      </c>
      <c r="D2330" t="s">
        <v>24</v>
      </c>
      <c r="E2330" t="s">
        <v>41</v>
      </c>
      <c r="F2330" s="9">
        <v>0.01</v>
      </c>
      <c r="G2330" s="10">
        <v>5705</v>
      </c>
      <c r="H2330">
        <v>3.07</v>
      </c>
      <c r="I2330" s="5">
        <f>ROUND(Marketing[[#This Row],[Clicks]]*Marketing[[#This Row],[Conversion_Rate]],0)</f>
        <v>4</v>
      </c>
      <c r="J2330" s="12">
        <f>Marketing[[#This Row],[Campaign_Cost]]/Marketing[[#This Row],[Customers]]</f>
        <v>1426.25</v>
      </c>
      <c r="K2330" t="s">
        <v>38</v>
      </c>
      <c r="L2330" t="s">
        <v>20</v>
      </c>
      <c r="M2330">
        <v>394</v>
      </c>
      <c r="N2330">
        <v>1777</v>
      </c>
      <c r="O2330">
        <v>9</v>
      </c>
      <c r="P2330" t="s">
        <v>27</v>
      </c>
      <c r="Q2330" s="1">
        <v>44335</v>
      </c>
    </row>
    <row r="2331" spans="1:17" x14ac:dyDescent="0.3">
      <c r="A2331" t="s">
        <v>22</v>
      </c>
      <c r="B2331" t="s">
        <v>45</v>
      </c>
      <c r="C2331" t="s">
        <v>37</v>
      </c>
      <c r="D2331" t="s">
        <v>40</v>
      </c>
      <c r="E2331" t="s">
        <v>43</v>
      </c>
      <c r="F2331" s="9">
        <v>0.11</v>
      </c>
      <c r="G2331" s="10">
        <v>17273</v>
      </c>
      <c r="H2331">
        <v>6.36</v>
      </c>
      <c r="I2331" s="5">
        <f>ROUND(Marketing[[#This Row],[Clicks]]*Marketing[[#This Row],[Conversion_Rate]],0)</f>
        <v>65</v>
      </c>
      <c r="J2331" s="12">
        <f>Marketing[[#This Row],[Campaign_Cost]]/Marketing[[#This Row],[Customers]]</f>
        <v>265.73846153846154</v>
      </c>
      <c r="K2331" t="s">
        <v>25</v>
      </c>
      <c r="L2331" t="s">
        <v>39</v>
      </c>
      <c r="M2331">
        <v>591</v>
      </c>
      <c r="N2331">
        <v>5782</v>
      </c>
      <c r="O2331">
        <v>6</v>
      </c>
      <c r="P2331" t="s">
        <v>27</v>
      </c>
      <c r="Q2331" s="1">
        <v>44336</v>
      </c>
    </row>
    <row r="2332" spans="1:17" x14ac:dyDescent="0.3">
      <c r="A2332" t="s">
        <v>49</v>
      </c>
      <c r="B2332" t="s">
        <v>47</v>
      </c>
      <c r="C2332" t="s">
        <v>16</v>
      </c>
      <c r="D2332" t="s">
        <v>40</v>
      </c>
      <c r="E2332" t="s">
        <v>31</v>
      </c>
      <c r="F2332" s="9">
        <v>0.11</v>
      </c>
      <c r="G2332" s="10">
        <v>8913</v>
      </c>
      <c r="H2332">
        <v>6.05</v>
      </c>
      <c r="I2332" s="5">
        <f>ROUND(Marketing[[#This Row],[Clicks]]*Marketing[[#This Row],[Conversion_Rate]],0)</f>
        <v>64</v>
      </c>
      <c r="J2332" s="12">
        <f>Marketing[[#This Row],[Campaign_Cost]]/Marketing[[#This Row],[Customers]]</f>
        <v>139.265625</v>
      </c>
      <c r="K2332" t="s">
        <v>25</v>
      </c>
      <c r="L2332" t="s">
        <v>50</v>
      </c>
      <c r="M2332">
        <v>584</v>
      </c>
      <c r="N2332">
        <v>1416</v>
      </c>
      <c r="O2332">
        <v>7</v>
      </c>
      <c r="P2332" t="s">
        <v>42</v>
      </c>
      <c r="Q2332" s="1">
        <v>44337</v>
      </c>
    </row>
    <row r="2333" spans="1:17" x14ac:dyDescent="0.3">
      <c r="A2333" t="s">
        <v>35</v>
      </c>
      <c r="B2333" t="s">
        <v>29</v>
      </c>
      <c r="C2333" t="s">
        <v>37</v>
      </c>
      <c r="D2333" t="s">
        <v>24</v>
      </c>
      <c r="E2333" t="s">
        <v>48</v>
      </c>
      <c r="F2333" s="9">
        <v>0.02</v>
      </c>
      <c r="G2333" s="10">
        <v>15554</v>
      </c>
      <c r="H2333">
        <v>6.71</v>
      </c>
      <c r="I2333" s="5">
        <f>ROUND(Marketing[[#This Row],[Clicks]]*Marketing[[#This Row],[Conversion_Rate]],0)</f>
        <v>5</v>
      </c>
      <c r="J2333" s="12">
        <f>Marketing[[#This Row],[Campaign_Cost]]/Marketing[[#This Row],[Customers]]</f>
        <v>3110.8</v>
      </c>
      <c r="K2333" t="s">
        <v>32</v>
      </c>
      <c r="L2333" t="s">
        <v>20</v>
      </c>
      <c r="M2333">
        <v>232</v>
      </c>
      <c r="N2333">
        <v>7129</v>
      </c>
      <c r="O2333">
        <v>10</v>
      </c>
      <c r="P2333" t="s">
        <v>42</v>
      </c>
      <c r="Q2333" s="1">
        <v>44338</v>
      </c>
    </row>
    <row r="2334" spans="1:17" x14ac:dyDescent="0.3">
      <c r="A2334" t="s">
        <v>22</v>
      </c>
      <c r="B2334" t="s">
        <v>45</v>
      </c>
      <c r="C2334" t="s">
        <v>30</v>
      </c>
      <c r="D2334" t="s">
        <v>17</v>
      </c>
      <c r="E2334" t="s">
        <v>43</v>
      </c>
      <c r="F2334" s="9">
        <v>0.06</v>
      </c>
      <c r="G2334" s="10">
        <v>9573</v>
      </c>
      <c r="H2334">
        <v>7.65</v>
      </c>
      <c r="I2334" s="5">
        <f>ROUND(Marketing[[#This Row],[Clicks]]*Marketing[[#This Row],[Conversion_Rate]],0)</f>
        <v>13</v>
      </c>
      <c r="J2334" s="12">
        <f>Marketing[[#This Row],[Campaign_Cost]]/Marketing[[#This Row],[Customers]]</f>
        <v>736.38461538461536</v>
      </c>
      <c r="K2334" t="s">
        <v>32</v>
      </c>
      <c r="L2334" t="s">
        <v>26</v>
      </c>
      <c r="M2334">
        <v>210</v>
      </c>
      <c r="N2334">
        <v>4510</v>
      </c>
      <c r="O2334">
        <v>2</v>
      </c>
      <c r="P2334" t="s">
        <v>21</v>
      </c>
      <c r="Q2334" s="1">
        <v>44339</v>
      </c>
    </row>
    <row r="2335" spans="1:17" x14ac:dyDescent="0.3">
      <c r="A2335" t="s">
        <v>14</v>
      </c>
      <c r="B2335" t="s">
        <v>45</v>
      </c>
      <c r="C2335" t="s">
        <v>37</v>
      </c>
      <c r="D2335" t="s">
        <v>24</v>
      </c>
      <c r="E2335" t="s">
        <v>31</v>
      </c>
      <c r="F2335" s="9">
        <v>7.0000000000000007E-2</v>
      </c>
      <c r="G2335" s="10">
        <v>10257</v>
      </c>
      <c r="H2335">
        <v>6.16</v>
      </c>
      <c r="I2335" s="5">
        <f>ROUND(Marketing[[#This Row],[Clicks]]*Marketing[[#This Row],[Conversion_Rate]],0)</f>
        <v>55</v>
      </c>
      <c r="J2335" s="12">
        <f>Marketing[[#This Row],[Campaign_Cost]]/Marketing[[#This Row],[Customers]]</f>
        <v>186.4909090909091</v>
      </c>
      <c r="K2335" t="s">
        <v>51</v>
      </c>
      <c r="L2335" t="s">
        <v>50</v>
      </c>
      <c r="M2335">
        <v>786</v>
      </c>
      <c r="N2335">
        <v>2647</v>
      </c>
      <c r="O2335">
        <v>7</v>
      </c>
      <c r="P2335" t="s">
        <v>27</v>
      </c>
      <c r="Q2335" s="1">
        <v>44340</v>
      </c>
    </row>
    <row r="2336" spans="1:17" x14ac:dyDescent="0.3">
      <c r="A2336" t="s">
        <v>49</v>
      </c>
      <c r="B2336" t="s">
        <v>47</v>
      </c>
      <c r="C2336" t="s">
        <v>30</v>
      </c>
      <c r="D2336" t="s">
        <v>46</v>
      </c>
      <c r="E2336" t="s">
        <v>43</v>
      </c>
      <c r="F2336" s="9">
        <v>0.08</v>
      </c>
      <c r="G2336" s="10">
        <v>6177</v>
      </c>
      <c r="H2336">
        <v>5.71</v>
      </c>
      <c r="I2336" s="5">
        <f>ROUND(Marketing[[#This Row],[Clicks]]*Marketing[[#This Row],[Conversion_Rate]],0)</f>
        <v>54</v>
      </c>
      <c r="J2336" s="12">
        <f>Marketing[[#This Row],[Campaign_Cost]]/Marketing[[#This Row],[Customers]]</f>
        <v>114.38888888888889</v>
      </c>
      <c r="K2336" t="s">
        <v>19</v>
      </c>
      <c r="L2336" t="s">
        <v>39</v>
      </c>
      <c r="M2336">
        <v>679</v>
      </c>
      <c r="N2336">
        <v>7291</v>
      </c>
      <c r="O2336">
        <v>5</v>
      </c>
      <c r="P2336" t="s">
        <v>44</v>
      </c>
      <c r="Q2336" s="1">
        <v>44341</v>
      </c>
    </row>
    <row r="2337" spans="1:17" x14ac:dyDescent="0.3">
      <c r="A2337" t="s">
        <v>14</v>
      </c>
      <c r="B2337" t="s">
        <v>36</v>
      </c>
      <c r="C2337" t="s">
        <v>52</v>
      </c>
      <c r="D2337" t="s">
        <v>40</v>
      </c>
      <c r="E2337" t="s">
        <v>31</v>
      </c>
      <c r="F2337" s="9">
        <v>0.05</v>
      </c>
      <c r="G2337" s="10">
        <v>7625</v>
      </c>
      <c r="H2337">
        <v>4</v>
      </c>
      <c r="I2337" s="5">
        <f>ROUND(Marketing[[#This Row],[Clicks]]*Marketing[[#This Row],[Conversion_Rate]],0)</f>
        <v>6</v>
      </c>
      <c r="J2337" s="12">
        <f>Marketing[[#This Row],[Campaign_Cost]]/Marketing[[#This Row],[Customers]]</f>
        <v>1270.8333333333333</v>
      </c>
      <c r="K2337" t="s">
        <v>19</v>
      </c>
      <c r="L2337" t="s">
        <v>50</v>
      </c>
      <c r="M2337">
        <v>120</v>
      </c>
      <c r="N2337">
        <v>7429</v>
      </c>
      <c r="O2337">
        <v>8</v>
      </c>
      <c r="P2337" t="s">
        <v>44</v>
      </c>
      <c r="Q2337" s="1">
        <v>44342</v>
      </c>
    </row>
    <row r="2338" spans="1:17" x14ac:dyDescent="0.3">
      <c r="A2338" t="s">
        <v>14</v>
      </c>
      <c r="B2338" t="s">
        <v>15</v>
      </c>
      <c r="C2338" t="s">
        <v>52</v>
      </c>
      <c r="D2338" t="s">
        <v>17</v>
      </c>
      <c r="E2338" t="s">
        <v>18</v>
      </c>
      <c r="F2338" s="9">
        <v>0.13</v>
      </c>
      <c r="G2338" s="10">
        <v>12360</v>
      </c>
      <c r="H2338">
        <v>4.22</v>
      </c>
      <c r="I2338" s="5">
        <f>ROUND(Marketing[[#This Row],[Clicks]]*Marketing[[#This Row],[Conversion_Rate]],0)</f>
        <v>108</v>
      </c>
      <c r="J2338" s="12">
        <f>Marketing[[#This Row],[Campaign_Cost]]/Marketing[[#This Row],[Customers]]</f>
        <v>114.44444444444444</v>
      </c>
      <c r="K2338" t="s">
        <v>32</v>
      </c>
      <c r="L2338" t="s">
        <v>39</v>
      </c>
      <c r="M2338">
        <v>833</v>
      </c>
      <c r="N2338">
        <v>9366</v>
      </c>
      <c r="O2338">
        <v>2</v>
      </c>
      <c r="P2338" t="s">
        <v>27</v>
      </c>
      <c r="Q2338" s="1">
        <v>44343</v>
      </c>
    </row>
    <row r="2339" spans="1:17" x14ac:dyDescent="0.3">
      <c r="A2339" t="s">
        <v>49</v>
      </c>
      <c r="B2339" t="s">
        <v>45</v>
      </c>
      <c r="C2339" t="s">
        <v>30</v>
      </c>
      <c r="D2339" t="s">
        <v>46</v>
      </c>
      <c r="E2339" t="s">
        <v>15</v>
      </c>
      <c r="F2339" s="9">
        <v>0.14000000000000001</v>
      </c>
      <c r="G2339" s="10">
        <v>11636</v>
      </c>
      <c r="H2339">
        <v>6.59</v>
      </c>
      <c r="I2339" s="5">
        <f>ROUND(Marketing[[#This Row],[Clicks]]*Marketing[[#This Row],[Conversion_Rate]],0)</f>
        <v>45</v>
      </c>
      <c r="J2339" s="12">
        <f>Marketing[[#This Row],[Campaign_Cost]]/Marketing[[#This Row],[Customers]]</f>
        <v>258.57777777777778</v>
      </c>
      <c r="K2339" t="s">
        <v>19</v>
      </c>
      <c r="L2339" t="s">
        <v>39</v>
      </c>
      <c r="M2339">
        <v>319</v>
      </c>
      <c r="N2339">
        <v>8320</v>
      </c>
      <c r="O2339">
        <v>3</v>
      </c>
      <c r="P2339" t="s">
        <v>27</v>
      </c>
      <c r="Q2339" s="1">
        <v>44344</v>
      </c>
    </row>
    <row r="2340" spans="1:17" x14ac:dyDescent="0.3">
      <c r="A2340" t="s">
        <v>49</v>
      </c>
      <c r="B2340" t="s">
        <v>29</v>
      </c>
      <c r="C2340" t="s">
        <v>23</v>
      </c>
      <c r="D2340" t="s">
        <v>46</v>
      </c>
      <c r="E2340" t="s">
        <v>43</v>
      </c>
      <c r="F2340" s="9">
        <v>0.12</v>
      </c>
      <c r="G2340" s="10">
        <v>14417</v>
      </c>
      <c r="H2340">
        <v>7.28</v>
      </c>
      <c r="I2340" s="5">
        <f>ROUND(Marketing[[#This Row],[Clicks]]*Marketing[[#This Row],[Conversion_Rate]],0)</f>
        <v>119</v>
      </c>
      <c r="J2340" s="12">
        <f>Marketing[[#This Row],[Campaign_Cost]]/Marketing[[#This Row],[Customers]]</f>
        <v>121.15126050420169</v>
      </c>
      <c r="K2340" t="s">
        <v>25</v>
      </c>
      <c r="L2340" t="s">
        <v>20</v>
      </c>
      <c r="M2340">
        <v>992</v>
      </c>
      <c r="N2340">
        <v>2661</v>
      </c>
      <c r="O2340">
        <v>6</v>
      </c>
      <c r="P2340" t="s">
        <v>44</v>
      </c>
      <c r="Q2340" s="1">
        <v>44345</v>
      </c>
    </row>
    <row r="2341" spans="1:17" x14ac:dyDescent="0.3">
      <c r="A2341" t="s">
        <v>49</v>
      </c>
      <c r="B2341" t="s">
        <v>45</v>
      </c>
      <c r="C2341" t="s">
        <v>16</v>
      </c>
      <c r="D2341" t="s">
        <v>17</v>
      </c>
      <c r="E2341" t="s">
        <v>43</v>
      </c>
      <c r="F2341" s="9">
        <v>0.14000000000000001</v>
      </c>
      <c r="G2341" s="10">
        <v>11249</v>
      </c>
      <c r="H2341">
        <v>7.47</v>
      </c>
      <c r="I2341" s="5">
        <f>ROUND(Marketing[[#This Row],[Clicks]]*Marketing[[#This Row],[Conversion_Rate]],0)</f>
        <v>50</v>
      </c>
      <c r="J2341" s="12">
        <f>Marketing[[#This Row],[Campaign_Cost]]/Marketing[[#This Row],[Customers]]</f>
        <v>224.98</v>
      </c>
      <c r="K2341" t="s">
        <v>32</v>
      </c>
      <c r="L2341" t="s">
        <v>39</v>
      </c>
      <c r="M2341">
        <v>357</v>
      </c>
      <c r="N2341">
        <v>6718</v>
      </c>
      <c r="O2341">
        <v>9</v>
      </c>
      <c r="P2341" t="s">
        <v>44</v>
      </c>
      <c r="Q2341" s="1">
        <v>44346</v>
      </c>
    </row>
    <row r="2342" spans="1:17" x14ac:dyDescent="0.3">
      <c r="A2342" t="s">
        <v>14</v>
      </c>
      <c r="B2342" t="s">
        <v>47</v>
      </c>
      <c r="C2342" t="s">
        <v>16</v>
      </c>
      <c r="D2342" t="s">
        <v>46</v>
      </c>
      <c r="E2342" t="s">
        <v>48</v>
      </c>
      <c r="F2342" s="9">
        <v>7.0000000000000007E-2</v>
      </c>
      <c r="G2342" s="10">
        <v>9975</v>
      </c>
      <c r="H2342">
        <v>7.31</v>
      </c>
      <c r="I2342" s="5">
        <f>ROUND(Marketing[[#This Row],[Clicks]]*Marketing[[#This Row],[Conversion_Rate]],0)</f>
        <v>49</v>
      </c>
      <c r="J2342" s="12">
        <f>Marketing[[#This Row],[Campaign_Cost]]/Marketing[[#This Row],[Customers]]</f>
        <v>203.57142857142858</v>
      </c>
      <c r="K2342" t="s">
        <v>32</v>
      </c>
      <c r="L2342" t="s">
        <v>50</v>
      </c>
      <c r="M2342">
        <v>694</v>
      </c>
      <c r="N2342">
        <v>6691</v>
      </c>
      <c r="O2342">
        <v>10</v>
      </c>
      <c r="P2342" t="s">
        <v>21</v>
      </c>
      <c r="Q2342" s="1">
        <v>44347</v>
      </c>
    </row>
    <row r="2343" spans="1:17" x14ac:dyDescent="0.3">
      <c r="A2343" t="s">
        <v>22</v>
      </c>
      <c r="B2343" t="s">
        <v>15</v>
      </c>
      <c r="C2343" t="s">
        <v>52</v>
      </c>
      <c r="D2343" t="s">
        <v>24</v>
      </c>
      <c r="E2343" t="s">
        <v>43</v>
      </c>
      <c r="F2343" s="9">
        <v>0.04</v>
      </c>
      <c r="G2343" s="10">
        <v>19131</v>
      </c>
      <c r="H2343">
        <v>5.0199999999999996</v>
      </c>
      <c r="I2343" s="5">
        <f>ROUND(Marketing[[#This Row],[Clicks]]*Marketing[[#This Row],[Conversion_Rate]],0)</f>
        <v>12</v>
      </c>
      <c r="J2343" s="12">
        <f>Marketing[[#This Row],[Campaign_Cost]]/Marketing[[#This Row],[Customers]]</f>
        <v>1594.25</v>
      </c>
      <c r="K2343" t="s">
        <v>19</v>
      </c>
      <c r="L2343" t="s">
        <v>20</v>
      </c>
      <c r="M2343">
        <v>309</v>
      </c>
      <c r="N2343">
        <v>4863</v>
      </c>
      <c r="O2343">
        <v>1</v>
      </c>
      <c r="P2343" t="s">
        <v>42</v>
      </c>
      <c r="Q2343" s="1">
        <v>44348</v>
      </c>
    </row>
    <row r="2344" spans="1:17" x14ac:dyDescent="0.3">
      <c r="A2344" t="s">
        <v>35</v>
      </c>
      <c r="B2344" t="s">
        <v>29</v>
      </c>
      <c r="C2344" t="s">
        <v>16</v>
      </c>
      <c r="D2344" t="s">
        <v>40</v>
      </c>
      <c r="E2344" t="s">
        <v>43</v>
      </c>
      <c r="F2344" s="9">
        <v>0.03</v>
      </c>
      <c r="G2344" s="10">
        <v>8674</v>
      </c>
      <c r="H2344">
        <v>5.47</v>
      </c>
      <c r="I2344" s="5">
        <f>ROUND(Marketing[[#This Row],[Clicks]]*Marketing[[#This Row],[Conversion_Rate]],0)</f>
        <v>9</v>
      </c>
      <c r="J2344" s="12">
        <f>Marketing[[#This Row],[Campaign_Cost]]/Marketing[[#This Row],[Customers]]</f>
        <v>963.77777777777783</v>
      </c>
      <c r="K2344" t="s">
        <v>38</v>
      </c>
      <c r="L2344" t="s">
        <v>20</v>
      </c>
      <c r="M2344">
        <v>303</v>
      </c>
      <c r="N2344">
        <v>2248</v>
      </c>
      <c r="O2344">
        <v>2</v>
      </c>
      <c r="P2344" t="s">
        <v>27</v>
      </c>
      <c r="Q2344" s="1">
        <v>44349</v>
      </c>
    </row>
    <row r="2345" spans="1:17" x14ac:dyDescent="0.3">
      <c r="A2345" t="s">
        <v>35</v>
      </c>
      <c r="B2345" t="s">
        <v>45</v>
      </c>
      <c r="C2345" t="s">
        <v>23</v>
      </c>
      <c r="D2345" t="s">
        <v>40</v>
      </c>
      <c r="E2345" t="s">
        <v>48</v>
      </c>
      <c r="F2345" s="9">
        <v>0.13</v>
      </c>
      <c r="G2345" s="10">
        <v>6480</v>
      </c>
      <c r="H2345">
        <v>4.5999999999999996</v>
      </c>
      <c r="I2345" s="5">
        <f>ROUND(Marketing[[#This Row],[Clicks]]*Marketing[[#This Row],[Conversion_Rate]],0)</f>
        <v>49</v>
      </c>
      <c r="J2345" s="12">
        <f>Marketing[[#This Row],[Campaign_Cost]]/Marketing[[#This Row],[Customers]]</f>
        <v>132.24489795918367</v>
      </c>
      <c r="K2345" t="s">
        <v>51</v>
      </c>
      <c r="L2345" t="s">
        <v>20</v>
      </c>
      <c r="M2345">
        <v>378</v>
      </c>
      <c r="N2345">
        <v>8755</v>
      </c>
      <c r="O2345">
        <v>2</v>
      </c>
      <c r="P2345" t="s">
        <v>42</v>
      </c>
      <c r="Q2345" s="1">
        <v>44350</v>
      </c>
    </row>
    <row r="2346" spans="1:17" x14ac:dyDescent="0.3">
      <c r="A2346" t="s">
        <v>35</v>
      </c>
      <c r="B2346" t="s">
        <v>45</v>
      </c>
      <c r="C2346" t="s">
        <v>52</v>
      </c>
      <c r="D2346" t="s">
        <v>24</v>
      </c>
      <c r="E2346" t="s">
        <v>43</v>
      </c>
      <c r="F2346" s="9">
        <v>0.14000000000000001</v>
      </c>
      <c r="G2346" s="10">
        <v>7694</v>
      </c>
      <c r="H2346">
        <v>5.78</v>
      </c>
      <c r="I2346" s="5">
        <f>ROUND(Marketing[[#This Row],[Clicks]]*Marketing[[#This Row],[Conversion_Rate]],0)</f>
        <v>30</v>
      </c>
      <c r="J2346" s="12">
        <f>Marketing[[#This Row],[Campaign_Cost]]/Marketing[[#This Row],[Customers]]</f>
        <v>256.46666666666664</v>
      </c>
      <c r="K2346" t="s">
        <v>25</v>
      </c>
      <c r="L2346" t="s">
        <v>50</v>
      </c>
      <c r="M2346">
        <v>217</v>
      </c>
      <c r="N2346">
        <v>2541</v>
      </c>
      <c r="O2346">
        <v>7</v>
      </c>
      <c r="P2346" t="s">
        <v>21</v>
      </c>
      <c r="Q2346" s="1">
        <v>44351</v>
      </c>
    </row>
    <row r="2347" spans="1:17" x14ac:dyDescent="0.3">
      <c r="A2347" t="s">
        <v>35</v>
      </c>
      <c r="B2347" t="s">
        <v>15</v>
      </c>
      <c r="C2347" t="s">
        <v>52</v>
      </c>
      <c r="D2347" t="s">
        <v>40</v>
      </c>
      <c r="E2347" t="s">
        <v>15</v>
      </c>
      <c r="F2347" s="9">
        <v>7.0000000000000007E-2</v>
      </c>
      <c r="G2347" s="10">
        <v>14700</v>
      </c>
      <c r="H2347">
        <v>3.79</v>
      </c>
      <c r="I2347" s="5">
        <f>ROUND(Marketing[[#This Row],[Clicks]]*Marketing[[#This Row],[Conversion_Rate]],0)</f>
        <v>25</v>
      </c>
      <c r="J2347" s="12">
        <f>Marketing[[#This Row],[Campaign_Cost]]/Marketing[[#This Row],[Customers]]</f>
        <v>588</v>
      </c>
      <c r="K2347" t="s">
        <v>32</v>
      </c>
      <c r="L2347" t="s">
        <v>26</v>
      </c>
      <c r="M2347">
        <v>358</v>
      </c>
      <c r="N2347">
        <v>4353</v>
      </c>
      <c r="O2347">
        <v>7</v>
      </c>
      <c r="P2347" t="s">
        <v>42</v>
      </c>
      <c r="Q2347" s="1">
        <v>44352</v>
      </c>
    </row>
    <row r="2348" spans="1:17" x14ac:dyDescent="0.3">
      <c r="A2348" t="s">
        <v>22</v>
      </c>
      <c r="B2348" t="s">
        <v>29</v>
      </c>
      <c r="C2348" t="s">
        <v>16</v>
      </c>
      <c r="D2348" t="s">
        <v>46</v>
      </c>
      <c r="E2348" t="s">
        <v>43</v>
      </c>
      <c r="F2348" s="9">
        <v>0.02</v>
      </c>
      <c r="G2348" s="10">
        <v>17991</v>
      </c>
      <c r="H2348">
        <v>6.95</v>
      </c>
      <c r="I2348" s="5">
        <f>ROUND(Marketing[[#This Row],[Clicks]]*Marketing[[#This Row],[Conversion_Rate]],0)</f>
        <v>3</v>
      </c>
      <c r="J2348" s="12">
        <f>Marketing[[#This Row],[Campaign_Cost]]/Marketing[[#This Row],[Customers]]</f>
        <v>5997</v>
      </c>
      <c r="K2348" t="s">
        <v>25</v>
      </c>
      <c r="L2348" t="s">
        <v>39</v>
      </c>
      <c r="M2348">
        <v>128</v>
      </c>
      <c r="N2348">
        <v>7169</v>
      </c>
      <c r="O2348">
        <v>6</v>
      </c>
      <c r="P2348" t="s">
        <v>21</v>
      </c>
      <c r="Q2348" s="1">
        <v>44353</v>
      </c>
    </row>
    <row r="2349" spans="1:17" x14ac:dyDescent="0.3">
      <c r="A2349" t="s">
        <v>14</v>
      </c>
      <c r="B2349" t="s">
        <v>45</v>
      </c>
      <c r="C2349" t="s">
        <v>30</v>
      </c>
      <c r="D2349" t="s">
        <v>46</v>
      </c>
      <c r="E2349" t="s">
        <v>43</v>
      </c>
      <c r="F2349" s="9">
        <v>0.03</v>
      </c>
      <c r="G2349" s="10">
        <v>14680</v>
      </c>
      <c r="H2349">
        <v>4.3</v>
      </c>
      <c r="I2349" s="5">
        <f>ROUND(Marketing[[#This Row],[Clicks]]*Marketing[[#This Row],[Conversion_Rate]],0)</f>
        <v>23</v>
      </c>
      <c r="J2349" s="12">
        <f>Marketing[[#This Row],[Campaign_Cost]]/Marketing[[#This Row],[Customers]]</f>
        <v>638.26086956521738</v>
      </c>
      <c r="K2349" t="s">
        <v>38</v>
      </c>
      <c r="L2349" t="s">
        <v>20</v>
      </c>
      <c r="M2349">
        <v>759</v>
      </c>
      <c r="N2349">
        <v>4899</v>
      </c>
      <c r="O2349">
        <v>1</v>
      </c>
      <c r="P2349" t="s">
        <v>42</v>
      </c>
      <c r="Q2349" s="1">
        <v>44354</v>
      </c>
    </row>
    <row r="2350" spans="1:17" x14ac:dyDescent="0.3">
      <c r="A2350" t="s">
        <v>22</v>
      </c>
      <c r="B2350" t="s">
        <v>15</v>
      </c>
      <c r="C2350" t="s">
        <v>52</v>
      </c>
      <c r="D2350" t="s">
        <v>24</v>
      </c>
      <c r="E2350" t="s">
        <v>31</v>
      </c>
      <c r="F2350" s="9">
        <v>0.05</v>
      </c>
      <c r="G2350" s="10">
        <v>9922</v>
      </c>
      <c r="H2350">
        <v>2.42</v>
      </c>
      <c r="I2350" s="5">
        <f>ROUND(Marketing[[#This Row],[Clicks]]*Marketing[[#This Row],[Conversion_Rate]],0)</f>
        <v>41</v>
      </c>
      <c r="J2350" s="12">
        <f>Marketing[[#This Row],[Campaign_Cost]]/Marketing[[#This Row],[Customers]]</f>
        <v>242</v>
      </c>
      <c r="K2350" t="s">
        <v>25</v>
      </c>
      <c r="L2350" t="s">
        <v>50</v>
      </c>
      <c r="M2350">
        <v>811</v>
      </c>
      <c r="N2350">
        <v>6475</v>
      </c>
      <c r="O2350">
        <v>2</v>
      </c>
      <c r="P2350" t="s">
        <v>42</v>
      </c>
      <c r="Q2350" s="1">
        <v>44355</v>
      </c>
    </row>
    <row r="2351" spans="1:17" x14ac:dyDescent="0.3">
      <c r="A2351" t="s">
        <v>22</v>
      </c>
      <c r="B2351" t="s">
        <v>36</v>
      </c>
      <c r="C2351" t="s">
        <v>52</v>
      </c>
      <c r="D2351" t="s">
        <v>24</v>
      </c>
      <c r="E2351" t="s">
        <v>48</v>
      </c>
      <c r="F2351" s="9">
        <v>0.08</v>
      </c>
      <c r="G2351" s="10">
        <v>15690</v>
      </c>
      <c r="H2351">
        <v>2.7</v>
      </c>
      <c r="I2351" s="5">
        <f>ROUND(Marketing[[#This Row],[Clicks]]*Marketing[[#This Row],[Conversion_Rate]],0)</f>
        <v>76</v>
      </c>
      <c r="J2351" s="12">
        <f>Marketing[[#This Row],[Campaign_Cost]]/Marketing[[#This Row],[Customers]]</f>
        <v>206.44736842105263</v>
      </c>
      <c r="K2351" t="s">
        <v>51</v>
      </c>
      <c r="L2351" t="s">
        <v>26</v>
      </c>
      <c r="M2351">
        <v>951</v>
      </c>
      <c r="N2351">
        <v>3293</v>
      </c>
      <c r="O2351">
        <v>1</v>
      </c>
      <c r="P2351" t="s">
        <v>42</v>
      </c>
      <c r="Q2351" s="1">
        <v>44356</v>
      </c>
    </row>
    <row r="2352" spans="1:17" x14ac:dyDescent="0.3">
      <c r="A2352" t="s">
        <v>35</v>
      </c>
      <c r="B2352" t="s">
        <v>29</v>
      </c>
      <c r="C2352" t="s">
        <v>52</v>
      </c>
      <c r="D2352" t="s">
        <v>40</v>
      </c>
      <c r="E2352" t="s">
        <v>48</v>
      </c>
      <c r="F2352" s="9">
        <v>7.0000000000000007E-2</v>
      </c>
      <c r="G2352" s="10">
        <v>11107</v>
      </c>
      <c r="H2352">
        <v>2.87</v>
      </c>
      <c r="I2352" s="5">
        <f>ROUND(Marketing[[#This Row],[Clicks]]*Marketing[[#This Row],[Conversion_Rate]],0)</f>
        <v>52</v>
      </c>
      <c r="J2352" s="12">
        <f>Marketing[[#This Row],[Campaign_Cost]]/Marketing[[#This Row],[Customers]]</f>
        <v>213.59615384615384</v>
      </c>
      <c r="K2352" t="s">
        <v>38</v>
      </c>
      <c r="L2352" t="s">
        <v>50</v>
      </c>
      <c r="M2352">
        <v>745</v>
      </c>
      <c r="N2352">
        <v>4749</v>
      </c>
      <c r="O2352">
        <v>8</v>
      </c>
      <c r="P2352" t="s">
        <v>44</v>
      </c>
      <c r="Q2352" s="1">
        <v>44357</v>
      </c>
    </row>
    <row r="2353" spans="1:17" x14ac:dyDescent="0.3">
      <c r="A2353" t="s">
        <v>35</v>
      </c>
      <c r="B2353" t="s">
        <v>15</v>
      </c>
      <c r="C2353" t="s">
        <v>16</v>
      </c>
      <c r="D2353" t="s">
        <v>46</v>
      </c>
      <c r="E2353" t="s">
        <v>31</v>
      </c>
      <c r="F2353" s="9">
        <v>0.04</v>
      </c>
      <c r="G2353" s="10">
        <v>19398</v>
      </c>
      <c r="H2353">
        <v>4.18</v>
      </c>
      <c r="I2353" s="5">
        <f>ROUND(Marketing[[#This Row],[Clicks]]*Marketing[[#This Row],[Conversion_Rate]],0)</f>
        <v>7</v>
      </c>
      <c r="J2353" s="12">
        <f>Marketing[[#This Row],[Campaign_Cost]]/Marketing[[#This Row],[Customers]]</f>
        <v>2771.1428571428573</v>
      </c>
      <c r="K2353" t="s">
        <v>32</v>
      </c>
      <c r="L2353" t="s">
        <v>20</v>
      </c>
      <c r="M2353">
        <v>180</v>
      </c>
      <c r="N2353">
        <v>6423</v>
      </c>
      <c r="O2353">
        <v>9</v>
      </c>
      <c r="P2353" t="s">
        <v>21</v>
      </c>
      <c r="Q2353" s="1">
        <v>44358</v>
      </c>
    </row>
    <row r="2354" spans="1:17" x14ac:dyDescent="0.3">
      <c r="A2354" t="s">
        <v>14</v>
      </c>
      <c r="B2354" t="s">
        <v>36</v>
      </c>
      <c r="C2354" t="s">
        <v>16</v>
      </c>
      <c r="D2354" t="s">
        <v>24</v>
      </c>
      <c r="E2354" t="s">
        <v>31</v>
      </c>
      <c r="F2354" s="9">
        <v>0.06</v>
      </c>
      <c r="G2354" s="10">
        <v>12301</v>
      </c>
      <c r="H2354">
        <v>3.99</v>
      </c>
      <c r="I2354" s="5">
        <f>ROUND(Marketing[[#This Row],[Clicks]]*Marketing[[#This Row],[Conversion_Rate]],0)</f>
        <v>28</v>
      </c>
      <c r="J2354" s="12">
        <f>Marketing[[#This Row],[Campaign_Cost]]/Marketing[[#This Row],[Customers]]</f>
        <v>439.32142857142856</v>
      </c>
      <c r="K2354" t="s">
        <v>38</v>
      </c>
      <c r="L2354" t="s">
        <v>39</v>
      </c>
      <c r="M2354">
        <v>460</v>
      </c>
      <c r="N2354">
        <v>3953</v>
      </c>
      <c r="O2354">
        <v>9</v>
      </c>
      <c r="P2354" t="s">
        <v>42</v>
      </c>
      <c r="Q2354" s="1">
        <v>44359</v>
      </c>
    </row>
    <row r="2355" spans="1:17" x14ac:dyDescent="0.3">
      <c r="A2355" t="s">
        <v>28</v>
      </c>
      <c r="B2355" t="s">
        <v>45</v>
      </c>
      <c r="C2355" t="s">
        <v>37</v>
      </c>
      <c r="D2355" t="s">
        <v>17</v>
      </c>
      <c r="E2355" t="s">
        <v>31</v>
      </c>
      <c r="F2355" s="9">
        <v>0.14000000000000001</v>
      </c>
      <c r="G2355" s="10">
        <v>19314</v>
      </c>
      <c r="H2355">
        <v>4.32</v>
      </c>
      <c r="I2355" s="5">
        <f>ROUND(Marketing[[#This Row],[Clicks]]*Marketing[[#This Row],[Conversion_Rate]],0)</f>
        <v>67</v>
      </c>
      <c r="J2355" s="12">
        <f>Marketing[[#This Row],[Campaign_Cost]]/Marketing[[#This Row],[Customers]]</f>
        <v>288.26865671641792</v>
      </c>
      <c r="K2355" t="s">
        <v>38</v>
      </c>
      <c r="L2355" t="s">
        <v>50</v>
      </c>
      <c r="M2355">
        <v>477</v>
      </c>
      <c r="N2355">
        <v>8715</v>
      </c>
      <c r="O2355">
        <v>2</v>
      </c>
      <c r="P2355" t="s">
        <v>42</v>
      </c>
      <c r="Q2355" s="1">
        <v>44360</v>
      </c>
    </row>
    <row r="2356" spans="1:17" x14ac:dyDescent="0.3">
      <c r="A2356" t="s">
        <v>49</v>
      </c>
      <c r="B2356" t="s">
        <v>47</v>
      </c>
      <c r="C2356" t="s">
        <v>37</v>
      </c>
      <c r="D2356" t="s">
        <v>17</v>
      </c>
      <c r="E2356" t="s">
        <v>48</v>
      </c>
      <c r="F2356" s="9">
        <v>0.14000000000000001</v>
      </c>
      <c r="G2356" s="10">
        <v>5225</v>
      </c>
      <c r="H2356">
        <v>7.67</v>
      </c>
      <c r="I2356" s="5">
        <f>ROUND(Marketing[[#This Row],[Clicks]]*Marketing[[#This Row],[Conversion_Rate]],0)</f>
        <v>113</v>
      </c>
      <c r="J2356" s="12">
        <f>Marketing[[#This Row],[Campaign_Cost]]/Marketing[[#This Row],[Customers]]</f>
        <v>46.238938053097343</v>
      </c>
      <c r="K2356" t="s">
        <v>51</v>
      </c>
      <c r="L2356" t="s">
        <v>39</v>
      </c>
      <c r="M2356">
        <v>806</v>
      </c>
      <c r="N2356">
        <v>8343</v>
      </c>
      <c r="O2356">
        <v>3</v>
      </c>
      <c r="P2356" t="s">
        <v>34</v>
      </c>
      <c r="Q2356" s="1">
        <v>44361</v>
      </c>
    </row>
    <row r="2357" spans="1:17" x14ac:dyDescent="0.3">
      <c r="A2357" t="s">
        <v>35</v>
      </c>
      <c r="B2357" t="s">
        <v>36</v>
      </c>
      <c r="C2357" t="s">
        <v>23</v>
      </c>
      <c r="D2357" t="s">
        <v>24</v>
      </c>
      <c r="E2357" t="s">
        <v>15</v>
      </c>
      <c r="F2357" s="9">
        <v>0.06</v>
      </c>
      <c r="G2357" s="10">
        <v>10609</v>
      </c>
      <c r="H2357">
        <v>6.15</v>
      </c>
      <c r="I2357" s="5">
        <f>ROUND(Marketing[[#This Row],[Clicks]]*Marketing[[#This Row],[Conversion_Rate]],0)</f>
        <v>36</v>
      </c>
      <c r="J2357" s="12">
        <f>Marketing[[#This Row],[Campaign_Cost]]/Marketing[[#This Row],[Customers]]</f>
        <v>294.69444444444446</v>
      </c>
      <c r="K2357" t="s">
        <v>38</v>
      </c>
      <c r="L2357" t="s">
        <v>50</v>
      </c>
      <c r="M2357">
        <v>596</v>
      </c>
      <c r="N2357">
        <v>7174</v>
      </c>
      <c r="O2357">
        <v>1</v>
      </c>
      <c r="P2357" t="s">
        <v>42</v>
      </c>
      <c r="Q2357" s="1">
        <v>44362</v>
      </c>
    </row>
    <row r="2358" spans="1:17" x14ac:dyDescent="0.3">
      <c r="A2358" t="s">
        <v>14</v>
      </c>
      <c r="B2358" t="s">
        <v>29</v>
      </c>
      <c r="C2358" t="s">
        <v>52</v>
      </c>
      <c r="D2358" t="s">
        <v>17</v>
      </c>
      <c r="E2358" t="s">
        <v>48</v>
      </c>
      <c r="F2358" s="9">
        <v>0.08</v>
      </c>
      <c r="G2358" s="10">
        <v>19632</v>
      </c>
      <c r="H2358">
        <v>2.59</v>
      </c>
      <c r="I2358" s="5">
        <f>ROUND(Marketing[[#This Row],[Clicks]]*Marketing[[#This Row],[Conversion_Rate]],0)</f>
        <v>75</v>
      </c>
      <c r="J2358" s="12">
        <f>Marketing[[#This Row],[Campaign_Cost]]/Marketing[[#This Row],[Customers]]</f>
        <v>261.76</v>
      </c>
      <c r="K2358" t="s">
        <v>25</v>
      </c>
      <c r="L2358" t="s">
        <v>50</v>
      </c>
      <c r="M2358">
        <v>943</v>
      </c>
      <c r="N2358">
        <v>8046</v>
      </c>
      <c r="O2358">
        <v>10</v>
      </c>
      <c r="P2358" t="s">
        <v>34</v>
      </c>
      <c r="Q2358" s="1">
        <v>44363</v>
      </c>
    </row>
    <row r="2359" spans="1:17" x14ac:dyDescent="0.3">
      <c r="A2359" t="s">
        <v>35</v>
      </c>
      <c r="B2359" t="s">
        <v>29</v>
      </c>
      <c r="C2359" t="s">
        <v>30</v>
      </c>
      <c r="D2359" t="s">
        <v>40</v>
      </c>
      <c r="E2359" t="s">
        <v>48</v>
      </c>
      <c r="F2359" s="9">
        <v>0.14000000000000001</v>
      </c>
      <c r="G2359" s="10">
        <v>18392</v>
      </c>
      <c r="H2359">
        <v>5.32</v>
      </c>
      <c r="I2359" s="5">
        <f>ROUND(Marketing[[#This Row],[Clicks]]*Marketing[[#This Row],[Conversion_Rate]],0)</f>
        <v>74</v>
      </c>
      <c r="J2359" s="12">
        <f>Marketing[[#This Row],[Campaign_Cost]]/Marketing[[#This Row],[Customers]]</f>
        <v>248.54054054054055</v>
      </c>
      <c r="K2359" t="s">
        <v>32</v>
      </c>
      <c r="L2359" t="s">
        <v>20</v>
      </c>
      <c r="M2359">
        <v>531</v>
      </c>
      <c r="N2359">
        <v>4575</v>
      </c>
      <c r="O2359">
        <v>4</v>
      </c>
      <c r="P2359" t="s">
        <v>44</v>
      </c>
      <c r="Q2359" s="1">
        <v>44364</v>
      </c>
    </row>
    <row r="2360" spans="1:17" x14ac:dyDescent="0.3">
      <c r="A2360" t="s">
        <v>14</v>
      </c>
      <c r="B2360" t="s">
        <v>36</v>
      </c>
      <c r="C2360" t="s">
        <v>23</v>
      </c>
      <c r="D2360" t="s">
        <v>46</v>
      </c>
      <c r="E2360" t="s">
        <v>41</v>
      </c>
      <c r="F2360" s="9">
        <v>0.11</v>
      </c>
      <c r="G2360" s="10">
        <v>12012</v>
      </c>
      <c r="H2360">
        <v>4.97</v>
      </c>
      <c r="I2360" s="5">
        <f>ROUND(Marketing[[#This Row],[Clicks]]*Marketing[[#This Row],[Conversion_Rate]],0)</f>
        <v>56</v>
      </c>
      <c r="J2360" s="12">
        <f>Marketing[[#This Row],[Campaign_Cost]]/Marketing[[#This Row],[Customers]]</f>
        <v>214.5</v>
      </c>
      <c r="K2360" t="s">
        <v>19</v>
      </c>
      <c r="L2360" t="s">
        <v>20</v>
      </c>
      <c r="M2360">
        <v>509</v>
      </c>
      <c r="N2360">
        <v>1852</v>
      </c>
      <c r="O2360">
        <v>6</v>
      </c>
      <c r="P2360" t="s">
        <v>44</v>
      </c>
      <c r="Q2360" s="1">
        <v>44365</v>
      </c>
    </row>
    <row r="2361" spans="1:17" x14ac:dyDescent="0.3">
      <c r="A2361" t="s">
        <v>28</v>
      </c>
      <c r="B2361" t="s">
        <v>45</v>
      </c>
      <c r="C2361" t="s">
        <v>37</v>
      </c>
      <c r="D2361" t="s">
        <v>46</v>
      </c>
      <c r="E2361" t="s">
        <v>48</v>
      </c>
      <c r="F2361" s="9">
        <v>0.12</v>
      </c>
      <c r="G2361" s="10">
        <v>13960</v>
      </c>
      <c r="H2361">
        <v>6.56</v>
      </c>
      <c r="I2361" s="5">
        <f>ROUND(Marketing[[#This Row],[Clicks]]*Marketing[[#This Row],[Conversion_Rate]],0)</f>
        <v>37</v>
      </c>
      <c r="J2361" s="12">
        <f>Marketing[[#This Row],[Campaign_Cost]]/Marketing[[#This Row],[Customers]]</f>
        <v>377.29729729729729</v>
      </c>
      <c r="K2361" t="s">
        <v>25</v>
      </c>
      <c r="L2361" t="s">
        <v>33</v>
      </c>
      <c r="M2361">
        <v>311</v>
      </c>
      <c r="N2361">
        <v>5035</v>
      </c>
      <c r="O2361">
        <v>5</v>
      </c>
      <c r="P2361" t="s">
        <v>34</v>
      </c>
      <c r="Q2361" s="1">
        <v>44366</v>
      </c>
    </row>
    <row r="2362" spans="1:17" x14ac:dyDescent="0.3">
      <c r="A2362" t="s">
        <v>28</v>
      </c>
      <c r="B2362" t="s">
        <v>29</v>
      </c>
      <c r="C2362" t="s">
        <v>16</v>
      </c>
      <c r="D2362" t="s">
        <v>24</v>
      </c>
      <c r="E2362" t="s">
        <v>48</v>
      </c>
      <c r="F2362" s="9">
        <v>0.04</v>
      </c>
      <c r="G2362" s="10">
        <v>6436</v>
      </c>
      <c r="H2362">
        <v>7.76</v>
      </c>
      <c r="I2362" s="5">
        <f>ROUND(Marketing[[#This Row],[Clicks]]*Marketing[[#This Row],[Conversion_Rate]],0)</f>
        <v>34</v>
      </c>
      <c r="J2362" s="12">
        <f>Marketing[[#This Row],[Campaign_Cost]]/Marketing[[#This Row],[Customers]]</f>
        <v>189.29411764705881</v>
      </c>
      <c r="K2362" t="s">
        <v>51</v>
      </c>
      <c r="L2362" t="s">
        <v>39</v>
      </c>
      <c r="M2362">
        <v>843</v>
      </c>
      <c r="N2362">
        <v>2343</v>
      </c>
      <c r="O2362">
        <v>1</v>
      </c>
      <c r="P2362" t="s">
        <v>27</v>
      </c>
      <c r="Q2362" s="1">
        <v>44367</v>
      </c>
    </row>
    <row r="2363" spans="1:17" x14ac:dyDescent="0.3">
      <c r="A2363" t="s">
        <v>49</v>
      </c>
      <c r="B2363" t="s">
        <v>36</v>
      </c>
      <c r="C2363" t="s">
        <v>37</v>
      </c>
      <c r="D2363" t="s">
        <v>24</v>
      </c>
      <c r="E2363" t="s">
        <v>41</v>
      </c>
      <c r="F2363" s="9">
        <v>0.1</v>
      </c>
      <c r="G2363" s="10">
        <v>19546</v>
      </c>
      <c r="H2363">
        <v>6.31</v>
      </c>
      <c r="I2363" s="5">
        <f>ROUND(Marketing[[#This Row],[Clicks]]*Marketing[[#This Row],[Conversion_Rate]],0)</f>
        <v>57</v>
      </c>
      <c r="J2363" s="12">
        <f>Marketing[[#This Row],[Campaign_Cost]]/Marketing[[#This Row],[Customers]]</f>
        <v>342.91228070175441</v>
      </c>
      <c r="K2363" t="s">
        <v>19</v>
      </c>
      <c r="L2363" t="s">
        <v>33</v>
      </c>
      <c r="M2363">
        <v>570</v>
      </c>
      <c r="N2363">
        <v>7277</v>
      </c>
      <c r="O2363">
        <v>1</v>
      </c>
      <c r="P2363" t="s">
        <v>44</v>
      </c>
      <c r="Q2363" s="1">
        <v>44368</v>
      </c>
    </row>
    <row r="2364" spans="1:17" x14ac:dyDescent="0.3">
      <c r="A2364" t="s">
        <v>35</v>
      </c>
      <c r="B2364" t="s">
        <v>47</v>
      </c>
      <c r="C2364" t="s">
        <v>23</v>
      </c>
      <c r="D2364" t="s">
        <v>40</v>
      </c>
      <c r="E2364" t="s">
        <v>15</v>
      </c>
      <c r="F2364" s="9">
        <v>0.04</v>
      </c>
      <c r="G2364" s="10">
        <v>13574</v>
      </c>
      <c r="H2364">
        <v>7.7</v>
      </c>
      <c r="I2364" s="5">
        <f>ROUND(Marketing[[#This Row],[Clicks]]*Marketing[[#This Row],[Conversion_Rate]],0)</f>
        <v>18</v>
      </c>
      <c r="J2364" s="12">
        <f>Marketing[[#This Row],[Campaign_Cost]]/Marketing[[#This Row],[Customers]]</f>
        <v>754.11111111111109</v>
      </c>
      <c r="K2364" t="s">
        <v>19</v>
      </c>
      <c r="L2364" t="s">
        <v>26</v>
      </c>
      <c r="M2364">
        <v>461</v>
      </c>
      <c r="N2364">
        <v>5807</v>
      </c>
      <c r="O2364">
        <v>6</v>
      </c>
      <c r="P2364" t="s">
        <v>44</v>
      </c>
      <c r="Q2364" s="1">
        <v>44369</v>
      </c>
    </row>
    <row r="2365" spans="1:17" x14ac:dyDescent="0.3">
      <c r="A2365" t="s">
        <v>35</v>
      </c>
      <c r="B2365" t="s">
        <v>15</v>
      </c>
      <c r="C2365" t="s">
        <v>16</v>
      </c>
      <c r="D2365" t="s">
        <v>24</v>
      </c>
      <c r="E2365" t="s">
        <v>15</v>
      </c>
      <c r="F2365" s="9">
        <v>0.12</v>
      </c>
      <c r="G2365" s="10">
        <v>6708</v>
      </c>
      <c r="H2365">
        <v>4.9800000000000004</v>
      </c>
      <c r="I2365" s="5">
        <f>ROUND(Marketing[[#This Row],[Clicks]]*Marketing[[#This Row],[Conversion_Rate]],0)</f>
        <v>72</v>
      </c>
      <c r="J2365" s="12">
        <f>Marketing[[#This Row],[Campaign_Cost]]/Marketing[[#This Row],[Customers]]</f>
        <v>93.166666666666671</v>
      </c>
      <c r="K2365" t="s">
        <v>51</v>
      </c>
      <c r="L2365" t="s">
        <v>39</v>
      </c>
      <c r="M2365">
        <v>598</v>
      </c>
      <c r="N2365">
        <v>8196</v>
      </c>
      <c r="O2365">
        <v>8</v>
      </c>
      <c r="P2365" t="s">
        <v>21</v>
      </c>
      <c r="Q2365" s="1">
        <v>44370</v>
      </c>
    </row>
    <row r="2366" spans="1:17" x14ac:dyDescent="0.3">
      <c r="A2366" t="s">
        <v>22</v>
      </c>
      <c r="B2366" t="s">
        <v>29</v>
      </c>
      <c r="C2366" t="s">
        <v>16</v>
      </c>
      <c r="D2366" t="s">
        <v>40</v>
      </c>
      <c r="E2366" t="s">
        <v>43</v>
      </c>
      <c r="F2366" s="9">
        <v>0.06</v>
      </c>
      <c r="G2366" s="10">
        <v>15719</v>
      </c>
      <c r="H2366">
        <v>2.1800000000000002</v>
      </c>
      <c r="I2366" s="5">
        <f>ROUND(Marketing[[#This Row],[Clicks]]*Marketing[[#This Row],[Conversion_Rate]],0)</f>
        <v>22</v>
      </c>
      <c r="J2366" s="12">
        <f>Marketing[[#This Row],[Campaign_Cost]]/Marketing[[#This Row],[Customers]]</f>
        <v>714.5</v>
      </c>
      <c r="K2366" t="s">
        <v>19</v>
      </c>
      <c r="L2366" t="s">
        <v>39</v>
      </c>
      <c r="M2366">
        <v>369</v>
      </c>
      <c r="N2366">
        <v>6365</v>
      </c>
      <c r="O2366">
        <v>4</v>
      </c>
      <c r="P2366" t="s">
        <v>34</v>
      </c>
      <c r="Q2366" s="1">
        <v>44371</v>
      </c>
    </row>
    <row r="2367" spans="1:17" x14ac:dyDescent="0.3">
      <c r="A2367" t="s">
        <v>28</v>
      </c>
      <c r="B2367" t="s">
        <v>29</v>
      </c>
      <c r="C2367" t="s">
        <v>52</v>
      </c>
      <c r="D2367" t="s">
        <v>40</v>
      </c>
      <c r="E2367" t="s">
        <v>31</v>
      </c>
      <c r="F2367" s="9">
        <v>0.13</v>
      </c>
      <c r="G2367" s="10">
        <v>8298</v>
      </c>
      <c r="H2367">
        <v>3.02</v>
      </c>
      <c r="I2367" s="5">
        <f>ROUND(Marketing[[#This Row],[Clicks]]*Marketing[[#This Row],[Conversion_Rate]],0)</f>
        <v>87</v>
      </c>
      <c r="J2367" s="12">
        <f>Marketing[[#This Row],[Campaign_Cost]]/Marketing[[#This Row],[Customers]]</f>
        <v>95.379310344827587</v>
      </c>
      <c r="K2367" t="s">
        <v>32</v>
      </c>
      <c r="L2367" t="s">
        <v>39</v>
      </c>
      <c r="M2367">
        <v>672</v>
      </c>
      <c r="N2367">
        <v>2849</v>
      </c>
      <c r="O2367">
        <v>6</v>
      </c>
      <c r="P2367" t="s">
        <v>34</v>
      </c>
      <c r="Q2367" s="1">
        <v>44372</v>
      </c>
    </row>
    <row r="2368" spans="1:17" x14ac:dyDescent="0.3">
      <c r="A2368" t="s">
        <v>49</v>
      </c>
      <c r="B2368" t="s">
        <v>29</v>
      </c>
      <c r="C2368" t="s">
        <v>23</v>
      </c>
      <c r="D2368" t="s">
        <v>46</v>
      </c>
      <c r="E2368" t="s">
        <v>18</v>
      </c>
      <c r="F2368" s="9">
        <v>0.06</v>
      </c>
      <c r="G2368" s="10">
        <v>16507</v>
      </c>
      <c r="H2368">
        <v>4.21</v>
      </c>
      <c r="I2368" s="5">
        <f>ROUND(Marketing[[#This Row],[Clicks]]*Marketing[[#This Row],[Conversion_Rate]],0)</f>
        <v>30</v>
      </c>
      <c r="J2368" s="12">
        <f>Marketing[[#This Row],[Campaign_Cost]]/Marketing[[#This Row],[Customers]]</f>
        <v>550.23333333333335</v>
      </c>
      <c r="K2368" t="s">
        <v>25</v>
      </c>
      <c r="L2368" t="s">
        <v>33</v>
      </c>
      <c r="M2368">
        <v>503</v>
      </c>
      <c r="N2368">
        <v>3653</v>
      </c>
      <c r="O2368">
        <v>9</v>
      </c>
      <c r="P2368" t="s">
        <v>27</v>
      </c>
      <c r="Q2368" s="1">
        <v>44373</v>
      </c>
    </row>
    <row r="2369" spans="1:17" x14ac:dyDescent="0.3">
      <c r="A2369" t="s">
        <v>14</v>
      </c>
      <c r="B2369" t="s">
        <v>45</v>
      </c>
      <c r="C2369" t="s">
        <v>23</v>
      </c>
      <c r="D2369" t="s">
        <v>17</v>
      </c>
      <c r="E2369" t="s">
        <v>41</v>
      </c>
      <c r="F2369" s="9">
        <v>0.05</v>
      </c>
      <c r="G2369" s="10">
        <v>14509</v>
      </c>
      <c r="H2369">
        <v>7.43</v>
      </c>
      <c r="I2369" s="5">
        <f>ROUND(Marketing[[#This Row],[Clicks]]*Marketing[[#This Row],[Conversion_Rate]],0)</f>
        <v>9</v>
      </c>
      <c r="J2369" s="12">
        <f>Marketing[[#This Row],[Campaign_Cost]]/Marketing[[#This Row],[Customers]]</f>
        <v>1612.1111111111111</v>
      </c>
      <c r="K2369" t="s">
        <v>19</v>
      </c>
      <c r="L2369" t="s">
        <v>20</v>
      </c>
      <c r="M2369">
        <v>182</v>
      </c>
      <c r="N2369">
        <v>4632</v>
      </c>
      <c r="O2369">
        <v>6</v>
      </c>
      <c r="P2369" t="s">
        <v>44</v>
      </c>
      <c r="Q2369" s="1">
        <v>44374</v>
      </c>
    </row>
    <row r="2370" spans="1:17" x14ac:dyDescent="0.3">
      <c r="A2370" t="s">
        <v>35</v>
      </c>
      <c r="B2370" t="s">
        <v>15</v>
      </c>
      <c r="C2370" t="s">
        <v>16</v>
      </c>
      <c r="D2370" t="s">
        <v>46</v>
      </c>
      <c r="E2370" t="s">
        <v>48</v>
      </c>
      <c r="F2370" s="9">
        <v>0.08</v>
      </c>
      <c r="G2370" s="10">
        <v>7243</v>
      </c>
      <c r="H2370">
        <v>4.03</v>
      </c>
      <c r="I2370" s="5">
        <f>ROUND(Marketing[[#This Row],[Clicks]]*Marketing[[#This Row],[Conversion_Rate]],0)</f>
        <v>22</v>
      </c>
      <c r="J2370" s="12">
        <f>Marketing[[#This Row],[Campaign_Cost]]/Marketing[[#This Row],[Customers]]</f>
        <v>329.22727272727275</v>
      </c>
      <c r="K2370" t="s">
        <v>19</v>
      </c>
      <c r="L2370" t="s">
        <v>39</v>
      </c>
      <c r="M2370">
        <v>271</v>
      </c>
      <c r="N2370">
        <v>6272</v>
      </c>
      <c r="O2370">
        <v>5</v>
      </c>
      <c r="P2370" t="s">
        <v>42</v>
      </c>
      <c r="Q2370" s="1">
        <v>44375</v>
      </c>
    </row>
    <row r="2371" spans="1:17" x14ac:dyDescent="0.3">
      <c r="A2371" t="s">
        <v>22</v>
      </c>
      <c r="B2371" t="s">
        <v>47</v>
      </c>
      <c r="C2371" t="s">
        <v>52</v>
      </c>
      <c r="D2371" t="s">
        <v>40</v>
      </c>
      <c r="E2371" t="s">
        <v>15</v>
      </c>
      <c r="F2371" s="9">
        <v>0.04</v>
      </c>
      <c r="G2371" s="10">
        <v>15582</v>
      </c>
      <c r="H2371">
        <v>7.14</v>
      </c>
      <c r="I2371" s="5">
        <f>ROUND(Marketing[[#This Row],[Clicks]]*Marketing[[#This Row],[Conversion_Rate]],0)</f>
        <v>11</v>
      </c>
      <c r="J2371" s="12">
        <f>Marketing[[#This Row],[Campaign_Cost]]/Marketing[[#This Row],[Customers]]</f>
        <v>1416.5454545454545</v>
      </c>
      <c r="K2371" t="s">
        <v>19</v>
      </c>
      <c r="L2371" t="s">
        <v>20</v>
      </c>
      <c r="M2371">
        <v>281</v>
      </c>
      <c r="N2371">
        <v>5172</v>
      </c>
      <c r="O2371">
        <v>7</v>
      </c>
      <c r="P2371" t="s">
        <v>21</v>
      </c>
      <c r="Q2371" s="1">
        <v>44376</v>
      </c>
    </row>
    <row r="2372" spans="1:17" x14ac:dyDescent="0.3">
      <c r="A2372" t="s">
        <v>49</v>
      </c>
      <c r="B2372" t="s">
        <v>47</v>
      </c>
      <c r="C2372" t="s">
        <v>16</v>
      </c>
      <c r="D2372" t="s">
        <v>40</v>
      </c>
      <c r="E2372" t="s">
        <v>43</v>
      </c>
      <c r="F2372" s="9">
        <v>0.11</v>
      </c>
      <c r="G2372" s="10">
        <v>14398</v>
      </c>
      <c r="H2372">
        <v>5.85</v>
      </c>
      <c r="I2372" s="5">
        <f>ROUND(Marketing[[#This Row],[Clicks]]*Marketing[[#This Row],[Conversion_Rate]],0)</f>
        <v>95</v>
      </c>
      <c r="J2372" s="12">
        <f>Marketing[[#This Row],[Campaign_Cost]]/Marketing[[#This Row],[Customers]]</f>
        <v>151.55789473684212</v>
      </c>
      <c r="K2372" t="s">
        <v>51</v>
      </c>
      <c r="L2372" t="s">
        <v>50</v>
      </c>
      <c r="M2372">
        <v>866</v>
      </c>
      <c r="N2372">
        <v>9541</v>
      </c>
      <c r="O2372">
        <v>9</v>
      </c>
      <c r="P2372" t="s">
        <v>34</v>
      </c>
      <c r="Q2372" s="1">
        <v>44377</v>
      </c>
    </row>
    <row r="2373" spans="1:17" x14ac:dyDescent="0.3">
      <c r="A2373" t="s">
        <v>35</v>
      </c>
      <c r="B2373" t="s">
        <v>45</v>
      </c>
      <c r="C2373" t="s">
        <v>23</v>
      </c>
      <c r="D2373" t="s">
        <v>24</v>
      </c>
      <c r="E2373" t="s">
        <v>43</v>
      </c>
      <c r="F2373" s="9">
        <v>0.11</v>
      </c>
      <c r="G2373" s="10">
        <v>18877</v>
      </c>
      <c r="H2373">
        <v>4.83</v>
      </c>
      <c r="I2373" s="5">
        <f>ROUND(Marketing[[#This Row],[Clicks]]*Marketing[[#This Row],[Conversion_Rate]],0)</f>
        <v>80</v>
      </c>
      <c r="J2373" s="12">
        <f>Marketing[[#This Row],[Campaign_Cost]]/Marketing[[#This Row],[Customers]]</f>
        <v>235.96250000000001</v>
      </c>
      <c r="K2373" t="s">
        <v>25</v>
      </c>
      <c r="L2373" t="s">
        <v>26</v>
      </c>
      <c r="M2373">
        <v>724</v>
      </c>
      <c r="N2373">
        <v>4641</v>
      </c>
      <c r="O2373">
        <v>9</v>
      </c>
      <c r="P2373" t="s">
        <v>27</v>
      </c>
      <c r="Q2373" s="1">
        <v>44378</v>
      </c>
    </row>
    <row r="2374" spans="1:17" x14ac:dyDescent="0.3">
      <c r="A2374" t="s">
        <v>14</v>
      </c>
      <c r="B2374" t="s">
        <v>29</v>
      </c>
      <c r="C2374" t="s">
        <v>16</v>
      </c>
      <c r="D2374" t="s">
        <v>17</v>
      </c>
      <c r="E2374" t="s">
        <v>31</v>
      </c>
      <c r="F2374" s="9">
        <v>0.03</v>
      </c>
      <c r="G2374" s="10">
        <v>18371</v>
      </c>
      <c r="H2374">
        <v>6.3</v>
      </c>
      <c r="I2374" s="5">
        <f>ROUND(Marketing[[#This Row],[Clicks]]*Marketing[[#This Row],[Conversion_Rate]],0)</f>
        <v>23</v>
      </c>
      <c r="J2374" s="12">
        <f>Marketing[[#This Row],[Campaign_Cost]]/Marketing[[#This Row],[Customers]]</f>
        <v>798.73913043478262</v>
      </c>
      <c r="K2374" t="s">
        <v>25</v>
      </c>
      <c r="L2374" t="s">
        <v>50</v>
      </c>
      <c r="M2374">
        <v>756</v>
      </c>
      <c r="N2374">
        <v>7010</v>
      </c>
      <c r="O2374">
        <v>9</v>
      </c>
      <c r="P2374" t="s">
        <v>21</v>
      </c>
      <c r="Q2374" s="1">
        <v>44379</v>
      </c>
    </row>
    <row r="2375" spans="1:17" x14ac:dyDescent="0.3">
      <c r="A2375" t="s">
        <v>14</v>
      </c>
      <c r="B2375" t="s">
        <v>36</v>
      </c>
      <c r="C2375" t="s">
        <v>30</v>
      </c>
      <c r="D2375" t="s">
        <v>40</v>
      </c>
      <c r="E2375" t="s">
        <v>43</v>
      </c>
      <c r="F2375" s="9">
        <v>7.0000000000000007E-2</v>
      </c>
      <c r="G2375" s="10">
        <v>7887</v>
      </c>
      <c r="H2375">
        <v>6.26</v>
      </c>
      <c r="I2375" s="5">
        <f>ROUND(Marketing[[#This Row],[Clicks]]*Marketing[[#This Row],[Conversion_Rate]],0)</f>
        <v>49</v>
      </c>
      <c r="J2375" s="12">
        <f>Marketing[[#This Row],[Campaign_Cost]]/Marketing[[#This Row],[Customers]]</f>
        <v>160.9591836734694</v>
      </c>
      <c r="K2375" t="s">
        <v>25</v>
      </c>
      <c r="L2375" t="s">
        <v>39</v>
      </c>
      <c r="M2375">
        <v>706</v>
      </c>
      <c r="N2375">
        <v>1945</v>
      </c>
      <c r="O2375">
        <v>4</v>
      </c>
      <c r="P2375" t="s">
        <v>27</v>
      </c>
      <c r="Q2375" s="1">
        <v>44380</v>
      </c>
    </row>
    <row r="2376" spans="1:17" x14ac:dyDescent="0.3">
      <c r="A2376" t="s">
        <v>35</v>
      </c>
      <c r="B2376" t="s">
        <v>45</v>
      </c>
      <c r="C2376" t="s">
        <v>16</v>
      </c>
      <c r="D2376" t="s">
        <v>40</v>
      </c>
      <c r="E2376" t="s">
        <v>41</v>
      </c>
      <c r="F2376" s="9">
        <v>0.09</v>
      </c>
      <c r="G2376" s="10">
        <v>6753</v>
      </c>
      <c r="H2376">
        <v>4.6900000000000004</v>
      </c>
      <c r="I2376" s="5">
        <f>ROUND(Marketing[[#This Row],[Clicks]]*Marketing[[#This Row],[Conversion_Rate]],0)</f>
        <v>22</v>
      </c>
      <c r="J2376" s="12">
        <f>Marketing[[#This Row],[Campaign_Cost]]/Marketing[[#This Row],[Customers]]</f>
        <v>306.95454545454544</v>
      </c>
      <c r="K2376" t="s">
        <v>19</v>
      </c>
      <c r="L2376" t="s">
        <v>39</v>
      </c>
      <c r="M2376">
        <v>244</v>
      </c>
      <c r="N2376">
        <v>5777</v>
      </c>
      <c r="O2376">
        <v>10</v>
      </c>
      <c r="P2376" t="s">
        <v>21</v>
      </c>
      <c r="Q2376" s="1">
        <v>44381</v>
      </c>
    </row>
    <row r="2377" spans="1:17" x14ac:dyDescent="0.3">
      <c r="A2377" t="s">
        <v>14</v>
      </c>
      <c r="B2377" t="s">
        <v>29</v>
      </c>
      <c r="C2377" t="s">
        <v>52</v>
      </c>
      <c r="D2377" t="s">
        <v>40</v>
      </c>
      <c r="E2377" t="s">
        <v>48</v>
      </c>
      <c r="F2377" s="9">
        <v>7.0000000000000007E-2</v>
      </c>
      <c r="G2377" s="10">
        <v>6810</v>
      </c>
      <c r="H2377">
        <v>5.45</v>
      </c>
      <c r="I2377" s="5">
        <f>ROUND(Marketing[[#This Row],[Clicks]]*Marketing[[#This Row],[Conversion_Rate]],0)</f>
        <v>62</v>
      </c>
      <c r="J2377" s="12">
        <f>Marketing[[#This Row],[Campaign_Cost]]/Marketing[[#This Row],[Customers]]</f>
        <v>109.83870967741936</v>
      </c>
      <c r="K2377" t="s">
        <v>19</v>
      </c>
      <c r="L2377" t="s">
        <v>33</v>
      </c>
      <c r="M2377">
        <v>882</v>
      </c>
      <c r="N2377">
        <v>7948</v>
      </c>
      <c r="O2377">
        <v>9</v>
      </c>
      <c r="P2377" t="s">
        <v>34</v>
      </c>
      <c r="Q2377" s="1">
        <v>44382</v>
      </c>
    </row>
    <row r="2378" spans="1:17" x14ac:dyDescent="0.3">
      <c r="A2378" t="s">
        <v>49</v>
      </c>
      <c r="B2378" t="s">
        <v>29</v>
      </c>
      <c r="C2378" t="s">
        <v>30</v>
      </c>
      <c r="D2378" t="s">
        <v>24</v>
      </c>
      <c r="E2378" t="s">
        <v>41</v>
      </c>
      <c r="F2378" s="9">
        <v>0.01</v>
      </c>
      <c r="G2378" s="10">
        <v>12443</v>
      </c>
      <c r="H2378">
        <v>2.81</v>
      </c>
      <c r="I2378" s="5">
        <f>ROUND(Marketing[[#This Row],[Clicks]]*Marketing[[#This Row],[Conversion_Rate]],0)</f>
        <v>6</v>
      </c>
      <c r="J2378" s="12">
        <f>Marketing[[#This Row],[Campaign_Cost]]/Marketing[[#This Row],[Customers]]</f>
        <v>2073.8333333333335</v>
      </c>
      <c r="K2378" t="s">
        <v>38</v>
      </c>
      <c r="L2378" t="s">
        <v>20</v>
      </c>
      <c r="M2378">
        <v>601</v>
      </c>
      <c r="N2378">
        <v>9674</v>
      </c>
      <c r="O2378">
        <v>4</v>
      </c>
      <c r="P2378" t="s">
        <v>44</v>
      </c>
      <c r="Q2378" s="1">
        <v>44383</v>
      </c>
    </row>
    <row r="2379" spans="1:17" x14ac:dyDescent="0.3">
      <c r="A2379" t="s">
        <v>28</v>
      </c>
      <c r="B2379" t="s">
        <v>15</v>
      </c>
      <c r="C2379" t="s">
        <v>37</v>
      </c>
      <c r="D2379" t="s">
        <v>24</v>
      </c>
      <c r="E2379" t="s">
        <v>48</v>
      </c>
      <c r="F2379" s="9">
        <v>7.0000000000000007E-2</v>
      </c>
      <c r="G2379" s="10">
        <v>16098</v>
      </c>
      <c r="H2379">
        <v>7.24</v>
      </c>
      <c r="I2379" s="5">
        <f>ROUND(Marketing[[#This Row],[Clicks]]*Marketing[[#This Row],[Conversion_Rate]],0)</f>
        <v>43</v>
      </c>
      <c r="J2379" s="12">
        <f>Marketing[[#This Row],[Campaign_Cost]]/Marketing[[#This Row],[Customers]]</f>
        <v>374.37209302325579</v>
      </c>
      <c r="K2379" t="s">
        <v>51</v>
      </c>
      <c r="L2379" t="s">
        <v>26</v>
      </c>
      <c r="M2379">
        <v>616</v>
      </c>
      <c r="N2379">
        <v>1034</v>
      </c>
      <c r="O2379">
        <v>1</v>
      </c>
      <c r="P2379" t="s">
        <v>34</v>
      </c>
      <c r="Q2379" s="1">
        <v>44384</v>
      </c>
    </row>
    <row r="2380" spans="1:17" x14ac:dyDescent="0.3">
      <c r="A2380" t="s">
        <v>22</v>
      </c>
      <c r="B2380" t="s">
        <v>45</v>
      </c>
      <c r="C2380" t="s">
        <v>30</v>
      </c>
      <c r="D2380" t="s">
        <v>40</v>
      </c>
      <c r="E2380" t="s">
        <v>15</v>
      </c>
      <c r="F2380" s="9">
        <v>0.01</v>
      </c>
      <c r="G2380" s="10">
        <v>8272</v>
      </c>
      <c r="H2380">
        <v>3.66</v>
      </c>
      <c r="I2380" s="5">
        <f>ROUND(Marketing[[#This Row],[Clicks]]*Marketing[[#This Row],[Conversion_Rate]],0)</f>
        <v>10</v>
      </c>
      <c r="J2380" s="12">
        <f>Marketing[[#This Row],[Campaign_Cost]]/Marketing[[#This Row],[Customers]]</f>
        <v>827.2</v>
      </c>
      <c r="K2380" t="s">
        <v>19</v>
      </c>
      <c r="L2380" t="s">
        <v>33</v>
      </c>
      <c r="M2380">
        <v>976</v>
      </c>
      <c r="N2380">
        <v>8780</v>
      </c>
      <c r="O2380">
        <v>3</v>
      </c>
      <c r="P2380" t="s">
        <v>21</v>
      </c>
      <c r="Q2380" s="1">
        <v>44385</v>
      </c>
    </row>
    <row r="2381" spans="1:17" x14ac:dyDescent="0.3">
      <c r="A2381" t="s">
        <v>14</v>
      </c>
      <c r="B2381" t="s">
        <v>47</v>
      </c>
      <c r="C2381" t="s">
        <v>52</v>
      </c>
      <c r="D2381" t="s">
        <v>40</v>
      </c>
      <c r="E2381" t="s">
        <v>43</v>
      </c>
      <c r="F2381" s="9">
        <v>0.14000000000000001</v>
      </c>
      <c r="G2381" s="10">
        <v>5623</v>
      </c>
      <c r="H2381">
        <v>3.72</v>
      </c>
      <c r="I2381" s="5">
        <f>ROUND(Marketing[[#This Row],[Clicks]]*Marketing[[#This Row],[Conversion_Rate]],0)</f>
        <v>76</v>
      </c>
      <c r="J2381" s="12">
        <f>Marketing[[#This Row],[Campaign_Cost]]/Marketing[[#This Row],[Customers]]</f>
        <v>73.986842105263165</v>
      </c>
      <c r="K2381" t="s">
        <v>25</v>
      </c>
      <c r="L2381" t="s">
        <v>33</v>
      </c>
      <c r="M2381">
        <v>541</v>
      </c>
      <c r="N2381">
        <v>3475</v>
      </c>
      <c r="O2381">
        <v>6</v>
      </c>
      <c r="P2381" t="s">
        <v>27</v>
      </c>
      <c r="Q2381" s="1">
        <v>44386</v>
      </c>
    </row>
    <row r="2382" spans="1:17" x14ac:dyDescent="0.3">
      <c r="A2382" t="s">
        <v>14</v>
      </c>
      <c r="B2382" t="s">
        <v>47</v>
      </c>
      <c r="C2382" t="s">
        <v>37</v>
      </c>
      <c r="D2382" t="s">
        <v>24</v>
      </c>
      <c r="E2382" t="s">
        <v>43</v>
      </c>
      <c r="F2382" s="9">
        <v>0.1</v>
      </c>
      <c r="G2382" s="10">
        <v>13216</v>
      </c>
      <c r="H2382">
        <v>3.89</v>
      </c>
      <c r="I2382" s="5">
        <f>ROUND(Marketing[[#This Row],[Clicks]]*Marketing[[#This Row],[Conversion_Rate]],0)</f>
        <v>37</v>
      </c>
      <c r="J2382" s="12">
        <f>Marketing[[#This Row],[Campaign_Cost]]/Marketing[[#This Row],[Customers]]</f>
        <v>357.18918918918916</v>
      </c>
      <c r="K2382" t="s">
        <v>38</v>
      </c>
      <c r="L2382" t="s">
        <v>39</v>
      </c>
      <c r="M2382">
        <v>365</v>
      </c>
      <c r="N2382">
        <v>9899</v>
      </c>
      <c r="O2382">
        <v>1</v>
      </c>
      <c r="P2382" t="s">
        <v>42</v>
      </c>
      <c r="Q2382" s="1">
        <v>44387</v>
      </c>
    </row>
    <row r="2383" spans="1:17" x14ac:dyDescent="0.3">
      <c r="A2383" t="s">
        <v>28</v>
      </c>
      <c r="B2383" t="s">
        <v>47</v>
      </c>
      <c r="C2383" t="s">
        <v>23</v>
      </c>
      <c r="D2383" t="s">
        <v>40</v>
      </c>
      <c r="E2383" t="s">
        <v>48</v>
      </c>
      <c r="F2383" s="9">
        <v>0.02</v>
      </c>
      <c r="G2383" s="10">
        <v>9728</v>
      </c>
      <c r="H2383">
        <v>2.67</v>
      </c>
      <c r="I2383" s="5">
        <f>ROUND(Marketing[[#This Row],[Clicks]]*Marketing[[#This Row],[Conversion_Rate]],0)</f>
        <v>8</v>
      </c>
      <c r="J2383" s="12">
        <f>Marketing[[#This Row],[Campaign_Cost]]/Marketing[[#This Row],[Customers]]</f>
        <v>1216</v>
      </c>
      <c r="K2383" t="s">
        <v>19</v>
      </c>
      <c r="L2383" t="s">
        <v>33</v>
      </c>
      <c r="M2383">
        <v>394</v>
      </c>
      <c r="N2383">
        <v>6758</v>
      </c>
      <c r="O2383">
        <v>5</v>
      </c>
      <c r="P2383" t="s">
        <v>42</v>
      </c>
      <c r="Q2383" s="1">
        <v>44388</v>
      </c>
    </row>
    <row r="2384" spans="1:17" x14ac:dyDescent="0.3">
      <c r="A2384" t="s">
        <v>28</v>
      </c>
      <c r="B2384" t="s">
        <v>45</v>
      </c>
      <c r="C2384" t="s">
        <v>30</v>
      </c>
      <c r="D2384" t="s">
        <v>17</v>
      </c>
      <c r="E2384" t="s">
        <v>41</v>
      </c>
      <c r="F2384" s="9">
        <v>0.13</v>
      </c>
      <c r="G2384" s="10">
        <v>7307</v>
      </c>
      <c r="H2384">
        <v>5.89</v>
      </c>
      <c r="I2384" s="5">
        <f>ROUND(Marketing[[#This Row],[Clicks]]*Marketing[[#This Row],[Conversion_Rate]],0)</f>
        <v>18</v>
      </c>
      <c r="J2384" s="12">
        <f>Marketing[[#This Row],[Campaign_Cost]]/Marketing[[#This Row],[Customers]]</f>
        <v>405.94444444444446</v>
      </c>
      <c r="K2384" t="s">
        <v>19</v>
      </c>
      <c r="L2384" t="s">
        <v>33</v>
      </c>
      <c r="M2384">
        <v>136</v>
      </c>
      <c r="N2384">
        <v>6733</v>
      </c>
      <c r="O2384">
        <v>5</v>
      </c>
      <c r="P2384" t="s">
        <v>21</v>
      </c>
      <c r="Q2384" s="1">
        <v>44389</v>
      </c>
    </row>
    <row r="2385" spans="1:17" x14ac:dyDescent="0.3">
      <c r="A2385" t="s">
        <v>49</v>
      </c>
      <c r="B2385" t="s">
        <v>15</v>
      </c>
      <c r="C2385" t="s">
        <v>16</v>
      </c>
      <c r="D2385" t="s">
        <v>17</v>
      </c>
      <c r="E2385" t="s">
        <v>18</v>
      </c>
      <c r="F2385" s="9">
        <v>0.04</v>
      </c>
      <c r="G2385" s="10">
        <v>8749</v>
      </c>
      <c r="H2385">
        <v>2.33</v>
      </c>
      <c r="I2385" s="5">
        <f>ROUND(Marketing[[#This Row],[Clicks]]*Marketing[[#This Row],[Conversion_Rate]],0)</f>
        <v>7</v>
      </c>
      <c r="J2385" s="12">
        <f>Marketing[[#This Row],[Campaign_Cost]]/Marketing[[#This Row],[Customers]]</f>
        <v>1249.8571428571429</v>
      </c>
      <c r="K2385" t="s">
        <v>51</v>
      </c>
      <c r="L2385" t="s">
        <v>20</v>
      </c>
      <c r="M2385">
        <v>174</v>
      </c>
      <c r="N2385">
        <v>1885</v>
      </c>
      <c r="O2385">
        <v>10</v>
      </c>
      <c r="P2385" t="s">
        <v>21</v>
      </c>
      <c r="Q2385" s="1">
        <v>44390</v>
      </c>
    </row>
    <row r="2386" spans="1:17" x14ac:dyDescent="0.3">
      <c r="A2386" t="s">
        <v>49</v>
      </c>
      <c r="B2386" t="s">
        <v>47</v>
      </c>
      <c r="C2386" t="s">
        <v>37</v>
      </c>
      <c r="D2386" t="s">
        <v>24</v>
      </c>
      <c r="E2386" t="s">
        <v>41</v>
      </c>
      <c r="F2386" s="9">
        <v>0.15</v>
      </c>
      <c r="G2386" s="10">
        <v>11053</v>
      </c>
      <c r="H2386">
        <v>7.9</v>
      </c>
      <c r="I2386" s="5">
        <f>ROUND(Marketing[[#This Row],[Clicks]]*Marketing[[#This Row],[Conversion_Rate]],0)</f>
        <v>149</v>
      </c>
      <c r="J2386" s="12">
        <f>Marketing[[#This Row],[Campaign_Cost]]/Marketing[[#This Row],[Customers]]</f>
        <v>74.181208053691279</v>
      </c>
      <c r="K2386" t="s">
        <v>38</v>
      </c>
      <c r="L2386" t="s">
        <v>39</v>
      </c>
      <c r="M2386">
        <v>994</v>
      </c>
      <c r="N2386">
        <v>5916</v>
      </c>
      <c r="O2386">
        <v>6</v>
      </c>
      <c r="P2386" t="s">
        <v>27</v>
      </c>
      <c r="Q2386" s="1">
        <v>44391</v>
      </c>
    </row>
    <row r="2387" spans="1:17" x14ac:dyDescent="0.3">
      <c r="A2387" t="s">
        <v>22</v>
      </c>
      <c r="B2387" t="s">
        <v>45</v>
      </c>
      <c r="C2387" t="s">
        <v>30</v>
      </c>
      <c r="D2387" t="s">
        <v>17</v>
      </c>
      <c r="E2387" t="s">
        <v>18</v>
      </c>
      <c r="F2387" s="9">
        <v>0.08</v>
      </c>
      <c r="G2387" s="10">
        <v>17072</v>
      </c>
      <c r="H2387">
        <v>6.75</v>
      </c>
      <c r="I2387" s="5">
        <f>ROUND(Marketing[[#This Row],[Clicks]]*Marketing[[#This Row],[Conversion_Rate]],0)</f>
        <v>22</v>
      </c>
      <c r="J2387" s="12">
        <f>Marketing[[#This Row],[Campaign_Cost]]/Marketing[[#This Row],[Customers]]</f>
        <v>776</v>
      </c>
      <c r="K2387" t="s">
        <v>19</v>
      </c>
      <c r="L2387" t="s">
        <v>33</v>
      </c>
      <c r="M2387">
        <v>271</v>
      </c>
      <c r="N2387">
        <v>7755</v>
      </c>
      <c r="O2387">
        <v>4</v>
      </c>
      <c r="P2387" t="s">
        <v>21</v>
      </c>
      <c r="Q2387" s="1">
        <v>44392</v>
      </c>
    </row>
    <row r="2388" spans="1:17" x14ac:dyDescent="0.3">
      <c r="A2388" t="s">
        <v>49</v>
      </c>
      <c r="B2388" t="s">
        <v>36</v>
      </c>
      <c r="C2388" t="s">
        <v>23</v>
      </c>
      <c r="D2388" t="s">
        <v>24</v>
      </c>
      <c r="E2388" t="s">
        <v>48</v>
      </c>
      <c r="F2388" s="9">
        <v>0.13</v>
      </c>
      <c r="G2388" s="10">
        <v>14400</v>
      </c>
      <c r="H2388">
        <v>5.51</v>
      </c>
      <c r="I2388" s="5">
        <f>ROUND(Marketing[[#This Row],[Clicks]]*Marketing[[#This Row],[Conversion_Rate]],0)</f>
        <v>86</v>
      </c>
      <c r="J2388" s="12">
        <f>Marketing[[#This Row],[Campaign_Cost]]/Marketing[[#This Row],[Customers]]</f>
        <v>167.44186046511629</v>
      </c>
      <c r="K2388" t="s">
        <v>51</v>
      </c>
      <c r="L2388" t="s">
        <v>33</v>
      </c>
      <c r="M2388">
        <v>661</v>
      </c>
      <c r="N2388">
        <v>2916</v>
      </c>
      <c r="O2388">
        <v>3</v>
      </c>
      <c r="P2388" t="s">
        <v>21</v>
      </c>
      <c r="Q2388" s="1">
        <v>44393</v>
      </c>
    </row>
    <row r="2389" spans="1:17" x14ac:dyDescent="0.3">
      <c r="A2389" t="s">
        <v>22</v>
      </c>
      <c r="B2389" t="s">
        <v>47</v>
      </c>
      <c r="C2389" t="s">
        <v>16</v>
      </c>
      <c r="D2389" t="s">
        <v>24</v>
      </c>
      <c r="E2389" t="s">
        <v>31</v>
      </c>
      <c r="F2389" s="9">
        <v>0.15</v>
      </c>
      <c r="G2389" s="10">
        <v>15225</v>
      </c>
      <c r="H2389">
        <v>6.32</v>
      </c>
      <c r="I2389" s="5">
        <f>ROUND(Marketing[[#This Row],[Clicks]]*Marketing[[#This Row],[Conversion_Rate]],0)</f>
        <v>81</v>
      </c>
      <c r="J2389" s="12">
        <f>Marketing[[#This Row],[Campaign_Cost]]/Marketing[[#This Row],[Customers]]</f>
        <v>187.96296296296296</v>
      </c>
      <c r="K2389" t="s">
        <v>19</v>
      </c>
      <c r="L2389" t="s">
        <v>50</v>
      </c>
      <c r="M2389">
        <v>543</v>
      </c>
      <c r="N2389">
        <v>1191</v>
      </c>
      <c r="O2389">
        <v>8</v>
      </c>
      <c r="P2389" t="s">
        <v>21</v>
      </c>
      <c r="Q2389" s="1">
        <v>44394</v>
      </c>
    </row>
    <row r="2390" spans="1:17" x14ac:dyDescent="0.3">
      <c r="A2390" t="s">
        <v>35</v>
      </c>
      <c r="B2390" t="s">
        <v>29</v>
      </c>
      <c r="C2390" t="s">
        <v>30</v>
      </c>
      <c r="D2390" t="s">
        <v>46</v>
      </c>
      <c r="E2390" t="s">
        <v>41</v>
      </c>
      <c r="F2390" s="9">
        <v>0.1</v>
      </c>
      <c r="G2390" s="10">
        <v>8959</v>
      </c>
      <c r="H2390">
        <v>7.82</v>
      </c>
      <c r="I2390" s="5">
        <f>ROUND(Marketing[[#This Row],[Clicks]]*Marketing[[#This Row],[Conversion_Rate]],0)</f>
        <v>97</v>
      </c>
      <c r="J2390" s="12">
        <f>Marketing[[#This Row],[Campaign_Cost]]/Marketing[[#This Row],[Customers]]</f>
        <v>92.360824742268036</v>
      </c>
      <c r="K2390" t="s">
        <v>19</v>
      </c>
      <c r="L2390" t="s">
        <v>50</v>
      </c>
      <c r="M2390">
        <v>965</v>
      </c>
      <c r="N2390">
        <v>5500</v>
      </c>
      <c r="O2390">
        <v>5</v>
      </c>
      <c r="P2390" t="s">
        <v>44</v>
      </c>
      <c r="Q2390" s="1">
        <v>44395</v>
      </c>
    </row>
    <row r="2391" spans="1:17" x14ac:dyDescent="0.3">
      <c r="A2391" t="s">
        <v>35</v>
      </c>
      <c r="B2391" t="s">
        <v>29</v>
      </c>
      <c r="C2391" t="s">
        <v>37</v>
      </c>
      <c r="D2391" t="s">
        <v>40</v>
      </c>
      <c r="E2391" t="s">
        <v>31</v>
      </c>
      <c r="F2391" s="9">
        <v>0.01</v>
      </c>
      <c r="G2391" s="10">
        <v>9557</v>
      </c>
      <c r="H2391">
        <v>5.79</v>
      </c>
      <c r="I2391" s="5">
        <f>ROUND(Marketing[[#This Row],[Clicks]]*Marketing[[#This Row],[Conversion_Rate]],0)</f>
        <v>8</v>
      </c>
      <c r="J2391" s="12">
        <f>Marketing[[#This Row],[Campaign_Cost]]/Marketing[[#This Row],[Customers]]</f>
        <v>1194.625</v>
      </c>
      <c r="K2391" t="s">
        <v>25</v>
      </c>
      <c r="L2391" t="s">
        <v>50</v>
      </c>
      <c r="M2391">
        <v>755</v>
      </c>
      <c r="N2391">
        <v>6685</v>
      </c>
      <c r="O2391">
        <v>5</v>
      </c>
      <c r="P2391" t="s">
        <v>44</v>
      </c>
      <c r="Q2391" s="1">
        <v>44396</v>
      </c>
    </row>
    <row r="2392" spans="1:17" x14ac:dyDescent="0.3">
      <c r="A2392" t="s">
        <v>49</v>
      </c>
      <c r="B2392" t="s">
        <v>15</v>
      </c>
      <c r="C2392" t="s">
        <v>23</v>
      </c>
      <c r="D2392" t="s">
        <v>24</v>
      </c>
      <c r="E2392" t="s">
        <v>48</v>
      </c>
      <c r="F2392" s="9">
        <v>0.14000000000000001</v>
      </c>
      <c r="G2392" s="10">
        <v>8172</v>
      </c>
      <c r="H2392">
        <v>4.37</v>
      </c>
      <c r="I2392" s="5">
        <f>ROUND(Marketing[[#This Row],[Clicks]]*Marketing[[#This Row],[Conversion_Rate]],0)</f>
        <v>135</v>
      </c>
      <c r="J2392" s="12">
        <f>Marketing[[#This Row],[Campaign_Cost]]/Marketing[[#This Row],[Customers]]</f>
        <v>60.533333333333331</v>
      </c>
      <c r="K2392" t="s">
        <v>38</v>
      </c>
      <c r="L2392" t="s">
        <v>50</v>
      </c>
      <c r="M2392">
        <v>961</v>
      </c>
      <c r="N2392">
        <v>1997</v>
      </c>
      <c r="O2392">
        <v>5</v>
      </c>
      <c r="P2392" t="s">
        <v>27</v>
      </c>
      <c r="Q2392" s="1">
        <v>44397</v>
      </c>
    </row>
    <row r="2393" spans="1:17" x14ac:dyDescent="0.3">
      <c r="A2393" t="s">
        <v>14</v>
      </c>
      <c r="B2393" t="s">
        <v>45</v>
      </c>
      <c r="C2393" t="s">
        <v>23</v>
      </c>
      <c r="D2393" t="s">
        <v>17</v>
      </c>
      <c r="E2393" t="s">
        <v>31</v>
      </c>
      <c r="F2393" s="9">
        <v>0.12</v>
      </c>
      <c r="G2393" s="10">
        <v>6163</v>
      </c>
      <c r="H2393">
        <v>4.92</v>
      </c>
      <c r="I2393" s="5">
        <f>ROUND(Marketing[[#This Row],[Clicks]]*Marketing[[#This Row],[Conversion_Rate]],0)</f>
        <v>15</v>
      </c>
      <c r="J2393" s="12">
        <f>Marketing[[#This Row],[Campaign_Cost]]/Marketing[[#This Row],[Customers]]</f>
        <v>410.86666666666667</v>
      </c>
      <c r="K2393" t="s">
        <v>51</v>
      </c>
      <c r="L2393" t="s">
        <v>20</v>
      </c>
      <c r="M2393">
        <v>128</v>
      </c>
      <c r="N2393">
        <v>6954</v>
      </c>
      <c r="O2393">
        <v>3</v>
      </c>
      <c r="P2393" t="s">
        <v>21</v>
      </c>
      <c r="Q2393" s="1">
        <v>44398</v>
      </c>
    </row>
    <row r="2394" spans="1:17" x14ac:dyDescent="0.3">
      <c r="A2394" t="s">
        <v>49</v>
      </c>
      <c r="B2394" t="s">
        <v>47</v>
      </c>
      <c r="C2394" t="s">
        <v>37</v>
      </c>
      <c r="D2394" t="s">
        <v>24</v>
      </c>
      <c r="E2394" t="s">
        <v>18</v>
      </c>
      <c r="F2394" s="9">
        <v>0.02</v>
      </c>
      <c r="G2394" s="10">
        <v>6006</v>
      </c>
      <c r="H2394">
        <v>7.48</v>
      </c>
      <c r="I2394" s="5">
        <f>ROUND(Marketing[[#This Row],[Clicks]]*Marketing[[#This Row],[Conversion_Rate]],0)</f>
        <v>5</v>
      </c>
      <c r="J2394" s="12">
        <f>Marketing[[#This Row],[Campaign_Cost]]/Marketing[[#This Row],[Customers]]</f>
        <v>1201.2</v>
      </c>
      <c r="K2394" t="s">
        <v>25</v>
      </c>
      <c r="L2394" t="s">
        <v>26</v>
      </c>
      <c r="M2394">
        <v>245</v>
      </c>
      <c r="N2394">
        <v>6169</v>
      </c>
      <c r="O2394">
        <v>2</v>
      </c>
      <c r="P2394" t="s">
        <v>34</v>
      </c>
      <c r="Q2394" s="1">
        <v>44399</v>
      </c>
    </row>
    <row r="2395" spans="1:17" x14ac:dyDescent="0.3">
      <c r="A2395" t="s">
        <v>28</v>
      </c>
      <c r="B2395" t="s">
        <v>47</v>
      </c>
      <c r="C2395" t="s">
        <v>37</v>
      </c>
      <c r="D2395" t="s">
        <v>17</v>
      </c>
      <c r="E2395" t="s">
        <v>48</v>
      </c>
      <c r="F2395" s="9">
        <v>0.05</v>
      </c>
      <c r="G2395" s="10">
        <v>5160</v>
      </c>
      <c r="H2395">
        <v>3.61</v>
      </c>
      <c r="I2395" s="5">
        <f>ROUND(Marketing[[#This Row],[Clicks]]*Marketing[[#This Row],[Conversion_Rate]],0)</f>
        <v>9</v>
      </c>
      <c r="J2395" s="12">
        <f>Marketing[[#This Row],[Campaign_Cost]]/Marketing[[#This Row],[Customers]]</f>
        <v>573.33333333333337</v>
      </c>
      <c r="K2395" t="s">
        <v>19</v>
      </c>
      <c r="L2395" t="s">
        <v>50</v>
      </c>
      <c r="M2395">
        <v>174</v>
      </c>
      <c r="N2395">
        <v>2197</v>
      </c>
      <c r="O2395">
        <v>10</v>
      </c>
      <c r="P2395" t="s">
        <v>34</v>
      </c>
      <c r="Q2395" s="1">
        <v>44400</v>
      </c>
    </row>
    <row r="2396" spans="1:17" x14ac:dyDescent="0.3">
      <c r="A2396" t="s">
        <v>22</v>
      </c>
      <c r="B2396" t="s">
        <v>47</v>
      </c>
      <c r="C2396" t="s">
        <v>16</v>
      </c>
      <c r="D2396" t="s">
        <v>24</v>
      </c>
      <c r="E2396" t="s">
        <v>41</v>
      </c>
      <c r="F2396" s="9">
        <v>0.04</v>
      </c>
      <c r="G2396" s="10">
        <v>18440</v>
      </c>
      <c r="H2396">
        <v>4</v>
      </c>
      <c r="I2396" s="5">
        <f>ROUND(Marketing[[#This Row],[Clicks]]*Marketing[[#This Row],[Conversion_Rate]],0)</f>
        <v>29</v>
      </c>
      <c r="J2396" s="12">
        <f>Marketing[[#This Row],[Campaign_Cost]]/Marketing[[#This Row],[Customers]]</f>
        <v>635.86206896551721</v>
      </c>
      <c r="K2396" t="s">
        <v>51</v>
      </c>
      <c r="L2396" t="s">
        <v>33</v>
      </c>
      <c r="M2396">
        <v>720</v>
      </c>
      <c r="N2396">
        <v>5590</v>
      </c>
      <c r="O2396">
        <v>7</v>
      </c>
      <c r="P2396" t="s">
        <v>42</v>
      </c>
      <c r="Q2396" s="1">
        <v>44401</v>
      </c>
    </row>
    <row r="2397" spans="1:17" x14ac:dyDescent="0.3">
      <c r="A2397" t="s">
        <v>14</v>
      </c>
      <c r="B2397" t="s">
        <v>36</v>
      </c>
      <c r="C2397" t="s">
        <v>23</v>
      </c>
      <c r="D2397" t="s">
        <v>40</v>
      </c>
      <c r="E2397" t="s">
        <v>41</v>
      </c>
      <c r="F2397" s="9">
        <v>0.08</v>
      </c>
      <c r="G2397" s="10">
        <v>17956</v>
      </c>
      <c r="H2397">
        <v>3.62</v>
      </c>
      <c r="I2397" s="5">
        <f>ROUND(Marketing[[#This Row],[Clicks]]*Marketing[[#This Row],[Conversion_Rate]],0)</f>
        <v>51</v>
      </c>
      <c r="J2397" s="12">
        <f>Marketing[[#This Row],[Campaign_Cost]]/Marketing[[#This Row],[Customers]]</f>
        <v>352.07843137254901</v>
      </c>
      <c r="K2397" t="s">
        <v>32</v>
      </c>
      <c r="L2397" t="s">
        <v>33</v>
      </c>
      <c r="M2397">
        <v>640</v>
      </c>
      <c r="N2397">
        <v>2893</v>
      </c>
      <c r="O2397">
        <v>5</v>
      </c>
      <c r="P2397" t="s">
        <v>42</v>
      </c>
      <c r="Q2397" s="1">
        <v>44402</v>
      </c>
    </row>
    <row r="2398" spans="1:17" x14ac:dyDescent="0.3">
      <c r="A2398" t="s">
        <v>35</v>
      </c>
      <c r="B2398" t="s">
        <v>15</v>
      </c>
      <c r="C2398" t="s">
        <v>30</v>
      </c>
      <c r="D2398" t="s">
        <v>17</v>
      </c>
      <c r="E2398" t="s">
        <v>15</v>
      </c>
      <c r="F2398" s="9">
        <v>0.04</v>
      </c>
      <c r="G2398" s="10">
        <v>13404</v>
      </c>
      <c r="H2398">
        <v>2.34</v>
      </c>
      <c r="I2398" s="5">
        <f>ROUND(Marketing[[#This Row],[Clicks]]*Marketing[[#This Row],[Conversion_Rate]],0)</f>
        <v>29</v>
      </c>
      <c r="J2398" s="12">
        <f>Marketing[[#This Row],[Campaign_Cost]]/Marketing[[#This Row],[Customers]]</f>
        <v>462.20689655172413</v>
      </c>
      <c r="K2398" t="s">
        <v>32</v>
      </c>
      <c r="L2398" t="s">
        <v>26</v>
      </c>
      <c r="M2398">
        <v>723</v>
      </c>
      <c r="N2398">
        <v>8842</v>
      </c>
      <c r="O2398">
        <v>8</v>
      </c>
      <c r="P2398" t="s">
        <v>21</v>
      </c>
      <c r="Q2398" s="1">
        <v>44403</v>
      </c>
    </row>
    <row r="2399" spans="1:17" x14ac:dyDescent="0.3">
      <c r="A2399" t="s">
        <v>22</v>
      </c>
      <c r="B2399" t="s">
        <v>45</v>
      </c>
      <c r="C2399" t="s">
        <v>23</v>
      </c>
      <c r="D2399" t="s">
        <v>24</v>
      </c>
      <c r="E2399" t="s">
        <v>48</v>
      </c>
      <c r="F2399" s="9">
        <v>0.11</v>
      </c>
      <c r="G2399" s="10">
        <v>7467</v>
      </c>
      <c r="H2399">
        <v>7.32</v>
      </c>
      <c r="I2399" s="5">
        <f>ROUND(Marketing[[#This Row],[Clicks]]*Marketing[[#This Row],[Conversion_Rate]],0)</f>
        <v>35</v>
      </c>
      <c r="J2399" s="12">
        <f>Marketing[[#This Row],[Campaign_Cost]]/Marketing[[#This Row],[Customers]]</f>
        <v>213.34285714285716</v>
      </c>
      <c r="K2399" t="s">
        <v>32</v>
      </c>
      <c r="L2399" t="s">
        <v>50</v>
      </c>
      <c r="M2399">
        <v>315</v>
      </c>
      <c r="N2399">
        <v>3114</v>
      </c>
      <c r="O2399">
        <v>5</v>
      </c>
      <c r="P2399" t="s">
        <v>44</v>
      </c>
      <c r="Q2399" s="1">
        <v>44404</v>
      </c>
    </row>
    <row r="2400" spans="1:17" x14ac:dyDescent="0.3">
      <c r="A2400" t="s">
        <v>49</v>
      </c>
      <c r="B2400" t="s">
        <v>45</v>
      </c>
      <c r="C2400" t="s">
        <v>16</v>
      </c>
      <c r="D2400" t="s">
        <v>46</v>
      </c>
      <c r="E2400" t="s">
        <v>41</v>
      </c>
      <c r="F2400" s="9">
        <v>0.03</v>
      </c>
      <c r="G2400" s="10">
        <v>9257</v>
      </c>
      <c r="H2400">
        <v>5.27</v>
      </c>
      <c r="I2400" s="5">
        <f>ROUND(Marketing[[#This Row],[Clicks]]*Marketing[[#This Row],[Conversion_Rate]],0)</f>
        <v>17</v>
      </c>
      <c r="J2400" s="12">
        <f>Marketing[[#This Row],[Campaign_Cost]]/Marketing[[#This Row],[Customers]]</f>
        <v>544.52941176470586</v>
      </c>
      <c r="K2400" t="s">
        <v>38</v>
      </c>
      <c r="L2400" t="s">
        <v>39</v>
      </c>
      <c r="M2400">
        <v>569</v>
      </c>
      <c r="N2400">
        <v>7388</v>
      </c>
      <c r="O2400">
        <v>8</v>
      </c>
      <c r="P2400" t="s">
        <v>42</v>
      </c>
      <c r="Q2400" s="1">
        <v>44405</v>
      </c>
    </row>
    <row r="2401" spans="1:17" x14ac:dyDescent="0.3">
      <c r="A2401" t="s">
        <v>35</v>
      </c>
      <c r="B2401" t="s">
        <v>15</v>
      </c>
      <c r="C2401" t="s">
        <v>52</v>
      </c>
      <c r="D2401" t="s">
        <v>46</v>
      </c>
      <c r="E2401" t="s">
        <v>15</v>
      </c>
      <c r="F2401" s="9">
        <v>0.04</v>
      </c>
      <c r="G2401" s="10">
        <v>10316</v>
      </c>
      <c r="H2401">
        <v>3.97</v>
      </c>
      <c r="I2401" s="5">
        <f>ROUND(Marketing[[#This Row],[Clicks]]*Marketing[[#This Row],[Conversion_Rate]],0)</f>
        <v>23</v>
      </c>
      <c r="J2401" s="12">
        <f>Marketing[[#This Row],[Campaign_Cost]]/Marketing[[#This Row],[Customers]]</f>
        <v>448.52173913043481</v>
      </c>
      <c r="K2401" t="s">
        <v>38</v>
      </c>
      <c r="L2401" t="s">
        <v>33</v>
      </c>
      <c r="M2401">
        <v>585</v>
      </c>
      <c r="N2401">
        <v>5304</v>
      </c>
      <c r="O2401">
        <v>7</v>
      </c>
      <c r="P2401" t="s">
        <v>34</v>
      </c>
      <c r="Q2401" s="1">
        <v>44406</v>
      </c>
    </row>
    <row r="2402" spans="1:17" x14ac:dyDescent="0.3">
      <c r="A2402" t="s">
        <v>35</v>
      </c>
      <c r="B2402" t="s">
        <v>36</v>
      </c>
      <c r="C2402" t="s">
        <v>30</v>
      </c>
      <c r="D2402" t="s">
        <v>24</v>
      </c>
      <c r="E2402" t="s">
        <v>43</v>
      </c>
      <c r="F2402" s="9">
        <v>0.06</v>
      </c>
      <c r="G2402" s="10">
        <v>13636</v>
      </c>
      <c r="H2402">
        <v>3.22</v>
      </c>
      <c r="I2402" s="5">
        <f>ROUND(Marketing[[#This Row],[Clicks]]*Marketing[[#This Row],[Conversion_Rate]],0)</f>
        <v>11</v>
      </c>
      <c r="J2402" s="12">
        <f>Marketing[[#This Row],[Campaign_Cost]]/Marketing[[#This Row],[Customers]]</f>
        <v>1239.6363636363637</v>
      </c>
      <c r="K2402" t="s">
        <v>19</v>
      </c>
      <c r="L2402" t="s">
        <v>26</v>
      </c>
      <c r="M2402">
        <v>183</v>
      </c>
      <c r="N2402">
        <v>3197</v>
      </c>
      <c r="O2402">
        <v>8</v>
      </c>
      <c r="P2402" t="s">
        <v>21</v>
      </c>
      <c r="Q2402" s="1">
        <v>44407</v>
      </c>
    </row>
    <row r="2403" spans="1:17" x14ac:dyDescent="0.3">
      <c r="A2403" t="s">
        <v>14</v>
      </c>
      <c r="B2403" t="s">
        <v>47</v>
      </c>
      <c r="C2403" t="s">
        <v>37</v>
      </c>
      <c r="D2403" t="s">
        <v>46</v>
      </c>
      <c r="E2403" t="s">
        <v>41</v>
      </c>
      <c r="F2403" s="9">
        <v>0.03</v>
      </c>
      <c r="G2403" s="10">
        <v>7714</v>
      </c>
      <c r="H2403">
        <v>6.79</v>
      </c>
      <c r="I2403" s="5">
        <f>ROUND(Marketing[[#This Row],[Clicks]]*Marketing[[#This Row],[Conversion_Rate]],0)</f>
        <v>4</v>
      </c>
      <c r="J2403" s="12">
        <f>Marketing[[#This Row],[Campaign_Cost]]/Marketing[[#This Row],[Customers]]</f>
        <v>1928.5</v>
      </c>
      <c r="K2403" t="s">
        <v>32</v>
      </c>
      <c r="L2403" t="s">
        <v>33</v>
      </c>
      <c r="M2403">
        <v>142</v>
      </c>
      <c r="N2403">
        <v>6774</v>
      </c>
      <c r="O2403">
        <v>1</v>
      </c>
      <c r="P2403" t="s">
        <v>42</v>
      </c>
      <c r="Q2403" s="1">
        <v>44408</v>
      </c>
    </row>
    <row r="2404" spans="1:17" x14ac:dyDescent="0.3">
      <c r="A2404" t="s">
        <v>28</v>
      </c>
      <c r="B2404" t="s">
        <v>36</v>
      </c>
      <c r="C2404" t="s">
        <v>23</v>
      </c>
      <c r="D2404" t="s">
        <v>46</v>
      </c>
      <c r="E2404" t="s">
        <v>18</v>
      </c>
      <c r="F2404" s="9">
        <v>0.04</v>
      </c>
      <c r="G2404" s="10">
        <v>18203</v>
      </c>
      <c r="H2404">
        <v>3.93</v>
      </c>
      <c r="I2404" s="5">
        <f>ROUND(Marketing[[#This Row],[Clicks]]*Marketing[[#This Row],[Conversion_Rate]],0)</f>
        <v>28</v>
      </c>
      <c r="J2404" s="12">
        <f>Marketing[[#This Row],[Campaign_Cost]]/Marketing[[#This Row],[Customers]]</f>
        <v>650.10714285714289</v>
      </c>
      <c r="K2404" t="s">
        <v>32</v>
      </c>
      <c r="L2404" t="s">
        <v>39</v>
      </c>
      <c r="M2404">
        <v>699</v>
      </c>
      <c r="N2404">
        <v>1558</v>
      </c>
      <c r="O2404">
        <v>10</v>
      </c>
      <c r="P2404" t="s">
        <v>42</v>
      </c>
      <c r="Q2404" s="1">
        <v>44409</v>
      </c>
    </row>
    <row r="2405" spans="1:17" x14ac:dyDescent="0.3">
      <c r="A2405" t="s">
        <v>49</v>
      </c>
      <c r="B2405" t="s">
        <v>15</v>
      </c>
      <c r="C2405" t="s">
        <v>30</v>
      </c>
      <c r="D2405" t="s">
        <v>46</v>
      </c>
      <c r="E2405" t="s">
        <v>15</v>
      </c>
      <c r="F2405" s="9">
        <v>0.01</v>
      </c>
      <c r="G2405" s="10">
        <v>19475</v>
      </c>
      <c r="H2405">
        <v>4.38</v>
      </c>
      <c r="I2405" s="5">
        <f>ROUND(Marketing[[#This Row],[Clicks]]*Marketing[[#This Row],[Conversion_Rate]],0)</f>
        <v>9</v>
      </c>
      <c r="J2405" s="12">
        <f>Marketing[[#This Row],[Campaign_Cost]]/Marketing[[#This Row],[Customers]]</f>
        <v>2163.8888888888887</v>
      </c>
      <c r="K2405" t="s">
        <v>38</v>
      </c>
      <c r="L2405" t="s">
        <v>20</v>
      </c>
      <c r="M2405">
        <v>883</v>
      </c>
      <c r="N2405">
        <v>8152</v>
      </c>
      <c r="O2405">
        <v>5</v>
      </c>
      <c r="P2405" t="s">
        <v>44</v>
      </c>
      <c r="Q2405" s="1">
        <v>44410</v>
      </c>
    </row>
    <row r="2406" spans="1:17" x14ac:dyDescent="0.3">
      <c r="A2406" t="s">
        <v>49</v>
      </c>
      <c r="B2406" t="s">
        <v>47</v>
      </c>
      <c r="C2406" t="s">
        <v>30</v>
      </c>
      <c r="D2406" t="s">
        <v>40</v>
      </c>
      <c r="E2406" t="s">
        <v>31</v>
      </c>
      <c r="F2406" s="9">
        <v>0.02</v>
      </c>
      <c r="G2406" s="10">
        <v>8969</v>
      </c>
      <c r="H2406">
        <v>5.28</v>
      </c>
      <c r="I2406" s="5">
        <f>ROUND(Marketing[[#This Row],[Clicks]]*Marketing[[#This Row],[Conversion_Rate]],0)</f>
        <v>14</v>
      </c>
      <c r="J2406" s="12">
        <f>Marketing[[#This Row],[Campaign_Cost]]/Marketing[[#This Row],[Customers]]</f>
        <v>640.64285714285711</v>
      </c>
      <c r="K2406" t="s">
        <v>32</v>
      </c>
      <c r="L2406" t="s">
        <v>20</v>
      </c>
      <c r="M2406">
        <v>720</v>
      </c>
      <c r="N2406">
        <v>7046</v>
      </c>
      <c r="O2406">
        <v>2</v>
      </c>
      <c r="P2406" t="s">
        <v>44</v>
      </c>
      <c r="Q2406" s="1">
        <v>44411</v>
      </c>
    </row>
    <row r="2407" spans="1:17" x14ac:dyDescent="0.3">
      <c r="A2407" t="s">
        <v>35</v>
      </c>
      <c r="B2407" t="s">
        <v>29</v>
      </c>
      <c r="C2407" t="s">
        <v>30</v>
      </c>
      <c r="D2407" t="s">
        <v>17</v>
      </c>
      <c r="E2407" t="s">
        <v>15</v>
      </c>
      <c r="F2407" s="9">
        <v>0.13</v>
      </c>
      <c r="G2407" s="10">
        <v>9084</v>
      </c>
      <c r="H2407">
        <v>5.04</v>
      </c>
      <c r="I2407" s="5">
        <f>ROUND(Marketing[[#This Row],[Clicks]]*Marketing[[#This Row],[Conversion_Rate]],0)</f>
        <v>28</v>
      </c>
      <c r="J2407" s="12">
        <f>Marketing[[#This Row],[Campaign_Cost]]/Marketing[[#This Row],[Customers]]</f>
        <v>324.42857142857144</v>
      </c>
      <c r="K2407" t="s">
        <v>38</v>
      </c>
      <c r="L2407" t="s">
        <v>26</v>
      </c>
      <c r="M2407">
        <v>218</v>
      </c>
      <c r="N2407">
        <v>8835</v>
      </c>
      <c r="O2407">
        <v>6</v>
      </c>
      <c r="P2407" t="s">
        <v>42</v>
      </c>
      <c r="Q2407" s="1">
        <v>44412</v>
      </c>
    </row>
    <row r="2408" spans="1:17" x14ac:dyDescent="0.3">
      <c r="A2408" t="s">
        <v>22</v>
      </c>
      <c r="B2408" t="s">
        <v>45</v>
      </c>
      <c r="C2408" t="s">
        <v>30</v>
      </c>
      <c r="D2408" t="s">
        <v>46</v>
      </c>
      <c r="E2408" t="s">
        <v>43</v>
      </c>
      <c r="F2408" s="9">
        <v>0.02</v>
      </c>
      <c r="G2408" s="10">
        <v>5319</v>
      </c>
      <c r="H2408">
        <v>3.31</v>
      </c>
      <c r="I2408" s="5">
        <f>ROUND(Marketing[[#This Row],[Clicks]]*Marketing[[#This Row],[Conversion_Rate]],0)</f>
        <v>11</v>
      </c>
      <c r="J2408" s="12">
        <f>Marketing[[#This Row],[Campaign_Cost]]/Marketing[[#This Row],[Customers]]</f>
        <v>483.54545454545456</v>
      </c>
      <c r="K2408" t="s">
        <v>32</v>
      </c>
      <c r="L2408" t="s">
        <v>26</v>
      </c>
      <c r="M2408">
        <v>553</v>
      </c>
      <c r="N2408">
        <v>1435</v>
      </c>
      <c r="O2408">
        <v>3</v>
      </c>
      <c r="P2408" t="s">
        <v>27</v>
      </c>
      <c r="Q2408" s="1">
        <v>44413</v>
      </c>
    </row>
    <row r="2409" spans="1:17" x14ac:dyDescent="0.3">
      <c r="A2409" t="s">
        <v>28</v>
      </c>
      <c r="B2409" t="s">
        <v>47</v>
      </c>
      <c r="C2409" t="s">
        <v>23</v>
      </c>
      <c r="D2409" t="s">
        <v>17</v>
      </c>
      <c r="E2409" t="s">
        <v>43</v>
      </c>
      <c r="F2409" s="9">
        <v>0.03</v>
      </c>
      <c r="G2409" s="10">
        <v>13577</v>
      </c>
      <c r="H2409">
        <v>4.09</v>
      </c>
      <c r="I2409" s="5">
        <f>ROUND(Marketing[[#This Row],[Clicks]]*Marketing[[#This Row],[Conversion_Rate]],0)</f>
        <v>8</v>
      </c>
      <c r="J2409" s="12">
        <f>Marketing[[#This Row],[Campaign_Cost]]/Marketing[[#This Row],[Customers]]</f>
        <v>1697.125</v>
      </c>
      <c r="K2409" t="s">
        <v>19</v>
      </c>
      <c r="L2409" t="s">
        <v>50</v>
      </c>
      <c r="M2409">
        <v>250</v>
      </c>
      <c r="N2409">
        <v>3978</v>
      </c>
      <c r="O2409">
        <v>1</v>
      </c>
      <c r="P2409" t="s">
        <v>21</v>
      </c>
      <c r="Q2409" s="1">
        <v>44414</v>
      </c>
    </row>
    <row r="2410" spans="1:17" x14ac:dyDescent="0.3">
      <c r="A2410" t="s">
        <v>35</v>
      </c>
      <c r="B2410" t="s">
        <v>47</v>
      </c>
      <c r="C2410" t="s">
        <v>52</v>
      </c>
      <c r="D2410" t="s">
        <v>40</v>
      </c>
      <c r="E2410" t="s">
        <v>43</v>
      </c>
      <c r="F2410" s="9">
        <v>0.04</v>
      </c>
      <c r="G2410" s="10">
        <v>5156</v>
      </c>
      <c r="H2410">
        <v>4.0999999999999996</v>
      </c>
      <c r="I2410" s="5">
        <f>ROUND(Marketing[[#This Row],[Clicks]]*Marketing[[#This Row],[Conversion_Rate]],0)</f>
        <v>20</v>
      </c>
      <c r="J2410" s="12">
        <f>Marketing[[#This Row],[Campaign_Cost]]/Marketing[[#This Row],[Customers]]</f>
        <v>257.8</v>
      </c>
      <c r="K2410" t="s">
        <v>51</v>
      </c>
      <c r="L2410" t="s">
        <v>39</v>
      </c>
      <c r="M2410">
        <v>504</v>
      </c>
      <c r="N2410">
        <v>7390</v>
      </c>
      <c r="O2410">
        <v>6</v>
      </c>
      <c r="P2410" t="s">
        <v>34</v>
      </c>
      <c r="Q2410" s="1">
        <v>44415</v>
      </c>
    </row>
    <row r="2411" spans="1:17" x14ac:dyDescent="0.3">
      <c r="A2411" t="s">
        <v>22</v>
      </c>
      <c r="B2411" t="s">
        <v>47</v>
      </c>
      <c r="C2411" t="s">
        <v>23</v>
      </c>
      <c r="D2411" t="s">
        <v>24</v>
      </c>
      <c r="E2411" t="s">
        <v>48</v>
      </c>
      <c r="F2411" s="9">
        <v>0.11</v>
      </c>
      <c r="G2411" s="10">
        <v>10040</v>
      </c>
      <c r="H2411">
        <v>2.54</v>
      </c>
      <c r="I2411" s="5">
        <f>ROUND(Marketing[[#This Row],[Clicks]]*Marketing[[#This Row],[Conversion_Rate]],0)</f>
        <v>78</v>
      </c>
      <c r="J2411" s="12">
        <f>Marketing[[#This Row],[Campaign_Cost]]/Marketing[[#This Row],[Customers]]</f>
        <v>128.71794871794873</v>
      </c>
      <c r="K2411" t="s">
        <v>32</v>
      </c>
      <c r="L2411" t="s">
        <v>26</v>
      </c>
      <c r="M2411">
        <v>713</v>
      </c>
      <c r="N2411">
        <v>9935</v>
      </c>
      <c r="O2411">
        <v>1</v>
      </c>
      <c r="P2411" t="s">
        <v>21</v>
      </c>
      <c r="Q2411" s="1">
        <v>44416</v>
      </c>
    </row>
    <row r="2412" spans="1:17" x14ac:dyDescent="0.3">
      <c r="A2412" t="s">
        <v>22</v>
      </c>
      <c r="B2412" t="s">
        <v>47</v>
      </c>
      <c r="C2412" t="s">
        <v>37</v>
      </c>
      <c r="D2412" t="s">
        <v>46</v>
      </c>
      <c r="E2412" t="s">
        <v>15</v>
      </c>
      <c r="F2412" s="9">
        <v>0.05</v>
      </c>
      <c r="G2412" s="10">
        <v>12652</v>
      </c>
      <c r="H2412">
        <v>6.6</v>
      </c>
      <c r="I2412" s="5">
        <f>ROUND(Marketing[[#This Row],[Clicks]]*Marketing[[#This Row],[Conversion_Rate]],0)</f>
        <v>39</v>
      </c>
      <c r="J2412" s="12">
        <f>Marketing[[#This Row],[Campaign_Cost]]/Marketing[[#This Row],[Customers]]</f>
        <v>324.41025641025641</v>
      </c>
      <c r="K2412" t="s">
        <v>51</v>
      </c>
      <c r="L2412" t="s">
        <v>33</v>
      </c>
      <c r="M2412">
        <v>783</v>
      </c>
      <c r="N2412">
        <v>1338</v>
      </c>
      <c r="O2412">
        <v>1</v>
      </c>
      <c r="P2412" t="s">
        <v>27</v>
      </c>
      <c r="Q2412" s="1">
        <v>44417</v>
      </c>
    </row>
    <row r="2413" spans="1:17" x14ac:dyDescent="0.3">
      <c r="A2413" t="s">
        <v>35</v>
      </c>
      <c r="B2413" t="s">
        <v>36</v>
      </c>
      <c r="C2413" t="s">
        <v>30</v>
      </c>
      <c r="D2413" t="s">
        <v>24</v>
      </c>
      <c r="E2413" t="s">
        <v>48</v>
      </c>
      <c r="F2413" s="9">
        <v>0.11</v>
      </c>
      <c r="G2413" s="10">
        <v>6169</v>
      </c>
      <c r="H2413">
        <v>6.03</v>
      </c>
      <c r="I2413" s="5">
        <f>ROUND(Marketing[[#This Row],[Clicks]]*Marketing[[#This Row],[Conversion_Rate]],0)</f>
        <v>86</v>
      </c>
      <c r="J2413" s="12">
        <f>Marketing[[#This Row],[Campaign_Cost]]/Marketing[[#This Row],[Customers]]</f>
        <v>71.732558139534888</v>
      </c>
      <c r="K2413" t="s">
        <v>25</v>
      </c>
      <c r="L2413" t="s">
        <v>20</v>
      </c>
      <c r="M2413">
        <v>780</v>
      </c>
      <c r="N2413">
        <v>2043</v>
      </c>
      <c r="O2413">
        <v>5</v>
      </c>
      <c r="P2413" t="s">
        <v>44</v>
      </c>
      <c r="Q2413" s="1">
        <v>44418</v>
      </c>
    </row>
    <row r="2414" spans="1:17" x14ac:dyDescent="0.3">
      <c r="A2414" t="s">
        <v>22</v>
      </c>
      <c r="B2414" t="s">
        <v>15</v>
      </c>
      <c r="C2414" t="s">
        <v>37</v>
      </c>
      <c r="D2414" t="s">
        <v>46</v>
      </c>
      <c r="E2414" t="s">
        <v>31</v>
      </c>
      <c r="F2414" s="9">
        <v>0.14000000000000001</v>
      </c>
      <c r="G2414" s="10">
        <v>13128</v>
      </c>
      <c r="H2414">
        <v>3.82</v>
      </c>
      <c r="I2414" s="5">
        <f>ROUND(Marketing[[#This Row],[Clicks]]*Marketing[[#This Row],[Conversion_Rate]],0)</f>
        <v>16</v>
      </c>
      <c r="J2414" s="12">
        <f>Marketing[[#This Row],[Campaign_Cost]]/Marketing[[#This Row],[Customers]]</f>
        <v>820.5</v>
      </c>
      <c r="K2414" t="s">
        <v>51</v>
      </c>
      <c r="L2414" t="s">
        <v>50</v>
      </c>
      <c r="M2414">
        <v>111</v>
      </c>
      <c r="N2414">
        <v>5558</v>
      </c>
      <c r="O2414">
        <v>7</v>
      </c>
      <c r="P2414" t="s">
        <v>44</v>
      </c>
      <c r="Q2414" s="1">
        <v>44419</v>
      </c>
    </row>
    <row r="2415" spans="1:17" x14ac:dyDescent="0.3">
      <c r="A2415" t="s">
        <v>35</v>
      </c>
      <c r="B2415" t="s">
        <v>45</v>
      </c>
      <c r="C2415" t="s">
        <v>23</v>
      </c>
      <c r="D2415" t="s">
        <v>46</v>
      </c>
      <c r="E2415" t="s">
        <v>18</v>
      </c>
      <c r="F2415" s="9">
        <v>0.08</v>
      </c>
      <c r="G2415" s="10">
        <v>6131</v>
      </c>
      <c r="H2415">
        <v>7.34</v>
      </c>
      <c r="I2415" s="5">
        <f>ROUND(Marketing[[#This Row],[Clicks]]*Marketing[[#This Row],[Conversion_Rate]],0)</f>
        <v>11</v>
      </c>
      <c r="J2415" s="12">
        <f>Marketing[[#This Row],[Campaign_Cost]]/Marketing[[#This Row],[Customers]]</f>
        <v>557.36363636363637</v>
      </c>
      <c r="K2415" t="s">
        <v>25</v>
      </c>
      <c r="L2415" t="s">
        <v>33</v>
      </c>
      <c r="M2415">
        <v>139</v>
      </c>
      <c r="N2415">
        <v>5239</v>
      </c>
      <c r="O2415">
        <v>10</v>
      </c>
      <c r="P2415" t="s">
        <v>34</v>
      </c>
      <c r="Q2415" s="1">
        <v>44420</v>
      </c>
    </row>
    <row r="2416" spans="1:17" x14ac:dyDescent="0.3">
      <c r="A2416" t="s">
        <v>49</v>
      </c>
      <c r="B2416" t="s">
        <v>15</v>
      </c>
      <c r="C2416" t="s">
        <v>30</v>
      </c>
      <c r="D2416" t="s">
        <v>46</v>
      </c>
      <c r="E2416" t="s">
        <v>31</v>
      </c>
      <c r="F2416" s="9">
        <v>0.13</v>
      </c>
      <c r="G2416" s="10">
        <v>12471</v>
      </c>
      <c r="H2416">
        <v>2.46</v>
      </c>
      <c r="I2416" s="5">
        <f>ROUND(Marketing[[#This Row],[Clicks]]*Marketing[[#This Row],[Conversion_Rate]],0)</f>
        <v>65</v>
      </c>
      <c r="J2416" s="12">
        <f>Marketing[[#This Row],[Campaign_Cost]]/Marketing[[#This Row],[Customers]]</f>
        <v>191.86153846153846</v>
      </c>
      <c r="K2416" t="s">
        <v>38</v>
      </c>
      <c r="L2416" t="s">
        <v>26</v>
      </c>
      <c r="M2416">
        <v>498</v>
      </c>
      <c r="N2416">
        <v>5428</v>
      </c>
      <c r="O2416">
        <v>3</v>
      </c>
      <c r="P2416" t="s">
        <v>21</v>
      </c>
      <c r="Q2416" s="1">
        <v>44421</v>
      </c>
    </row>
    <row r="2417" spans="1:17" x14ac:dyDescent="0.3">
      <c r="A2417" t="s">
        <v>49</v>
      </c>
      <c r="B2417" t="s">
        <v>15</v>
      </c>
      <c r="C2417" t="s">
        <v>16</v>
      </c>
      <c r="D2417" t="s">
        <v>24</v>
      </c>
      <c r="E2417" t="s">
        <v>31</v>
      </c>
      <c r="F2417" s="9">
        <v>7.0000000000000007E-2</v>
      </c>
      <c r="G2417" s="10">
        <v>9654</v>
      </c>
      <c r="H2417">
        <v>7.54</v>
      </c>
      <c r="I2417" s="5">
        <f>ROUND(Marketing[[#This Row],[Clicks]]*Marketing[[#This Row],[Conversion_Rate]],0)</f>
        <v>53</v>
      </c>
      <c r="J2417" s="12">
        <f>Marketing[[#This Row],[Campaign_Cost]]/Marketing[[#This Row],[Customers]]</f>
        <v>182.15094339622641</v>
      </c>
      <c r="K2417" t="s">
        <v>32</v>
      </c>
      <c r="L2417" t="s">
        <v>50</v>
      </c>
      <c r="M2417">
        <v>755</v>
      </c>
      <c r="N2417">
        <v>1284</v>
      </c>
      <c r="O2417">
        <v>2</v>
      </c>
      <c r="P2417" t="s">
        <v>27</v>
      </c>
      <c r="Q2417" s="1">
        <v>44422</v>
      </c>
    </row>
    <row r="2418" spans="1:17" x14ac:dyDescent="0.3">
      <c r="A2418" t="s">
        <v>35</v>
      </c>
      <c r="B2418" t="s">
        <v>47</v>
      </c>
      <c r="C2418" t="s">
        <v>30</v>
      </c>
      <c r="D2418" t="s">
        <v>46</v>
      </c>
      <c r="E2418" t="s">
        <v>41</v>
      </c>
      <c r="F2418" s="9">
        <v>0.13</v>
      </c>
      <c r="G2418" s="10">
        <v>12046</v>
      </c>
      <c r="H2418">
        <v>7.55</v>
      </c>
      <c r="I2418" s="5">
        <f>ROUND(Marketing[[#This Row],[Clicks]]*Marketing[[#This Row],[Conversion_Rate]],0)</f>
        <v>16</v>
      </c>
      <c r="J2418" s="12">
        <f>Marketing[[#This Row],[Campaign_Cost]]/Marketing[[#This Row],[Customers]]</f>
        <v>752.875</v>
      </c>
      <c r="K2418" t="s">
        <v>25</v>
      </c>
      <c r="L2418" t="s">
        <v>20</v>
      </c>
      <c r="M2418">
        <v>124</v>
      </c>
      <c r="N2418">
        <v>1334</v>
      </c>
      <c r="O2418">
        <v>10</v>
      </c>
      <c r="P2418" t="s">
        <v>42</v>
      </c>
      <c r="Q2418" s="1">
        <v>44423</v>
      </c>
    </row>
    <row r="2419" spans="1:17" x14ac:dyDescent="0.3">
      <c r="A2419" t="s">
        <v>35</v>
      </c>
      <c r="B2419" t="s">
        <v>36</v>
      </c>
      <c r="C2419" t="s">
        <v>16</v>
      </c>
      <c r="D2419" t="s">
        <v>46</v>
      </c>
      <c r="E2419" t="s">
        <v>48</v>
      </c>
      <c r="F2419" s="9">
        <v>0.04</v>
      </c>
      <c r="G2419" s="10">
        <v>14372</v>
      </c>
      <c r="H2419">
        <v>5.01</v>
      </c>
      <c r="I2419" s="5">
        <f>ROUND(Marketing[[#This Row],[Clicks]]*Marketing[[#This Row],[Conversion_Rate]],0)</f>
        <v>4</v>
      </c>
      <c r="J2419" s="12">
        <f>Marketing[[#This Row],[Campaign_Cost]]/Marketing[[#This Row],[Customers]]</f>
        <v>3593</v>
      </c>
      <c r="K2419" t="s">
        <v>51</v>
      </c>
      <c r="L2419" t="s">
        <v>39</v>
      </c>
      <c r="M2419">
        <v>100</v>
      </c>
      <c r="N2419">
        <v>7364</v>
      </c>
      <c r="O2419">
        <v>10</v>
      </c>
      <c r="P2419" t="s">
        <v>42</v>
      </c>
      <c r="Q2419" s="1">
        <v>44424</v>
      </c>
    </row>
    <row r="2420" spans="1:17" x14ac:dyDescent="0.3">
      <c r="A2420" t="s">
        <v>35</v>
      </c>
      <c r="B2420" t="s">
        <v>29</v>
      </c>
      <c r="C2420" t="s">
        <v>30</v>
      </c>
      <c r="D2420" t="s">
        <v>17</v>
      </c>
      <c r="E2420" t="s">
        <v>15</v>
      </c>
      <c r="F2420" s="9">
        <v>0.11</v>
      </c>
      <c r="G2420" s="10">
        <v>11447</v>
      </c>
      <c r="H2420">
        <v>5.99</v>
      </c>
      <c r="I2420" s="5">
        <f>ROUND(Marketing[[#This Row],[Clicks]]*Marketing[[#This Row],[Conversion_Rate]],0)</f>
        <v>92</v>
      </c>
      <c r="J2420" s="12">
        <f>Marketing[[#This Row],[Campaign_Cost]]/Marketing[[#This Row],[Customers]]</f>
        <v>124.42391304347827</v>
      </c>
      <c r="K2420" t="s">
        <v>19</v>
      </c>
      <c r="L2420" t="s">
        <v>39</v>
      </c>
      <c r="M2420">
        <v>840</v>
      </c>
      <c r="N2420">
        <v>9392</v>
      </c>
      <c r="O2420">
        <v>4</v>
      </c>
      <c r="P2420" t="s">
        <v>34</v>
      </c>
      <c r="Q2420" s="1">
        <v>44425</v>
      </c>
    </row>
    <row r="2421" spans="1:17" x14ac:dyDescent="0.3">
      <c r="A2421" t="s">
        <v>49</v>
      </c>
      <c r="B2421" t="s">
        <v>47</v>
      </c>
      <c r="C2421" t="s">
        <v>30</v>
      </c>
      <c r="D2421" t="s">
        <v>46</v>
      </c>
      <c r="E2421" t="s">
        <v>43</v>
      </c>
      <c r="F2421" s="9">
        <v>0.06</v>
      </c>
      <c r="G2421" s="10">
        <v>13682</v>
      </c>
      <c r="H2421">
        <v>2.81</v>
      </c>
      <c r="I2421" s="5">
        <f>ROUND(Marketing[[#This Row],[Clicks]]*Marketing[[#This Row],[Conversion_Rate]],0)</f>
        <v>51</v>
      </c>
      <c r="J2421" s="12">
        <f>Marketing[[#This Row],[Campaign_Cost]]/Marketing[[#This Row],[Customers]]</f>
        <v>268.27450980392155</v>
      </c>
      <c r="K2421" t="s">
        <v>38</v>
      </c>
      <c r="L2421" t="s">
        <v>39</v>
      </c>
      <c r="M2421">
        <v>851</v>
      </c>
      <c r="N2421">
        <v>1092</v>
      </c>
      <c r="O2421">
        <v>9</v>
      </c>
      <c r="P2421" t="s">
        <v>27</v>
      </c>
      <c r="Q2421" s="1">
        <v>44426</v>
      </c>
    </row>
    <row r="2422" spans="1:17" x14ac:dyDescent="0.3">
      <c r="A2422" t="s">
        <v>49</v>
      </c>
      <c r="B2422" t="s">
        <v>29</v>
      </c>
      <c r="C2422" t="s">
        <v>23</v>
      </c>
      <c r="D2422" t="s">
        <v>24</v>
      </c>
      <c r="E2422" t="s">
        <v>18</v>
      </c>
      <c r="F2422" s="9">
        <v>0.15</v>
      </c>
      <c r="G2422" s="10">
        <v>6280</v>
      </c>
      <c r="H2422">
        <v>5.95</v>
      </c>
      <c r="I2422" s="5">
        <f>ROUND(Marketing[[#This Row],[Clicks]]*Marketing[[#This Row],[Conversion_Rate]],0)</f>
        <v>130</v>
      </c>
      <c r="J2422" s="12">
        <f>Marketing[[#This Row],[Campaign_Cost]]/Marketing[[#This Row],[Customers]]</f>
        <v>48.307692307692307</v>
      </c>
      <c r="K2422" t="s">
        <v>25</v>
      </c>
      <c r="L2422" t="s">
        <v>20</v>
      </c>
      <c r="M2422">
        <v>867</v>
      </c>
      <c r="N2422">
        <v>1525</v>
      </c>
      <c r="O2422">
        <v>6</v>
      </c>
      <c r="P2422" t="s">
        <v>21</v>
      </c>
      <c r="Q2422" s="1">
        <v>44427</v>
      </c>
    </row>
    <row r="2423" spans="1:17" x14ac:dyDescent="0.3">
      <c r="A2423" t="s">
        <v>22</v>
      </c>
      <c r="B2423" t="s">
        <v>47</v>
      </c>
      <c r="C2423" t="s">
        <v>30</v>
      </c>
      <c r="D2423" t="s">
        <v>40</v>
      </c>
      <c r="E2423" t="s">
        <v>31</v>
      </c>
      <c r="F2423" s="9">
        <v>0.08</v>
      </c>
      <c r="G2423" s="10">
        <v>14086</v>
      </c>
      <c r="H2423">
        <v>7.24</v>
      </c>
      <c r="I2423" s="5">
        <f>ROUND(Marketing[[#This Row],[Clicks]]*Marketing[[#This Row],[Conversion_Rate]],0)</f>
        <v>49</v>
      </c>
      <c r="J2423" s="12">
        <f>Marketing[[#This Row],[Campaign_Cost]]/Marketing[[#This Row],[Customers]]</f>
        <v>287.46938775510205</v>
      </c>
      <c r="K2423" t="s">
        <v>32</v>
      </c>
      <c r="L2423" t="s">
        <v>39</v>
      </c>
      <c r="M2423">
        <v>611</v>
      </c>
      <c r="N2423">
        <v>9682</v>
      </c>
      <c r="O2423">
        <v>6</v>
      </c>
      <c r="P2423" t="s">
        <v>44</v>
      </c>
      <c r="Q2423" s="1">
        <v>44428</v>
      </c>
    </row>
    <row r="2424" spans="1:17" x14ac:dyDescent="0.3">
      <c r="A2424" t="s">
        <v>28</v>
      </c>
      <c r="B2424" t="s">
        <v>47</v>
      </c>
      <c r="C2424" t="s">
        <v>23</v>
      </c>
      <c r="D2424" t="s">
        <v>17</v>
      </c>
      <c r="E2424" t="s">
        <v>43</v>
      </c>
      <c r="F2424" s="9">
        <v>0.11</v>
      </c>
      <c r="G2424" s="10">
        <v>8424</v>
      </c>
      <c r="H2424">
        <v>6.82</v>
      </c>
      <c r="I2424" s="5">
        <f>ROUND(Marketing[[#This Row],[Clicks]]*Marketing[[#This Row],[Conversion_Rate]],0)</f>
        <v>100</v>
      </c>
      <c r="J2424" s="12">
        <f>Marketing[[#This Row],[Campaign_Cost]]/Marketing[[#This Row],[Customers]]</f>
        <v>84.24</v>
      </c>
      <c r="K2424" t="s">
        <v>19</v>
      </c>
      <c r="L2424" t="s">
        <v>33</v>
      </c>
      <c r="M2424">
        <v>905</v>
      </c>
      <c r="N2424">
        <v>1830</v>
      </c>
      <c r="O2424">
        <v>1</v>
      </c>
      <c r="P2424" t="s">
        <v>34</v>
      </c>
      <c r="Q2424" s="1">
        <v>44429</v>
      </c>
    </row>
    <row r="2425" spans="1:17" x14ac:dyDescent="0.3">
      <c r="A2425" t="s">
        <v>49</v>
      </c>
      <c r="B2425" t="s">
        <v>15</v>
      </c>
      <c r="C2425" t="s">
        <v>16</v>
      </c>
      <c r="D2425" t="s">
        <v>24</v>
      </c>
      <c r="E2425" t="s">
        <v>18</v>
      </c>
      <c r="F2425" s="9">
        <v>0.1</v>
      </c>
      <c r="G2425" s="10">
        <v>13931</v>
      </c>
      <c r="H2425">
        <v>6.6</v>
      </c>
      <c r="I2425" s="5">
        <f>ROUND(Marketing[[#This Row],[Clicks]]*Marketing[[#This Row],[Conversion_Rate]],0)</f>
        <v>11</v>
      </c>
      <c r="J2425" s="12">
        <f>Marketing[[#This Row],[Campaign_Cost]]/Marketing[[#This Row],[Customers]]</f>
        <v>1266.4545454545455</v>
      </c>
      <c r="K2425" t="s">
        <v>51</v>
      </c>
      <c r="L2425" t="s">
        <v>39</v>
      </c>
      <c r="M2425">
        <v>110</v>
      </c>
      <c r="N2425">
        <v>5185</v>
      </c>
      <c r="O2425">
        <v>7</v>
      </c>
      <c r="P2425" t="s">
        <v>34</v>
      </c>
      <c r="Q2425" s="1">
        <v>44430</v>
      </c>
    </row>
    <row r="2426" spans="1:17" x14ac:dyDescent="0.3">
      <c r="A2426" t="s">
        <v>28</v>
      </c>
      <c r="B2426" t="s">
        <v>15</v>
      </c>
      <c r="C2426" t="s">
        <v>30</v>
      </c>
      <c r="D2426" t="s">
        <v>46</v>
      </c>
      <c r="E2426" t="s">
        <v>18</v>
      </c>
      <c r="F2426" s="9">
        <v>0.14000000000000001</v>
      </c>
      <c r="G2426" s="10">
        <v>16392</v>
      </c>
      <c r="H2426">
        <v>7.14</v>
      </c>
      <c r="I2426" s="5">
        <f>ROUND(Marketing[[#This Row],[Clicks]]*Marketing[[#This Row],[Conversion_Rate]],0)</f>
        <v>26</v>
      </c>
      <c r="J2426" s="12">
        <f>Marketing[[#This Row],[Campaign_Cost]]/Marketing[[#This Row],[Customers]]</f>
        <v>630.46153846153845</v>
      </c>
      <c r="K2426" t="s">
        <v>25</v>
      </c>
      <c r="L2426" t="s">
        <v>26</v>
      </c>
      <c r="M2426">
        <v>189</v>
      </c>
      <c r="N2426">
        <v>1541</v>
      </c>
      <c r="O2426">
        <v>8</v>
      </c>
      <c r="P2426" t="s">
        <v>34</v>
      </c>
      <c r="Q2426" s="1">
        <v>44431</v>
      </c>
    </row>
    <row r="2427" spans="1:17" x14ac:dyDescent="0.3">
      <c r="A2427" t="s">
        <v>14</v>
      </c>
      <c r="B2427" t="s">
        <v>15</v>
      </c>
      <c r="C2427" t="s">
        <v>37</v>
      </c>
      <c r="D2427" t="s">
        <v>46</v>
      </c>
      <c r="E2427" t="s">
        <v>43</v>
      </c>
      <c r="F2427" s="9">
        <v>0.03</v>
      </c>
      <c r="G2427" s="10">
        <v>13783</v>
      </c>
      <c r="H2427">
        <v>7.54</v>
      </c>
      <c r="I2427" s="5">
        <f>ROUND(Marketing[[#This Row],[Clicks]]*Marketing[[#This Row],[Conversion_Rate]],0)</f>
        <v>17</v>
      </c>
      <c r="J2427" s="12">
        <f>Marketing[[#This Row],[Campaign_Cost]]/Marketing[[#This Row],[Customers]]</f>
        <v>810.76470588235293</v>
      </c>
      <c r="K2427" t="s">
        <v>25</v>
      </c>
      <c r="L2427" t="s">
        <v>33</v>
      </c>
      <c r="M2427">
        <v>583</v>
      </c>
      <c r="N2427">
        <v>2354</v>
      </c>
      <c r="O2427">
        <v>2</v>
      </c>
      <c r="P2427" t="s">
        <v>44</v>
      </c>
      <c r="Q2427" s="1">
        <v>44432</v>
      </c>
    </row>
    <row r="2428" spans="1:17" x14ac:dyDescent="0.3">
      <c r="A2428" t="s">
        <v>28</v>
      </c>
      <c r="B2428" t="s">
        <v>36</v>
      </c>
      <c r="C2428" t="s">
        <v>23</v>
      </c>
      <c r="D2428" t="s">
        <v>17</v>
      </c>
      <c r="E2428" t="s">
        <v>43</v>
      </c>
      <c r="F2428" s="9">
        <v>0.04</v>
      </c>
      <c r="G2428" s="10">
        <v>16261</v>
      </c>
      <c r="H2428">
        <v>5.31</v>
      </c>
      <c r="I2428" s="5">
        <f>ROUND(Marketing[[#This Row],[Clicks]]*Marketing[[#This Row],[Conversion_Rate]],0)</f>
        <v>13</v>
      </c>
      <c r="J2428" s="12">
        <f>Marketing[[#This Row],[Campaign_Cost]]/Marketing[[#This Row],[Customers]]</f>
        <v>1250.8461538461538</v>
      </c>
      <c r="K2428" t="s">
        <v>38</v>
      </c>
      <c r="L2428" t="s">
        <v>39</v>
      </c>
      <c r="M2428">
        <v>328</v>
      </c>
      <c r="N2428">
        <v>5881</v>
      </c>
      <c r="O2428">
        <v>8</v>
      </c>
      <c r="P2428" t="s">
        <v>21</v>
      </c>
      <c r="Q2428" s="1">
        <v>44433</v>
      </c>
    </row>
    <row r="2429" spans="1:17" x14ac:dyDescent="0.3">
      <c r="A2429" t="s">
        <v>14</v>
      </c>
      <c r="B2429" t="s">
        <v>15</v>
      </c>
      <c r="C2429" t="s">
        <v>30</v>
      </c>
      <c r="D2429" t="s">
        <v>40</v>
      </c>
      <c r="E2429" t="s">
        <v>15</v>
      </c>
      <c r="F2429" s="9">
        <v>0.03</v>
      </c>
      <c r="G2429" s="10">
        <v>7667</v>
      </c>
      <c r="H2429">
        <v>7.42</v>
      </c>
      <c r="I2429" s="5">
        <f>ROUND(Marketing[[#This Row],[Clicks]]*Marketing[[#This Row],[Conversion_Rate]],0)</f>
        <v>25</v>
      </c>
      <c r="J2429" s="12">
        <f>Marketing[[#This Row],[Campaign_Cost]]/Marketing[[#This Row],[Customers]]</f>
        <v>306.68</v>
      </c>
      <c r="K2429" t="s">
        <v>38</v>
      </c>
      <c r="L2429" t="s">
        <v>39</v>
      </c>
      <c r="M2429">
        <v>819</v>
      </c>
      <c r="N2429">
        <v>7098</v>
      </c>
      <c r="O2429">
        <v>2</v>
      </c>
      <c r="P2429" t="s">
        <v>42</v>
      </c>
      <c r="Q2429" s="1">
        <v>44434</v>
      </c>
    </row>
    <row r="2430" spans="1:17" x14ac:dyDescent="0.3">
      <c r="A2430" t="s">
        <v>22</v>
      </c>
      <c r="B2430" t="s">
        <v>15</v>
      </c>
      <c r="C2430" t="s">
        <v>37</v>
      </c>
      <c r="D2430" t="s">
        <v>40</v>
      </c>
      <c r="E2430" t="s">
        <v>31</v>
      </c>
      <c r="F2430" s="9">
        <v>0.15</v>
      </c>
      <c r="G2430" s="10">
        <v>19419</v>
      </c>
      <c r="H2430">
        <v>4.2300000000000004</v>
      </c>
      <c r="I2430" s="5">
        <f>ROUND(Marketing[[#This Row],[Clicks]]*Marketing[[#This Row],[Conversion_Rate]],0)</f>
        <v>126</v>
      </c>
      <c r="J2430" s="12">
        <f>Marketing[[#This Row],[Campaign_Cost]]/Marketing[[#This Row],[Customers]]</f>
        <v>154.11904761904762</v>
      </c>
      <c r="K2430" t="s">
        <v>32</v>
      </c>
      <c r="L2430" t="s">
        <v>26</v>
      </c>
      <c r="M2430">
        <v>840</v>
      </c>
      <c r="N2430">
        <v>3053</v>
      </c>
      <c r="O2430">
        <v>3</v>
      </c>
      <c r="P2430" t="s">
        <v>44</v>
      </c>
      <c r="Q2430" s="1">
        <v>44435</v>
      </c>
    </row>
    <row r="2431" spans="1:17" x14ac:dyDescent="0.3">
      <c r="A2431" t="s">
        <v>28</v>
      </c>
      <c r="B2431" t="s">
        <v>15</v>
      </c>
      <c r="C2431" t="s">
        <v>23</v>
      </c>
      <c r="D2431" t="s">
        <v>24</v>
      </c>
      <c r="E2431" t="s">
        <v>18</v>
      </c>
      <c r="F2431" s="9">
        <v>0.14000000000000001</v>
      </c>
      <c r="G2431" s="10">
        <v>18513</v>
      </c>
      <c r="H2431">
        <v>4.62</v>
      </c>
      <c r="I2431" s="5">
        <f>ROUND(Marketing[[#This Row],[Clicks]]*Marketing[[#This Row],[Conversion_Rate]],0)</f>
        <v>110</v>
      </c>
      <c r="J2431" s="12">
        <f>Marketing[[#This Row],[Campaign_Cost]]/Marketing[[#This Row],[Customers]]</f>
        <v>168.3</v>
      </c>
      <c r="K2431" t="s">
        <v>19</v>
      </c>
      <c r="L2431" t="s">
        <v>20</v>
      </c>
      <c r="M2431">
        <v>788</v>
      </c>
      <c r="N2431">
        <v>4863</v>
      </c>
      <c r="O2431">
        <v>4</v>
      </c>
      <c r="P2431" t="s">
        <v>27</v>
      </c>
      <c r="Q2431" s="1">
        <v>44436</v>
      </c>
    </row>
    <row r="2432" spans="1:17" x14ac:dyDescent="0.3">
      <c r="A2432" t="s">
        <v>49</v>
      </c>
      <c r="B2432" t="s">
        <v>47</v>
      </c>
      <c r="C2432" t="s">
        <v>37</v>
      </c>
      <c r="D2432" t="s">
        <v>17</v>
      </c>
      <c r="E2432" t="s">
        <v>18</v>
      </c>
      <c r="F2432" s="9">
        <v>0.11</v>
      </c>
      <c r="G2432" s="10">
        <v>5875</v>
      </c>
      <c r="H2432">
        <v>3.8</v>
      </c>
      <c r="I2432" s="5">
        <f>ROUND(Marketing[[#This Row],[Clicks]]*Marketing[[#This Row],[Conversion_Rate]],0)</f>
        <v>16</v>
      </c>
      <c r="J2432" s="12">
        <f>Marketing[[#This Row],[Campaign_Cost]]/Marketing[[#This Row],[Customers]]</f>
        <v>367.1875</v>
      </c>
      <c r="K2432" t="s">
        <v>51</v>
      </c>
      <c r="L2432" t="s">
        <v>26</v>
      </c>
      <c r="M2432">
        <v>149</v>
      </c>
      <c r="N2432">
        <v>1298</v>
      </c>
      <c r="O2432">
        <v>10</v>
      </c>
      <c r="P2432" t="s">
        <v>27</v>
      </c>
      <c r="Q2432" s="1">
        <v>44437</v>
      </c>
    </row>
    <row r="2433" spans="1:17" x14ac:dyDescent="0.3">
      <c r="A2433" t="s">
        <v>35</v>
      </c>
      <c r="B2433" t="s">
        <v>15</v>
      </c>
      <c r="C2433" t="s">
        <v>30</v>
      </c>
      <c r="D2433" t="s">
        <v>17</v>
      </c>
      <c r="E2433" t="s">
        <v>48</v>
      </c>
      <c r="F2433" s="9">
        <v>0.1</v>
      </c>
      <c r="G2433" s="10">
        <v>19139</v>
      </c>
      <c r="H2433">
        <v>2.64</v>
      </c>
      <c r="I2433" s="5">
        <f>ROUND(Marketing[[#This Row],[Clicks]]*Marketing[[#This Row],[Conversion_Rate]],0)</f>
        <v>47</v>
      </c>
      <c r="J2433" s="12">
        <f>Marketing[[#This Row],[Campaign_Cost]]/Marketing[[#This Row],[Customers]]</f>
        <v>407.21276595744683</v>
      </c>
      <c r="K2433" t="s">
        <v>51</v>
      </c>
      <c r="L2433" t="s">
        <v>20</v>
      </c>
      <c r="M2433">
        <v>471</v>
      </c>
      <c r="N2433">
        <v>6853</v>
      </c>
      <c r="O2433">
        <v>7</v>
      </c>
      <c r="P2433" t="s">
        <v>42</v>
      </c>
      <c r="Q2433" s="1">
        <v>44438</v>
      </c>
    </row>
    <row r="2434" spans="1:17" x14ac:dyDescent="0.3">
      <c r="A2434" t="s">
        <v>28</v>
      </c>
      <c r="B2434" t="s">
        <v>15</v>
      </c>
      <c r="C2434" t="s">
        <v>30</v>
      </c>
      <c r="D2434" t="s">
        <v>24</v>
      </c>
      <c r="E2434" t="s">
        <v>48</v>
      </c>
      <c r="F2434" s="9">
        <v>0.08</v>
      </c>
      <c r="G2434" s="10">
        <v>6294</v>
      </c>
      <c r="H2434">
        <v>5.21</v>
      </c>
      <c r="I2434" s="5">
        <f>ROUND(Marketing[[#This Row],[Clicks]]*Marketing[[#This Row],[Conversion_Rate]],0)</f>
        <v>62</v>
      </c>
      <c r="J2434" s="12">
        <f>Marketing[[#This Row],[Campaign_Cost]]/Marketing[[#This Row],[Customers]]</f>
        <v>101.51612903225806</v>
      </c>
      <c r="K2434" t="s">
        <v>19</v>
      </c>
      <c r="L2434" t="s">
        <v>20</v>
      </c>
      <c r="M2434">
        <v>772</v>
      </c>
      <c r="N2434">
        <v>5933</v>
      </c>
      <c r="O2434">
        <v>7</v>
      </c>
      <c r="P2434" t="s">
        <v>44</v>
      </c>
      <c r="Q2434" s="1">
        <v>44439</v>
      </c>
    </row>
    <row r="2435" spans="1:17" x14ac:dyDescent="0.3">
      <c r="A2435" t="s">
        <v>35</v>
      </c>
      <c r="B2435" t="s">
        <v>29</v>
      </c>
      <c r="C2435" t="s">
        <v>30</v>
      </c>
      <c r="D2435" t="s">
        <v>40</v>
      </c>
      <c r="E2435" t="s">
        <v>31</v>
      </c>
      <c r="F2435" s="9">
        <v>0.12</v>
      </c>
      <c r="G2435" s="10">
        <v>5428</v>
      </c>
      <c r="H2435">
        <v>4.6399999999999997</v>
      </c>
      <c r="I2435" s="5">
        <f>ROUND(Marketing[[#This Row],[Clicks]]*Marketing[[#This Row],[Conversion_Rate]],0)</f>
        <v>67</v>
      </c>
      <c r="J2435" s="12">
        <f>Marketing[[#This Row],[Campaign_Cost]]/Marketing[[#This Row],[Customers]]</f>
        <v>81.014925373134332</v>
      </c>
      <c r="K2435" t="s">
        <v>32</v>
      </c>
      <c r="L2435" t="s">
        <v>50</v>
      </c>
      <c r="M2435">
        <v>555</v>
      </c>
      <c r="N2435">
        <v>1846</v>
      </c>
      <c r="O2435">
        <v>10</v>
      </c>
      <c r="P2435" t="s">
        <v>42</v>
      </c>
      <c r="Q2435" s="1">
        <v>44440</v>
      </c>
    </row>
    <row r="2436" spans="1:17" x14ac:dyDescent="0.3">
      <c r="A2436" t="s">
        <v>22</v>
      </c>
      <c r="B2436" t="s">
        <v>29</v>
      </c>
      <c r="C2436" t="s">
        <v>16</v>
      </c>
      <c r="D2436" t="s">
        <v>17</v>
      </c>
      <c r="E2436" t="s">
        <v>15</v>
      </c>
      <c r="F2436" s="9">
        <v>0.09</v>
      </c>
      <c r="G2436" s="10">
        <v>12822</v>
      </c>
      <c r="H2436">
        <v>6.78</v>
      </c>
      <c r="I2436" s="5">
        <f>ROUND(Marketing[[#This Row],[Clicks]]*Marketing[[#This Row],[Conversion_Rate]],0)</f>
        <v>61</v>
      </c>
      <c r="J2436" s="12">
        <f>Marketing[[#This Row],[Campaign_Cost]]/Marketing[[#This Row],[Customers]]</f>
        <v>210.19672131147541</v>
      </c>
      <c r="K2436" t="s">
        <v>19</v>
      </c>
      <c r="L2436" t="s">
        <v>39</v>
      </c>
      <c r="M2436">
        <v>680</v>
      </c>
      <c r="N2436">
        <v>8082</v>
      </c>
      <c r="O2436">
        <v>9</v>
      </c>
      <c r="P2436" t="s">
        <v>42</v>
      </c>
      <c r="Q2436" s="1">
        <v>44441</v>
      </c>
    </row>
    <row r="2437" spans="1:17" x14ac:dyDescent="0.3">
      <c r="A2437" t="s">
        <v>28</v>
      </c>
      <c r="B2437" t="s">
        <v>45</v>
      </c>
      <c r="C2437" t="s">
        <v>23</v>
      </c>
      <c r="D2437" t="s">
        <v>17</v>
      </c>
      <c r="E2437" t="s">
        <v>43</v>
      </c>
      <c r="F2437" s="9">
        <v>0.14000000000000001</v>
      </c>
      <c r="G2437" s="10">
        <v>17984</v>
      </c>
      <c r="H2437">
        <v>2.5099999999999998</v>
      </c>
      <c r="I2437" s="5">
        <f>ROUND(Marketing[[#This Row],[Clicks]]*Marketing[[#This Row],[Conversion_Rate]],0)</f>
        <v>54</v>
      </c>
      <c r="J2437" s="12">
        <f>Marketing[[#This Row],[Campaign_Cost]]/Marketing[[#This Row],[Customers]]</f>
        <v>333.03703703703701</v>
      </c>
      <c r="K2437" t="s">
        <v>19</v>
      </c>
      <c r="L2437" t="s">
        <v>26</v>
      </c>
      <c r="M2437">
        <v>384</v>
      </c>
      <c r="N2437">
        <v>7400</v>
      </c>
      <c r="O2437">
        <v>6</v>
      </c>
      <c r="P2437" t="s">
        <v>44</v>
      </c>
      <c r="Q2437" s="1">
        <v>44442</v>
      </c>
    </row>
    <row r="2438" spans="1:17" x14ac:dyDescent="0.3">
      <c r="A2438" t="s">
        <v>22</v>
      </c>
      <c r="B2438" t="s">
        <v>47</v>
      </c>
      <c r="C2438" t="s">
        <v>23</v>
      </c>
      <c r="D2438" t="s">
        <v>40</v>
      </c>
      <c r="E2438" t="s">
        <v>31</v>
      </c>
      <c r="F2438" s="9">
        <v>0.08</v>
      </c>
      <c r="G2438" s="10">
        <v>5039</v>
      </c>
      <c r="H2438">
        <v>3.05</v>
      </c>
      <c r="I2438" s="5">
        <f>ROUND(Marketing[[#This Row],[Clicks]]*Marketing[[#This Row],[Conversion_Rate]],0)</f>
        <v>27</v>
      </c>
      <c r="J2438" s="12">
        <f>Marketing[[#This Row],[Campaign_Cost]]/Marketing[[#This Row],[Customers]]</f>
        <v>186.62962962962962</v>
      </c>
      <c r="K2438" t="s">
        <v>51</v>
      </c>
      <c r="L2438" t="s">
        <v>20</v>
      </c>
      <c r="M2438">
        <v>341</v>
      </c>
      <c r="N2438">
        <v>1704</v>
      </c>
      <c r="O2438">
        <v>2</v>
      </c>
      <c r="P2438" t="s">
        <v>42</v>
      </c>
      <c r="Q2438" s="1">
        <v>44443</v>
      </c>
    </row>
    <row r="2439" spans="1:17" x14ac:dyDescent="0.3">
      <c r="A2439" t="s">
        <v>28</v>
      </c>
      <c r="B2439" t="s">
        <v>15</v>
      </c>
      <c r="C2439" t="s">
        <v>30</v>
      </c>
      <c r="D2439" t="s">
        <v>40</v>
      </c>
      <c r="E2439" t="s">
        <v>31</v>
      </c>
      <c r="F2439" s="9">
        <v>0.05</v>
      </c>
      <c r="G2439" s="10">
        <v>7201</v>
      </c>
      <c r="H2439">
        <v>6.46</v>
      </c>
      <c r="I2439" s="5">
        <f>ROUND(Marketing[[#This Row],[Clicks]]*Marketing[[#This Row],[Conversion_Rate]],0)</f>
        <v>30</v>
      </c>
      <c r="J2439" s="12">
        <f>Marketing[[#This Row],[Campaign_Cost]]/Marketing[[#This Row],[Customers]]</f>
        <v>240.03333333333333</v>
      </c>
      <c r="K2439" t="s">
        <v>25</v>
      </c>
      <c r="L2439" t="s">
        <v>26</v>
      </c>
      <c r="M2439">
        <v>593</v>
      </c>
      <c r="N2439">
        <v>8374</v>
      </c>
      <c r="O2439">
        <v>10</v>
      </c>
      <c r="P2439" t="s">
        <v>27</v>
      </c>
      <c r="Q2439" s="1">
        <v>44444</v>
      </c>
    </row>
    <row r="2440" spans="1:17" x14ac:dyDescent="0.3">
      <c r="A2440" t="s">
        <v>22</v>
      </c>
      <c r="B2440" t="s">
        <v>47</v>
      </c>
      <c r="C2440" t="s">
        <v>16</v>
      </c>
      <c r="D2440" t="s">
        <v>40</v>
      </c>
      <c r="E2440" t="s">
        <v>41</v>
      </c>
      <c r="F2440" s="9">
        <v>0.09</v>
      </c>
      <c r="G2440" s="10">
        <v>7383</v>
      </c>
      <c r="H2440">
        <v>5.92</v>
      </c>
      <c r="I2440" s="5">
        <f>ROUND(Marketing[[#This Row],[Clicks]]*Marketing[[#This Row],[Conversion_Rate]],0)</f>
        <v>76</v>
      </c>
      <c r="J2440" s="12">
        <f>Marketing[[#This Row],[Campaign_Cost]]/Marketing[[#This Row],[Customers]]</f>
        <v>97.14473684210526</v>
      </c>
      <c r="K2440" t="s">
        <v>38</v>
      </c>
      <c r="L2440" t="s">
        <v>39</v>
      </c>
      <c r="M2440">
        <v>839</v>
      </c>
      <c r="N2440">
        <v>3601</v>
      </c>
      <c r="O2440">
        <v>6</v>
      </c>
      <c r="P2440" t="s">
        <v>27</v>
      </c>
      <c r="Q2440" s="1">
        <v>44445</v>
      </c>
    </row>
    <row r="2441" spans="1:17" x14ac:dyDescent="0.3">
      <c r="A2441" t="s">
        <v>22</v>
      </c>
      <c r="B2441" t="s">
        <v>45</v>
      </c>
      <c r="C2441" t="s">
        <v>23</v>
      </c>
      <c r="D2441" t="s">
        <v>40</v>
      </c>
      <c r="E2441" t="s">
        <v>41</v>
      </c>
      <c r="F2441" s="9">
        <v>0.06</v>
      </c>
      <c r="G2441" s="10">
        <v>19615</v>
      </c>
      <c r="H2441">
        <v>4.47</v>
      </c>
      <c r="I2441" s="5">
        <f>ROUND(Marketing[[#This Row],[Clicks]]*Marketing[[#This Row],[Conversion_Rate]],0)</f>
        <v>49</v>
      </c>
      <c r="J2441" s="12">
        <f>Marketing[[#This Row],[Campaign_Cost]]/Marketing[[#This Row],[Customers]]</f>
        <v>400.30612244897958</v>
      </c>
      <c r="K2441" t="s">
        <v>32</v>
      </c>
      <c r="L2441" t="s">
        <v>26</v>
      </c>
      <c r="M2441">
        <v>815</v>
      </c>
      <c r="N2441">
        <v>1569</v>
      </c>
      <c r="O2441">
        <v>1</v>
      </c>
      <c r="P2441" t="s">
        <v>27</v>
      </c>
      <c r="Q2441" s="1">
        <v>44446</v>
      </c>
    </row>
    <row r="2442" spans="1:17" x14ac:dyDescent="0.3">
      <c r="A2442" t="s">
        <v>35</v>
      </c>
      <c r="B2442" t="s">
        <v>45</v>
      </c>
      <c r="C2442" t="s">
        <v>23</v>
      </c>
      <c r="D2442" t="s">
        <v>46</v>
      </c>
      <c r="E2442" t="s">
        <v>48</v>
      </c>
      <c r="F2442" s="9">
        <v>7.0000000000000007E-2</v>
      </c>
      <c r="G2442" s="10">
        <v>10956</v>
      </c>
      <c r="H2442">
        <v>6.84</v>
      </c>
      <c r="I2442" s="5">
        <f>ROUND(Marketing[[#This Row],[Clicks]]*Marketing[[#This Row],[Conversion_Rate]],0)</f>
        <v>52</v>
      </c>
      <c r="J2442" s="12">
        <f>Marketing[[#This Row],[Campaign_Cost]]/Marketing[[#This Row],[Customers]]</f>
        <v>210.69230769230768</v>
      </c>
      <c r="K2442" t="s">
        <v>19</v>
      </c>
      <c r="L2442" t="s">
        <v>33</v>
      </c>
      <c r="M2442">
        <v>745</v>
      </c>
      <c r="N2442">
        <v>1233</v>
      </c>
      <c r="O2442">
        <v>5</v>
      </c>
      <c r="P2442" t="s">
        <v>42</v>
      </c>
      <c r="Q2442" s="1">
        <v>44447</v>
      </c>
    </row>
    <row r="2443" spans="1:17" x14ac:dyDescent="0.3">
      <c r="A2443" t="s">
        <v>22</v>
      </c>
      <c r="B2443" t="s">
        <v>45</v>
      </c>
      <c r="C2443" t="s">
        <v>37</v>
      </c>
      <c r="D2443" t="s">
        <v>46</v>
      </c>
      <c r="E2443" t="s">
        <v>48</v>
      </c>
      <c r="F2443" s="9">
        <v>0.02</v>
      </c>
      <c r="G2443" s="10">
        <v>14633</v>
      </c>
      <c r="H2443">
        <v>2.2999999999999998</v>
      </c>
      <c r="I2443" s="5">
        <f>ROUND(Marketing[[#This Row],[Clicks]]*Marketing[[#This Row],[Conversion_Rate]],0)</f>
        <v>12</v>
      </c>
      <c r="J2443" s="12">
        <f>Marketing[[#This Row],[Campaign_Cost]]/Marketing[[#This Row],[Customers]]</f>
        <v>1219.4166666666667</v>
      </c>
      <c r="K2443" t="s">
        <v>51</v>
      </c>
      <c r="L2443" t="s">
        <v>20</v>
      </c>
      <c r="M2443">
        <v>597</v>
      </c>
      <c r="N2443">
        <v>4928</v>
      </c>
      <c r="O2443">
        <v>7</v>
      </c>
      <c r="P2443" t="s">
        <v>42</v>
      </c>
      <c r="Q2443" s="1">
        <v>44448</v>
      </c>
    </row>
    <row r="2444" spans="1:17" x14ac:dyDescent="0.3">
      <c r="A2444" t="s">
        <v>22</v>
      </c>
      <c r="B2444" t="s">
        <v>15</v>
      </c>
      <c r="C2444" t="s">
        <v>23</v>
      </c>
      <c r="D2444" t="s">
        <v>24</v>
      </c>
      <c r="E2444" t="s">
        <v>48</v>
      </c>
      <c r="F2444" s="9">
        <v>0.15</v>
      </c>
      <c r="G2444" s="10">
        <v>14581</v>
      </c>
      <c r="H2444">
        <v>2.4900000000000002</v>
      </c>
      <c r="I2444" s="5">
        <f>ROUND(Marketing[[#This Row],[Clicks]]*Marketing[[#This Row],[Conversion_Rate]],0)</f>
        <v>48</v>
      </c>
      <c r="J2444" s="12">
        <f>Marketing[[#This Row],[Campaign_Cost]]/Marketing[[#This Row],[Customers]]</f>
        <v>303.77083333333331</v>
      </c>
      <c r="K2444" t="s">
        <v>51</v>
      </c>
      <c r="L2444" t="s">
        <v>20</v>
      </c>
      <c r="M2444">
        <v>322</v>
      </c>
      <c r="N2444">
        <v>3915</v>
      </c>
      <c r="O2444">
        <v>9</v>
      </c>
      <c r="P2444" t="s">
        <v>44</v>
      </c>
      <c r="Q2444" s="1">
        <v>44449</v>
      </c>
    </row>
    <row r="2445" spans="1:17" x14ac:dyDescent="0.3">
      <c r="A2445" t="s">
        <v>22</v>
      </c>
      <c r="B2445" t="s">
        <v>36</v>
      </c>
      <c r="C2445" t="s">
        <v>52</v>
      </c>
      <c r="D2445" t="s">
        <v>40</v>
      </c>
      <c r="E2445" t="s">
        <v>18</v>
      </c>
      <c r="F2445" s="9">
        <v>0.04</v>
      </c>
      <c r="G2445" s="10">
        <v>15973</v>
      </c>
      <c r="H2445">
        <v>3.73</v>
      </c>
      <c r="I2445" s="5">
        <f>ROUND(Marketing[[#This Row],[Clicks]]*Marketing[[#This Row],[Conversion_Rate]],0)</f>
        <v>15</v>
      </c>
      <c r="J2445" s="12">
        <f>Marketing[[#This Row],[Campaign_Cost]]/Marketing[[#This Row],[Customers]]</f>
        <v>1064.8666666666666</v>
      </c>
      <c r="K2445" t="s">
        <v>25</v>
      </c>
      <c r="L2445" t="s">
        <v>39</v>
      </c>
      <c r="M2445">
        <v>372</v>
      </c>
      <c r="N2445">
        <v>1663</v>
      </c>
      <c r="O2445">
        <v>10</v>
      </c>
      <c r="P2445" t="s">
        <v>34</v>
      </c>
      <c r="Q2445" s="1">
        <v>44450</v>
      </c>
    </row>
    <row r="2446" spans="1:17" x14ac:dyDescent="0.3">
      <c r="A2446" t="s">
        <v>49</v>
      </c>
      <c r="B2446" t="s">
        <v>45</v>
      </c>
      <c r="C2446" t="s">
        <v>37</v>
      </c>
      <c r="D2446" t="s">
        <v>40</v>
      </c>
      <c r="E2446" t="s">
        <v>43</v>
      </c>
      <c r="F2446" s="9">
        <v>0.13</v>
      </c>
      <c r="G2446" s="10">
        <v>14099</v>
      </c>
      <c r="H2446">
        <v>5.51</v>
      </c>
      <c r="I2446" s="5">
        <f>ROUND(Marketing[[#This Row],[Clicks]]*Marketing[[#This Row],[Conversion_Rate]],0)</f>
        <v>85</v>
      </c>
      <c r="J2446" s="12">
        <f>Marketing[[#This Row],[Campaign_Cost]]/Marketing[[#This Row],[Customers]]</f>
        <v>165.87058823529412</v>
      </c>
      <c r="K2446" t="s">
        <v>51</v>
      </c>
      <c r="L2446" t="s">
        <v>26</v>
      </c>
      <c r="M2446">
        <v>656</v>
      </c>
      <c r="N2446">
        <v>1807</v>
      </c>
      <c r="O2446">
        <v>4</v>
      </c>
      <c r="P2446" t="s">
        <v>21</v>
      </c>
      <c r="Q2446" s="1">
        <v>44451</v>
      </c>
    </row>
    <row r="2447" spans="1:17" x14ac:dyDescent="0.3">
      <c r="A2447" t="s">
        <v>14</v>
      </c>
      <c r="B2447" t="s">
        <v>47</v>
      </c>
      <c r="C2447" t="s">
        <v>37</v>
      </c>
      <c r="D2447" t="s">
        <v>46</v>
      </c>
      <c r="E2447" t="s">
        <v>41</v>
      </c>
      <c r="F2447" s="9">
        <v>0.06</v>
      </c>
      <c r="G2447" s="10">
        <v>9245</v>
      </c>
      <c r="H2447">
        <v>6.71</v>
      </c>
      <c r="I2447" s="5">
        <f>ROUND(Marketing[[#This Row],[Clicks]]*Marketing[[#This Row],[Conversion_Rate]],0)</f>
        <v>31</v>
      </c>
      <c r="J2447" s="12">
        <f>Marketing[[#This Row],[Campaign_Cost]]/Marketing[[#This Row],[Customers]]</f>
        <v>298.22580645161293</v>
      </c>
      <c r="K2447" t="s">
        <v>51</v>
      </c>
      <c r="L2447" t="s">
        <v>50</v>
      </c>
      <c r="M2447">
        <v>510</v>
      </c>
      <c r="N2447">
        <v>3622</v>
      </c>
      <c r="O2447">
        <v>7</v>
      </c>
      <c r="P2447" t="s">
        <v>42</v>
      </c>
      <c r="Q2447" s="1">
        <v>44452</v>
      </c>
    </row>
    <row r="2448" spans="1:17" x14ac:dyDescent="0.3">
      <c r="A2448" t="s">
        <v>35</v>
      </c>
      <c r="B2448" t="s">
        <v>29</v>
      </c>
      <c r="C2448" t="s">
        <v>30</v>
      </c>
      <c r="D2448" t="s">
        <v>17</v>
      </c>
      <c r="E2448" t="s">
        <v>43</v>
      </c>
      <c r="F2448" s="9">
        <v>0.1</v>
      </c>
      <c r="G2448" s="10">
        <v>5589</v>
      </c>
      <c r="H2448">
        <v>7.1</v>
      </c>
      <c r="I2448" s="5">
        <f>ROUND(Marketing[[#This Row],[Clicks]]*Marketing[[#This Row],[Conversion_Rate]],0)</f>
        <v>67</v>
      </c>
      <c r="J2448" s="12">
        <f>Marketing[[#This Row],[Campaign_Cost]]/Marketing[[#This Row],[Customers]]</f>
        <v>83.417910447761187</v>
      </c>
      <c r="K2448" t="s">
        <v>38</v>
      </c>
      <c r="L2448" t="s">
        <v>20</v>
      </c>
      <c r="M2448">
        <v>673</v>
      </c>
      <c r="N2448">
        <v>2845</v>
      </c>
      <c r="O2448">
        <v>7</v>
      </c>
      <c r="P2448" t="s">
        <v>42</v>
      </c>
      <c r="Q2448" s="1">
        <v>44453</v>
      </c>
    </row>
    <row r="2449" spans="1:17" x14ac:dyDescent="0.3">
      <c r="A2449" t="s">
        <v>14</v>
      </c>
      <c r="B2449" t="s">
        <v>15</v>
      </c>
      <c r="C2449" t="s">
        <v>30</v>
      </c>
      <c r="D2449" t="s">
        <v>46</v>
      </c>
      <c r="E2449" t="s">
        <v>41</v>
      </c>
      <c r="F2449" s="9">
        <v>0.01</v>
      </c>
      <c r="G2449" s="10">
        <v>7254</v>
      </c>
      <c r="H2449">
        <v>6.45</v>
      </c>
      <c r="I2449" s="5">
        <f>ROUND(Marketing[[#This Row],[Clicks]]*Marketing[[#This Row],[Conversion_Rate]],0)</f>
        <v>7</v>
      </c>
      <c r="J2449" s="12">
        <f>Marketing[[#This Row],[Campaign_Cost]]/Marketing[[#This Row],[Customers]]</f>
        <v>1036.2857142857142</v>
      </c>
      <c r="K2449" t="s">
        <v>51</v>
      </c>
      <c r="L2449" t="s">
        <v>33</v>
      </c>
      <c r="M2449">
        <v>679</v>
      </c>
      <c r="N2449">
        <v>5355</v>
      </c>
      <c r="O2449">
        <v>2</v>
      </c>
      <c r="P2449" t="s">
        <v>34</v>
      </c>
      <c r="Q2449" s="1">
        <v>44454</v>
      </c>
    </row>
    <row r="2450" spans="1:17" x14ac:dyDescent="0.3">
      <c r="A2450" t="s">
        <v>49</v>
      </c>
      <c r="B2450" t="s">
        <v>45</v>
      </c>
      <c r="C2450" t="s">
        <v>52</v>
      </c>
      <c r="D2450" t="s">
        <v>24</v>
      </c>
      <c r="E2450" t="s">
        <v>48</v>
      </c>
      <c r="F2450" s="9">
        <v>0.12</v>
      </c>
      <c r="G2450" s="10">
        <v>10385</v>
      </c>
      <c r="H2450">
        <v>2.76</v>
      </c>
      <c r="I2450" s="5">
        <f>ROUND(Marketing[[#This Row],[Clicks]]*Marketing[[#This Row],[Conversion_Rate]],0)</f>
        <v>31</v>
      </c>
      <c r="J2450" s="12">
        <f>Marketing[[#This Row],[Campaign_Cost]]/Marketing[[#This Row],[Customers]]</f>
        <v>335</v>
      </c>
      <c r="K2450" t="s">
        <v>19</v>
      </c>
      <c r="L2450" t="s">
        <v>50</v>
      </c>
      <c r="M2450">
        <v>261</v>
      </c>
      <c r="N2450">
        <v>7396</v>
      </c>
      <c r="O2450">
        <v>5</v>
      </c>
      <c r="P2450" t="s">
        <v>42</v>
      </c>
      <c r="Q2450" s="1">
        <v>44455</v>
      </c>
    </row>
    <row r="2451" spans="1:17" x14ac:dyDescent="0.3">
      <c r="A2451" t="s">
        <v>49</v>
      </c>
      <c r="B2451" t="s">
        <v>36</v>
      </c>
      <c r="C2451" t="s">
        <v>16</v>
      </c>
      <c r="D2451" t="s">
        <v>17</v>
      </c>
      <c r="E2451" t="s">
        <v>18</v>
      </c>
      <c r="F2451" s="9">
        <v>0.06</v>
      </c>
      <c r="G2451" s="10">
        <v>17863</v>
      </c>
      <c r="H2451">
        <v>2.66</v>
      </c>
      <c r="I2451" s="5">
        <f>ROUND(Marketing[[#This Row],[Clicks]]*Marketing[[#This Row],[Conversion_Rate]],0)</f>
        <v>56</v>
      </c>
      <c r="J2451" s="12">
        <f>Marketing[[#This Row],[Campaign_Cost]]/Marketing[[#This Row],[Customers]]</f>
        <v>318.98214285714283</v>
      </c>
      <c r="K2451" t="s">
        <v>19</v>
      </c>
      <c r="L2451" t="s">
        <v>20</v>
      </c>
      <c r="M2451">
        <v>928</v>
      </c>
      <c r="N2451">
        <v>8767</v>
      </c>
      <c r="O2451">
        <v>7</v>
      </c>
      <c r="P2451" t="s">
        <v>34</v>
      </c>
      <c r="Q2451" s="1">
        <v>44456</v>
      </c>
    </row>
    <row r="2452" spans="1:17" x14ac:dyDescent="0.3">
      <c r="A2452" t="s">
        <v>35</v>
      </c>
      <c r="B2452" t="s">
        <v>47</v>
      </c>
      <c r="C2452" t="s">
        <v>23</v>
      </c>
      <c r="D2452" t="s">
        <v>17</v>
      </c>
      <c r="E2452" t="s">
        <v>31</v>
      </c>
      <c r="F2452" s="9">
        <v>0.08</v>
      </c>
      <c r="G2452" s="10">
        <v>5818</v>
      </c>
      <c r="H2452">
        <v>4.07</v>
      </c>
      <c r="I2452" s="5">
        <f>ROUND(Marketing[[#This Row],[Clicks]]*Marketing[[#This Row],[Conversion_Rate]],0)</f>
        <v>17</v>
      </c>
      <c r="J2452" s="12">
        <f>Marketing[[#This Row],[Campaign_Cost]]/Marketing[[#This Row],[Customers]]</f>
        <v>342.23529411764707</v>
      </c>
      <c r="K2452" t="s">
        <v>51</v>
      </c>
      <c r="L2452" t="s">
        <v>39</v>
      </c>
      <c r="M2452">
        <v>218</v>
      </c>
      <c r="N2452">
        <v>5540</v>
      </c>
      <c r="O2452">
        <v>6</v>
      </c>
      <c r="P2452" t="s">
        <v>44</v>
      </c>
      <c r="Q2452" s="1">
        <v>44457</v>
      </c>
    </row>
    <row r="2453" spans="1:17" x14ac:dyDescent="0.3">
      <c r="A2453" t="s">
        <v>35</v>
      </c>
      <c r="B2453" t="s">
        <v>47</v>
      </c>
      <c r="C2453" t="s">
        <v>16</v>
      </c>
      <c r="D2453" t="s">
        <v>40</v>
      </c>
      <c r="E2453" t="s">
        <v>48</v>
      </c>
      <c r="F2453" s="9">
        <v>0.03</v>
      </c>
      <c r="G2453" s="10">
        <v>14079</v>
      </c>
      <c r="H2453">
        <v>4.62</v>
      </c>
      <c r="I2453" s="5">
        <f>ROUND(Marketing[[#This Row],[Clicks]]*Marketing[[#This Row],[Conversion_Rate]],0)</f>
        <v>18</v>
      </c>
      <c r="J2453" s="12">
        <f>Marketing[[#This Row],[Campaign_Cost]]/Marketing[[#This Row],[Customers]]</f>
        <v>782.16666666666663</v>
      </c>
      <c r="K2453" t="s">
        <v>51</v>
      </c>
      <c r="L2453" t="s">
        <v>20</v>
      </c>
      <c r="M2453">
        <v>614</v>
      </c>
      <c r="N2453">
        <v>7574</v>
      </c>
      <c r="O2453">
        <v>9</v>
      </c>
      <c r="P2453" t="s">
        <v>21</v>
      </c>
      <c r="Q2453" s="1">
        <v>44458</v>
      </c>
    </row>
    <row r="2454" spans="1:17" x14ac:dyDescent="0.3">
      <c r="A2454" t="s">
        <v>14</v>
      </c>
      <c r="B2454" t="s">
        <v>47</v>
      </c>
      <c r="C2454" t="s">
        <v>23</v>
      </c>
      <c r="D2454" t="s">
        <v>17</v>
      </c>
      <c r="E2454" t="s">
        <v>43</v>
      </c>
      <c r="F2454" s="9">
        <v>0.13</v>
      </c>
      <c r="G2454" s="10">
        <v>13876</v>
      </c>
      <c r="H2454">
        <v>2.82</v>
      </c>
      <c r="I2454" s="5">
        <f>ROUND(Marketing[[#This Row],[Clicks]]*Marketing[[#This Row],[Conversion_Rate]],0)</f>
        <v>23</v>
      </c>
      <c r="J2454" s="12">
        <f>Marketing[[#This Row],[Campaign_Cost]]/Marketing[[#This Row],[Customers]]</f>
        <v>603.304347826087</v>
      </c>
      <c r="K2454" t="s">
        <v>51</v>
      </c>
      <c r="L2454" t="s">
        <v>39</v>
      </c>
      <c r="M2454">
        <v>178</v>
      </c>
      <c r="N2454">
        <v>8660</v>
      </c>
      <c r="O2454">
        <v>3</v>
      </c>
      <c r="P2454" t="s">
        <v>27</v>
      </c>
      <c r="Q2454" s="1">
        <v>44459</v>
      </c>
    </row>
    <row r="2455" spans="1:17" x14ac:dyDescent="0.3">
      <c r="A2455" t="s">
        <v>49</v>
      </c>
      <c r="B2455" t="s">
        <v>36</v>
      </c>
      <c r="C2455" t="s">
        <v>52</v>
      </c>
      <c r="D2455" t="s">
        <v>40</v>
      </c>
      <c r="E2455" t="s">
        <v>15</v>
      </c>
      <c r="F2455" s="9">
        <v>0.08</v>
      </c>
      <c r="G2455" s="10">
        <v>8372</v>
      </c>
      <c r="H2455">
        <v>5.83</v>
      </c>
      <c r="I2455" s="5">
        <f>ROUND(Marketing[[#This Row],[Clicks]]*Marketing[[#This Row],[Conversion_Rate]],0)</f>
        <v>66</v>
      </c>
      <c r="J2455" s="12">
        <f>Marketing[[#This Row],[Campaign_Cost]]/Marketing[[#This Row],[Customers]]</f>
        <v>126.84848484848484</v>
      </c>
      <c r="K2455" t="s">
        <v>25</v>
      </c>
      <c r="L2455" t="s">
        <v>26</v>
      </c>
      <c r="M2455">
        <v>829</v>
      </c>
      <c r="N2455">
        <v>3254</v>
      </c>
      <c r="O2455">
        <v>3</v>
      </c>
      <c r="P2455" t="s">
        <v>27</v>
      </c>
      <c r="Q2455" s="1">
        <v>44460</v>
      </c>
    </row>
    <row r="2456" spans="1:17" x14ac:dyDescent="0.3">
      <c r="A2456" t="s">
        <v>28</v>
      </c>
      <c r="B2456" t="s">
        <v>29</v>
      </c>
      <c r="C2456" t="s">
        <v>52</v>
      </c>
      <c r="D2456" t="s">
        <v>24</v>
      </c>
      <c r="E2456" t="s">
        <v>15</v>
      </c>
      <c r="F2456" s="9">
        <v>0.06</v>
      </c>
      <c r="G2456" s="10">
        <v>11217</v>
      </c>
      <c r="H2456">
        <v>2.76</v>
      </c>
      <c r="I2456" s="5">
        <f>ROUND(Marketing[[#This Row],[Clicks]]*Marketing[[#This Row],[Conversion_Rate]],0)</f>
        <v>60</v>
      </c>
      <c r="J2456" s="12">
        <f>Marketing[[#This Row],[Campaign_Cost]]/Marketing[[#This Row],[Customers]]</f>
        <v>186.95</v>
      </c>
      <c r="K2456" t="s">
        <v>25</v>
      </c>
      <c r="L2456" t="s">
        <v>26</v>
      </c>
      <c r="M2456">
        <v>997</v>
      </c>
      <c r="N2456">
        <v>9543</v>
      </c>
      <c r="O2456">
        <v>5</v>
      </c>
      <c r="P2456" t="s">
        <v>34</v>
      </c>
      <c r="Q2456" s="1">
        <v>44461</v>
      </c>
    </row>
    <row r="2457" spans="1:17" x14ac:dyDescent="0.3">
      <c r="A2457" t="s">
        <v>35</v>
      </c>
      <c r="B2457" t="s">
        <v>45</v>
      </c>
      <c r="C2457" t="s">
        <v>23</v>
      </c>
      <c r="D2457" t="s">
        <v>46</v>
      </c>
      <c r="E2457" t="s">
        <v>18</v>
      </c>
      <c r="F2457" s="9">
        <v>0.04</v>
      </c>
      <c r="G2457" s="10">
        <v>6907</v>
      </c>
      <c r="H2457">
        <v>4.32</v>
      </c>
      <c r="I2457" s="5">
        <f>ROUND(Marketing[[#This Row],[Clicks]]*Marketing[[#This Row],[Conversion_Rate]],0)</f>
        <v>5</v>
      </c>
      <c r="J2457" s="12">
        <f>Marketing[[#This Row],[Campaign_Cost]]/Marketing[[#This Row],[Customers]]</f>
        <v>1381.4</v>
      </c>
      <c r="K2457" t="s">
        <v>51</v>
      </c>
      <c r="L2457" t="s">
        <v>26</v>
      </c>
      <c r="M2457">
        <v>119</v>
      </c>
      <c r="N2457">
        <v>8560</v>
      </c>
      <c r="O2457">
        <v>1</v>
      </c>
      <c r="P2457" t="s">
        <v>44</v>
      </c>
      <c r="Q2457" s="1">
        <v>44462</v>
      </c>
    </row>
    <row r="2458" spans="1:17" x14ac:dyDescent="0.3">
      <c r="A2458" t="s">
        <v>22</v>
      </c>
      <c r="B2458" t="s">
        <v>47</v>
      </c>
      <c r="C2458" t="s">
        <v>37</v>
      </c>
      <c r="D2458" t="s">
        <v>46</v>
      </c>
      <c r="E2458" t="s">
        <v>41</v>
      </c>
      <c r="F2458" s="9">
        <v>0.02</v>
      </c>
      <c r="G2458" s="10">
        <v>16708</v>
      </c>
      <c r="H2458">
        <v>4.87</v>
      </c>
      <c r="I2458" s="5">
        <f>ROUND(Marketing[[#This Row],[Clicks]]*Marketing[[#This Row],[Conversion_Rate]],0)</f>
        <v>15</v>
      </c>
      <c r="J2458" s="12">
        <f>Marketing[[#This Row],[Campaign_Cost]]/Marketing[[#This Row],[Customers]]</f>
        <v>1113.8666666666666</v>
      </c>
      <c r="K2458" t="s">
        <v>19</v>
      </c>
      <c r="L2458" t="s">
        <v>26</v>
      </c>
      <c r="M2458">
        <v>763</v>
      </c>
      <c r="N2458">
        <v>5547</v>
      </c>
      <c r="O2458">
        <v>8</v>
      </c>
      <c r="P2458" t="s">
        <v>42</v>
      </c>
      <c r="Q2458" s="1">
        <v>44463</v>
      </c>
    </row>
    <row r="2459" spans="1:17" x14ac:dyDescent="0.3">
      <c r="A2459" t="s">
        <v>22</v>
      </c>
      <c r="B2459" t="s">
        <v>45</v>
      </c>
      <c r="C2459" t="s">
        <v>16</v>
      </c>
      <c r="D2459" t="s">
        <v>17</v>
      </c>
      <c r="E2459" t="s">
        <v>41</v>
      </c>
      <c r="F2459" s="9">
        <v>0.04</v>
      </c>
      <c r="G2459" s="10">
        <v>15315</v>
      </c>
      <c r="H2459">
        <v>2.1800000000000002</v>
      </c>
      <c r="I2459" s="5">
        <f>ROUND(Marketing[[#This Row],[Clicks]]*Marketing[[#This Row],[Conversion_Rate]],0)</f>
        <v>11</v>
      </c>
      <c r="J2459" s="12">
        <f>Marketing[[#This Row],[Campaign_Cost]]/Marketing[[#This Row],[Customers]]</f>
        <v>1392.2727272727273</v>
      </c>
      <c r="K2459" t="s">
        <v>51</v>
      </c>
      <c r="L2459" t="s">
        <v>50</v>
      </c>
      <c r="M2459">
        <v>286</v>
      </c>
      <c r="N2459">
        <v>1130</v>
      </c>
      <c r="O2459">
        <v>8</v>
      </c>
      <c r="P2459" t="s">
        <v>21</v>
      </c>
      <c r="Q2459" s="1">
        <v>44464</v>
      </c>
    </row>
    <row r="2460" spans="1:17" x14ac:dyDescent="0.3">
      <c r="A2460" t="s">
        <v>35</v>
      </c>
      <c r="B2460" t="s">
        <v>15</v>
      </c>
      <c r="C2460" t="s">
        <v>16</v>
      </c>
      <c r="D2460" t="s">
        <v>40</v>
      </c>
      <c r="E2460" t="s">
        <v>31</v>
      </c>
      <c r="F2460" s="9">
        <v>0.11</v>
      </c>
      <c r="G2460" s="10">
        <v>9738</v>
      </c>
      <c r="H2460">
        <v>4.9400000000000004</v>
      </c>
      <c r="I2460" s="5">
        <f>ROUND(Marketing[[#This Row],[Clicks]]*Marketing[[#This Row],[Conversion_Rate]],0)</f>
        <v>71</v>
      </c>
      <c r="J2460" s="12">
        <f>Marketing[[#This Row],[Campaign_Cost]]/Marketing[[#This Row],[Customers]]</f>
        <v>137.1549295774648</v>
      </c>
      <c r="K2460" t="s">
        <v>32</v>
      </c>
      <c r="L2460" t="s">
        <v>39</v>
      </c>
      <c r="M2460">
        <v>643</v>
      </c>
      <c r="N2460">
        <v>7277</v>
      </c>
      <c r="O2460">
        <v>4</v>
      </c>
      <c r="P2460" t="s">
        <v>27</v>
      </c>
      <c r="Q2460" s="1">
        <v>44465</v>
      </c>
    </row>
    <row r="2461" spans="1:17" x14ac:dyDescent="0.3">
      <c r="A2461" t="s">
        <v>22</v>
      </c>
      <c r="B2461" t="s">
        <v>45</v>
      </c>
      <c r="C2461" t="s">
        <v>23</v>
      </c>
      <c r="D2461" t="s">
        <v>40</v>
      </c>
      <c r="E2461" t="s">
        <v>15</v>
      </c>
      <c r="F2461" s="9">
        <v>0.15</v>
      </c>
      <c r="G2461" s="10">
        <v>19296</v>
      </c>
      <c r="H2461">
        <v>6.52</v>
      </c>
      <c r="I2461" s="5">
        <f>ROUND(Marketing[[#This Row],[Clicks]]*Marketing[[#This Row],[Conversion_Rate]],0)</f>
        <v>23</v>
      </c>
      <c r="J2461" s="12">
        <f>Marketing[[#This Row],[Campaign_Cost]]/Marketing[[#This Row],[Customers]]</f>
        <v>838.95652173913038</v>
      </c>
      <c r="K2461" t="s">
        <v>32</v>
      </c>
      <c r="L2461" t="s">
        <v>26</v>
      </c>
      <c r="M2461">
        <v>153</v>
      </c>
      <c r="N2461">
        <v>9770</v>
      </c>
      <c r="O2461">
        <v>6</v>
      </c>
      <c r="P2461" t="s">
        <v>34</v>
      </c>
      <c r="Q2461" s="1">
        <v>44466</v>
      </c>
    </row>
    <row r="2462" spans="1:17" x14ac:dyDescent="0.3">
      <c r="A2462" t="s">
        <v>49</v>
      </c>
      <c r="B2462" t="s">
        <v>45</v>
      </c>
      <c r="C2462" t="s">
        <v>30</v>
      </c>
      <c r="D2462" t="s">
        <v>40</v>
      </c>
      <c r="E2462" t="s">
        <v>48</v>
      </c>
      <c r="F2462" s="9">
        <v>0.09</v>
      </c>
      <c r="G2462" s="10">
        <v>9620</v>
      </c>
      <c r="H2462">
        <v>5.96</v>
      </c>
      <c r="I2462" s="5">
        <f>ROUND(Marketing[[#This Row],[Clicks]]*Marketing[[#This Row],[Conversion_Rate]],0)</f>
        <v>52</v>
      </c>
      <c r="J2462" s="12">
        <f>Marketing[[#This Row],[Campaign_Cost]]/Marketing[[#This Row],[Customers]]</f>
        <v>185</v>
      </c>
      <c r="K2462" t="s">
        <v>32</v>
      </c>
      <c r="L2462" t="s">
        <v>26</v>
      </c>
      <c r="M2462">
        <v>579</v>
      </c>
      <c r="N2462">
        <v>8589</v>
      </c>
      <c r="O2462">
        <v>10</v>
      </c>
      <c r="P2462" t="s">
        <v>34</v>
      </c>
      <c r="Q2462" s="1">
        <v>44467</v>
      </c>
    </row>
    <row r="2463" spans="1:17" x14ac:dyDescent="0.3">
      <c r="A2463" t="s">
        <v>49</v>
      </c>
      <c r="B2463" t="s">
        <v>15</v>
      </c>
      <c r="C2463" t="s">
        <v>23</v>
      </c>
      <c r="D2463" t="s">
        <v>46</v>
      </c>
      <c r="E2463" t="s">
        <v>43</v>
      </c>
      <c r="F2463" s="9">
        <v>0.08</v>
      </c>
      <c r="G2463" s="10">
        <v>19927</v>
      </c>
      <c r="H2463">
        <v>7.12</v>
      </c>
      <c r="I2463" s="5">
        <f>ROUND(Marketing[[#This Row],[Clicks]]*Marketing[[#This Row],[Conversion_Rate]],0)</f>
        <v>40</v>
      </c>
      <c r="J2463" s="12">
        <f>Marketing[[#This Row],[Campaign_Cost]]/Marketing[[#This Row],[Customers]]</f>
        <v>498.17500000000001</v>
      </c>
      <c r="K2463" t="s">
        <v>38</v>
      </c>
      <c r="L2463" t="s">
        <v>39</v>
      </c>
      <c r="M2463">
        <v>505</v>
      </c>
      <c r="N2463">
        <v>7462</v>
      </c>
      <c r="O2463">
        <v>8</v>
      </c>
      <c r="P2463" t="s">
        <v>42</v>
      </c>
      <c r="Q2463" s="1">
        <v>44468</v>
      </c>
    </row>
    <row r="2464" spans="1:17" x14ac:dyDescent="0.3">
      <c r="A2464" t="s">
        <v>22</v>
      </c>
      <c r="B2464" t="s">
        <v>29</v>
      </c>
      <c r="C2464" t="s">
        <v>37</v>
      </c>
      <c r="D2464" t="s">
        <v>17</v>
      </c>
      <c r="E2464" t="s">
        <v>41</v>
      </c>
      <c r="F2464" s="9">
        <v>0.11</v>
      </c>
      <c r="G2464" s="10">
        <v>10397</v>
      </c>
      <c r="H2464">
        <v>4.26</v>
      </c>
      <c r="I2464" s="5">
        <f>ROUND(Marketing[[#This Row],[Clicks]]*Marketing[[#This Row],[Conversion_Rate]],0)</f>
        <v>83</v>
      </c>
      <c r="J2464" s="12">
        <f>Marketing[[#This Row],[Campaign_Cost]]/Marketing[[#This Row],[Customers]]</f>
        <v>125.26506024096386</v>
      </c>
      <c r="K2464" t="s">
        <v>51</v>
      </c>
      <c r="L2464" t="s">
        <v>26</v>
      </c>
      <c r="M2464">
        <v>751</v>
      </c>
      <c r="N2464">
        <v>3465</v>
      </c>
      <c r="O2464">
        <v>7</v>
      </c>
      <c r="P2464" t="s">
        <v>44</v>
      </c>
      <c r="Q2464" s="1">
        <v>44469</v>
      </c>
    </row>
    <row r="2465" spans="1:17" x14ac:dyDescent="0.3">
      <c r="A2465" t="s">
        <v>22</v>
      </c>
      <c r="B2465" t="s">
        <v>45</v>
      </c>
      <c r="C2465" t="s">
        <v>30</v>
      </c>
      <c r="D2465" t="s">
        <v>24</v>
      </c>
      <c r="E2465" t="s">
        <v>41</v>
      </c>
      <c r="F2465" s="9">
        <v>0.08</v>
      </c>
      <c r="G2465" s="10">
        <v>6860</v>
      </c>
      <c r="H2465">
        <v>5.14</v>
      </c>
      <c r="I2465" s="5">
        <f>ROUND(Marketing[[#This Row],[Clicks]]*Marketing[[#This Row],[Conversion_Rate]],0)</f>
        <v>43</v>
      </c>
      <c r="J2465" s="12">
        <f>Marketing[[#This Row],[Campaign_Cost]]/Marketing[[#This Row],[Customers]]</f>
        <v>159.53488372093022</v>
      </c>
      <c r="K2465" t="s">
        <v>25</v>
      </c>
      <c r="L2465" t="s">
        <v>33</v>
      </c>
      <c r="M2465">
        <v>535</v>
      </c>
      <c r="N2465">
        <v>5785</v>
      </c>
      <c r="O2465">
        <v>10</v>
      </c>
      <c r="P2465" t="s">
        <v>44</v>
      </c>
      <c r="Q2465" s="1">
        <v>44470</v>
      </c>
    </row>
    <row r="2466" spans="1:17" x14ac:dyDescent="0.3">
      <c r="A2466" t="s">
        <v>49</v>
      </c>
      <c r="B2466" t="s">
        <v>29</v>
      </c>
      <c r="C2466" t="s">
        <v>37</v>
      </c>
      <c r="D2466" t="s">
        <v>17</v>
      </c>
      <c r="E2466" t="s">
        <v>48</v>
      </c>
      <c r="F2466" s="9">
        <v>0.11</v>
      </c>
      <c r="G2466" s="10">
        <v>12911</v>
      </c>
      <c r="H2466">
        <v>2.88</v>
      </c>
      <c r="I2466" s="5">
        <f>ROUND(Marketing[[#This Row],[Clicks]]*Marketing[[#This Row],[Conversion_Rate]],0)</f>
        <v>86</v>
      </c>
      <c r="J2466" s="12">
        <f>Marketing[[#This Row],[Campaign_Cost]]/Marketing[[#This Row],[Customers]]</f>
        <v>150.12790697674419</v>
      </c>
      <c r="K2466" t="s">
        <v>38</v>
      </c>
      <c r="L2466" t="s">
        <v>26</v>
      </c>
      <c r="M2466">
        <v>785</v>
      </c>
      <c r="N2466">
        <v>6680</v>
      </c>
      <c r="O2466">
        <v>3</v>
      </c>
      <c r="P2466" t="s">
        <v>42</v>
      </c>
      <c r="Q2466" s="1">
        <v>44471</v>
      </c>
    </row>
    <row r="2467" spans="1:17" x14ac:dyDescent="0.3">
      <c r="A2467" t="s">
        <v>22</v>
      </c>
      <c r="B2467" t="s">
        <v>36</v>
      </c>
      <c r="C2467" t="s">
        <v>30</v>
      </c>
      <c r="D2467" t="s">
        <v>40</v>
      </c>
      <c r="E2467" t="s">
        <v>31</v>
      </c>
      <c r="F2467" s="9">
        <v>0.03</v>
      </c>
      <c r="G2467" s="10">
        <v>5522</v>
      </c>
      <c r="H2467">
        <v>4.96</v>
      </c>
      <c r="I2467" s="5">
        <f>ROUND(Marketing[[#This Row],[Clicks]]*Marketing[[#This Row],[Conversion_Rate]],0)</f>
        <v>28</v>
      </c>
      <c r="J2467" s="12">
        <f>Marketing[[#This Row],[Campaign_Cost]]/Marketing[[#This Row],[Customers]]</f>
        <v>197.21428571428572</v>
      </c>
      <c r="K2467" t="s">
        <v>38</v>
      </c>
      <c r="L2467" t="s">
        <v>33</v>
      </c>
      <c r="M2467">
        <v>948</v>
      </c>
      <c r="N2467">
        <v>1188</v>
      </c>
      <c r="O2467">
        <v>2</v>
      </c>
      <c r="P2467" t="s">
        <v>21</v>
      </c>
      <c r="Q2467" s="1">
        <v>44472</v>
      </c>
    </row>
    <row r="2468" spans="1:17" x14ac:dyDescent="0.3">
      <c r="A2468" t="s">
        <v>14</v>
      </c>
      <c r="B2468" t="s">
        <v>36</v>
      </c>
      <c r="C2468" t="s">
        <v>52</v>
      </c>
      <c r="D2468" t="s">
        <v>46</v>
      </c>
      <c r="E2468" t="s">
        <v>43</v>
      </c>
      <c r="F2468" s="9">
        <v>0.05</v>
      </c>
      <c r="G2468" s="10">
        <v>19170</v>
      </c>
      <c r="H2468">
        <v>7.07</v>
      </c>
      <c r="I2468" s="5">
        <f>ROUND(Marketing[[#This Row],[Clicks]]*Marketing[[#This Row],[Conversion_Rate]],0)</f>
        <v>31</v>
      </c>
      <c r="J2468" s="12">
        <f>Marketing[[#This Row],[Campaign_Cost]]/Marketing[[#This Row],[Customers]]</f>
        <v>618.38709677419354</v>
      </c>
      <c r="K2468" t="s">
        <v>25</v>
      </c>
      <c r="L2468" t="s">
        <v>50</v>
      </c>
      <c r="M2468">
        <v>611</v>
      </c>
      <c r="N2468">
        <v>1014</v>
      </c>
      <c r="O2468">
        <v>2</v>
      </c>
      <c r="P2468" t="s">
        <v>42</v>
      </c>
      <c r="Q2468" s="1">
        <v>44473</v>
      </c>
    </row>
    <row r="2469" spans="1:17" x14ac:dyDescent="0.3">
      <c r="A2469" t="s">
        <v>28</v>
      </c>
      <c r="B2469" t="s">
        <v>47</v>
      </c>
      <c r="C2469" t="s">
        <v>16</v>
      </c>
      <c r="D2469" t="s">
        <v>40</v>
      </c>
      <c r="E2469" t="s">
        <v>48</v>
      </c>
      <c r="F2469" s="9">
        <v>0.12</v>
      </c>
      <c r="G2469" s="10">
        <v>11904</v>
      </c>
      <c r="H2469">
        <v>3.99</v>
      </c>
      <c r="I2469" s="5">
        <f>ROUND(Marketing[[#This Row],[Clicks]]*Marketing[[#This Row],[Conversion_Rate]],0)</f>
        <v>44</v>
      </c>
      <c r="J2469" s="12">
        <f>Marketing[[#This Row],[Campaign_Cost]]/Marketing[[#This Row],[Customers]]</f>
        <v>270.54545454545456</v>
      </c>
      <c r="K2469" t="s">
        <v>19</v>
      </c>
      <c r="L2469" t="s">
        <v>33</v>
      </c>
      <c r="M2469">
        <v>370</v>
      </c>
      <c r="N2469">
        <v>3574</v>
      </c>
      <c r="O2469">
        <v>6</v>
      </c>
      <c r="P2469" t="s">
        <v>44</v>
      </c>
      <c r="Q2469" s="1">
        <v>44474</v>
      </c>
    </row>
    <row r="2470" spans="1:17" x14ac:dyDescent="0.3">
      <c r="A2470" t="s">
        <v>35</v>
      </c>
      <c r="B2470" t="s">
        <v>47</v>
      </c>
      <c r="C2470" t="s">
        <v>37</v>
      </c>
      <c r="D2470" t="s">
        <v>46</v>
      </c>
      <c r="E2470" t="s">
        <v>48</v>
      </c>
      <c r="F2470" s="9">
        <v>0.1</v>
      </c>
      <c r="G2470" s="10">
        <v>18216</v>
      </c>
      <c r="H2470">
        <v>5.84</v>
      </c>
      <c r="I2470" s="5">
        <f>ROUND(Marketing[[#This Row],[Clicks]]*Marketing[[#This Row],[Conversion_Rate]],0)</f>
        <v>23</v>
      </c>
      <c r="J2470" s="12">
        <f>Marketing[[#This Row],[Campaign_Cost]]/Marketing[[#This Row],[Customers]]</f>
        <v>792</v>
      </c>
      <c r="K2470" t="s">
        <v>38</v>
      </c>
      <c r="L2470" t="s">
        <v>50</v>
      </c>
      <c r="M2470">
        <v>227</v>
      </c>
      <c r="N2470">
        <v>7082</v>
      </c>
      <c r="O2470">
        <v>9</v>
      </c>
      <c r="P2470" t="s">
        <v>42</v>
      </c>
      <c r="Q2470" s="1">
        <v>44475</v>
      </c>
    </row>
    <row r="2471" spans="1:17" x14ac:dyDescent="0.3">
      <c r="A2471" t="s">
        <v>14</v>
      </c>
      <c r="B2471" t="s">
        <v>36</v>
      </c>
      <c r="C2471" t="s">
        <v>30</v>
      </c>
      <c r="D2471" t="s">
        <v>24</v>
      </c>
      <c r="E2471" t="s">
        <v>43</v>
      </c>
      <c r="F2471" s="9">
        <v>0.1</v>
      </c>
      <c r="G2471" s="10">
        <v>12918</v>
      </c>
      <c r="H2471">
        <v>7.93</v>
      </c>
      <c r="I2471" s="5">
        <f>ROUND(Marketing[[#This Row],[Clicks]]*Marketing[[#This Row],[Conversion_Rate]],0)</f>
        <v>65</v>
      </c>
      <c r="J2471" s="12">
        <f>Marketing[[#This Row],[Campaign_Cost]]/Marketing[[#This Row],[Customers]]</f>
        <v>198.73846153846154</v>
      </c>
      <c r="K2471" t="s">
        <v>38</v>
      </c>
      <c r="L2471" t="s">
        <v>33</v>
      </c>
      <c r="M2471">
        <v>653</v>
      </c>
      <c r="N2471">
        <v>4719</v>
      </c>
      <c r="O2471">
        <v>8</v>
      </c>
      <c r="P2471" t="s">
        <v>34</v>
      </c>
      <c r="Q2471" s="1">
        <v>44476</v>
      </c>
    </row>
    <row r="2472" spans="1:17" x14ac:dyDescent="0.3">
      <c r="A2472" t="s">
        <v>28</v>
      </c>
      <c r="B2472" t="s">
        <v>36</v>
      </c>
      <c r="C2472" t="s">
        <v>52</v>
      </c>
      <c r="D2472" t="s">
        <v>24</v>
      </c>
      <c r="E2472" t="s">
        <v>41</v>
      </c>
      <c r="F2472" s="9">
        <v>0.05</v>
      </c>
      <c r="G2472" s="10">
        <v>18803</v>
      </c>
      <c r="H2472">
        <v>5.13</v>
      </c>
      <c r="I2472" s="5">
        <f>ROUND(Marketing[[#This Row],[Clicks]]*Marketing[[#This Row],[Conversion_Rate]],0)</f>
        <v>49</v>
      </c>
      <c r="J2472" s="12">
        <f>Marketing[[#This Row],[Campaign_Cost]]/Marketing[[#This Row],[Customers]]</f>
        <v>383.73469387755102</v>
      </c>
      <c r="K2472" t="s">
        <v>32</v>
      </c>
      <c r="L2472" t="s">
        <v>20</v>
      </c>
      <c r="M2472">
        <v>974</v>
      </c>
      <c r="N2472">
        <v>6691</v>
      </c>
      <c r="O2472">
        <v>9</v>
      </c>
      <c r="P2472" t="s">
        <v>27</v>
      </c>
      <c r="Q2472" s="1">
        <v>44477</v>
      </c>
    </row>
    <row r="2473" spans="1:17" x14ac:dyDescent="0.3">
      <c r="A2473" t="s">
        <v>28</v>
      </c>
      <c r="B2473" t="s">
        <v>36</v>
      </c>
      <c r="C2473" t="s">
        <v>37</v>
      </c>
      <c r="D2473" t="s">
        <v>40</v>
      </c>
      <c r="E2473" t="s">
        <v>48</v>
      </c>
      <c r="F2473" s="9">
        <v>7.0000000000000007E-2</v>
      </c>
      <c r="G2473" s="10">
        <v>11555</v>
      </c>
      <c r="H2473">
        <v>6.4</v>
      </c>
      <c r="I2473" s="5">
        <f>ROUND(Marketing[[#This Row],[Clicks]]*Marketing[[#This Row],[Conversion_Rate]],0)</f>
        <v>46</v>
      </c>
      <c r="J2473" s="12">
        <f>Marketing[[#This Row],[Campaign_Cost]]/Marketing[[#This Row],[Customers]]</f>
        <v>251.19565217391303</v>
      </c>
      <c r="K2473" t="s">
        <v>51</v>
      </c>
      <c r="L2473" t="s">
        <v>50</v>
      </c>
      <c r="M2473">
        <v>651</v>
      </c>
      <c r="N2473">
        <v>4644</v>
      </c>
      <c r="O2473">
        <v>8</v>
      </c>
      <c r="P2473" t="s">
        <v>21</v>
      </c>
      <c r="Q2473" s="1">
        <v>44478</v>
      </c>
    </row>
    <row r="2474" spans="1:17" x14ac:dyDescent="0.3">
      <c r="A2474" t="s">
        <v>49</v>
      </c>
      <c r="B2474" t="s">
        <v>15</v>
      </c>
      <c r="C2474" t="s">
        <v>16</v>
      </c>
      <c r="D2474" t="s">
        <v>46</v>
      </c>
      <c r="E2474" t="s">
        <v>18</v>
      </c>
      <c r="F2474" s="9">
        <v>0.13</v>
      </c>
      <c r="G2474" s="10">
        <v>9568</v>
      </c>
      <c r="H2474">
        <v>5.89</v>
      </c>
      <c r="I2474" s="5">
        <f>ROUND(Marketing[[#This Row],[Clicks]]*Marketing[[#This Row],[Conversion_Rate]],0)</f>
        <v>89</v>
      </c>
      <c r="J2474" s="12">
        <f>Marketing[[#This Row],[Campaign_Cost]]/Marketing[[#This Row],[Customers]]</f>
        <v>107.50561797752809</v>
      </c>
      <c r="K2474" t="s">
        <v>32</v>
      </c>
      <c r="L2474" t="s">
        <v>26</v>
      </c>
      <c r="M2474">
        <v>687</v>
      </c>
      <c r="N2474">
        <v>2451</v>
      </c>
      <c r="O2474">
        <v>2</v>
      </c>
      <c r="P2474" t="s">
        <v>42</v>
      </c>
      <c r="Q2474" s="1">
        <v>44479</v>
      </c>
    </row>
    <row r="2475" spans="1:17" x14ac:dyDescent="0.3">
      <c r="A2475" t="s">
        <v>28</v>
      </c>
      <c r="B2475" t="s">
        <v>36</v>
      </c>
      <c r="C2475" t="s">
        <v>16</v>
      </c>
      <c r="D2475" t="s">
        <v>24</v>
      </c>
      <c r="E2475" t="s">
        <v>41</v>
      </c>
      <c r="F2475" s="9">
        <v>0.11</v>
      </c>
      <c r="G2475" s="10">
        <v>5667</v>
      </c>
      <c r="H2475">
        <v>6.86</v>
      </c>
      <c r="I2475" s="5">
        <f>ROUND(Marketing[[#This Row],[Clicks]]*Marketing[[#This Row],[Conversion_Rate]],0)</f>
        <v>94</v>
      </c>
      <c r="J2475" s="12">
        <f>Marketing[[#This Row],[Campaign_Cost]]/Marketing[[#This Row],[Customers]]</f>
        <v>60.287234042553195</v>
      </c>
      <c r="K2475" t="s">
        <v>32</v>
      </c>
      <c r="L2475" t="s">
        <v>39</v>
      </c>
      <c r="M2475">
        <v>852</v>
      </c>
      <c r="N2475">
        <v>2667</v>
      </c>
      <c r="O2475">
        <v>7</v>
      </c>
      <c r="P2475" t="s">
        <v>44</v>
      </c>
      <c r="Q2475" s="1">
        <v>44480</v>
      </c>
    </row>
    <row r="2476" spans="1:17" x14ac:dyDescent="0.3">
      <c r="A2476" t="s">
        <v>28</v>
      </c>
      <c r="B2476" t="s">
        <v>36</v>
      </c>
      <c r="C2476" t="s">
        <v>30</v>
      </c>
      <c r="D2476" t="s">
        <v>17</v>
      </c>
      <c r="E2476" t="s">
        <v>18</v>
      </c>
      <c r="F2476" s="9">
        <v>7.0000000000000007E-2</v>
      </c>
      <c r="G2476" s="10">
        <v>6459</v>
      </c>
      <c r="H2476">
        <v>6.63</v>
      </c>
      <c r="I2476" s="5">
        <f>ROUND(Marketing[[#This Row],[Clicks]]*Marketing[[#This Row],[Conversion_Rate]],0)</f>
        <v>48</v>
      </c>
      <c r="J2476" s="12">
        <f>Marketing[[#This Row],[Campaign_Cost]]/Marketing[[#This Row],[Customers]]</f>
        <v>134.5625</v>
      </c>
      <c r="K2476" t="s">
        <v>19</v>
      </c>
      <c r="L2476" t="s">
        <v>50</v>
      </c>
      <c r="M2476">
        <v>686</v>
      </c>
      <c r="N2476">
        <v>4450</v>
      </c>
      <c r="O2476">
        <v>8</v>
      </c>
      <c r="P2476" t="s">
        <v>21</v>
      </c>
      <c r="Q2476" s="1">
        <v>44481</v>
      </c>
    </row>
    <row r="2477" spans="1:17" x14ac:dyDescent="0.3">
      <c r="A2477" t="s">
        <v>22</v>
      </c>
      <c r="B2477" t="s">
        <v>47</v>
      </c>
      <c r="C2477" t="s">
        <v>30</v>
      </c>
      <c r="D2477" t="s">
        <v>46</v>
      </c>
      <c r="E2477" t="s">
        <v>31</v>
      </c>
      <c r="F2477" s="9">
        <v>0.14000000000000001</v>
      </c>
      <c r="G2477" s="10">
        <v>13236</v>
      </c>
      <c r="H2477">
        <v>5.53</v>
      </c>
      <c r="I2477" s="5">
        <f>ROUND(Marketing[[#This Row],[Clicks]]*Marketing[[#This Row],[Conversion_Rate]],0)</f>
        <v>82</v>
      </c>
      <c r="J2477" s="12">
        <f>Marketing[[#This Row],[Campaign_Cost]]/Marketing[[#This Row],[Customers]]</f>
        <v>161.41463414634146</v>
      </c>
      <c r="K2477" t="s">
        <v>38</v>
      </c>
      <c r="L2477" t="s">
        <v>26</v>
      </c>
      <c r="M2477">
        <v>586</v>
      </c>
      <c r="N2477">
        <v>4517</v>
      </c>
      <c r="O2477">
        <v>7</v>
      </c>
      <c r="P2477" t="s">
        <v>27</v>
      </c>
      <c r="Q2477" s="1">
        <v>44482</v>
      </c>
    </row>
    <row r="2478" spans="1:17" x14ac:dyDescent="0.3">
      <c r="A2478" t="s">
        <v>14</v>
      </c>
      <c r="B2478" t="s">
        <v>15</v>
      </c>
      <c r="C2478" t="s">
        <v>16</v>
      </c>
      <c r="D2478" t="s">
        <v>17</v>
      </c>
      <c r="E2478" t="s">
        <v>31</v>
      </c>
      <c r="F2478" s="9">
        <v>0.03</v>
      </c>
      <c r="G2478" s="10">
        <v>5284</v>
      </c>
      <c r="H2478">
        <v>5.03</v>
      </c>
      <c r="I2478" s="5">
        <f>ROUND(Marketing[[#This Row],[Clicks]]*Marketing[[#This Row],[Conversion_Rate]],0)</f>
        <v>29</v>
      </c>
      <c r="J2478" s="12">
        <f>Marketing[[#This Row],[Campaign_Cost]]/Marketing[[#This Row],[Customers]]</f>
        <v>182.20689655172413</v>
      </c>
      <c r="K2478" t="s">
        <v>19</v>
      </c>
      <c r="L2478" t="s">
        <v>39</v>
      </c>
      <c r="M2478">
        <v>952</v>
      </c>
      <c r="N2478">
        <v>2557</v>
      </c>
      <c r="O2478">
        <v>4</v>
      </c>
      <c r="P2478" t="s">
        <v>21</v>
      </c>
      <c r="Q2478" s="1">
        <v>44483</v>
      </c>
    </row>
    <row r="2479" spans="1:17" x14ac:dyDescent="0.3">
      <c r="A2479" t="s">
        <v>49</v>
      </c>
      <c r="B2479" t="s">
        <v>15</v>
      </c>
      <c r="C2479" t="s">
        <v>37</v>
      </c>
      <c r="D2479" t="s">
        <v>17</v>
      </c>
      <c r="E2479" t="s">
        <v>15</v>
      </c>
      <c r="F2479" s="9">
        <v>0.06</v>
      </c>
      <c r="G2479" s="10">
        <v>18946</v>
      </c>
      <c r="H2479">
        <v>4.1900000000000004</v>
      </c>
      <c r="I2479" s="5">
        <f>ROUND(Marketing[[#This Row],[Clicks]]*Marketing[[#This Row],[Conversion_Rate]],0)</f>
        <v>53</v>
      </c>
      <c r="J2479" s="12">
        <f>Marketing[[#This Row],[Campaign_Cost]]/Marketing[[#This Row],[Customers]]</f>
        <v>357.47169811320754</v>
      </c>
      <c r="K2479" t="s">
        <v>32</v>
      </c>
      <c r="L2479" t="s">
        <v>20</v>
      </c>
      <c r="M2479">
        <v>879</v>
      </c>
      <c r="N2479">
        <v>7338</v>
      </c>
      <c r="O2479">
        <v>9</v>
      </c>
      <c r="P2479" t="s">
        <v>44</v>
      </c>
      <c r="Q2479" s="1">
        <v>44484</v>
      </c>
    </row>
    <row r="2480" spans="1:17" x14ac:dyDescent="0.3">
      <c r="A2480" t="s">
        <v>28</v>
      </c>
      <c r="B2480" t="s">
        <v>47</v>
      </c>
      <c r="C2480" t="s">
        <v>52</v>
      </c>
      <c r="D2480" t="s">
        <v>17</v>
      </c>
      <c r="E2480" t="s">
        <v>31</v>
      </c>
      <c r="F2480" s="9">
        <v>0.03</v>
      </c>
      <c r="G2480" s="10">
        <v>12166</v>
      </c>
      <c r="H2480">
        <v>7.37</v>
      </c>
      <c r="I2480" s="5">
        <f>ROUND(Marketing[[#This Row],[Clicks]]*Marketing[[#This Row],[Conversion_Rate]],0)</f>
        <v>9</v>
      </c>
      <c r="J2480" s="12">
        <f>Marketing[[#This Row],[Campaign_Cost]]/Marketing[[#This Row],[Customers]]</f>
        <v>1351.7777777777778</v>
      </c>
      <c r="K2480" t="s">
        <v>38</v>
      </c>
      <c r="L2480" t="s">
        <v>39</v>
      </c>
      <c r="M2480">
        <v>300</v>
      </c>
      <c r="N2480">
        <v>3630</v>
      </c>
      <c r="O2480">
        <v>3</v>
      </c>
      <c r="P2480" t="s">
        <v>34</v>
      </c>
      <c r="Q2480" s="1">
        <v>44485</v>
      </c>
    </row>
    <row r="2481" spans="1:17" x14ac:dyDescent="0.3">
      <c r="A2481" t="s">
        <v>22</v>
      </c>
      <c r="B2481" t="s">
        <v>29</v>
      </c>
      <c r="C2481" t="s">
        <v>37</v>
      </c>
      <c r="D2481" t="s">
        <v>46</v>
      </c>
      <c r="E2481" t="s">
        <v>31</v>
      </c>
      <c r="F2481" s="9">
        <v>0.1</v>
      </c>
      <c r="G2481" s="10">
        <v>9712</v>
      </c>
      <c r="H2481">
        <v>7.81</v>
      </c>
      <c r="I2481" s="5">
        <f>ROUND(Marketing[[#This Row],[Clicks]]*Marketing[[#This Row],[Conversion_Rate]],0)</f>
        <v>56</v>
      </c>
      <c r="J2481" s="12">
        <f>Marketing[[#This Row],[Campaign_Cost]]/Marketing[[#This Row],[Customers]]</f>
        <v>173.42857142857142</v>
      </c>
      <c r="K2481" t="s">
        <v>19</v>
      </c>
      <c r="L2481" t="s">
        <v>26</v>
      </c>
      <c r="M2481">
        <v>561</v>
      </c>
      <c r="N2481">
        <v>4344</v>
      </c>
      <c r="O2481">
        <v>2</v>
      </c>
      <c r="P2481" t="s">
        <v>42</v>
      </c>
      <c r="Q2481" s="1">
        <v>44486</v>
      </c>
    </row>
    <row r="2482" spans="1:17" x14ac:dyDescent="0.3">
      <c r="A2482" t="s">
        <v>28</v>
      </c>
      <c r="B2482" t="s">
        <v>45</v>
      </c>
      <c r="C2482" t="s">
        <v>30</v>
      </c>
      <c r="D2482" t="s">
        <v>17</v>
      </c>
      <c r="E2482" t="s">
        <v>41</v>
      </c>
      <c r="F2482" s="9">
        <v>7.0000000000000007E-2</v>
      </c>
      <c r="G2482" s="10">
        <v>15297</v>
      </c>
      <c r="H2482">
        <v>3.39</v>
      </c>
      <c r="I2482" s="5">
        <f>ROUND(Marketing[[#This Row],[Clicks]]*Marketing[[#This Row],[Conversion_Rate]],0)</f>
        <v>13</v>
      </c>
      <c r="J2482" s="12">
        <f>Marketing[[#This Row],[Campaign_Cost]]/Marketing[[#This Row],[Customers]]</f>
        <v>1176.6923076923076</v>
      </c>
      <c r="K2482" t="s">
        <v>25</v>
      </c>
      <c r="L2482" t="s">
        <v>20</v>
      </c>
      <c r="M2482">
        <v>183</v>
      </c>
      <c r="N2482">
        <v>9524</v>
      </c>
      <c r="O2482">
        <v>2</v>
      </c>
      <c r="P2482" t="s">
        <v>21</v>
      </c>
      <c r="Q2482" s="1">
        <v>44487</v>
      </c>
    </row>
    <row r="2483" spans="1:17" x14ac:dyDescent="0.3">
      <c r="A2483" t="s">
        <v>14</v>
      </c>
      <c r="B2483" t="s">
        <v>36</v>
      </c>
      <c r="C2483" t="s">
        <v>16</v>
      </c>
      <c r="D2483" t="s">
        <v>17</v>
      </c>
      <c r="E2483" t="s">
        <v>18</v>
      </c>
      <c r="F2483" s="9">
        <v>0.01</v>
      </c>
      <c r="G2483" s="10">
        <v>14634</v>
      </c>
      <c r="H2483">
        <v>7.6</v>
      </c>
      <c r="I2483" s="5">
        <f>ROUND(Marketing[[#This Row],[Clicks]]*Marketing[[#This Row],[Conversion_Rate]],0)</f>
        <v>9</v>
      </c>
      <c r="J2483" s="12">
        <f>Marketing[[#This Row],[Campaign_Cost]]/Marketing[[#This Row],[Customers]]</f>
        <v>1626</v>
      </c>
      <c r="K2483" t="s">
        <v>25</v>
      </c>
      <c r="L2483" t="s">
        <v>26</v>
      </c>
      <c r="M2483">
        <v>940</v>
      </c>
      <c r="N2483">
        <v>1243</v>
      </c>
      <c r="O2483">
        <v>2</v>
      </c>
      <c r="P2483" t="s">
        <v>44</v>
      </c>
      <c r="Q2483" s="1">
        <v>44488</v>
      </c>
    </row>
    <row r="2484" spans="1:17" x14ac:dyDescent="0.3">
      <c r="A2484" t="s">
        <v>28</v>
      </c>
      <c r="B2484" t="s">
        <v>15</v>
      </c>
      <c r="C2484" t="s">
        <v>16</v>
      </c>
      <c r="D2484" t="s">
        <v>24</v>
      </c>
      <c r="E2484" t="s">
        <v>48</v>
      </c>
      <c r="F2484" s="9">
        <v>0.09</v>
      </c>
      <c r="G2484" s="10">
        <v>8872</v>
      </c>
      <c r="H2484">
        <v>2.4300000000000002</v>
      </c>
      <c r="I2484" s="5">
        <f>ROUND(Marketing[[#This Row],[Clicks]]*Marketing[[#This Row],[Conversion_Rate]],0)</f>
        <v>64</v>
      </c>
      <c r="J2484" s="12">
        <f>Marketing[[#This Row],[Campaign_Cost]]/Marketing[[#This Row],[Customers]]</f>
        <v>138.625</v>
      </c>
      <c r="K2484" t="s">
        <v>51</v>
      </c>
      <c r="L2484" t="s">
        <v>33</v>
      </c>
      <c r="M2484">
        <v>712</v>
      </c>
      <c r="N2484">
        <v>7928</v>
      </c>
      <c r="O2484">
        <v>2</v>
      </c>
      <c r="P2484" t="s">
        <v>21</v>
      </c>
      <c r="Q2484" s="1">
        <v>44489</v>
      </c>
    </row>
    <row r="2485" spans="1:17" x14ac:dyDescent="0.3">
      <c r="A2485" t="s">
        <v>14</v>
      </c>
      <c r="B2485" t="s">
        <v>45</v>
      </c>
      <c r="C2485" t="s">
        <v>52</v>
      </c>
      <c r="D2485" t="s">
        <v>17</v>
      </c>
      <c r="E2485" t="s">
        <v>48</v>
      </c>
      <c r="F2485" s="9">
        <v>0.1</v>
      </c>
      <c r="G2485" s="10">
        <v>17961</v>
      </c>
      <c r="H2485">
        <v>7.3</v>
      </c>
      <c r="I2485" s="5">
        <f>ROUND(Marketing[[#This Row],[Clicks]]*Marketing[[#This Row],[Conversion_Rate]],0)</f>
        <v>88</v>
      </c>
      <c r="J2485" s="12">
        <f>Marketing[[#This Row],[Campaign_Cost]]/Marketing[[#This Row],[Customers]]</f>
        <v>204.10227272727272</v>
      </c>
      <c r="K2485" t="s">
        <v>19</v>
      </c>
      <c r="L2485" t="s">
        <v>20</v>
      </c>
      <c r="M2485">
        <v>875</v>
      </c>
      <c r="N2485">
        <v>4868</v>
      </c>
      <c r="O2485">
        <v>8</v>
      </c>
      <c r="P2485" t="s">
        <v>44</v>
      </c>
      <c r="Q2485" s="1">
        <v>44490</v>
      </c>
    </row>
    <row r="2486" spans="1:17" x14ac:dyDescent="0.3">
      <c r="A2486" t="s">
        <v>49</v>
      </c>
      <c r="B2486" t="s">
        <v>45</v>
      </c>
      <c r="C2486" t="s">
        <v>16</v>
      </c>
      <c r="D2486" t="s">
        <v>17</v>
      </c>
      <c r="E2486" t="s">
        <v>31</v>
      </c>
      <c r="F2486" s="9">
        <v>0.05</v>
      </c>
      <c r="G2486" s="10">
        <v>17712</v>
      </c>
      <c r="H2486">
        <v>5.38</v>
      </c>
      <c r="I2486" s="5">
        <f>ROUND(Marketing[[#This Row],[Clicks]]*Marketing[[#This Row],[Conversion_Rate]],0)</f>
        <v>46</v>
      </c>
      <c r="J2486" s="12">
        <f>Marketing[[#This Row],[Campaign_Cost]]/Marketing[[#This Row],[Customers]]</f>
        <v>385.04347826086956</v>
      </c>
      <c r="K2486" t="s">
        <v>32</v>
      </c>
      <c r="L2486" t="s">
        <v>39</v>
      </c>
      <c r="M2486">
        <v>924</v>
      </c>
      <c r="N2486">
        <v>3447</v>
      </c>
      <c r="O2486">
        <v>8</v>
      </c>
      <c r="P2486" t="s">
        <v>21</v>
      </c>
      <c r="Q2486" s="1">
        <v>44491</v>
      </c>
    </row>
    <row r="2487" spans="1:17" x14ac:dyDescent="0.3">
      <c r="A2487" t="s">
        <v>49</v>
      </c>
      <c r="B2487" t="s">
        <v>15</v>
      </c>
      <c r="C2487" t="s">
        <v>30</v>
      </c>
      <c r="D2487" t="s">
        <v>46</v>
      </c>
      <c r="E2487" t="s">
        <v>31</v>
      </c>
      <c r="F2487" s="9">
        <v>0.05</v>
      </c>
      <c r="G2487" s="10">
        <v>7211</v>
      </c>
      <c r="H2487">
        <v>5.0599999999999996</v>
      </c>
      <c r="I2487" s="5">
        <f>ROUND(Marketing[[#This Row],[Clicks]]*Marketing[[#This Row],[Conversion_Rate]],0)</f>
        <v>8</v>
      </c>
      <c r="J2487" s="12">
        <f>Marketing[[#This Row],[Campaign_Cost]]/Marketing[[#This Row],[Customers]]</f>
        <v>901.375</v>
      </c>
      <c r="K2487" t="s">
        <v>19</v>
      </c>
      <c r="L2487" t="s">
        <v>39</v>
      </c>
      <c r="M2487">
        <v>161</v>
      </c>
      <c r="N2487">
        <v>1661</v>
      </c>
      <c r="O2487">
        <v>7</v>
      </c>
      <c r="P2487" t="s">
        <v>21</v>
      </c>
      <c r="Q2487" s="1">
        <v>44492</v>
      </c>
    </row>
    <row r="2488" spans="1:17" x14ac:dyDescent="0.3">
      <c r="A2488" t="s">
        <v>28</v>
      </c>
      <c r="B2488" t="s">
        <v>15</v>
      </c>
      <c r="C2488" t="s">
        <v>37</v>
      </c>
      <c r="D2488" t="s">
        <v>17</v>
      </c>
      <c r="E2488" t="s">
        <v>48</v>
      </c>
      <c r="F2488" s="9">
        <v>0.13</v>
      </c>
      <c r="G2488" s="10">
        <v>16166</v>
      </c>
      <c r="H2488">
        <v>4</v>
      </c>
      <c r="I2488" s="5">
        <f>ROUND(Marketing[[#This Row],[Clicks]]*Marketing[[#This Row],[Conversion_Rate]],0)</f>
        <v>86</v>
      </c>
      <c r="J2488" s="12">
        <f>Marketing[[#This Row],[Campaign_Cost]]/Marketing[[#This Row],[Customers]]</f>
        <v>187.97674418604652</v>
      </c>
      <c r="K2488" t="s">
        <v>32</v>
      </c>
      <c r="L2488" t="s">
        <v>50</v>
      </c>
      <c r="M2488">
        <v>664</v>
      </c>
      <c r="N2488">
        <v>3530</v>
      </c>
      <c r="O2488">
        <v>9</v>
      </c>
      <c r="P2488" t="s">
        <v>42</v>
      </c>
      <c r="Q2488" s="1">
        <v>44493</v>
      </c>
    </row>
    <row r="2489" spans="1:17" x14ac:dyDescent="0.3">
      <c r="A2489" t="s">
        <v>22</v>
      </c>
      <c r="B2489" t="s">
        <v>45</v>
      </c>
      <c r="C2489" t="s">
        <v>37</v>
      </c>
      <c r="D2489" t="s">
        <v>46</v>
      </c>
      <c r="E2489" t="s">
        <v>15</v>
      </c>
      <c r="F2489" s="9">
        <v>0.12</v>
      </c>
      <c r="G2489" s="10">
        <v>10873</v>
      </c>
      <c r="H2489">
        <v>7.18</v>
      </c>
      <c r="I2489" s="5">
        <f>ROUND(Marketing[[#This Row],[Clicks]]*Marketing[[#This Row],[Conversion_Rate]],0)</f>
        <v>99</v>
      </c>
      <c r="J2489" s="12">
        <f>Marketing[[#This Row],[Campaign_Cost]]/Marketing[[#This Row],[Customers]]</f>
        <v>109.82828282828282</v>
      </c>
      <c r="K2489" t="s">
        <v>32</v>
      </c>
      <c r="L2489" t="s">
        <v>26</v>
      </c>
      <c r="M2489">
        <v>826</v>
      </c>
      <c r="N2489">
        <v>2108</v>
      </c>
      <c r="O2489">
        <v>9</v>
      </c>
      <c r="P2489" t="s">
        <v>44</v>
      </c>
      <c r="Q2489" s="1">
        <v>44494</v>
      </c>
    </row>
    <row r="2490" spans="1:17" x14ac:dyDescent="0.3">
      <c r="A2490" t="s">
        <v>49</v>
      </c>
      <c r="B2490" t="s">
        <v>36</v>
      </c>
      <c r="C2490" t="s">
        <v>16</v>
      </c>
      <c r="D2490" t="s">
        <v>24</v>
      </c>
      <c r="E2490" t="s">
        <v>18</v>
      </c>
      <c r="F2490" s="9">
        <v>0.09</v>
      </c>
      <c r="G2490" s="10">
        <v>12825</v>
      </c>
      <c r="H2490">
        <v>7.6</v>
      </c>
      <c r="I2490" s="5">
        <f>ROUND(Marketing[[#This Row],[Clicks]]*Marketing[[#This Row],[Conversion_Rate]],0)</f>
        <v>48</v>
      </c>
      <c r="J2490" s="12">
        <f>Marketing[[#This Row],[Campaign_Cost]]/Marketing[[#This Row],[Customers]]</f>
        <v>267.1875</v>
      </c>
      <c r="K2490" t="s">
        <v>32</v>
      </c>
      <c r="L2490" t="s">
        <v>26</v>
      </c>
      <c r="M2490">
        <v>531</v>
      </c>
      <c r="N2490">
        <v>7957</v>
      </c>
      <c r="O2490">
        <v>6</v>
      </c>
      <c r="P2490" t="s">
        <v>44</v>
      </c>
      <c r="Q2490" s="1">
        <v>44495</v>
      </c>
    </row>
    <row r="2491" spans="1:17" x14ac:dyDescent="0.3">
      <c r="A2491" t="s">
        <v>28</v>
      </c>
      <c r="B2491" t="s">
        <v>45</v>
      </c>
      <c r="C2491" t="s">
        <v>52</v>
      </c>
      <c r="D2491" t="s">
        <v>46</v>
      </c>
      <c r="E2491" t="s">
        <v>48</v>
      </c>
      <c r="F2491" s="9">
        <v>0.06</v>
      </c>
      <c r="G2491" s="10">
        <v>16406</v>
      </c>
      <c r="H2491">
        <v>7.64</v>
      </c>
      <c r="I2491" s="5">
        <f>ROUND(Marketing[[#This Row],[Clicks]]*Marketing[[#This Row],[Conversion_Rate]],0)</f>
        <v>27</v>
      </c>
      <c r="J2491" s="12">
        <f>Marketing[[#This Row],[Campaign_Cost]]/Marketing[[#This Row],[Customers]]</f>
        <v>607.62962962962968</v>
      </c>
      <c r="K2491" t="s">
        <v>25</v>
      </c>
      <c r="L2491" t="s">
        <v>26</v>
      </c>
      <c r="M2491">
        <v>454</v>
      </c>
      <c r="N2491">
        <v>5999</v>
      </c>
      <c r="O2491">
        <v>10</v>
      </c>
      <c r="P2491" t="s">
        <v>34</v>
      </c>
      <c r="Q2491" s="1">
        <v>44496</v>
      </c>
    </row>
    <row r="2492" spans="1:17" x14ac:dyDescent="0.3">
      <c r="A2492" t="s">
        <v>35</v>
      </c>
      <c r="B2492" t="s">
        <v>36</v>
      </c>
      <c r="C2492" t="s">
        <v>16</v>
      </c>
      <c r="D2492" t="s">
        <v>46</v>
      </c>
      <c r="E2492" t="s">
        <v>31</v>
      </c>
      <c r="F2492" s="9">
        <v>0.05</v>
      </c>
      <c r="G2492" s="10">
        <v>17330</v>
      </c>
      <c r="H2492">
        <v>5.51</v>
      </c>
      <c r="I2492" s="5">
        <f>ROUND(Marketing[[#This Row],[Clicks]]*Marketing[[#This Row],[Conversion_Rate]],0)</f>
        <v>22</v>
      </c>
      <c r="J2492" s="12">
        <f>Marketing[[#This Row],[Campaign_Cost]]/Marketing[[#This Row],[Customers]]</f>
        <v>787.72727272727275</v>
      </c>
      <c r="K2492" t="s">
        <v>51</v>
      </c>
      <c r="L2492" t="s">
        <v>33</v>
      </c>
      <c r="M2492">
        <v>435</v>
      </c>
      <c r="N2492">
        <v>3117</v>
      </c>
      <c r="O2492">
        <v>8</v>
      </c>
      <c r="P2492" t="s">
        <v>44</v>
      </c>
      <c r="Q2492" s="1">
        <v>44497</v>
      </c>
    </row>
    <row r="2493" spans="1:17" x14ac:dyDescent="0.3">
      <c r="A2493" t="s">
        <v>35</v>
      </c>
      <c r="B2493" t="s">
        <v>47</v>
      </c>
      <c r="C2493" t="s">
        <v>52</v>
      </c>
      <c r="D2493" t="s">
        <v>46</v>
      </c>
      <c r="E2493" t="s">
        <v>41</v>
      </c>
      <c r="F2493" s="9">
        <v>0.08</v>
      </c>
      <c r="G2493" s="10">
        <v>6572</v>
      </c>
      <c r="H2493">
        <v>6.25</v>
      </c>
      <c r="I2493" s="5">
        <f>ROUND(Marketing[[#This Row],[Clicks]]*Marketing[[#This Row],[Conversion_Rate]],0)</f>
        <v>79</v>
      </c>
      <c r="J2493" s="12">
        <f>Marketing[[#This Row],[Campaign_Cost]]/Marketing[[#This Row],[Customers]]</f>
        <v>83.189873417721515</v>
      </c>
      <c r="K2493" t="s">
        <v>19</v>
      </c>
      <c r="L2493" t="s">
        <v>50</v>
      </c>
      <c r="M2493">
        <v>984</v>
      </c>
      <c r="N2493">
        <v>9489</v>
      </c>
      <c r="O2493">
        <v>2</v>
      </c>
      <c r="P2493" t="s">
        <v>42</v>
      </c>
      <c r="Q2493" s="1">
        <v>44498</v>
      </c>
    </row>
    <row r="2494" spans="1:17" x14ac:dyDescent="0.3">
      <c r="A2494" t="s">
        <v>28</v>
      </c>
      <c r="B2494" t="s">
        <v>29</v>
      </c>
      <c r="C2494" t="s">
        <v>52</v>
      </c>
      <c r="D2494" t="s">
        <v>17</v>
      </c>
      <c r="E2494" t="s">
        <v>48</v>
      </c>
      <c r="F2494" s="9">
        <v>0.05</v>
      </c>
      <c r="G2494" s="10">
        <v>19250</v>
      </c>
      <c r="H2494">
        <v>5.26</v>
      </c>
      <c r="I2494" s="5">
        <f>ROUND(Marketing[[#This Row],[Clicks]]*Marketing[[#This Row],[Conversion_Rate]],0)</f>
        <v>34</v>
      </c>
      <c r="J2494" s="12">
        <f>Marketing[[#This Row],[Campaign_Cost]]/Marketing[[#This Row],[Customers]]</f>
        <v>566.17647058823525</v>
      </c>
      <c r="K2494" t="s">
        <v>19</v>
      </c>
      <c r="L2494" t="s">
        <v>26</v>
      </c>
      <c r="M2494">
        <v>689</v>
      </c>
      <c r="N2494">
        <v>3943</v>
      </c>
      <c r="O2494">
        <v>9</v>
      </c>
      <c r="P2494" t="s">
        <v>42</v>
      </c>
      <c r="Q2494" s="1">
        <v>44499</v>
      </c>
    </row>
    <row r="2495" spans="1:17" x14ac:dyDescent="0.3">
      <c r="A2495" t="s">
        <v>49</v>
      </c>
      <c r="B2495" t="s">
        <v>45</v>
      </c>
      <c r="C2495" t="s">
        <v>23</v>
      </c>
      <c r="D2495" t="s">
        <v>40</v>
      </c>
      <c r="E2495" t="s">
        <v>43</v>
      </c>
      <c r="F2495" s="9">
        <v>0.02</v>
      </c>
      <c r="G2495" s="10">
        <v>6872</v>
      </c>
      <c r="H2495">
        <v>5.92</v>
      </c>
      <c r="I2495" s="5">
        <f>ROUND(Marketing[[#This Row],[Clicks]]*Marketing[[#This Row],[Conversion_Rate]],0)</f>
        <v>5</v>
      </c>
      <c r="J2495" s="12">
        <f>Marketing[[#This Row],[Campaign_Cost]]/Marketing[[#This Row],[Customers]]</f>
        <v>1374.4</v>
      </c>
      <c r="K2495" t="s">
        <v>32</v>
      </c>
      <c r="L2495" t="s">
        <v>50</v>
      </c>
      <c r="M2495">
        <v>237</v>
      </c>
      <c r="N2495">
        <v>6796</v>
      </c>
      <c r="O2495">
        <v>8</v>
      </c>
      <c r="P2495" t="s">
        <v>21</v>
      </c>
      <c r="Q2495" s="1">
        <v>44500</v>
      </c>
    </row>
    <row r="2496" spans="1:17" x14ac:dyDescent="0.3">
      <c r="A2496" t="s">
        <v>49</v>
      </c>
      <c r="B2496" t="s">
        <v>29</v>
      </c>
      <c r="C2496" t="s">
        <v>16</v>
      </c>
      <c r="D2496" t="s">
        <v>24</v>
      </c>
      <c r="E2496" t="s">
        <v>18</v>
      </c>
      <c r="F2496" s="9">
        <v>0.06</v>
      </c>
      <c r="G2496" s="10">
        <v>12642</v>
      </c>
      <c r="H2496">
        <v>6.4</v>
      </c>
      <c r="I2496" s="5">
        <f>ROUND(Marketing[[#This Row],[Clicks]]*Marketing[[#This Row],[Conversion_Rate]],0)</f>
        <v>7</v>
      </c>
      <c r="J2496" s="12">
        <f>Marketing[[#This Row],[Campaign_Cost]]/Marketing[[#This Row],[Customers]]</f>
        <v>1806</v>
      </c>
      <c r="K2496" t="s">
        <v>32</v>
      </c>
      <c r="L2496" t="s">
        <v>26</v>
      </c>
      <c r="M2496">
        <v>123</v>
      </c>
      <c r="N2496">
        <v>6874</v>
      </c>
      <c r="O2496">
        <v>9</v>
      </c>
      <c r="P2496" t="s">
        <v>34</v>
      </c>
      <c r="Q2496" s="1">
        <v>44501</v>
      </c>
    </row>
    <row r="2497" spans="1:17" x14ac:dyDescent="0.3">
      <c r="A2497" t="s">
        <v>28</v>
      </c>
      <c r="B2497" t="s">
        <v>45</v>
      </c>
      <c r="C2497" t="s">
        <v>30</v>
      </c>
      <c r="D2497" t="s">
        <v>46</v>
      </c>
      <c r="E2497" t="s">
        <v>48</v>
      </c>
      <c r="F2497" s="9">
        <v>0.09</v>
      </c>
      <c r="G2497" s="10">
        <v>18543</v>
      </c>
      <c r="H2497">
        <v>5.98</v>
      </c>
      <c r="I2497" s="5">
        <f>ROUND(Marketing[[#This Row],[Clicks]]*Marketing[[#This Row],[Conversion_Rate]],0)</f>
        <v>80</v>
      </c>
      <c r="J2497" s="12">
        <f>Marketing[[#This Row],[Campaign_Cost]]/Marketing[[#This Row],[Customers]]</f>
        <v>231.78749999999999</v>
      </c>
      <c r="K2497" t="s">
        <v>19</v>
      </c>
      <c r="L2497" t="s">
        <v>39</v>
      </c>
      <c r="M2497">
        <v>892</v>
      </c>
      <c r="N2497">
        <v>4594</v>
      </c>
      <c r="O2497">
        <v>2</v>
      </c>
      <c r="P2497" t="s">
        <v>27</v>
      </c>
      <c r="Q2497" s="1">
        <v>44502</v>
      </c>
    </row>
    <row r="2498" spans="1:17" x14ac:dyDescent="0.3">
      <c r="A2498" t="s">
        <v>28</v>
      </c>
      <c r="B2498" t="s">
        <v>15</v>
      </c>
      <c r="C2498" t="s">
        <v>16</v>
      </c>
      <c r="D2498" t="s">
        <v>46</v>
      </c>
      <c r="E2498" t="s">
        <v>31</v>
      </c>
      <c r="F2498" s="9">
        <v>0.14000000000000001</v>
      </c>
      <c r="G2498" s="10">
        <v>19586</v>
      </c>
      <c r="H2498">
        <v>7.22</v>
      </c>
      <c r="I2498" s="5">
        <f>ROUND(Marketing[[#This Row],[Clicks]]*Marketing[[#This Row],[Conversion_Rate]],0)</f>
        <v>26</v>
      </c>
      <c r="J2498" s="12">
        <f>Marketing[[#This Row],[Campaign_Cost]]/Marketing[[#This Row],[Customers]]</f>
        <v>753.30769230769226</v>
      </c>
      <c r="K2498" t="s">
        <v>25</v>
      </c>
      <c r="L2498" t="s">
        <v>39</v>
      </c>
      <c r="M2498">
        <v>185</v>
      </c>
      <c r="N2498">
        <v>2494</v>
      </c>
      <c r="O2498">
        <v>1</v>
      </c>
      <c r="P2498" t="s">
        <v>21</v>
      </c>
      <c r="Q2498" s="1">
        <v>44503</v>
      </c>
    </row>
    <row r="2499" spans="1:17" x14ac:dyDescent="0.3">
      <c r="A2499" t="s">
        <v>35</v>
      </c>
      <c r="B2499" t="s">
        <v>36</v>
      </c>
      <c r="C2499" t="s">
        <v>16</v>
      </c>
      <c r="D2499" t="s">
        <v>17</v>
      </c>
      <c r="E2499" t="s">
        <v>48</v>
      </c>
      <c r="F2499" s="9">
        <v>0.03</v>
      </c>
      <c r="G2499" s="10">
        <v>15818</v>
      </c>
      <c r="H2499">
        <v>6.56</v>
      </c>
      <c r="I2499" s="5">
        <f>ROUND(Marketing[[#This Row],[Clicks]]*Marketing[[#This Row],[Conversion_Rate]],0)</f>
        <v>9</v>
      </c>
      <c r="J2499" s="12">
        <f>Marketing[[#This Row],[Campaign_Cost]]/Marketing[[#This Row],[Customers]]</f>
        <v>1757.5555555555557</v>
      </c>
      <c r="K2499" t="s">
        <v>32</v>
      </c>
      <c r="L2499" t="s">
        <v>39</v>
      </c>
      <c r="M2499">
        <v>298</v>
      </c>
      <c r="N2499">
        <v>5285</v>
      </c>
      <c r="O2499">
        <v>9</v>
      </c>
      <c r="P2499" t="s">
        <v>44</v>
      </c>
      <c r="Q2499" s="1">
        <v>44504</v>
      </c>
    </row>
    <row r="2500" spans="1:17" x14ac:dyDescent="0.3">
      <c r="A2500" t="s">
        <v>28</v>
      </c>
      <c r="B2500" t="s">
        <v>29</v>
      </c>
      <c r="C2500" t="s">
        <v>30</v>
      </c>
      <c r="D2500" t="s">
        <v>24</v>
      </c>
      <c r="E2500" t="s">
        <v>41</v>
      </c>
      <c r="F2500" s="9">
        <v>0.1</v>
      </c>
      <c r="G2500" s="10">
        <v>13998</v>
      </c>
      <c r="H2500">
        <v>2.65</v>
      </c>
      <c r="I2500" s="5">
        <f>ROUND(Marketing[[#This Row],[Clicks]]*Marketing[[#This Row],[Conversion_Rate]],0)</f>
        <v>16</v>
      </c>
      <c r="J2500" s="12">
        <f>Marketing[[#This Row],[Campaign_Cost]]/Marketing[[#This Row],[Customers]]</f>
        <v>874.875</v>
      </c>
      <c r="K2500" t="s">
        <v>25</v>
      </c>
      <c r="L2500" t="s">
        <v>20</v>
      </c>
      <c r="M2500">
        <v>163</v>
      </c>
      <c r="N2500">
        <v>7555</v>
      </c>
      <c r="O2500">
        <v>7</v>
      </c>
      <c r="P2500" t="s">
        <v>42</v>
      </c>
      <c r="Q2500" s="1">
        <v>44505</v>
      </c>
    </row>
    <row r="2501" spans="1:17" x14ac:dyDescent="0.3">
      <c r="A2501" t="s">
        <v>49</v>
      </c>
      <c r="B2501" t="s">
        <v>29</v>
      </c>
      <c r="C2501" t="s">
        <v>23</v>
      </c>
      <c r="D2501" t="s">
        <v>24</v>
      </c>
      <c r="E2501" t="s">
        <v>48</v>
      </c>
      <c r="F2501" s="9">
        <v>0.04</v>
      </c>
      <c r="G2501" s="10">
        <v>15483</v>
      </c>
      <c r="H2501">
        <v>5.08</v>
      </c>
      <c r="I2501" s="5">
        <f>ROUND(Marketing[[#This Row],[Clicks]]*Marketing[[#This Row],[Conversion_Rate]],0)</f>
        <v>19</v>
      </c>
      <c r="J2501" s="12">
        <f>Marketing[[#This Row],[Campaign_Cost]]/Marketing[[#This Row],[Customers]]</f>
        <v>814.89473684210532</v>
      </c>
      <c r="K2501" t="s">
        <v>38</v>
      </c>
      <c r="L2501" t="s">
        <v>26</v>
      </c>
      <c r="M2501">
        <v>482</v>
      </c>
      <c r="N2501">
        <v>6460</v>
      </c>
      <c r="O2501">
        <v>4</v>
      </c>
      <c r="P2501" t="s">
        <v>34</v>
      </c>
      <c r="Q2501" s="1">
        <v>44506</v>
      </c>
    </row>
    <row r="2502" spans="1:17" x14ac:dyDescent="0.3">
      <c r="A2502" t="s">
        <v>14</v>
      </c>
      <c r="B2502" t="s">
        <v>36</v>
      </c>
      <c r="C2502" t="s">
        <v>16</v>
      </c>
      <c r="D2502" t="s">
        <v>24</v>
      </c>
      <c r="E2502" t="s">
        <v>43</v>
      </c>
      <c r="F2502" s="9">
        <v>0.1</v>
      </c>
      <c r="G2502" s="10">
        <v>13107</v>
      </c>
      <c r="H2502">
        <v>7.32</v>
      </c>
      <c r="I2502" s="5">
        <f>ROUND(Marketing[[#This Row],[Clicks]]*Marketing[[#This Row],[Conversion_Rate]],0)</f>
        <v>79</v>
      </c>
      <c r="J2502" s="12">
        <f>Marketing[[#This Row],[Campaign_Cost]]/Marketing[[#This Row],[Customers]]</f>
        <v>165.91139240506328</v>
      </c>
      <c r="K2502" t="s">
        <v>38</v>
      </c>
      <c r="L2502" t="s">
        <v>39</v>
      </c>
      <c r="M2502">
        <v>787</v>
      </c>
      <c r="N2502">
        <v>8888</v>
      </c>
      <c r="O2502">
        <v>9</v>
      </c>
      <c r="P2502" t="s">
        <v>21</v>
      </c>
      <c r="Q2502" s="1">
        <v>44507</v>
      </c>
    </row>
    <row r="2503" spans="1:17" x14ac:dyDescent="0.3">
      <c r="A2503" t="s">
        <v>49</v>
      </c>
      <c r="B2503" t="s">
        <v>36</v>
      </c>
      <c r="C2503" t="s">
        <v>23</v>
      </c>
      <c r="D2503" t="s">
        <v>17</v>
      </c>
      <c r="E2503" t="s">
        <v>15</v>
      </c>
      <c r="F2503" s="9">
        <v>0.1</v>
      </c>
      <c r="G2503" s="10">
        <v>7411</v>
      </c>
      <c r="H2503">
        <v>3.44</v>
      </c>
      <c r="I2503" s="5">
        <f>ROUND(Marketing[[#This Row],[Clicks]]*Marketing[[#This Row],[Conversion_Rate]],0)</f>
        <v>30</v>
      </c>
      <c r="J2503" s="12">
        <f>Marketing[[#This Row],[Campaign_Cost]]/Marketing[[#This Row],[Customers]]</f>
        <v>247.03333333333333</v>
      </c>
      <c r="K2503" t="s">
        <v>25</v>
      </c>
      <c r="L2503" t="s">
        <v>39</v>
      </c>
      <c r="M2503">
        <v>304</v>
      </c>
      <c r="N2503">
        <v>9081</v>
      </c>
      <c r="O2503">
        <v>4</v>
      </c>
      <c r="P2503" t="s">
        <v>44</v>
      </c>
      <c r="Q2503" s="1">
        <v>44508</v>
      </c>
    </row>
    <row r="2504" spans="1:17" x14ac:dyDescent="0.3">
      <c r="A2504" t="s">
        <v>49</v>
      </c>
      <c r="B2504" t="s">
        <v>45</v>
      </c>
      <c r="C2504" t="s">
        <v>23</v>
      </c>
      <c r="D2504" t="s">
        <v>40</v>
      </c>
      <c r="E2504" t="s">
        <v>31</v>
      </c>
      <c r="F2504" s="9">
        <v>0.06</v>
      </c>
      <c r="G2504" s="10">
        <v>12384</v>
      </c>
      <c r="H2504">
        <v>4.63</v>
      </c>
      <c r="I2504" s="5">
        <f>ROUND(Marketing[[#This Row],[Clicks]]*Marketing[[#This Row],[Conversion_Rate]],0)</f>
        <v>8</v>
      </c>
      <c r="J2504" s="12">
        <f>Marketing[[#This Row],[Campaign_Cost]]/Marketing[[#This Row],[Customers]]</f>
        <v>1548</v>
      </c>
      <c r="K2504" t="s">
        <v>38</v>
      </c>
      <c r="L2504" t="s">
        <v>20</v>
      </c>
      <c r="M2504">
        <v>135</v>
      </c>
      <c r="N2504">
        <v>3631</v>
      </c>
      <c r="O2504">
        <v>4</v>
      </c>
      <c r="P2504" t="s">
        <v>34</v>
      </c>
      <c r="Q2504" s="1">
        <v>44509</v>
      </c>
    </row>
    <row r="2505" spans="1:17" x14ac:dyDescent="0.3">
      <c r="A2505" t="s">
        <v>22</v>
      </c>
      <c r="B2505" t="s">
        <v>36</v>
      </c>
      <c r="C2505" t="s">
        <v>37</v>
      </c>
      <c r="D2505" t="s">
        <v>40</v>
      </c>
      <c r="E2505" t="s">
        <v>48</v>
      </c>
      <c r="F2505" s="9">
        <v>0.06</v>
      </c>
      <c r="G2505" s="10">
        <v>16012</v>
      </c>
      <c r="H2505">
        <v>5.7</v>
      </c>
      <c r="I2505" s="5">
        <f>ROUND(Marketing[[#This Row],[Clicks]]*Marketing[[#This Row],[Conversion_Rate]],0)</f>
        <v>19</v>
      </c>
      <c r="J2505" s="12">
        <f>Marketing[[#This Row],[Campaign_Cost]]/Marketing[[#This Row],[Customers]]</f>
        <v>842.73684210526312</v>
      </c>
      <c r="K2505" t="s">
        <v>51</v>
      </c>
      <c r="L2505" t="s">
        <v>33</v>
      </c>
      <c r="M2505">
        <v>319</v>
      </c>
      <c r="N2505">
        <v>1057</v>
      </c>
      <c r="O2505">
        <v>2</v>
      </c>
      <c r="P2505" t="s">
        <v>42</v>
      </c>
      <c r="Q2505" s="1">
        <v>44510</v>
      </c>
    </row>
    <row r="2506" spans="1:17" x14ac:dyDescent="0.3">
      <c r="A2506" t="s">
        <v>35</v>
      </c>
      <c r="B2506" t="s">
        <v>47</v>
      </c>
      <c r="C2506" t="s">
        <v>23</v>
      </c>
      <c r="D2506" t="s">
        <v>24</v>
      </c>
      <c r="E2506" t="s">
        <v>43</v>
      </c>
      <c r="F2506" s="9">
        <v>0.04</v>
      </c>
      <c r="G2506" s="10">
        <v>12559</v>
      </c>
      <c r="H2506">
        <v>6.84</v>
      </c>
      <c r="I2506" s="5">
        <f>ROUND(Marketing[[#This Row],[Clicks]]*Marketing[[#This Row],[Conversion_Rate]],0)</f>
        <v>35</v>
      </c>
      <c r="J2506" s="12">
        <f>Marketing[[#This Row],[Campaign_Cost]]/Marketing[[#This Row],[Customers]]</f>
        <v>358.82857142857142</v>
      </c>
      <c r="K2506" t="s">
        <v>32</v>
      </c>
      <c r="L2506" t="s">
        <v>39</v>
      </c>
      <c r="M2506">
        <v>877</v>
      </c>
      <c r="N2506">
        <v>8529</v>
      </c>
      <c r="O2506">
        <v>9</v>
      </c>
      <c r="P2506" t="s">
        <v>21</v>
      </c>
      <c r="Q2506" s="1">
        <v>44511</v>
      </c>
    </row>
    <row r="2507" spans="1:17" x14ac:dyDescent="0.3">
      <c r="A2507" t="s">
        <v>49</v>
      </c>
      <c r="B2507" t="s">
        <v>36</v>
      </c>
      <c r="C2507" t="s">
        <v>30</v>
      </c>
      <c r="D2507" t="s">
        <v>24</v>
      </c>
      <c r="E2507" t="s">
        <v>18</v>
      </c>
      <c r="F2507" s="9">
        <v>0.08</v>
      </c>
      <c r="G2507" s="10">
        <v>15037</v>
      </c>
      <c r="H2507">
        <v>7.22</v>
      </c>
      <c r="I2507" s="5">
        <f>ROUND(Marketing[[#This Row],[Clicks]]*Marketing[[#This Row],[Conversion_Rate]],0)</f>
        <v>42</v>
      </c>
      <c r="J2507" s="12">
        <f>Marketing[[#This Row],[Campaign_Cost]]/Marketing[[#This Row],[Customers]]</f>
        <v>358.02380952380952</v>
      </c>
      <c r="K2507" t="s">
        <v>19</v>
      </c>
      <c r="L2507" t="s">
        <v>20</v>
      </c>
      <c r="M2507">
        <v>528</v>
      </c>
      <c r="N2507">
        <v>6433</v>
      </c>
      <c r="O2507">
        <v>4</v>
      </c>
      <c r="P2507" t="s">
        <v>44</v>
      </c>
      <c r="Q2507" s="1">
        <v>44512</v>
      </c>
    </row>
    <row r="2508" spans="1:17" x14ac:dyDescent="0.3">
      <c r="A2508" t="s">
        <v>22</v>
      </c>
      <c r="B2508" t="s">
        <v>36</v>
      </c>
      <c r="C2508" t="s">
        <v>16</v>
      </c>
      <c r="D2508" t="s">
        <v>46</v>
      </c>
      <c r="E2508" t="s">
        <v>41</v>
      </c>
      <c r="F2508" s="9">
        <v>7.0000000000000007E-2</v>
      </c>
      <c r="G2508" s="10">
        <v>19215</v>
      </c>
      <c r="H2508">
        <v>3.35</v>
      </c>
      <c r="I2508" s="5">
        <f>ROUND(Marketing[[#This Row],[Clicks]]*Marketing[[#This Row],[Conversion_Rate]],0)</f>
        <v>18</v>
      </c>
      <c r="J2508" s="12">
        <f>Marketing[[#This Row],[Campaign_Cost]]/Marketing[[#This Row],[Customers]]</f>
        <v>1067.5</v>
      </c>
      <c r="K2508" t="s">
        <v>25</v>
      </c>
      <c r="L2508" t="s">
        <v>26</v>
      </c>
      <c r="M2508">
        <v>262</v>
      </c>
      <c r="N2508">
        <v>5525</v>
      </c>
      <c r="O2508">
        <v>10</v>
      </c>
      <c r="P2508" t="s">
        <v>42</v>
      </c>
      <c r="Q2508" s="1">
        <v>44513</v>
      </c>
    </row>
    <row r="2509" spans="1:17" x14ac:dyDescent="0.3">
      <c r="A2509" t="s">
        <v>35</v>
      </c>
      <c r="B2509" t="s">
        <v>45</v>
      </c>
      <c r="C2509" t="s">
        <v>16</v>
      </c>
      <c r="D2509" t="s">
        <v>40</v>
      </c>
      <c r="E2509" t="s">
        <v>43</v>
      </c>
      <c r="F2509" s="9">
        <v>7.0000000000000007E-2</v>
      </c>
      <c r="G2509" s="10">
        <v>19140</v>
      </c>
      <c r="H2509">
        <v>2.89</v>
      </c>
      <c r="I2509" s="5">
        <f>ROUND(Marketing[[#This Row],[Clicks]]*Marketing[[#This Row],[Conversion_Rate]],0)</f>
        <v>48</v>
      </c>
      <c r="J2509" s="12">
        <f>Marketing[[#This Row],[Campaign_Cost]]/Marketing[[#This Row],[Customers]]</f>
        <v>398.75</v>
      </c>
      <c r="K2509" t="s">
        <v>51</v>
      </c>
      <c r="L2509" t="s">
        <v>33</v>
      </c>
      <c r="M2509">
        <v>690</v>
      </c>
      <c r="N2509">
        <v>4040</v>
      </c>
      <c r="O2509">
        <v>4</v>
      </c>
      <c r="P2509" t="s">
        <v>27</v>
      </c>
      <c r="Q2509" s="1">
        <v>44514</v>
      </c>
    </row>
    <row r="2510" spans="1:17" x14ac:dyDescent="0.3">
      <c r="A2510" t="s">
        <v>35</v>
      </c>
      <c r="B2510" t="s">
        <v>15</v>
      </c>
      <c r="C2510" t="s">
        <v>30</v>
      </c>
      <c r="D2510" t="s">
        <v>40</v>
      </c>
      <c r="E2510" t="s">
        <v>18</v>
      </c>
      <c r="F2510" s="9">
        <v>7.0000000000000007E-2</v>
      </c>
      <c r="G2510" s="10">
        <v>18569</v>
      </c>
      <c r="H2510">
        <v>6.68</v>
      </c>
      <c r="I2510" s="5">
        <f>ROUND(Marketing[[#This Row],[Clicks]]*Marketing[[#This Row],[Conversion_Rate]],0)</f>
        <v>49</v>
      </c>
      <c r="J2510" s="12">
        <f>Marketing[[#This Row],[Campaign_Cost]]/Marketing[[#This Row],[Customers]]</f>
        <v>378.9591836734694</v>
      </c>
      <c r="K2510" t="s">
        <v>25</v>
      </c>
      <c r="L2510" t="s">
        <v>50</v>
      </c>
      <c r="M2510">
        <v>700</v>
      </c>
      <c r="N2510">
        <v>1827</v>
      </c>
      <c r="O2510">
        <v>1</v>
      </c>
      <c r="P2510" t="s">
        <v>27</v>
      </c>
      <c r="Q2510" s="1">
        <v>44515</v>
      </c>
    </row>
    <row r="2511" spans="1:17" x14ac:dyDescent="0.3">
      <c r="A2511" t="s">
        <v>28</v>
      </c>
      <c r="B2511" t="s">
        <v>15</v>
      </c>
      <c r="C2511" t="s">
        <v>52</v>
      </c>
      <c r="D2511" t="s">
        <v>40</v>
      </c>
      <c r="E2511" t="s">
        <v>48</v>
      </c>
      <c r="F2511" s="9">
        <v>0.11</v>
      </c>
      <c r="G2511" s="10">
        <v>12858</v>
      </c>
      <c r="H2511">
        <v>7.96</v>
      </c>
      <c r="I2511" s="5">
        <f>ROUND(Marketing[[#This Row],[Clicks]]*Marketing[[#This Row],[Conversion_Rate]],0)</f>
        <v>83</v>
      </c>
      <c r="J2511" s="12">
        <f>Marketing[[#This Row],[Campaign_Cost]]/Marketing[[#This Row],[Customers]]</f>
        <v>154.9156626506024</v>
      </c>
      <c r="K2511" t="s">
        <v>51</v>
      </c>
      <c r="L2511" t="s">
        <v>39</v>
      </c>
      <c r="M2511">
        <v>757</v>
      </c>
      <c r="N2511">
        <v>1534</v>
      </c>
      <c r="O2511">
        <v>7</v>
      </c>
      <c r="P2511" t="s">
        <v>44</v>
      </c>
      <c r="Q2511" s="1">
        <v>44516</v>
      </c>
    </row>
    <row r="2512" spans="1:17" x14ac:dyDescent="0.3">
      <c r="A2512" t="s">
        <v>22</v>
      </c>
      <c r="B2512" t="s">
        <v>45</v>
      </c>
      <c r="C2512" t="s">
        <v>52</v>
      </c>
      <c r="D2512" t="s">
        <v>46</v>
      </c>
      <c r="E2512" t="s">
        <v>15</v>
      </c>
      <c r="F2512" s="9">
        <v>0.1</v>
      </c>
      <c r="G2512" s="10">
        <v>5789</v>
      </c>
      <c r="H2512">
        <v>5.26</v>
      </c>
      <c r="I2512" s="5">
        <f>ROUND(Marketing[[#This Row],[Clicks]]*Marketing[[#This Row],[Conversion_Rate]],0)</f>
        <v>72</v>
      </c>
      <c r="J2512" s="12">
        <f>Marketing[[#This Row],[Campaign_Cost]]/Marketing[[#This Row],[Customers]]</f>
        <v>80.402777777777771</v>
      </c>
      <c r="K2512" t="s">
        <v>19</v>
      </c>
      <c r="L2512" t="s">
        <v>33</v>
      </c>
      <c r="M2512">
        <v>723</v>
      </c>
      <c r="N2512">
        <v>1413</v>
      </c>
      <c r="O2512">
        <v>1</v>
      </c>
      <c r="P2512" t="s">
        <v>42</v>
      </c>
      <c r="Q2512" s="1">
        <v>44517</v>
      </c>
    </row>
    <row r="2513" spans="1:17" x14ac:dyDescent="0.3">
      <c r="A2513" t="s">
        <v>14</v>
      </c>
      <c r="B2513" t="s">
        <v>15</v>
      </c>
      <c r="C2513" t="s">
        <v>30</v>
      </c>
      <c r="D2513" t="s">
        <v>46</v>
      </c>
      <c r="E2513" t="s">
        <v>31</v>
      </c>
      <c r="F2513" s="9">
        <v>0.04</v>
      </c>
      <c r="G2513" s="10">
        <v>5268</v>
      </c>
      <c r="H2513">
        <v>7.06</v>
      </c>
      <c r="I2513" s="5">
        <f>ROUND(Marketing[[#This Row],[Clicks]]*Marketing[[#This Row],[Conversion_Rate]],0)</f>
        <v>32</v>
      </c>
      <c r="J2513" s="12">
        <f>Marketing[[#This Row],[Campaign_Cost]]/Marketing[[#This Row],[Customers]]</f>
        <v>164.625</v>
      </c>
      <c r="K2513" t="s">
        <v>25</v>
      </c>
      <c r="L2513" t="s">
        <v>39</v>
      </c>
      <c r="M2513">
        <v>810</v>
      </c>
      <c r="N2513">
        <v>4169</v>
      </c>
      <c r="O2513">
        <v>6</v>
      </c>
      <c r="P2513" t="s">
        <v>34</v>
      </c>
      <c r="Q2513" s="1">
        <v>44518</v>
      </c>
    </row>
    <row r="2514" spans="1:17" x14ac:dyDescent="0.3">
      <c r="A2514" t="s">
        <v>22</v>
      </c>
      <c r="B2514" t="s">
        <v>29</v>
      </c>
      <c r="C2514" t="s">
        <v>52</v>
      </c>
      <c r="D2514" t="s">
        <v>17</v>
      </c>
      <c r="E2514" t="s">
        <v>15</v>
      </c>
      <c r="F2514" s="9">
        <v>0.12</v>
      </c>
      <c r="G2514" s="10">
        <v>6817</v>
      </c>
      <c r="H2514">
        <v>6.33</v>
      </c>
      <c r="I2514" s="5">
        <f>ROUND(Marketing[[#This Row],[Clicks]]*Marketing[[#This Row],[Conversion_Rate]],0)</f>
        <v>85</v>
      </c>
      <c r="J2514" s="12">
        <f>Marketing[[#This Row],[Campaign_Cost]]/Marketing[[#This Row],[Customers]]</f>
        <v>80.2</v>
      </c>
      <c r="K2514" t="s">
        <v>51</v>
      </c>
      <c r="L2514" t="s">
        <v>39</v>
      </c>
      <c r="M2514">
        <v>707</v>
      </c>
      <c r="N2514">
        <v>6568</v>
      </c>
      <c r="O2514">
        <v>2</v>
      </c>
      <c r="P2514" t="s">
        <v>27</v>
      </c>
      <c r="Q2514" s="1">
        <v>44519</v>
      </c>
    </row>
    <row r="2515" spans="1:17" x14ac:dyDescent="0.3">
      <c r="A2515" t="s">
        <v>22</v>
      </c>
      <c r="B2515" t="s">
        <v>45</v>
      </c>
      <c r="C2515" t="s">
        <v>30</v>
      </c>
      <c r="D2515" t="s">
        <v>24</v>
      </c>
      <c r="E2515" t="s">
        <v>18</v>
      </c>
      <c r="F2515" s="9">
        <v>0.04</v>
      </c>
      <c r="G2515" s="10">
        <v>14062</v>
      </c>
      <c r="H2515">
        <v>7.34</v>
      </c>
      <c r="I2515" s="5">
        <f>ROUND(Marketing[[#This Row],[Clicks]]*Marketing[[#This Row],[Conversion_Rate]],0)</f>
        <v>18</v>
      </c>
      <c r="J2515" s="12">
        <f>Marketing[[#This Row],[Campaign_Cost]]/Marketing[[#This Row],[Customers]]</f>
        <v>781.22222222222217</v>
      </c>
      <c r="K2515" t="s">
        <v>51</v>
      </c>
      <c r="L2515" t="s">
        <v>33</v>
      </c>
      <c r="M2515">
        <v>454</v>
      </c>
      <c r="N2515">
        <v>7695</v>
      </c>
      <c r="O2515">
        <v>8</v>
      </c>
      <c r="P2515" t="s">
        <v>27</v>
      </c>
      <c r="Q2515" s="1">
        <v>44520</v>
      </c>
    </row>
    <row r="2516" spans="1:17" x14ac:dyDescent="0.3">
      <c r="A2516" t="s">
        <v>49</v>
      </c>
      <c r="B2516" t="s">
        <v>36</v>
      </c>
      <c r="C2516" t="s">
        <v>30</v>
      </c>
      <c r="D2516" t="s">
        <v>24</v>
      </c>
      <c r="E2516" t="s">
        <v>15</v>
      </c>
      <c r="F2516" s="9">
        <v>0.12</v>
      </c>
      <c r="G2516" s="10">
        <v>15221</v>
      </c>
      <c r="H2516">
        <v>2.0499999999999998</v>
      </c>
      <c r="I2516" s="5">
        <f>ROUND(Marketing[[#This Row],[Clicks]]*Marketing[[#This Row],[Conversion_Rate]],0)</f>
        <v>110</v>
      </c>
      <c r="J2516" s="12">
        <f>Marketing[[#This Row],[Campaign_Cost]]/Marketing[[#This Row],[Customers]]</f>
        <v>138.37272727272727</v>
      </c>
      <c r="K2516" t="s">
        <v>19</v>
      </c>
      <c r="L2516" t="s">
        <v>26</v>
      </c>
      <c r="M2516">
        <v>917</v>
      </c>
      <c r="N2516">
        <v>4527</v>
      </c>
      <c r="O2516">
        <v>3</v>
      </c>
      <c r="P2516" t="s">
        <v>27</v>
      </c>
      <c r="Q2516" s="1">
        <v>44521</v>
      </c>
    </row>
    <row r="2517" spans="1:17" x14ac:dyDescent="0.3">
      <c r="A2517" t="s">
        <v>22</v>
      </c>
      <c r="B2517" t="s">
        <v>29</v>
      </c>
      <c r="C2517" t="s">
        <v>23</v>
      </c>
      <c r="D2517" t="s">
        <v>17</v>
      </c>
      <c r="E2517" t="s">
        <v>43</v>
      </c>
      <c r="F2517" s="9">
        <v>0.14000000000000001</v>
      </c>
      <c r="G2517" s="10">
        <v>12232</v>
      </c>
      <c r="H2517">
        <v>6.41</v>
      </c>
      <c r="I2517" s="5">
        <f>ROUND(Marketing[[#This Row],[Clicks]]*Marketing[[#This Row],[Conversion_Rate]],0)</f>
        <v>88</v>
      </c>
      <c r="J2517" s="12">
        <f>Marketing[[#This Row],[Campaign_Cost]]/Marketing[[#This Row],[Customers]]</f>
        <v>139</v>
      </c>
      <c r="K2517" t="s">
        <v>25</v>
      </c>
      <c r="L2517" t="s">
        <v>50</v>
      </c>
      <c r="M2517">
        <v>626</v>
      </c>
      <c r="N2517">
        <v>9851</v>
      </c>
      <c r="O2517">
        <v>7</v>
      </c>
      <c r="P2517" t="s">
        <v>42</v>
      </c>
      <c r="Q2517" s="1">
        <v>44522</v>
      </c>
    </row>
    <row r="2518" spans="1:17" x14ac:dyDescent="0.3">
      <c r="A2518" t="s">
        <v>14</v>
      </c>
      <c r="B2518" t="s">
        <v>36</v>
      </c>
      <c r="C2518" t="s">
        <v>37</v>
      </c>
      <c r="D2518" t="s">
        <v>46</v>
      </c>
      <c r="E2518" t="s">
        <v>31</v>
      </c>
      <c r="F2518" s="9">
        <v>0.12</v>
      </c>
      <c r="G2518" s="10">
        <v>5958</v>
      </c>
      <c r="H2518">
        <v>2.59</v>
      </c>
      <c r="I2518" s="5">
        <f>ROUND(Marketing[[#This Row],[Clicks]]*Marketing[[#This Row],[Conversion_Rate]],0)</f>
        <v>99</v>
      </c>
      <c r="J2518" s="12">
        <f>Marketing[[#This Row],[Campaign_Cost]]/Marketing[[#This Row],[Customers]]</f>
        <v>60.18181818181818</v>
      </c>
      <c r="K2518" t="s">
        <v>32</v>
      </c>
      <c r="L2518" t="s">
        <v>50</v>
      </c>
      <c r="M2518">
        <v>828</v>
      </c>
      <c r="N2518">
        <v>3551</v>
      </c>
      <c r="O2518">
        <v>9</v>
      </c>
      <c r="P2518" t="s">
        <v>21</v>
      </c>
      <c r="Q2518" s="1">
        <v>44523</v>
      </c>
    </row>
    <row r="2519" spans="1:17" x14ac:dyDescent="0.3">
      <c r="A2519" t="s">
        <v>49</v>
      </c>
      <c r="B2519" t="s">
        <v>36</v>
      </c>
      <c r="C2519" t="s">
        <v>30</v>
      </c>
      <c r="D2519" t="s">
        <v>24</v>
      </c>
      <c r="E2519" t="s">
        <v>43</v>
      </c>
      <c r="F2519" s="9">
        <v>0.03</v>
      </c>
      <c r="G2519" s="10">
        <v>5398</v>
      </c>
      <c r="H2519">
        <v>3.1</v>
      </c>
      <c r="I2519" s="5">
        <f>ROUND(Marketing[[#This Row],[Clicks]]*Marketing[[#This Row],[Conversion_Rate]],0)</f>
        <v>5</v>
      </c>
      <c r="J2519" s="12">
        <f>Marketing[[#This Row],[Campaign_Cost]]/Marketing[[#This Row],[Customers]]</f>
        <v>1079.5999999999999</v>
      </c>
      <c r="K2519" t="s">
        <v>19</v>
      </c>
      <c r="L2519" t="s">
        <v>33</v>
      </c>
      <c r="M2519">
        <v>153</v>
      </c>
      <c r="N2519">
        <v>9517</v>
      </c>
      <c r="O2519">
        <v>3</v>
      </c>
      <c r="P2519" t="s">
        <v>21</v>
      </c>
      <c r="Q2519" s="1">
        <v>44524</v>
      </c>
    </row>
    <row r="2520" spans="1:17" x14ac:dyDescent="0.3">
      <c r="A2520" t="s">
        <v>22</v>
      </c>
      <c r="B2520" t="s">
        <v>15</v>
      </c>
      <c r="C2520" t="s">
        <v>23</v>
      </c>
      <c r="D2520" t="s">
        <v>40</v>
      </c>
      <c r="E2520" t="s">
        <v>43</v>
      </c>
      <c r="F2520" s="9">
        <v>0.12</v>
      </c>
      <c r="G2520" s="10">
        <v>9548</v>
      </c>
      <c r="H2520">
        <v>6.02</v>
      </c>
      <c r="I2520" s="5">
        <f>ROUND(Marketing[[#This Row],[Clicks]]*Marketing[[#This Row],[Conversion_Rate]],0)</f>
        <v>108</v>
      </c>
      <c r="J2520" s="12">
        <f>Marketing[[#This Row],[Campaign_Cost]]/Marketing[[#This Row],[Customers]]</f>
        <v>88.407407407407405</v>
      </c>
      <c r="K2520" t="s">
        <v>51</v>
      </c>
      <c r="L2520" t="s">
        <v>50</v>
      </c>
      <c r="M2520">
        <v>899</v>
      </c>
      <c r="N2520">
        <v>3715</v>
      </c>
      <c r="O2520">
        <v>9</v>
      </c>
      <c r="P2520" t="s">
        <v>42</v>
      </c>
      <c r="Q2520" s="1">
        <v>44525</v>
      </c>
    </row>
    <row r="2521" spans="1:17" x14ac:dyDescent="0.3">
      <c r="A2521" t="s">
        <v>14</v>
      </c>
      <c r="B2521" t="s">
        <v>29</v>
      </c>
      <c r="C2521" t="s">
        <v>23</v>
      </c>
      <c r="D2521" t="s">
        <v>46</v>
      </c>
      <c r="E2521" t="s">
        <v>48</v>
      </c>
      <c r="F2521" s="9">
        <v>0.14000000000000001</v>
      </c>
      <c r="G2521" s="10">
        <v>14064</v>
      </c>
      <c r="H2521">
        <v>7.9</v>
      </c>
      <c r="I2521" s="5">
        <f>ROUND(Marketing[[#This Row],[Clicks]]*Marketing[[#This Row],[Conversion_Rate]],0)</f>
        <v>82</v>
      </c>
      <c r="J2521" s="12">
        <f>Marketing[[#This Row],[Campaign_Cost]]/Marketing[[#This Row],[Customers]]</f>
        <v>171.51219512195121</v>
      </c>
      <c r="K2521" t="s">
        <v>51</v>
      </c>
      <c r="L2521" t="s">
        <v>33</v>
      </c>
      <c r="M2521">
        <v>584</v>
      </c>
      <c r="N2521">
        <v>9157</v>
      </c>
      <c r="O2521">
        <v>5</v>
      </c>
      <c r="P2521" t="s">
        <v>42</v>
      </c>
      <c r="Q2521" s="1">
        <v>44526</v>
      </c>
    </row>
    <row r="2522" spans="1:17" x14ac:dyDescent="0.3">
      <c r="A2522" t="s">
        <v>49</v>
      </c>
      <c r="B2522" t="s">
        <v>15</v>
      </c>
      <c r="C2522" t="s">
        <v>37</v>
      </c>
      <c r="D2522" t="s">
        <v>24</v>
      </c>
      <c r="E2522" t="s">
        <v>48</v>
      </c>
      <c r="F2522" s="9">
        <v>0.04</v>
      </c>
      <c r="G2522" s="10">
        <v>15933</v>
      </c>
      <c r="H2522">
        <v>7.12</v>
      </c>
      <c r="I2522" s="5">
        <f>ROUND(Marketing[[#This Row],[Clicks]]*Marketing[[#This Row],[Conversion_Rate]],0)</f>
        <v>11</v>
      </c>
      <c r="J2522" s="12">
        <f>Marketing[[#This Row],[Campaign_Cost]]/Marketing[[#This Row],[Customers]]</f>
        <v>1448.4545454545455</v>
      </c>
      <c r="K2522" t="s">
        <v>38</v>
      </c>
      <c r="L2522" t="s">
        <v>50</v>
      </c>
      <c r="M2522">
        <v>282</v>
      </c>
      <c r="N2522">
        <v>1479</v>
      </c>
      <c r="O2522">
        <v>5</v>
      </c>
      <c r="P2522" t="s">
        <v>21</v>
      </c>
      <c r="Q2522" s="1">
        <v>44527</v>
      </c>
    </row>
    <row r="2523" spans="1:17" x14ac:dyDescent="0.3">
      <c r="A2523" t="s">
        <v>35</v>
      </c>
      <c r="B2523" t="s">
        <v>15</v>
      </c>
      <c r="C2523" t="s">
        <v>30</v>
      </c>
      <c r="D2523" t="s">
        <v>24</v>
      </c>
      <c r="E2523" t="s">
        <v>48</v>
      </c>
      <c r="F2523" s="9">
        <v>0.06</v>
      </c>
      <c r="G2523" s="10">
        <v>10076</v>
      </c>
      <c r="H2523">
        <v>2.9</v>
      </c>
      <c r="I2523" s="5">
        <f>ROUND(Marketing[[#This Row],[Clicks]]*Marketing[[#This Row],[Conversion_Rate]],0)</f>
        <v>38</v>
      </c>
      <c r="J2523" s="12">
        <f>Marketing[[#This Row],[Campaign_Cost]]/Marketing[[#This Row],[Customers]]</f>
        <v>265.15789473684208</v>
      </c>
      <c r="K2523" t="s">
        <v>25</v>
      </c>
      <c r="L2523" t="s">
        <v>26</v>
      </c>
      <c r="M2523">
        <v>630</v>
      </c>
      <c r="N2523">
        <v>9179</v>
      </c>
      <c r="O2523">
        <v>4</v>
      </c>
      <c r="P2523" t="s">
        <v>27</v>
      </c>
      <c r="Q2523" s="1">
        <v>44528</v>
      </c>
    </row>
    <row r="2524" spans="1:17" x14ac:dyDescent="0.3">
      <c r="A2524" t="s">
        <v>35</v>
      </c>
      <c r="B2524" t="s">
        <v>15</v>
      </c>
      <c r="C2524" t="s">
        <v>16</v>
      </c>
      <c r="D2524" t="s">
        <v>24</v>
      </c>
      <c r="E2524" t="s">
        <v>41</v>
      </c>
      <c r="F2524" s="9">
        <v>0.13</v>
      </c>
      <c r="G2524" s="10">
        <v>17684</v>
      </c>
      <c r="H2524">
        <v>6.11</v>
      </c>
      <c r="I2524" s="5">
        <f>ROUND(Marketing[[#This Row],[Clicks]]*Marketing[[#This Row],[Conversion_Rate]],0)</f>
        <v>121</v>
      </c>
      <c r="J2524" s="12">
        <f>Marketing[[#This Row],[Campaign_Cost]]/Marketing[[#This Row],[Customers]]</f>
        <v>146.14876033057851</v>
      </c>
      <c r="K2524" t="s">
        <v>32</v>
      </c>
      <c r="L2524" t="s">
        <v>33</v>
      </c>
      <c r="M2524">
        <v>928</v>
      </c>
      <c r="N2524">
        <v>2958</v>
      </c>
      <c r="O2524">
        <v>1</v>
      </c>
      <c r="P2524" t="s">
        <v>27</v>
      </c>
      <c r="Q2524" s="1">
        <v>44529</v>
      </c>
    </row>
    <row r="2525" spans="1:17" x14ac:dyDescent="0.3">
      <c r="A2525" t="s">
        <v>35</v>
      </c>
      <c r="B2525" t="s">
        <v>29</v>
      </c>
      <c r="C2525" t="s">
        <v>52</v>
      </c>
      <c r="D2525" t="s">
        <v>46</v>
      </c>
      <c r="E2525" t="s">
        <v>15</v>
      </c>
      <c r="F2525" s="9">
        <v>0.04</v>
      </c>
      <c r="G2525" s="10">
        <v>13320</v>
      </c>
      <c r="H2525">
        <v>3.84</v>
      </c>
      <c r="I2525" s="5">
        <f>ROUND(Marketing[[#This Row],[Clicks]]*Marketing[[#This Row],[Conversion_Rate]],0)</f>
        <v>6</v>
      </c>
      <c r="J2525" s="12">
        <f>Marketing[[#This Row],[Campaign_Cost]]/Marketing[[#This Row],[Customers]]</f>
        <v>2220</v>
      </c>
      <c r="K2525" t="s">
        <v>51</v>
      </c>
      <c r="L2525" t="s">
        <v>33</v>
      </c>
      <c r="M2525">
        <v>151</v>
      </c>
      <c r="N2525">
        <v>2207</v>
      </c>
      <c r="O2525">
        <v>1</v>
      </c>
      <c r="P2525" t="s">
        <v>27</v>
      </c>
      <c r="Q2525" s="1">
        <v>44530</v>
      </c>
    </row>
    <row r="2526" spans="1:17" x14ac:dyDescent="0.3">
      <c r="A2526" t="s">
        <v>49</v>
      </c>
      <c r="B2526" t="s">
        <v>15</v>
      </c>
      <c r="C2526" t="s">
        <v>30</v>
      </c>
      <c r="D2526" t="s">
        <v>46</v>
      </c>
      <c r="E2526" t="s">
        <v>48</v>
      </c>
      <c r="F2526" s="9">
        <v>0.09</v>
      </c>
      <c r="G2526" s="10">
        <v>8611</v>
      </c>
      <c r="H2526">
        <v>6.31</v>
      </c>
      <c r="I2526" s="5">
        <f>ROUND(Marketing[[#This Row],[Clicks]]*Marketing[[#This Row],[Conversion_Rate]],0)</f>
        <v>41</v>
      </c>
      <c r="J2526" s="12">
        <f>Marketing[[#This Row],[Campaign_Cost]]/Marketing[[#This Row],[Customers]]</f>
        <v>210.02439024390245</v>
      </c>
      <c r="K2526" t="s">
        <v>19</v>
      </c>
      <c r="L2526" t="s">
        <v>39</v>
      </c>
      <c r="M2526">
        <v>450</v>
      </c>
      <c r="N2526">
        <v>1936</v>
      </c>
      <c r="O2526">
        <v>2</v>
      </c>
      <c r="P2526" t="s">
        <v>34</v>
      </c>
      <c r="Q2526" s="1">
        <v>44531</v>
      </c>
    </row>
    <row r="2527" spans="1:17" x14ac:dyDescent="0.3">
      <c r="A2527" t="s">
        <v>49</v>
      </c>
      <c r="B2527" t="s">
        <v>29</v>
      </c>
      <c r="C2527" t="s">
        <v>37</v>
      </c>
      <c r="D2527" t="s">
        <v>24</v>
      </c>
      <c r="E2527" t="s">
        <v>31</v>
      </c>
      <c r="F2527" s="9">
        <v>0.05</v>
      </c>
      <c r="G2527" s="10">
        <v>15886</v>
      </c>
      <c r="H2527">
        <v>4.4000000000000004</v>
      </c>
      <c r="I2527" s="5">
        <f>ROUND(Marketing[[#This Row],[Clicks]]*Marketing[[#This Row],[Conversion_Rate]],0)</f>
        <v>37</v>
      </c>
      <c r="J2527" s="12">
        <f>Marketing[[#This Row],[Campaign_Cost]]/Marketing[[#This Row],[Customers]]</f>
        <v>429.35135135135135</v>
      </c>
      <c r="K2527" t="s">
        <v>51</v>
      </c>
      <c r="L2527" t="s">
        <v>39</v>
      </c>
      <c r="M2527">
        <v>748</v>
      </c>
      <c r="N2527">
        <v>7670</v>
      </c>
      <c r="O2527">
        <v>6</v>
      </c>
      <c r="P2527" t="s">
        <v>27</v>
      </c>
      <c r="Q2527" s="1">
        <v>44532</v>
      </c>
    </row>
    <row r="2528" spans="1:17" x14ac:dyDescent="0.3">
      <c r="A2528" t="s">
        <v>49</v>
      </c>
      <c r="B2528" t="s">
        <v>15</v>
      </c>
      <c r="C2528" t="s">
        <v>23</v>
      </c>
      <c r="D2528" t="s">
        <v>46</v>
      </c>
      <c r="E2528" t="s">
        <v>43</v>
      </c>
      <c r="F2528" s="9">
        <v>0.1</v>
      </c>
      <c r="G2528" s="10">
        <v>5755</v>
      </c>
      <c r="H2528">
        <v>6.47</v>
      </c>
      <c r="I2528" s="5">
        <f>ROUND(Marketing[[#This Row],[Clicks]]*Marketing[[#This Row],[Conversion_Rate]],0)</f>
        <v>75</v>
      </c>
      <c r="J2528" s="12">
        <f>Marketing[[#This Row],[Campaign_Cost]]/Marketing[[#This Row],[Customers]]</f>
        <v>76.733333333333334</v>
      </c>
      <c r="K2528" t="s">
        <v>25</v>
      </c>
      <c r="L2528" t="s">
        <v>20</v>
      </c>
      <c r="M2528">
        <v>749</v>
      </c>
      <c r="N2528">
        <v>9719</v>
      </c>
      <c r="O2528">
        <v>1</v>
      </c>
      <c r="P2528" t="s">
        <v>27</v>
      </c>
      <c r="Q2528" s="1">
        <v>44533</v>
      </c>
    </row>
    <row r="2529" spans="1:17" x14ac:dyDescent="0.3">
      <c r="A2529" t="s">
        <v>35</v>
      </c>
      <c r="B2529" t="s">
        <v>47</v>
      </c>
      <c r="C2529" t="s">
        <v>52</v>
      </c>
      <c r="D2529" t="s">
        <v>46</v>
      </c>
      <c r="E2529" t="s">
        <v>43</v>
      </c>
      <c r="F2529" s="9">
        <v>0.06</v>
      </c>
      <c r="G2529" s="10">
        <v>15732</v>
      </c>
      <c r="H2529">
        <v>7.78</v>
      </c>
      <c r="I2529" s="5">
        <f>ROUND(Marketing[[#This Row],[Clicks]]*Marketing[[#This Row],[Conversion_Rate]],0)</f>
        <v>44</v>
      </c>
      <c r="J2529" s="12">
        <f>Marketing[[#This Row],[Campaign_Cost]]/Marketing[[#This Row],[Customers]]</f>
        <v>357.54545454545456</v>
      </c>
      <c r="K2529" t="s">
        <v>38</v>
      </c>
      <c r="L2529" t="s">
        <v>33</v>
      </c>
      <c r="M2529">
        <v>730</v>
      </c>
      <c r="N2529">
        <v>1487</v>
      </c>
      <c r="O2529">
        <v>3</v>
      </c>
      <c r="P2529" t="s">
        <v>21</v>
      </c>
      <c r="Q2529" s="1">
        <v>44534</v>
      </c>
    </row>
    <row r="2530" spans="1:17" x14ac:dyDescent="0.3">
      <c r="A2530" t="s">
        <v>22</v>
      </c>
      <c r="B2530" t="s">
        <v>36</v>
      </c>
      <c r="C2530" t="s">
        <v>30</v>
      </c>
      <c r="D2530" t="s">
        <v>46</v>
      </c>
      <c r="E2530" t="s">
        <v>15</v>
      </c>
      <c r="F2530" s="9">
        <v>7.0000000000000007E-2</v>
      </c>
      <c r="G2530" s="10">
        <v>12207</v>
      </c>
      <c r="H2530">
        <v>6.33</v>
      </c>
      <c r="I2530" s="5">
        <f>ROUND(Marketing[[#This Row],[Clicks]]*Marketing[[#This Row],[Conversion_Rate]],0)</f>
        <v>31</v>
      </c>
      <c r="J2530" s="12">
        <f>Marketing[[#This Row],[Campaign_Cost]]/Marketing[[#This Row],[Customers]]</f>
        <v>393.77419354838707</v>
      </c>
      <c r="K2530" t="s">
        <v>25</v>
      </c>
      <c r="L2530" t="s">
        <v>20</v>
      </c>
      <c r="M2530">
        <v>441</v>
      </c>
      <c r="N2530">
        <v>5181</v>
      </c>
      <c r="O2530">
        <v>10</v>
      </c>
      <c r="P2530" t="s">
        <v>21</v>
      </c>
      <c r="Q2530" s="1">
        <v>44535</v>
      </c>
    </row>
    <row r="2531" spans="1:17" x14ac:dyDescent="0.3">
      <c r="A2531" t="s">
        <v>28</v>
      </c>
      <c r="B2531" t="s">
        <v>29</v>
      </c>
      <c r="C2531" t="s">
        <v>23</v>
      </c>
      <c r="D2531" t="s">
        <v>40</v>
      </c>
      <c r="E2531" t="s">
        <v>43</v>
      </c>
      <c r="F2531" s="9">
        <v>0.03</v>
      </c>
      <c r="G2531" s="10">
        <v>11746</v>
      </c>
      <c r="H2531">
        <v>7.12</v>
      </c>
      <c r="I2531" s="5">
        <f>ROUND(Marketing[[#This Row],[Clicks]]*Marketing[[#This Row],[Conversion_Rate]],0)</f>
        <v>22</v>
      </c>
      <c r="J2531" s="12">
        <f>Marketing[[#This Row],[Campaign_Cost]]/Marketing[[#This Row],[Customers]]</f>
        <v>533.90909090909088</v>
      </c>
      <c r="K2531" t="s">
        <v>25</v>
      </c>
      <c r="L2531" t="s">
        <v>26</v>
      </c>
      <c r="M2531">
        <v>743</v>
      </c>
      <c r="N2531">
        <v>8149</v>
      </c>
      <c r="O2531">
        <v>1</v>
      </c>
      <c r="P2531" t="s">
        <v>27</v>
      </c>
      <c r="Q2531" s="1">
        <v>44536</v>
      </c>
    </row>
    <row r="2532" spans="1:17" x14ac:dyDescent="0.3">
      <c r="A2532" t="s">
        <v>22</v>
      </c>
      <c r="B2532" t="s">
        <v>36</v>
      </c>
      <c r="C2532" t="s">
        <v>52</v>
      </c>
      <c r="D2532" t="s">
        <v>24</v>
      </c>
      <c r="E2532" t="s">
        <v>43</v>
      </c>
      <c r="F2532" s="9">
        <v>0.02</v>
      </c>
      <c r="G2532" s="10">
        <v>18051</v>
      </c>
      <c r="H2532">
        <v>2.67</v>
      </c>
      <c r="I2532" s="5">
        <f>ROUND(Marketing[[#This Row],[Clicks]]*Marketing[[#This Row],[Conversion_Rate]],0)</f>
        <v>18</v>
      </c>
      <c r="J2532" s="12">
        <f>Marketing[[#This Row],[Campaign_Cost]]/Marketing[[#This Row],[Customers]]</f>
        <v>1002.8333333333334</v>
      </c>
      <c r="K2532" t="s">
        <v>19</v>
      </c>
      <c r="L2532" t="s">
        <v>50</v>
      </c>
      <c r="M2532">
        <v>923</v>
      </c>
      <c r="N2532">
        <v>2527</v>
      </c>
      <c r="O2532">
        <v>8</v>
      </c>
      <c r="P2532" t="s">
        <v>42</v>
      </c>
      <c r="Q2532" s="1">
        <v>44537</v>
      </c>
    </row>
    <row r="2533" spans="1:17" x14ac:dyDescent="0.3">
      <c r="A2533" t="s">
        <v>14</v>
      </c>
      <c r="B2533" t="s">
        <v>36</v>
      </c>
      <c r="C2533" t="s">
        <v>52</v>
      </c>
      <c r="D2533" t="s">
        <v>17</v>
      </c>
      <c r="E2533" t="s">
        <v>31</v>
      </c>
      <c r="F2533" s="9">
        <v>0.06</v>
      </c>
      <c r="G2533" s="10">
        <v>11711</v>
      </c>
      <c r="H2533">
        <v>2.73</v>
      </c>
      <c r="I2533" s="5">
        <f>ROUND(Marketing[[#This Row],[Clicks]]*Marketing[[#This Row],[Conversion_Rate]],0)</f>
        <v>46</v>
      </c>
      <c r="J2533" s="12">
        <f>Marketing[[#This Row],[Campaign_Cost]]/Marketing[[#This Row],[Customers]]</f>
        <v>254.58695652173913</v>
      </c>
      <c r="K2533" t="s">
        <v>38</v>
      </c>
      <c r="L2533" t="s">
        <v>50</v>
      </c>
      <c r="M2533">
        <v>770</v>
      </c>
      <c r="N2533">
        <v>8512</v>
      </c>
      <c r="O2533">
        <v>2</v>
      </c>
      <c r="P2533" t="s">
        <v>42</v>
      </c>
      <c r="Q2533" s="1">
        <v>44538</v>
      </c>
    </row>
    <row r="2534" spans="1:17" x14ac:dyDescent="0.3">
      <c r="A2534" t="s">
        <v>14</v>
      </c>
      <c r="B2534" t="s">
        <v>36</v>
      </c>
      <c r="C2534" t="s">
        <v>30</v>
      </c>
      <c r="D2534" t="s">
        <v>17</v>
      </c>
      <c r="E2534" t="s">
        <v>43</v>
      </c>
      <c r="F2534" s="9">
        <v>0.05</v>
      </c>
      <c r="G2534" s="10">
        <v>10113</v>
      </c>
      <c r="H2534">
        <v>3.53</v>
      </c>
      <c r="I2534" s="5">
        <f>ROUND(Marketing[[#This Row],[Clicks]]*Marketing[[#This Row],[Conversion_Rate]],0)</f>
        <v>28</v>
      </c>
      <c r="J2534" s="12">
        <f>Marketing[[#This Row],[Campaign_Cost]]/Marketing[[#This Row],[Customers]]</f>
        <v>361.17857142857144</v>
      </c>
      <c r="K2534" t="s">
        <v>25</v>
      </c>
      <c r="L2534" t="s">
        <v>50</v>
      </c>
      <c r="M2534">
        <v>561</v>
      </c>
      <c r="N2534">
        <v>9183</v>
      </c>
      <c r="O2534">
        <v>2</v>
      </c>
      <c r="P2534" t="s">
        <v>34</v>
      </c>
      <c r="Q2534" s="1">
        <v>44539</v>
      </c>
    </row>
    <row r="2535" spans="1:17" x14ac:dyDescent="0.3">
      <c r="A2535" t="s">
        <v>28</v>
      </c>
      <c r="B2535" t="s">
        <v>45</v>
      </c>
      <c r="C2535" t="s">
        <v>37</v>
      </c>
      <c r="D2535" t="s">
        <v>40</v>
      </c>
      <c r="E2535" t="s">
        <v>43</v>
      </c>
      <c r="F2535" s="9">
        <v>0.09</v>
      </c>
      <c r="G2535" s="10">
        <v>15370</v>
      </c>
      <c r="H2535">
        <v>6.41</v>
      </c>
      <c r="I2535" s="5">
        <f>ROUND(Marketing[[#This Row],[Clicks]]*Marketing[[#This Row],[Conversion_Rate]],0)</f>
        <v>17</v>
      </c>
      <c r="J2535" s="12">
        <f>Marketing[[#This Row],[Campaign_Cost]]/Marketing[[#This Row],[Customers]]</f>
        <v>904.11764705882354</v>
      </c>
      <c r="K2535" t="s">
        <v>25</v>
      </c>
      <c r="L2535" t="s">
        <v>39</v>
      </c>
      <c r="M2535">
        <v>194</v>
      </c>
      <c r="N2535">
        <v>9244</v>
      </c>
      <c r="O2535">
        <v>6</v>
      </c>
      <c r="P2535" t="s">
        <v>42</v>
      </c>
      <c r="Q2535" s="1">
        <v>44540</v>
      </c>
    </row>
    <row r="2536" spans="1:17" x14ac:dyDescent="0.3">
      <c r="A2536" t="s">
        <v>35</v>
      </c>
      <c r="B2536" t="s">
        <v>36</v>
      </c>
      <c r="C2536" t="s">
        <v>37</v>
      </c>
      <c r="D2536" t="s">
        <v>24</v>
      </c>
      <c r="E2536" t="s">
        <v>15</v>
      </c>
      <c r="F2536" s="9">
        <v>0.1</v>
      </c>
      <c r="G2536" s="10">
        <v>18592</v>
      </c>
      <c r="H2536">
        <v>6.37</v>
      </c>
      <c r="I2536" s="5">
        <f>ROUND(Marketing[[#This Row],[Clicks]]*Marketing[[#This Row],[Conversion_Rate]],0)</f>
        <v>50</v>
      </c>
      <c r="J2536" s="12">
        <f>Marketing[[#This Row],[Campaign_Cost]]/Marketing[[#This Row],[Customers]]</f>
        <v>371.84</v>
      </c>
      <c r="K2536" t="s">
        <v>25</v>
      </c>
      <c r="L2536" t="s">
        <v>20</v>
      </c>
      <c r="M2536">
        <v>497</v>
      </c>
      <c r="N2536">
        <v>4851</v>
      </c>
      <c r="O2536">
        <v>3</v>
      </c>
      <c r="P2536" t="s">
        <v>44</v>
      </c>
      <c r="Q2536" s="1">
        <v>44541</v>
      </c>
    </row>
    <row r="2537" spans="1:17" x14ac:dyDescent="0.3">
      <c r="A2537" t="s">
        <v>22</v>
      </c>
      <c r="B2537" t="s">
        <v>29</v>
      </c>
      <c r="C2537" t="s">
        <v>52</v>
      </c>
      <c r="D2537" t="s">
        <v>46</v>
      </c>
      <c r="E2537" t="s">
        <v>18</v>
      </c>
      <c r="F2537" s="9">
        <v>0.04</v>
      </c>
      <c r="G2537" s="10">
        <v>18587</v>
      </c>
      <c r="H2537">
        <v>3.23</v>
      </c>
      <c r="I2537" s="5">
        <f>ROUND(Marketing[[#This Row],[Clicks]]*Marketing[[#This Row],[Conversion_Rate]],0)</f>
        <v>21</v>
      </c>
      <c r="J2537" s="12">
        <f>Marketing[[#This Row],[Campaign_Cost]]/Marketing[[#This Row],[Customers]]</f>
        <v>885.09523809523807</v>
      </c>
      <c r="K2537" t="s">
        <v>38</v>
      </c>
      <c r="L2537" t="s">
        <v>39</v>
      </c>
      <c r="M2537">
        <v>535</v>
      </c>
      <c r="N2537">
        <v>7051</v>
      </c>
      <c r="O2537">
        <v>9</v>
      </c>
      <c r="P2537" t="s">
        <v>44</v>
      </c>
      <c r="Q2537" s="1">
        <v>44542</v>
      </c>
    </row>
    <row r="2538" spans="1:17" x14ac:dyDescent="0.3">
      <c r="A2538" t="s">
        <v>28</v>
      </c>
      <c r="B2538" t="s">
        <v>45</v>
      </c>
      <c r="C2538" t="s">
        <v>23</v>
      </c>
      <c r="D2538" t="s">
        <v>17</v>
      </c>
      <c r="E2538" t="s">
        <v>41</v>
      </c>
      <c r="F2538" s="9">
        <v>0.11</v>
      </c>
      <c r="G2538" s="10">
        <v>8337</v>
      </c>
      <c r="H2538">
        <v>6.37</v>
      </c>
      <c r="I2538" s="5">
        <f>ROUND(Marketing[[#This Row],[Clicks]]*Marketing[[#This Row],[Conversion_Rate]],0)</f>
        <v>32</v>
      </c>
      <c r="J2538" s="12">
        <f>Marketing[[#This Row],[Campaign_Cost]]/Marketing[[#This Row],[Customers]]</f>
        <v>260.53125</v>
      </c>
      <c r="K2538" t="s">
        <v>32</v>
      </c>
      <c r="L2538" t="s">
        <v>50</v>
      </c>
      <c r="M2538">
        <v>294</v>
      </c>
      <c r="N2538">
        <v>4158</v>
      </c>
      <c r="O2538">
        <v>5</v>
      </c>
      <c r="P2538" t="s">
        <v>34</v>
      </c>
      <c r="Q2538" s="1">
        <v>44543</v>
      </c>
    </row>
    <row r="2539" spans="1:17" x14ac:dyDescent="0.3">
      <c r="A2539" t="s">
        <v>49</v>
      </c>
      <c r="B2539" t="s">
        <v>15</v>
      </c>
      <c r="C2539" t="s">
        <v>37</v>
      </c>
      <c r="D2539" t="s">
        <v>17</v>
      </c>
      <c r="E2539" t="s">
        <v>43</v>
      </c>
      <c r="F2539" s="9">
        <v>0.03</v>
      </c>
      <c r="G2539" s="10">
        <v>8538</v>
      </c>
      <c r="H2539">
        <v>2.34</v>
      </c>
      <c r="I2539" s="5">
        <f>ROUND(Marketing[[#This Row],[Clicks]]*Marketing[[#This Row],[Conversion_Rate]],0)</f>
        <v>30</v>
      </c>
      <c r="J2539" s="12">
        <f>Marketing[[#This Row],[Campaign_Cost]]/Marketing[[#This Row],[Customers]]</f>
        <v>284.60000000000002</v>
      </c>
      <c r="K2539" t="s">
        <v>19</v>
      </c>
      <c r="L2539" t="s">
        <v>33</v>
      </c>
      <c r="M2539">
        <v>995</v>
      </c>
      <c r="N2539">
        <v>6249</v>
      </c>
      <c r="O2539">
        <v>8</v>
      </c>
      <c r="P2539" t="s">
        <v>21</v>
      </c>
      <c r="Q2539" s="1">
        <v>44544</v>
      </c>
    </row>
    <row r="2540" spans="1:17" x14ac:dyDescent="0.3">
      <c r="A2540" t="s">
        <v>35</v>
      </c>
      <c r="B2540" t="s">
        <v>47</v>
      </c>
      <c r="C2540" t="s">
        <v>30</v>
      </c>
      <c r="D2540" t="s">
        <v>46</v>
      </c>
      <c r="E2540" t="s">
        <v>48</v>
      </c>
      <c r="F2540" s="9">
        <v>7.0000000000000007E-2</v>
      </c>
      <c r="G2540" s="10">
        <v>16461</v>
      </c>
      <c r="H2540">
        <v>5.86</v>
      </c>
      <c r="I2540" s="5">
        <f>ROUND(Marketing[[#This Row],[Clicks]]*Marketing[[#This Row],[Conversion_Rate]],0)</f>
        <v>35</v>
      </c>
      <c r="J2540" s="12">
        <f>Marketing[[#This Row],[Campaign_Cost]]/Marketing[[#This Row],[Customers]]</f>
        <v>470.31428571428569</v>
      </c>
      <c r="K2540" t="s">
        <v>32</v>
      </c>
      <c r="L2540" t="s">
        <v>50</v>
      </c>
      <c r="M2540">
        <v>493</v>
      </c>
      <c r="N2540">
        <v>7571</v>
      </c>
      <c r="O2540">
        <v>7</v>
      </c>
      <c r="P2540" t="s">
        <v>34</v>
      </c>
      <c r="Q2540" s="1">
        <v>44545</v>
      </c>
    </row>
    <row r="2541" spans="1:17" x14ac:dyDescent="0.3">
      <c r="A2541" t="s">
        <v>22</v>
      </c>
      <c r="B2541" t="s">
        <v>47</v>
      </c>
      <c r="C2541" t="s">
        <v>16</v>
      </c>
      <c r="D2541" t="s">
        <v>24</v>
      </c>
      <c r="E2541" t="s">
        <v>48</v>
      </c>
      <c r="F2541" s="9">
        <v>0.12</v>
      </c>
      <c r="G2541" s="10">
        <v>18504</v>
      </c>
      <c r="H2541">
        <v>7.98</v>
      </c>
      <c r="I2541" s="5">
        <f>ROUND(Marketing[[#This Row],[Clicks]]*Marketing[[#This Row],[Conversion_Rate]],0)</f>
        <v>21</v>
      </c>
      <c r="J2541" s="12">
        <f>Marketing[[#This Row],[Campaign_Cost]]/Marketing[[#This Row],[Customers]]</f>
        <v>881.14285714285711</v>
      </c>
      <c r="K2541" t="s">
        <v>38</v>
      </c>
      <c r="L2541" t="s">
        <v>39</v>
      </c>
      <c r="M2541">
        <v>178</v>
      </c>
      <c r="N2541">
        <v>2945</v>
      </c>
      <c r="O2541">
        <v>10</v>
      </c>
      <c r="P2541" t="s">
        <v>42</v>
      </c>
      <c r="Q2541" s="1">
        <v>44546</v>
      </c>
    </row>
    <row r="2542" spans="1:17" x14ac:dyDescent="0.3">
      <c r="A2542" t="s">
        <v>49</v>
      </c>
      <c r="B2542" t="s">
        <v>47</v>
      </c>
      <c r="C2542" t="s">
        <v>52</v>
      </c>
      <c r="D2542" t="s">
        <v>24</v>
      </c>
      <c r="E2542" t="s">
        <v>31</v>
      </c>
      <c r="F2542" s="9">
        <v>0.11</v>
      </c>
      <c r="G2542" s="10">
        <v>8070</v>
      </c>
      <c r="H2542">
        <v>2.59</v>
      </c>
      <c r="I2542" s="5">
        <f>ROUND(Marketing[[#This Row],[Clicks]]*Marketing[[#This Row],[Conversion_Rate]],0)</f>
        <v>96</v>
      </c>
      <c r="J2542" s="12">
        <f>Marketing[[#This Row],[Campaign_Cost]]/Marketing[[#This Row],[Customers]]</f>
        <v>84.0625</v>
      </c>
      <c r="K2542" t="s">
        <v>25</v>
      </c>
      <c r="L2542" t="s">
        <v>33</v>
      </c>
      <c r="M2542">
        <v>874</v>
      </c>
      <c r="N2542">
        <v>2464</v>
      </c>
      <c r="O2542">
        <v>6</v>
      </c>
      <c r="P2542" t="s">
        <v>42</v>
      </c>
      <c r="Q2542" s="1">
        <v>44547</v>
      </c>
    </row>
    <row r="2543" spans="1:17" x14ac:dyDescent="0.3">
      <c r="A2543" t="s">
        <v>35</v>
      </c>
      <c r="B2543" t="s">
        <v>47</v>
      </c>
      <c r="C2543" t="s">
        <v>30</v>
      </c>
      <c r="D2543" t="s">
        <v>40</v>
      </c>
      <c r="E2543" t="s">
        <v>31</v>
      </c>
      <c r="F2543" s="9">
        <v>7.0000000000000007E-2</v>
      </c>
      <c r="G2543" s="10">
        <v>17632</v>
      </c>
      <c r="H2543">
        <v>4.4400000000000004</v>
      </c>
      <c r="I2543" s="5">
        <f>ROUND(Marketing[[#This Row],[Clicks]]*Marketing[[#This Row],[Conversion_Rate]],0)</f>
        <v>23</v>
      </c>
      <c r="J2543" s="12">
        <f>Marketing[[#This Row],[Campaign_Cost]]/Marketing[[#This Row],[Customers]]</f>
        <v>766.60869565217388</v>
      </c>
      <c r="K2543" t="s">
        <v>38</v>
      </c>
      <c r="L2543" t="s">
        <v>50</v>
      </c>
      <c r="M2543">
        <v>331</v>
      </c>
      <c r="N2543">
        <v>8725</v>
      </c>
      <c r="O2543">
        <v>1</v>
      </c>
      <c r="P2543" t="s">
        <v>44</v>
      </c>
      <c r="Q2543" s="1">
        <v>44548</v>
      </c>
    </row>
    <row r="2544" spans="1:17" x14ac:dyDescent="0.3">
      <c r="A2544" t="s">
        <v>28</v>
      </c>
      <c r="B2544" t="s">
        <v>45</v>
      </c>
      <c r="C2544" t="s">
        <v>52</v>
      </c>
      <c r="D2544" t="s">
        <v>24</v>
      </c>
      <c r="E2544" t="s">
        <v>31</v>
      </c>
      <c r="F2544" s="9">
        <v>0.08</v>
      </c>
      <c r="G2544" s="10">
        <v>8475</v>
      </c>
      <c r="H2544">
        <v>2.5099999999999998</v>
      </c>
      <c r="I2544" s="5">
        <f>ROUND(Marketing[[#This Row],[Clicks]]*Marketing[[#This Row],[Conversion_Rate]],0)</f>
        <v>57</v>
      </c>
      <c r="J2544" s="12">
        <f>Marketing[[#This Row],[Campaign_Cost]]/Marketing[[#This Row],[Customers]]</f>
        <v>148.68421052631578</v>
      </c>
      <c r="K2544" t="s">
        <v>32</v>
      </c>
      <c r="L2544" t="s">
        <v>20</v>
      </c>
      <c r="M2544">
        <v>715</v>
      </c>
      <c r="N2544">
        <v>3907</v>
      </c>
      <c r="O2544">
        <v>3</v>
      </c>
      <c r="P2544" t="s">
        <v>44</v>
      </c>
      <c r="Q2544" s="1">
        <v>44549</v>
      </c>
    </row>
    <row r="2545" spans="1:17" x14ac:dyDescent="0.3">
      <c r="A2545" t="s">
        <v>28</v>
      </c>
      <c r="B2545" t="s">
        <v>45</v>
      </c>
      <c r="C2545" t="s">
        <v>30</v>
      </c>
      <c r="D2545" t="s">
        <v>46</v>
      </c>
      <c r="E2545" t="s">
        <v>18</v>
      </c>
      <c r="F2545" s="9">
        <v>0.03</v>
      </c>
      <c r="G2545" s="10">
        <v>7723</v>
      </c>
      <c r="H2545">
        <v>7.34</v>
      </c>
      <c r="I2545" s="5">
        <f>ROUND(Marketing[[#This Row],[Clicks]]*Marketing[[#This Row],[Conversion_Rate]],0)</f>
        <v>25</v>
      </c>
      <c r="J2545" s="12">
        <f>Marketing[[#This Row],[Campaign_Cost]]/Marketing[[#This Row],[Customers]]</f>
        <v>308.92</v>
      </c>
      <c r="K2545" t="s">
        <v>25</v>
      </c>
      <c r="L2545" t="s">
        <v>39</v>
      </c>
      <c r="M2545">
        <v>849</v>
      </c>
      <c r="N2545">
        <v>4399</v>
      </c>
      <c r="O2545">
        <v>6</v>
      </c>
      <c r="P2545" t="s">
        <v>27</v>
      </c>
      <c r="Q2545" s="1">
        <v>44550</v>
      </c>
    </row>
    <row r="2546" spans="1:17" x14ac:dyDescent="0.3">
      <c r="A2546" t="s">
        <v>22</v>
      </c>
      <c r="B2546" t="s">
        <v>45</v>
      </c>
      <c r="C2546" t="s">
        <v>52</v>
      </c>
      <c r="D2546" t="s">
        <v>17</v>
      </c>
      <c r="E2546" t="s">
        <v>41</v>
      </c>
      <c r="F2546" s="9">
        <v>0.08</v>
      </c>
      <c r="G2546" s="10">
        <v>12332</v>
      </c>
      <c r="H2546">
        <v>7.03</v>
      </c>
      <c r="I2546" s="5">
        <f>ROUND(Marketing[[#This Row],[Clicks]]*Marketing[[#This Row],[Conversion_Rate]],0)</f>
        <v>35</v>
      </c>
      <c r="J2546" s="12">
        <f>Marketing[[#This Row],[Campaign_Cost]]/Marketing[[#This Row],[Customers]]</f>
        <v>352.34285714285716</v>
      </c>
      <c r="K2546" t="s">
        <v>51</v>
      </c>
      <c r="L2546" t="s">
        <v>39</v>
      </c>
      <c r="M2546">
        <v>433</v>
      </c>
      <c r="N2546">
        <v>3727</v>
      </c>
      <c r="O2546">
        <v>8</v>
      </c>
      <c r="P2546" t="s">
        <v>42</v>
      </c>
      <c r="Q2546" s="1">
        <v>44551</v>
      </c>
    </row>
    <row r="2547" spans="1:17" x14ac:dyDescent="0.3">
      <c r="A2547" t="s">
        <v>22</v>
      </c>
      <c r="B2547" t="s">
        <v>47</v>
      </c>
      <c r="C2547" t="s">
        <v>23</v>
      </c>
      <c r="D2547" t="s">
        <v>24</v>
      </c>
      <c r="E2547" t="s">
        <v>43</v>
      </c>
      <c r="F2547" s="9">
        <v>0.09</v>
      </c>
      <c r="G2547" s="10">
        <v>17032</v>
      </c>
      <c r="H2547">
        <v>3.51</v>
      </c>
      <c r="I2547" s="5">
        <f>ROUND(Marketing[[#This Row],[Clicks]]*Marketing[[#This Row],[Conversion_Rate]],0)</f>
        <v>84</v>
      </c>
      <c r="J2547" s="12">
        <f>Marketing[[#This Row],[Campaign_Cost]]/Marketing[[#This Row],[Customers]]</f>
        <v>202.76190476190476</v>
      </c>
      <c r="K2547" t="s">
        <v>19</v>
      </c>
      <c r="L2547" t="s">
        <v>39</v>
      </c>
      <c r="M2547">
        <v>937</v>
      </c>
      <c r="N2547">
        <v>1223</v>
      </c>
      <c r="O2547">
        <v>1</v>
      </c>
      <c r="P2547" t="s">
        <v>21</v>
      </c>
      <c r="Q2547" s="1">
        <v>44552</v>
      </c>
    </row>
    <row r="2548" spans="1:17" x14ac:dyDescent="0.3">
      <c r="A2548" t="s">
        <v>28</v>
      </c>
      <c r="B2548" t="s">
        <v>45</v>
      </c>
      <c r="C2548" t="s">
        <v>23</v>
      </c>
      <c r="D2548" t="s">
        <v>24</v>
      </c>
      <c r="E2548" t="s">
        <v>41</v>
      </c>
      <c r="F2548" s="9">
        <v>0.1</v>
      </c>
      <c r="G2548" s="10">
        <v>14247</v>
      </c>
      <c r="H2548">
        <v>5.83</v>
      </c>
      <c r="I2548" s="5">
        <f>ROUND(Marketing[[#This Row],[Clicks]]*Marketing[[#This Row],[Conversion_Rate]],0)</f>
        <v>81</v>
      </c>
      <c r="J2548" s="12">
        <f>Marketing[[#This Row],[Campaign_Cost]]/Marketing[[#This Row],[Customers]]</f>
        <v>175.88888888888889</v>
      </c>
      <c r="K2548" t="s">
        <v>19</v>
      </c>
      <c r="L2548" t="s">
        <v>20</v>
      </c>
      <c r="M2548">
        <v>806</v>
      </c>
      <c r="N2548">
        <v>2322</v>
      </c>
      <c r="O2548">
        <v>4</v>
      </c>
      <c r="P2548" t="s">
        <v>42</v>
      </c>
      <c r="Q2548" s="1">
        <v>44553</v>
      </c>
    </row>
    <row r="2549" spans="1:17" x14ac:dyDescent="0.3">
      <c r="A2549" t="s">
        <v>49</v>
      </c>
      <c r="B2549" t="s">
        <v>29</v>
      </c>
      <c r="C2549" t="s">
        <v>16</v>
      </c>
      <c r="D2549" t="s">
        <v>46</v>
      </c>
      <c r="E2549" t="s">
        <v>18</v>
      </c>
      <c r="F2549" s="9">
        <v>0.12</v>
      </c>
      <c r="G2549" s="10">
        <v>7611</v>
      </c>
      <c r="H2549">
        <v>5.61</v>
      </c>
      <c r="I2549" s="5">
        <f>ROUND(Marketing[[#This Row],[Clicks]]*Marketing[[#This Row],[Conversion_Rate]],0)</f>
        <v>54</v>
      </c>
      <c r="J2549" s="12">
        <f>Marketing[[#This Row],[Campaign_Cost]]/Marketing[[#This Row],[Customers]]</f>
        <v>140.94444444444446</v>
      </c>
      <c r="K2549" t="s">
        <v>19</v>
      </c>
      <c r="L2549" t="s">
        <v>26</v>
      </c>
      <c r="M2549">
        <v>448</v>
      </c>
      <c r="N2549">
        <v>8154</v>
      </c>
      <c r="O2549">
        <v>5</v>
      </c>
      <c r="P2549" t="s">
        <v>21</v>
      </c>
      <c r="Q2549" s="1">
        <v>44554</v>
      </c>
    </row>
    <row r="2550" spans="1:17" x14ac:dyDescent="0.3">
      <c r="A2550" t="s">
        <v>35</v>
      </c>
      <c r="B2550" t="s">
        <v>29</v>
      </c>
      <c r="C2550" t="s">
        <v>37</v>
      </c>
      <c r="D2550" t="s">
        <v>24</v>
      </c>
      <c r="E2550" t="s">
        <v>31</v>
      </c>
      <c r="F2550" s="9">
        <v>0.11</v>
      </c>
      <c r="G2550" s="10">
        <v>5274</v>
      </c>
      <c r="H2550">
        <v>4.8899999999999997</v>
      </c>
      <c r="I2550" s="5">
        <f>ROUND(Marketing[[#This Row],[Clicks]]*Marketing[[#This Row],[Conversion_Rate]],0)</f>
        <v>64</v>
      </c>
      <c r="J2550" s="12">
        <f>Marketing[[#This Row],[Campaign_Cost]]/Marketing[[#This Row],[Customers]]</f>
        <v>82.40625</v>
      </c>
      <c r="K2550" t="s">
        <v>51</v>
      </c>
      <c r="L2550" t="s">
        <v>26</v>
      </c>
      <c r="M2550">
        <v>578</v>
      </c>
      <c r="N2550">
        <v>5464</v>
      </c>
      <c r="O2550">
        <v>4</v>
      </c>
      <c r="P2550" t="s">
        <v>42</v>
      </c>
      <c r="Q2550" s="1">
        <v>44555</v>
      </c>
    </row>
    <row r="2551" spans="1:17" x14ac:dyDescent="0.3">
      <c r="A2551" t="s">
        <v>49</v>
      </c>
      <c r="B2551" t="s">
        <v>15</v>
      </c>
      <c r="C2551" t="s">
        <v>16</v>
      </c>
      <c r="D2551" t="s">
        <v>24</v>
      </c>
      <c r="E2551" t="s">
        <v>41</v>
      </c>
      <c r="F2551" s="9">
        <v>0.02</v>
      </c>
      <c r="G2551" s="10">
        <v>6884</v>
      </c>
      <c r="H2551">
        <v>2.5099999999999998</v>
      </c>
      <c r="I2551" s="5">
        <f>ROUND(Marketing[[#This Row],[Clicks]]*Marketing[[#This Row],[Conversion_Rate]],0)</f>
        <v>10</v>
      </c>
      <c r="J2551" s="12">
        <f>Marketing[[#This Row],[Campaign_Cost]]/Marketing[[#This Row],[Customers]]</f>
        <v>688.4</v>
      </c>
      <c r="K2551" t="s">
        <v>51</v>
      </c>
      <c r="L2551" t="s">
        <v>50</v>
      </c>
      <c r="M2551">
        <v>489</v>
      </c>
      <c r="N2551">
        <v>8299</v>
      </c>
      <c r="O2551">
        <v>4</v>
      </c>
      <c r="P2551" t="s">
        <v>21</v>
      </c>
      <c r="Q2551" s="1">
        <v>44556</v>
      </c>
    </row>
    <row r="2552" spans="1:17" x14ac:dyDescent="0.3">
      <c r="A2552" t="s">
        <v>14</v>
      </c>
      <c r="B2552" t="s">
        <v>36</v>
      </c>
      <c r="C2552" t="s">
        <v>52</v>
      </c>
      <c r="D2552" t="s">
        <v>17</v>
      </c>
      <c r="E2552" t="s">
        <v>41</v>
      </c>
      <c r="F2552" s="9">
        <v>0.14000000000000001</v>
      </c>
      <c r="G2552" s="10">
        <v>13877</v>
      </c>
      <c r="H2552">
        <v>5.22</v>
      </c>
      <c r="I2552" s="5">
        <f>ROUND(Marketing[[#This Row],[Clicks]]*Marketing[[#This Row],[Conversion_Rate]],0)</f>
        <v>21</v>
      </c>
      <c r="J2552" s="12">
        <f>Marketing[[#This Row],[Campaign_Cost]]/Marketing[[#This Row],[Customers]]</f>
        <v>660.80952380952385</v>
      </c>
      <c r="K2552" t="s">
        <v>51</v>
      </c>
      <c r="L2552" t="s">
        <v>39</v>
      </c>
      <c r="M2552">
        <v>153</v>
      </c>
      <c r="N2552">
        <v>8151</v>
      </c>
      <c r="O2552">
        <v>6</v>
      </c>
      <c r="P2552" t="s">
        <v>42</v>
      </c>
      <c r="Q2552" s="1">
        <v>44557</v>
      </c>
    </row>
    <row r="2553" spans="1:17" x14ac:dyDescent="0.3">
      <c r="A2553" t="s">
        <v>22</v>
      </c>
      <c r="B2553" t="s">
        <v>29</v>
      </c>
      <c r="C2553" t="s">
        <v>23</v>
      </c>
      <c r="D2553" t="s">
        <v>40</v>
      </c>
      <c r="E2553" t="s">
        <v>31</v>
      </c>
      <c r="F2553" s="9">
        <v>0.14000000000000001</v>
      </c>
      <c r="G2553" s="10">
        <v>9261</v>
      </c>
      <c r="H2553">
        <v>5.59</v>
      </c>
      <c r="I2553" s="5">
        <f>ROUND(Marketing[[#This Row],[Clicks]]*Marketing[[#This Row],[Conversion_Rate]],0)</f>
        <v>100</v>
      </c>
      <c r="J2553" s="12">
        <f>Marketing[[#This Row],[Campaign_Cost]]/Marketing[[#This Row],[Customers]]</f>
        <v>92.61</v>
      </c>
      <c r="K2553" t="s">
        <v>38</v>
      </c>
      <c r="L2553" t="s">
        <v>50</v>
      </c>
      <c r="M2553">
        <v>717</v>
      </c>
      <c r="N2553">
        <v>1473</v>
      </c>
      <c r="O2553">
        <v>10</v>
      </c>
      <c r="P2553" t="s">
        <v>44</v>
      </c>
      <c r="Q2553" s="1">
        <v>44558</v>
      </c>
    </row>
    <row r="2554" spans="1:17" x14ac:dyDescent="0.3">
      <c r="A2554" t="s">
        <v>49</v>
      </c>
      <c r="B2554" t="s">
        <v>47</v>
      </c>
      <c r="C2554" t="s">
        <v>30</v>
      </c>
      <c r="D2554" t="s">
        <v>17</v>
      </c>
      <c r="E2554" t="s">
        <v>31</v>
      </c>
      <c r="F2554" s="9">
        <v>0.13</v>
      </c>
      <c r="G2554" s="10">
        <v>11621</v>
      </c>
      <c r="H2554">
        <v>7.73</v>
      </c>
      <c r="I2554" s="5">
        <f>ROUND(Marketing[[#This Row],[Clicks]]*Marketing[[#This Row],[Conversion_Rate]],0)</f>
        <v>109</v>
      </c>
      <c r="J2554" s="12">
        <f>Marketing[[#This Row],[Campaign_Cost]]/Marketing[[#This Row],[Customers]]</f>
        <v>106.61467889908256</v>
      </c>
      <c r="K2554" t="s">
        <v>51</v>
      </c>
      <c r="L2554" t="s">
        <v>26</v>
      </c>
      <c r="M2554">
        <v>841</v>
      </c>
      <c r="N2554">
        <v>6327</v>
      </c>
      <c r="O2554">
        <v>4</v>
      </c>
      <c r="P2554" t="s">
        <v>21</v>
      </c>
      <c r="Q2554" s="1">
        <v>44559</v>
      </c>
    </row>
    <row r="2555" spans="1:17" x14ac:dyDescent="0.3">
      <c r="A2555" t="s">
        <v>35</v>
      </c>
      <c r="B2555" t="s">
        <v>15</v>
      </c>
      <c r="C2555" t="s">
        <v>37</v>
      </c>
      <c r="D2555" t="s">
        <v>17</v>
      </c>
      <c r="E2555" t="s">
        <v>43</v>
      </c>
      <c r="F2555" s="9">
        <v>0.11</v>
      </c>
      <c r="G2555" s="10">
        <v>5969</v>
      </c>
      <c r="H2555">
        <v>5.85</v>
      </c>
      <c r="I2555" s="5">
        <f>ROUND(Marketing[[#This Row],[Clicks]]*Marketing[[#This Row],[Conversion_Rate]],0)</f>
        <v>27</v>
      </c>
      <c r="J2555" s="12">
        <f>Marketing[[#This Row],[Campaign_Cost]]/Marketing[[#This Row],[Customers]]</f>
        <v>221.07407407407408</v>
      </c>
      <c r="K2555" t="s">
        <v>25</v>
      </c>
      <c r="L2555" t="s">
        <v>33</v>
      </c>
      <c r="M2555">
        <v>242</v>
      </c>
      <c r="N2555">
        <v>2653</v>
      </c>
      <c r="O2555">
        <v>9</v>
      </c>
      <c r="P2555" t="s">
        <v>42</v>
      </c>
      <c r="Q2555" s="1">
        <v>44560</v>
      </c>
    </row>
    <row r="2556" spans="1:17" x14ac:dyDescent="0.3">
      <c r="A2556" t="s">
        <v>14</v>
      </c>
      <c r="B2556" t="s">
        <v>15</v>
      </c>
      <c r="C2556" t="s">
        <v>30</v>
      </c>
      <c r="D2556" t="s">
        <v>24</v>
      </c>
      <c r="E2556" t="s">
        <v>43</v>
      </c>
      <c r="F2556" s="9">
        <v>0.04</v>
      </c>
      <c r="G2556" s="10">
        <v>14823</v>
      </c>
      <c r="H2556">
        <v>4.9400000000000004</v>
      </c>
      <c r="I2556" s="5">
        <f>ROUND(Marketing[[#This Row],[Clicks]]*Marketing[[#This Row],[Conversion_Rate]],0)</f>
        <v>16</v>
      </c>
      <c r="J2556" s="12">
        <f>Marketing[[#This Row],[Campaign_Cost]]/Marketing[[#This Row],[Customers]]</f>
        <v>926.4375</v>
      </c>
      <c r="K2556" t="s">
        <v>32</v>
      </c>
      <c r="L2556" t="s">
        <v>50</v>
      </c>
      <c r="M2556">
        <v>390</v>
      </c>
      <c r="N2556">
        <v>4841</v>
      </c>
      <c r="O2556">
        <v>2</v>
      </c>
      <c r="P2556" t="s">
        <v>42</v>
      </c>
      <c r="Q2556" s="1">
        <v>44561</v>
      </c>
    </row>
    <row r="2557" spans="1:17" x14ac:dyDescent="0.3">
      <c r="A2557" t="s">
        <v>35</v>
      </c>
      <c r="B2557" t="s">
        <v>36</v>
      </c>
      <c r="C2557" t="s">
        <v>30</v>
      </c>
      <c r="D2557" t="s">
        <v>40</v>
      </c>
      <c r="E2557" t="s">
        <v>48</v>
      </c>
      <c r="F2557" s="9">
        <v>0.14000000000000001</v>
      </c>
      <c r="G2557" s="10">
        <v>5905</v>
      </c>
      <c r="H2557">
        <v>5.3</v>
      </c>
      <c r="I2557" s="5">
        <f>ROUND(Marketing[[#This Row],[Clicks]]*Marketing[[#This Row],[Conversion_Rate]],0)</f>
        <v>120</v>
      </c>
      <c r="J2557" s="12">
        <f>Marketing[[#This Row],[Campaign_Cost]]/Marketing[[#This Row],[Customers]]</f>
        <v>49.208333333333336</v>
      </c>
      <c r="K2557" t="s">
        <v>38</v>
      </c>
      <c r="L2557" t="s">
        <v>20</v>
      </c>
      <c r="M2557">
        <v>858</v>
      </c>
      <c r="N2557">
        <v>6286</v>
      </c>
      <c r="O2557">
        <v>9</v>
      </c>
      <c r="P2557" t="s">
        <v>27</v>
      </c>
      <c r="Q2557" s="1">
        <v>44197</v>
      </c>
    </row>
    <row r="2558" spans="1:17" x14ac:dyDescent="0.3">
      <c r="A2558" t="s">
        <v>22</v>
      </c>
      <c r="B2558" t="s">
        <v>45</v>
      </c>
      <c r="C2558" t="s">
        <v>37</v>
      </c>
      <c r="D2558" t="s">
        <v>24</v>
      </c>
      <c r="E2558" t="s">
        <v>18</v>
      </c>
      <c r="F2558" s="9">
        <v>0.03</v>
      </c>
      <c r="G2558" s="10">
        <v>6671</v>
      </c>
      <c r="H2558">
        <v>7.49</v>
      </c>
      <c r="I2558" s="5">
        <f>ROUND(Marketing[[#This Row],[Clicks]]*Marketing[[#This Row],[Conversion_Rate]],0)</f>
        <v>6</v>
      </c>
      <c r="J2558" s="12">
        <f>Marketing[[#This Row],[Campaign_Cost]]/Marketing[[#This Row],[Customers]]</f>
        <v>1111.8333333333333</v>
      </c>
      <c r="K2558" t="s">
        <v>19</v>
      </c>
      <c r="L2558" t="s">
        <v>33</v>
      </c>
      <c r="M2558">
        <v>205</v>
      </c>
      <c r="N2558">
        <v>5456</v>
      </c>
      <c r="O2558">
        <v>1</v>
      </c>
      <c r="P2558" t="s">
        <v>27</v>
      </c>
      <c r="Q2558" s="1">
        <v>44198</v>
      </c>
    </row>
    <row r="2559" spans="1:17" x14ac:dyDescent="0.3">
      <c r="A2559" t="s">
        <v>14</v>
      </c>
      <c r="B2559" t="s">
        <v>47</v>
      </c>
      <c r="C2559" t="s">
        <v>30</v>
      </c>
      <c r="D2559" t="s">
        <v>24</v>
      </c>
      <c r="E2559" t="s">
        <v>18</v>
      </c>
      <c r="F2559" s="9">
        <v>0.12</v>
      </c>
      <c r="G2559" s="10">
        <v>8323</v>
      </c>
      <c r="H2559">
        <v>4.21</v>
      </c>
      <c r="I2559" s="5">
        <f>ROUND(Marketing[[#This Row],[Clicks]]*Marketing[[#This Row],[Conversion_Rate]],0)</f>
        <v>63</v>
      </c>
      <c r="J2559" s="12">
        <f>Marketing[[#This Row],[Campaign_Cost]]/Marketing[[#This Row],[Customers]]</f>
        <v>132.11111111111111</v>
      </c>
      <c r="K2559" t="s">
        <v>25</v>
      </c>
      <c r="L2559" t="s">
        <v>20</v>
      </c>
      <c r="M2559">
        <v>529</v>
      </c>
      <c r="N2559">
        <v>8603</v>
      </c>
      <c r="O2559">
        <v>8</v>
      </c>
      <c r="P2559" t="s">
        <v>27</v>
      </c>
      <c r="Q2559" s="1">
        <v>44199</v>
      </c>
    </row>
    <row r="2560" spans="1:17" x14ac:dyDescent="0.3">
      <c r="A2560" t="s">
        <v>22</v>
      </c>
      <c r="B2560" t="s">
        <v>45</v>
      </c>
      <c r="C2560" t="s">
        <v>37</v>
      </c>
      <c r="D2560" t="s">
        <v>40</v>
      </c>
      <c r="E2560" t="s">
        <v>15</v>
      </c>
      <c r="F2560" s="9">
        <v>0.08</v>
      </c>
      <c r="G2560" s="10">
        <v>19656</v>
      </c>
      <c r="H2560">
        <v>4.3600000000000003</v>
      </c>
      <c r="I2560" s="5">
        <f>ROUND(Marketing[[#This Row],[Clicks]]*Marketing[[#This Row],[Conversion_Rate]],0)</f>
        <v>40</v>
      </c>
      <c r="J2560" s="12">
        <f>Marketing[[#This Row],[Campaign_Cost]]/Marketing[[#This Row],[Customers]]</f>
        <v>491.4</v>
      </c>
      <c r="K2560" t="s">
        <v>51</v>
      </c>
      <c r="L2560" t="s">
        <v>20</v>
      </c>
      <c r="M2560">
        <v>505</v>
      </c>
      <c r="N2560">
        <v>6759</v>
      </c>
      <c r="O2560">
        <v>8</v>
      </c>
      <c r="P2560" t="s">
        <v>34</v>
      </c>
      <c r="Q2560" s="1">
        <v>44200</v>
      </c>
    </row>
    <row r="2561" spans="1:17" x14ac:dyDescent="0.3">
      <c r="A2561" t="s">
        <v>22</v>
      </c>
      <c r="B2561" t="s">
        <v>36</v>
      </c>
      <c r="C2561" t="s">
        <v>30</v>
      </c>
      <c r="D2561" t="s">
        <v>40</v>
      </c>
      <c r="E2561" t="s">
        <v>41</v>
      </c>
      <c r="F2561" s="9">
        <v>0.13</v>
      </c>
      <c r="G2561" s="10">
        <v>9755</v>
      </c>
      <c r="H2561">
        <v>3.64</v>
      </c>
      <c r="I2561" s="5">
        <f>ROUND(Marketing[[#This Row],[Clicks]]*Marketing[[#This Row],[Conversion_Rate]],0)</f>
        <v>63</v>
      </c>
      <c r="J2561" s="12">
        <f>Marketing[[#This Row],[Campaign_Cost]]/Marketing[[#This Row],[Customers]]</f>
        <v>154.84126984126985</v>
      </c>
      <c r="K2561" t="s">
        <v>19</v>
      </c>
      <c r="L2561" t="s">
        <v>20</v>
      </c>
      <c r="M2561">
        <v>483</v>
      </c>
      <c r="N2561">
        <v>2005</v>
      </c>
      <c r="O2561">
        <v>6</v>
      </c>
      <c r="P2561" t="s">
        <v>42</v>
      </c>
      <c r="Q2561" s="1">
        <v>44201</v>
      </c>
    </row>
    <row r="2562" spans="1:17" x14ac:dyDescent="0.3">
      <c r="A2562" t="s">
        <v>22</v>
      </c>
      <c r="B2562" t="s">
        <v>29</v>
      </c>
      <c r="C2562" t="s">
        <v>23</v>
      </c>
      <c r="D2562" t="s">
        <v>24</v>
      </c>
      <c r="E2562" t="s">
        <v>18</v>
      </c>
      <c r="F2562" s="9">
        <v>0.1</v>
      </c>
      <c r="G2562" s="10">
        <v>7016</v>
      </c>
      <c r="H2562">
        <v>6.38</v>
      </c>
      <c r="I2562" s="5">
        <f>ROUND(Marketing[[#This Row],[Clicks]]*Marketing[[#This Row],[Conversion_Rate]],0)</f>
        <v>33</v>
      </c>
      <c r="J2562" s="12">
        <f>Marketing[[#This Row],[Campaign_Cost]]/Marketing[[#This Row],[Customers]]</f>
        <v>212.60606060606059</v>
      </c>
      <c r="K2562" t="s">
        <v>51</v>
      </c>
      <c r="L2562" t="s">
        <v>26</v>
      </c>
      <c r="M2562">
        <v>332</v>
      </c>
      <c r="N2562">
        <v>9967</v>
      </c>
      <c r="O2562">
        <v>9</v>
      </c>
      <c r="P2562" t="s">
        <v>27</v>
      </c>
      <c r="Q2562" s="1">
        <v>44202</v>
      </c>
    </row>
    <row r="2563" spans="1:17" x14ac:dyDescent="0.3">
      <c r="A2563" t="s">
        <v>49</v>
      </c>
      <c r="B2563" t="s">
        <v>36</v>
      </c>
      <c r="C2563" t="s">
        <v>37</v>
      </c>
      <c r="D2563" t="s">
        <v>17</v>
      </c>
      <c r="E2563" t="s">
        <v>31</v>
      </c>
      <c r="F2563" s="9">
        <v>0.08</v>
      </c>
      <c r="G2563" s="10">
        <v>6098</v>
      </c>
      <c r="H2563">
        <v>5.45</v>
      </c>
      <c r="I2563" s="5">
        <f>ROUND(Marketing[[#This Row],[Clicks]]*Marketing[[#This Row],[Conversion_Rate]],0)</f>
        <v>74</v>
      </c>
      <c r="J2563" s="12">
        <f>Marketing[[#This Row],[Campaign_Cost]]/Marketing[[#This Row],[Customers]]</f>
        <v>82.405405405405403</v>
      </c>
      <c r="K2563" t="s">
        <v>32</v>
      </c>
      <c r="L2563" t="s">
        <v>20</v>
      </c>
      <c r="M2563">
        <v>925</v>
      </c>
      <c r="N2563">
        <v>5747</v>
      </c>
      <c r="O2563">
        <v>8</v>
      </c>
      <c r="P2563" t="s">
        <v>42</v>
      </c>
      <c r="Q2563" s="1">
        <v>44203</v>
      </c>
    </row>
    <row r="2564" spans="1:17" x14ac:dyDescent="0.3">
      <c r="A2564" t="s">
        <v>35</v>
      </c>
      <c r="B2564" t="s">
        <v>45</v>
      </c>
      <c r="C2564" t="s">
        <v>16</v>
      </c>
      <c r="D2564" t="s">
        <v>40</v>
      </c>
      <c r="E2564" t="s">
        <v>48</v>
      </c>
      <c r="F2564" s="9">
        <v>0.04</v>
      </c>
      <c r="G2564" s="10">
        <v>7328</v>
      </c>
      <c r="H2564">
        <v>5.83</v>
      </c>
      <c r="I2564" s="5">
        <f>ROUND(Marketing[[#This Row],[Clicks]]*Marketing[[#This Row],[Conversion_Rate]],0)</f>
        <v>8</v>
      </c>
      <c r="J2564" s="12">
        <f>Marketing[[#This Row],[Campaign_Cost]]/Marketing[[#This Row],[Customers]]</f>
        <v>916</v>
      </c>
      <c r="K2564" t="s">
        <v>38</v>
      </c>
      <c r="L2564" t="s">
        <v>39</v>
      </c>
      <c r="M2564">
        <v>191</v>
      </c>
      <c r="N2564">
        <v>7371</v>
      </c>
      <c r="O2564">
        <v>3</v>
      </c>
      <c r="P2564" t="s">
        <v>42</v>
      </c>
      <c r="Q2564" s="1">
        <v>44204</v>
      </c>
    </row>
    <row r="2565" spans="1:17" x14ac:dyDescent="0.3">
      <c r="A2565" t="s">
        <v>49</v>
      </c>
      <c r="B2565" t="s">
        <v>29</v>
      </c>
      <c r="C2565" t="s">
        <v>23</v>
      </c>
      <c r="D2565" t="s">
        <v>46</v>
      </c>
      <c r="E2565" t="s">
        <v>31</v>
      </c>
      <c r="F2565" s="9">
        <v>7.0000000000000007E-2</v>
      </c>
      <c r="G2565" s="10">
        <v>7477</v>
      </c>
      <c r="H2565">
        <v>6.9</v>
      </c>
      <c r="I2565" s="5">
        <f>ROUND(Marketing[[#This Row],[Clicks]]*Marketing[[#This Row],[Conversion_Rate]],0)</f>
        <v>59</v>
      </c>
      <c r="J2565" s="12">
        <f>Marketing[[#This Row],[Campaign_Cost]]/Marketing[[#This Row],[Customers]]</f>
        <v>126.72881355932203</v>
      </c>
      <c r="K2565" t="s">
        <v>19</v>
      </c>
      <c r="L2565" t="s">
        <v>26</v>
      </c>
      <c r="M2565">
        <v>840</v>
      </c>
      <c r="N2565">
        <v>2772</v>
      </c>
      <c r="O2565">
        <v>6</v>
      </c>
      <c r="P2565" t="s">
        <v>27</v>
      </c>
      <c r="Q2565" s="1">
        <v>44205</v>
      </c>
    </row>
    <row r="2566" spans="1:17" x14ac:dyDescent="0.3">
      <c r="A2566" t="s">
        <v>49</v>
      </c>
      <c r="B2566" t="s">
        <v>29</v>
      </c>
      <c r="C2566" t="s">
        <v>23</v>
      </c>
      <c r="D2566" t="s">
        <v>17</v>
      </c>
      <c r="E2566" t="s">
        <v>48</v>
      </c>
      <c r="F2566" s="9">
        <v>0.1</v>
      </c>
      <c r="G2566" s="10">
        <v>17624</v>
      </c>
      <c r="H2566">
        <v>2.93</v>
      </c>
      <c r="I2566" s="5">
        <f>ROUND(Marketing[[#This Row],[Clicks]]*Marketing[[#This Row],[Conversion_Rate]],0)</f>
        <v>96</v>
      </c>
      <c r="J2566" s="12">
        <f>Marketing[[#This Row],[Campaign_Cost]]/Marketing[[#This Row],[Customers]]</f>
        <v>183.58333333333334</v>
      </c>
      <c r="K2566" t="s">
        <v>25</v>
      </c>
      <c r="L2566" t="s">
        <v>39</v>
      </c>
      <c r="M2566">
        <v>962</v>
      </c>
      <c r="N2566">
        <v>6010</v>
      </c>
      <c r="O2566">
        <v>7</v>
      </c>
      <c r="P2566" t="s">
        <v>44</v>
      </c>
      <c r="Q2566" s="1">
        <v>44206</v>
      </c>
    </row>
    <row r="2567" spans="1:17" x14ac:dyDescent="0.3">
      <c r="A2567" t="s">
        <v>35</v>
      </c>
      <c r="B2567" t="s">
        <v>36</v>
      </c>
      <c r="C2567" t="s">
        <v>37</v>
      </c>
      <c r="D2567" t="s">
        <v>17</v>
      </c>
      <c r="E2567" t="s">
        <v>18</v>
      </c>
      <c r="F2567" s="9">
        <v>0.09</v>
      </c>
      <c r="G2567" s="10">
        <v>19479</v>
      </c>
      <c r="H2567">
        <v>6.86</v>
      </c>
      <c r="I2567" s="5">
        <f>ROUND(Marketing[[#This Row],[Clicks]]*Marketing[[#This Row],[Conversion_Rate]],0)</f>
        <v>17</v>
      </c>
      <c r="J2567" s="12">
        <f>Marketing[[#This Row],[Campaign_Cost]]/Marketing[[#This Row],[Customers]]</f>
        <v>1145.8235294117646</v>
      </c>
      <c r="K2567" t="s">
        <v>19</v>
      </c>
      <c r="L2567" t="s">
        <v>20</v>
      </c>
      <c r="M2567">
        <v>193</v>
      </c>
      <c r="N2567">
        <v>9863</v>
      </c>
      <c r="O2567">
        <v>10</v>
      </c>
      <c r="P2567" t="s">
        <v>27</v>
      </c>
      <c r="Q2567" s="1">
        <v>44207</v>
      </c>
    </row>
    <row r="2568" spans="1:17" x14ac:dyDescent="0.3">
      <c r="A2568" t="s">
        <v>14</v>
      </c>
      <c r="B2568" t="s">
        <v>45</v>
      </c>
      <c r="C2568" t="s">
        <v>30</v>
      </c>
      <c r="D2568" t="s">
        <v>46</v>
      </c>
      <c r="E2568" t="s">
        <v>48</v>
      </c>
      <c r="F2568" s="9">
        <v>0.13</v>
      </c>
      <c r="G2568" s="10">
        <v>7259</v>
      </c>
      <c r="H2568">
        <v>3.21</v>
      </c>
      <c r="I2568" s="5">
        <f>ROUND(Marketing[[#This Row],[Clicks]]*Marketing[[#This Row],[Conversion_Rate]],0)</f>
        <v>56</v>
      </c>
      <c r="J2568" s="12">
        <f>Marketing[[#This Row],[Campaign_Cost]]/Marketing[[#This Row],[Customers]]</f>
        <v>129.625</v>
      </c>
      <c r="K2568" t="s">
        <v>19</v>
      </c>
      <c r="L2568" t="s">
        <v>33</v>
      </c>
      <c r="M2568">
        <v>430</v>
      </c>
      <c r="N2568">
        <v>7516</v>
      </c>
      <c r="O2568">
        <v>4</v>
      </c>
      <c r="P2568" t="s">
        <v>34</v>
      </c>
      <c r="Q2568" s="1">
        <v>44208</v>
      </c>
    </row>
    <row r="2569" spans="1:17" x14ac:dyDescent="0.3">
      <c r="A2569" t="s">
        <v>35</v>
      </c>
      <c r="B2569" t="s">
        <v>36</v>
      </c>
      <c r="C2569" t="s">
        <v>37</v>
      </c>
      <c r="D2569" t="s">
        <v>17</v>
      </c>
      <c r="E2569" t="s">
        <v>15</v>
      </c>
      <c r="F2569" s="9">
        <v>0.11</v>
      </c>
      <c r="G2569" s="10">
        <v>16424</v>
      </c>
      <c r="H2569">
        <v>2.5099999999999998</v>
      </c>
      <c r="I2569" s="5">
        <f>ROUND(Marketing[[#This Row],[Clicks]]*Marketing[[#This Row],[Conversion_Rate]],0)</f>
        <v>45</v>
      </c>
      <c r="J2569" s="12">
        <f>Marketing[[#This Row],[Campaign_Cost]]/Marketing[[#This Row],[Customers]]</f>
        <v>364.97777777777776</v>
      </c>
      <c r="K2569" t="s">
        <v>32</v>
      </c>
      <c r="L2569" t="s">
        <v>39</v>
      </c>
      <c r="M2569">
        <v>407</v>
      </c>
      <c r="N2569">
        <v>6616</v>
      </c>
      <c r="O2569">
        <v>5</v>
      </c>
      <c r="P2569" t="s">
        <v>21</v>
      </c>
      <c r="Q2569" s="1">
        <v>44209</v>
      </c>
    </row>
    <row r="2570" spans="1:17" x14ac:dyDescent="0.3">
      <c r="A2570" t="s">
        <v>28</v>
      </c>
      <c r="B2570" t="s">
        <v>36</v>
      </c>
      <c r="C2570" t="s">
        <v>52</v>
      </c>
      <c r="D2570" t="s">
        <v>17</v>
      </c>
      <c r="E2570" t="s">
        <v>15</v>
      </c>
      <c r="F2570" s="9">
        <v>0.06</v>
      </c>
      <c r="G2570" s="10">
        <v>16861</v>
      </c>
      <c r="H2570">
        <v>2.56</v>
      </c>
      <c r="I2570" s="5">
        <f>ROUND(Marketing[[#This Row],[Clicks]]*Marketing[[#This Row],[Conversion_Rate]],0)</f>
        <v>28</v>
      </c>
      <c r="J2570" s="12">
        <f>Marketing[[#This Row],[Campaign_Cost]]/Marketing[[#This Row],[Customers]]</f>
        <v>602.17857142857144</v>
      </c>
      <c r="K2570" t="s">
        <v>25</v>
      </c>
      <c r="L2570" t="s">
        <v>33</v>
      </c>
      <c r="M2570">
        <v>471</v>
      </c>
      <c r="N2570">
        <v>4758</v>
      </c>
      <c r="O2570">
        <v>2</v>
      </c>
      <c r="P2570" t="s">
        <v>34</v>
      </c>
      <c r="Q2570" s="1">
        <v>44210</v>
      </c>
    </row>
    <row r="2571" spans="1:17" x14ac:dyDescent="0.3">
      <c r="A2571" t="s">
        <v>22</v>
      </c>
      <c r="B2571" t="s">
        <v>36</v>
      </c>
      <c r="C2571" t="s">
        <v>30</v>
      </c>
      <c r="D2571" t="s">
        <v>17</v>
      </c>
      <c r="E2571" t="s">
        <v>48</v>
      </c>
      <c r="F2571" s="9">
        <v>0.15</v>
      </c>
      <c r="G2571" s="10">
        <v>9178</v>
      </c>
      <c r="H2571">
        <v>6</v>
      </c>
      <c r="I2571" s="5">
        <f>ROUND(Marketing[[#This Row],[Clicks]]*Marketing[[#This Row],[Conversion_Rate]],0)</f>
        <v>102</v>
      </c>
      <c r="J2571" s="12">
        <f>Marketing[[#This Row],[Campaign_Cost]]/Marketing[[#This Row],[Customers]]</f>
        <v>89.980392156862749</v>
      </c>
      <c r="K2571" t="s">
        <v>25</v>
      </c>
      <c r="L2571" t="s">
        <v>33</v>
      </c>
      <c r="M2571">
        <v>678</v>
      </c>
      <c r="N2571">
        <v>2999</v>
      </c>
      <c r="O2571">
        <v>4</v>
      </c>
      <c r="P2571" t="s">
        <v>34</v>
      </c>
      <c r="Q2571" s="1">
        <v>44211</v>
      </c>
    </row>
    <row r="2572" spans="1:17" x14ac:dyDescent="0.3">
      <c r="A2572" t="s">
        <v>22</v>
      </c>
      <c r="B2572" t="s">
        <v>47</v>
      </c>
      <c r="C2572" t="s">
        <v>52</v>
      </c>
      <c r="D2572" t="s">
        <v>40</v>
      </c>
      <c r="E2572" t="s">
        <v>43</v>
      </c>
      <c r="F2572" s="9">
        <v>0.13</v>
      </c>
      <c r="G2572" s="10">
        <v>10519</v>
      </c>
      <c r="H2572">
        <v>3.3</v>
      </c>
      <c r="I2572" s="5">
        <f>ROUND(Marketing[[#This Row],[Clicks]]*Marketing[[#This Row],[Conversion_Rate]],0)</f>
        <v>114</v>
      </c>
      <c r="J2572" s="12">
        <f>Marketing[[#This Row],[Campaign_Cost]]/Marketing[[#This Row],[Customers]]</f>
        <v>92.271929824561397</v>
      </c>
      <c r="K2572" t="s">
        <v>51</v>
      </c>
      <c r="L2572" t="s">
        <v>33</v>
      </c>
      <c r="M2572">
        <v>877</v>
      </c>
      <c r="N2572">
        <v>9053</v>
      </c>
      <c r="O2572">
        <v>10</v>
      </c>
      <c r="P2572" t="s">
        <v>27</v>
      </c>
      <c r="Q2572" s="1">
        <v>44212</v>
      </c>
    </row>
    <row r="2573" spans="1:17" x14ac:dyDescent="0.3">
      <c r="A2573" t="s">
        <v>49</v>
      </c>
      <c r="B2573" t="s">
        <v>45</v>
      </c>
      <c r="C2573" t="s">
        <v>16</v>
      </c>
      <c r="D2573" t="s">
        <v>40</v>
      </c>
      <c r="E2573" t="s">
        <v>43</v>
      </c>
      <c r="F2573" s="9">
        <v>0.03</v>
      </c>
      <c r="G2573" s="10">
        <v>18937</v>
      </c>
      <c r="H2573">
        <v>5.7</v>
      </c>
      <c r="I2573" s="5">
        <f>ROUND(Marketing[[#This Row],[Clicks]]*Marketing[[#This Row],[Conversion_Rate]],0)</f>
        <v>4</v>
      </c>
      <c r="J2573" s="12">
        <f>Marketing[[#This Row],[Campaign_Cost]]/Marketing[[#This Row],[Customers]]</f>
        <v>4734.25</v>
      </c>
      <c r="K2573" t="s">
        <v>19</v>
      </c>
      <c r="L2573" t="s">
        <v>50</v>
      </c>
      <c r="M2573">
        <v>117</v>
      </c>
      <c r="N2573">
        <v>4801</v>
      </c>
      <c r="O2573">
        <v>8</v>
      </c>
      <c r="P2573" t="s">
        <v>21</v>
      </c>
      <c r="Q2573" s="1">
        <v>44213</v>
      </c>
    </row>
    <row r="2574" spans="1:17" x14ac:dyDescent="0.3">
      <c r="A2574" t="s">
        <v>22</v>
      </c>
      <c r="B2574" t="s">
        <v>45</v>
      </c>
      <c r="C2574" t="s">
        <v>23</v>
      </c>
      <c r="D2574" t="s">
        <v>46</v>
      </c>
      <c r="E2574" t="s">
        <v>18</v>
      </c>
      <c r="F2574" s="9">
        <v>0.1</v>
      </c>
      <c r="G2574" s="10">
        <v>8730</v>
      </c>
      <c r="H2574">
        <v>4.22</v>
      </c>
      <c r="I2574" s="5">
        <f>ROUND(Marketing[[#This Row],[Clicks]]*Marketing[[#This Row],[Conversion_Rate]],0)</f>
        <v>66</v>
      </c>
      <c r="J2574" s="12">
        <f>Marketing[[#This Row],[Campaign_Cost]]/Marketing[[#This Row],[Customers]]</f>
        <v>132.27272727272728</v>
      </c>
      <c r="K2574" t="s">
        <v>51</v>
      </c>
      <c r="L2574" t="s">
        <v>33</v>
      </c>
      <c r="M2574">
        <v>661</v>
      </c>
      <c r="N2574">
        <v>1485</v>
      </c>
      <c r="O2574">
        <v>7</v>
      </c>
      <c r="P2574" t="s">
        <v>21</v>
      </c>
      <c r="Q2574" s="1">
        <v>44214</v>
      </c>
    </row>
    <row r="2575" spans="1:17" x14ac:dyDescent="0.3">
      <c r="A2575" t="s">
        <v>28</v>
      </c>
      <c r="B2575" t="s">
        <v>29</v>
      </c>
      <c r="C2575" t="s">
        <v>30</v>
      </c>
      <c r="D2575" t="s">
        <v>46</v>
      </c>
      <c r="E2575" t="s">
        <v>18</v>
      </c>
      <c r="F2575" s="9">
        <v>0.11</v>
      </c>
      <c r="G2575" s="10">
        <v>15988</v>
      </c>
      <c r="H2575">
        <v>5.52</v>
      </c>
      <c r="I2575" s="5">
        <f>ROUND(Marketing[[#This Row],[Clicks]]*Marketing[[#This Row],[Conversion_Rate]],0)</f>
        <v>57</v>
      </c>
      <c r="J2575" s="12">
        <f>Marketing[[#This Row],[Campaign_Cost]]/Marketing[[#This Row],[Customers]]</f>
        <v>280.49122807017545</v>
      </c>
      <c r="K2575" t="s">
        <v>19</v>
      </c>
      <c r="L2575" t="s">
        <v>33</v>
      </c>
      <c r="M2575">
        <v>516</v>
      </c>
      <c r="N2575">
        <v>5914</v>
      </c>
      <c r="O2575">
        <v>8</v>
      </c>
      <c r="P2575" t="s">
        <v>34</v>
      </c>
      <c r="Q2575" s="1">
        <v>44215</v>
      </c>
    </row>
    <row r="2576" spans="1:17" x14ac:dyDescent="0.3">
      <c r="A2576" t="s">
        <v>49</v>
      </c>
      <c r="B2576" t="s">
        <v>45</v>
      </c>
      <c r="C2576" t="s">
        <v>23</v>
      </c>
      <c r="D2576" t="s">
        <v>17</v>
      </c>
      <c r="E2576" t="s">
        <v>31</v>
      </c>
      <c r="F2576" s="9">
        <v>0.12</v>
      </c>
      <c r="G2576" s="10">
        <v>6598</v>
      </c>
      <c r="H2576">
        <v>3.76</v>
      </c>
      <c r="I2576" s="5">
        <f>ROUND(Marketing[[#This Row],[Clicks]]*Marketing[[#This Row],[Conversion_Rate]],0)</f>
        <v>23</v>
      </c>
      <c r="J2576" s="12">
        <f>Marketing[[#This Row],[Campaign_Cost]]/Marketing[[#This Row],[Customers]]</f>
        <v>286.86956521739131</v>
      </c>
      <c r="K2576" t="s">
        <v>19</v>
      </c>
      <c r="L2576" t="s">
        <v>26</v>
      </c>
      <c r="M2576">
        <v>195</v>
      </c>
      <c r="N2576">
        <v>2047</v>
      </c>
      <c r="O2576">
        <v>10</v>
      </c>
      <c r="P2576" t="s">
        <v>21</v>
      </c>
      <c r="Q2576" s="1">
        <v>44216</v>
      </c>
    </row>
    <row r="2577" spans="1:17" x14ac:dyDescent="0.3">
      <c r="A2577" t="s">
        <v>28</v>
      </c>
      <c r="B2577" t="s">
        <v>47</v>
      </c>
      <c r="C2577" t="s">
        <v>52</v>
      </c>
      <c r="D2577" t="s">
        <v>46</v>
      </c>
      <c r="E2577" t="s">
        <v>48</v>
      </c>
      <c r="F2577" s="9">
        <v>0.05</v>
      </c>
      <c r="G2577" s="10">
        <v>9029</v>
      </c>
      <c r="H2577">
        <v>6.47</v>
      </c>
      <c r="I2577" s="5">
        <f>ROUND(Marketing[[#This Row],[Clicks]]*Marketing[[#This Row],[Conversion_Rate]],0)</f>
        <v>44</v>
      </c>
      <c r="J2577" s="12">
        <f>Marketing[[#This Row],[Campaign_Cost]]/Marketing[[#This Row],[Customers]]</f>
        <v>205.20454545454547</v>
      </c>
      <c r="K2577" t="s">
        <v>32</v>
      </c>
      <c r="L2577" t="s">
        <v>33</v>
      </c>
      <c r="M2577">
        <v>885</v>
      </c>
      <c r="N2577">
        <v>5769</v>
      </c>
      <c r="O2577">
        <v>7</v>
      </c>
      <c r="P2577" t="s">
        <v>44</v>
      </c>
      <c r="Q2577" s="1">
        <v>44217</v>
      </c>
    </row>
    <row r="2578" spans="1:17" x14ac:dyDescent="0.3">
      <c r="A2578" t="s">
        <v>28</v>
      </c>
      <c r="B2578" t="s">
        <v>47</v>
      </c>
      <c r="C2578" t="s">
        <v>37</v>
      </c>
      <c r="D2578" t="s">
        <v>46</v>
      </c>
      <c r="E2578" t="s">
        <v>48</v>
      </c>
      <c r="F2578" s="9">
        <v>0.09</v>
      </c>
      <c r="G2578" s="10">
        <v>10673</v>
      </c>
      <c r="H2578">
        <v>2.08</v>
      </c>
      <c r="I2578" s="5">
        <f>ROUND(Marketing[[#This Row],[Clicks]]*Marketing[[#This Row],[Conversion_Rate]],0)</f>
        <v>32</v>
      </c>
      <c r="J2578" s="12">
        <f>Marketing[[#This Row],[Campaign_Cost]]/Marketing[[#This Row],[Customers]]</f>
        <v>333.53125</v>
      </c>
      <c r="K2578" t="s">
        <v>32</v>
      </c>
      <c r="L2578" t="s">
        <v>20</v>
      </c>
      <c r="M2578">
        <v>357</v>
      </c>
      <c r="N2578">
        <v>9849</v>
      </c>
      <c r="O2578">
        <v>8</v>
      </c>
      <c r="P2578" t="s">
        <v>21</v>
      </c>
      <c r="Q2578" s="1">
        <v>44218</v>
      </c>
    </row>
    <row r="2579" spans="1:17" x14ac:dyDescent="0.3">
      <c r="A2579" t="s">
        <v>14</v>
      </c>
      <c r="B2579" t="s">
        <v>15</v>
      </c>
      <c r="C2579" t="s">
        <v>16</v>
      </c>
      <c r="D2579" t="s">
        <v>24</v>
      </c>
      <c r="E2579" t="s">
        <v>48</v>
      </c>
      <c r="F2579" s="9">
        <v>0.04</v>
      </c>
      <c r="G2579" s="10">
        <v>5982</v>
      </c>
      <c r="H2579">
        <v>4.55</v>
      </c>
      <c r="I2579" s="5">
        <f>ROUND(Marketing[[#This Row],[Clicks]]*Marketing[[#This Row],[Conversion_Rate]],0)</f>
        <v>33</v>
      </c>
      <c r="J2579" s="12">
        <f>Marketing[[#This Row],[Campaign_Cost]]/Marketing[[#This Row],[Customers]]</f>
        <v>181.27272727272728</v>
      </c>
      <c r="K2579" t="s">
        <v>51</v>
      </c>
      <c r="L2579" t="s">
        <v>33</v>
      </c>
      <c r="M2579">
        <v>815</v>
      </c>
      <c r="N2579">
        <v>9017</v>
      </c>
      <c r="O2579">
        <v>2</v>
      </c>
      <c r="P2579" t="s">
        <v>21</v>
      </c>
      <c r="Q2579" s="1">
        <v>44219</v>
      </c>
    </row>
    <row r="2580" spans="1:17" x14ac:dyDescent="0.3">
      <c r="A2580" t="s">
        <v>35</v>
      </c>
      <c r="B2580" t="s">
        <v>45</v>
      </c>
      <c r="C2580" t="s">
        <v>16</v>
      </c>
      <c r="D2580" t="s">
        <v>17</v>
      </c>
      <c r="E2580" t="s">
        <v>15</v>
      </c>
      <c r="F2580" s="9">
        <v>0.02</v>
      </c>
      <c r="G2580" s="10">
        <v>8153</v>
      </c>
      <c r="H2580">
        <v>2.2200000000000002</v>
      </c>
      <c r="I2580" s="5">
        <f>ROUND(Marketing[[#This Row],[Clicks]]*Marketing[[#This Row],[Conversion_Rate]],0)</f>
        <v>17</v>
      </c>
      <c r="J2580" s="12">
        <f>Marketing[[#This Row],[Campaign_Cost]]/Marketing[[#This Row],[Customers]]</f>
        <v>479.58823529411762</v>
      </c>
      <c r="K2580" t="s">
        <v>32</v>
      </c>
      <c r="L2580" t="s">
        <v>33</v>
      </c>
      <c r="M2580">
        <v>862</v>
      </c>
      <c r="N2580">
        <v>3095</v>
      </c>
      <c r="O2580">
        <v>5</v>
      </c>
      <c r="P2580" t="s">
        <v>42</v>
      </c>
      <c r="Q2580" s="1">
        <v>44220</v>
      </c>
    </row>
    <row r="2581" spans="1:17" x14ac:dyDescent="0.3">
      <c r="A2581" t="s">
        <v>35</v>
      </c>
      <c r="B2581" t="s">
        <v>36</v>
      </c>
      <c r="C2581" t="s">
        <v>52</v>
      </c>
      <c r="D2581" t="s">
        <v>40</v>
      </c>
      <c r="E2581" t="s">
        <v>41</v>
      </c>
      <c r="F2581" s="9">
        <v>0.04</v>
      </c>
      <c r="G2581" s="10">
        <v>14898</v>
      </c>
      <c r="H2581">
        <v>3.06</v>
      </c>
      <c r="I2581" s="5">
        <f>ROUND(Marketing[[#This Row],[Clicks]]*Marketing[[#This Row],[Conversion_Rate]],0)</f>
        <v>13</v>
      </c>
      <c r="J2581" s="12">
        <f>Marketing[[#This Row],[Campaign_Cost]]/Marketing[[#This Row],[Customers]]</f>
        <v>1146</v>
      </c>
      <c r="K2581" t="s">
        <v>51</v>
      </c>
      <c r="L2581" t="s">
        <v>50</v>
      </c>
      <c r="M2581">
        <v>337</v>
      </c>
      <c r="N2581">
        <v>8019</v>
      </c>
      <c r="O2581">
        <v>5</v>
      </c>
      <c r="P2581" t="s">
        <v>44</v>
      </c>
      <c r="Q2581" s="1">
        <v>44221</v>
      </c>
    </row>
    <row r="2582" spans="1:17" x14ac:dyDescent="0.3">
      <c r="A2582" t="s">
        <v>22</v>
      </c>
      <c r="B2582" t="s">
        <v>47</v>
      </c>
      <c r="C2582" t="s">
        <v>30</v>
      </c>
      <c r="D2582" t="s">
        <v>17</v>
      </c>
      <c r="E2582" t="s">
        <v>18</v>
      </c>
      <c r="F2582" s="9">
        <v>0.14000000000000001</v>
      </c>
      <c r="G2582" s="10">
        <v>12508</v>
      </c>
      <c r="H2582">
        <v>6.31</v>
      </c>
      <c r="I2582" s="5">
        <f>ROUND(Marketing[[#This Row],[Clicks]]*Marketing[[#This Row],[Conversion_Rate]],0)</f>
        <v>113</v>
      </c>
      <c r="J2582" s="12">
        <f>Marketing[[#This Row],[Campaign_Cost]]/Marketing[[#This Row],[Customers]]</f>
        <v>110.69026548672566</v>
      </c>
      <c r="K2582" t="s">
        <v>38</v>
      </c>
      <c r="L2582" t="s">
        <v>26</v>
      </c>
      <c r="M2582">
        <v>807</v>
      </c>
      <c r="N2582">
        <v>5999</v>
      </c>
      <c r="O2582">
        <v>9</v>
      </c>
      <c r="P2582" t="s">
        <v>34</v>
      </c>
      <c r="Q2582" s="1">
        <v>44222</v>
      </c>
    </row>
    <row r="2583" spans="1:17" x14ac:dyDescent="0.3">
      <c r="A2583" t="s">
        <v>49</v>
      </c>
      <c r="B2583" t="s">
        <v>29</v>
      </c>
      <c r="C2583" t="s">
        <v>16</v>
      </c>
      <c r="D2583" t="s">
        <v>17</v>
      </c>
      <c r="E2583" t="s">
        <v>31</v>
      </c>
      <c r="F2583" s="9">
        <v>0.08</v>
      </c>
      <c r="G2583" s="10">
        <v>11455</v>
      </c>
      <c r="H2583">
        <v>4.24</v>
      </c>
      <c r="I2583" s="5">
        <f>ROUND(Marketing[[#This Row],[Clicks]]*Marketing[[#This Row],[Conversion_Rate]],0)</f>
        <v>12</v>
      </c>
      <c r="J2583" s="12">
        <f>Marketing[[#This Row],[Campaign_Cost]]/Marketing[[#This Row],[Customers]]</f>
        <v>954.58333333333337</v>
      </c>
      <c r="K2583" t="s">
        <v>32</v>
      </c>
      <c r="L2583" t="s">
        <v>50</v>
      </c>
      <c r="M2583">
        <v>146</v>
      </c>
      <c r="N2583">
        <v>6555</v>
      </c>
      <c r="O2583">
        <v>3</v>
      </c>
      <c r="P2583" t="s">
        <v>42</v>
      </c>
      <c r="Q2583" s="1">
        <v>44223</v>
      </c>
    </row>
    <row r="2584" spans="1:17" x14ac:dyDescent="0.3">
      <c r="A2584" t="s">
        <v>35</v>
      </c>
      <c r="B2584" t="s">
        <v>15</v>
      </c>
      <c r="C2584" t="s">
        <v>30</v>
      </c>
      <c r="D2584" t="s">
        <v>24</v>
      </c>
      <c r="E2584" t="s">
        <v>31</v>
      </c>
      <c r="F2584" s="9">
        <v>0.1</v>
      </c>
      <c r="G2584" s="10">
        <v>6635</v>
      </c>
      <c r="H2584">
        <v>6.32</v>
      </c>
      <c r="I2584" s="5">
        <f>ROUND(Marketing[[#This Row],[Clicks]]*Marketing[[#This Row],[Conversion_Rate]],0)</f>
        <v>67</v>
      </c>
      <c r="J2584" s="12">
        <f>Marketing[[#This Row],[Campaign_Cost]]/Marketing[[#This Row],[Customers]]</f>
        <v>99.02985074626865</v>
      </c>
      <c r="K2584" t="s">
        <v>19</v>
      </c>
      <c r="L2584" t="s">
        <v>33</v>
      </c>
      <c r="M2584">
        <v>666</v>
      </c>
      <c r="N2584">
        <v>3019</v>
      </c>
      <c r="O2584">
        <v>2</v>
      </c>
      <c r="P2584" t="s">
        <v>44</v>
      </c>
      <c r="Q2584" s="1">
        <v>44224</v>
      </c>
    </row>
    <row r="2585" spans="1:17" x14ac:dyDescent="0.3">
      <c r="A2585" t="s">
        <v>49</v>
      </c>
      <c r="B2585" t="s">
        <v>36</v>
      </c>
      <c r="C2585" t="s">
        <v>30</v>
      </c>
      <c r="D2585" t="s">
        <v>46</v>
      </c>
      <c r="E2585" t="s">
        <v>41</v>
      </c>
      <c r="F2585" s="9">
        <v>0.12</v>
      </c>
      <c r="G2585" s="10">
        <v>18576</v>
      </c>
      <c r="H2585">
        <v>4.62</v>
      </c>
      <c r="I2585" s="5">
        <f>ROUND(Marketing[[#This Row],[Clicks]]*Marketing[[#This Row],[Conversion_Rate]],0)</f>
        <v>27</v>
      </c>
      <c r="J2585" s="12">
        <f>Marketing[[#This Row],[Campaign_Cost]]/Marketing[[#This Row],[Customers]]</f>
        <v>688</v>
      </c>
      <c r="K2585" t="s">
        <v>19</v>
      </c>
      <c r="L2585" t="s">
        <v>33</v>
      </c>
      <c r="M2585">
        <v>225</v>
      </c>
      <c r="N2585">
        <v>9248</v>
      </c>
      <c r="O2585">
        <v>6</v>
      </c>
      <c r="P2585" t="s">
        <v>21</v>
      </c>
      <c r="Q2585" s="1">
        <v>44225</v>
      </c>
    </row>
    <row r="2586" spans="1:17" x14ac:dyDescent="0.3">
      <c r="A2586" t="s">
        <v>35</v>
      </c>
      <c r="B2586" t="s">
        <v>47</v>
      </c>
      <c r="C2586" t="s">
        <v>30</v>
      </c>
      <c r="D2586" t="s">
        <v>46</v>
      </c>
      <c r="E2586" t="s">
        <v>15</v>
      </c>
      <c r="F2586" s="9">
        <v>0.1</v>
      </c>
      <c r="G2586" s="10">
        <v>16668</v>
      </c>
      <c r="H2586">
        <v>6.16</v>
      </c>
      <c r="I2586" s="5">
        <f>ROUND(Marketing[[#This Row],[Clicks]]*Marketing[[#This Row],[Conversion_Rate]],0)</f>
        <v>30</v>
      </c>
      <c r="J2586" s="12">
        <f>Marketing[[#This Row],[Campaign_Cost]]/Marketing[[#This Row],[Customers]]</f>
        <v>555.6</v>
      </c>
      <c r="K2586" t="s">
        <v>19</v>
      </c>
      <c r="L2586" t="s">
        <v>20</v>
      </c>
      <c r="M2586">
        <v>299</v>
      </c>
      <c r="N2586">
        <v>7939</v>
      </c>
      <c r="O2586">
        <v>3</v>
      </c>
      <c r="P2586" t="s">
        <v>21</v>
      </c>
      <c r="Q2586" s="1">
        <v>44226</v>
      </c>
    </row>
    <row r="2587" spans="1:17" x14ac:dyDescent="0.3">
      <c r="A2587" t="s">
        <v>35</v>
      </c>
      <c r="B2587" t="s">
        <v>47</v>
      </c>
      <c r="C2587" t="s">
        <v>16</v>
      </c>
      <c r="D2587" t="s">
        <v>24</v>
      </c>
      <c r="E2587" t="s">
        <v>18</v>
      </c>
      <c r="F2587" s="9">
        <v>0.08</v>
      </c>
      <c r="G2587" s="10">
        <v>11630</v>
      </c>
      <c r="H2587">
        <v>6.29</v>
      </c>
      <c r="I2587" s="5">
        <f>ROUND(Marketing[[#This Row],[Clicks]]*Marketing[[#This Row],[Conversion_Rate]],0)</f>
        <v>76</v>
      </c>
      <c r="J2587" s="12">
        <f>Marketing[[#This Row],[Campaign_Cost]]/Marketing[[#This Row],[Customers]]</f>
        <v>153.02631578947367</v>
      </c>
      <c r="K2587" t="s">
        <v>19</v>
      </c>
      <c r="L2587" t="s">
        <v>39</v>
      </c>
      <c r="M2587">
        <v>947</v>
      </c>
      <c r="N2587">
        <v>6577</v>
      </c>
      <c r="O2587">
        <v>10</v>
      </c>
      <c r="P2587" t="s">
        <v>34</v>
      </c>
      <c r="Q2587" s="1">
        <v>44227</v>
      </c>
    </row>
    <row r="2588" spans="1:17" x14ac:dyDescent="0.3">
      <c r="A2588" t="s">
        <v>14</v>
      </c>
      <c r="B2588" t="s">
        <v>47</v>
      </c>
      <c r="C2588" t="s">
        <v>23</v>
      </c>
      <c r="D2588" t="s">
        <v>46</v>
      </c>
      <c r="E2588" t="s">
        <v>31</v>
      </c>
      <c r="F2588" s="9">
        <v>7.0000000000000007E-2</v>
      </c>
      <c r="G2588" s="10">
        <v>15686</v>
      </c>
      <c r="H2588">
        <v>2.79</v>
      </c>
      <c r="I2588" s="5">
        <f>ROUND(Marketing[[#This Row],[Clicks]]*Marketing[[#This Row],[Conversion_Rate]],0)</f>
        <v>56</v>
      </c>
      <c r="J2588" s="12">
        <f>Marketing[[#This Row],[Campaign_Cost]]/Marketing[[#This Row],[Customers]]</f>
        <v>280.10714285714283</v>
      </c>
      <c r="K2588" t="s">
        <v>38</v>
      </c>
      <c r="L2588" t="s">
        <v>50</v>
      </c>
      <c r="M2588">
        <v>804</v>
      </c>
      <c r="N2588">
        <v>9298</v>
      </c>
      <c r="O2588">
        <v>7</v>
      </c>
      <c r="P2588" t="s">
        <v>27</v>
      </c>
      <c r="Q2588" s="1">
        <v>44228</v>
      </c>
    </row>
    <row r="2589" spans="1:17" x14ac:dyDescent="0.3">
      <c r="A2589" t="s">
        <v>14</v>
      </c>
      <c r="B2589" t="s">
        <v>15</v>
      </c>
      <c r="C2589" t="s">
        <v>30</v>
      </c>
      <c r="D2589" t="s">
        <v>46</v>
      </c>
      <c r="E2589" t="s">
        <v>31</v>
      </c>
      <c r="F2589" s="9">
        <v>7.0000000000000007E-2</v>
      </c>
      <c r="G2589" s="10">
        <v>15782</v>
      </c>
      <c r="H2589">
        <v>2.36</v>
      </c>
      <c r="I2589" s="5">
        <f>ROUND(Marketing[[#This Row],[Clicks]]*Marketing[[#This Row],[Conversion_Rate]],0)</f>
        <v>18</v>
      </c>
      <c r="J2589" s="12">
        <f>Marketing[[#This Row],[Campaign_Cost]]/Marketing[[#This Row],[Customers]]</f>
        <v>876.77777777777783</v>
      </c>
      <c r="K2589" t="s">
        <v>51</v>
      </c>
      <c r="L2589" t="s">
        <v>20</v>
      </c>
      <c r="M2589">
        <v>258</v>
      </c>
      <c r="N2589">
        <v>4316</v>
      </c>
      <c r="O2589">
        <v>3</v>
      </c>
      <c r="P2589" t="s">
        <v>34</v>
      </c>
      <c r="Q2589" s="1">
        <v>44229</v>
      </c>
    </row>
    <row r="2590" spans="1:17" x14ac:dyDescent="0.3">
      <c r="A2590" t="s">
        <v>14</v>
      </c>
      <c r="B2590" t="s">
        <v>15</v>
      </c>
      <c r="C2590" t="s">
        <v>23</v>
      </c>
      <c r="D2590" t="s">
        <v>46</v>
      </c>
      <c r="E2590" t="s">
        <v>41</v>
      </c>
      <c r="F2590" s="9">
        <v>0.13</v>
      </c>
      <c r="G2590" s="10">
        <v>14242</v>
      </c>
      <c r="H2590">
        <v>2.1</v>
      </c>
      <c r="I2590" s="5">
        <f>ROUND(Marketing[[#This Row],[Clicks]]*Marketing[[#This Row],[Conversion_Rate]],0)</f>
        <v>23</v>
      </c>
      <c r="J2590" s="12">
        <f>Marketing[[#This Row],[Campaign_Cost]]/Marketing[[#This Row],[Customers]]</f>
        <v>619.21739130434787</v>
      </c>
      <c r="K2590" t="s">
        <v>38</v>
      </c>
      <c r="L2590" t="s">
        <v>33</v>
      </c>
      <c r="M2590">
        <v>177</v>
      </c>
      <c r="N2590">
        <v>6454</v>
      </c>
      <c r="O2590">
        <v>9</v>
      </c>
      <c r="P2590" t="s">
        <v>21</v>
      </c>
      <c r="Q2590" s="1">
        <v>44230</v>
      </c>
    </row>
    <row r="2591" spans="1:17" x14ac:dyDescent="0.3">
      <c r="A2591" t="s">
        <v>14</v>
      </c>
      <c r="B2591" t="s">
        <v>47</v>
      </c>
      <c r="C2591" t="s">
        <v>52</v>
      </c>
      <c r="D2591" t="s">
        <v>24</v>
      </c>
      <c r="E2591" t="s">
        <v>48</v>
      </c>
      <c r="F2591" s="9">
        <v>0.13</v>
      </c>
      <c r="G2591" s="10">
        <v>13988</v>
      </c>
      <c r="H2591">
        <v>3.38</v>
      </c>
      <c r="I2591" s="5">
        <f>ROUND(Marketing[[#This Row],[Clicks]]*Marketing[[#This Row],[Conversion_Rate]],0)</f>
        <v>47</v>
      </c>
      <c r="J2591" s="12">
        <f>Marketing[[#This Row],[Campaign_Cost]]/Marketing[[#This Row],[Customers]]</f>
        <v>297.61702127659572</v>
      </c>
      <c r="K2591" t="s">
        <v>51</v>
      </c>
      <c r="L2591" t="s">
        <v>26</v>
      </c>
      <c r="M2591">
        <v>358</v>
      </c>
      <c r="N2591">
        <v>1919</v>
      </c>
      <c r="O2591">
        <v>7</v>
      </c>
      <c r="P2591" t="s">
        <v>21</v>
      </c>
      <c r="Q2591" s="1">
        <v>44231</v>
      </c>
    </row>
    <row r="2592" spans="1:17" x14ac:dyDescent="0.3">
      <c r="A2592" t="s">
        <v>28</v>
      </c>
      <c r="B2592" t="s">
        <v>15</v>
      </c>
      <c r="C2592" t="s">
        <v>37</v>
      </c>
      <c r="D2592" t="s">
        <v>40</v>
      </c>
      <c r="E2592" t="s">
        <v>43</v>
      </c>
      <c r="F2592" s="9">
        <v>0.04</v>
      </c>
      <c r="G2592" s="10">
        <v>10529</v>
      </c>
      <c r="H2592">
        <v>2.79</v>
      </c>
      <c r="I2592" s="5">
        <f>ROUND(Marketing[[#This Row],[Clicks]]*Marketing[[#This Row],[Conversion_Rate]],0)</f>
        <v>12</v>
      </c>
      <c r="J2592" s="12">
        <f>Marketing[[#This Row],[Campaign_Cost]]/Marketing[[#This Row],[Customers]]</f>
        <v>877.41666666666663</v>
      </c>
      <c r="K2592" t="s">
        <v>38</v>
      </c>
      <c r="L2592" t="s">
        <v>39</v>
      </c>
      <c r="M2592">
        <v>306</v>
      </c>
      <c r="N2592">
        <v>5059</v>
      </c>
      <c r="O2592">
        <v>3</v>
      </c>
      <c r="P2592" t="s">
        <v>42</v>
      </c>
      <c r="Q2592" s="1">
        <v>44232</v>
      </c>
    </row>
    <row r="2593" spans="1:17" x14ac:dyDescent="0.3">
      <c r="A2593" t="s">
        <v>22</v>
      </c>
      <c r="B2593" t="s">
        <v>15</v>
      </c>
      <c r="C2593" t="s">
        <v>30</v>
      </c>
      <c r="D2593" t="s">
        <v>17</v>
      </c>
      <c r="E2593" t="s">
        <v>15</v>
      </c>
      <c r="F2593" s="9">
        <v>0.02</v>
      </c>
      <c r="G2593" s="10">
        <v>8748</v>
      </c>
      <c r="H2593">
        <v>6.46</v>
      </c>
      <c r="I2593" s="5">
        <f>ROUND(Marketing[[#This Row],[Clicks]]*Marketing[[#This Row],[Conversion_Rate]],0)</f>
        <v>7</v>
      </c>
      <c r="J2593" s="12">
        <f>Marketing[[#This Row],[Campaign_Cost]]/Marketing[[#This Row],[Customers]]</f>
        <v>1249.7142857142858</v>
      </c>
      <c r="K2593" t="s">
        <v>38</v>
      </c>
      <c r="L2593" t="s">
        <v>39</v>
      </c>
      <c r="M2593">
        <v>336</v>
      </c>
      <c r="N2593">
        <v>5931</v>
      </c>
      <c r="O2593">
        <v>5</v>
      </c>
      <c r="P2593" t="s">
        <v>44</v>
      </c>
      <c r="Q2593" s="1">
        <v>44233</v>
      </c>
    </row>
    <row r="2594" spans="1:17" x14ac:dyDescent="0.3">
      <c r="A2594" t="s">
        <v>14</v>
      </c>
      <c r="B2594" t="s">
        <v>47</v>
      </c>
      <c r="C2594" t="s">
        <v>30</v>
      </c>
      <c r="D2594" t="s">
        <v>40</v>
      </c>
      <c r="E2594" t="s">
        <v>31</v>
      </c>
      <c r="F2594" s="9">
        <v>0.12</v>
      </c>
      <c r="G2594" s="10">
        <v>6519</v>
      </c>
      <c r="H2594">
        <v>6.9</v>
      </c>
      <c r="I2594" s="5">
        <f>ROUND(Marketing[[#This Row],[Clicks]]*Marketing[[#This Row],[Conversion_Rate]],0)</f>
        <v>47</v>
      </c>
      <c r="J2594" s="12">
        <f>Marketing[[#This Row],[Campaign_Cost]]/Marketing[[#This Row],[Customers]]</f>
        <v>138.70212765957447</v>
      </c>
      <c r="K2594" t="s">
        <v>19</v>
      </c>
      <c r="L2594" t="s">
        <v>50</v>
      </c>
      <c r="M2594">
        <v>390</v>
      </c>
      <c r="N2594">
        <v>1028</v>
      </c>
      <c r="O2594">
        <v>7</v>
      </c>
      <c r="P2594" t="s">
        <v>42</v>
      </c>
      <c r="Q2594" s="1">
        <v>44234</v>
      </c>
    </row>
    <row r="2595" spans="1:17" x14ac:dyDescent="0.3">
      <c r="A2595" t="s">
        <v>49</v>
      </c>
      <c r="B2595" t="s">
        <v>45</v>
      </c>
      <c r="C2595" t="s">
        <v>23</v>
      </c>
      <c r="D2595" t="s">
        <v>17</v>
      </c>
      <c r="E2595" t="s">
        <v>43</v>
      </c>
      <c r="F2595" s="9">
        <v>0.06</v>
      </c>
      <c r="G2595" s="10">
        <v>6676</v>
      </c>
      <c r="H2595">
        <v>6.53</v>
      </c>
      <c r="I2595" s="5">
        <f>ROUND(Marketing[[#This Row],[Clicks]]*Marketing[[#This Row],[Conversion_Rate]],0)</f>
        <v>22</v>
      </c>
      <c r="J2595" s="12">
        <f>Marketing[[#This Row],[Campaign_Cost]]/Marketing[[#This Row],[Customers]]</f>
        <v>303.45454545454544</v>
      </c>
      <c r="K2595" t="s">
        <v>19</v>
      </c>
      <c r="L2595" t="s">
        <v>26</v>
      </c>
      <c r="M2595">
        <v>366</v>
      </c>
      <c r="N2595">
        <v>1908</v>
      </c>
      <c r="O2595">
        <v>3</v>
      </c>
      <c r="P2595" t="s">
        <v>34</v>
      </c>
      <c r="Q2595" s="1">
        <v>44235</v>
      </c>
    </row>
    <row r="2596" spans="1:17" x14ac:dyDescent="0.3">
      <c r="A2596" t="s">
        <v>14</v>
      </c>
      <c r="B2596" t="s">
        <v>47</v>
      </c>
      <c r="C2596" t="s">
        <v>52</v>
      </c>
      <c r="D2596" t="s">
        <v>17</v>
      </c>
      <c r="E2596" t="s">
        <v>41</v>
      </c>
      <c r="F2596" s="9">
        <v>0.1</v>
      </c>
      <c r="G2596" s="10">
        <v>9773</v>
      </c>
      <c r="H2596">
        <v>6.09</v>
      </c>
      <c r="I2596" s="5">
        <f>ROUND(Marketing[[#This Row],[Clicks]]*Marketing[[#This Row],[Conversion_Rate]],0)</f>
        <v>12</v>
      </c>
      <c r="J2596" s="12">
        <f>Marketing[[#This Row],[Campaign_Cost]]/Marketing[[#This Row],[Customers]]</f>
        <v>814.41666666666663</v>
      </c>
      <c r="K2596" t="s">
        <v>38</v>
      </c>
      <c r="L2596" t="s">
        <v>26</v>
      </c>
      <c r="M2596">
        <v>115</v>
      </c>
      <c r="N2596">
        <v>7009</v>
      </c>
      <c r="O2596">
        <v>5</v>
      </c>
      <c r="P2596" t="s">
        <v>42</v>
      </c>
      <c r="Q2596" s="1">
        <v>44236</v>
      </c>
    </row>
    <row r="2597" spans="1:17" x14ac:dyDescent="0.3">
      <c r="A2597" t="s">
        <v>14</v>
      </c>
      <c r="B2597" t="s">
        <v>15</v>
      </c>
      <c r="C2597" t="s">
        <v>16</v>
      </c>
      <c r="D2597" t="s">
        <v>46</v>
      </c>
      <c r="E2597" t="s">
        <v>41</v>
      </c>
      <c r="F2597" s="9">
        <v>0.01</v>
      </c>
      <c r="G2597" s="10">
        <v>15509</v>
      </c>
      <c r="H2597">
        <v>2.5299999999999998</v>
      </c>
      <c r="I2597" s="5">
        <f>ROUND(Marketing[[#This Row],[Clicks]]*Marketing[[#This Row],[Conversion_Rate]],0)</f>
        <v>2</v>
      </c>
      <c r="J2597" s="12">
        <f>Marketing[[#This Row],[Campaign_Cost]]/Marketing[[#This Row],[Customers]]</f>
        <v>7754.5</v>
      </c>
      <c r="K2597" t="s">
        <v>19</v>
      </c>
      <c r="L2597" t="s">
        <v>39</v>
      </c>
      <c r="M2597">
        <v>244</v>
      </c>
      <c r="N2597">
        <v>3592</v>
      </c>
      <c r="O2597">
        <v>10</v>
      </c>
      <c r="P2597" t="s">
        <v>27</v>
      </c>
      <c r="Q2597" s="1">
        <v>44237</v>
      </c>
    </row>
    <row r="2598" spans="1:17" x14ac:dyDescent="0.3">
      <c r="A2598" t="s">
        <v>14</v>
      </c>
      <c r="B2598" t="s">
        <v>36</v>
      </c>
      <c r="C2598" t="s">
        <v>37</v>
      </c>
      <c r="D2598" t="s">
        <v>24</v>
      </c>
      <c r="E2598" t="s">
        <v>31</v>
      </c>
      <c r="F2598" s="9">
        <v>0.02</v>
      </c>
      <c r="G2598" s="10">
        <v>5201</v>
      </c>
      <c r="H2598">
        <v>6.71</v>
      </c>
      <c r="I2598" s="5">
        <f>ROUND(Marketing[[#This Row],[Clicks]]*Marketing[[#This Row],[Conversion_Rate]],0)</f>
        <v>17</v>
      </c>
      <c r="J2598" s="12">
        <f>Marketing[[#This Row],[Campaign_Cost]]/Marketing[[#This Row],[Customers]]</f>
        <v>305.94117647058823</v>
      </c>
      <c r="K2598" t="s">
        <v>51</v>
      </c>
      <c r="L2598" t="s">
        <v>20</v>
      </c>
      <c r="M2598">
        <v>858</v>
      </c>
      <c r="N2598">
        <v>4375</v>
      </c>
      <c r="O2598">
        <v>1</v>
      </c>
      <c r="P2598" t="s">
        <v>34</v>
      </c>
      <c r="Q2598" s="1">
        <v>44238</v>
      </c>
    </row>
    <row r="2599" spans="1:17" x14ac:dyDescent="0.3">
      <c r="A2599" t="s">
        <v>22</v>
      </c>
      <c r="B2599" t="s">
        <v>45</v>
      </c>
      <c r="C2599" t="s">
        <v>37</v>
      </c>
      <c r="D2599" t="s">
        <v>40</v>
      </c>
      <c r="E2599" t="s">
        <v>18</v>
      </c>
      <c r="F2599" s="9">
        <v>0.1</v>
      </c>
      <c r="G2599" s="10">
        <v>19489</v>
      </c>
      <c r="H2599">
        <v>5.44</v>
      </c>
      <c r="I2599" s="5">
        <f>ROUND(Marketing[[#This Row],[Clicks]]*Marketing[[#This Row],[Conversion_Rate]],0)</f>
        <v>44</v>
      </c>
      <c r="J2599" s="12">
        <f>Marketing[[#This Row],[Campaign_Cost]]/Marketing[[#This Row],[Customers]]</f>
        <v>442.93181818181819</v>
      </c>
      <c r="K2599" t="s">
        <v>25</v>
      </c>
      <c r="L2599" t="s">
        <v>26</v>
      </c>
      <c r="M2599">
        <v>438</v>
      </c>
      <c r="N2599">
        <v>8609</v>
      </c>
      <c r="O2599">
        <v>5</v>
      </c>
      <c r="P2599" t="s">
        <v>42</v>
      </c>
      <c r="Q2599" s="1">
        <v>44239</v>
      </c>
    </row>
    <row r="2600" spans="1:17" x14ac:dyDescent="0.3">
      <c r="A2600" t="s">
        <v>14</v>
      </c>
      <c r="B2600" t="s">
        <v>29</v>
      </c>
      <c r="C2600" t="s">
        <v>16</v>
      </c>
      <c r="D2600" t="s">
        <v>46</v>
      </c>
      <c r="E2600" t="s">
        <v>31</v>
      </c>
      <c r="F2600" s="9">
        <v>0.1</v>
      </c>
      <c r="G2600" s="10">
        <v>17724</v>
      </c>
      <c r="H2600">
        <v>6.22</v>
      </c>
      <c r="I2600" s="5">
        <f>ROUND(Marketing[[#This Row],[Clicks]]*Marketing[[#This Row],[Conversion_Rate]],0)</f>
        <v>62</v>
      </c>
      <c r="J2600" s="12">
        <f>Marketing[[#This Row],[Campaign_Cost]]/Marketing[[#This Row],[Customers]]</f>
        <v>285.87096774193549</v>
      </c>
      <c r="K2600" t="s">
        <v>38</v>
      </c>
      <c r="L2600" t="s">
        <v>26</v>
      </c>
      <c r="M2600">
        <v>617</v>
      </c>
      <c r="N2600">
        <v>4561</v>
      </c>
      <c r="O2600">
        <v>9</v>
      </c>
      <c r="P2600" t="s">
        <v>42</v>
      </c>
      <c r="Q2600" s="1">
        <v>44240</v>
      </c>
    </row>
    <row r="2601" spans="1:17" x14ac:dyDescent="0.3">
      <c r="A2601" t="s">
        <v>35</v>
      </c>
      <c r="B2601" t="s">
        <v>36</v>
      </c>
      <c r="C2601" t="s">
        <v>52</v>
      </c>
      <c r="D2601" t="s">
        <v>46</v>
      </c>
      <c r="E2601" t="s">
        <v>48</v>
      </c>
      <c r="F2601" s="9">
        <v>0.01</v>
      </c>
      <c r="G2601" s="10">
        <v>17898</v>
      </c>
      <c r="H2601">
        <v>5.98</v>
      </c>
      <c r="I2601" s="5">
        <f>ROUND(Marketing[[#This Row],[Clicks]]*Marketing[[#This Row],[Conversion_Rate]],0)</f>
        <v>2</v>
      </c>
      <c r="J2601" s="12">
        <f>Marketing[[#This Row],[Campaign_Cost]]/Marketing[[#This Row],[Customers]]</f>
        <v>8949</v>
      </c>
      <c r="K2601" t="s">
        <v>19</v>
      </c>
      <c r="L2601" t="s">
        <v>33</v>
      </c>
      <c r="M2601">
        <v>160</v>
      </c>
      <c r="N2601">
        <v>1918</v>
      </c>
      <c r="O2601">
        <v>10</v>
      </c>
      <c r="P2601" t="s">
        <v>44</v>
      </c>
      <c r="Q2601" s="1">
        <v>44241</v>
      </c>
    </row>
    <row r="2602" spans="1:17" x14ac:dyDescent="0.3">
      <c r="A2602" t="s">
        <v>28</v>
      </c>
      <c r="B2602" t="s">
        <v>47</v>
      </c>
      <c r="C2602" t="s">
        <v>16</v>
      </c>
      <c r="D2602" t="s">
        <v>46</v>
      </c>
      <c r="E2602" t="s">
        <v>43</v>
      </c>
      <c r="F2602" s="9">
        <v>0.14000000000000001</v>
      </c>
      <c r="G2602" s="10">
        <v>15748</v>
      </c>
      <c r="H2602">
        <v>7.5</v>
      </c>
      <c r="I2602" s="5">
        <f>ROUND(Marketing[[#This Row],[Clicks]]*Marketing[[#This Row],[Conversion_Rate]],0)</f>
        <v>133</v>
      </c>
      <c r="J2602" s="12">
        <f>Marketing[[#This Row],[Campaign_Cost]]/Marketing[[#This Row],[Customers]]</f>
        <v>118.40601503759399</v>
      </c>
      <c r="K2602" t="s">
        <v>51</v>
      </c>
      <c r="L2602" t="s">
        <v>26</v>
      </c>
      <c r="M2602">
        <v>949</v>
      </c>
      <c r="N2602">
        <v>4203</v>
      </c>
      <c r="O2602">
        <v>6</v>
      </c>
      <c r="P2602" t="s">
        <v>21</v>
      </c>
      <c r="Q2602" s="1">
        <v>44242</v>
      </c>
    </row>
    <row r="2603" spans="1:17" x14ac:dyDescent="0.3">
      <c r="A2603" t="s">
        <v>22</v>
      </c>
      <c r="B2603" t="s">
        <v>45</v>
      </c>
      <c r="C2603" t="s">
        <v>52</v>
      </c>
      <c r="D2603" t="s">
        <v>17</v>
      </c>
      <c r="E2603" t="s">
        <v>15</v>
      </c>
      <c r="F2603" s="9">
        <v>0.02</v>
      </c>
      <c r="G2603" s="10">
        <v>6333</v>
      </c>
      <c r="H2603">
        <v>2.4700000000000002</v>
      </c>
      <c r="I2603" s="5">
        <f>ROUND(Marketing[[#This Row],[Clicks]]*Marketing[[#This Row],[Conversion_Rate]],0)</f>
        <v>3</v>
      </c>
      <c r="J2603" s="12">
        <f>Marketing[[#This Row],[Campaign_Cost]]/Marketing[[#This Row],[Customers]]</f>
        <v>2111</v>
      </c>
      <c r="K2603" t="s">
        <v>19</v>
      </c>
      <c r="L2603" t="s">
        <v>50</v>
      </c>
      <c r="M2603">
        <v>147</v>
      </c>
      <c r="N2603">
        <v>5362</v>
      </c>
      <c r="O2603">
        <v>4</v>
      </c>
      <c r="P2603" t="s">
        <v>21</v>
      </c>
      <c r="Q2603" s="1">
        <v>44243</v>
      </c>
    </row>
    <row r="2604" spans="1:17" x14ac:dyDescent="0.3">
      <c r="A2604" t="s">
        <v>22</v>
      </c>
      <c r="B2604" t="s">
        <v>15</v>
      </c>
      <c r="C2604" t="s">
        <v>52</v>
      </c>
      <c r="D2604" t="s">
        <v>46</v>
      </c>
      <c r="E2604" t="s">
        <v>31</v>
      </c>
      <c r="F2604" s="9">
        <v>0.1</v>
      </c>
      <c r="G2604" s="10">
        <v>16717</v>
      </c>
      <c r="H2604">
        <v>3.91</v>
      </c>
      <c r="I2604" s="5">
        <f>ROUND(Marketing[[#This Row],[Clicks]]*Marketing[[#This Row],[Conversion_Rate]],0)</f>
        <v>37</v>
      </c>
      <c r="J2604" s="12">
        <f>Marketing[[#This Row],[Campaign_Cost]]/Marketing[[#This Row],[Customers]]</f>
        <v>451.81081081081084</v>
      </c>
      <c r="K2604" t="s">
        <v>19</v>
      </c>
      <c r="L2604" t="s">
        <v>33</v>
      </c>
      <c r="M2604">
        <v>369</v>
      </c>
      <c r="N2604">
        <v>2517</v>
      </c>
      <c r="O2604">
        <v>3</v>
      </c>
      <c r="P2604" t="s">
        <v>44</v>
      </c>
      <c r="Q2604" s="1">
        <v>44244</v>
      </c>
    </row>
    <row r="2605" spans="1:17" x14ac:dyDescent="0.3">
      <c r="A2605" t="s">
        <v>14</v>
      </c>
      <c r="B2605" t="s">
        <v>47</v>
      </c>
      <c r="C2605" t="s">
        <v>52</v>
      </c>
      <c r="D2605" t="s">
        <v>17</v>
      </c>
      <c r="E2605" t="s">
        <v>48</v>
      </c>
      <c r="F2605" s="9">
        <v>0.02</v>
      </c>
      <c r="G2605" s="10">
        <v>9183</v>
      </c>
      <c r="H2605">
        <v>3.24</v>
      </c>
      <c r="I2605" s="5">
        <f>ROUND(Marketing[[#This Row],[Clicks]]*Marketing[[#This Row],[Conversion_Rate]],0)</f>
        <v>8</v>
      </c>
      <c r="J2605" s="12">
        <f>Marketing[[#This Row],[Campaign_Cost]]/Marketing[[#This Row],[Customers]]</f>
        <v>1147.875</v>
      </c>
      <c r="K2605" t="s">
        <v>51</v>
      </c>
      <c r="L2605" t="s">
        <v>33</v>
      </c>
      <c r="M2605">
        <v>379</v>
      </c>
      <c r="N2605">
        <v>4327</v>
      </c>
      <c r="O2605">
        <v>8</v>
      </c>
      <c r="P2605" t="s">
        <v>21</v>
      </c>
      <c r="Q2605" s="1">
        <v>44245</v>
      </c>
    </row>
    <row r="2606" spans="1:17" x14ac:dyDescent="0.3">
      <c r="A2606" t="s">
        <v>28</v>
      </c>
      <c r="B2606" t="s">
        <v>29</v>
      </c>
      <c r="C2606" t="s">
        <v>30</v>
      </c>
      <c r="D2606" t="s">
        <v>46</v>
      </c>
      <c r="E2606" t="s">
        <v>15</v>
      </c>
      <c r="F2606" s="9">
        <v>0.1</v>
      </c>
      <c r="G2606" s="10">
        <v>17841</v>
      </c>
      <c r="H2606">
        <v>5.64</v>
      </c>
      <c r="I2606" s="5">
        <f>ROUND(Marketing[[#This Row],[Clicks]]*Marketing[[#This Row],[Conversion_Rate]],0)</f>
        <v>68</v>
      </c>
      <c r="J2606" s="12">
        <f>Marketing[[#This Row],[Campaign_Cost]]/Marketing[[#This Row],[Customers]]</f>
        <v>262.36764705882354</v>
      </c>
      <c r="K2606" t="s">
        <v>38</v>
      </c>
      <c r="L2606" t="s">
        <v>33</v>
      </c>
      <c r="M2606">
        <v>677</v>
      </c>
      <c r="N2606">
        <v>4362</v>
      </c>
      <c r="O2606">
        <v>7</v>
      </c>
      <c r="P2606" t="s">
        <v>27</v>
      </c>
      <c r="Q2606" s="1">
        <v>44246</v>
      </c>
    </row>
    <row r="2607" spans="1:17" x14ac:dyDescent="0.3">
      <c r="A2607" t="s">
        <v>49</v>
      </c>
      <c r="B2607" t="s">
        <v>15</v>
      </c>
      <c r="C2607" t="s">
        <v>30</v>
      </c>
      <c r="D2607" t="s">
        <v>24</v>
      </c>
      <c r="E2607" t="s">
        <v>31</v>
      </c>
      <c r="F2607" s="9">
        <v>0.08</v>
      </c>
      <c r="G2607" s="10">
        <v>11157</v>
      </c>
      <c r="H2607">
        <v>5.6</v>
      </c>
      <c r="I2607" s="5">
        <f>ROUND(Marketing[[#This Row],[Clicks]]*Marketing[[#This Row],[Conversion_Rate]],0)</f>
        <v>56</v>
      </c>
      <c r="J2607" s="12">
        <f>Marketing[[#This Row],[Campaign_Cost]]/Marketing[[#This Row],[Customers]]</f>
        <v>199.23214285714286</v>
      </c>
      <c r="K2607" t="s">
        <v>38</v>
      </c>
      <c r="L2607" t="s">
        <v>39</v>
      </c>
      <c r="M2607">
        <v>697</v>
      </c>
      <c r="N2607">
        <v>6910</v>
      </c>
      <c r="O2607">
        <v>8</v>
      </c>
      <c r="P2607" t="s">
        <v>21</v>
      </c>
      <c r="Q2607" s="1">
        <v>44247</v>
      </c>
    </row>
    <row r="2608" spans="1:17" x14ac:dyDescent="0.3">
      <c r="A2608" t="s">
        <v>22</v>
      </c>
      <c r="B2608" t="s">
        <v>45</v>
      </c>
      <c r="C2608" t="s">
        <v>30</v>
      </c>
      <c r="D2608" t="s">
        <v>24</v>
      </c>
      <c r="E2608" t="s">
        <v>18</v>
      </c>
      <c r="F2608" s="9">
        <v>0.01</v>
      </c>
      <c r="G2608" s="10">
        <v>11837</v>
      </c>
      <c r="H2608">
        <v>2.54</v>
      </c>
      <c r="I2608" s="5">
        <f>ROUND(Marketing[[#This Row],[Clicks]]*Marketing[[#This Row],[Conversion_Rate]],0)</f>
        <v>4</v>
      </c>
      <c r="J2608" s="12">
        <f>Marketing[[#This Row],[Campaign_Cost]]/Marketing[[#This Row],[Customers]]</f>
        <v>2959.25</v>
      </c>
      <c r="K2608" t="s">
        <v>38</v>
      </c>
      <c r="L2608" t="s">
        <v>39</v>
      </c>
      <c r="M2608">
        <v>423</v>
      </c>
      <c r="N2608">
        <v>8525</v>
      </c>
      <c r="O2608">
        <v>10</v>
      </c>
      <c r="P2608" t="s">
        <v>27</v>
      </c>
      <c r="Q2608" s="1">
        <v>44248</v>
      </c>
    </row>
    <row r="2609" spans="1:17" x14ac:dyDescent="0.3">
      <c r="A2609" t="s">
        <v>14</v>
      </c>
      <c r="B2609" t="s">
        <v>29</v>
      </c>
      <c r="C2609" t="s">
        <v>37</v>
      </c>
      <c r="D2609" t="s">
        <v>24</v>
      </c>
      <c r="E2609" t="s">
        <v>15</v>
      </c>
      <c r="F2609" s="9">
        <v>0.05</v>
      </c>
      <c r="G2609" s="10">
        <v>6987</v>
      </c>
      <c r="H2609">
        <v>6.51</v>
      </c>
      <c r="I2609" s="5">
        <f>ROUND(Marketing[[#This Row],[Clicks]]*Marketing[[#This Row],[Conversion_Rate]],0)</f>
        <v>38</v>
      </c>
      <c r="J2609" s="12">
        <f>Marketing[[#This Row],[Campaign_Cost]]/Marketing[[#This Row],[Customers]]</f>
        <v>183.86842105263159</v>
      </c>
      <c r="K2609" t="s">
        <v>51</v>
      </c>
      <c r="L2609" t="s">
        <v>33</v>
      </c>
      <c r="M2609">
        <v>767</v>
      </c>
      <c r="N2609">
        <v>9372</v>
      </c>
      <c r="O2609">
        <v>3</v>
      </c>
      <c r="P2609" t="s">
        <v>27</v>
      </c>
      <c r="Q2609" s="1">
        <v>44249</v>
      </c>
    </row>
    <row r="2610" spans="1:17" x14ac:dyDescent="0.3">
      <c r="A2610" t="s">
        <v>22</v>
      </c>
      <c r="B2610" t="s">
        <v>29</v>
      </c>
      <c r="C2610" t="s">
        <v>16</v>
      </c>
      <c r="D2610" t="s">
        <v>17</v>
      </c>
      <c r="E2610" t="s">
        <v>18</v>
      </c>
      <c r="F2610" s="9">
        <v>0.05</v>
      </c>
      <c r="G2610" s="10">
        <v>13103</v>
      </c>
      <c r="H2610">
        <v>2.35</v>
      </c>
      <c r="I2610" s="5">
        <f>ROUND(Marketing[[#This Row],[Clicks]]*Marketing[[#This Row],[Conversion_Rate]],0)</f>
        <v>42</v>
      </c>
      <c r="J2610" s="12">
        <f>Marketing[[#This Row],[Campaign_Cost]]/Marketing[[#This Row],[Customers]]</f>
        <v>311.97619047619048</v>
      </c>
      <c r="K2610" t="s">
        <v>19</v>
      </c>
      <c r="L2610" t="s">
        <v>33</v>
      </c>
      <c r="M2610">
        <v>841</v>
      </c>
      <c r="N2610">
        <v>3419</v>
      </c>
      <c r="O2610">
        <v>1</v>
      </c>
      <c r="P2610" t="s">
        <v>44</v>
      </c>
      <c r="Q2610" s="1">
        <v>44250</v>
      </c>
    </row>
    <row r="2611" spans="1:17" x14ac:dyDescent="0.3">
      <c r="A2611" t="s">
        <v>22</v>
      </c>
      <c r="B2611" t="s">
        <v>47</v>
      </c>
      <c r="C2611" t="s">
        <v>52</v>
      </c>
      <c r="D2611" t="s">
        <v>24</v>
      </c>
      <c r="E2611" t="s">
        <v>15</v>
      </c>
      <c r="F2611" s="9">
        <v>0.15</v>
      </c>
      <c r="G2611" s="10">
        <v>12802</v>
      </c>
      <c r="H2611">
        <v>2.87</v>
      </c>
      <c r="I2611" s="5">
        <f>ROUND(Marketing[[#This Row],[Clicks]]*Marketing[[#This Row],[Conversion_Rate]],0)</f>
        <v>77</v>
      </c>
      <c r="J2611" s="12">
        <f>Marketing[[#This Row],[Campaign_Cost]]/Marketing[[#This Row],[Customers]]</f>
        <v>166.25974025974025</v>
      </c>
      <c r="K2611" t="s">
        <v>19</v>
      </c>
      <c r="L2611" t="s">
        <v>39</v>
      </c>
      <c r="M2611">
        <v>515</v>
      </c>
      <c r="N2611">
        <v>4466</v>
      </c>
      <c r="O2611">
        <v>10</v>
      </c>
      <c r="P2611" t="s">
        <v>21</v>
      </c>
      <c r="Q2611" s="1">
        <v>44251</v>
      </c>
    </row>
    <row r="2612" spans="1:17" x14ac:dyDescent="0.3">
      <c r="A2612" t="s">
        <v>14</v>
      </c>
      <c r="B2612" t="s">
        <v>29</v>
      </c>
      <c r="C2612" t="s">
        <v>23</v>
      </c>
      <c r="D2612" t="s">
        <v>17</v>
      </c>
      <c r="E2612" t="s">
        <v>31</v>
      </c>
      <c r="F2612" s="9">
        <v>0.13</v>
      </c>
      <c r="G2612" s="10">
        <v>11182</v>
      </c>
      <c r="H2612">
        <v>3.73</v>
      </c>
      <c r="I2612" s="5">
        <f>ROUND(Marketing[[#This Row],[Clicks]]*Marketing[[#This Row],[Conversion_Rate]],0)</f>
        <v>78</v>
      </c>
      <c r="J2612" s="12">
        <f>Marketing[[#This Row],[Campaign_Cost]]/Marketing[[#This Row],[Customers]]</f>
        <v>143.35897435897436</v>
      </c>
      <c r="K2612" t="s">
        <v>32</v>
      </c>
      <c r="L2612" t="s">
        <v>20</v>
      </c>
      <c r="M2612">
        <v>603</v>
      </c>
      <c r="N2612">
        <v>3711</v>
      </c>
      <c r="O2612">
        <v>5</v>
      </c>
      <c r="P2612" t="s">
        <v>44</v>
      </c>
      <c r="Q2612" s="1">
        <v>44252</v>
      </c>
    </row>
    <row r="2613" spans="1:17" x14ac:dyDescent="0.3">
      <c r="A2613" t="s">
        <v>35</v>
      </c>
      <c r="B2613" t="s">
        <v>36</v>
      </c>
      <c r="C2613" t="s">
        <v>52</v>
      </c>
      <c r="D2613" t="s">
        <v>46</v>
      </c>
      <c r="E2613" t="s">
        <v>43</v>
      </c>
      <c r="F2613" s="9">
        <v>0.13</v>
      </c>
      <c r="G2613" s="10">
        <v>15129</v>
      </c>
      <c r="H2613">
        <v>2.1800000000000002</v>
      </c>
      <c r="I2613" s="5">
        <f>ROUND(Marketing[[#This Row],[Clicks]]*Marketing[[#This Row],[Conversion_Rate]],0)</f>
        <v>120</v>
      </c>
      <c r="J2613" s="12">
        <f>Marketing[[#This Row],[Campaign_Cost]]/Marketing[[#This Row],[Customers]]</f>
        <v>126.075</v>
      </c>
      <c r="K2613" t="s">
        <v>38</v>
      </c>
      <c r="L2613" t="s">
        <v>33</v>
      </c>
      <c r="M2613">
        <v>920</v>
      </c>
      <c r="N2613">
        <v>3250</v>
      </c>
      <c r="O2613">
        <v>3</v>
      </c>
      <c r="P2613" t="s">
        <v>44</v>
      </c>
      <c r="Q2613" s="1">
        <v>44253</v>
      </c>
    </row>
    <row r="2614" spans="1:17" x14ac:dyDescent="0.3">
      <c r="A2614" t="s">
        <v>35</v>
      </c>
      <c r="B2614" t="s">
        <v>29</v>
      </c>
      <c r="C2614" t="s">
        <v>52</v>
      </c>
      <c r="D2614" t="s">
        <v>17</v>
      </c>
      <c r="E2614" t="s">
        <v>41</v>
      </c>
      <c r="F2614" s="9">
        <v>0.03</v>
      </c>
      <c r="G2614" s="10">
        <v>8039</v>
      </c>
      <c r="H2614">
        <v>3.69</v>
      </c>
      <c r="I2614" s="5">
        <f>ROUND(Marketing[[#This Row],[Clicks]]*Marketing[[#This Row],[Conversion_Rate]],0)</f>
        <v>9</v>
      </c>
      <c r="J2614" s="12">
        <f>Marketing[[#This Row],[Campaign_Cost]]/Marketing[[#This Row],[Customers]]</f>
        <v>893.22222222222217</v>
      </c>
      <c r="K2614" t="s">
        <v>51</v>
      </c>
      <c r="L2614" t="s">
        <v>20</v>
      </c>
      <c r="M2614">
        <v>309</v>
      </c>
      <c r="N2614">
        <v>4516</v>
      </c>
      <c r="O2614">
        <v>9</v>
      </c>
      <c r="P2614" t="s">
        <v>27</v>
      </c>
      <c r="Q2614" s="1">
        <v>44254</v>
      </c>
    </row>
    <row r="2615" spans="1:17" x14ac:dyDescent="0.3">
      <c r="A2615" t="s">
        <v>14</v>
      </c>
      <c r="B2615" t="s">
        <v>47</v>
      </c>
      <c r="C2615" t="s">
        <v>30</v>
      </c>
      <c r="D2615" t="s">
        <v>24</v>
      </c>
      <c r="E2615" t="s">
        <v>18</v>
      </c>
      <c r="F2615" s="9">
        <v>0.06</v>
      </c>
      <c r="G2615" s="10">
        <v>13833</v>
      </c>
      <c r="H2615">
        <v>7.74</v>
      </c>
      <c r="I2615" s="5">
        <f>ROUND(Marketing[[#This Row],[Clicks]]*Marketing[[#This Row],[Conversion_Rate]],0)</f>
        <v>24</v>
      </c>
      <c r="J2615" s="12">
        <f>Marketing[[#This Row],[Campaign_Cost]]/Marketing[[#This Row],[Customers]]</f>
        <v>576.375</v>
      </c>
      <c r="K2615" t="s">
        <v>25</v>
      </c>
      <c r="L2615" t="s">
        <v>39</v>
      </c>
      <c r="M2615">
        <v>394</v>
      </c>
      <c r="N2615">
        <v>7872</v>
      </c>
      <c r="O2615">
        <v>8</v>
      </c>
      <c r="P2615" t="s">
        <v>27</v>
      </c>
      <c r="Q2615" s="1">
        <v>44255</v>
      </c>
    </row>
    <row r="2616" spans="1:17" x14ac:dyDescent="0.3">
      <c r="A2616" t="s">
        <v>22</v>
      </c>
      <c r="B2616" t="s">
        <v>45</v>
      </c>
      <c r="C2616" t="s">
        <v>30</v>
      </c>
      <c r="D2616" t="s">
        <v>40</v>
      </c>
      <c r="E2616" t="s">
        <v>41</v>
      </c>
      <c r="F2616" s="9">
        <v>0.11</v>
      </c>
      <c r="G2616" s="10">
        <v>7942</v>
      </c>
      <c r="H2616">
        <v>4.3899999999999997</v>
      </c>
      <c r="I2616" s="5">
        <f>ROUND(Marketing[[#This Row],[Clicks]]*Marketing[[#This Row],[Conversion_Rate]],0)</f>
        <v>59</v>
      </c>
      <c r="J2616" s="12">
        <f>Marketing[[#This Row],[Campaign_Cost]]/Marketing[[#This Row],[Customers]]</f>
        <v>134.61016949152543</v>
      </c>
      <c r="K2616" t="s">
        <v>25</v>
      </c>
      <c r="L2616" t="s">
        <v>50</v>
      </c>
      <c r="M2616">
        <v>537</v>
      </c>
      <c r="N2616">
        <v>3240</v>
      </c>
      <c r="O2616">
        <v>10</v>
      </c>
      <c r="P2616" t="s">
        <v>27</v>
      </c>
      <c r="Q2616" s="1">
        <v>44256</v>
      </c>
    </row>
    <row r="2617" spans="1:17" x14ac:dyDescent="0.3">
      <c r="A2617" t="s">
        <v>28</v>
      </c>
      <c r="B2617" t="s">
        <v>29</v>
      </c>
      <c r="C2617" t="s">
        <v>37</v>
      </c>
      <c r="D2617" t="s">
        <v>17</v>
      </c>
      <c r="E2617" t="s">
        <v>31</v>
      </c>
      <c r="F2617" s="9">
        <v>0.04</v>
      </c>
      <c r="G2617" s="10">
        <v>9669</v>
      </c>
      <c r="H2617">
        <v>7.78</v>
      </c>
      <c r="I2617" s="5">
        <f>ROUND(Marketing[[#This Row],[Clicks]]*Marketing[[#This Row],[Conversion_Rate]],0)</f>
        <v>6</v>
      </c>
      <c r="J2617" s="12">
        <f>Marketing[[#This Row],[Campaign_Cost]]/Marketing[[#This Row],[Customers]]</f>
        <v>1611.5</v>
      </c>
      <c r="K2617" t="s">
        <v>25</v>
      </c>
      <c r="L2617" t="s">
        <v>20</v>
      </c>
      <c r="M2617">
        <v>139</v>
      </c>
      <c r="N2617">
        <v>1362</v>
      </c>
      <c r="O2617">
        <v>5</v>
      </c>
      <c r="P2617" t="s">
        <v>27</v>
      </c>
      <c r="Q2617" s="1">
        <v>44257</v>
      </c>
    </row>
    <row r="2618" spans="1:17" x14ac:dyDescent="0.3">
      <c r="A2618" t="s">
        <v>22</v>
      </c>
      <c r="B2618" t="s">
        <v>15</v>
      </c>
      <c r="C2618" t="s">
        <v>52</v>
      </c>
      <c r="D2618" t="s">
        <v>46</v>
      </c>
      <c r="E2618" t="s">
        <v>18</v>
      </c>
      <c r="F2618" s="9">
        <v>0.13</v>
      </c>
      <c r="G2618" s="10">
        <v>18401</v>
      </c>
      <c r="H2618">
        <v>3.3</v>
      </c>
      <c r="I2618" s="5">
        <f>ROUND(Marketing[[#This Row],[Clicks]]*Marketing[[#This Row],[Conversion_Rate]],0)</f>
        <v>101</v>
      </c>
      <c r="J2618" s="12">
        <f>Marketing[[#This Row],[Campaign_Cost]]/Marketing[[#This Row],[Customers]]</f>
        <v>182.1881188118812</v>
      </c>
      <c r="K2618" t="s">
        <v>25</v>
      </c>
      <c r="L2618" t="s">
        <v>39</v>
      </c>
      <c r="M2618">
        <v>778</v>
      </c>
      <c r="N2618">
        <v>2002</v>
      </c>
      <c r="O2618">
        <v>5</v>
      </c>
      <c r="P2618" t="s">
        <v>27</v>
      </c>
      <c r="Q2618" s="1">
        <v>44258</v>
      </c>
    </row>
    <row r="2619" spans="1:17" x14ac:dyDescent="0.3">
      <c r="A2619" t="s">
        <v>49</v>
      </c>
      <c r="B2619" t="s">
        <v>15</v>
      </c>
      <c r="C2619" t="s">
        <v>16</v>
      </c>
      <c r="D2619" t="s">
        <v>40</v>
      </c>
      <c r="E2619" t="s">
        <v>15</v>
      </c>
      <c r="F2619" s="9">
        <v>0.06</v>
      </c>
      <c r="G2619" s="10">
        <v>10141</v>
      </c>
      <c r="H2619">
        <v>2.2200000000000002</v>
      </c>
      <c r="I2619" s="5">
        <f>ROUND(Marketing[[#This Row],[Clicks]]*Marketing[[#This Row],[Conversion_Rate]],0)</f>
        <v>38</v>
      </c>
      <c r="J2619" s="12">
        <f>Marketing[[#This Row],[Campaign_Cost]]/Marketing[[#This Row],[Customers]]</f>
        <v>266.86842105263156</v>
      </c>
      <c r="K2619" t="s">
        <v>51</v>
      </c>
      <c r="L2619" t="s">
        <v>50</v>
      </c>
      <c r="M2619">
        <v>641</v>
      </c>
      <c r="N2619">
        <v>8357</v>
      </c>
      <c r="O2619">
        <v>7</v>
      </c>
      <c r="P2619" t="s">
        <v>27</v>
      </c>
      <c r="Q2619" s="1">
        <v>44259</v>
      </c>
    </row>
    <row r="2620" spans="1:17" x14ac:dyDescent="0.3">
      <c r="A2620" t="s">
        <v>35</v>
      </c>
      <c r="B2620" t="s">
        <v>29</v>
      </c>
      <c r="C2620" t="s">
        <v>23</v>
      </c>
      <c r="D2620" t="s">
        <v>46</v>
      </c>
      <c r="E2620" t="s">
        <v>43</v>
      </c>
      <c r="F2620" s="9">
        <v>0.08</v>
      </c>
      <c r="G2620" s="10">
        <v>9549</v>
      </c>
      <c r="H2620">
        <v>6.3</v>
      </c>
      <c r="I2620" s="5">
        <f>ROUND(Marketing[[#This Row],[Clicks]]*Marketing[[#This Row],[Conversion_Rate]],0)</f>
        <v>30</v>
      </c>
      <c r="J2620" s="12">
        <f>Marketing[[#This Row],[Campaign_Cost]]/Marketing[[#This Row],[Customers]]</f>
        <v>318.3</v>
      </c>
      <c r="K2620" t="s">
        <v>51</v>
      </c>
      <c r="L2620" t="s">
        <v>50</v>
      </c>
      <c r="M2620">
        <v>374</v>
      </c>
      <c r="N2620">
        <v>1198</v>
      </c>
      <c r="O2620">
        <v>5</v>
      </c>
      <c r="P2620" t="s">
        <v>21</v>
      </c>
      <c r="Q2620" s="1">
        <v>44260</v>
      </c>
    </row>
    <row r="2621" spans="1:17" x14ac:dyDescent="0.3">
      <c r="A2621" t="s">
        <v>35</v>
      </c>
      <c r="B2621" t="s">
        <v>45</v>
      </c>
      <c r="C2621" t="s">
        <v>52</v>
      </c>
      <c r="D2621" t="s">
        <v>46</v>
      </c>
      <c r="E2621" t="s">
        <v>18</v>
      </c>
      <c r="F2621" s="9">
        <v>0.13</v>
      </c>
      <c r="G2621" s="10">
        <v>10706</v>
      </c>
      <c r="H2621">
        <v>6.27</v>
      </c>
      <c r="I2621" s="5">
        <f>ROUND(Marketing[[#This Row],[Clicks]]*Marketing[[#This Row],[Conversion_Rate]],0)</f>
        <v>28</v>
      </c>
      <c r="J2621" s="12">
        <f>Marketing[[#This Row],[Campaign_Cost]]/Marketing[[#This Row],[Customers]]</f>
        <v>382.35714285714283</v>
      </c>
      <c r="K2621" t="s">
        <v>32</v>
      </c>
      <c r="L2621" t="s">
        <v>26</v>
      </c>
      <c r="M2621">
        <v>213</v>
      </c>
      <c r="N2621">
        <v>3556</v>
      </c>
      <c r="O2621">
        <v>6</v>
      </c>
      <c r="P2621" t="s">
        <v>21</v>
      </c>
      <c r="Q2621" s="1">
        <v>44261</v>
      </c>
    </row>
    <row r="2622" spans="1:17" x14ac:dyDescent="0.3">
      <c r="A2622" t="s">
        <v>14</v>
      </c>
      <c r="B2622" t="s">
        <v>29</v>
      </c>
      <c r="C2622" t="s">
        <v>52</v>
      </c>
      <c r="D2622" t="s">
        <v>24</v>
      </c>
      <c r="E2622" t="s">
        <v>48</v>
      </c>
      <c r="F2622" s="9">
        <v>0.15</v>
      </c>
      <c r="G2622" s="10">
        <v>13616</v>
      </c>
      <c r="H2622">
        <v>2.84</v>
      </c>
      <c r="I2622" s="5">
        <f>ROUND(Marketing[[#This Row],[Clicks]]*Marketing[[#This Row],[Conversion_Rate]],0)</f>
        <v>86</v>
      </c>
      <c r="J2622" s="12">
        <f>Marketing[[#This Row],[Campaign_Cost]]/Marketing[[#This Row],[Customers]]</f>
        <v>158.32558139534885</v>
      </c>
      <c r="K2622" t="s">
        <v>38</v>
      </c>
      <c r="L2622" t="s">
        <v>50</v>
      </c>
      <c r="M2622">
        <v>570</v>
      </c>
      <c r="N2622">
        <v>6570</v>
      </c>
      <c r="O2622">
        <v>3</v>
      </c>
      <c r="P2622" t="s">
        <v>34</v>
      </c>
      <c r="Q2622" s="1">
        <v>44262</v>
      </c>
    </row>
    <row r="2623" spans="1:17" x14ac:dyDescent="0.3">
      <c r="A2623" t="s">
        <v>14</v>
      </c>
      <c r="B2623" t="s">
        <v>36</v>
      </c>
      <c r="C2623" t="s">
        <v>52</v>
      </c>
      <c r="D2623" t="s">
        <v>17</v>
      </c>
      <c r="E2623" t="s">
        <v>15</v>
      </c>
      <c r="F2623" s="9">
        <v>7.0000000000000007E-2</v>
      </c>
      <c r="G2623" s="10">
        <v>15327</v>
      </c>
      <c r="H2623">
        <v>7.61</v>
      </c>
      <c r="I2623" s="5">
        <f>ROUND(Marketing[[#This Row],[Clicks]]*Marketing[[#This Row],[Conversion_Rate]],0)</f>
        <v>58</v>
      </c>
      <c r="J2623" s="12">
        <f>Marketing[[#This Row],[Campaign_Cost]]/Marketing[[#This Row],[Customers]]</f>
        <v>264.25862068965517</v>
      </c>
      <c r="K2623" t="s">
        <v>19</v>
      </c>
      <c r="L2623" t="s">
        <v>39</v>
      </c>
      <c r="M2623">
        <v>828</v>
      </c>
      <c r="N2623">
        <v>4537</v>
      </c>
      <c r="O2623">
        <v>6</v>
      </c>
      <c r="P2623" t="s">
        <v>44</v>
      </c>
      <c r="Q2623" s="1">
        <v>44263</v>
      </c>
    </row>
    <row r="2624" spans="1:17" x14ac:dyDescent="0.3">
      <c r="A2624" t="s">
        <v>49</v>
      </c>
      <c r="B2624" t="s">
        <v>15</v>
      </c>
      <c r="C2624" t="s">
        <v>52</v>
      </c>
      <c r="D2624" t="s">
        <v>40</v>
      </c>
      <c r="E2624" t="s">
        <v>43</v>
      </c>
      <c r="F2624" s="9">
        <v>0.03</v>
      </c>
      <c r="G2624" s="10">
        <v>12096</v>
      </c>
      <c r="H2624">
        <v>7.87</v>
      </c>
      <c r="I2624" s="5">
        <f>ROUND(Marketing[[#This Row],[Clicks]]*Marketing[[#This Row],[Conversion_Rate]],0)</f>
        <v>29</v>
      </c>
      <c r="J2624" s="12">
        <f>Marketing[[#This Row],[Campaign_Cost]]/Marketing[[#This Row],[Customers]]</f>
        <v>417.10344827586209</v>
      </c>
      <c r="K2624" t="s">
        <v>25</v>
      </c>
      <c r="L2624" t="s">
        <v>26</v>
      </c>
      <c r="M2624">
        <v>961</v>
      </c>
      <c r="N2624">
        <v>6310</v>
      </c>
      <c r="O2624">
        <v>10</v>
      </c>
      <c r="P2624" t="s">
        <v>27</v>
      </c>
      <c r="Q2624" s="1">
        <v>44264</v>
      </c>
    </row>
    <row r="2625" spans="1:17" x14ac:dyDescent="0.3">
      <c r="A2625" t="s">
        <v>28</v>
      </c>
      <c r="B2625" t="s">
        <v>15</v>
      </c>
      <c r="C2625" t="s">
        <v>37</v>
      </c>
      <c r="D2625" t="s">
        <v>24</v>
      </c>
      <c r="E2625" t="s">
        <v>18</v>
      </c>
      <c r="F2625" s="9">
        <v>0.06</v>
      </c>
      <c r="G2625" s="10">
        <v>12568</v>
      </c>
      <c r="H2625">
        <v>4.0199999999999996</v>
      </c>
      <c r="I2625" s="5">
        <f>ROUND(Marketing[[#This Row],[Clicks]]*Marketing[[#This Row],[Conversion_Rate]],0)</f>
        <v>23</v>
      </c>
      <c r="J2625" s="12">
        <f>Marketing[[#This Row],[Campaign_Cost]]/Marketing[[#This Row],[Customers]]</f>
        <v>546.43478260869563</v>
      </c>
      <c r="K2625" t="s">
        <v>32</v>
      </c>
      <c r="L2625" t="s">
        <v>33</v>
      </c>
      <c r="M2625">
        <v>381</v>
      </c>
      <c r="N2625">
        <v>7105</v>
      </c>
      <c r="O2625">
        <v>4</v>
      </c>
      <c r="P2625" t="s">
        <v>42</v>
      </c>
      <c r="Q2625" s="1">
        <v>44265</v>
      </c>
    </row>
    <row r="2626" spans="1:17" x14ac:dyDescent="0.3">
      <c r="A2626" t="s">
        <v>35</v>
      </c>
      <c r="B2626" t="s">
        <v>47</v>
      </c>
      <c r="C2626" t="s">
        <v>37</v>
      </c>
      <c r="D2626" t="s">
        <v>40</v>
      </c>
      <c r="E2626" t="s">
        <v>31</v>
      </c>
      <c r="F2626" s="9">
        <v>0.03</v>
      </c>
      <c r="G2626" s="10">
        <v>14848</v>
      </c>
      <c r="H2626">
        <v>6.17</v>
      </c>
      <c r="I2626" s="5">
        <f>ROUND(Marketing[[#This Row],[Clicks]]*Marketing[[#This Row],[Conversion_Rate]],0)</f>
        <v>12</v>
      </c>
      <c r="J2626" s="12">
        <f>Marketing[[#This Row],[Campaign_Cost]]/Marketing[[#This Row],[Customers]]</f>
        <v>1237.3333333333333</v>
      </c>
      <c r="K2626" t="s">
        <v>51</v>
      </c>
      <c r="L2626" t="s">
        <v>39</v>
      </c>
      <c r="M2626">
        <v>406</v>
      </c>
      <c r="N2626">
        <v>6053</v>
      </c>
      <c r="O2626">
        <v>1</v>
      </c>
      <c r="P2626" t="s">
        <v>27</v>
      </c>
      <c r="Q2626" s="1">
        <v>44266</v>
      </c>
    </row>
    <row r="2627" spans="1:17" x14ac:dyDescent="0.3">
      <c r="A2627" t="s">
        <v>14</v>
      </c>
      <c r="B2627" t="s">
        <v>45</v>
      </c>
      <c r="C2627" t="s">
        <v>30</v>
      </c>
      <c r="D2627" t="s">
        <v>40</v>
      </c>
      <c r="E2627" t="s">
        <v>18</v>
      </c>
      <c r="F2627" s="9">
        <v>0.11</v>
      </c>
      <c r="G2627" s="10">
        <v>6459</v>
      </c>
      <c r="H2627">
        <v>6.61</v>
      </c>
      <c r="I2627" s="5">
        <f>ROUND(Marketing[[#This Row],[Clicks]]*Marketing[[#This Row],[Conversion_Rate]],0)</f>
        <v>38</v>
      </c>
      <c r="J2627" s="12">
        <f>Marketing[[#This Row],[Campaign_Cost]]/Marketing[[#This Row],[Customers]]</f>
        <v>169.97368421052633</v>
      </c>
      <c r="K2627" t="s">
        <v>51</v>
      </c>
      <c r="L2627" t="s">
        <v>39</v>
      </c>
      <c r="M2627">
        <v>347</v>
      </c>
      <c r="N2627">
        <v>6104</v>
      </c>
      <c r="O2627">
        <v>1</v>
      </c>
      <c r="P2627" t="s">
        <v>44</v>
      </c>
      <c r="Q2627" s="1">
        <v>44267</v>
      </c>
    </row>
    <row r="2628" spans="1:17" x14ac:dyDescent="0.3">
      <c r="A2628" t="s">
        <v>49</v>
      </c>
      <c r="B2628" t="s">
        <v>45</v>
      </c>
      <c r="C2628" t="s">
        <v>37</v>
      </c>
      <c r="D2628" t="s">
        <v>40</v>
      </c>
      <c r="E2628" t="s">
        <v>48</v>
      </c>
      <c r="F2628" s="9">
        <v>0.09</v>
      </c>
      <c r="G2628" s="10">
        <v>9086</v>
      </c>
      <c r="H2628">
        <v>5.86</v>
      </c>
      <c r="I2628" s="5">
        <f>ROUND(Marketing[[#This Row],[Clicks]]*Marketing[[#This Row],[Conversion_Rate]],0)</f>
        <v>15</v>
      </c>
      <c r="J2628" s="12">
        <f>Marketing[[#This Row],[Campaign_Cost]]/Marketing[[#This Row],[Customers]]</f>
        <v>605.73333333333335</v>
      </c>
      <c r="K2628" t="s">
        <v>19</v>
      </c>
      <c r="L2628" t="s">
        <v>33</v>
      </c>
      <c r="M2628">
        <v>172</v>
      </c>
      <c r="N2628">
        <v>1877</v>
      </c>
      <c r="O2628">
        <v>1</v>
      </c>
      <c r="P2628" t="s">
        <v>27</v>
      </c>
      <c r="Q2628" s="1">
        <v>44268</v>
      </c>
    </row>
    <row r="2629" spans="1:17" x14ac:dyDescent="0.3">
      <c r="A2629" t="s">
        <v>35</v>
      </c>
      <c r="B2629" t="s">
        <v>15</v>
      </c>
      <c r="C2629" t="s">
        <v>30</v>
      </c>
      <c r="D2629" t="s">
        <v>46</v>
      </c>
      <c r="E2629" t="s">
        <v>48</v>
      </c>
      <c r="F2629" s="9">
        <v>0.09</v>
      </c>
      <c r="G2629" s="10">
        <v>16271</v>
      </c>
      <c r="H2629">
        <v>7.75</v>
      </c>
      <c r="I2629" s="5">
        <f>ROUND(Marketing[[#This Row],[Clicks]]*Marketing[[#This Row],[Conversion_Rate]],0)</f>
        <v>47</v>
      </c>
      <c r="J2629" s="12">
        <f>Marketing[[#This Row],[Campaign_Cost]]/Marketing[[#This Row],[Customers]]</f>
        <v>346.19148936170211</v>
      </c>
      <c r="K2629" t="s">
        <v>51</v>
      </c>
      <c r="L2629" t="s">
        <v>33</v>
      </c>
      <c r="M2629">
        <v>525</v>
      </c>
      <c r="N2629">
        <v>7428</v>
      </c>
      <c r="O2629">
        <v>10</v>
      </c>
      <c r="P2629" t="s">
        <v>27</v>
      </c>
      <c r="Q2629" s="1">
        <v>44269</v>
      </c>
    </row>
    <row r="2630" spans="1:17" x14ac:dyDescent="0.3">
      <c r="A2630" t="s">
        <v>28</v>
      </c>
      <c r="B2630" t="s">
        <v>15</v>
      </c>
      <c r="C2630" t="s">
        <v>23</v>
      </c>
      <c r="D2630" t="s">
        <v>40</v>
      </c>
      <c r="E2630" t="s">
        <v>43</v>
      </c>
      <c r="F2630" s="9">
        <v>0.11</v>
      </c>
      <c r="G2630" s="10">
        <v>10974</v>
      </c>
      <c r="H2630">
        <v>7.89</v>
      </c>
      <c r="I2630" s="5">
        <f>ROUND(Marketing[[#This Row],[Clicks]]*Marketing[[#This Row],[Conversion_Rate]],0)</f>
        <v>64</v>
      </c>
      <c r="J2630" s="12">
        <f>Marketing[[#This Row],[Campaign_Cost]]/Marketing[[#This Row],[Customers]]</f>
        <v>171.46875</v>
      </c>
      <c r="K2630" t="s">
        <v>38</v>
      </c>
      <c r="L2630" t="s">
        <v>50</v>
      </c>
      <c r="M2630">
        <v>580</v>
      </c>
      <c r="N2630">
        <v>9246</v>
      </c>
      <c r="O2630">
        <v>1</v>
      </c>
      <c r="P2630" t="s">
        <v>44</v>
      </c>
      <c r="Q2630" s="1">
        <v>44270</v>
      </c>
    </row>
    <row r="2631" spans="1:17" x14ac:dyDescent="0.3">
      <c r="A2631" t="s">
        <v>14</v>
      </c>
      <c r="B2631" t="s">
        <v>29</v>
      </c>
      <c r="C2631" t="s">
        <v>16</v>
      </c>
      <c r="D2631" t="s">
        <v>40</v>
      </c>
      <c r="E2631" t="s">
        <v>48</v>
      </c>
      <c r="F2631" s="9">
        <v>0.14000000000000001</v>
      </c>
      <c r="G2631" s="10">
        <v>5430</v>
      </c>
      <c r="H2631">
        <v>2.84</v>
      </c>
      <c r="I2631" s="5">
        <f>ROUND(Marketing[[#This Row],[Clicks]]*Marketing[[#This Row],[Conversion_Rate]],0)</f>
        <v>25</v>
      </c>
      <c r="J2631" s="12">
        <f>Marketing[[#This Row],[Campaign_Cost]]/Marketing[[#This Row],[Customers]]</f>
        <v>217.2</v>
      </c>
      <c r="K2631" t="s">
        <v>32</v>
      </c>
      <c r="L2631" t="s">
        <v>26</v>
      </c>
      <c r="M2631">
        <v>179</v>
      </c>
      <c r="N2631">
        <v>2516</v>
      </c>
      <c r="O2631">
        <v>3</v>
      </c>
      <c r="P2631" t="s">
        <v>34</v>
      </c>
      <c r="Q2631" s="1">
        <v>44271</v>
      </c>
    </row>
    <row r="2632" spans="1:17" x14ac:dyDescent="0.3">
      <c r="A2632" t="s">
        <v>28</v>
      </c>
      <c r="B2632" t="s">
        <v>36</v>
      </c>
      <c r="C2632" t="s">
        <v>52</v>
      </c>
      <c r="D2632" t="s">
        <v>40</v>
      </c>
      <c r="E2632" t="s">
        <v>48</v>
      </c>
      <c r="F2632" s="9">
        <v>0.1</v>
      </c>
      <c r="G2632" s="10">
        <v>18132</v>
      </c>
      <c r="H2632">
        <v>5.5</v>
      </c>
      <c r="I2632" s="5">
        <f>ROUND(Marketing[[#This Row],[Clicks]]*Marketing[[#This Row],[Conversion_Rate]],0)</f>
        <v>49</v>
      </c>
      <c r="J2632" s="12">
        <f>Marketing[[#This Row],[Campaign_Cost]]/Marketing[[#This Row],[Customers]]</f>
        <v>370.0408163265306</v>
      </c>
      <c r="K2632" t="s">
        <v>38</v>
      </c>
      <c r="L2632" t="s">
        <v>26</v>
      </c>
      <c r="M2632">
        <v>488</v>
      </c>
      <c r="N2632">
        <v>7302</v>
      </c>
      <c r="O2632">
        <v>1</v>
      </c>
      <c r="P2632" t="s">
        <v>21</v>
      </c>
      <c r="Q2632" s="1">
        <v>44272</v>
      </c>
    </row>
    <row r="2633" spans="1:17" x14ac:dyDescent="0.3">
      <c r="A2633" t="s">
        <v>22</v>
      </c>
      <c r="B2633" t="s">
        <v>47</v>
      </c>
      <c r="C2633" t="s">
        <v>52</v>
      </c>
      <c r="D2633" t="s">
        <v>40</v>
      </c>
      <c r="E2633" t="s">
        <v>43</v>
      </c>
      <c r="F2633" s="9">
        <v>0.02</v>
      </c>
      <c r="G2633" s="10">
        <v>12889</v>
      </c>
      <c r="H2633">
        <v>2.86</v>
      </c>
      <c r="I2633" s="5">
        <f>ROUND(Marketing[[#This Row],[Clicks]]*Marketing[[#This Row],[Conversion_Rate]],0)</f>
        <v>15</v>
      </c>
      <c r="J2633" s="12">
        <f>Marketing[[#This Row],[Campaign_Cost]]/Marketing[[#This Row],[Customers]]</f>
        <v>859.26666666666665</v>
      </c>
      <c r="K2633" t="s">
        <v>25</v>
      </c>
      <c r="L2633" t="s">
        <v>26</v>
      </c>
      <c r="M2633">
        <v>768</v>
      </c>
      <c r="N2633">
        <v>1334</v>
      </c>
      <c r="O2633">
        <v>9</v>
      </c>
      <c r="P2633" t="s">
        <v>27</v>
      </c>
      <c r="Q2633" s="1">
        <v>44273</v>
      </c>
    </row>
    <row r="2634" spans="1:17" x14ac:dyDescent="0.3">
      <c r="A2634" t="s">
        <v>22</v>
      </c>
      <c r="B2634" t="s">
        <v>29</v>
      </c>
      <c r="C2634" t="s">
        <v>16</v>
      </c>
      <c r="D2634" t="s">
        <v>24</v>
      </c>
      <c r="E2634" t="s">
        <v>41</v>
      </c>
      <c r="F2634" s="9">
        <v>0.02</v>
      </c>
      <c r="G2634" s="10">
        <v>5951</v>
      </c>
      <c r="H2634">
        <v>2.16</v>
      </c>
      <c r="I2634" s="5">
        <f>ROUND(Marketing[[#This Row],[Clicks]]*Marketing[[#This Row],[Conversion_Rate]],0)</f>
        <v>12</v>
      </c>
      <c r="J2634" s="12">
        <f>Marketing[[#This Row],[Campaign_Cost]]/Marketing[[#This Row],[Customers]]</f>
        <v>495.91666666666669</v>
      </c>
      <c r="K2634" t="s">
        <v>38</v>
      </c>
      <c r="L2634" t="s">
        <v>33</v>
      </c>
      <c r="M2634">
        <v>593</v>
      </c>
      <c r="N2634">
        <v>4012</v>
      </c>
      <c r="O2634">
        <v>10</v>
      </c>
      <c r="P2634" t="s">
        <v>21</v>
      </c>
      <c r="Q2634" s="1">
        <v>44274</v>
      </c>
    </row>
    <row r="2635" spans="1:17" x14ac:dyDescent="0.3">
      <c r="A2635" t="s">
        <v>35</v>
      </c>
      <c r="B2635" t="s">
        <v>36</v>
      </c>
      <c r="C2635" t="s">
        <v>37</v>
      </c>
      <c r="D2635" t="s">
        <v>24</v>
      </c>
      <c r="E2635" t="s">
        <v>48</v>
      </c>
      <c r="F2635" s="9">
        <v>0.11</v>
      </c>
      <c r="G2635" s="10">
        <v>13644</v>
      </c>
      <c r="H2635">
        <v>5.61</v>
      </c>
      <c r="I2635" s="5">
        <f>ROUND(Marketing[[#This Row],[Clicks]]*Marketing[[#This Row],[Conversion_Rate]],0)</f>
        <v>61</v>
      </c>
      <c r="J2635" s="12">
        <f>Marketing[[#This Row],[Campaign_Cost]]/Marketing[[#This Row],[Customers]]</f>
        <v>223.67213114754099</v>
      </c>
      <c r="K2635" t="s">
        <v>19</v>
      </c>
      <c r="L2635" t="s">
        <v>50</v>
      </c>
      <c r="M2635">
        <v>558</v>
      </c>
      <c r="N2635">
        <v>9654</v>
      </c>
      <c r="O2635">
        <v>9</v>
      </c>
      <c r="P2635" t="s">
        <v>34</v>
      </c>
      <c r="Q2635" s="1">
        <v>44275</v>
      </c>
    </row>
    <row r="2636" spans="1:17" x14ac:dyDescent="0.3">
      <c r="A2636" t="s">
        <v>49</v>
      </c>
      <c r="B2636" t="s">
        <v>36</v>
      </c>
      <c r="C2636" t="s">
        <v>52</v>
      </c>
      <c r="D2636" t="s">
        <v>46</v>
      </c>
      <c r="E2636" t="s">
        <v>43</v>
      </c>
      <c r="F2636" s="9">
        <v>0.06</v>
      </c>
      <c r="G2636" s="10">
        <v>5532</v>
      </c>
      <c r="H2636">
        <v>5.63</v>
      </c>
      <c r="I2636" s="5">
        <f>ROUND(Marketing[[#This Row],[Clicks]]*Marketing[[#This Row],[Conversion_Rate]],0)</f>
        <v>38</v>
      </c>
      <c r="J2636" s="12">
        <f>Marketing[[#This Row],[Campaign_Cost]]/Marketing[[#This Row],[Customers]]</f>
        <v>145.57894736842104</v>
      </c>
      <c r="K2636" t="s">
        <v>32</v>
      </c>
      <c r="L2636" t="s">
        <v>50</v>
      </c>
      <c r="M2636">
        <v>634</v>
      </c>
      <c r="N2636">
        <v>6429</v>
      </c>
      <c r="O2636">
        <v>4</v>
      </c>
      <c r="P2636" t="s">
        <v>42</v>
      </c>
      <c r="Q2636" s="1">
        <v>44276</v>
      </c>
    </row>
    <row r="2637" spans="1:17" x14ac:dyDescent="0.3">
      <c r="A2637" t="s">
        <v>35</v>
      </c>
      <c r="B2637" t="s">
        <v>36</v>
      </c>
      <c r="C2637" t="s">
        <v>23</v>
      </c>
      <c r="D2637" t="s">
        <v>24</v>
      </c>
      <c r="E2637" t="s">
        <v>48</v>
      </c>
      <c r="F2637" s="9">
        <v>0.05</v>
      </c>
      <c r="G2637" s="10">
        <v>19479</v>
      </c>
      <c r="H2637">
        <v>5.28</v>
      </c>
      <c r="I2637" s="5">
        <f>ROUND(Marketing[[#This Row],[Clicks]]*Marketing[[#This Row],[Conversion_Rate]],0)</f>
        <v>38</v>
      </c>
      <c r="J2637" s="12">
        <f>Marketing[[#This Row],[Campaign_Cost]]/Marketing[[#This Row],[Customers]]</f>
        <v>512.60526315789468</v>
      </c>
      <c r="K2637" t="s">
        <v>38</v>
      </c>
      <c r="L2637" t="s">
        <v>39</v>
      </c>
      <c r="M2637">
        <v>759</v>
      </c>
      <c r="N2637">
        <v>5562</v>
      </c>
      <c r="O2637">
        <v>3</v>
      </c>
      <c r="P2637" t="s">
        <v>21</v>
      </c>
      <c r="Q2637" s="1">
        <v>44277</v>
      </c>
    </row>
    <row r="2638" spans="1:17" x14ac:dyDescent="0.3">
      <c r="A2638" t="s">
        <v>22</v>
      </c>
      <c r="B2638" t="s">
        <v>47</v>
      </c>
      <c r="C2638" t="s">
        <v>37</v>
      </c>
      <c r="D2638" t="s">
        <v>40</v>
      </c>
      <c r="E2638" t="s">
        <v>48</v>
      </c>
      <c r="F2638" s="9">
        <v>0.14000000000000001</v>
      </c>
      <c r="G2638" s="10">
        <v>14457</v>
      </c>
      <c r="H2638">
        <v>3.58</v>
      </c>
      <c r="I2638" s="5">
        <f>ROUND(Marketing[[#This Row],[Clicks]]*Marketing[[#This Row],[Conversion_Rate]],0)</f>
        <v>125</v>
      </c>
      <c r="J2638" s="12">
        <f>Marketing[[#This Row],[Campaign_Cost]]/Marketing[[#This Row],[Customers]]</f>
        <v>115.65600000000001</v>
      </c>
      <c r="K2638" t="s">
        <v>32</v>
      </c>
      <c r="L2638" t="s">
        <v>26</v>
      </c>
      <c r="M2638">
        <v>890</v>
      </c>
      <c r="N2638">
        <v>3822</v>
      </c>
      <c r="O2638">
        <v>2</v>
      </c>
      <c r="P2638" t="s">
        <v>21</v>
      </c>
      <c r="Q2638" s="1">
        <v>44278</v>
      </c>
    </row>
    <row r="2639" spans="1:17" x14ac:dyDescent="0.3">
      <c r="A2639" t="s">
        <v>35</v>
      </c>
      <c r="B2639" t="s">
        <v>36</v>
      </c>
      <c r="C2639" t="s">
        <v>52</v>
      </c>
      <c r="D2639" t="s">
        <v>46</v>
      </c>
      <c r="E2639" t="s">
        <v>43</v>
      </c>
      <c r="F2639" s="9">
        <v>0.09</v>
      </c>
      <c r="G2639" s="10">
        <v>9639</v>
      </c>
      <c r="H2639">
        <v>2.36</v>
      </c>
      <c r="I2639" s="5">
        <f>ROUND(Marketing[[#This Row],[Clicks]]*Marketing[[#This Row],[Conversion_Rate]],0)</f>
        <v>15</v>
      </c>
      <c r="J2639" s="12">
        <f>Marketing[[#This Row],[Campaign_Cost]]/Marketing[[#This Row],[Customers]]</f>
        <v>642.6</v>
      </c>
      <c r="K2639" t="s">
        <v>38</v>
      </c>
      <c r="L2639" t="s">
        <v>33</v>
      </c>
      <c r="M2639">
        <v>165</v>
      </c>
      <c r="N2639">
        <v>7468</v>
      </c>
      <c r="O2639">
        <v>8</v>
      </c>
      <c r="P2639" t="s">
        <v>21</v>
      </c>
      <c r="Q2639" s="1">
        <v>44279</v>
      </c>
    </row>
    <row r="2640" spans="1:17" x14ac:dyDescent="0.3">
      <c r="A2640" t="s">
        <v>28</v>
      </c>
      <c r="B2640" t="s">
        <v>36</v>
      </c>
      <c r="C2640" t="s">
        <v>37</v>
      </c>
      <c r="D2640" t="s">
        <v>17</v>
      </c>
      <c r="E2640" t="s">
        <v>48</v>
      </c>
      <c r="F2640" s="9">
        <v>0.1</v>
      </c>
      <c r="G2640" s="10">
        <v>12023</v>
      </c>
      <c r="H2640">
        <v>6.95</v>
      </c>
      <c r="I2640" s="5">
        <f>ROUND(Marketing[[#This Row],[Clicks]]*Marketing[[#This Row],[Conversion_Rate]],0)</f>
        <v>44</v>
      </c>
      <c r="J2640" s="12">
        <f>Marketing[[#This Row],[Campaign_Cost]]/Marketing[[#This Row],[Customers]]</f>
        <v>273.25</v>
      </c>
      <c r="K2640" t="s">
        <v>51</v>
      </c>
      <c r="L2640" t="s">
        <v>33</v>
      </c>
      <c r="M2640">
        <v>439</v>
      </c>
      <c r="N2640">
        <v>2528</v>
      </c>
      <c r="O2640">
        <v>7</v>
      </c>
      <c r="P2640" t="s">
        <v>44</v>
      </c>
      <c r="Q2640" s="1">
        <v>44280</v>
      </c>
    </row>
    <row r="2641" spans="1:17" x14ac:dyDescent="0.3">
      <c r="A2641" t="s">
        <v>22</v>
      </c>
      <c r="B2641" t="s">
        <v>47</v>
      </c>
      <c r="C2641" t="s">
        <v>52</v>
      </c>
      <c r="D2641" t="s">
        <v>24</v>
      </c>
      <c r="E2641" t="s">
        <v>18</v>
      </c>
      <c r="F2641" s="9">
        <v>0.06</v>
      </c>
      <c r="G2641" s="10">
        <v>10076</v>
      </c>
      <c r="H2641">
        <v>6.5</v>
      </c>
      <c r="I2641" s="5">
        <f>ROUND(Marketing[[#This Row],[Clicks]]*Marketing[[#This Row],[Conversion_Rate]],0)</f>
        <v>43</v>
      </c>
      <c r="J2641" s="12">
        <f>Marketing[[#This Row],[Campaign_Cost]]/Marketing[[#This Row],[Customers]]</f>
        <v>234.32558139534885</v>
      </c>
      <c r="K2641" t="s">
        <v>51</v>
      </c>
      <c r="L2641" t="s">
        <v>33</v>
      </c>
      <c r="M2641">
        <v>722</v>
      </c>
      <c r="N2641">
        <v>8613</v>
      </c>
      <c r="O2641">
        <v>3</v>
      </c>
      <c r="P2641" t="s">
        <v>42</v>
      </c>
      <c r="Q2641" s="1">
        <v>44281</v>
      </c>
    </row>
    <row r="2642" spans="1:17" x14ac:dyDescent="0.3">
      <c r="A2642" t="s">
        <v>28</v>
      </c>
      <c r="B2642" t="s">
        <v>47</v>
      </c>
      <c r="C2642" t="s">
        <v>52</v>
      </c>
      <c r="D2642" t="s">
        <v>46</v>
      </c>
      <c r="E2642" t="s">
        <v>43</v>
      </c>
      <c r="F2642" s="9">
        <v>0.04</v>
      </c>
      <c r="G2642" s="10">
        <v>5500</v>
      </c>
      <c r="H2642">
        <v>5.37</v>
      </c>
      <c r="I2642" s="5">
        <f>ROUND(Marketing[[#This Row],[Clicks]]*Marketing[[#This Row],[Conversion_Rate]],0)</f>
        <v>27</v>
      </c>
      <c r="J2642" s="12">
        <f>Marketing[[#This Row],[Campaign_Cost]]/Marketing[[#This Row],[Customers]]</f>
        <v>203.7037037037037</v>
      </c>
      <c r="K2642" t="s">
        <v>38</v>
      </c>
      <c r="L2642" t="s">
        <v>20</v>
      </c>
      <c r="M2642">
        <v>676</v>
      </c>
      <c r="N2642">
        <v>1026</v>
      </c>
      <c r="O2642">
        <v>3</v>
      </c>
      <c r="P2642" t="s">
        <v>44</v>
      </c>
      <c r="Q2642" s="1">
        <v>44282</v>
      </c>
    </row>
    <row r="2643" spans="1:17" x14ac:dyDescent="0.3">
      <c r="A2643" t="s">
        <v>22</v>
      </c>
      <c r="B2643" t="s">
        <v>29</v>
      </c>
      <c r="C2643" t="s">
        <v>30</v>
      </c>
      <c r="D2643" t="s">
        <v>17</v>
      </c>
      <c r="E2643" t="s">
        <v>43</v>
      </c>
      <c r="F2643" s="9">
        <v>7.0000000000000007E-2</v>
      </c>
      <c r="G2643" s="10">
        <v>14118</v>
      </c>
      <c r="H2643">
        <v>7.86</v>
      </c>
      <c r="I2643" s="5">
        <f>ROUND(Marketing[[#This Row],[Clicks]]*Marketing[[#This Row],[Conversion_Rate]],0)</f>
        <v>40</v>
      </c>
      <c r="J2643" s="12">
        <f>Marketing[[#This Row],[Campaign_Cost]]/Marketing[[#This Row],[Customers]]</f>
        <v>352.95</v>
      </c>
      <c r="K2643" t="s">
        <v>51</v>
      </c>
      <c r="L2643" t="s">
        <v>39</v>
      </c>
      <c r="M2643">
        <v>574</v>
      </c>
      <c r="N2643">
        <v>1682</v>
      </c>
      <c r="O2643">
        <v>5</v>
      </c>
      <c r="P2643" t="s">
        <v>44</v>
      </c>
      <c r="Q2643" s="1">
        <v>44283</v>
      </c>
    </row>
    <row r="2644" spans="1:17" x14ac:dyDescent="0.3">
      <c r="A2644" t="s">
        <v>22</v>
      </c>
      <c r="B2644" t="s">
        <v>47</v>
      </c>
      <c r="C2644" t="s">
        <v>52</v>
      </c>
      <c r="D2644" t="s">
        <v>40</v>
      </c>
      <c r="E2644" t="s">
        <v>43</v>
      </c>
      <c r="F2644" s="9">
        <v>0.11</v>
      </c>
      <c r="G2644" s="10">
        <v>14014</v>
      </c>
      <c r="H2644">
        <v>7.89</v>
      </c>
      <c r="I2644" s="5">
        <f>ROUND(Marketing[[#This Row],[Clicks]]*Marketing[[#This Row],[Conversion_Rate]],0)</f>
        <v>37</v>
      </c>
      <c r="J2644" s="12">
        <f>Marketing[[#This Row],[Campaign_Cost]]/Marketing[[#This Row],[Customers]]</f>
        <v>378.75675675675677</v>
      </c>
      <c r="K2644" t="s">
        <v>38</v>
      </c>
      <c r="L2644" t="s">
        <v>50</v>
      </c>
      <c r="M2644">
        <v>339</v>
      </c>
      <c r="N2644">
        <v>9379</v>
      </c>
      <c r="O2644">
        <v>9</v>
      </c>
      <c r="P2644" t="s">
        <v>27</v>
      </c>
      <c r="Q2644" s="1">
        <v>44284</v>
      </c>
    </row>
    <row r="2645" spans="1:17" x14ac:dyDescent="0.3">
      <c r="A2645" t="s">
        <v>22</v>
      </c>
      <c r="B2645" t="s">
        <v>15</v>
      </c>
      <c r="C2645" t="s">
        <v>52</v>
      </c>
      <c r="D2645" t="s">
        <v>17</v>
      </c>
      <c r="E2645" t="s">
        <v>43</v>
      </c>
      <c r="F2645" s="9">
        <v>0.11</v>
      </c>
      <c r="G2645" s="10">
        <v>9975</v>
      </c>
      <c r="H2645">
        <v>4.97</v>
      </c>
      <c r="I2645" s="5">
        <f>ROUND(Marketing[[#This Row],[Clicks]]*Marketing[[#This Row],[Conversion_Rate]],0)</f>
        <v>14</v>
      </c>
      <c r="J2645" s="12">
        <f>Marketing[[#This Row],[Campaign_Cost]]/Marketing[[#This Row],[Customers]]</f>
        <v>712.5</v>
      </c>
      <c r="K2645" t="s">
        <v>51</v>
      </c>
      <c r="L2645" t="s">
        <v>50</v>
      </c>
      <c r="M2645">
        <v>130</v>
      </c>
      <c r="N2645">
        <v>5019</v>
      </c>
      <c r="O2645">
        <v>8</v>
      </c>
      <c r="P2645" t="s">
        <v>27</v>
      </c>
      <c r="Q2645" s="1">
        <v>44285</v>
      </c>
    </row>
    <row r="2646" spans="1:17" x14ac:dyDescent="0.3">
      <c r="A2646" t="s">
        <v>35</v>
      </c>
      <c r="B2646" t="s">
        <v>15</v>
      </c>
      <c r="C2646" t="s">
        <v>52</v>
      </c>
      <c r="D2646" t="s">
        <v>40</v>
      </c>
      <c r="E2646" t="s">
        <v>48</v>
      </c>
      <c r="F2646" s="9">
        <v>0.11</v>
      </c>
      <c r="G2646" s="10">
        <v>10556</v>
      </c>
      <c r="H2646">
        <v>6.99</v>
      </c>
      <c r="I2646" s="5">
        <f>ROUND(Marketing[[#This Row],[Clicks]]*Marketing[[#This Row],[Conversion_Rate]],0)</f>
        <v>77</v>
      </c>
      <c r="J2646" s="12">
        <f>Marketing[[#This Row],[Campaign_Cost]]/Marketing[[#This Row],[Customers]]</f>
        <v>137.09090909090909</v>
      </c>
      <c r="K2646" t="s">
        <v>19</v>
      </c>
      <c r="L2646" t="s">
        <v>39</v>
      </c>
      <c r="M2646">
        <v>703</v>
      </c>
      <c r="N2646">
        <v>8718</v>
      </c>
      <c r="O2646">
        <v>7</v>
      </c>
      <c r="P2646" t="s">
        <v>42</v>
      </c>
      <c r="Q2646" s="1">
        <v>44286</v>
      </c>
    </row>
    <row r="2647" spans="1:17" x14ac:dyDescent="0.3">
      <c r="A2647" t="s">
        <v>28</v>
      </c>
      <c r="B2647" t="s">
        <v>29</v>
      </c>
      <c r="C2647" t="s">
        <v>16</v>
      </c>
      <c r="D2647" t="s">
        <v>46</v>
      </c>
      <c r="E2647" t="s">
        <v>43</v>
      </c>
      <c r="F2647" s="9">
        <v>0.04</v>
      </c>
      <c r="G2647" s="10">
        <v>17386</v>
      </c>
      <c r="H2647">
        <v>4.6100000000000003</v>
      </c>
      <c r="I2647" s="5">
        <f>ROUND(Marketing[[#This Row],[Clicks]]*Marketing[[#This Row],[Conversion_Rate]],0)</f>
        <v>22</v>
      </c>
      <c r="J2647" s="12">
        <f>Marketing[[#This Row],[Campaign_Cost]]/Marketing[[#This Row],[Customers]]</f>
        <v>790.27272727272725</v>
      </c>
      <c r="K2647" t="s">
        <v>25</v>
      </c>
      <c r="L2647" t="s">
        <v>39</v>
      </c>
      <c r="M2647">
        <v>559</v>
      </c>
      <c r="N2647">
        <v>7052</v>
      </c>
      <c r="O2647">
        <v>6</v>
      </c>
      <c r="P2647" t="s">
        <v>42</v>
      </c>
      <c r="Q2647" s="1">
        <v>44287</v>
      </c>
    </row>
    <row r="2648" spans="1:17" x14ac:dyDescent="0.3">
      <c r="A2648" t="s">
        <v>28</v>
      </c>
      <c r="B2648" t="s">
        <v>45</v>
      </c>
      <c r="C2648" t="s">
        <v>23</v>
      </c>
      <c r="D2648" t="s">
        <v>46</v>
      </c>
      <c r="E2648" t="s">
        <v>48</v>
      </c>
      <c r="F2648" s="9">
        <v>0.03</v>
      </c>
      <c r="G2648" s="10">
        <v>16649</v>
      </c>
      <c r="H2648">
        <v>4.8499999999999996</v>
      </c>
      <c r="I2648" s="5">
        <f>ROUND(Marketing[[#This Row],[Clicks]]*Marketing[[#This Row],[Conversion_Rate]],0)</f>
        <v>16</v>
      </c>
      <c r="J2648" s="12">
        <f>Marketing[[#This Row],[Campaign_Cost]]/Marketing[[#This Row],[Customers]]</f>
        <v>1040.5625</v>
      </c>
      <c r="K2648" t="s">
        <v>19</v>
      </c>
      <c r="L2648" t="s">
        <v>39</v>
      </c>
      <c r="M2648">
        <v>532</v>
      </c>
      <c r="N2648">
        <v>9083</v>
      </c>
      <c r="O2648">
        <v>2</v>
      </c>
      <c r="P2648" t="s">
        <v>34</v>
      </c>
      <c r="Q2648" s="1">
        <v>44288</v>
      </c>
    </row>
    <row r="2649" spans="1:17" x14ac:dyDescent="0.3">
      <c r="A2649" t="s">
        <v>14</v>
      </c>
      <c r="B2649" t="s">
        <v>45</v>
      </c>
      <c r="C2649" t="s">
        <v>23</v>
      </c>
      <c r="D2649" t="s">
        <v>24</v>
      </c>
      <c r="E2649" t="s">
        <v>18</v>
      </c>
      <c r="F2649" s="9">
        <v>0.11</v>
      </c>
      <c r="G2649" s="10">
        <v>6138</v>
      </c>
      <c r="H2649">
        <v>3.24</v>
      </c>
      <c r="I2649" s="5">
        <f>ROUND(Marketing[[#This Row],[Clicks]]*Marketing[[#This Row],[Conversion_Rate]],0)</f>
        <v>54</v>
      </c>
      <c r="J2649" s="12">
        <f>Marketing[[#This Row],[Campaign_Cost]]/Marketing[[#This Row],[Customers]]</f>
        <v>113.66666666666667</v>
      </c>
      <c r="K2649" t="s">
        <v>38</v>
      </c>
      <c r="L2649" t="s">
        <v>50</v>
      </c>
      <c r="M2649">
        <v>494</v>
      </c>
      <c r="N2649">
        <v>1544</v>
      </c>
      <c r="O2649">
        <v>9</v>
      </c>
      <c r="P2649" t="s">
        <v>44</v>
      </c>
      <c r="Q2649" s="1">
        <v>44289</v>
      </c>
    </row>
    <row r="2650" spans="1:17" x14ac:dyDescent="0.3">
      <c r="A2650" t="s">
        <v>49</v>
      </c>
      <c r="B2650" t="s">
        <v>36</v>
      </c>
      <c r="C2650" t="s">
        <v>16</v>
      </c>
      <c r="D2650" t="s">
        <v>17</v>
      </c>
      <c r="E2650" t="s">
        <v>15</v>
      </c>
      <c r="F2650" s="9">
        <v>0.06</v>
      </c>
      <c r="G2650" s="10">
        <v>9807</v>
      </c>
      <c r="H2650">
        <v>6.39</v>
      </c>
      <c r="I2650" s="5">
        <f>ROUND(Marketing[[#This Row],[Clicks]]*Marketing[[#This Row],[Conversion_Rate]],0)</f>
        <v>55</v>
      </c>
      <c r="J2650" s="12">
        <f>Marketing[[#This Row],[Campaign_Cost]]/Marketing[[#This Row],[Customers]]</f>
        <v>178.30909090909091</v>
      </c>
      <c r="K2650" t="s">
        <v>19</v>
      </c>
      <c r="L2650" t="s">
        <v>20</v>
      </c>
      <c r="M2650">
        <v>909</v>
      </c>
      <c r="N2650">
        <v>8144</v>
      </c>
      <c r="O2650">
        <v>8</v>
      </c>
      <c r="P2650" t="s">
        <v>42</v>
      </c>
      <c r="Q2650" s="1">
        <v>44290</v>
      </c>
    </row>
    <row r="2651" spans="1:17" x14ac:dyDescent="0.3">
      <c r="A2651" t="s">
        <v>28</v>
      </c>
      <c r="B2651" t="s">
        <v>36</v>
      </c>
      <c r="C2651" t="s">
        <v>16</v>
      </c>
      <c r="D2651" t="s">
        <v>46</v>
      </c>
      <c r="E2651" t="s">
        <v>31</v>
      </c>
      <c r="F2651" s="9">
        <v>0.12</v>
      </c>
      <c r="G2651" s="10">
        <v>19855</v>
      </c>
      <c r="H2651">
        <v>7.02</v>
      </c>
      <c r="I2651" s="5">
        <f>ROUND(Marketing[[#This Row],[Clicks]]*Marketing[[#This Row],[Conversion_Rate]],0)</f>
        <v>48</v>
      </c>
      <c r="J2651" s="12">
        <f>Marketing[[#This Row],[Campaign_Cost]]/Marketing[[#This Row],[Customers]]</f>
        <v>413.64583333333331</v>
      </c>
      <c r="K2651" t="s">
        <v>51</v>
      </c>
      <c r="L2651" t="s">
        <v>20</v>
      </c>
      <c r="M2651">
        <v>400</v>
      </c>
      <c r="N2651">
        <v>4771</v>
      </c>
      <c r="O2651">
        <v>7</v>
      </c>
      <c r="P2651" t="s">
        <v>27</v>
      </c>
      <c r="Q2651" s="1">
        <v>44291</v>
      </c>
    </row>
    <row r="2652" spans="1:17" x14ac:dyDescent="0.3">
      <c r="A2652" t="s">
        <v>28</v>
      </c>
      <c r="B2652" t="s">
        <v>36</v>
      </c>
      <c r="C2652" t="s">
        <v>52</v>
      </c>
      <c r="D2652" t="s">
        <v>40</v>
      </c>
      <c r="E2652" t="s">
        <v>31</v>
      </c>
      <c r="F2652" s="9">
        <v>0.11</v>
      </c>
      <c r="G2652" s="10">
        <v>5306</v>
      </c>
      <c r="H2652">
        <v>3.88</v>
      </c>
      <c r="I2652" s="5">
        <f>ROUND(Marketing[[#This Row],[Clicks]]*Marketing[[#This Row],[Conversion_Rate]],0)</f>
        <v>23</v>
      </c>
      <c r="J2652" s="12">
        <f>Marketing[[#This Row],[Campaign_Cost]]/Marketing[[#This Row],[Customers]]</f>
        <v>230.69565217391303</v>
      </c>
      <c r="K2652" t="s">
        <v>32</v>
      </c>
      <c r="L2652" t="s">
        <v>33</v>
      </c>
      <c r="M2652">
        <v>213</v>
      </c>
      <c r="N2652">
        <v>3152</v>
      </c>
      <c r="O2652">
        <v>6</v>
      </c>
      <c r="P2652" t="s">
        <v>44</v>
      </c>
      <c r="Q2652" s="1">
        <v>44292</v>
      </c>
    </row>
    <row r="2653" spans="1:17" x14ac:dyDescent="0.3">
      <c r="A2653" t="s">
        <v>14</v>
      </c>
      <c r="B2653" t="s">
        <v>15</v>
      </c>
      <c r="C2653" t="s">
        <v>30</v>
      </c>
      <c r="D2653" t="s">
        <v>46</v>
      </c>
      <c r="E2653" t="s">
        <v>18</v>
      </c>
      <c r="F2653" s="9">
        <v>0.11</v>
      </c>
      <c r="G2653" s="10">
        <v>12412</v>
      </c>
      <c r="H2653">
        <v>7.13</v>
      </c>
      <c r="I2653" s="5">
        <f>ROUND(Marketing[[#This Row],[Clicks]]*Marketing[[#This Row],[Conversion_Rate]],0)</f>
        <v>20</v>
      </c>
      <c r="J2653" s="12">
        <f>Marketing[[#This Row],[Campaign_Cost]]/Marketing[[#This Row],[Customers]]</f>
        <v>620.6</v>
      </c>
      <c r="K2653" t="s">
        <v>38</v>
      </c>
      <c r="L2653" t="s">
        <v>20</v>
      </c>
      <c r="M2653">
        <v>186</v>
      </c>
      <c r="N2653">
        <v>8962</v>
      </c>
      <c r="O2653">
        <v>5</v>
      </c>
      <c r="P2653" t="s">
        <v>42</v>
      </c>
      <c r="Q2653" s="1">
        <v>44293</v>
      </c>
    </row>
    <row r="2654" spans="1:17" x14ac:dyDescent="0.3">
      <c r="A2654" t="s">
        <v>28</v>
      </c>
      <c r="B2654" t="s">
        <v>47</v>
      </c>
      <c r="C2654" t="s">
        <v>30</v>
      </c>
      <c r="D2654" t="s">
        <v>17</v>
      </c>
      <c r="E2654" t="s">
        <v>15</v>
      </c>
      <c r="F2654" s="9">
        <v>0.01</v>
      </c>
      <c r="G2654" s="10">
        <v>7355</v>
      </c>
      <c r="H2654">
        <v>5.31</v>
      </c>
      <c r="I2654" s="5">
        <f>ROUND(Marketing[[#This Row],[Clicks]]*Marketing[[#This Row],[Conversion_Rate]],0)</f>
        <v>2</v>
      </c>
      <c r="J2654" s="12">
        <f>Marketing[[#This Row],[Campaign_Cost]]/Marketing[[#This Row],[Customers]]</f>
        <v>3677.5</v>
      </c>
      <c r="K2654" t="s">
        <v>25</v>
      </c>
      <c r="L2654" t="s">
        <v>39</v>
      </c>
      <c r="M2654">
        <v>170</v>
      </c>
      <c r="N2654">
        <v>7765</v>
      </c>
      <c r="O2654">
        <v>1</v>
      </c>
      <c r="P2654" t="s">
        <v>21</v>
      </c>
      <c r="Q2654" s="1">
        <v>44294</v>
      </c>
    </row>
    <row r="2655" spans="1:17" x14ac:dyDescent="0.3">
      <c r="A2655" t="s">
        <v>35</v>
      </c>
      <c r="B2655" t="s">
        <v>47</v>
      </c>
      <c r="C2655" t="s">
        <v>16</v>
      </c>
      <c r="D2655" t="s">
        <v>24</v>
      </c>
      <c r="E2655" t="s">
        <v>15</v>
      </c>
      <c r="F2655" s="9">
        <v>0.11</v>
      </c>
      <c r="G2655" s="10">
        <v>13956</v>
      </c>
      <c r="H2655">
        <v>2.57</v>
      </c>
      <c r="I2655" s="5">
        <f>ROUND(Marketing[[#This Row],[Clicks]]*Marketing[[#This Row],[Conversion_Rate]],0)</f>
        <v>98</v>
      </c>
      <c r="J2655" s="12">
        <f>Marketing[[#This Row],[Campaign_Cost]]/Marketing[[#This Row],[Customers]]</f>
        <v>142.40816326530611</v>
      </c>
      <c r="K2655" t="s">
        <v>51</v>
      </c>
      <c r="L2655" t="s">
        <v>39</v>
      </c>
      <c r="M2655">
        <v>890</v>
      </c>
      <c r="N2655">
        <v>9719</v>
      </c>
      <c r="O2655">
        <v>3</v>
      </c>
      <c r="P2655" t="s">
        <v>21</v>
      </c>
      <c r="Q2655" s="1">
        <v>44295</v>
      </c>
    </row>
    <row r="2656" spans="1:17" x14ac:dyDescent="0.3">
      <c r="A2656" t="s">
        <v>35</v>
      </c>
      <c r="B2656" t="s">
        <v>36</v>
      </c>
      <c r="C2656" t="s">
        <v>23</v>
      </c>
      <c r="D2656" t="s">
        <v>46</v>
      </c>
      <c r="E2656" t="s">
        <v>18</v>
      </c>
      <c r="F2656" s="9">
        <v>7.0000000000000007E-2</v>
      </c>
      <c r="G2656" s="10">
        <v>17642</v>
      </c>
      <c r="H2656">
        <v>7.68</v>
      </c>
      <c r="I2656" s="5">
        <f>ROUND(Marketing[[#This Row],[Clicks]]*Marketing[[#This Row],[Conversion_Rate]],0)</f>
        <v>17</v>
      </c>
      <c r="J2656" s="12">
        <f>Marketing[[#This Row],[Campaign_Cost]]/Marketing[[#This Row],[Customers]]</f>
        <v>1037.7647058823529</v>
      </c>
      <c r="K2656" t="s">
        <v>25</v>
      </c>
      <c r="L2656" t="s">
        <v>20</v>
      </c>
      <c r="M2656">
        <v>242</v>
      </c>
      <c r="N2656">
        <v>5488</v>
      </c>
      <c r="O2656">
        <v>7</v>
      </c>
      <c r="P2656" t="s">
        <v>21</v>
      </c>
      <c r="Q2656" s="1">
        <v>44296</v>
      </c>
    </row>
    <row r="2657" spans="1:17" x14ac:dyDescent="0.3">
      <c r="A2657" t="s">
        <v>28</v>
      </c>
      <c r="B2657" t="s">
        <v>45</v>
      </c>
      <c r="C2657" t="s">
        <v>52</v>
      </c>
      <c r="D2657" t="s">
        <v>40</v>
      </c>
      <c r="E2657" t="s">
        <v>43</v>
      </c>
      <c r="F2657" s="9">
        <v>0.12</v>
      </c>
      <c r="G2657" s="10">
        <v>14656</v>
      </c>
      <c r="H2657">
        <v>7.94</v>
      </c>
      <c r="I2657" s="5">
        <f>ROUND(Marketing[[#This Row],[Clicks]]*Marketing[[#This Row],[Conversion_Rate]],0)</f>
        <v>61</v>
      </c>
      <c r="J2657" s="12">
        <f>Marketing[[#This Row],[Campaign_Cost]]/Marketing[[#This Row],[Customers]]</f>
        <v>240.26229508196721</v>
      </c>
      <c r="K2657" t="s">
        <v>32</v>
      </c>
      <c r="L2657" t="s">
        <v>39</v>
      </c>
      <c r="M2657">
        <v>509</v>
      </c>
      <c r="N2657">
        <v>9887</v>
      </c>
      <c r="O2657">
        <v>9</v>
      </c>
      <c r="P2657" t="s">
        <v>21</v>
      </c>
      <c r="Q2657" s="1">
        <v>44297</v>
      </c>
    </row>
    <row r="2658" spans="1:17" x14ac:dyDescent="0.3">
      <c r="A2658" t="s">
        <v>22</v>
      </c>
      <c r="B2658" t="s">
        <v>15</v>
      </c>
      <c r="C2658" t="s">
        <v>52</v>
      </c>
      <c r="D2658" t="s">
        <v>40</v>
      </c>
      <c r="E2658" t="s">
        <v>15</v>
      </c>
      <c r="F2658" s="9">
        <v>0.02</v>
      </c>
      <c r="G2658" s="10">
        <v>7611</v>
      </c>
      <c r="H2658">
        <v>3.79</v>
      </c>
      <c r="I2658" s="5">
        <f>ROUND(Marketing[[#This Row],[Clicks]]*Marketing[[#This Row],[Conversion_Rate]],0)</f>
        <v>9</v>
      </c>
      <c r="J2658" s="12">
        <f>Marketing[[#This Row],[Campaign_Cost]]/Marketing[[#This Row],[Customers]]</f>
        <v>845.66666666666663</v>
      </c>
      <c r="K2658" t="s">
        <v>51</v>
      </c>
      <c r="L2658" t="s">
        <v>33</v>
      </c>
      <c r="M2658">
        <v>467</v>
      </c>
      <c r="N2658">
        <v>2658</v>
      </c>
      <c r="O2658">
        <v>4</v>
      </c>
      <c r="P2658" t="s">
        <v>42</v>
      </c>
      <c r="Q2658" s="1">
        <v>44298</v>
      </c>
    </row>
    <row r="2659" spans="1:17" x14ac:dyDescent="0.3">
      <c r="A2659" t="s">
        <v>22</v>
      </c>
      <c r="B2659" t="s">
        <v>15</v>
      </c>
      <c r="C2659" t="s">
        <v>52</v>
      </c>
      <c r="D2659" t="s">
        <v>40</v>
      </c>
      <c r="E2659" t="s">
        <v>15</v>
      </c>
      <c r="F2659" s="9">
        <v>0.13</v>
      </c>
      <c r="G2659" s="10">
        <v>19225</v>
      </c>
      <c r="H2659">
        <v>6.69</v>
      </c>
      <c r="I2659" s="5">
        <f>ROUND(Marketing[[#This Row],[Clicks]]*Marketing[[#This Row],[Conversion_Rate]],0)</f>
        <v>109</v>
      </c>
      <c r="J2659" s="12">
        <f>Marketing[[#This Row],[Campaign_Cost]]/Marketing[[#This Row],[Customers]]</f>
        <v>176.37614678899084</v>
      </c>
      <c r="K2659" t="s">
        <v>32</v>
      </c>
      <c r="L2659" t="s">
        <v>33</v>
      </c>
      <c r="M2659">
        <v>840</v>
      </c>
      <c r="N2659">
        <v>6223</v>
      </c>
      <c r="O2659">
        <v>6</v>
      </c>
      <c r="P2659" t="s">
        <v>42</v>
      </c>
      <c r="Q2659" s="1">
        <v>44299</v>
      </c>
    </row>
    <row r="2660" spans="1:17" x14ac:dyDescent="0.3">
      <c r="A2660" t="s">
        <v>28</v>
      </c>
      <c r="B2660" t="s">
        <v>36</v>
      </c>
      <c r="C2660" t="s">
        <v>52</v>
      </c>
      <c r="D2660" t="s">
        <v>24</v>
      </c>
      <c r="E2660" t="s">
        <v>48</v>
      </c>
      <c r="F2660" s="9">
        <v>0.06</v>
      </c>
      <c r="G2660" s="10">
        <v>5737</v>
      </c>
      <c r="H2660">
        <v>7.94</v>
      </c>
      <c r="I2660" s="5">
        <f>ROUND(Marketing[[#This Row],[Clicks]]*Marketing[[#This Row],[Conversion_Rate]],0)</f>
        <v>9</v>
      </c>
      <c r="J2660" s="12">
        <f>Marketing[[#This Row],[Campaign_Cost]]/Marketing[[#This Row],[Customers]]</f>
        <v>637.44444444444446</v>
      </c>
      <c r="K2660" t="s">
        <v>51</v>
      </c>
      <c r="L2660" t="s">
        <v>26</v>
      </c>
      <c r="M2660">
        <v>147</v>
      </c>
      <c r="N2660">
        <v>3374</v>
      </c>
      <c r="O2660">
        <v>7</v>
      </c>
      <c r="P2660" t="s">
        <v>34</v>
      </c>
      <c r="Q2660" s="1">
        <v>44300</v>
      </c>
    </row>
    <row r="2661" spans="1:17" x14ac:dyDescent="0.3">
      <c r="A2661" t="s">
        <v>49</v>
      </c>
      <c r="B2661" t="s">
        <v>36</v>
      </c>
      <c r="C2661" t="s">
        <v>52</v>
      </c>
      <c r="D2661" t="s">
        <v>24</v>
      </c>
      <c r="E2661" t="s">
        <v>31</v>
      </c>
      <c r="F2661" s="9">
        <v>0.08</v>
      </c>
      <c r="G2661" s="10">
        <v>14210</v>
      </c>
      <c r="H2661">
        <v>4.83</v>
      </c>
      <c r="I2661" s="5">
        <f>ROUND(Marketing[[#This Row],[Clicks]]*Marketing[[#This Row],[Conversion_Rate]],0)</f>
        <v>34</v>
      </c>
      <c r="J2661" s="12">
        <f>Marketing[[#This Row],[Campaign_Cost]]/Marketing[[#This Row],[Customers]]</f>
        <v>417.94117647058823</v>
      </c>
      <c r="K2661" t="s">
        <v>25</v>
      </c>
      <c r="L2661" t="s">
        <v>50</v>
      </c>
      <c r="M2661">
        <v>421</v>
      </c>
      <c r="N2661">
        <v>1540</v>
      </c>
      <c r="O2661">
        <v>9</v>
      </c>
      <c r="P2661" t="s">
        <v>44</v>
      </c>
      <c r="Q2661" s="1">
        <v>44301</v>
      </c>
    </row>
    <row r="2662" spans="1:17" x14ac:dyDescent="0.3">
      <c r="A2662" t="s">
        <v>22</v>
      </c>
      <c r="B2662" t="s">
        <v>29</v>
      </c>
      <c r="C2662" t="s">
        <v>37</v>
      </c>
      <c r="D2662" t="s">
        <v>46</v>
      </c>
      <c r="E2662" t="s">
        <v>48</v>
      </c>
      <c r="F2662" s="9">
        <v>0.15</v>
      </c>
      <c r="G2662" s="10">
        <v>8023</v>
      </c>
      <c r="H2662">
        <v>2.63</v>
      </c>
      <c r="I2662" s="5">
        <f>ROUND(Marketing[[#This Row],[Clicks]]*Marketing[[#This Row],[Conversion_Rate]],0)</f>
        <v>128</v>
      </c>
      <c r="J2662" s="12">
        <f>Marketing[[#This Row],[Campaign_Cost]]/Marketing[[#This Row],[Customers]]</f>
        <v>62.6796875</v>
      </c>
      <c r="K2662" t="s">
        <v>25</v>
      </c>
      <c r="L2662" t="s">
        <v>39</v>
      </c>
      <c r="M2662">
        <v>855</v>
      </c>
      <c r="N2662">
        <v>6637</v>
      </c>
      <c r="O2662">
        <v>1</v>
      </c>
      <c r="P2662" t="s">
        <v>44</v>
      </c>
      <c r="Q2662" s="1">
        <v>44302</v>
      </c>
    </row>
    <row r="2663" spans="1:17" x14ac:dyDescent="0.3">
      <c r="A2663" t="s">
        <v>49</v>
      </c>
      <c r="B2663" t="s">
        <v>45</v>
      </c>
      <c r="C2663" t="s">
        <v>30</v>
      </c>
      <c r="D2663" t="s">
        <v>46</v>
      </c>
      <c r="E2663" t="s">
        <v>15</v>
      </c>
      <c r="F2663" s="9">
        <v>0.02</v>
      </c>
      <c r="G2663" s="10">
        <v>17816</v>
      </c>
      <c r="H2663">
        <v>4.4400000000000004</v>
      </c>
      <c r="I2663" s="5">
        <f>ROUND(Marketing[[#This Row],[Clicks]]*Marketing[[#This Row],[Conversion_Rate]],0)</f>
        <v>16</v>
      </c>
      <c r="J2663" s="12">
        <f>Marketing[[#This Row],[Campaign_Cost]]/Marketing[[#This Row],[Customers]]</f>
        <v>1113.5</v>
      </c>
      <c r="K2663" t="s">
        <v>38</v>
      </c>
      <c r="L2663" t="s">
        <v>33</v>
      </c>
      <c r="M2663">
        <v>793</v>
      </c>
      <c r="N2663">
        <v>2984</v>
      </c>
      <c r="O2663">
        <v>10</v>
      </c>
      <c r="P2663" t="s">
        <v>21</v>
      </c>
      <c r="Q2663" s="1">
        <v>44303</v>
      </c>
    </row>
    <row r="2664" spans="1:17" x14ac:dyDescent="0.3">
      <c r="A2664" t="s">
        <v>14</v>
      </c>
      <c r="B2664" t="s">
        <v>15</v>
      </c>
      <c r="C2664" t="s">
        <v>37</v>
      </c>
      <c r="D2664" t="s">
        <v>17</v>
      </c>
      <c r="E2664" t="s">
        <v>15</v>
      </c>
      <c r="F2664" s="9">
        <v>7.0000000000000007E-2</v>
      </c>
      <c r="G2664" s="10">
        <v>19931</v>
      </c>
      <c r="H2664">
        <v>5.13</v>
      </c>
      <c r="I2664" s="5">
        <f>ROUND(Marketing[[#This Row],[Clicks]]*Marketing[[#This Row],[Conversion_Rate]],0)</f>
        <v>60</v>
      </c>
      <c r="J2664" s="12">
        <f>Marketing[[#This Row],[Campaign_Cost]]/Marketing[[#This Row],[Customers]]</f>
        <v>332.18333333333334</v>
      </c>
      <c r="K2664" t="s">
        <v>51</v>
      </c>
      <c r="L2664" t="s">
        <v>20</v>
      </c>
      <c r="M2664">
        <v>860</v>
      </c>
      <c r="N2664">
        <v>7231</v>
      </c>
      <c r="O2664">
        <v>8</v>
      </c>
      <c r="P2664" t="s">
        <v>42</v>
      </c>
      <c r="Q2664" s="1">
        <v>44304</v>
      </c>
    </row>
    <row r="2665" spans="1:17" x14ac:dyDescent="0.3">
      <c r="A2665" t="s">
        <v>49</v>
      </c>
      <c r="B2665" t="s">
        <v>47</v>
      </c>
      <c r="C2665" t="s">
        <v>16</v>
      </c>
      <c r="D2665" t="s">
        <v>24</v>
      </c>
      <c r="E2665" t="s">
        <v>31</v>
      </c>
      <c r="F2665" s="9">
        <v>0.14000000000000001</v>
      </c>
      <c r="G2665" s="10">
        <v>8352</v>
      </c>
      <c r="H2665">
        <v>4.92</v>
      </c>
      <c r="I2665" s="5">
        <f>ROUND(Marketing[[#This Row],[Clicks]]*Marketing[[#This Row],[Conversion_Rate]],0)</f>
        <v>125</v>
      </c>
      <c r="J2665" s="12">
        <f>Marketing[[#This Row],[Campaign_Cost]]/Marketing[[#This Row],[Customers]]</f>
        <v>66.816000000000003</v>
      </c>
      <c r="K2665" t="s">
        <v>19</v>
      </c>
      <c r="L2665" t="s">
        <v>50</v>
      </c>
      <c r="M2665">
        <v>890</v>
      </c>
      <c r="N2665">
        <v>1419</v>
      </c>
      <c r="O2665">
        <v>7</v>
      </c>
      <c r="P2665" t="s">
        <v>42</v>
      </c>
      <c r="Q2665" s="1">
        <v>44305</v>
      </c>
    </row>
    <row r="2666" spans="1:17" x14ac:dyDescent="0.3">
      <c r="A2666" t="s">
        <v>22</v>
      </c>
      <c r="B2666" t="s">
        <v>29</v>
      </c>
      <c r="C2666" t="s">
        <v>23</v>
      </c>
      <c r="D2666" t="s">
        <v>17</v>
      </c>
      <c r="E2666" t="s">
        <v>18</v>
      </c>
      <c r="F2666" s="9">
        <v>0.04</v>
      </c>
      <c r="G2666" s="10">
        <v>14095</v>
      </c>
      <c r="H2666">
        <v>4.47</v>
      </c>
      <c r="I2666" s="5">
        <f>ROUND(Marketing[[#This Row],[Clicks]]*Marketing[[#This Row],[Conversion_Rate]],0)</f>
        <v>13</v>
      </c>
      <c r="J2666" s="12">
        <f>Marketing[[#This Row],[Campaign_Cost]]/Marketing[[#This Row],[Customers]]</f>
        <v>1084.2307692307693</v>
      </c>
      <c r="K2666" t="s">
        <v>51</v>
      </c>
      <c r="L2666" t="s">
        <v>20</v>
      </c>
      <c r="M2666">
        <v>317</v>
      </c>
      <c r="N2666">
        <v>1438</v>
      </c>
      <c r="O2666">
        <v>2</v>
      </c>
      <c r="P2666" t="s">
        <v>21</v>
      </c>
      <c r="Q2666" s="1">
        <v>44306</v>
      </c>
    </row>
    <row r="2667" spans="1:17" x14ac:dyDescent="0.3">
      <c r="A2667" t="s">
        <v>28</v>
      </c>
      <c r="B2667" t="s">
        <v>29</v>
      </c>
      <c r="C2667" t="s">
        <v>52</v>
      </c>
      <c r="D2667" t="s">
        <v>24</v>
      </c>
      <c r="E2667" t="s">
        <v>41</v>
      </c>
      <c r="F2667" s="9">
        <v>0.09</v>
      </c>
      <c r="G2667" s="10">
        <v>13932</v>
      </c>
      <c r="H2667">
        <v>4.5599999999999996</v>
      </c>
      <c r="I2667" s="5">
        <f>ROUND(Marketing[[#This Row],[Clicks]]*Marketing[[#This Row],[Conversion_Rate]],0)</f>
        <v>18</v>
      </c>
      <c r="J2667" s="12">
        <f>Marketing[[#This Row],[Campaign_Cost]]/Marketing[[#This Row],[Customers]]</f>
        <v>774</v>
      </c>
      <c r="K2667" t="s">
        <v>19</v>
      </c>
      <c r="L2667" t="s">
        <v>20</v>
      </c>
      <c r="M2667">
        <v>203</v>
      </c>
      <c r="N2667">
        <v>3539</v>
      </c>
      <c r="O2667">
        <v>3</v>
      </c>
      <c r="P2667" t="s">
        <v>44</v>
      </c>
      <c r="Q2667" s="1">
        <v>44307</v>
      </c>
    </row>
    <row r="2668" spans="1:17" x14ac:dyDescent="0.3">
      <c r="A2668" t="s">
        <v>49</v>
      </c>
      <c r="B2668" t="s">
        <v>29</v>
      </c>
      <c r="C2668" t="s">
        <v>23</v>
      </c>
      <c r="D2668" t="s">
        <v>46</v>
      </c>
      <c r="E2668" t="s">
        <v>15</v>
      </c>
      <c r="F2668" s="9">
        <v>0.14000000000000001</v>
      </c>
      <c r="G2668" s="10">
        <v>17691</v>
      </c>
      <c r="H2668">
        <v>2.2999999999999998</v>
      </c>
      <c r="I2668" s="5">
        <f>ROUND(Marketing[[#This Row],[Clicks]]*Marketing[[#This Row],[Conversion_Rate]],0)</f>
        <v>128</v>
      </c>
      <c r="J2668" s="12">
        <f>Marketing[[#This Row],[Campaign_Cost]]/Marketing[[#This Row],[Customers]]</f>
        <v>138.2109375</v>
      </c>
      <c r="K2668" t="s">
        <v>25</v>
      </c>
      <c r="L2668" t="s">
        <v>39</v>
      </c>
      <c r="M2668">
        <v>911</v>
      </c>
      <c r="N2668">
        <v>1031</v>
      </c>
      <c r="O2668">
        <v>10</v>
      </c>
      <c r="P2668" t="s">
        <v>21</v>
      </c>
      <c r="Q2668" s="1">
        <v>44308</v>
      </c>
    </row>
    <row r="2669" spans="1:17" x14ac:dyDescent="0.3">
      <c r="A2669" t="s">
        <v>49</v>
      </c>
      <c r="B2669" t="s">
        <v>47</v>
      </c>
      <c r="C2669" t="s">
        <v>37</v>
      </c>
      <c r="D2669" t="s">
        <v>46</v>
      </c>
      <c r="E2669" t="s">
        <v>31</v>
      </c>
      <c r="F2669" s="9">
        <v>0.1</v>
      </c>
      <c r="G2669" s="10">
        <v>12747</v>
      </c>
      <c r="H2669">
        <v>2.56</v>
      </c>
      <c r="I2669" s="5">
        <f>ROUND(Marketing[[#This Row],[Clicks]]*Marketing[[#This Row],[Conversion_Rate]],0)</f>
        <v>26</v>
      </c>
      <c r="J2669" s="12">
        <f>Marketing[[#This Row],[Campaign_Cost]]/Marketing[[#This Row],[Customers]]</f>
        <v>490.26923076923077</v>
      </c>
      <c r="K2669" t="s">
        <v>32</v>
      </c>
      <c r="L2669" t="s">
        <v>50</v>
      </c>
      <c r="M2669">
        <v>260</v>
      </c>
      <c r="N2669">
        <v>5944</v>
      </c>
      <c r="O2669">
        <v>2</v>
      </c>
      <c r="P2669" t="s">
        <v>44</v>
      </c>
      <c r="Q2669" s="1">
        <v>44309</v>
      </c>
    </row>
    <row r="2670" spans="1:17" x14ac:dyDescent="0.3">
      <c r="A2670" t="s">
        <v>22</v>
      </c>
      <c r="B2670" t="s">
        <v>29</v>
      </c>
      <c r="C2670" t="s">
        <v>37</v>
      </c>
      <c r="D2670" t="s">
        <v>46</v>
      </c>
      <c r="E2670" t="s">
        <v>31</v>
      </c>
      <c r="F2670" s="9">
        <v>0.11</v>
      </c>
      <c r="G2670" s="10">
        <v>7265</v>
      </c>
      <c r="H2670">
        <v>6.55</v>
      </c>
      <c r="I2670" s="5">
        <f>ROUND(Marketing[[#This Row],[Clicks]]*Marketing[[#This Row],[Conversion_Rate]],0)</f>
        <v>47</v>
      </c>
      <c r="J2670" s="12">
        <f>Marketing[[#This Row],[Campaign_Cost]]/Marketing[[#This Row],[Customers]]</f>
        <v>154.57446808510639</v>
      </c>
      <c r="K2670" t="s">
        <v>32</v>
      </c>
      <c r="L2670" t="s">
        <v>20</v>
      </c>
      <c r="M2670">
        <v>431</v>
      </c>
      <c r="N2670">
        <v>4011</v>
      </c>
      <c r="O2670">
        <v>2</v>
      </c>
      <c r="P2670" t="s">
        <v>27</v>
      </c>
      <c r="Q2670" s="1">
        <v>44310</v>
      </c>
    </row>
    <row r="2671" spans="1:17" x14ac:dyDescent="0.3">
      <c r="A2671" t="s">
        <v>35</v>
      </c>
      <c r="B2671" t="s">
        <v>15</v>
      </c>
      <c r="C2671" t="s">
        <v>23</v>
      </c>
      <c r="D2671" t="s">
        <v>40</v>
      </c>
      <c r="E2671" t="s">
        <v>18</v>
      </c>
      <c r="F2671" s="9">
        <v>0.12</v>
      </c>
      <c r="G2671" s="10">
        <v>12282</v>
      </c>
      <c r="H2671">
        <v>6.07</v>
      </c>
      <c r="I2671" s="5">
        <f>ROUND(Marketing[[#This Row],[Clicks]]*Marketing[[#This Row],[Conversion_Rate]],0)</f>
        <v>53</v>
      </c>
      <c r="J2671" s="12">
        <f>Marketing[[#This Row],[Campaign_Cost]]/Marketing[[#This Row],[Customers]]</f>
        <v>231.73584905660377</v>
      </c>
      <c r="K2671" t="s">
        <v>51</v>
      </c>
      <c r="L2671" t="s">
        <v>20</v>
      </c>
      <c r="M2671">
        <v>443</v>
      </c>
      <c r="N2671">
        <v>3270</v>
      </c>
      <c r="O2671">
        <v>1</v>
      </c>
      <c r="P2671" t="s">
        <v>34</v>
      </c>
      <c r="Q2671" s="1">
        <v>44311</v>
      </c>
    </row>
    <row r="2672" spans="1:17" x14ac:dyDescent="0.3">
      <c r="A2672" t="s">
        <v>49</v>
      </c>
      <c r="B2672" t="s">
        <v>36</v>
      </c>
      <c r="C2672" t="s">
        <v>52</v>
      </c>
      <c r="D2672" t="s">
        <v>17</v>
      </c>
      <c r="E2672" t="s">
        <v>43</v>
      </c>
      <c r="F2672" s="9">
        <v>0.03</v>
      </c>
      <c r="G2672" s="10">
        <v>6248</v>
      </c>
      <c r="H2672">
        <v>4.0599999999999996</v>
      </c>
      <c r="I2672" s="5">
        <f>ROUND(Marketing[[#This Row],[Clicks]]*Marketing[[#This Row],[Conversion_Rate]],0)</f>
        <v>29</v>
      </c>
      <c r="J2672" s="12">
        <f>Marketing[[#This Row],[Campaign_Cost]]/Marketing[[#This Row],[Customers]]</f>
        <v>215.44827586206895</v>
      </c>
      <c r="K2672" t="s">
        <v>38</v>
      </c>
      <c r="L2672" t="s">
        <v>26</v>
      </c>
      <c r="M2672">
        <v>969</v>
      </c>
      <c r="N2672">
        <v>4084</v>
      </c>
      <c r="O2672">
        <v>8</v>
      </c>
      <c r="P2672" t="s">
        <v>34</v>
      </c>
      <c r="Q2672" s="1">
        <v>44312</v>
      </c>
    </row>
    <row r="2673" spans="1:17" x14ac:dyDescent="0.3">
      <c r="A2673" t="s">
        <v>22</v>
      </c>
      <c r="B2673" t="s">
        <v>45</v>
      </c>
      <c r="C2673" t="s">
        <v>16</v>
      </c>
      <c r="D2673" t="s">
        <v>17</v>
      </c>
      <c r="E2673" t="s">
        <v>31</v>
      </c>
      <c r="F2673" s="9">
        <v>0.05</v>
      </c>
      <c r="G2673" s="10">
        <v>13383</v>
      </c>
      <c r="H2673">
        <v>4.58</v>
      </c>
      <c r="I2673" s="5">
        <f>ROUND(Marketing[[#This Row],[Clicks]]*Marketing[[#This Row],[Conversion_Rate]],0)</f>
        <v>42</v>
      </c>
      <c r="J2673" s="12">
        <f>Marketing[[#This Row],[Campaign_Cost]]/Marketing[[#This Row],[Customers]]</f>
        <v>318.64285714285717</v>
      </c>
      <c r="K2673" t="s">
        <v>19</v>
      </c>
      <c r="L2673" t="s">
        <v>20</v>
      </c>
      <c r="M2673">
        <v>841</v>
      </c>
      <c r="N2673">
        <v>7887</v>
      </c>
      <c r="O2673">
        <v>7</v>
      </c>
      <c r="P2673" t="s">
        <v>34</v>
      </c>
      <c r="Q2673" s="1">
        <v>44313</v>
      </c>
    </row>
    <row r="2674" spans="1:17" x14ac:dyDescent="0.3">
      <c r="A2674" t="s">
        <v>35</v>
      </c>
      <c r="B2674" t="s">
        <v>45</v>
      </c>
      <c r="C2674" t="s">
        <v>52</v>
      </c>
      <c r="D2674" t="s">
        <v>17</v>
      </c>
      <c r="E2674" t="s">
        <v>18</v>
      </c>
      <c r="F2674" s="9">
        <v>0.04</v>
      </c>
      <c r="G2674" s="10">
        <v>16439</v>
      </c>
      <c r="H2674">
        <v>5.56</v>
      </c>
      <c r="I2674" s="5">
        <f>ROUND(Marketing[[#This Row],[Clicks]]*Marketing[[#This Row],[Conversion_Rate]],0)</f>
        <v>14</v>
      </c>
      <c r="J2674" s="12">
        <f>Marketing[[#This Row],[Campaign_Cost]]/Marketing[[#This Row],[Customers]]</f>
        <v>1174.2142857142858</v>
      </c>
      <c r="K2674" t="s">
        <v>25</v>
      </c>
      <c r="L2674" t="s">
        <v>50</v>
      </c>
      <c r="M2674">
        <v>348</v>
      </c>
      <c r="N2674">
        <v>5974</v>
      </c>
      <c r="O2674">
        <v>9</v>
      </c>
      <c r="P2674" t="s">
        <v>44</v>
      </c>
      <c r="Q2674" s="1">
        <v>44314</v>
      </c>
    </row>
    <row r="2675" spans="1:17" x14ac:dyDescent="0.3">
      <c r="A2675" t="s">
        <v>49</v>
      </c>
      <c r="B2675" t="s">
        <v>15</v>
      </c>
      <c r="C2675" t="s">
        <v>30</v>
      </c>
      <c r="D2675" t="s">
        <v>46</v>
      </c>
      <c r="E2675" t="s">
        <v>15</v>
      </c>
      <c r="F2675" s="9">
        <v>0.11</v>
      </c>
      <c r="G2675" s="10">
        <v>7415</v>
      </c>
      <c r="H2675">
        <v>6.37</v>
      </c>
      <c r="I2675" s="5">
        <f>ROUND(Marketing[[#This Row],[Clicks]]*Marketing[[#This Row],[Conversion_Rate]],0)</f>
        <v>30</v>
      </c>
      <c r="J2675" s="12">
        <f>Marketing[[#This Row],[Campaign_Cost]]/Marketing[[#This Row],[Customers]]</f>
        <v>247.16666666666666</v>
      </c>
      <c r="K2675" t="s">
        <v>19</v>
      </c>
      <c r="L2675" t="s">
        <v>33</v>
      </c>
      <c r="M2675">
        <v>275</v>
      </c>
      <c r="N2675">
        <v>5904</v>
      </c>
      <c r="O2675">
        <v>6</v>
      </c>
      <c r="P2675" t="s">
        <v>44</v>
      </c>
      <c r="Q2675" s="1">
        <v>44315</v>
      </c>
    </row>
    <row r="2676" spans="1:17" x14ac:dyDescent="0.3">
      <c r="A2676" t="s">
        <v>14</v>
      </c>
      <c r="B2676" t="s">
        <v>29</v>
      </c>
      <c r="C2676" t="s">
        <v>23</v>
      </c>
      <c r="D2676" t="s">
        <v>24</v>
      </c>
      <c r="E2676" t="s">
        <v>48</v>
      </c>
      <c r="F2676" s="9">
        <v>0.03</v>
      </c>
      <c r="G2676" s="10">
        <v>13255</v>
      </c>
      <c r="H2676">
        <v>4.26</v>
      </c>
      <c r="I2676" s="5">
        <f>ROUND(Marketing[[#This Row],[Clicks]]*Marketing[[#This Row],[Conversion_Rate]],0)</f>
        <v>13</v>
      </c>
      <c r="J2676" s="12">
        <f>Marketing[[#This Row],[Campaign_Cost]]/Marketing[[#This Row],[Customers]]</f>
        <v>1019.6153846153846</v>
      </c>
      <c r="K2676" t="s">
        <v>32</v>
      </c>
      <c r="L2676" t="s">
        <v>50</v>
      </c>
      <c r="M2676">
        <v>442</v>
      </c>
      <c r="N2676">
        <v>9358</v>
      </c>
      <c r="O2676">
        <v>4</v>
      </c>
      <c r="P2676" t="s">
        <v>34</v>
      </c>
      <c r="Q2676" s="1">
        <v>44316</v>
      </c>
    </row>
    <row r="2677" spans="1:17" x14ac:dyDescent="0.3">
      <c r="A2677" t="s">
        <v>14</v>
      </c>
      <c r="B2677" t="s">
        <v>15</v>
      </c>
      <c r="C2677" t="s">
        <v>16</v>
      </c>
      <c r="D2677" t="s">
        <v>17</v>
      </c>
      <c r="E2677" t="s">
        <v>18</v>
      </c>
      <c r="F2677" s="9">
        <v>0.02</v>
      </c>
      <c r="G2677" s="10">
        <v>19121</v>
      </c>
      <c r="H2677">
        <v>2.2799999999999998</v>
      </c>
      <c r="I2677" s="5">
        <f>ROUND(Marketing[[#This Row],[Clicks]]*Marketing[[#This Row],[Conversion_Rate]],0)</f>
        <v>19</v>
      </c>
      <c r="J2677" s="12">
        <f>Marketing[[#This Row],[Campaign_Cost]]/Marketing[[#This Row],[Customers]]</f>
        <v>1006.3684210526316</v>
      </c>
      <c r="K2677" t="s">
        <v>19</v>
      </c>
      <c r="L2677" t="s">
        <v>39</v>
      </c>
      <c r="M2677">
        <v>936</v>
      </c>
      <c r="N2677">
        <v>3392</v>
      </c>
      <c r="O2677">
        <v>9</v>
      </c>
      <c r="P2677" t="s">
        <v>34</v>
      </c>
      <c r="Q2677" s="1">
        <v>44317</v>
      </c>
    </row>
    <row r="2678" spans="1:17" x14ac:dyDescent="0.3">
      <c r="A2678" t="s">
        <v>22</v>
      </c>
      <c r="B2678" t="s">
        <v>36</v>
      </c>
      <c r="C2678" t="s">
        <v>37</v>
      </c>
      <c r="D2678" t="s">
        <v>40</v>
      </c>
      <c r="E2678" t="s">
        <v>43</v>
      </c>
      <c r="F2678" s="9">
        <v>0.11</v>
      </c>
      <c r="G2678" s="10">
        <v>11716</v>
      </c>
      <c r="H2678">
        <v>7.1</v>
      </c>
      <c r="I2678" s="5">
        <f>ROUND(Marketing[[#This Row],[Clicks]]*Marketing[[#This Row],[Conversion_Rate]],0)</f>
        <v>34</v>
      </c>
      <c r="J2678" s="12">
        <f>Marketing[[#This Row],[Campaign_Cost]]/Marketing[[#This Row],[Customers]]</f>
        <v>344.58823529411762</v>
      </c>
      <c r="K2678" t="s">
        <v>51</v>
      </c>
      <c r="L2678" t="s">
        <v>20</v>
      </c>
      <c r="M2678">
        <v>311</v>
      </c>
      <c r="N2678">
        <v>3170</v>
      </c>
      <c r="O2678">
        <v>1</v>
      </c>
      <c r="P2678" t="s">
        <v>34</v>
      </c>
      <c r="Q2678" s="1">
        <v>44318</v>
      </c>
    </row>
    <row r="2679" spans="1:17" x14ac:dyDescent="0.3">
      <c r="A2679" t="s">
        <v>28</v>
      </c>
      <c r="B2679" t="s">
        <v>47</v>
      </c>
      <c r="C2679" t="s">
        <v>16</v>
      </c>
      <c r="D2679" t="s">
        <v>46</v>
      </c>
      <c r="E2679" t="s">
        <v>18</v>
      </c>
      <c r="F2679" s="9">
        <v>0.04</v>
      </c>
      <c r="G2679" s="10">
        <v>9934</v>
      </c>
      <c r="H2679">
        <v>2.4300000000000002</v>
      </c>
      <c r="I2679" s="5">
        <f>ROUND(Marketing[[#This Row],[Clicks]]*Marketing[[#This Row],[Conversion_Rate]],0)</f>
        <v>31</v>
      </c>
      <c r="J2679" s="12">
        <f>Marketing[[#This Row],[Campaign_Cost]]/Marketing[[#This Row],[Customers]]</f>
        <v>320.45161290322579</v>
      </c>
      <c r="K2679" t="s">
        <v>19</v>
      </c>
      <c r="L2679" t="s">
        <v>20</v>
      </c>
      <c r="M2679">
        <v>781</v>
      </c>
      <c r="N2679">
        <v>6086</v>
      </c>
      <c r="O2679">
        <v>7</v>
      </c>
      <c r="P2679" t="s">
        <v>42</v>
      </c>
      <c r="Q2679" s="1">
        <v>44319</v>
      </c>
    </row>
    <row r="2680" spans="1:17" x14ac:dyDescent="0.3">
      <c r="A2680" t="s">
        <v>22</v>
      </c>
      <c r="B2680" t="s">
        <v>29</v>
      </c>
      <c r="C2680" t="s">
        <v>23</v>
      </c>
      <c r="D2680" t="s">
        <v>17</v>
      </c>
      <c r="E2680" t="s">
        <v>15</v>
      </c>
      <c r="F2680" s="9">
        <v>0.13</v>
      </c>
      <c r="G2680" s="10">
        <v>18897</v>
      </c>
      <c r="H2680">
        <v>6.85</v>
      </c>
      <c r="I2680" s="5">
        <f>ROUND(Marketing[[#This Row],[Clicks]]*Marketing[[#This Row],[Conversion_Rate]],0)</f>
        <v>33</v>
      </c>
      <c r="J2680" s="12">
        <f>Marketing[[#This Row],[Campaign_Cost]]/Marketing[[#This Row],[Customers]]</f>
        <v>572.63636363636363</v>
      </c>
      <c r="K2680" t="s">
        <v>38</v>
      </c>
      <c r="L2680" t="s">
        <v>39</v>
      </c>
      <c r="M2680">
        <v>257</v>
      </c>
      <c r="N2680">
        <v>6356</v>
      </c>
      <c r="O2680">
        <v>5</v>
      </c>
      <c r="P2680" t="s">
        <v>27</v>
      </c>
      <c r="Q2680" s="1">
        <v>44320</v>
      </c>
    </row>
    <row r="2681" spans="1:17" x14ac:dyDescent="0.3">
      <c r="A2681" t="s">
        <v>22</v>
      </c>
      <c r="B2681" t="s">
        <v>36</v>
      </c>
      <c r="C2681" t="s">
        <v>52</v>
      </c>
      <c r="D2681" t="s">
        <v>24</v>
      </c>
      <c r="E2681" t="s">
        <v>43</v>
      </c>
      <c r="F2681" s="9">
        <v>0.11</v>
      </c>
      <c r="G2681" s="10">
        <v>12368</v>
      </c>
      <c r="H2681">
        <v>6</v>
      </c>
      <c r="I2681" s="5">
        <f>ROUND(Marketing[[#This Row],[Clicks]]*Marketing[[#This Row],[Conversion_Rate]],0)</f>
        <v>89</v>
      </c>
      <c r="J2681" s="12">
        <f>Marketing[[#This Row],[Campaign_Cost]]/Marketing[[#This Row],[Customers]]</f>
        <v>138.96629213483146</v>
      </c>
      <c r="K2681" t="s">
        <v>19</v>
      </c>
      <c r="L2681" t="s">
        <v>26</v>
      </c>
      <c r="M2681">
        <v>811</v>
      </c>
      <c r="N2681">
        <v>4574</v>
      </c>
      <c r="O2681">
        <v>9</v>
      </c>
      <c r="P2681" t="s">
        <v>44</v>
      </c>
      <c r="Q2681" s="1">
        <v>44321</v>
      </c>
    </row>
    <row r="2682" spans="1:17" x14ac:dyDescent="0.3">
      <c r="A2682" t="s">
        <v>22</v>
      </c>
      <c r="B2682" t="s">
        <v>47</v>
      </c>
      <c r="C2682" t="s">
        <v>37</v>
      </c>
      <c r="D2682" t="s">
        <v>46</v>
      </c>
      <c r="E2682" t="s">
        <v>15</v>
      </c>
      <c r="F2682" s="9">
        <v>7.0000000000000007E-2</v>
      </c>
      <c r="G2682" s="10">
        <v>12436</v>
      </c>
      <c r="H2682">
        <v>5.61</v>
      </c>
      <c r="I2682" s="5">
        <f>ROUND(Marketing[[#This Row],[Clicks]]*Marketing[[#This Row],[Conversion_Rate]],0)</f>
        <v>40</v>
      </c>
      <c r="J2682" s="12">
        <f>Marketing[[#This Row],[Campaign_Cost]]/Marketing[[#This Row],[Customers]]</f>
        <v>310.89999999999998</v>
      </c>
      <c r="K2682" t="s">
        <v>38</v>
      </c>
      <c r="L2682" t="s">
        <v>26</v>
      </c>
      <c r="M2682">
        <v>578</v>
      </c>
      <c r="N2682">
        <v>4382</v>
      </c>
      <c r="O2682">
        <v>7</v>
      </c>
      <c r="P2682" t="s">
        <v>42</v>
      </c>
      <c r="Q2682" s="1">
        <v>44322</v>
      </c>
    </row>
    <row r="2683" spans="1:17" x14ac:dyDescent="0.3">
      <c r="A2683" t="s">
        <v>28</v>
      </c>
      <c r="B2683" t="s">
        <v>15</v>
      </c>
      <c r="C2683" t="s">
        <v>16</v>
      </c>
      <c r="D2683" t="s">
        <v>17</v>
      </c>
      <c r="E2683" t="s">
        <v>15</v>
      </c>
      <c r="F2683" s="9">
        <v>0.08</v>
      </c>
      <c r="G2683" s="10">
        <v>15990</v>
      </c>
      <c r="H2683">
        <v>3.95</v>
      </c>
      <c r="I2683" s="5">
        <f>ROUND(Marketing[[#This Row],[Clicks]]*Marketing[[#This Row],[Conversion_Rate]],0)</f>
        <v>63</v>
      </c>
      <c r="J2683" s="12">
        <f>Marketing[[#This Row],[Campaign_Cost]]/Marketing[[#This Row],[Customers]]</f>
        <v>253.8095238095238</v>
      </c>
      <c r="K2683" t="s">
        <v>19</v>
      </c>
      <c r="L2683" t="s">
        <v>20</v>
      </c>
      <c r="M2683">
        <v>787</v>
      </c>
      <c r="N2683">
        <v>8345</v>
      </c>
      <c r="O2683">
        <v>7</v>
      </c>
      <c r="P2683" t="s">
        <v>42</v>
      </c>
      <c r="Q2683" s="1">
        <v>44323</v>
      </c>
    </row>
    <row r="2684" spans="1:17" x14ac:dyDescent="0.3">
      <c r="A2684" t="s">
        <v>49</v>
      </c>
      <c r="B2684" t="s">
        <v>36</v>
      </c>
      <c r="C2684" t="s">
        <v>16</v>
      </c>
      <c r="D2684" t="s">
        <v>17</v>
      </c>
      <c r="E2684" t="s">
        <v>18</v>
      </c>
      <c r="F2684" s="9">
        <v>0.01</v>
      </c>
      <c r="G2684" s="10">
        <v>14692</v>
      </c>
      <c r="H2684">
        <v>5.43</v>
      </c>
      <c r="I2684" s="5">
        <f>ROUND(Marketing[[#This Row],[Clicks]]*Marketing[[#This Row],[Conversion_Rate]],0)</f>
        <v>5</v>
      </c>
      <c r="J2684" s="12">
        <f>Marketing[[#This Row],[Campaign_Cost]]/Marketing[[#This Row],[Customers]]</f>
        <v>2938.4</v>
      </c>
      <c r="K2684" t="s">
        <v>32</v>
      </c>
      <c r="L2684" t="s">
        <v>26</v>
      </c>
      <c r="M2684">
        <v>457</v>
      </c>
      <c r="N2684">
        <v>9441</v>
      </c>
      <c r="O2684">
        <v>5</v>
      </c>
      <c r="P2684" t="s">
        <v>44</v>
      </c>
      <c r="Q2684" s="1">
        <v>44324</v>
      </c>
    </row>
    <row r="2685" spans="1:17" x14ac:dyDescent="0.3">
      <c r="A2685" t="s">
        <v>28</v>
      </c>
      <c r="B2685" t="s">
        <v>15</v>
      </c>
      <c r="C2685" t="s">
        <v>23</v>
      </c>
      <c r="D2685" t="s">
        <v>24</v>
      </c>
      <c r="E2685" t="s">
        <v>31</v>
      </c>
      <c r="F2685" s="9">
        <v>0.06</v>
      </c>
      <c r="G2685" s="10">
        <v>7414</v>
      </c>
      <c r="H2685">
        <v>2.36</v>
      </c>
      <c r="I2685" s="5">
        <f>ROUND(Marketing[[#This Row],[Clicks]]*Marketing[[#This Row],[Conversion_Rate]],0)</f>
        <v>53</v>
      </c>
      <c r="J2685" s="12">
        <f>Marketing[[#This Row],[Campaign_Cost]]/Marketing[[#This Row],[Customers]]</f>
        <v>139.88679245283018</v>
      </c>
      <c r="K2685" t="s">
        <v>19</v>
      </c>
      <c r="L2685" t="s">
        <v>50</v>
      </c>
      <c r="M2685">
        <v>880</v>
      </c>
      <c r="N2685">
        <v>3769</v>
      </c>
      <c r="O2685">
        <v>1</v>
      </c>
      <c r="P2685" t="s">
        <v>44</v>
      </c>
      <c r="Q2685" s="1">
        <v>44325</v>
      </c>
    </row>
    <row r="2686" spans="1:17" x14ac:dyDescent="0.3">
      <c r="A2686" t="s">
        <v>22</v>
      </c>
      <c r="B2686" t="s">
        <v>29</v>
      </c>
      <c r="C2686" t="s">
        <v>52</v>
      </c>
      <c r="D2686" t="s">
        <v>46</v>
      </c>
      <c r="E2686" t="s">
        <v>31</v>
      </c>
      <c r="F2686" s="9">
        <v>0.08</v>
      </c>
      <c r="G2686" s="10">
        <v>14256</v>
      </c>
      <c r="H2686">
        <v>2.44</v>
      </c>
      <c r="I2686" s="5">
        <f>ROUND(Marketing[[#This Row],[Clicks]]*Marketing[[#This Row],[Conversion_Rate]],0)</f>
        <v>38</v>
      </c>
      <c r="J2686" s="12">
        <f>Marketing[[#This Row],[Campaign_Cost]]/Marketing[[#This Row],[Customers]]</f>
        <v>375.15789473684208</v>
      </c>
      <c r="K2686" t="s">
        <v>38</v>
      </c>
      <c r="L2686" t="s">
        <v>20</v>
      </c>
      <c r="M2686">
        <v>469</v>
      </c>
      <c r="N2686">
        <v>4349</v>
      </c>
      <c r="O2686">
        <v>2</v>
      </c>
      <c r="P2686" t="s">
        <v>34</v>
      </c>
      <c r="Q2686" s="1">
        <v>44326</v>
      </c>
    </row>
    <row r="2687" spans="1:17" x14ac:dyDescent="0.3">
      <c r="A2687" t="s">
        <v>49</v>
      </c>
      <c r="B2687" t="s">
        <v>47</v>
      </c>
      <c r="C2687" t="s">
        <v>16</v>
      </c>
      <c r="D2687" t="s">
        <v>24</v>
      </c>
      <c r="E2687" t="s">
        <v>18</v>
      </c>
      <c r="F2687" s="9">
        <v>0.1</v>
      </c>
      <c r="G2687" s="10">
        <v>5257</v>
      </c>
      <c r="H2687">
        <v>2.81</v>
      </c>
      <c r="I2687" s="5">
        <f>ROUND(Marketing[[#This Row],[Clicks]]*Marketing[[#This Row],[Conversion_Rate]],0)</f>
        <v>60</v>
      </c>
      <c r="J2687" s="12">
        <f>Marketing[[#This Row],[Campaign_Cost]]/Marketing[[#This Row],[Customers]]</f>
        <v>87.61666666666666</v>
      </c>
      <c r="K2687" t="s">
        <v>51</v>
      </c>
      <c r="L2687" t="s">
        <v>26</v>
      </c>
      <c r="M2687">
        <v>595</v>
      </c>
      <c r="N2687">
        <v>3617</v>
      </c>
      <c r="O2687">
        <v>1</v>
      </c>
      <c r="P2687" t="s">
        <v>44</v>
      </c>
      <c r="Q2687" s="1">
        <v>44327</v>
      </c>
    </row>
    <row r="2688" spans="1:17" x14ac:dyDescent="0.3">
      <c r="A2688" t="s">
        <v>49</v>
      </c>
      <c r="B2688" t="s">
        <v>47</v>
      </c>
      <c r="C2688" t="s">
        <v>37</v>
      </c>
      <c r="D2688" t="s">
        <v>40</v>
      </c>
      <c r="E2688" t="s">
        <v>31</v>
      </c>
      <c r="F2688" s="9">
        <v>0.03</v>
      </c>
      <c r="G2688" s="10">
        <v>12368</v>
      </c>
      <c r="H2688">
        <v>3.43</v>
      </c>
      <c r="I2688" s="5">
        <f>ROUND(Marketing[[#This Row],[Clicks]]*Marketing[[#This Row],[Conversion_Rate]],0)</f>
        <v>11</v>
      </c>
      <c r="J2688" s="12">
        <f>Marketing[[#This Row],[Campaign_Cost]]/Marketing[[#This Row],[Customers]]</f>
        <v>1124.3636363636363</v>
      </c>
      <c r="K2688" t="s">
        <v>32</v>
      </c>
      <c r="L2688" t="s">
        <v>33</v>
      </c>
      <c r="M2688">
        <v>366</v>
      </c>
      <c r="N2688">
        <v>3541</v>
      </c>
      <c r="O2688">
        <v>10</v>
      </c>
      <c r="P2688" t="s">
        <v>44</v>
      </c>
      <c r="Q2688" s="1">
        <v>44328</v>
      </c>
    </row>
    <row r="2689" spans="1:17" x14ac:dyDescent="0.3">
      <c r="A2689" t="s">
        <v>49</v>
      </c>
      <c r="B2689" t="s">
        <v>15</v>
      </c>
      <c r="C2689" t="s">
        <v>37</v>
      </c>
      <c r="D2689" t="s">
        <v>24</v>
      </c>
      <c r="E2689" t="s">
        <v>43</v>
      </c>
      <c r="F2689" s="9">
        <v>0.14000000000000001</v>
      </c>
      <c r="G2689" s="10">
        <v>8016</v>
      </c>
      <c r="H2689">
        <v>2.06</v>
      </c>
      <c r="I2689" s="5">
        <f>ROUND(Marketing[[#This Row],[Clicks]]*Marketing[[#This Row],[Conversion_Rate]],0)</f>
        <v>42</v>
      </c>
      <c r="J2689" s="12">
        <f>Marketing[[#This Row],[Campaign_Cost]]/Marketing[[#This Row],[Customers]]</f>
        <v>190.85714285714286</v>
      </c>
      <c r="K2689" t="s">
        <v>51</v>
      </c>
      <c r="L2689" t="s">
        <v>26</v>
      </c>
      <c r="M2689">
        <v>299</v>
      </c>
      <c r="N2689">
        <v>6329</v>
      </c>
      <c r="O2689">
        <v>5</v>
      </c>
      <c r="P2689" t="s">
        <v>42</v>
      </c>
      <c r="Q2689" s="1">
        <v>44329</v>
      </c>
    </row>
    <row r="2690" spans="1:17" x14ac:dyDescent="0.3">
      <c r="A2690" t="s">
        <v>35</v>
      </c>
      <c r="B2690" t="s">
        <v>47</v>
      </c>
      <c r="C2690" t="s">
        <v>23</v>
      </c>
      <c r="D2690" t="s">
        <v>40</v>
      </c>
      <c r="E2690" t="s">
        <v>18</v>
      </c>
      <c r="F2690" s="9">
        <v>0.06</v>
      </c>
      <c r="G2690" s="10">
        <v>13487</v>
      </c>
      <c r="H2690">
        <v>3.36</v>
      </c>
      <c r="I2690" s="5">
        <f>ROUND(Marketing[[#This Row],[Clicks]]*Marketing[[#This Row],[Conversion_Rate]],0)</f>
        <v>27</v>
      </c>
      <c r="J2690" s="12">
        <f>Marketing[[#This Row],[Campaign_Cost]]/Marketing[[#This Row],[Customers]]</f>
        <v>499.51851851851853</v>
      </c>
      <c r="K2690" t="s">
        <v>51</v>
      </c>
      <c r="L2690" t="s">
        <v>39</v>
      </c>
      <c r="M2690">
        <v>450</v>
      </c>
      <c r="N2690">
        <v>6927</v>
      </c>
      <c r="O2690">
        <v>5</v>
      </c>
      <c r="P2690" t="s">
        <v>42</v>
      </c>
      <c r="Q2690" s="1">
        <v>44330</v>
      </c>
    </row>
    <row r="2691" spans="1:17" x14ac:dyDescent="0.3">
      <c r="A2691" t="s">
        <v>49</v>
      </c>
      <c r="B2691" t="s">
        <v>36</v>
      </c>
      <c r="C2691" t="s">
        <v>30</v>
      </c>
      <c r="D2691" t="s">
        <v>24</v>
      </c>
      <c r="E2691" t="s">
        <v>43</v>
      </c>
      <c r="F2691" s="9">
        <v>0.06</v>
      </c>
      <c r="G2691" s="10">
        <v>19553</v>
      </c>
      <c r="H2691">
        <v>2.33</v>
      </c>
      <c r="I2691" s="5">
        <f>ROUND(Marketing[[#This Row],[Clicks]]*Marketing[[#This Row],[Conversion_Rate]],0)</f>
        <v>36</v>
      </c>
      <c r="J2691" s="12">
        <f>Marketing[[#This Row],[Campaign_Cost]]/Marketing[[#This Row],[Customers]]</f>
        <v>543.13888888888891</v>
      </c>
      <c r="K2691" t="s">
        <v>38</v>
      </c>
      <c r="L2691" t="s">
        <v>20</v>
      </c>
      <c r="M2691">
        <v>601</v>
      </c>
      <c r="N2691">
        <v>9441</v>
      </c>
      <c r="O2691">
        <v>9</v>
      </c>
      <c r="P2691" t="s">
        <v>21</v>
      </c>
      <c r="Q2691" s="1">
        <v>44331</v>
      </c>
    </row>
    <row r="2692" spans="1:17" x14ac:dyDescent="0.3">
      <c r="A2692" t="s">
        <v>14</v>
      </c>
      <c r="B2692" t="s">
        <v>36</v>
      </c>
      <c r="C2692" t="s">
        <v>37</v>
      </c>
      <c r="D2692" t="s">
        <v>46</v>
      </c>
      <c r="E2692" t="s">
        <v>43</v>
      </c>
      <c r="F2692" s="9">
        <v>0.06</v>
      </c>
      <c r="G2692" s="10">
        <v>5645</v>
      </c>
      <c r="H2692">
        <v>5.46</v>
      </c>
      <c r="I2692" s="5">
        <f>ROUND(Marketing[[#This Row],[Clicks]]*Marketing[[#This Row],[Conversion_Rate]],0)</f>
        <v>52</v>
      </c>
      <c r="J2692" s="12">
        <f>Marketing[[#This Row],[Campaign_Cost]]/Marketing[[#This Row],[Customers]]</f>
        <v>108.55769230769231</v>
      </c>
      <c r="K2692" t="s">
        <v>19</v>
      </c>
      <c r="L2692" t="s">
        <v>39</v>
      </c>
      <c r="M2692">
        <v>874</v>
      </c>
      <c r="N2692">
        <v>8486</v>
      </c>
      <c r="O2692">
        <v>6</v>
      </c>
      <c r="P2692" t="s">
        <v>44</v>
      </c>
      <c r="Q2692" s="1">
        <v>44332</v>
      </c>
    </row>
    <row r="2693" spans="1:17" x14ac:dyDescent="0.3">
      <c r="A2693" t="s">
        <v>14</v>
      </c>
      <c r="B2693" t="s">
        <v>15</v>
      </c>
      <c r="C2693" t="s">
        <v>52</v>
      </c>
      <c r="D2693" t="s">
        <v>17</v>
      </c>
      <c r="E2693" t="s">
        <v>31</v>
      </c>
      <c r="F2693" s="9">
        <v>0.01</v>
      </c>
      <c r="G2693" s="10">
        <v>14482</v>
      </c>
      <c r="H2693">
        <v>7.38</v>
      </c>
      <c r="I2693" s="5">
        <f>ROUND(Marketing[[#This Row],[Clicks]]*Marketing[[#This Row],[Conversion_Rate]],0)</f>
        <v>6</v>
      </c>
      <c r="J2693" s="12">
        <f>Marketing[[#This Row],[Campaign_Cost]]/Marketing[[#This Row],[Customers]]</f>
        <v>2413.6666666666665</v>
      </c>
      <c r="K2693" t="s">
        <v>32</v>
      </c>
      <c r="L2693" t="s">
        <v>50</v>
      </c>
      <c r="M2693">
        <v>617</v>
      </c>
      <c r="N2693">
        <v>6932</v>
      </c>
      <c r="O2693">
        <v>7</v>
      </c>
      <c r="P2693" t="s">
        <v>34</v>
      </c>
      <c r="Q2693" s="1">
        <v>44333</v>
      </c>
    </row>
    <row r="2694" spans="1:17" x14ac:dyDescent="0.3">
      <c r="A2694" t="s">
        <v>14</v>
      </c>
      <c r="B2694" t="s">
        <v>45</v>
      </c>
      <c r="C2694" t="s">
        <v>52</v>
      </c>
      <c r="D2694" t="s">
        <v>24</v>
      </c>
      <c r="E2694" t="s">
        <v>15</v>
      </c>
      <c r="F2694" s="9">
        <v>0.02</v>
      </c>
      <c r="G2694" s="10">
        <v>14218</v>
      </c>
      <c r="H2694">
        <v>2.36</v>
      </c>
      <c r="I2694" s="5">
        <f>ROUND(Marketing[[#This Row],[Clicks]]*Marketing[[#This Row],[Conversion_Rate]],0)</f>
        <v>19</v>
      </c>
      <c r="J2694" s="12">
        <f>Marketing[[#This Row],[Campaign_Cost]]/Marketing[[#This Row],[Customers]]</f>
        <v>748.31578947368416</v>
      </c>
      <c r="K2694" t="s">
        <v>38</v>
      </c>
      <c r="L2694" t="s">
        <v>39</v>
      </c>
      <c r="M2694">
        <v>971</v>
      </c>
      <c r="N2694">
        <v>1847</v>
      </c>
      <c r="O2694">
        <v>10</v>
      </c>
      <c r="P2694" t="s">
        <v>27</v>
      </c>
      <c r="Q2694" s="1">
        <v>44334</v>
      </c>
    </row>
    <row r="2695" spans="1:17" x14ac:dyDescent="0.3">
      <c r="A2695" t="s">
        <v>49</v>
      </c>
      <c r="B2695" t="s">
        <v>29</v>
      </c>
      <c r="C2695" t="s">
        <v>30</v>
      </c>
      <c r="D2695" t="s">
        <v>17</v>
      </c>
      <c r="E2695" t="s">
        <v>31</v>
      </c>
      <c r="F2695" s="9">
        <v>7.0000000000000007E-2</v>
      </c>
      <c r="G2695" s="10">
        <v>15225</v>
      </c>
      <c r="H2695">
        <v>6.9</v>
      </c>
      <c r="I2695" s="5">
        <f>ROUND(Marketing[[#This Row],[Clicks]]*Marketing[[#This Row],[Conversion_Rate]],0)</f>
        <v>43</v>
      </c>
      <c r="J2695" s="12">
        <f>Marketing[[#This Row],[Campaign_Cost]]/Marketing[[#This Row],[Customers]]</f>
        <v>354.06976744186045</v>
      </c>
      <c r="K2695" t="s">
        <v>38</v>
      </c>
      <c r="L2695" t="s">
        <v>20</v>
      </c>
      <c r="M2695">
        <v>619</v>
      </c>
      <c r="N2695">
        <v>3880</v>
      </c>
      <c r="O2695">
        <v>7</v>
      </c>
      <c r="P2695" t="s">
        <v>42</v>
      </c>
      <c r="Q2695" s="1">
        <v>44335</v>
      </c>
    </row>
    <row r="2696" spans="1:17" x14ac:dyDescent="0.3">
      <c r="A2696" t="s">
        <v>28</v>
      </c>
      <c r="B2696" t="s">
        <v>29</v>
      </c>
      <c r="C2696" t="s">
        <v>16</v>
      </c>
      <c r="D2696" t="s">
        <v>40</v>
      </c>
      <c r="E2696" t="s">
        <v>48</v>
      </c>
      <c r="F2696" s="9">
        <v>0.1</v>
      </c>
      <c r="G2696" s="10">
        <v>19852</v>
      </c>
      <c r="H2696">
        <v>7.23</v>
      </c>
      <c r="I2696" s="5">
        <f>ROUND(Marketing[[#This Row],[Clicks]]*Marketing[[#This Row],[Conversion_Rate]],0)</f>
        <v>94</v>
      </c>
      <c r="J2696" s="12">
        <f>Marketing[[#This Row],[Campaign_Cost]]/Marketing[[#This Row],[Customers]]</f>
        <v>211.19148936170214</v>
      </c>
      <c r="K2696" t="s">
        <v>32</v>
      </c>
      <c r="L2696" t="s">
        <v>26</v>
      </c>
      <c r="M2696">
        <v>940</v>
      </c>
      <c r="N2696">
        <v>3879</v>
      </c>
      <c r="O2696">
        <v>8</v>
      </c>
      <c r="P2696" t="s">
        <v>27</v>
      </c>
      <c r="Q2696" s="1">
        <v>44336</v>
      </c>
    </row>
    <row r="2697" spans="1:17" x14ac:dyDescent="0.3">
      <c r="A2697" t="s">
        <v>49</v>
      </c>
      <c r="B2697" t="s">
        <v>29</v>
      </c>
      <c r="C2697" t="s">
        <v>37</v>
      </c>
      <c r="D2697" t="s">
        <v>17</v>
      </c>
      <c r="E2697" t="s">
        <v>48</v>
      </c>
      <c r="F2697" s="9">
        <v>0.11</v>
      </c>
      <c r="G2697" s="10">
        <v>13609</v>
      </c>
      <c r="H2697">
        <v>4.1500000000000004</v>
      </c>
      <c r="I2697" s="5">
        <f>ROUND(Marketing[[#This Row],[Clicks]]*Marketing[[#This Row],[Conversion_Rate]],0)</f>
        <v>55</v>
      </c>
      <c r="J2697" s="12">
        <f>Marketing[[#This Row],[Campaign_Cost]]/Marketing[[#This Row],[Customers]]</f>
        <v>247.43636363636364</v>
      </c>
      <c r="K2697" t="s">
        <v>19</v>
      </c>
      <c r="L2697" t="s">
        <v>33</v>
      </c>
      <c r="M2697">
        <v>497</v>
      </c>
      <c r="N2697">
        <v>3216</v>
      </c>
      <c r="O2697">
        <v>4</v>
      </c>
      <c r="P2697" t="s">
        <v>42</v>
      </c>
      <c r="Q2697" s="1">
        <v>44337</v>
      </c>
    </row>
    <row r="2698" spans="1:17" x14ac:dyDescent="0.3">
      <c r="A2698" t="s">
        <v>28</v>
      </c>
      <c r="B2698" t="s">
        <v>45</v>
      </c>
      <c r="C2698" t="s">
        <v>37</v>
      </c>
      <c r="D2698" t="s">
        <v>40</v>
      </c>
      <c r="E2698" t="s">
        <v>41</v>
      </c>
      <c r="F2698" s="9">
        <v>0.08</v>
      </c>
      <c r="G2698" s="10">
        <v>5267</v>
      </c>
      <c r="H2698">
        <v>7.85</v>
      </c>
      <c r="I2698" s="5">
        <f>ROUND(Marketing[[#This Row],[Clicks]]*Marketing[[#This Row],[Conversion_Rate]],0)</f>
        <v>48</v>
      </c>
      <c r="J2698" s="12">
        <f>Marketing[[#This Row],[Campaign_Cost]]/Marketing[[#This Row],[Customers]]</f>
        <v>109.72916666666667</v>
      </c>
      <c r="K2698" t="s">
        <v>51</v>
      </c>
      <c r="L2698" t="s">
        <v>39</v>
      </c>
      <c r="M2698">
        <v>602</v>
      </c>
      <c r="N2698">
        <v>3451</v>
      </c>
      <c r="O2698">
        <v>8</v>
      </c>
      <c r="P2698" t="s">
        <v>27</v>
      </c>
      <c r="Q2698" s="1">
        <v>44338</v>
      </c>
    </row>
    <row r="2699" spans="1:17" x14ac:dyDescent="0.3">
      <c r="A2699" t="s">
        <v>35</v>
      </c>
      <c r="B2699" t="s">
        <v>45</v>
      </c>
      <c r="C2699" t="s">
        <v>52</v>
      </c>
      <c r="D2699" t="s">
        <v>40</v>
      </c>
      <c r="E2699" t="s">
        <v>43</v>
      </c>
      <c r="F2699" s="9">
        <v>0.04</v>
      </c>
      <c r="G2699" s="10">
        <v>5682</v>
      </c>
      <c r="H2699">
        <v>4.67</v>
      </c>
      <c r="I2699" s="5">
        <f>ROUND(Marketing[[#This Row],[Clicks]]*Marketing[[#This Row],[Conversion_Rate]],0)</f>
        <v>10</v>
      </c>
      <c r="J2699" s="12">
        <f>Marketing[[#This Row],[Campaign_Cost]]/Marketing[[#This Row],[Customers]]</f>
        <v>568.20000000000005</v>
      </c>
      <c r="K2699" t="s">
        <v>32</v>
      </c>
      <c r="L2699" t="s">
        <v>26</v>
      </c>
      <c r="M2699">
        <v>252</v>
      </c>
      <c r="N2699">
        <v>5305</v>
      </c>
      <c r="O2699">
        <v>5</v>
      </c>
      <c r="P2699" t="s">
        <v>42</v>
      </c>
      <c r="Q2699" s="1">
        <v>44339</v>
      </c>
    </row>
    <row r="2700" spans="1:17" x14ac:dyDescent="0.3">
      <c r="A2700" t="s">
        <v>35</v>
      </c>
      <c r="B2700" t="s">
        <v>29</v>
      </c>
      <c r="C2700" t="s">
        <v>37</v>
      </c>
      <c r="D2700" t="s">
        <v>24</v>
      </c>
      <c r="E2700" t="s">
        <v>15</v>
      </c>
      <c r="F2700" s="9">
        <v>0.11</v>
      </c>
      <c r="G2700" s="10">
        <v>12889</v>
      </c>
      <c r="H2700">
        <v>3.66</v>
      </c>
      <c r="I2700" s="5">
        <f>ROUND(Marketing[[#This Row],[Clicks]]*Marketing[[#This Row],[Conversion_Rate]],0)</f>
        <v>22</v>
      </c>
      <c r="J2700" s="12">
        <f>Marketing[[#This Row],[Campaign_Cost]]/Marketing[[#This Row],[Customers]]</f>
        <v>585.86363636363637</v>
      </c>
      <c r="K2700" t="s">
        <v>51</v>
      </c>
      <c r="L2700" t="s">
        <v>20</v>
      </c>
      <c r="M2700">
        <v>200</v>
      </c>
      <c r="N2700">
        <v>4747</v>
      </c>
      <c r="O2700">
        <v>3</v>
      </c>
      <c r="P2700" t="s">
        <v>42</v>
      </c>
      <c r="Q2700" s="1">
        <v>44340</v>
      </c>
    </row>
    <row r="2701" spans="1:17" x14ac:dyDescent="0.3">
      <c r="A2701" t="s">
        <v>28</v>
      </c>
      <c r="B2701" t="s">
        <v>15</v>
      </c>
      <c r="C2701" t="s">
        <v>37</v>
      </c>
      <c r="D2701" t="s">
        <v>17</v>
      </c>
      <c r="E2701" t="s">
        <v>48</v>
      </c>
      <c r="F2701" s="9">
        <v>0.05</v>
      </c>
      <c r="G2701" s="10">
        <v>11718</v>
      </c>
      <c r="H2701">
        <v>7.75</v>
      </c>
      <c r="I2701" s="5">
        <f>ROUND(Marketing[[#This Row],[Clicks]]*Marketing[[#This Row],[Conversion_Rate]],0)</f>
        <v>39</v>
      </c>
      <c r="J2701" s="12">
        <f>Marketing[[#This Row],[Campaign_Cost]]/Marketing[[#This Row],[Customers]]</f>
        <v>300.46153846153845</v>
      </c>
      <c r="K2701" t="s">
        <v>32</v>
      </c>
      <c r="L2701" t="s">
        <v>26</v>
      </c>
      <c r="M2701">
        <v>779</v>
      </c>
      <c r="N2701">
        <v>4811</v>
      </c>
      <c r="O2701">
        <v>10</v>
      </c>
      <c r="P2701" t="s">
        <v>21</v>
      </c>
      <c r="Q2701" s="1">
        <v>44341</v>
      </c>
    </row>
    <row r="2702" spans="1:17" x14ac:dyDescent="0.3">
      <c r="A2702" t="s">
        <v>35</v>
      </c>
      <c r="B2702" t="s">
        <v>47</v>
      </c>
      <c r="C2702" t="s">
        <v>23</v>
      </c>
      <c r="D2702" t="s">
        <v>46</v>
      </c>
      <c r="E2702" t="s">
        <v>43</v>
      </c>
      <c r="F2702" s="9">
        <v>0.14000000000000001</v>
      </c>
      <c r="G2702" s="10">
        <v>16767</v>
      </c>
      <c r="H2702">
        <v>7.91</v>
      </c>
      <c r="I2702" s="5">
        <f>ROUND(Marketing[[#This Row],[Clicks]]*Marketing[[#This Row],[Conversion_Rate]],0)</f>
        <v>85</v>
      </c>
      <c r="J2702" s="12">
        <f>Marketing[[#This Row],[Campaign_Cost]]/Marketing[[#This Row],[Customers]]</f>
        <v>197.25882352941176</v>
      </c>
      <c r="K2702" t="s">
        <v>19</v>
      </c>
      <c r="L2702" t="s">
        <v>33</v>
      </c>
      <c r="M2702">
        <v>607</v>
      </c>
      <c r="N2702">
        <v>8790</v>
      </c>
      <c r="O2702">
        <v>4</v>
      </c>
      <c r="P2702" t="s">
        <v>21</v>
      </c>
      <c r="Q2702" s="1">
        <v>44342</v>
      </c>
    </row>
    <row r="2703" spans="1:17" x14ac:dyDescent="0.3">
      <c r="A2703" t="s">
        <v>22</v>
      </c>
      <c r="B2703" t="s">
        <v>36</v>
      </c>
      <c r="C2703" t="s">
        <v>30</v>
      </c>
      <c r="D2703" t="s">
        <v>24</v>
      </c>
      <c r="E2703" t="s">
        <v>15</v>
      </c>
      <c r="F2703" s="9">
        <v>0.13</v>
      </c>
      <c r="G2703" s="10">
        <v>11677</v>
      </c>
      <c r="H2703">
        <v>6.98</v>
      </c>
      <c r="I2703" s="5">
        <f>ROUND(Marketing[[#This Row],[Clicks]]*Marketing[[#This Row],[Conversion_Rate]],0)</f>
        <v>48</v>
      </c>
      <c r="J2703" s="12">
        <f>Marketing[[#This Row],[Campaign_Cost]]/Marketing[[#This Row],[Customers]]</f>
        <v>243.27083333333334</v>
      </c>
      <c r="K2703" t="s">
        <v>32</v>
      </c>
      <c r="L2703" t="s">
        <v>50</v>
      </c>
      <c r="M2703">
        <v>369</v>
      </c>
      <c r="N2703">
        <v>4823</v>
      </c>
      <c r="O2703">
        <v>1</v>
      </c>
      <c r="P2703" t="s">
        <v>42</v>
      </c>
      <c r="Q2703" s="1">
        <v>44343</v>
      </c>
    </row>
    <row r="2704" spans="1:17" x14ac:dyDescent="0.3">
      <c r="A2704" t="s">
        <v>28</v>
      </c>
      <c r="B2704" t="s">
        <v>15</v>
      </c>
      <c r="C2704" t="s">
        <v>16</v>
      </c>
      <c r="D2704" t="s">
        <v>40</v>
      </c>
      <c r="E2704" t="s">
        <v>48</v>
      </c>
      <c r="F2704" s="9">
        <v>0.04</v>
      </c>
      <c r="G2704" s="10">
        <v>7571</v>
      </c>
      <c r="H2704">
        <v>6.47</v>
      </c>
      <c r="I2704" s="5">
        <f>ROUND(Marketing[[#This Row],[Clicks]]*Marketing[[#This Row],[Conversion_Rate]],0)</f>
        <v>11</v>
      </c>
      <c r="J2704" s="12">
        <f>Marketing[[#This Row],[Campaign_Cost]]/Marketing[[#This Row],[Customers]]</f>
        <v>688.27272727272725</v>
      </c>
      <c r="K2704" t="s">
        <v>32</v>
      </c>
      <c r="L2704" t="s">
        <v>20</v>
      </c>
      <c r="M2704">
        <v>286</v>
      </c>
      <c r="N2704">
        <v>4602</v>
      </c>
      <c r="O2704">
        <v>3</v>
      </c>
      <c r="P2704" t="s">
        <v>21</v>
      </c>
      <c r="Q2704" s="1">
        <v>44344</v>
      </c>
    </row>
    <row r="2705" spans="1:17" x14ac:dyDescent="0.3">
      <c r="A2705" t="s">
        <v>14</v>
      </c>
      <c r="B2705" t="s">
        <v>47</v>
      </c>
      <c r="C2705" t="s">
        <v>30</v>
      </c>
      <c r="D2705" t="s">
        <v>46</v>
      </c>
      <c r="E2705" t="s">
        <v>41</v>
      </c>
      <c r="F2705" s="9">
        <v>7.0000000000000007E-2</v>
      </c>
      <c r="G2705" s="10">
        <v>6274</v>
      </c>
      <c r="H2705">
        <v>3.61</v>
      </c>
      <c r="I2705" s="5">
        <f>ROUND(Marketing[[#This Row],[Clicks]]*Marketing[[#This Row],[Conversion_Rate]],0)</f>
        <v>43</v>
      </c>
      <c r="J2705" s="12">
        <f>Marketing[[#This Row],[Campaign_Cost]]/Marketing[[#This Row],[Customers]]</f>
        <v>145.90697674418604</v>
      </c>
      <c r="K2705" t="s">
        <v>38</v>
      </c>
      <c r="L2705" t="s">
        <v>20</v>
      </c>
      <c r="M2705">
        <v>620</v>
      </c>
      <c r="N2705">
        <v>9386</v>
      </c>
      <c r="O2705">
        <v>5</v>
      </c>
      <c r="P2705" t="s">
        <v>44</v>
      </c>
      <c r="Q2705" s="1">
        <v>44345</v>
      </c>
    </row>
    <row r="2706" spans="1:17" x14ac:dyDescent="0.3">
      <c r="A2706" t="s">
        <v>14</v>
      </c>
      <c r="B2706" t="s">
        <v>47</v>
      </c>
      <c r="C2706" t="s">
        <v>37</v>
      </c>
      <c r="D2706" t="s">
        <v>40</v>
      </c>
      <c r="E2706" t="s">
        <v>18</v>
      </c>
      <c r="F2706" s="9">
        <v>0.14000000000000001</v>
      </c>
      <c r="G2706" s="10">
        <v>11616</v>
      </c>
      <c r="H2706">
        <v>5.43</v>
      </c>
      <c r="I2706" s="5">
        <f>ROUND(Marketing[[#This Row],[Clicks]]*Marketing[[#This Row],[Conversion_Rate]],0)</f>
        <v>126</v>
      </c>
      <c r="J2706" s="12">
        <f>Marketing[[#This Row],[Campaign_Cost]]/Marketing[[#This Row],[Customers]]</f>
        <v>92.19047619047619</v>
      </c>
      <c r="K2706" t="s">
        <v>25</v>
      </c>
      <c r="L2706" t="s">
        <v>39</v>
      </c>
      <c r="M2706">
        <v>902</v>
      </c>
      <c r="N2706">
        <v>2358</v>
      </c>
      <c r="O2706">
        <v>3</v>
      </c>
      <c r="P2706" t="s">
        <v>21</v>
      </c>
      <c r="Q2706" s="1">
        <v>44346</v>
      </c>
    </row>
    <row r="2707" spans="1:17" x14ac:dyDescent="0.3">
      <c r="A2707" t="s">
        <v>14</v>
      </c>
      <c r="B2707" t="s">
        <v>15</v>
      </c>
      <c r="C2707" t="s">
        <v>23</v>
      </c>
      <c r="D2707" t="s">
        <v>40</v>
      </c>
      <c r="E2707" t="s">
        <v>41</v>
      </c>
      <c r="F2707" s="9">
        <v>0.11</v>
      </c>
      <c r="G2707" s="10">
        <v>17966</v>
      </c>
      <c r="H2707">
        <v>2.86</v>
      </c>
      <c r="I2707" s="5">
        <f>ROUND(Marketing[[#This Row],[Clicks]]*Marketing[[#This Row],[Conversion_Rate]],0)</f>
        <v>82</v>
      </c>
      <c r="J2707" s="12">
        <f>Marketing[[#This Row],[Campaign_Cost]]/Marketing[[#This Row],[Customers]]</f>
        <v>219.09756097560975</v>
      </c>
      <c r="K2707" t="s">
        <v>32</v>
      </c>
      <c r="L2707" t="s">
        <v>33</v>
      </c>
      <c r="M2707">
        <v>748</v>
      </c>
      <c r="N2707">
        <v>8683</v>
      </c>
      <c r="O2707">
        <v>3</v>
      </c>
      <c r="P2707" t="s">
        <v>27</v>
      </c>
      <c r="Q2707" s="1">
        <v>44347</v>
      </c>
    </row>
    <row r="2708" spans="1:17" x14ac:dyDescent="0.3">
      <c r="A2708" t="s">
        <v>14</v>
      </c>
      <c r="B2708" t="s">
        <v>36</v>
      </c>
      <c r="C2708" t="s">
        <v>52</v>
      </c>
      <c r="D2708" t="s">
        <v>24</v>
      </c>
      <c r="E2708" t="s">
        <v>18</v>
      </c>
      <c r="F2708" s="9">
        <v>0.14000000000000001</v>
      </c>
      <c r="G2708" s="10">
        <v>12665</v>
      </c>
      <c r="H2708">
        <v>4.55</v>
      </c>
      <c r="I2708" s="5">
        <f>ROUND(Marketing[[#This Row],[Clicks]]*Marketing[[#This Row],[Conversion_Rate]],0)</f>
        <v>15</v>
      </c>
      <c r="J2708" s="12">
        <f>Marketing[[#This Row],[Campaign_Cost]]/Marketing[[#This Row],[Customers]]</f>
        <v>844.33333333333337</v>
      </c>
      <c r="K2708" t="s">
        <v>38</v>
      </c>
      <c r="L2708" t="s">
        <v>26</v>
      </c>
      <c r="M2708">
        <v>106</v>
      </c>
      <c r="N2708">
        <v>1526</v>
      </c>
      <c r="O2708">
        <v>9</v>
      </c>
      <c r="P2708" t="s">
        <v>34</v>
      </c>
      <c r="Q2708" s="1">
        <v>44348</v>
      </c>
    </row>
    <row r="2709" spans="1:17" x14ac:dyDescent="0.3">
      <c r="A2709" t="s">
        <v>49</v>
      </c>
      <c r="B2709" t="s">
        <v>29</v>
      </c>
      <c r="C2709" t="s">
        <v>30</v>
      </c>
      <c r="D2709" t="s">
        <v>17</v>
      </c>
      <c r="E2709" t="s">
        <v>15</v>
      </c>
      <c r="F2709" s="9">
        <v>0.08</v>
      </c>
      <c r="G2709" s="10">
        <v>16014</v>
      </c>
      <c r="H2709">
        <v>7.49</v>
      </c>
      <c r="I2709" s="5">
        <f>ROUND(Marketing[[#This Row],[Clicks]]*Marketing[[#This Row],[Conversion_Rate]],0)</f>
        <v>71</v>
      </c>
      <c r="J2709" s="12">
        <f>Marketing[[#This Row],[Campaign_Cost]]/Marketing[[#This Row],[Customers]]</f>
        <v>225.54929577464787</v>
      </c>
      <c r="K2709" t="s">
        <v>38</v>
      </c>
      <c r="L2709" t="s">
        <v>20</v>
      </c>
      <c r="M2709">
        <v>893</v>
      </c>
      <c r="N2709">
        <v>5518</v>
      </c>
      <c r="O2709">
        <v>4</v>
      </c>
      <c r="P2709" t="s">
        <v>34</v>
      </c>
      <c r="Q2709" s="1">
        <v>44349</v>
      </c>
    </row>
    <row r="2710" spans="1:17" x14ac:dyDescent="0.3">
      <c r="A2710" t="s">
        <v>28</v>
      </c>
      <c r="B2710" t="s">
        <v>36</v>
      </c>
      <c r="C2710" t="s">
        <v>52</v>
      </c>
      <c r="D2710" t="s">
        <v>24</v>
      </c>
      <c r="E2710" t="s">
        <v>15</v>
      </c>
      <c r="F2710" s="9">
        <v>0.14000000000000001</v>
      </c>
      <c r="G2710" s="10">
        <v>8115</v>
      </c>
      <c r="H2710">
        <v>4.68</v>
      </c>
      <c r="I2710" s="5">
        <f>ROUND(Marketing[[#This Row],[Clicks]]*Marketing[[#This Row],[Conversion_Rate]],0)</f>
        <v>137</v>
      </c>
      <c r="J2710" s="12">
        <f>Marketing[[#This Row],[Campaign_Cost]]/Marketing[[#This Row],[Customers]]</f>
        <v>59.23357664233577</v>
      </c>
      <c r="K2710" t="s">
        <v>38</v>
      </c>
      <c r="L2710" t="s">
        <v>26</v>
      </c>
      <c r="M2710">
        <v>975</v>
      </c>
      <c r="N2710">
        <v>3197</v>
      </c>
      <c r="O2710">
        <v>8</v>
      </c>
      <c r="P2710" t="s">
        <v>34</v>
      </c>
      <c r="Q2710" s="1">
        <v>44350</v>
      </c>
    </row>
    <row r="2711" spans="1:17" x14ac:dyDescent="0.3">
      <c r="A2711" t="s">
        <v>14</v>
      </c>
      <c r="B2711" t="s">
        <v>15</v>
      </c>
      <c r="C2711" t="s">
        <v>37</v>
      </c>
      <c r="D2711" t="s">
        <v>40</v>
      </c>
      <c r="E2711" t="s">
        <v>41</v>
      </c>
      <c r="F2711" s="9">
        <v>0.02</v>
      </c>
      <c r="G2711" s="10">
        <v>19499</v>
      </c>
      <c r="H2711">
        <v>6.22</v>
      </c>
      <c r="I2711" s="5">
        <f>ROUND(Marketing[[#This Row],[Clicks]]*Marketing[[#This Row],[Conversion_Rate]],0)</f>
        <v>3</v>
      </c>
      <c r="J2711" s="12">
        <f>Marketing[[#This Row],[Campaign_Cost]]/Marketing[[#This Row],[Customers]]</f>
        <v>6499.666666666667</v>
      </c>
      <c r="K2711" t="s">
        <v>19</v>
      </c>
      <c r="L2711" t="s">
        <v>20</v>
      </c>
      <c r="M2711">
        <v>170</v>
      </c>
      <c r="N2711">
        <v>6978</v>
      </c>
      <c r="O2711">
        <v>7</v>
      </c>
      <c r="P2711" t="s">
        <v>44</v>
      </c>
      <c r="Q2711" s="1">
        <v>44351</v>
      </c>
    </row>
    <row r="2712" spans="1:17" x14ac:dyDescent="0.3">
      <c r="A2712" t="s">
        <v>14</v>
      </c>
      <c r="B2712" t="s">
        <v>15</v>
      </c>
      <c r="C2712" t="s">
        <v>52</v>
      </c>
      <c r="D2712" t="s">
        <v>46</v>
      </c>
      <c r="E2712" t="s">
        <v>15</v>
      </c>
      <c r="F2712" s="9">
        <v>0.05</v>
      </c>
      <c r="G2712" s="10">
        <v>13832</v>
      </c>
      <c r="H2712">
        <v>4.1399999999999997</v>
      </c>
      <c r="I2712" s="5">
        <f>ROUND(Marketing[[#This Row],[Clicks]]*Marketing[[#This Row],[Conversion_Rate]],0)</f>
        <v>16</v>
      </c>
      <c r="J2712" s="12">
        <f>Marketing[[#This Row],[Campaign_Cost]]/Marketing[[#This Row],[Customers]]</f>
        <v>864.5</v>
      </c>
      <c r="K2712" t="s">
        <v>32</v>
      </c>
      <c r="L2712" t="s">
        <v>26</v>
      </c>
      <c r="M2712">
        <v>329</v>
      </c>
      <c r="N2712">
        <v>9629</v>
      </c>
      <c r="O2712">
        <v>7</v>
      </c>
      <c r="P2712" t="s">
        <v>21</v>
      </c>
      <c r="Q2712" s="1">
        <v>44352</v>
      </c>
    </row>
    <row r="2713" spans="1:17" x14ac:dyDescent="0.3">
      <c r="A2713" t="s">
        <v>35</v>
      </c>
      <c r="B2713" t="s">
        <v>15</v>
      </c>
      <c r="C2713" t="s">
        <v>23</v>
      </c>
      <c r="D2713" t="s">
        <v>46</v>
      </c>
      <c r="E2713" t="s">
        <v>48</v>
      </c>
      <c r="F2713" s="9">
        <v>0.05</v>
      </c>
      <c r="G2713" s="10">
        <v>8597</v>
      </c>
      <c r="H2713">
        <v>7.31</v>
      </c>
      <c r="I2713" s="5">
        <f>ROUND(Marketing[[#This Row],[Clicks]]*Marketing[[#This Row],[Conversion_Rate]],0)</f>
        <v>31</v>
      </c>
      <c r="J2713" s="12">
        <f>Marketing[[#This Row],[Campaign_Cost]]/Marketing[[#This Row],[Customers]]</f>
        <v>277.32258064516128</v>
      </c>
      <c r="K2713" t="s">
        <v>38</v>
      </c>
      <c r="L2713" t="s">
        <v>50</v>
      </c>
      <c r="M2713">
        <v>622</v>
      </c>
      <c r="N2713">
        <v>4588</v>
      </c>
      <c r="O2713">
        <v>5</v>
      </c>
      <c r="P2713" t="s">
        <v>42</v>
      </c>
      <c r="Q2713" s="1">
        <v>44353</v>
      </c>
    </row>
    <row r="2714" spans="1:17" x14ac:dyDescent="0.3">
      <c r="A2714" t="s">
        <v>22</v>
      </c>
      <c r="B2714" t="s">
        <v>45</v>
      </c>
      <c r="C2714" t="s">
        <v>30</v>
      </c>
      <c r="D2714" t="s">
        <v>24</v>
      </c>
      <c r="E2714" t="s">
        <v>43</v>
      </c>
      <c r="F2714" s="9">
        <v>7.0000000000000007E-2</v>
      </c>
      <c r="G2714" s="10">
        <v>10308</v>
      </c>
      <c r="H2714">
        <v>2.11</v>
      </c>
      <c r="I2714" s="5">
        <f>ROUND(Marketing[[#This Row],[Clicks]]*Marketing[[#This Row],[Conversion_Rate]],0)</f>
        <v>44</v>
      </c>
      <c r="J2714" s="12">
        <f>Marketing[[#This Row],[Campaign_Cost]]/Marketing[[#This Row],[Customers]]</f>
        <v>234.27272727272728</v>
      </c>
      <c r="K2714" t="s">
        <v>38</v>
      </c>
      <c r="L2714" t="s">
        <v>26</v>
      </c>
      <c r="M2714">
        <v>629</v>
      </c>
      <c r="N2714">
        <v>1003</v>
      </c>
      <c r="O2714">
        <v>5</v>
      </c>
      <c r="P2714" t="s">
        <v>42</v>
      </c>
      <c r="Q2714" s="1">
        <v>44354</v>
      </c>
    </row>
    <row r="2715" spans="1:17" x14ac:dyDescent="0.3">
      <c r="A2715" t="s">
        <v>22</v>
      </c>
      <c r="B2715" t="s">
        <v>29</v>
      </c>
      <c r="C2715" t="s">
        <v>16</v>
      </c>
      <c r="D2715" t="s">
        <v>24</v>
      </c>
      <c r="E2715" t="s">
        <v>48</v>
      </c>
      <c r="F2715" s="9">
        <v>0.05</v>
      </c>
      <c r="G2715" s="10">
        <v>8045</v>
      </c>
      <c r="H2715">
        <v>6.54</v>
      </c>
      <c r="I2715" s="5">
        <f>ROUND(Marketing[[#This Row],[Clicks]]*Marketing[[#This Row],[Conversion_Rate]],0)</f>
        <v>37</v>
      </c>
      <c r="J2715" s="12">
        <f>Marketing[[#This Row],[Campaign_Cost]]/Marketing[[#This Row],[Customers]]</f>
        <v>217.43243243243242</v>
      </c>
      <c r="K2715" t="s">
        <v>19</v>
      </c>
      <c r="L2715" t="s">
        <v>33</v>
      </c>
      <c r="M2715">
        <v>744</v>
      </c>
      <c r="N2715">
        <v>3982</v>
      </c>
      <c r="O2715">
        <v>3</v>
      </c>
      <c r="P2715" t="s">
        <v>42</v>
      </c>
      <c r="Q2715" s="1">
        <v>44355</v>
      </c>
    </row>
    <row r="2716" spans="1:17" x14ac:dyDescent="0.3">
      <c r="A2716" t="s">
        <v>35</v>
      </c>
      <c r="B2716" t="s">
        <v>36</v>
      </c>
      <c r="C2716" t="s">
        <v>23</v>
      </c>
      <c r="D2716" t="s">
        <v>17</v>
      </c>
      <c r="E2716" t="s">
        <v>31</v>
      </c>
      <c r="F2716" s="9">
        <v>0.14000000000000001</v>
      </c>
      <c r="G2716" s="10">
        <v>10589</v>
      </c>
      <c r="H2716">
        <v>3.05</v>
      </c>
      <c r="I2716" s="5">
        <f>ROUND(Marketing[[#This Row],[Clicks]]*Marketing[[#This Row],[Conversion_Rate]],0)</f>
        <v>43</v>
      </c>
      <c r="J2716" s="12">
        <f>Marketing[[#This Row],[Campaign_Cost]]/Marketing[[#This Row],[Customers]]</f>
        <v>246.25581395348837</v>
      </c>
      <c r="K2716" t="s">
        <v>51</v>
      </c>
      <c r="L2716" t="s">
        <v>33</v>
      </c>
      <c r="M2716">
        <v>308</v>
      </c>
      <c r="N2716">
        <v>7335</v>
      </c>
      <c r="O2716">
        <v>6</v>
      </c>
      <c r="P2716" t="s">
        <v>27</v>
      </c>
      <c r="Q2716" s="1">
        <v>44356</v>
      </c>
    </row>
    <row r="2717" spans="1:17" x14ac:dyDescent="0.3">
      <c r="A2717" t="s">
        <v>14</v>
      </c>
      <c r="B2717" t="s">
        <v>45</v>
      </c>
      <c r="C2717" t="s">
        <v>16</v>
      </c>
      <c r="D2717" t="s">
        <v>46</v>
      </c>
      <c r="E2717" t="s">
        <v>43</v>
      </c>
      <c r="F2717" s="9">
        <v>0.09</v>
      </c>
      <c r="G2717" s="10">
        <v>19220</v>
      </c>
      <c r="H2717">
        <v>3.86</v>
      </c>
      <c r="I2717" s="5">
        <f>ROUND(Marketing[[#This Row],[Clicks]]*Marketing[[#This Row],[Conversion_Rate]],0)</f>
        <v>35</v>
      </c>
      <c r="J2717" s="12">
        <f>Marketing[[#This Row],[Campaign_Cost]]/Marketing[[#This Row],[Customers]]</f>
        <v>549.14285714285711</v>
      </c>
      <c r="K2717" t="s">
        <v>25</v>
      </c>
      <c r="L2717" t="s">
        <v>26</v>
      </c>
      <c r="M2717">
        <v>384</v>
      </c>
      <c r="N2717">
        <v>3231</v>
      </c>
      <c r="O2717">
        <v>2</v>
      </c>
      <c r="P2717" t="s">
        <v>27</v>
      </c>
      <c r="Q2717" s="1">
        <v>44357</v>
      </c>
    </row>
    <row r="2718" spans="1:17" x14ac:dyDescent="0.3">
      <c r="A2718" t="s">
        <v>49</v>
      </c>
      <c r="B2718" t="s">
        <v>45</v>
      </c>
      <c r="C2718" t="s">
        <v>16</v>
      </c>
      <c r="D2718" t="s">
        <v>24</v>
      </c>
      <c r="E2718" t="s">
        <v>43</v>
      </c>
      <c r="F2718" s="9">
        <v>0.13</v>
      </c>
      <c r="G2718" s="10">
        <v>18558</v>
      </c>
      <c r="H2718">
        <v>2.2599999999999998</v>
      </c>
      <c r="I2718" s="5">
        <f>ROUND(Marketing[[#This Row],[Clicks]]*Marketing[[#This Row],[Conversion_Rate]],0)</f>
        <v>43</v>
      </c>
      <c r="J2718" s="12">
        <f>Marketing[[#This Row],[Campaign_Cost]]/Marketing[[#This Row],[Customers]]</f>
        <v>431.58139534883719</v>
      </c>
      <c r="K2718" t="s">
        <v>51</v>
      </c>
      <c r="L2718" t="s">
        <v>39</v>
      </c>
      <c r="M2718">
        <v>329</v>
      </c>
      <c r="N2718">
        <v>1421</v>
      </c>
      <c r="O2718">
        <v>10</v>
      </c>
      <c r="P2718" t="s">
        <v>21</v>
      </c>
      <c r="Q2718" s="1">
        <v>44358</v>
      </c>
    </row>
    <row r="2719" spans="1:17" x14ac:dyDescent="0.3">
      <c r="A2719" t="s">
        <v>14</v>
      </c>
      <c r="B2719" t="s">
        <v>29</v>
      </c>
      <c r="C2719" t="s">
        <v>37</v>
      </c>
      <c r="D2719" t="s">
        <v>40</v>
      </c>
      <c r="E2719" t="s">
        <v>43</v>
      </c>
      <c r="F2719" s="9">
        <v>0.12</v>
      </c>
      <c r="G2719" s="10">
        <v>13815</v>
      </c>
      <c r="H2719">
        <v>7.73</v>
      </c>
      <c r="I2719" s="5">
        <f>ROUND(Marketing[[#This Row],[Clicks]]*Marketing[[#This Row],[Conversion_Rate]],0)</f>
        <v>107</v>
      </c>
      <c r="J2719" s="12">
        <f>Marketing[[#This Row],[Campaign_Cost]]/Marketing[[#This Row],[Customers]]</f>
        <v>129.11214953271028</v>
      </c>
      <c r="K2719" t="s">
        <v>25</v>
      </c>
      <c r="L2719" t="s">
        <v>26</v>
      </c>
      <c r="M2719">
        <v>891</v>
      </c>
      <c r="N2719">
        <v>8008</v>
      </c>
      <c r="O2719">
        <v>8</v>
      </c>
      <c r="P2719" t="s">
        <v>21</v>
      </c>
      <c r="Q2719" s="1">
        <v>44359</v>
      </c>
    </row>
    <row r="2720" spans="1:17" x14ac:dyDescent="0.3">
      <c r="A2720" t="s">
        <v>49</v>
      </c>
      <c r="B2720" t="s">
        <v>29</v>
      </c>
      <c r="C2720" t="s">
        <v>52</v>
      </c>
      <c r="D2720" t="s">
        <v>24</v>
      </c>
      <c r="E2720" t="s">
        <v>43</v>
      </c>
      <c r="F2720" s="9">
        <v>0.01</v>
      </c>
      <c r="G2720" s="10">
        <v>16703</v>
      </c>
      <c r="H2720">
        <v>7.82</v>
      </c>
      <c r="I2720" s="5">
        <f>ROUND(Marketing[[#This Row],[Clicks]]*Marketing[[#This Row],[Conversion_Rate]],0)</f>
        <v>2</v>
      </c>
      <c r="J2720" s="12">
        <f>Marketing[[#This Row],[Campaign_Cost]]/Marketing[[#This Row],[Customers]]</f>
        <v>8351.5</v>
      </c>
      <c r="K2720" t="s">
        <v>51</v>
      </c>
      <c r="L2720" t="s">
        <v>39</v>
      </c>
      <c r="M2720">
        <v>233</v>
      </c>
      <c r="N2720">
        <v>6593</v>
      </c>
      <c r="O2720">
        <v>7</v>
      </c>
      <c r="P2720" t="s">
        <v>21</v>
      </c>
      <c r="Q2720" s="1">
        <v>44360</v>
      </c>
    </row>
    <row r="2721" spans="1:17" x14ac:dyDescent="0.3">
      <c r="A2721" t="s">
        <v>28</v>
      </c>
      <c r="B2721" t="s">
        <v>45</v>
      </c>
      <c r="C2721" t="s">
        <v>52</v>
      </c>
      <c r="D2721" t="s">
        <v>40</v>
      </c>
      <c r="E2721" t="s">
        <v>31</v>
      </c>
      <c r="F2721" s="9">
        <v>0.02</v>
      </c>
      <c r="G2721" s="10">
        <v>18552</v>
      </c>
      <c r="H2721">
        <v>3.76</v>
      </c>
      <c r="I2721" s="5">
        <f>ROUND(Marketing[[#This Row],[Clicks]]*Marketing[[#This Row],[Conversion_Rate]],0)</f>
        <v>7</v>
      </c>
      <c r="J2721" s="12">
        <f>Marketing[[#This Row],[Campaign_Cost]]/Marketing[[#This Row],[Customers]]</f>
        <v>2650.2857142857142</v>
      </c>
      <c r="K2721" t="s">
        <v>25</v>
      </c>
      <c r="L2721" t="s">
        <v>26</v>
      </c>
      <c r="M2721">
        <v>362</v>
      </c>
      <c r="N2721">
        <v>4387</v>
      </c>
      <c r="O2721">
        <v>4</v>
      </c>
      <c r="P2721" t="s">
        <v>27</v>
      </c>
      <c r="Q2721" s="1">
        <v>44361</v>
      </c>
    </row>
    <row r="2722" spans="1:17" x14ac:dyDescent="0.3">
      <c r="A2722" t="s">
        <v>14</v>
      </c>
      <c r="B2722" t="s">
        <v>45</v>
      </c>
      <c r="C2722" t="s">
        <v>16</v>
      </c>
      <c r="D2722" t="s">
        <v>17</v>
      </c>
      <c r="E2722" t="s">
        <v>15</v>
      </c>
      <c r="F2722" s="9">
        <v>0.1</v>
      </c>
      <c r="G2722" s="10">
        <v>8510</v>
      </c>
      <c r="H2722">
        <v>6.31</v>
      </c>
      <c r="I2722" s="5">
        <f>ROUND(Marketing[[#This Row],[Clicks]]*Marketing[[#This Row],[Conversion_Rate]],0)</f>
        <v>21</v>
      </c>
      <c r="J2722" s="12">
        <f>Marketing[[#This Row],[Campaign_Cost]]/Marketing[[#This Row],[Customers]]</f>
        <v>405.23809523809524</v>
      </c>
      <c r="K2722" t="s">
        <v>19</v>
      </c>
      <c r="L2722" t="s">
        <v>33</v>
      </c>
      <c r="M2722">
        <v>208</v>
      </c>
      <c r="N2722">
        <v>6060</v>
      </c>
      <c r="O2722">
        <v>1</v>
      </c>
      <c r="P2722" t="s">
        <v>34</v>
      </c>
      <c r="Q2722" s="1">
        <v>44362</v>
      </c>
    </row>
    <row r="2723" spans="1:17" x14ac:dyDescent="0.3">
      <c r="A2723" t="s">
        <v>14</v>
      </c>
      <c r="B2723" t="s">
        <v>45</v>
      </c>
      <c r="C2723" t="s">
        <v>23</v>
      </c>
      <c r="D2723" t="s">
        <v>24</v>
      </c>
      <c r="E2723" t="s">
        <v>41</v>
      </c>
      <c r="F2723" s="9">
        <v>7.0000000000000007E-2</v>
      </c>
      <c r="G2723" s="10">
        <v>8278</v>
      </c>
      <c r="H2723">
        <v>2.33</v>
      </c>
      <c r="I2723" s="5">
        <f>ROUND(Marketing[[#This Row],[Clicks]]*Marketing[[#This Row],[Conversion_Rate]],0)</f>
        <v>40</v>
      </c>
      <c r="J2723" s="12">
        <f>Marketing[[#This Row],[Campaign_Cost]]/Marketing[[#This Row],[Customers]]</f>
        <v>206.95</v>
      </c>
      <c r="K2723" t="s">
        <v>51</v>
      </c>
      <c r="L2723" t="s">
        <v>20</v>
      </c>
      <c r="M2723">
        <v>577</v>
      </c>
      <c r="N2723">
        <v>1648</v>
      </c>
      <c r="O2723">
        <v>9</v>
      </c>
      <c r="P2723" t="s">
        <v>34</v>
      </c>
      <c r="Q2723" s="1">
        <v>44363</v>
      </c>
    </row>
    <row r="2724" spans="1:17" x14ac:dyDescent="0.3">
      <c r="A2724" t="s">
        <v>49</v>
      </c>
      <c r="B2724" t="s">
        <v>45</v>
      </c>
      <c r="C2724" t="s">
        <v>37</v>
      </c>
      <c r="D2724" t="s">
        <v>46</v>
      </c>
      <c r="E2724" t="s">
        <v>18</v>
      </c>
      <c r="F2724" s="9">
        <v>0.11</v>
      </c>
      <c r="G2724" s="10">
        <v>9189</v>
      </c>
      <c r="H2724">
        <v>2.06</v>
      </c>
      <c r="I2724" s="5">
        <f>ROUND(Marketing[[#This Row],[Clicks]]*Marketing[[#This Row],[Conversion_Rate]],0)</f>
        <v>12</v>
      </c>
      <c r="J2724" s="12">
        <f>Marketing[[#This Row],[Campaign_Cost]]/Marketing[[#This Row],[Customers]]</f>
        <v>765.75</v>
      </c>
      <c r="K2724" t="s">
        <v>51</v>
      </c>
      <c r="L2724" t="s">
        <v>26</v>
      </c>
      <c r="M2724">
        <v>106</v>
      </c>
      <c r="N2724">
        <v>2427</v>
      </c>
      <c r="O2724">
        <v>2</v>
      </c>
      <c r="P2724" t="s">
        <v>34</v>
      </c>
      <c r="Q2724" s="1">
        <v>44364</v>
      </c>
    </row>
    <row r="2725" spans="1:17" x14ac:dyDescent="0.3">
      <c r="A2725" t="s">
        <v>14</v>
      </c>
      <c r="B2725" t="s">
        <v>15</v>
      </c>
      <c r="C2725" t="s">
        <v>30</v>
      </c>
      <c r="D2725" t="s">
        <v>24</v>
      </c>
      <c r="E2725" t="s">
        <v>31</v>
      </c>
      <c r="F2725" s="9">
        <v>0.08</v>
      </c>
      <c r="G2725" s="10">
        <v>12851</v>
      </c>
      <c r="H2725">
        <v>3.02</v>
      </c>
      <c r="I2725" s="5">
        <f>ROUND(Marketing[[#This Row],[Clicks]]*Marketing[[#This Row],[Conversion_Rate]],0)</f>
        <v>30</v>
      </c>
      <c r="J2725" s="12">
        <f>Marketing[[#This Row],[Campaign_Cost]]/Marketing[[#This Row],[Customers]]</f>
        <v>428.36666666666667</v>
      </c>
      <c r="K2725" t="s">
        <v>38</v>
      </c>
      <c r="L2725" t="s">
        <v>50</v>
      </c>
      <c r="M2725">
        <v>375</v>
      </c>
      <c r="N2725">
        <v>6182</v>
      </c>
      <c r="O2725">
        <v>2</v>
      </c>
      <c r="P2725" t="s">
        <v>34</v>
      </c>
      <c r="Q2725" s="1">
        <v>44365</v>
      </c>
    </row>
    <row r="2726" spans="1:17" x14ac:dyDescent="0.3">
      <c r="A2726" t="s">
        <v>22</v>
      </c>
      <c r="B2726" t="s">
        <v>47</v>
      </c>
      <c r="C2726" t="s">
        <v>52</v>
      </c>
      <c r="D2726" t="s">
        <v>17</v>
      </c>
      <c r="E2726" t="s">
        <v>48</v>
      </c>
      <c r="F2726" s="9">
        <v>7.0000000000000007E-2</v>
      </c>
      <c r="G2726" s="10">
        <v>19828</v>
      </c>
      <c r="H2726">
        <v>5.31</v>
      </c>
      <c r="I2726" s="5">
        <f>ROUND(Marketing[[#This Row],[Clicks]]*Marketing[[#This Row],[Conversion_Rate]],0)</f>
        <v>18</v>
      </c>
      <c r="J2726" s="12">
        <f>Marketing[[#This Row],[Campaign_Cost]]/Marketing[[#This Row],[Customers]]</f>
        <v>1101.5555555555557</v>
      </c>
      <c r="K2726" t="s">
        <v>25</v>
      </c>
      <c r="L2726" t="s">
        <v>20</v>
      </c>
      <c r="M2726">
        <v>263</v>
      </c>
      <c r="N2726">
        <v>8563</v>
      </c>
      <c r="O2726">
        <v>6</v>
      </c>
      <c r="P2726" t="s">
        <v>27</v>
      </c>
      <c r="Q2726" s="1">
        <v>44366</v>
      </c>
    </row>
    <row r="2727" spans="1:17" x14ac:dyDescent="0.3">
      <c r="A2727" t="s">
        <v>28</v>
      </c>
      <c r="B2727" t="s">
        <v>15</v>
      </c>
      <c r="C2727" t="s">
        <v>52</v>
      </c>
      <c r="D2727" t="s">
        <v>24</v>
      </c>
      <c r="E2727" t="s">
        <v>18</v>
      </c>
      <c r="F2727" s="9">
        <v>0.08</v>
      </c>
      <c r="G2727" s="10">
        <v>18133</v>
      </c>
      <c r="H2727">
        <v>3.1</v>
      </c>
      <c r="I2727" s="5">
        <f>ROUND(Marketing[[#This Row],[Clicks]]*Marketing[[#This Row],[Conversion_Rate]],0)</f>
        <v>28</v>
      </c>
      <c r="J2727" s="12">
        <f>Marketing[[#This Row],[Campaign_Cost]]/Marketing[[#This Row],[Customers]]</f>
        <v>647.60714285714289</v>
      </c>
      <c r="K2727" t="s">
        <v>32</v>
      </c>
      <c r="L2727" t="s">
        <v>33</v>
      </c>
      <c r="M2727">
        <v>352</v>
      </c>
      <c r="N2727">
        <v>8933</v>
      </c>
      <c r="O2727">
        <v>1</v>
      </c>
      <c r="P2727" t="s">
        <v>27</v>
      </c>
      <c r="Q2727" s="1">
        <v>44367</v>
      </c>
    </row>
    <row r="2728" spans="1:17" x14ac:dyDescent="0.3">
      <c r="A2728" t="s">
        <v>49</v>
      </c>
      <c r="B2728" t="s">
        <v>47</v>
      </c>
      <c r="C2728" t="s">
        <v>37</v>
      </c>
      <c r="D2728" t="s">
        <v>46</v>
      </c>
      <c r="E2728" t="s">
        <v>15</v>
      </c>
      <c r="F2728" s="9">
        <v>0.09</v>
      </c>
      <c r="G2728" s="10">
        <v>6965</v>
      </c>
      <c r="H2728">
        <v>3.58</v>
      </c>
      <c r="I2728" s="5">
        <f>ROUND(Marketing[[#This Row],[Clicks]]*Marketing[[#This Row],[Conversion_Rate]],0)</f>
        <v>46</v>
      </c>
      <c r="J2728" s="12">
        <f>Marketing[[#This Row],[Campaign_Cost]]/Marketing[[#This Row],[Customers]]</f>
        <v>151.41304347826087</v>
      </c>
      <c r="K2728" t="s">
        <v>32</v>
      </c>
      <c r="L2728" t="s">
        <v>26</v>
      </c>
      <c r="M2728">
        <v>510</v>
      </c>
      <c r="N2728">
        <v>8539</v>
      </c>
      <c r="O2728">
        <v>3</v>
      </c>
      <c r="P2728" t="s">
        <v>44</v>
      </c>
      <c r="Q2728" s="1">
        <v>44368</v>
      </c>
    </row>
    <row r="2729" spans="1:17" x14ac:dyDescent="0.3">
      <c r="A2729" t="s">
        <v>49</v>
      </c>
      <c r="B2729" t="s">
        <v>36</v>
      </c>
      <c r="C2729" t="s">
        <v>37</v>
      </c>
      <c r="D2729" t="s">
        <v>40</v>
      </c>
      <c r="E2729" t="s">
        <v>18</v>
      </c>
      <c r="F2729" s="9">
        <v>0.04</v>
      </c>
      <c r="G2729" s="10">
        <v>18878</v>
      </c>
      <c r="H2729">
        <v>7.07</v>
      </c>
      <c r="I2729" s="5">
        <f>ROUND(Marketing[[#This Row],[Clicks]]*Marketing[[#This Row],[Conversion_Rate]],0)</f>
        <v>28</v>
      </c>
      <c r="J2729" s="12">
        <f>Marketing[[#This Row],[Campaign_Cost]]/Marketing[[#This Row],[Customers]]</f>
        <v>674.21428571428567</v>
      </c>
      <c r="K2729" t="s">
        <v>51</v>
      </c>
      <c r="L2729" t="s">
        <v>39</v>
      </c>
      <c r="M2729">
        <v>691</v>
      </c>
      <c r="N2729">
        <v>6670</v>
      </c>
      <c r="O2729">
        <v>2</v>
      </c>
      <c r="P2729" t="s">
        <v>34</v>
      </c>
      <c r="Q2729" s="1">
        <v>44369</v>
      </c>
    </row>
    <row r="2730" spans="1:17" x14ac:dyDescent="0.3">
      <c r="A2730" t="s">
        <v>35</v>
      </c>
      <c r="B2730" t="s">
        <v>36</v>
      </c>
      <c r="C2730" t="s">
        <v>23</v>
      </c>
      <c r="D2730" t="s">
        <v>17</v>
      </c>
      <c r="E2730" t="s">
        <v>31</v>
      </c>
      <c r="F2730" s="9">
        <v>0.11</v>
      </c>
      <c r="G2730" s="10">
        <v>7129</v>
      </c>
      <c r="H2730">
        <v>3.6</v>
      </c>
      <c r="I2730" s="5">
        <f>ROUND(Marketing[[#This Row],[Clicks]]*Marketing[[#This Row],[Conversion_Rate]],0)</f>
        <v>21</v>
      </c>
      <c r="J2730" s="12">
        <f>Marketing[[#This Row],[Campaign_Cost]]/Marketing[[#This Row],[Customers]]</f>
        <v>339.47619047619048</v>
      </c>
      <c r="K2730" t="s">
        <v>19</v>
      </c>
      <c r="L2730" t="s">
        <v>20</v>
      </c>
      <c r="M2730">
        <v>190</v>
      </c>
      <c r="N2730">
        <v>9616</v>
      </c>
      <c r="O2730">
        <v>3</v>
      </c>
      <c r="P2730" t="s">
        <v>42</v>
      </c>
      <c r="Q2730" s="1">
        <v>44370</v>
      </c>
    </row>
    <row r="2731" spans="1:17" x14ac:dyDescent="0.3">
      <c r="A2731" t="s">
        <v>49</v>
      </c>
      <c r="B2731" t="s">
        <v>15</v>
      </c>
      <c r="C2731" t="s">
        <v>23</v>
      </c>
      <c r="D2731" t="s">
        <v>24</v>
      </c>
      <c r="E2731" t="s">
        <v>43</v>
      </c>
      <c r="F2731" s="9">
        <v>0.06</v>
      </c>
      <c r="G2731" s="10">
        <v>19843</v>
      </c>
      <c r="H2731">
        <v>6.52</v>
      </c>
      <c r="I2731" s="5">
        <f>ROUND(Marketing[[#This Row],[Clicks]]*Marketing[[#This Row],[Conversion_Rate]],0)</f>
        <v>24</v>
      </c>
      <c r="J2731" s="12">
        <f>Marketing[[#This Row],[Campaign_Cost]]/Marketing[[#This Row],[Customers]]</f>
        <v>826.79166666666663</v>
      </c>
      <c r="K2731" t="s">
        <v>25</v>
      </c>
      <c r="L2731" t="s">
        <v>26</v>
      </c>
      <c r="M2731">
        <v>396</v>
      </c>
      <c r="N2731">
        <v>5746</v>
      </c>
      <c r="O2731">
        <v>5</v>
      </c>
      <c r="P2731" t="s">
        <v>27</v>
      </c>
      <c r="Q2731" s="1">
        <v>44371</v>
      </c>
    </row>
    <row r="2732" spans="1:17" x14ac:dyDescent="0.3">
      <c r="A2732" t="s">
        <v>14</v>
      </c>
      <c r="B2732" t="s">
        <v>36</v>
      </c>
      <c r="C2732" t="s">
        <v>52</v>
      </c>
      <c r="D2732" t="s">
        <v>17</v>
      </c>
      <c r="E2732" t="s">
        <v>48</v>
      </c>
      <c r="F2732" s="9">
        <v>0.13</v>
      </c>
      <c r="G2732" s="10">
        <v>5878</v>
      </c>
      <c r="H2732">
        <v>2.59</v>
      </c>
      <c r="I2732" s="5">
        <f>ROUND(Marketing[[#This Row],[Clicks]]*Marketing[[#This Row],[Conversion_Rate]],0)</f>
        <v>82</v>
      </c>
      <c r="J2732" s="12">
        <f>Marketing[[#This Row],[Campaign_Cost]]/Marketing[[#This Row],[Customers]]</f>
        <v>71.682926829268297</v>
      </c>
      <c r="K2732" t="s">
        <v>25</v>
      </c>
      <c r="L2732" t="s">
        <v>33</v>
      </c>
      <c r="M2732">
        <v>630</v>
      </c>
      <c r="N2732">
        <v>4275</v>
      </c>
      <c r="O2732">
        <v>7</v>
      </c>
      <c r="P2732" t="s">
        <v>21</v>
      </c>
      <c r="Q2732" s="1">
        <v>44372</v>
      </c>
    </row>
    <row r="2733" spans="1:17" x14ac:dyDescent="0.3">
      <c r="A2733" t="s">
        <v>22</v>
      </c>
      <c r="B2733" t="s">
        <v>45</v>
      </c>
      <c r="C2733" t="s">
        <v>37</v>
      </c>
      <c r="D2733" t="s">
        <v>24</v>
      </c>
      <c r="E2733" t="s">
        <v>18</v>
      </c>
      <c r="F2733" s="9">
        <v>0.1</v>
      </c>
      <c r="G2733" s="10">
        <v>7646</v>
      </c>
      <c r="H2733">
        <v>4.18</v>
      </c>
      <c r="I2733" s="5">
        <f>ROUND(Marketing[[#This Row],[Clicks]]*Marketing[[#This Row],[Conversion_Rate]],0)</f>
        <v>83</v>
      </c>
      <c r="J2733" s="12">
        <f>Marketing[[#This Row],[Campaign_Cost]]/Marketing[[#This Row],[Customers]]</f>
        <v>92.120481927710841</v>
      </c>
      <c r="K2733" t="s">
        <v>25</v>
      </c>
      <c r="L2733" t="s">
        <v>33</v>
      </c>
      <c r="M2733">
        <v>827</v>
      </c>
      <c r="N2733">
        <v>4178</v>
      </c>
      <c r="O2733">
        <v>9</v>
      </c>
      <c r="P2733" t="s">
        <v>44</v>
      </c>
      <c r="Q2733" s="1">
        <v>44373</v>
      </c>
    </row>
    <row r="2734" spans="1:17" x14ac:dyDescent="0.3">
      <c r="A2734" t="s">
        <v>22</v>
      </c>
      <c r="B2734" t="s">
        <v>47</v>
      </c>
      <c r="C2734" t="s">
        <v>30</v>
      </c>
      <c r="D2734" t="s">
        <v>46</v>
      </c>
      <c r="E2734" t="s">
        <v>31</v>
      </c>
      <c r="F2734" s="9">
        <v>0.08</v>
      </c>
      <c r="G2734" s="10">
        <v>6539</v>
      </c>
      <c r="H2734">
        <v>7.37</v>
      </c>
      <c r="I2734" s="5">
        <f>ROUND(Marketing[[#This Row],[Clicks]]*Marketing[[#This Row],[Conversion_Rate]],0)</f>
        <v>52</v>
      </c>
      <c r="J2734" s="12">
        <f>Marketing[[#This Row],[Campaign_Cost]]/Marketing[[#This Row],[Customers]]</f>
        <v>125.75</v>
      </c>
      <c r="K2734" t="s">
        <v>25</v>
      </c>
      <c r="L2734" t="s">
        <v>26</v>
      </c>
      <c r="M2734">
        <v>646</v>
      </c>
      <c r="N2734">
        <v>7333</v>
      </c>
      <c r="O2734">
        <v>2</v>
      </c>
      <c r="P2734" t="s">
        <v>21</v>
      </c>
      <c r="Q2734" s="1">
        <v>44374</v>
      </c>
    </row>
    <row r="2735" spans="1:17" x14ac:dyDescent="0.3">
      <c r="A2735" t="s">
        <v>49</v>
      </c>
      <c r="B2735" t="s">
        <v>29</v>
      </c>
      <c r="C2735" t="s">
        <v>16</v>
      </c>
      <c r="D2735" t="s">
        <v>40</v>
      </c>
      <c r="E2735" t="s">
        <v>43</v>
      </c>
      <c r="F2735" s="9">
        <v>0.09</v>
      </c>
      <c r="G2735" s="10">
        <v>15331</v>
      </c>
      <c r="H2735">
        <v>4.75</v>
      </c>
      <c r="I2735" s="5">
        <f>ROUND(Marketing[[#This Row],[Clicks]]*Marketing[[#This Row],[Conversion_Rate]],0)</f>
        <v>41</v>
      </c>
      <c r="J2735" s="12">
        <f>Marketing[[#This Row],[Campaign_Cost]]/Marketing[[#This Row],[Customers]]</f>
        <v>373.92682926829269</v>
      </c>
      <c r="K2735" t="s">
        <v>25</v>
      </c>
      <c r="L2735" t="s">
        <v>20</v>
      </c>
      <c r="M2735">
        <v>459</v>
      </c>
      <c r="N2735">
        <v>4147</v>
      </c>
      <c r="O2735">
        <v>8</v>
      </c>
      <c r="P2735" t="s">
        <v>34</v>
      </c>
      <c r="Q2735" s="1">
        <v>44375</v>
      </c>
    </row>
    <row r="2736" spans="1:17" x14ac:dyDescent="0.3">
      <c r="A2736" t="s">
        <v>22</v>
      </c>
      <c r="B2736" t="s">
        <v>47</v>
      </c>
      <c r="C2736" t="s">
        <v>52</v>
      </c>
      <c r="D2736" t="s">
        <v>17</v>
      </c>
      <c r="E2736" t="s">
        <v>18</v>
      </c>
      <c r="F2736" s="9">
        <v>0.03</v>
      </c>
      <c r="G2736" s="10">
        <v>16598</v>
      </c>
      <c r="H2736">
        <v>3.12</v>
      </c>
      <c r="I2736" s="5">
        <f>ROUND(Marketing[[#This Row],[Clicks]]*Marketing[[#This Row],[Conversion_Rate]],0)</f>
        <v>29</v>
      </c>
      <c r="J2736" s="12">
        <f>Marketing[[#This Row],[Campaign_Cost]]/Marketing[[#This Row],[Customers]]</f>
        <v>572.34482758620686</v>
      </c>
      <c r="K2736" t="s">
        <v>32</v>
      </c>
      <c r="L2736" t="s">
        <v>26</v>
      </c>
      <c r="M2736">
        <v>967</v>
      </c>
      <c r="N2736">
        <v>6138</v>
      </c>
      <c r="O2736">
        <v>8</v>
      </c>
      <c r="P2736" t="s">
        <v>21</v>
      </c>
      <c r="Q2736" s="1">
        <v>44376</v>
      </c>
    </row>
    <row r="2737" spans="1:17" x14ac:dyDescent="0.3">
      <c r="A2737" t="s">
        <v>22</v>
      </c>
      <c r="B2737" t="s">
        <v>47</v>
      </c>
      <c r="C2737" t="s">
        <v>16</v>
      </c>
      <c r="D2737" t="s">
        <v>24</v>
      </c>
      <c r="E2737" t="s">
        <v>43</v>
      </c>
      <c r="F2737" s="9">
        <v>0.03</v>
      </c>
      <c r="G2737" s="10">
        <v>16529</v>
      </c>
      <c r="H2737">
        <v>5.9</v>
      </c>
      <c r="I2737" s="5">
        <f>ROUND(Marketing[[#This Row],[Clicks]]*Marketing[[#This Row],[Conversion_Rate]],0)</f>
        <v>11</v>
      </c>
      <c r="J2737" s="12">
        <f>Marketing[[#This Row],[Campaign_Cost]]/Marketing[[#This Row],[Customers]]</f>
        <v>1502.6363636363637</v>
      </c>
      <c r="K2737" t="s">
        <v>19</v>
      </c>
      <c r="L2737" t="s">
        <v>20</v>
      </c>
      <c r="M2737">
        <v>372</v>
      </c>
      <c r="N2737">
        <v>3450</v>
      </c>
      <c r="O2737">
        <v>9</v>
      </c>
      <c r="P2737" t="s">
        <v>27</v>
      </c>
      <c r="Q2737" s="1">
        <v>44377</v>
      </c>
    </row>
    <row r="2738" spans="1:17" x14ac:dyDescent="0.3">
      <c r="A2738" t="s">
        <v>35</v>
      </c>
      <c r="B2738" t="s">
        <v>36</v>
      </c>
      <c r="C2738" t="s">
        <v>30</v>
      </c>
      <c r="D2738" t="s">
        <v>17</v>
      </c>
      <c r="E2738" t="s">
        <v>18</v>
      </c>
      <c r="F2738" s="9">
        <v>7.0000000000000007E-2</v>
      </c>
      <c r="G2738" s="10">
        <v>19654</v>
      </c>
      <c r="H2738">
        <v>7.85</v>
      </c>
      <c r="I2738" s="5">
        <f>ROUND(Marketing[[#This Row],[Clicks]]*Marketing[[#This Row],[Conversion_Rate]],0)</f>
        <v>22</v>
      </c>
      <c r="J2738" s="12">
        <f>Marketing[[#This Row],[Campaign_Cost]]/Marketing[[#This Row],[Customers]]</f>
        <v>893.36363636363637</v>
      </c>
      <c r="K2738" t="s">
        <v>38</v>
      </c>
      <c r="L2738" t="s">
        <v>20</v>
      </c>
      <c r="M2738">
        <v>315</v>
      </c>
      <c r="N2738">
        <v>7413</v>
      </c>
      <c r="O2738">
        <v>8</v>
      </c>
      <c r="P2738" t="s">
        <v>21</v>
      </c>
      <c r="Q2738" s="1">
        <v>44378</v>
      </c>
    </row>
    <row r="2739" spans="1:17" x14ac:dyDescent="0.3">
      <c r="A2739" t="s">
        <v>49</v>
      </c>
      <c r="B2739" t="s">
        <v>47</v>
      </c>
      <c r="C2739" t="s">
        <v>37</v>
      </c>
      <c r="D2739" t="s">
        <v>24</v>
      </c>
      <c r="E2739" t="s">
        <v>48</v>
      </c>
      <c r="F2739" s="9">
        <v>0.11</v>
      </c>
      <c r="G2739" s="10">
        <v>19601</v>
      </c>
      <c r="H2739">
        <v>7.22</v>
      </c>
      <c r="I2739" s="5">
        <f>ROUND(Marketing[[#This Row],[Clicks]]*Marketing[[#This Row],[Conversion_Rate]],0)</f>
        <v>101</v>
      </c>
      <c r="J2739" s="12">
        <f>Marketing[[#This Row],[Campaign_Cost]]/Marketing[[#This Row],[Customers]]</f>
        <v>194.06930693069307</v>
      </c>
      <c r="K2739" t="s">
        <v>25</v>
      </c>
      <c r="L2739" t="s">
        <v>50</v>
      </c>
      <c r="M2739">
        <v>921</v>
      </c>
      <c r="N2739">
        <v>1287</v>
      </c>
      <c r="O2739">
        <v>1</v>
      </c>
      <c r="P2739" t="s">
        <v>21</v>
      </c>
      <c r="Q2739" s="1">
        <v>44379</v>
      </c>
    </row>
    <row r="2740" spans="1:17" x14ac:dyDescent="0.3">
      <c r="A2740" t="s">
        <v>35</v>
      </c>
      <c r="B2740" t="s">
        <v>29</v>
      </c>
      <c r="C2740" t="s">
        <v>37</v>
      </c>
      <c r="D2740" t="s">
        <v>46</v>
      </c>
      <c r="E2740" t="s">
        <v>31</v>
      </c>
      <c r="F2740" s="9">
        <v>0.11</v>
      </c>
      <c r="G2740" s="10">
        <v>15904</v>
      </c>
      <c r="H2740">
        <v>3.59</v>
      </c>
      <c r="I2740" s="5">
        <f>ROUND(Marketing[[#This Row],[Clicks]]*Marketing[[#This Row],[Conversion_Rate]],0)</f>
        <v>88</v>
      </c>
      <c r="J2740" s="12">
        <f>Marketing[[#This Row],[Campaign_Cost]]/Marketing[[#This Row],[Customers]]</f>
        <v>180.72727272727272</v>
      </c>
      <c r="K2740" t="s">
        <v>38</v>
      </c>
      <c r="L2740" t="s">
        <v>20</v>
      </c>
      <c r="M2740">
        <v>804</v>
      </c>
      <c r="N2740">
        <v>8439</v>
      </c>
      <c r="O2740">
        <v>3</v>
      </c>
      <c r="P2740" t="s">
        <v>44</v>
      </c>
      <c r="Q2740" s="1">
        <v>44380</v>
      </c>
    </row>
    <row r="2741" spans="1:17" x14ac:dyDescent="0.3">
      <c r="A2741" t="s">
        <v>49</v>
      </c>
      <c r="B2741" t="s">
        <v>45</v>
      </c>
      <c r="C2741" t="s">
        <v>52</v>
      </c>
      <c r="D2741" t="s">
        <v>17</v>
      </c>
      <c r="E2741" t="s">
        <v>41</v>
      </c>
      <c r="F2741" s="9">
        <v>0.12</v>
      </c>
      <c r="G2741" s="10">
        <v>6870</v>
      </c>
      <c r="H2741">
        <v>3.37</v>
      </c>
      <c r="I2741" s="5">
        <f>ROUND(Marketing[[#This Row],[Clicks]]*Marketing[[#This Row],[Conversion_Rate]],0)</f>
        <v>77</v>
      </c>
      <c r="J2741" s="12">
        <f>Marketing[[#This Row],[Campaign_Cost]]/Marketing[[#This Row],[Customers]]</f>
        <v>89.220779220779221</v>
      </c>
      <c r="K2741" t="s">
        <v>51</v>
      </c>
      <c r="L2741" t="s">
        <v>33</v>
      </c>
      <c r="M2741">
        <v>641</v>
      </c>
      <c r="N2741">
        <v>6090</v>
      </c>
      <c r="O2741">
        <v>9</v>
      </c>
      <c r="P2741" t="s">
        <v>27</v>
      </c>
      <c r="Q2741" s="1">
        <v>44381</v>
      </c>
    </row>
    <row r="2742" spans="1:17" x14ac:dyDescent="0.3">
      <c r="A2742" t="s">
        <v>22</v>
      </c>
      <c r="B2742" t="s">
        <v>47</v>
      </c>
      <c r="C2742" t="s">
        <v>16</v>
      </c>
      <c r="D2742" t="s">
        <v>40</v>
      </c>
      <c r="E2742" t="s">
        <v>41</v>
      </c>
      <c r="F2742" s="9">
        <v>0.09</v>
      </c>
      <c r="G2742" s="10">
        <v>13841</v>
      </c>
      <c r="H2742">
        <v>2.29</v>
      </c>
      <c r="I2742" s="5">
        <f>ROUND(Marketing[[#This Row],[Clicks]]*Marketing[[#This Row],[Conversion_Rate]],0)</f>
        <v>52</v>
      </c>
      <c r="J2742" s="12">
        <f>Marketing[[#This Row],[Campaign_Cost]]/Marketing[[#This Row],[Customers]]</f>
        <v>266.17307692307691</v>
      </c>
      <c r="K2742" t="s">
        <v>51</v>
      </c>
      <c r="L2742" t="s">
        <v>26</v>
      </c>
      <c r="M2742">
        <v>579</v>
      </c>
      <c r="N2742">
        <v>4036</v>
      </c>
      <c r="O2742">
        <v>6</v>
      </c>
      <c r="P2742" t="s">
        <v>21</v>
      </c>
      <c r="Q2742" s="1">
        <v>44382</v>
      </c>
    </row>
    <row r="2743" spans="1:17" x14ac:dyDescent="0.3">
      <c r="A2743" t="s">
        <v>14</v>
      </c>
      <c r="B2743" t="s">
        <v>29</v>
      </c>
      <c r="C2743" t="s">
        <v>37</v>
      </c>
      <c r="D2743" t="s">
        <v>40</v>
      </c>
      <c r="E2743" t="s">
        <v>15</v>
      </c>
      <c r="F2743" s="9">
        <v>0.06</v>
      </c>
      <c r="G2743" s="10">
        <v>5347</v>
      </c>
      <c r="H2743">
        <v>3.29</v>
      </c>
      <c r="I2743" s="5">
        <f>ROUND(Marketing[[#This Row],[Clicks]]*Marketing[[#This Row],[Conversion_Rate]],0)</f>
        <v>10</v>
      </c>
      <c r="J2743" s="12">
        <f>Marketing[[#This Row],[Campaign_Cost]]/Marketing[[#This Row],[Customers]]</f>
        <v>534.70000000000005</v>
      </c>
      <c r="K2743" t="s">
        <v>19</v>
      </c>
      <c r="L2743" t="s">
        <v>39</v>
      </c>
      <c r="M2743">
        <v>161</v>
      </c>
      <c r="N2743">
        <v>3472</v>
      </c>
      <c r="O2743">
        <v>10</v>
      </c>
      <c r="P2743" t="s">
        <v>44</v>
      </c>
      <c r="Q2743" s="1">
        <v>44383</v>
      </c>
    </row>
    <row r="2744" spans="1:17" x14ac:dyDescent="0.3">
      <c r="A2744" t="s">
        <v>35</v>
      </c>
      <c r="B2744" t="s">
        <v>47</v>
      </c>
      <c r="C2744" t="s">
        <v>23</v>
      </c>
      <c r="D2744" t="s">
        <v>40</v>
      </c>
      <c r="E2744" t="s">
        <v>31</v>
      </c>
      <c r="F2744" s="9">
        <v>0.06</v>
      </c>
      <c r="G2744" s="10">
        <v>14782</v>
      </c>
      <c r="H2744">
        <v>7</v>
      </c>
      <c r="I2744" s="5">
        <f>ROUND(Marketing[[#This Row],[Clicks]]*Marketing[[#This Row],[Conversion_Rate]],0)</f>
        <v>39</v>
      </c>
      <c r="J2744" s="12">
        <f>Marketing[[#This Row],[Campaign_Cost]]/Marketing[[#This Row],[Customers]]</f>
        <v>379.02564102564105</v>
      </c>
      <c r="K2744" t="s">
        <v>51</v>
      </c>
      <c r="L2744" t="s">
        <v>33</v>
      </c>
      <c r="M2744">
        <v>646</v>
      </c>
      <c r="N2744">
        <v>6350</v>
      </c>
      <c r="O2744">
        <v>1</v>
      </c>
      <c r="P2744" t="s">
        <v>44</v>
      </c>
      <c r="Q2744" s="1">
        <v>44384</v>
      </c>
    </row>
    <row r="2745" spans="1:17" x14ac:dyDescent="0.3">
      <c r="A2745" t="s">
        <v>28</v>
      </c>
      <c r="B2745" t="s">
        <v>29</v>
      </c>
      <c r="C2745" t="s">
        <v>23</v>
      </c>
      <c r="D2745" t="s">
        <v>17</v>
      </c>
      <c r="E2745" t="s">
        <v>43</v>
      </c>
      <c r="F2745" s="9">
        <v>0.05</v>
      </c>
      <c r="G2745" s="10">
        <v>15191</v>
      </c>
      <c r="H2745">
        <v>4.8499999999999996</v>
      </c>
      <c r="I2745" s="5">
        <f>ROUND(Marketing[[#This Row],[Clicks]]*Marketing[[#This Row],[Conversion_Rate]],0)</f>
        <v>35</v>
      </c>
      <c r="J2745" s="12">
        <f>Marketing[[#This Row],[Campaign_Cost]]/Marketing[[#This Row],[Customers]]</f>
        <v>434.02857142857141</v>
      </c>
      <c r="K2745" t="s">
        <v>19</v>
      </c>
      <c r="L2745" t="s">
        <v>50</v>
      </c>
      <c r="M2745">
        <v>709</v>
      </c>
      <c r="N2745">
        <v>6213</v>
      </c>
      <c r="O2745">
        <v>8</v>
      </c>
      <c r="P2745" t="s">
        <v>27</v>
      </c>
      <c r="Q2745" s="1">
        <v>44385</v>
      </c>
    </row>
    <row r="2746" spans="1:17" x14ac:dyDescent="0.3">
      <c r="A2746" t="s">
        <v>28</v>
      </c>
      <c r="B2746" t="s">
        <v>36</v>
      </c>
      <c r="C2746" t="s">
        <v>23</v>
      </c>
      <c r="D2746" t="s">
        <v>17</v>
      </c>
      <c r="E2746" t="s">
        <v>31</v>
      </c>
      <c r="F2746" s="9">
        <v>0.08</v>
      </c>
      <c r="G2746" s="10">
        <v>10099</v>
      </c>
      <c r="H2746">
        <v>6.36</v>
      </c>
      <c r="I2746" s="5">
        <f>ROUND(Marketing[[#This Row],[Clicks]]*Marketing[[#This Row],[Conversion_Rate]],0)</f>
        <v>51</v>
      </c>
      <c r="J2746" s="12">
        <f>Marketing[[#This Row],[Campaign_Cost]]/Marketing[[#This Row],[Customers]]</f>
        <v>198.01960784313727</v>
      </c>
      <c r="K2746" t="s">
        <v>32</v>
      </c>
      <c r="L2746" t="s">
        <v>20</v>
      </c>
      <c r="M2746">
        <v>637</v>
      </c>
      <c r="N2746">
        <v>8841</v>
      </c>
      <c r="O2746">
        <v>1</v>
      </c>
      <c r="P2746" t="s">
        <v>21</v>
      </c>
      <c r="Q2746" s="1">
        <v>44386</v>
      </c>
    </row>
    <row r="2747" spans="1:17" x14ac:dyDescent="0.3">
      <c r="A2747" t="s">
        <v>22</v>
      </c>
      <c r="B2747" t="s">
        <v>47</v>
      </c>
      <c r="C2747" t="s">
        <v>16</v>
      </c>
      <c r="D2747" t="s">
        <v>46</v>
      </c>
      <c r="E2747" t="s">
        <v>48</v>
      </c>
      <c r="F2747" s="9">
        <v>0.09</v>
      </c>
      <c r="G2747" s="10">
        <v>9385</v>
      </c>
      <c r="H2747">
        <v>7.37</v>
      </c>
      <c r="I2747" s="5">
        <f>ROUND(Marketing[[#This Row],[Clicks]]*Marketing[[#This Row],[Conversion_Rate]],0)</f>
        <v>17</v>
      </c>
      <c r="J2747" s="12">
        <f>Marketing[[#This Row],[Campaign_Cost]]/Marketing[[#This Row],[Customers]]</f>
        <v>552.05882352941171</v>
      </c>
      <c r="K2747" t="s">
        <v>32</v>
      </c>
      <c r="L2747" t="s">
        <v>20</v>
      </c>
      <c r="M2747">
        <v>187</v>
      </c>
      <c r="N2747">
        <v>7846</v>
      </c>
      <c r="O2747">
        <v>7</v>
      </c>
      <c r="P2747" t="s">
        <v>34</v>
      </c>
      <c r="Q2747" s="1">
        <v>44387</v>
      </c>
    </row>
    <row r="2748" spans="1:17" x14ac:dyDescent="0.3">
      <c r="A2748" t="s">
        <v>35</v>
      </c>
      <c r="B2748" t="s">
        <v>36</v>
      </c>
      <c r="C2748" t="s">
        <v>16</v>
      </c>
      <c r="D2748" t="s">
        <v>17</v>
      </c>
      <c r="E2748" t="s">
        <v>18</v>
      </c>
      <c r="F2748" s="9">
        <v>0.08</v>
      </c>
      <c r="G2748" s="10">
        <v>7783</v>
      </c>
      <c r="H2748">
        <v>4.62</v>
      </c>
      <c r="I2748" s="5">
        <f>ROUND(Marketing[[#This Row],[Clicks]]*Marketing[[#This Row],[Conversion_Rate]],0)</f>
        <v>42</v>
      </c>
      <c r="J2748" s="12">
        <f>Marketing[[#This Row],[Campaign_Cost]]/Marketing[[#This Row],[Customers]]</f>
        <v>185.3095238095238</v>
      </c>
      <c r="K2748" t="s">
        <v>38</v>
      </c>
      <c r="L2748" t="s">
        <v>20</v>
      </c>
      <c r="M2748">
        <v>522</v>
      </c>
      <c r="N2748">
        <v>1722</v>
      </c>
      <c r="O2748">
        <v>10</v>
      </c>
      <c r="P2748" t="s">
        <v>34</v>
      </c>
      <c r="Q2748" s="1">
        <v>44388</v>
      </c>
    </row>
    <row r="2749" spans="1:17" x14ac:dyDescent="0.3">
      <c r="A2749" t="s">
        <v>22</v>
      </c>
      <c r="B2749" t="s">
        <v>15</v>
      </c>
      <c r="C2749" t="s">
        <v>37</v>
      </c>
      <c r="D2749" t="s">
        <v>24</v>
      </c>
      <c r="E2749" t="s">
        <v>31</v>
      </c>
      <c r="F2749" s="9">
        <v>0.03</v>
      </c>
      <c r="G2749" s="10">
        <v>6442</v>
      </c>
      <c r="H2749">
        <v>6.79</v>
      </c>
      <c r="I2749" s="5">
        <f>ROUND(Marketing[[#This Row],[Clicks]]*Marketing[[#This Row],[Conversion_Rate]],0)</f>
        <v>19</v>
      </c>
      <c r="J2749" s="12">
        <f>Marketing[[#This Row],[Campaign_Cost]]/Marketing[[#This Row],[Customers]]</f>
        <v>339.05263157894734</v>
      </c>
      <c r="K2749" t="s">
        <v>25</v>
      </c>
      <c r="L2749" t="s">
        <v>33</v>
      </c>
      <c r="M2749">
        <v>645</v>
      </c>
      <c r="N2749">
        <v>8605</v>
      </c>
      <c r="O2749">
        <v>7</v>
      </c>
      <c r="P2749" t="s">
        <v>34</v>
      </c>
      <c r="Q2749" s="1">
        <v>44389</v>
      </c>
    </row>
    <row r="2750" spans="1:17" x14ac:dyDescent="0.3">
      <c r="A2750" t="s">
        <v>14</v>
      </c>
      <c r="B2750" t="s">
        <v>15</v>
      </c>
      <c r="C2750" t="s">
        <v>23</v>
      </c>
      <c r="D2750" t="s">
        <v>24</v>
      </c>
      <c r="E2750" t="s">
        <v>15</v>
      </c>
      <c r="F2750" s="9">
        <v>0.03</v>
      </c>
      <c r="G2750" s="10">
        <v>8768</v>
      </c>
      <c r="H2750">
        <v>2.0299999999999998</v>
      </c>
      <c r="I2750" s="5">
        <f>ROUND(Marketing[[#This Row],[Clicks]]*Marketing[[#This Row],[Conversion_Rate]],0)</f>
        <v>13</v>
      </c>
      <c r="J2750" s="12">
        <f>Marketing[[#This Row],[Campaign_Cost]]/Marketing[[#This Row],[Customers]]</f>
        <v>674.46153846153845</v>
      </c>
      <c r="K2750" t="s">
        <v>38</v>
      </c>
      <c r="L2750" t="s">
        <v>50</v>
      </c>
      <c r="M2750">
        <v>432</v>
      </c>
      <c r="N2750">
        <v>4584</v>
      </c>
      <c r="O2750">
        <v>10</v>
      </c>
      <c r="P2750" t="s">
        <v>27</v>
      </c>
      <c r="Q2750" s="1">
        <v>44390</v>
      </c>
    </row>
    <row r="2751" spans="1:17" x14ac:dyDescent="0.3">
      <c r="A2751" t="s">
        <v>28</v>
      </c>
      <c r="B2751" t="s">
        <v>29</v>
      </c>
      <c r="C2751" t="s">
        <v>16</v>
      </c>
      <c r="D2751" t="s">
        <v>24</v>
      </c>
      <c r="E2751" t="s">
        <v>18</v>
      </c>
      <c r="F2751" s="9">
        <v>0.11</v>
      </c>
      <c r="G2751" s="10">
        <v>14876</v>
      </c>
      <c r="H2751">
        <v>5.68</v>
      </c>
      <c r="I2751" s="5">
        <f>ROUND(Marketing[[#This Row],[Clicks]]*Marketing[[#This Row],[Conversion_Rate]],0)</f>
        <v>93</v>
      </c>
      <c r="J2751" s="12">
        <f>Marketing[[#This Row],[Campaign_Cost]]/Marketing[[#This Row],[Customers]]</f>
        <v>159.95698924731184</v>
      </c>
      <c r="K2751" t="s">
        <v>51</v>
      </c>
      <c r="L2751" t="s">
        <v>39</v>
      </c>
      <c r="M2751">
        <v>844</v>
      </c>
      <c r="N2751">
        <v>3977</v>
      </c>
      <c r="O2751">
        <v>9</v>
      </c>
      <c r="P2751" t="s">
        <v>34</v>
      </c>
      <c r="Q2751" s="1">
        <v>44391</v>
      </c>
    </row>
    <row r="2752" spans="1:17" x14ac:dyDescent="0.3">
      <c r="A2752" t="s">
        <v>28</v>
      </c>
      <c r="B2752" t="s">
        <v>47</v>
      </c>
      <c r="C2752" t="s">
        <v>23</v>
      </c>
      <c r="D2752" t="s">
        <v>24</v>
      </c>
      <c r="E2752" t="s">
        <v>31</v>
      </c>
      <c r="F2752" s="9">
        <v>0.06</v>
      </c>
      <c r="G2752" s="10">
        <v>16370</v>
      </c>
      <c r="H2752">
        <v>5.95</v>
      </c>
      <c r="I2752" s="5">
        <f>ROUND(Marketing[[#This Row],[Clicks]]*Marketing[[#This Row],[Conversion_Rate]],0)</f>
        <v>10</v>
      </c>
      <c r="J2752" s="12">
        <f>Marketing[[#This Row],[Campaign_Cost]]/Marketing[[#This Row],[Customers]]</f>
        <v>1637</v>
      </c>
      <c r="K2752" t="s">
        <v>19</v>
      </c>
      <c r="L2752" t="s">
        <v>33</v>
      </c>
      <c r="M2752">
        <v>162</v>
      </c>
      <c r="N2752">
        <v>7026</v>
      </c>
      <c r="O2752">
        <v>5</v>
      </c>
      <c r="P2752" t="s">
        <v>44</v>
      </c>
      <c r="Q2752" s="1">
        <v>44392</v>
      </c>
    </row>
    <row r="2753" spans="1:17" x14ac:dyDescent="0.3">
      <c r="A2753" t="s">
        <v>14</v>
      </c>
      <c r="B2753" t="s">
        <v>36</v>
      </c>
      <c r="C2753" t="s">
        <v>30</v>
      </c>
      <c r="D2753" t="s">
        <v>17</v>
      </c>
      <c r="E2753" t="s">
        <v>15</v>
      </c>
      <c r="F2753" s="9">
        <v>0.1</v>
      </c>
      <c r="G2753" s="10">
        <v>17202</v>
      </c>
      <c r="H2753">
        <v>6.88</v>
      </c>
      <c r="I2753" s="5">
        <f>ROUND(Marketing[[#This Row],[Clicks]]*Marketing[[#This Row],[Conversion_Rate]],0)</f>
        <v>70</v>
      </c>
      <c r="J2753" s="12">
        <f>Marketing[[#This Row],[Campaign_Cost]]/Marketing[[#This Row],[Customers]]</f>
        <v>245.74285714285713</v>
      </c>
      <c r="K2753" t="s">
        <v>19</v>
      </c>
      <c r="L2753" t="s">
        <v>33</v>
      </c>
      <c r="M2753">
        <v>702</v>
      </c>
      <c r="N2753">
        <v>8105</v>
      </c>
      <c r="O2753">
        <v>10</v>
      </c>
      <c r="P2753" t="s">
        <v>27</v>
      </c>
      <c r="Q2753" s="1">
        <v>44393</v>
      </c>
    </row>
    <row r="2754" spans="1:17" x14ac:dyDescent="0.3">
      <c r="A2754" t="s">
        <v>35</v>
      </c>
      <c r="B2754" t="s">
        <v>29</v>
      </c>
      <c r="C2754" t="s">
        <v>52</v>
      </c>
      <c r="D2754" t="s">
        <v>40</v>
      </c>
      <c r="E2754" t="s">
        <v>41</v>
      </c>
      <c r="F2754" s="9">
        <v>0.12</v>
      </c>
      <c r="G2754" s="10">
        <v>18715</v>
      </c>
      <c r="H2754">
        <v>7.39</v>
      </c>
      <c r="I2754" s="5">
        <f>ROUND(Marketing[[#This Row],[Clicks]]*Marketing[[#This Row],[Conversion_Rate]],0)</f>
        <v>52</v>
      </c>
      <c r="J2754" s="12">
        <f>Marketing[[#This Row],[Campaign_Cost]]/Marketing[[#This Row],[Customers]]</f>
        <v>359.90384615384613</v>
      </c>
      <c r="K2754" t="s">
        <v>25</v>
      </c>
      <c r="L2754" t="s">
        <v>20</v>
      </c>
      <c r="M2754">
        <v>434</v>
      </c>
      <c r="N2754">
        <v>7760</v>
      </c>
      <c r="O2754">
        <v>9</v>
      </c>
      <c r="P2754" t="s">
        <v>27</v>
      </c>
      <c r="Q2754" s="1">
        <v>44394</v>
      </c>
    </row>
    <row r="2755" spans="1:17" x14ac:dyDescent="0.3">
      <c r="A2755" t="s">
        <v>28</v>
      </c>
      <c r="B2755" t="s">
        <v>29</v>
      </c>
      <c r="C2755" t="s">
        <v>52</v>
      </c>
      <c r="D2755" t="s">
        <v>46</v>
      </c>
      <c r="E2755" t="s">
        <v>18</v>
      </c>
      <c r="F2755" s="9">
        <v>0.01</v>
      </c>
      <c r="G2755" s="10">
        <v>16827</v>
      </c>
      <c r="H2755">
        <v>7.61</v>
      </c>
      <c r="I2755" s="5">
        <f>ROUND(Marketing[[#This Row],[Clicks]]*Marketing[[#This Row],[Conversion_Rate]],0)</f>
        <v>4</v>
      </c>
      <c r="J2755" s="12">
        <f>Marketing[[#This Row],[Campaign_Cost]]/Marketing[[#This Row],[Customers]]</f>
        <v>4206.75</v>
      </c>
      <c r="K2755" t="s">
        <v>32</v>
      </c>
      <c r="L2755" t="s">
        <v>33</v>
      </c>
      <c r="M2755">
        <v>365</v>
      </c>
      <c r="N2755">
        <v>9809</v>
      </c>
      <c r="O2755">
        <v>8</v>
      </c>
      <c r="P2755" t="s">
        <v>21</v>
      </c>
      <c r="Q2755" s="1">
        <v>44395</v>
      </c>
    </row>
    <row r="2756" spans="1:17" x14ac:dyDescent="0.3">
      <c r="A2756" t="s">
        <v>22</v>
      </c>
      <c r="B2756" t="s">
        <v>45</v>
      </c>
      <c r="C2756" t="s">
        <v>37</v>
      </c>
      <c r="D2756" t="s">
        <v>17</v>
      </c>
      <c r="E2756" t="s">
        <v>15</v>
      </c>
      <c r="F2756" s="9">
        <v>7.0000000000000007E-2</v>
      </c>
      <c r="G2756" s="10">
        <v>14803</v>
      </c>
      <c r="H2756">
        <v>4.24</v>
      </c>
      <c r="I2756" s="5">
        <f>ROUND(Marketing[[#This Row],[Clicks]]*Marketing[[#This Row],[Conversion_Rate]],0)</f>
        <v>49</v>
      </c>
      <c r="J2756" s="12">
        <f>Marketing[[#This Row],[Campaign_Cost]]/Marketing[[#This Row],[Customers]]</f>
        <v>302.10204081632651</v>
      </c>
      <c r="K2756" t="s">
        <v>51</v>
      </c>
      <c r="L2756" t="s">
        <v>26</v>
      </c>
      <c r="M2756">
        <v>695</v>
      </c>
      <c r="N2756">
        <v>5025</v>
      </c>
      <c r="O2756">
        <v>3</v>
      </c>
      <c r="P2756" t="s">
        <v>44</v>
      </c>
      <c r="Q2756" s="1">
        <v>44396</v>
      </c>
    </row>
    <row r="2757" spans="1:17" x14ac:dyDescent="0.3">
      <c r="A2757" t="s">
        <v>14</v>
      </c>
      <c r="B2757" t="s">
        <v>45</v>
      </c>
      <c r="C2757" t="s">
        <v>37</v>
      </c>
      <c r="D2757" t="s">
        <v>24</v>
      </c>
      <c r="E2757" t="s">
        <v>48</v>
      </c>
      <c r="F2757" s="9">
        <v>0.03</v>
      </c>
      <c r="G2757" s="10">
        <v>13896</v>
      </c>
      <c r="H2757">
        <v>3.08</v>
      </c>
      <c r="I2757" s="5">
        <f>ROUND(Marketing[[#This Row],[Clicks]]*Marketing[[#This Row],[Conversion_Rate]],0)</f>
        <v>13</v>
      </c>
      <c r="J2757" s="12">
        <f>Marketing[[#This Row],[Campaign_Cost]]/Marketing[[#This Row],[Customers]]</f>
        <v>1068.9230769230769</v>
      </c>
      <c r="K2757" t="s">
        <v>19</v>
      </c>
      <c r="L2757" t="s">
        <v>39</v>
      </c>
      <c r="M2757">
        <v>438</v>
      </c>
      <c r="N2757">
        <v>9102</v>
      </c>
      <c r="O2757">
        <v>1</v>
      </c>
      <c r="P2757" t="s">
        <v>42</v>
      </c>
      <c r="Q2757" s="1">
        <v>44397</v>
      </c>
    </row>
    <row r="2758" spans="1:17" x14ac:dyDescent="0.3">
      <c r="A2758" t="s">
        <v>28</v>
      </c>
      <c r="B2758" t="s">
        <v>45</v>
      </c>
      <c r="C2758" t="s">
        <v>37</v>
      </c>
      <c r="D2758" t="s">
        <v>40</v>
      </c>
      <c r="E2758" t="s">
        <v>48</v>
      </c>
      <c r="F2758" s="9">
        <v>0.13</v>
      </c>
      <c r="G2758" s="10">
        <v>18020</v>
      </c>
      <c r="H2758">
        <v>5.79</v>
      </c>
      <c r="I2758" s="5">
        <f>ROUND(Marketing[[#This Row],[Clicks]]*Marketing[[#This Row],[Conversion_Rate]],0)</f>
        <v>14</v>
      </c>
      <c r="J2758" s="12">
        <f>Marketing[[#This Row],[Campaign_Cost]]/Marketing[[#This Row],[Customers]]</f>
        <v>1287.1428571428571</v>
      </c>
      <c r="K2758" t="s">
        <v>38</v>
      </c>
      <c r="L2758" t="s">
        <v>33</v>
      </c>
      <c r="M2758">
        <v>104</v>
      </c>
      <c r="N2758">
        <v>9304</v>
      </c>
      <c r="O2758">
        <v>4</v>
      </c>
      <c r="P2758" t="s">
        <v>27</v>
      </c>
      <c r="Q2758" s="1">
        <v>44398</v>
      </c>
    </row>
    <row r="2759" spans="1:17" x14ac:dyDescent="0.3">
      <c r="A2759" t="s">
        <v>49</v>
      </c>
      <c r="B2759" t="s">
        <v>36</v>
      </c>
      <c r="C2759" t="s">
        <v>37</v>
      </c>
      <c r="D2759" t="s">
        <v>40</v>
      </c>
      <c r="E2759" t="s">
        <v>43</v>
      </c>
      <c r="F2759" s="9">
        <v>0.1</v>
      </c>
      <c r="G2759" s="10">
        <v>16437</v>
      </c>
      <c r="H2759">
        <v>4.3</v>
      </c>
      <c r="I2759" s="5">
        <f>ROUND(Marketing[[#This Row],[Clicks]]*Marketing[[#This Row],[Conversion_Rate]],0)</f>
        <v>35</v>
      </c>
      <c r="J2759" s="12">
        <f>Marketing[[#This Row],[Campaign_Cost]]/Marketing[[#This Row],[Customers]]</f>
        <v>469.62857142857143</v>
      </c>
      <c r="K2759" t="s">
        <v>38</v>
      </c>
      <c r="L2759" t="s">
        <v>26</v>
      </c>
      <c r="M2759">
        <v>349</v>
      </c>
      <c r="N2759">
        <v>4757</v>
      </c>
      <c r="O2759">
        <v>8</v>
      </c>
      <c r="P2759" t="s">
        <v>34</v>
      </c>
      <c r="Q2759" s="1">
        <v>44399</v>
      </c>
    </row>
    <row r="2760" spans="1:17" x14ac:dyDescent="0.3">
      <c r="A2760" t="s">
        <v>22</v>
      </c>
      <c r="B2760" t="s">
        <v>36</v>
      </c>
      <c r="C2760" t="s">
        <v>30</v>
      </c>
      <c r="D2760" t="s">
        <v>40</v>
      </c>
      <c r="E2760" t="s">
        <v>15</v>
      </c>
      <c r="F2760" s="9">
        <v>0.09</v>
      </c>
      <c r="G2760" s="10">
        <v>15905</v>
      </c>
      <c r="H2760">
        <v>6.72</v>
      </c>
      <c r="I2760" s="5">
        <f>ROUND(Marketing[[#This Row],[Clicks]]*Marketing[[#This Row],[Conversion_Rate]],0)</f>
        <v>34</v>
      </c>
      <c r="J2760" s="12">
        <f>Marketing[[#This Row],[Campaign_Cost]]/Marketing[[#This Row],[Customers]]</f>
        <v>467.79411764705884</v>
      </c>
      <c r="K2760" t="s">
        <v>38</v>
      </c>
      <c r="L2760" t="s">
        <v>50</v>
      </c>
      <c r="M2760">
        <v>378</v>
      </c>
      <c r="N2760">
        <v>4548</v>
      </c>
      <c r="O2760">
        <v>9</v>
      </c>
      <c r="P2760" t="s">
        <v>34</v>
      </c>
      <c r="Q2760" s="1">
        <v>44400</v>
      </c>
    </row>
    <row r="2761" spans="1:17" x14ac:dyDescent="0.3">
      <c r="A2761" t="s">
        <v>35</v>
      </c>
      <c r="B2761" t="s">
        <v>15</v>
      </c>
      <c r="C2761" t="s">
        <v>30</v>
      </c>
      <c r="D2761" t="s">
        <v>17</v>
      </c>
      <c r="E2761" t="s">
        <v>18</v>
      </c>
      <c r="F2761" s="9">
        <v>0.03</v>
      </c>
      <c r="G2761" s="10">
        <v>15564</v>
      </c>
      <c r="H2761">
        <v>5.5</v>
      </c>
      <c r="I2761" s="5">
        <f>ROUND(Marketing[[#This Row],[Clicks]]*Marketing[[#This Row],[Conversion_Rate]],0)</f>
        <v>26</v>
      </c>
      <c r="J2761" s="12">
        <f>Marketing[[#This Row],[Campaign_Cost]]/Marketing[[#This Row],[Customers]]</f>
        <v>598.61538461538464</v>
      </c>
      <c r="K2761" t="s">
        <v>19</v>
      </c>
      <c r="L2761" t="s">
        <v>20</v>
      </c>
      <c r="M2761">
        <v>856</v>
      </c>
      <c r="N2761">
        <v>5957</v>
      </c>
      <c r="O2761">
        <v>3</v>
      </c>
      <c r="P2761" t="s">
        <v>27</v>
      </c>
      <c r="Q2761" s="1">
        <v>44401</v>
      </c>
    </row>
    <row r="2762" spans="1:17" x14ac:dyDescent="0.3">
      <c r="A2762" t="s">
        <v>49</v>
      </c>
      <c r="B2762" t="s">
        <v>47</v>
      </c>
      <c r="C2762" t="s">
        <v>52</v>
      </c>
      <c r="D2762" t="s">
        <v>40</v>
      </c>
      <c r="E2762" t="s">
        <v>31</v>
      </c>
      <c r="F2762" s="9">
        <v>0.13</v>
      </c>
      <c r="G2762" s="10">
        <v>5699</v>
      </c>
      <c r="H2762">
        <v>5.41</v>
      </c>
      <c r="I2762" s="5">
        <f>ROUND(Marketing[[#This Row],[Clicks]]*Marketing[[#This Row],[Conversion_Rate]],0)</f>
        <v>52</v>
      </c>
      <c r="J2762" s="12">
        <f>Marketing[[#This Row],[Campaign_Cost]]/Marketing[[#This Row],[Customers]]</f>
        <v>109.59615384615384</v>
      </c>
      <c r="K2762" t="s">
        <v>19</v>
      </c>
      <c r="L2762" t="s">
        <v>50</v>
      </c>
      <c r="M2762">
        <v>399</v>
      </c>
      <c r="N2762">
        <v>9133</v>
      </c>
      <c r="O2762">
        <v>9</v>
      </c>
      <c r="P2762" t="s">
        <v>44</v>
      </c>
      <c r="Q2762" s="1">
        <v>44402</v>
      </c>
    </row>
    <row r="2763" spans="1:17" x14ac:dyDescent="0.3">
      <c r="A2763" t="s">
        <v>35</v>
      </c>
      <c r="B2763" t="s">
        <v>47</v>
      </c>
      <c r="C2763" t="s">
        <v>52</v>
      </c>
      <c r="D2763" t="s">
        <v>40</v>
      </c>
      <c r="E2763" t="s">
        <v>43</v>
      </c>
      <c r="F2763" s="9">
        <v>0.03</v>
      </c>
      <c r="G2763" s="10">
        <v>13690</v>
      </c>
      <c r="H2763">
        <v>3.09</v>
      </c>
      <c r="I2763" s="5">
        <f>ROUND(Marketing[[#This Row],[Clicks]]*Marketing[[#This Row],[Conversion_Rate]],0)</f>
        <v>19</v>
      </c>
      <c r="J2763" s="12">
        <f>Marketing[[#This Row],[Campaign_Cost]]/Marketing[[#This Row],[Customers]]</f>
        <v>720.52631578947364</v>
      </c>
      <c r="K2763" t="s">
        <v>19</v>
      </c>
      <c r="L2763" t="s">
        <v>26</v>
      </c>
      <c r="M2763">
        <v>631</v>
      </c>
      <c r="N2763">
        <v>1942</v>
      </c>
      <c r="O2763">
        <v>3</v>
      </c>
      <c r="P2763" t="s">
        <v>42</v>
      </c>
      <c r="Q2763" s="1">
        <v>44403</v>
      </c>
    </row>
    <row r="2764" spans="1:17" x14ac:dyDescent="0.3">
      <c r="A2764" t="s">
        <v>14</v>
      </c>
      <c r="B2764" t="s">
        <v>45</v>
      </c>
      <c r="C2764" t="s">
        <v>37</v>
      </c>
      <c r="D2764" t="s">
        <v>17</v>
      </c>
      <c r="E2764" t="s">
        <v>43</v>
      </c>
      <c r="F2764" s="9">
        <v>0.1</v>
      </c>
      <c r="G2764" s="10">
        <v>15597</v>
      </c>
      <c r="H2764">
        <v>6.81</v>
      </c>
      <c r="I2764" s="5">
        <f>ROUND(Marketing[[#This Row],[Clicks]]*Marketing[[#This Row],[Conversion_Rate]],0)</f>
        <v>82</v>
      </c>
      <c r="J2764" s="12">
        <f>Marketing[[#This Row],[Campaign_Cost]]/Marketing[[#This Row],[Customers]]</f>
        <v>190.20731707317074</v>
      </c>
      <c r="K2764" t="s">
        <v>32</v>
      </c>
      <c r="L2764" t="s">
        <v>20</v>
      </c>
      <c r="M2764">
        <v>818</v>
      </c>
      <c r="N2764">
        <v>1144</v>
      </c>
      <c r="O2764">
        <v>5</v>
      </c>
      <c r="P2764" t="s">
        <v>27</v>
      </c>
      <c r="Q2764" s="1">
        <v>44404</v>
      </c>
    </row>
    <row r="2765" spans="1:17" x14ac:dyDescent="0.3">
      <c r="A2765" t="s">
        <v>22</v>
      </c>
      <c r="B2765" t="s">
        <v>45</v>
      </c>
      <c r="C2765" t="s">
        <v>23</v>
      </c>
      <c r="D2765" t="s">
        <v>24</v>
      </c>
      <c r="E2765" t="s">
        <v>31</v>
      </c>
      <c r="F2765" s="9">
        <v>0.15</v>
      </c>
      <c r="G2765" s="10">
        <v>14476</v>
      </c>
      <c r="H2765">
        <v>5.12</v>
      </c>
      <c r="I2765" s="5">
        <f>ROUND(Marketing[[#This Row],[Clicks]]*Marketing[[#This Row],[Conversion_Rate]],0)</f>
        <v>128</v>
      </c>
      <c r="J2765" s="12">
        <f>Marketing[[#This Row],[Campaign_Cost]]/Marketing[[#This Row],[Customers]]</f>
        <v>113.09375</v>
      </c>
      <c r="K2765" t="s">
        <v>19</v>
      </c>
      <c r="L2765" t="s">
        <v>26</v>
      </c>
      <c r="M2765">
        <v>854</v>
      </c>
      <c r="N2765">
        <v>6365</v>
      </c>
      <c r="O2765">
        <v>2</v>
      </c>
      <c r="P2765" t="s">
        <v>21</v>
      </c>
      <c r="Q2765" s="1">
        <v>44405</v>
      </c>
    </row>
    <row r="2766" spans="1:17" x14ac:dyDescent="0.3">
      <c r="A2766" t="s">
        <v>28</v>
      </c>
      <c r="B2766" t="s">
        <v>45</v>
      </c>
      <c r="C2766" t="s">
        <v>23</v>
      </c>
      <c r="D2766" t="s">
        <v>46</v>
      </c>
      <c r="E2766" t="s">
        <v>31</v>
      </c>
      <c r="F2766" s="9">
        <v>0.04</v>
      </c>
      <c r="G2766" s="10">
        <v>6681</v>
      </c>
      <c r="H2766">
        <v>5.0199999999999996</v>
      </c>
      <c r="I2766" s="5">
        <f>ROUND(Marketing[[#This Row],[Clicks]]*Marketing[[#This Row],[Conversion_Rate]],0)</f>
        <v>20</v>
      </c>
      <c r="J2766" s="12">
        <f>Marketing[[#This Row],[Campaign_Cost]]/Marketing[[#This Row],[Customers]]</f>
        <v>334.05</v>
      </c>
      <c r="K2766" t="s">
        <v>51</v>
      </c>
      <c r="L2766" t="s">
        <v>26</v>
      </c>
      <c r="M2766">
        <v>509</v>
      </c>
      <c r="N2766">
        <v>1124</v>
      </c>
      <c r="O2766">
        <v>1</v>
      </c>
      <c r="P2766" t="s">
        <v>44</v>
      </c>
      <c r="Q2766" s="1">
        <v>44406</v>
      </c>
    </row>
    <row r="2767" spans="1:17" x14ac:dyDescent="0.3">
      <c r="A2767" t="s">
        <v>22</v>
      </c>
      <c r="B2767" t="s">
        <v>45</v>
      </c>
      <c r="C2767" t="s">
        <v>16</v>
      </c>
      <c r="D2767" t="s">
        <v>46</v>
      </c>
      <c r="E2767" t="s">
        <v>31</v>
      </c>
      <c r="F2767" s="9">
        <v>0.14000000000000001</v>
      </c>
      <c r="G2767" s="10">
        <v>14245</v>
      </c>
      <c r="H2767">
        <v>2.36</v>
      </c>
      <c r="I2767" s="5">
        <f>ROUND(Marketing[[#This Row],[Clicks]]*Marketing[[#This Row],[Conversion_Rate]],0)</f>
        <v>139</v>
      </c>
      <c r="J2767" s="12">
        <f>Marketing[[#This Row],[Campaign_Cost]]/Marketing[[#This Row],[Customers]]</f>
        <v>102.4820143884892</v>
      </c>
      <c r="K2767" t="s">
        <v>32</v>
      </c>
      <c r="L2767" t="s">
        <v>26</v>
      </c>
      <c r="M2767">
        <v>991</v>
      </c>
      <c r="N2767">
        <v>3818</v>
      </c>
      <c r="O2767">
        <v>10</v>
      </c>
      <c r="P2767" t="s">
        <v>42</v>
      </c>
      <c r="Q2767" s="1">
        <v>44407</v>
      </c>
    </row>
    <row r="2768" spans="1:17" x14ac:dyDescent="0.3">
      <c r="A2768" t="s">
        <v>28</v>
      </c>
      <c r="B2768" t="s">
        <v>29</v>
      </c>
      <c r="C2768" t="s">
        <v>52</v>
      </c>
      <c r="D2768" t="s">
        <v>46</v>
      </c>
      <c r="E2768" t="s">
        <v>48</v>
      </c>
      <c r="F2768" s="9">
        <v>0.02</v>
      </c>
      <c r="G2768" s="10">
        <v>11518</v>
      </c>
      <c r="H2768">
        <v>3.2</v>
      </c>
      <c r="I2768" s="5">
        <f>ROUND(Marketing[[#This Row],[Clicks]]*Marketing[[#This Row],[Conversion_Rate]],0)</f>
        <v>6</v>
      </c>
      <c r="J2768" s="12">
        <f>Marketing[[#This Row],[Campaign_Cost]]/Marketing[[#This Row],[Customers]]</f>
        <v>1919.6666666666667</v>
      </c>
      <c r="K2768" t="s">
        <v>38</v>
      </c>
      <c r="L2768" t="s">
        <v>39</v>
      </c>
      <c r="M2768">
        <v>289</v>
      </c>
      <c r="N2768">
        <v>5398</v>
      </c>
      <c r="O2768">
        <v>5</v>
      </c>
      <c r="P2768" t="s">
        <v>34</v>
      </c>
      <c r="Q2768" s="1">
        <v>44408</v>
      </c>
    </row>
    <row r="2769" spans="1:17" x14ac:dyDescent="0.3">
      <c r="A2769" t="s">
        <v>49</v>
      </c>
      <c r="B2769" t="s">
        <v>15</v>
      </c>
      <c r="C2769" t="s">
        <v>52</v>
      </c>
      <c r="D2769" t="s">
        <v>40</v>
      </c>
      <c r="E2769" t="s">
        <v>43</v>
      </c>
      <c r="F2769" s="9">
        <v>0.02</v>
      </c>
      <c r="G2769" s="10">
        <v>16538</v>
      </c>
      <c r="H2769">
        <v>3.86</v>
      </c>
      <c r="I2769" s="5">
        <f>ROUND(Marketing[[#This Row],[Clicks]]*Marketing[[#This Row],[Conversion_Rate]],0)</f>
        <v>3</v>
      </c>
      <c r="J2769" s="12">
        <f>Marketing[[#This Row],[Campaign_Cost]]/Marketing[[#This Row],[Customers]]</f>
        <v>5512.666666666667</v>
      </c>
      <c r="K2769" t="s">
        <v>38</v>
      </c>
      <c r="L2769" t="s">
        <v>50</v>
      </c>
      <c r="M2769">
        <v>170</v>
      </c>
      <c r="N2769">
        <v>2793</v>
      </c>
      <c r="O2769">
        <v>3</v>
      </c>
      <c r="P2769" t="s">
        <v>27</v>
      </c>
      <c r="Q2769" s="1">
        <v>44409</v>
      </c>
    </row>
    <row r="2770" spans="1:17" x14ac:dyDescent="0.3">
      <c r="A2770" t="s">
        <v>14</v>
      </c>
      <c r="B2770" t="s">
        <v>29</v>
      </c>
      <c r="C2770" t="s">
        <v>16</v>
      </c>
      <c r="D2770" t="s">
        <v>24</v>
      </c>
      <c r="E2770" t="s">
        <v>15</v>
      </c>
      <c r="F2770" s="9">
        <v>0.08</v>
      </c>
      <c r="G2770" s="10">
        <v>5950</v>
      </c>
      <c r="H2770">
        <v>3.55</v>
      </c>
      <c r="I2770" s="5">
        <f>ROUND(Marketing[[#This Row],[Clicks]]*Marketing[[#This Row],[Conversion_Rate]],0)</f>
        <v>8</v>
      </c>
      <c r="J2770" s="12">
        <f>Marketing[[#This Row],[Campaign_Cost]]/Marketing[[#This Row],[Customers]]</f>
        <v>743.75</v>
      </c>
      <c r="K2770" t="s">
        <v>38</v>
      </c>
      <c r="L2770" t="s">
        <v>39</v>
      </c>
      <c r="M2770">
        <v>100</v>
      </c>
      <c r="N2770">
        <v>4028</v>
      </c>
      <c r="O2770">
        <v>1</v>
      </c>
      <c r="P2770" t="s">
        <v>44</v>
      </c>
      <c r="Q2770" s="1">
        <v>44410</v>
      </c>
    </row>
    <row r="2771" spans="1:17" x14ac:dyDescent="0.3">
      <c r="A2771" t="s">
        <v>35</v>
      </c>
      <c r="B2771" t="s">
        <v>36</v>
      </c>
      <c r="C2771" t="s">
        <v>52</v>
      </c>
      <c r="D2771" t="s">
        <v>24</v>
      </c>
      <c r="E2771" t="s">
        <v>15</v>
      </c>
      <c r="F2771" s="9">
        <v>0.11</v>
      </c>
      <c r="G2771" s="10">
        <v>7152</v>
      </c>
      <c r="H2771">
        <v>4.88</v>
      </c>
      <c r="I2771" s="5">
        <f>ROUND(Marketing[[#This Row],[Clicks]]*Marketing[[#This Row],[Conversion_Rate]],0)</f>
        <v>81</v>
      </c>
      <c r="J2771" s="12">
        <f>Marketing[[#This Row],[Campaign_Cost]]/Marketing[[#This Row],[Customers]]</f>
        <v>88.296296296296291</v>
      </c>
      <c r="K2771" t="s">
        <v>51</v>
      </c>
      <c r="L2771" t="s">
        <v>50</v>
      </c>
      <c r="M2771">
        <v>738</v>
      </c>
      <c r="N2771">
        <v>3057</v>
      </c>
      <c r="O2771">
        <v>4</v>
      </c>
      <c r="P2771" t="s">
        <v>34</v>
      </c>
      <c r="Q2771" s="1">
        <v>44411</v>
      </c>
    </row>
    <row r="2772" spans="1:17" x14ac:dyDescent="0.3">
      <c r="A2772" t="s">
        <v>49</v>
      </c>
      <c r="B2772" t="s">
        <v>36</v>
      </c>
      <c r="C2772" t="s">
        <v>52</v>
      </c>
      <c r="D2772" t="s">
        <v>46</v>
      </c>
      <c r="E2772" t="s">
        <v>43</v>
      </c>
      <c r="F2772" s="9">
        <v>0.03</v>
      </c>
      <c r="G2772" s="10">
        <v>6813</v>
      </c>
      <c r="H2772">
        <v>4.9800000000000004</v>
      </c>
      <c r="I2772" s="5">
        <f>ROUND(Marketing[[#This Row],[Clicks]]*Marketing[[#This Row],[Conversion_Rate]],0)</f>
        <v>12</v>
      </c>
      <c r="J2772" s="12">
        <f>Marketing[[#This Row],[Campaign_Cost]]/Marketing[[#This Row],[Customers]]</f>
        <v>567.75</v>
      </c>
      <c r="K2772" t="s">
        <v>19</v>
      </c>
      <c r="L2772" t="s">
        <v>39</v>
      </c>
      <c r="M2772">
        <v>384</v>
      </c>
      <c r="N2772">
        <v>8458</v>
      </c>
      <c r="O2772">
        <v>1</v>
      </c>
      <c r="P2772" t="s">
        <v>27</v>
      </c>
      <c r="Q2772" s="1">
        <v>44412</v>
      </c>
    </row>
    <row r="2773" spans="1:17" x14ac:dyDescent="0.3">
      <c r="A2773" t="s">
        <v>28</v>
      </c>
      <c r="B2773" t="s">
        <v>36</v>
      </c>
      <c r="C2773" t="s">
        <v>30</v>
      </c>
      <c r="D2773" t="s">
        <v>40</v>
      </c>
      <c r="E2773" t="s">
        <v>43</v>
      </c>
      <c r="F2773" s="9">
        <v>7.0000000000000007E-2</v>
      </c>
      <c r="G2773" s="10">
        <v>7158</v>
      </c>
      <c r="H2773">
        <v>2.0699999999999998</v>
      </c>
      <c r="I2773" s="5">
        <f>ROUND(Marketing[[#This Row],[Clicks]]*Marketing[[#This Row],[Conversion_Rate]],0)</f>
        <v>10</v>
      </c>
      <c r="J2773" s="12">
        <f>Marketing[[#This Row],[Campaign_Cost]]/Marketing[[#This Row],[Customers]]</f>
        <v>715.8</v>
      </c>
      <c r="K2773" t="s">
        <v>32</v>
      </c>
      <c r="L2773" t="s">
        <v>26</v>
      </c>
      <c r="M2773">
        <v>140</v>
      </c>
      <c r="N2773">
        <v>1073</v>
      </c>
      <c r="O2773">
        <v>4</v>
      </c>
      <c r="P2773" t="s">
        <v>34</v>
      </c>
      <c r="Q2773" s="1">
        <v>44413</v>
      </c>
    </row>
    <row r="2774" spans="1:17" x14ac:dyDescent="0.3">
      <c r="A2774" t="s">
        <v>49</v>
      </c>
      <c r="B2774" t="s">
        <v>47</v>
      </c>
      <c r="C2774" t="s">
        <v>37</v>
      </c>
      <c r="D2774" t="s">
        <v>24</v>
      </c>
      <c r="E2774" t="s">
        <v>15</v>
      </c>
      <c r="F2774" s="9">
        <v>0.09</v>
      </c>
      <c r="G2774" s="10">
        <v>17267</v>
      </c>
      <c r="H2774">
        <v>2.89</v>
      </c>
      <c r="I2774" s="5">
        <f>ROUND(Marketing[[#This Row],[Clicks]]*Marketing[[#This Row],[Conversion_Rate]],0)</f>
        <v>34</v>
      </c>
      <c r="J2774" s="12">
        <f>Marketing[[#This Row],[Campaign_Cost]]/Marketing[[#This Row],[Customers]]</f>
        <v>507.85294117647061</v>
      </c>
      <c r="K2774" t="s">
        <v>19</v>
      </c>
      <c r="L2774" t="s">
        <v>39</v>
      </c>
      <c r="M2774">
        <v>375</v>
      </c>
      <c r="N2774">
        <v>1186</v>
      </c>
      <c r="O2774">
        <v>4</v>
      </c>
      <c r="P2774" t="s">
        <v>42</v>
      </c>
      <c r="Q2774" s="1">
        <v>44414</v>
      </c>
    </row>
    <row r="2775" spans="1:17" x14ac:dyDescent="0.3">
      <c r="A2775" t="s">
        <v>22</v>
      </c>
      <c r="B2775" t="s">
        <v>15</v>
      </c>
      <c r="C2775" t="s">
        <v>52</v>
      </c>
      <c r="D2775" t="s">
        <v>24</v>
      </c>
      <c r="E2775" t="s">
        <v>43</v>
      </c>
      <c r="F2775" s="9">
        <v>0.11</v>
      </c>
      <c r="G2775" s="10">
        <v>6153</v>
      </c>
      <c r="H2775">
        <v>2.61</v>
      </c>
      <c r="I2775" s="5">
        <f>ROUND(Marketing[[#This Row],[Clicks]]*Marketing[[#This Row],[Conversion_Rate]],0)</f>
        <v>18</v>
      </c>
      <c r="J2775" s="12">
        <f>Marketing[[#This Row],[Campaign_Cost]]/Marketing[[#This Row],[Customers]]</f>
        <v>341.83333333333331</v>
      </c>
      <c r="K2775" t="s">
        <v>51</v>
      </c>
      <c r="L2775" t="s">
        <v>39</v>
      </c>
      <c r="M2775">
        <v>165</v>
      </c>
      <c r="N2775">
        <v>3244</v>
      </c>
      <c r="O2775">
        <v>4</v>
      </c>
      <c r="P2775" t="s">
        <v>44</v>
      </c>
      <c r="Q2775" s="1">
        <v>44415</v>
      </c>
    </row>
    <row r="2776" spans="1:17" x14ac:dyDescent="0.3">
      <c r="A2776" t="s">
        <v>22</v>
      </c>
      <c r="B2776" t="s">
        <v>29</v>
      </c>
      <c r="C2776" t="s">
        <v>37</v>
      </c>
      <c r="D2776" t="s">
        <v>40</v>
      </c>
      <c r="E2776" t="s">
        <v>18</v>
      </c>
      <c r="F2776" s="9">
        <v>7.0000000000000007E-2</v>
      </c>
      <c r="G2776" s="10">
        <v>12338</v>
      </c>
      <c r="H2776">
        <v>3.13</v>
      </c>
      <c r="I2776" s="5">
        <f>ROUND(Marketing[[#This Row],[Clicks]]*Marketing[[#This Row],[Conversion_Rate]],0)</f>
        <v>18</v>
      </c>
      <c r="J2776" s="12">
        <f>Marketing[[#This Row],[Campaign_Cost]]/Marketing[[#This Row],[Customers]]</f>
        <v>685.44444444444446</v>
      </c>
      <c r="K2776" t="s">
        <v>25</v>
      </c>
      <c r="L2776" t="s">
        <v>33</v>
      </c>
      <c r="M2776">
        <v>261</v>
      </c>
      <c r="N2776">
        <v>3985</v>
      </c>
      <c r="O2776">
        <v>5</v>
      </c>
      <c r="P2776" t="s">
        <v>21</v>
      </c>
      <c r="Q2776" s="1">
        <v>44416</v>
      </c>
    </row>
    <row r="2777" spans="1:17" x14ac:dyDescent="0.3">
      <c r="A2777" t="s">
        <v>28</v>
      </c>
      <c r="B2777" t="s">
        <v>45</v>
      </c>
      <c r="C2777" t="s">
        <v>37</v>
      </c>
      <c r="D2777" t="s">
        <v>40</v>
      </c>
      <c r="E2777" t="s">
        <v>31</v>
      </c>
      <c r="F2777" s="9">
        <v>0.09</v>
      </c>
      <c r="G2777" s="10">
        <v>14474</v>
      </c>
      <c r="H2777">
        <v>6.95</v>
      </c>
      <c r="I2777" s="5">
        <f>ROUND(Marketing[[#This Row],[Clicks]]*Marketing[[#This Row],[Conversion_Rate]],0)</f>
        <v>23</v>
      </c>
      <c r="J2777" s="12">
        <f>Marketing[[#This Row],[Campaign_Cost]]/Marketing[[#This Row],[Customers]]</f>
        <v>629.304347826087</v>
      </c>
      <c r="K2777" t="s">
        <v>38</v>
      </c>
      <c r="L2777" t="s">
        <v>20</v>
      </c>
      <c r="M2777">
        <v>250</v>
      </c>
      <c r="N2777">
        <v>6771</v>
      </c>
      <c r="O2777">
        <v>8</v>
      </c>
      <c r="P2777" t="s">
        <v>34</v>
      </c>
      <c r="Q2777" s="1">
        <v>44417</v>
      </c>
    </row>
    <row r="2778" spans="1:17" x14ac:dyDescent="0.3">
      <c r="A2778" t="s">
        <v>14</v>
      </c>
      <c r="B2778" t="s">
        <v>15</v>
      </c>
      <c r="C2778" t="s">
        <v>16</v>
      </c>
      <c r="D2778" t="s">
        <v>46</v>
      </c>
      <c r="E2778" t="s">
        <v>48</v>
      </c>
      <c r="F2778" s="9">
        <v>0.06</v>
      </c>
      <c r="G2778" s="10">
        <v>15576</v>
      </c>
      <c r="H2778">
        <v>6.03</v>
      </c>
      <c r="I2778" s="5">
        <f>ROUND(Marketing[[#This Row],[Clicks]]*Marketing[[#This Row],[Conversion_Rate]],0)</f>
        <v>37</v>
      </c>
      <c r="J2778" s="12">
        <f>Marketing[[#This Row],[Campaign_Cost]]/Marketing[[#This Row],[Customers]]</f>
        <v>420.97297297297297</v>
      </c>
      <c r="K2778" t="s">
        <v>25</v>
      </c>
      <c r="L2778" t="s">
        <v>20</v>
      </c>
      <c r="M2778">
        <v>616</v>
      </c>
      <c r="N2778">
        <v>2021</v>
      </c>
      <c r="O2778">
        <v>1</v>
      </c>
      <c r="P2778" t="s">
        <v>44</v>
      </c>
      <c r="Q2778" s="1">
        <v>44418</v>
      </c>
    </row>
    <row r="2779" spans="1:17" x14ac:dyDescent="0.3">
      <c r="A2779" t="s">
        <v>14</v>
      </c>
      <c r="B2779" t="s">
        <v>47</v>
      </c>
      <c r="C2779" t="s">
        <v>16</v>
      </c>
      <c r="D2779" t="s">
        <v>17</v>
      </c>
      <c r="E2779" t="s">
        <v>31</v>
      </c>
      <c r="F2779" s="9">
        <v>0.04</v>
      </c>
      <c r="G2779" s="10">
        <v>14793</v>
      </c>
      <c r="H2779">
        <v>3.48</v>
      </c>
      <c r="I2779" s="5">
        <f>ROUND(Marketing[[#This Row],[Clicks]]*Marketing[[#This Row],[Conversion_Rate]],0)</f>
        <v>40</v>
      </c>
      <c r="J2779" s="12">
        <f>Marketing[[#This Row],[Campaign_Cost]]/Marketing[[#This Row],[Customers]]</f>
        <v>369.82499999999999</v>
      </c>
      <c r="K2779" t="s">
        <v>51</v>
      </c>
      <c r="L2779" t="s">
        <v>39</v>
      </c>
      <c r="M2779">
        <v>994</v>
      </c>
      <c r="N2779">
        <v>9797</v>
      </c>
      <c r="O2779">
        <v>8</v>
      </c>
      <c r="P2779" t="s">
        <v>21</v>
      </c>
      <c r="Q2779" s="1">
        <v>44419</v>
      </c>
    </row>
    <row r="2780" spans="1:17" x14ac:dyDescent="0.3">
      <c r="A2780" t="s">
        <v>14</v>
      </c>
      <c r="B2780" t="s">
        <v>45</v>
      </c>
      <c r="C2780" t="s">
        <v>37</v>
      </c>
      <c r="D2780" t="s">
        <v>17</v>
      </c>
      <c r="E2780" t="s">
        <v>15</v>
      </c>
      <c r="F2780" s="9">
        <v>0.11</v>
      </c>
      <c r="G2780" s="10">
        <v>15370</v>
      </c>
      <c r="H2780">
        <v>2.31</v>
      </c>
      <c r="I2780" s="5">
        <f>ROUND(Marketing[[#This Row],[Clicks]]*Marketing[[#This Row],[Conversion_Rate]],0)</f>
        <v>44</v>
      </c>
      <c r="J2780" s="12">
        <f>Marketing[[#This Row],[Campaign_Cost]]/Marketing[[#This Row],[Customers]]</f>
        <v>349.31818181818181</v>
      </c>
      <c r="K2780" t="s">
        <v>38</v>
      </c>
      <c r="L2780" t="s">
        <v>33</v>
      </c>
      <c r="M2780">
        <v>402</v>
      </c>
      <c r="N2780">
        <v>5513</v>
      </c>
      <c r="O2780">
        <v>10</v>
      </c>
      <c r="P2780" t="s">
        <v>34</v>
      </c>
      <c r="Q2780" s="1">
        <v>44420</v>
      </c>
    </row>
    <row r="2781" spans="1:17" x14ac:dyDescent="0.3">
      <c r="A2781" t="s">
        <v>14</v>
      </c>
      <c r="B2781" t="s">
        <v>45</v>
      </c>
      <c r="C2781" t="s">
        <v>52</v>
      </c>
      <c r="D2781" t="s">
        <v>17</v>
      </c>
      <c r="E2781" t="s">
        <v>15</v>
      </c>
      <c r="F2781" s="9">
        <v>0.02</v>
      </c>
      <c r="G2781" s="10">
        <v>6615</v>
      </c>
      <c r="H2781">
        <v>4.59</v>
      </c>
      <c r="I2781" s="5">
        <f>ROUND(Marketing[[#This Row],[Clicks]]*Marketing[[#This Row],[Conversion_Rate]],0)</f>
        <v>14</v>
      </c>
      <c r="J2781" s="12">
        <f>Marketing[[#This Row],[Campaign_Cost]]/Marketing[[#This Row],[Customers]]</f>
        <v>472.5</v>
      </c>
      <c r="K2781" t="s">
        <v>51</v>
      </c>
      <c r="L2781" t="s">
        <v>26</v>
      </c>
      <c r="M2781">
        <v>704</v>
      </c>
      <c r="N2781">
        <v>6152</v>
      </c>
      <c r="O2781">
        <v>1</v>
      </c>
      <c r="P2781" t="s">
        <v>44</v>
      </c>
      <c r="Q2781" s="1">
        <v>44421</v>
      </c>
    </row>
    <row r="2782" spans="1:17" x14ac:dyDescent="0.3">
      <c r="A2782" t="s">
        <v>49</v>
      </c>
      <c r="B2782" t="s">
        <v>45</v>
      </c>
      <c r="C2782" t="s">
        <v>23</v>
      </c>
      <c r="D2782" t="s">
        <v>17</v>
      </c>
      <c r="E2782" t="s">
        <v>31</v>
      </c>
      <c r="F2782" s="9">
        <v>0.08</v>
      </c>
      <c r="G2782" s="10">
        <v>6088</v>
      </c>
      <c r="H2782">
        <v>6.27</v>
      </c>
      <c r="I2782" s="5">
        <f>ROUND(Marketing[[#This Row],[Clicks]]*Marketing[[#This Row],[Conversion_Rate]],0)</f>
        <v>58</v>
      </c>
      <c r="J2782" s="12">
        <f>Marketing[[#This Row],[Campaign_Cost]]/Marketing[[#This Row],[Customers]]</f>
        <v>104.96551724137932</v>
      </c>
      <c r="K2782" t="s">
        <v>19</v>
      </c>
      <c r="L2782" t="s">
        <v>50</v>
      </c>
      <c r="M2782">
        <v>725</v>
      </c>
      <c r="N2782">
        <v>4264</v>
      </c>
      <c r="O2782">
        <v>10</v>
      </c>
      <c r="P2782" t="s">
        <v>42</v>
      </c>
      <c r="Q2782" s="1">
        <v>44422</v>
      </c>
    </row>
    <row r="2783" spans="1:17" x14ac:dyDescent="0.3">
      <c r="A2783" t="s">
        <v>49</v>
      </c>
      <c r="B2783" t="s">
        <v>15</v>
      </c>
      <c r="C2783" t="s">
        <v>23</v>
      </c>
      <c r="D2783" t="s">
        <v>17</v>
      </c>
      <c r="E2783" t="s">
        <v>15</v>
      </c>
      <c r="F2783" s="9">
        <v>0.06</v>
      </c>
      <c r="G2783" s="10">
        <v>15660</v>
      </c>
      <c r="H2783">
        <v>6.43</v>
      </c>
      <c r="I2783" s="5">
        <f>ROUND(Marketing[[#This Row],[Clicks]]*Marketing[[#This Row],[Conversion_Rate]],0)</f>
        <v>7</v>
      </c>
      <c r="J2783" s="12">
        <f>Marketing[[#This Row],[Campaign_Cost]]/Marketing[[#This Row],[Customers]]</f>
        <v>2237.1428571428573</v>
      </c>
      <c r="K2783" t="s">
        <v>32</v>
      </c>
      <c r="L2783" t="s">
        <v>26</v>
      </c>
      <c r="M2783">
        <v>118</v>
      </c>
      <c r="N2783">
        <v>3192</v>
      </c>
      <c r="O2783">
        <v>8</v>
      </c>
      <c r="P2783" t="s">
        <v>44</v>
      </c>
      <c r="Q2783" s="1">
        <v>44423</v>
      </c>
    </row>
    <row r="2784" spans="1:17" x14ac:dyDescent="0.3">
      <c r="A2784" t="s">
        <v>49</v>
      </c>
      <c r="B2784" t="s">
        <v>29</v>
      </c>
      <c r="C2784" t="s">
        <v>23</v>
      </c>
      <c r="D2784" t="s">
        <v>46</v>
      </c>
      <c r="E2784" t="s">
        <v>41</v>
      </c>
      <c r="F2784" s="9">
        <v>0.14000000000000001</v>
      </c>
      <c r="G2784" s="10">
        <v>18516</v>
      </c>
      <c r="H2784">
        <v>6.8</v>
      </c>
      <c r="I2784" s="5">
        <f>ROUND(Marketing[[#This Row],[Clicks]]*Marketing[[#This Row],[Conversion_Rate]],0)</f>
        <v>129</v>
      </c>
      <c r="J2784" s="12">
        <f>Marketing[[#This Row],[Campaign_Cost]]/Marketing[[#This Row],[Customers]]</f>
        <v>143.53488372093022</v>
      </c>
      <c r="K2784" t="s">
        <v>51</v>
      </c>
      <c r="L2784" t="s">
        <v>39</v>
      </c>
      <c r="M2784">
        <v>923</v>
      </c>
      <c r="N2784">
        <v>7447</v>
      </c>
      <c r="O2784">
        <v>8</v>
      </c>
      <c r="P2784" t="s">
        <v>44</v>
      </c>
      <c r="Q2784" s="1">
        <v>44424</v>
      </c>
    </row>
    <row r="2785" spans="1:17" x14ac:dyDescent="0.3">
      <c r="A2785" t="s">
        <v>35</v>
      </c>
      <c r="B2785" t="s">
        <v>36</v>
      </c>
      <c r="C2785" t="s">
        <v>52</v>
      </c>
      <c r="D2785" t="s">
        <v>24</v>
      </c>
      <c r="E2785" t="s">
        <v>31</v>
      </c>
      <c r="F2785" s="9">
        <v>0.06</v>
      </c>
      <c r="G2785" s="10">
        <v>14734</v>
      </c>
      <c r="H2785">
        <v>2.3199999999999998</v>
      </c>
      <c r="I2785" s="5">
        <f>ROUND(Marketing[[#This Row],[Clicks]]*Marketing[[#This Row],[Conversion_Rate]],0)</f>
        <v>14</v>
      </c>
      <c r="J2785" s="12">
        <f>Marketing[[#This Row],[Campaign_Cost]]/Marketing[[#This Row],[Customers]]</f>
        <v>1052.4285714285713</v>
      </c>
      <c r="K2785" t="s">
        <v>19</v>
      </c>
      <c r="L2785" t="s">
        <v>26</v>
      </c>
      <c r="M2785">
        <v>228</v>
      </c>
      <c r="N2785">
        <v>2850</v>
      </c>
      <c r="O2785">
        <v>8</v>
      </c>
      <c r="P2785" t="s">
        <v>27</v>
      </c>
      <c r="Q2785" s="1">
        <v>44425</v>
      </c>
    </row>
    <row r="2786" spans="1:17" x14ac:dyDescent="0.3">
      <c r="A2786" t="s">
        <v>22</v>
      </c>
      <c r="B2786" t="s">
        <v>47</v>
      </c>
      <c r="C2786" t="s">
        <v>23</v>
      </c>
      <c r="D2786" t="s">
        <v>24</v>
      </c>
      <c r="E2786" t="s">
        <v>15</v>
      </c>
      <c r="F2786" s="9">
        <v>0.09</v>
      </c>
      <c r="G2786" s="10">
        <v>17654</v>
      </c>
      <c r="H2786">
        <v>2.79</v>
      </c>
      <c r="I2786" s="5">
        <f>ROUND(Marketing[[#This Row],[Clicks]]*Marketing[[#This Row],[Conversion_Rate]],0)</f>
        <v>78</v>
      </c>
      <c r="J2786" s="12">
        <f>Marketing[[#This Row],[Campaign_Cost]]/Marketing[[#This Row],[Customers]]</f>
        <v>226.33333333333334</v>
      </c>
      <c r="K2786" t="s">
        <v>51</v>
      </c>
      <c r="L2786" t="s">
        <v>26</v>
      </c>
      <c r="M2786">
        <v>862</v>
      </c>
      <c r="N2786">
        <v>4858</v>
      </c>
      <c r="O2786">
        <v>8</v>
      </c>
      <c r="P2786" t="s">
        <v>44</v>
      </c>
      <c r="Q2786" s="1">
        <v>44426</v>
      </c>
    </row>
    <row r="2787" spans="1:17" x14ac:dyDescent="0.3">
      <c r="A2787" t="s">
        <v>28</v>
      </c>
      <c r="B2787" t="s">
        <v>45</v>
      </c>
      <c r="C2787" t="s">
        <v>23</v>
      </c>
      <c r="D2787" t="s">
        <v>46</v>
      </c>
      <c r="E2787" t="s">
        <v>43</v>
      </c>
      <c r="F2787" s="9">
        <v>0.14000000000000001</v>
      </c>
      <c r="G2787" s="10">
        <v>8043</v>
      </c>
      <c r="H2787">
        <v>2.99</v>
      </c>
      <c r="I2787" s="5">
        <f>ROUND(Marketing[[#This Row],[Clicks]]*Marketing[[#This Row],[Conversion_Rate]],0)</f>
        <v>45</v>
      </c>
      <c r="J2787" s="12">
        <f>Marketing[[#This Row],[Campaign_Cost]]/Marketing[[#This Row],[Customers]]</f>
        <v>178.73333333333332</v>
      </c>
      <c r="K2787" t="s">
        <v>25</v>
      </c>
      <c r="L2787" t="s">
        <v>26</v>
      </c>
      <c r="M2787">
        <v>321</v>
      </c>
      <c r="N2787">
        <v>8204</v>
      </c>
      <c r="O2787">
        <v>7</v>
      </c>
      <c r="P2787" t="s">
        <v>21</v>
      </c>
      <c r="Q2787" s="1">
        <v>44427</v>
      </c>
    </row>
    <row r="2788" spans="1:17" x14ac:dyDescent="0.3">
      <c r="A2788" t="s">
        <v>49</v>
      </c>
      <c r="B2788" t="s">
        <v>15</v>
      </c>
      <c r="C2788" t="s">
        <v>23</v>
      </c>
      <c r="D2788" t="s">
        <v>24</v>
      </c>
      <c r="E2788" t="s">
        <v>48</v>
      </c>
      <c r="F2788" s="9">
        <v>0.02</v>
      </c>
      <c r="G2788" s="10">
        <v>13930</v>
      </c>
      <c r="H2788">
        <v>2.0499999999999998</v>
      </c>
      <c r="I2788" s="5">
        <f>ROUND(Marketing[[#This Row],[Clicks]]*Marketing[[#This Row],[Conversion_Rate]],0)</f>
        <v>11</v>
      </c>
      <c r="J2788" s="12">
        <f>Marketing[[#This Row],[Campaign_Cost]]/Marketing[[#This Row],[Customers]]</f>
        <v>1266.3636363636363</v>
      </c>
      <c r="K2788" t="s">
        <v>19</v>
      </c>
      <c r="L2788" t="s">
        <v>39</v>
      </c>
      <c r="M2788">
        <v>556</v>
      </c>
      <c r="N2788">
        <v>9090</v>
      </c>
      <c r="O2788">
        <v>3</v>
      </c>
      <c r="P2788" t="s">
        <v>44</v>
      </c>
      <c r="Q2788" s="1">
        <v>44428</v>
      </c>
    </row>
    <row r="2789" spans="1:17" x14ac:dyDescent="0.3">
      <c r="A2789" t="s">
        <v>14</v>
      </c>
      <c r="B2789" t="s">
        <v>45</v>
      </c>
      <c r="C2789" t="s">
        <v>16</v>
      </c>
      <c r="D2789" t="s">
        <v>46</v>
      </c>
      <c r="E2789" t="s">
        <v>41</v>
      </c>
      <c r="F2789" s="9">
        <v>0.12</v>
      </c>
      <c r="G2789" s="10">
        <v>5068</v>
      </c>
      <c r="H2789">
        <v>4.5999999999999996</v>
      </c>
      <c r="I2789" s="5">
        <f>ROUND(Marketing[[#This Row],[Clicks]]*Marketing[[#This Row],[Conversion_Rate]],0)</f>
        <v>98</v>
      </c>
      <c r="J2789" s="12">
        <f>Marketing[[#This Row],[Campaign_Cost]]/Marketing[[#This Row],[Customers]]</f>
        <v>51.714285714285715</v>
      </c>
      <c r="K2789" t="s">
        <v>32</v>
      </c>
      <c r="L2789" t="s">
        <v>39</v>
      </c>
      <c r="M2789">
        <v>815</v>
      </c>
      <c r="N2789">
        <v>5805</v>
      </c>
      <c r="O2789">
        <v>4</v>
      </c>
      <c r="P2789" t="s">
        <v>42</v>
      </c>
      <c r="Q2789" s="1">
        <v>44429</v>
      </c>
    </row>
    <row r="2790" spans="1:17" x14ac:dyDescent="0.3">
      <c r="A2790" t="s">
        <v>28</v>
      </c>
      <c r="B2790" t="s">
        <v>47</v>
      </c>
      <c r="C2790" t="s">
        <v>23</v>
      </c>
      <c r="D2790" t="s">
        <v>40</v>
      </c>
      <c r="E2790" t="s">
        <v>31</v>
      </c>
      <c r="F2790" s="9">
        <v>0.09</v>
      </c>
      <c r="G2790" s="10">
        <v>17879</v>
      </c>
      <c r="H2790">
        <v>3.76</v>
      </c>
      <c r="I2790" s="5">
        <f>ROUND(Marketing[[#This Row],[Clicks]]*Marketing[[#This Row],[Conversion_Rate]],0)</f>
        <v>78</v>
      </c>
      <c r="J2790" s="12">
        <f>Marketing[[#This Row],[Campaign_Cost]]/Marketing[[#This Row],[Customers]]</f>
        <v>229.21794871794873</v>
      </c>
      <c r="K2790" t="s">
        <v>32</v>
      </c>
      <c r="L2790" t="s">
        <v>39</v>
      </c>
      <c r="M2790">
        <v>867</v>
      </c>
      <c r="N2790">
        <v>5254</v>
      </c>
      <c r="O2790">
        <v>7</v>
      </c>
      <c r="P2790" t="s">
        <v>42</v>
      </c>
      <c r="Q2790" s="1">
        <v>44430</v>
      </c>
    </row>
    <row r="2791" spans="1:17" x14ac:dyDescent="0.3">
      <c r="A2791" t="s">
        <v>14</v>
      </c>
      <c r="B2791" t="s">
        <v>29</v>
      </c>
      <c r="C2791" t="s">
        <v>37</v>
      </c>
      <c r="D2791" t="s">
        <v>46</v>
      </c>
      <c r="E2791" t="s">
        <v>15</v>
      </c>
      <c r="F2791" s="9">
        <v>0.09</v>
      </c>
      <c r="G2791" s="10">
        <v>13902</v>
      </c>
      <c r="H2791">
        <v>2.98</v>
      </c>
      <c r="I2791" s="5">
        <f>ROUND(Marketing[[#This Row],[Clicks]]*Marketing[[#This Row],[Conversion_Rate]],0)</f>
        <v>21</v>
      </c>
      <c r="J2791" s="12">
        <f>Marketing[[#This Row],[Campaign_Cost]]/Marketing[[#This Row],[Customers]]</f>
        <v>662</v>
      </c>
      <c r="K2791" t="s">
        <v>32</v>
      </c>
      <c r="L2791" t="s">
        <v>33</v>
      </c>
      <c r="M2791">
        <v>235</v>
      </c>
      <c r="N2791">
        <v>6585</v>
      </c>
      <c r="O2791">
        <v>5</v>
      </c>
      <c r="P2791" t="s">
        <v>42</v>
      </c>
      <c r="Q2791" s="1">
        <v>44431</v>
      </c>
    </row>
    <row r="2792" spans="1:17" x14ac:dyDescent="0.3">
      <c r="A2792" t="s">
        <v>28</v>
      </c>
      <c r="B2792" t="s">
        <v>45</v>
      </c>
      <c r="C2792" t="s">
        <v>16</v>
      </c>
      <c r="D2792" t="s">
        <v>24</v>
      </c>
      <c r="E2792" t="s">
        <v>48</v>
      </c>
      <c r="F2792" s="9">
        <v>0.12</v>
      </c>
      <c r="G2792" s="10">
        <v>8006</v>
      </c>
      <c r="H2792">
        <v>7.26</v>
      </c>
      <c r="I2792" s="5">
        <f>ROUND(Marketing[[#This Row],[Clicks]]*Marketing[[#This Row],[Conversion_Rate]],0)</f>
        <v>63</v>
      </c>
      <c r="J2792" s="12">
        <f>Marketing[[#This Row],[Campaign_Cost]]/Marketing[[#This Row],[Customers]]</f>
        <v>127.07936507936508</v>
      </c>
      <c r="K2792" t="s">
        <v>32</v>
      </c>
      <c r="L2792" t="s">
        <v>50</v>
      </c>
      <c r="M2792">
        <v>527</v>
      </c>
      <c r="N2792">
        <v>3562</v>
      </c>
      <c r="O2792">
        <v>10</v>
      </c>
      <c r="P2792" t="s">
        <v>27</v>
      </c>
      <c r="Q2792" s="1">
        <v>44432</v>
      </c>
    </row>
    <row r="2793" spans="1:17" x14ac:dyDescent="0.3">
      <c r="A2793" t="s">
        <v>28</v>
      </c>
      <c r="B2793" t="s">
        <v>45</v>
      </c>
      <c r="C2793" t="s">
        <v>37</v>
      </c>
      <c r="D2793" t="s">
        <v>24</v>
      </c>
      <c r="E2793" t="s">
        <v>43</v>
      </c>
      <c r="F2793" s="9">
        <v>7.0000000000000007E-2</v>
      </c>
      <c r="G2793" s="10">
        <v>12897</v>
      </c>
      <c r="H2793">
        <v>3.25</v>
      </c>
      <c r="I2793" s="5">
        <f>ROUND(Marketing[[#This Row],[Clicks]]*Marketing[[#This Row],[Conversion_Rate]],0)</f>
        <v>37</v>
      </c>
      <c r="J2793" s="12">
        <f>Marketing[[#This Row],[Campaign_Cost]]/Marketing[[#This Row],[Customers]]</f>
        <v>348.56756756756755</v>
      </c>
      <c r="K2793" t="s">
        <v>32</v>
      </c>
      <c r="L2793" t="s">
        <v>50</v>
      </c>
      <c r="M2793">
        <v>534</v>
      </c>
      <c r="N2793">
        <v>9100</v>
      </c>
      <c r="O2793">
        <v>9</v>
      </c>
      <c r="P2793" t="s">
        <v>27</v>
      </c>
      <c r="Q2793" s="1">
        <v>44433</v>
      </c>
    </row>
    <row r="2794" spans="1:17" x14ac:dyDescent="0.3">
      <c r="A2794" t="s">
        <v>22</v>
      </c>
      <c r="B2794" t="s">
        <v>29</v>
      </c>
      <c r="C2794" t="s">
        <v>23</v>
      </c>
      <c r="D2794" t="s">
        <v>40</v>
      </c>
      <c r="E2794" t="s">
        <v>43</v>
      </c>
      <c r="F2794" s="9">
        <v>0.02</v>
      </c>
      <c r="G2794" s="10">
        <v>18758</v>
      </c>
      <c r="H2794">
        <v>2.52</v>
      </c>
      <c r="I2794" s="5">
        <f>ROUND(Marketing[[#This Row],[Clicks]]*Marketing[[#This Row],[Conversion_Rate]],0)</f>
        <v>8</v>
      </c>
      <c r="J2794" s="12">
        <f>Marketing[[#This Row],[Campaign_Cost]]/Marketing[[#This Row],[Customers]]</f>
        <v>2344.75</v>
      </c>
      <c r="K2794" t="s">
        <v>38</v>
      </c>
      <c r="L2794" t="s">
        <v>20</v>
      </c>
      <c r="M2794">
        <v>393</v>
      </c>
      <c r="N2794">
        <v>3483</v>
      </c>
      <c r="O2794">
        <v>8</v>
      </c>
      <c r="P2794" t="s">
        <v>34</v>
      </c>
      <c r="Q2794" s="1">
        <v>44434</v>
      </c>
    </row>
    <row r="2795" spans="1:17" x14ac:dyDescent="0.3">
      <c r="A2795" t="s">
        <v>28</v>
      </c>
      <c r="B2795" t="s">
        <v>36</v>
      </c>
      <c r="C2795" t="s">
        <v>23</v>
      </c>
      <c r="D2795" t="s">
        <v>17</v>
      </c>
      <c r="E2795" t="s">
        <v>18</v>
      </c>
      <c r="F2795" s="9">
        <v>0.02</v>
      </c>
      <c r="G2795" s="10">
        <v>15097</v>
      </c>
      <c r="H2795">
        <v>2.56</v>
      </c>
      <c r="I2795" s="5">
        <f>ROUND(Marketing[[#This Row],[Clicks]]*Marketing[[#This Row],[Conversion_Rate]],0)</f>
        <v>20</v>
      </c>
      <c r="J2795" s="12">
        <f>Marketing[[#This Row],[Campaign_Cost]]/Marketing[[#This Row],[Customers]]</f>
        <v>754.85</v>
      </c>
      <c r="K2795" t="s">
        <v>51</v>
      </c>
      <c r="L2795" t="s">
        <v>50</v>
      </c>
      <c r="M2795">
        <v>985</v>
      </c>
      <c r="N2795">
        <v>5650</v>
      </c>
      <c r="O2795">
        <v>5</v>
      </c>
      <c r="P2795" t="s">
        <v>27</v>
      </c>
      <c r="Q2795" s="1">
        <v>44435</v>
      </c>
    </row>
    <row r="2796" spans="1:17" x14ac:dyDescent="0.3">
      <c r="A2796" t="s">
        <v>49</v>
      </c>
      <c r="B2796" t="s">
        <v>15</v>
      </c>
      <c r="C2796" t="s">
        <v>52</v>
      </c>
      <c r="D2796" t="s">
        <v>24</v>
      </c>
      <c r="E2796" t="s">
        <v>31</v>
      </c>
      <c r="F2796" s="9">
        <v>7.0000000000000007E-2</v>
      </c>
      <c r="G2796" s="10">
        <v>8718</v>
      </c>
      <c r="H2796">
        <v>5.16</v>
      </c>
      <c r="I2796" s="5">
        <f>ROUND(Marketing[[#This Row],[Clicks]]*Marketing[[#This Row],[Conversion_Rate]],0)</f>
        <v>24</v>
      </c>
      <c r="J2796" s="12">
        <f>Marketing[[#This Row],[Campaign_Cost]]/Marketing[[#This Row],[Customers]]</f>
        <v>363.25</v>
      </c>
      <c r="K2796" t="s">
        <v>19</v>
      </c>
      <c r="L2796" t="s">
        <v>20</v>
      </c>
      <c r="M2796">
        <v>336</v>
      </c>
      <c r="N2796">
        <v>4992</v>
      </c>
      <c r="O2796">
        <v>5</v>
      </c>
      <c r="P2796" t="s">
        <v>21</v>
      </c>
      <c r="Q2796" s="1">
        <v>44436</v>
      </c>
    </row>
    <row r="2797" spans="1:17" x14ac:dyDescent="0.3">
      <c r="A2797" t="s">
        <v>49</v>
      </c>
      <c r="B2797" t="s">
        <v>45</v>
      </c>
      <c r="C2797" t="s">
        <v>37</v>
      </c>
      <c r="D2797" t="s">
        <v>46</v>
      </c>
      <c r="E2797" t="s">
        <v>43</v>
      </c>
      <c r="F2797" s="9">
        <v>0.04</v>
      </c>
      <c r="G2797" s="10">
        <v>12538</v>
      </c>
      <c r="H2797">
        <v>4.8099999999999996</v>
      </c>
      <c r="I2797" s="5">
        <f>ROUND(Marketing[[#This Row],[Clicks]]*Marketing[[#This Row],[Conversion_Rate]],0)</f>
        <v>32</v>
      </c>
      <c r="J2797" s="12">
        <f>Marketing[[#This Row],[Campaign_Cost]]/Marketing[[#This Row],[Customers]]</f>
        <v>391.8125</v>
      </c>
      <c r="K2797" t="s">
        <v>19</v>
      </c>
      <c r="L2797" t="s">
        <v>50</v>
      </c>
      <c r="M2797">
        <v>801</v>
      </c>
      <c r="N2797">
        <v>3340</v>
      </c>
      <c r="O2797">
        <v>2</v>
      </c>
      <c r="P2797" t="s">
        <v>42</v>
      </c>
      <c r="Q2797" s="1">
        <v>44437</v>
      </c>
    </row>
    <row r="2798" spans="1:17" x14ac:dyDescent="0.3">
      <c r="A2798" t="s">
        <v>28</v>
      </c>
      <c r="B2798" t="s">
        <v>15</v>
      </c>
      <c r="C2798" t="s">
        <v>52</v>
      </c>
      <c r="D2798" t="s">
        <v>24</v>
      </c>
      <c r="E2798" t="s">
        <v>18</v>
      </c>
      <c r="F2798" s="9">
        <v>0.08</v>
      </c>
      <c r="G2798" s="10">
        <v>9615</v>
      </c>
      <c r="H2798">
        <v>7.34</v>
      </c>
      <c r="I2798" s="5">
        <f>ROUND(Marketing[[#This Row],[Clicks]]*Marketing[[#This Row],[Conversion_Rate]],0)</f>
        <v>52</v>
      </c>
      <c r="J2798" s="12">
        <f>Marketing[[#This Row],[Campaign_Cost]]/Marketing[[#This Row],[Customers]]</f>
        <v>184.90384615384616</v>
      </c>
      <c r="K2798" t="s">
        <v>25</v>
      </c>
      <c r="L2798" t="s">
        <v>39</v>
      </c>
      <c r="M2798">
        <v>655</v>
      </c>
      <c r="N2798">
        <v>7258</v>
      </c>
      <c r="O2798">
        <v>10</v>
      </c>
      <c r="P2798" t="s">
        <v>27</v>
      </c>
      <c r="Q2798" s="1">
        <v>44438</v>
      </c>
    </row>
    <row r="2799" spans="1:17" x14ac:dyDescent="0.3">
      <c r="A2799" t="s">
        <v>28</v>
      </c>
      <c r="B2799" t="s">
        <v>36</v>
      </c>
      <c r="C2799" t="s">
        <v>16</v>
      </c>
      <c r="D2799" t="s">
        <v>40</v>
      </c>
      <c r="E2799" t="s">
        <v>18</v>
      </c>
      <c r="F2799" s="9">
        <v>7.0000000000000007E-2</v>
      </c>
      <c r="G2799" s="10">
        <v>5264</v>
      </c>
      <c r="H2799">
        <v>3.79</v>
      </c>
      <c r="I2799" s="5">
        <f>ROUND(Marketing[[#This Row],[Clicks]]*Marketing[[#This Row],[Conversion_Rate]],0)</f>
        <v>39</v>
      </c>
      <c r="J2799" s="12">
        <f>Marketing[[#This Row],[Campaign_Cost]]/Marketing[[#This Row],[Customers]]</f>
        <v>134.97435897435898</v>
      </c>
      <c r="K2799" t="s">
        <v>19</v>
      </c>
      <c r="L2799" t="s">
        <v>33</v>
      </c>
      <c r="M2799">
        <v>550</v>
      </c>
      <c r="N2799">
        <v>5948</v>
      </c>
      <c r="O2799">
        <v>5</v>
      </c>
      <c r="P2799" t="s">
        <v>44</v>
      </c>
      <c r="Q2799" s="1">
        <v>44439</v>
      </c>
    </row>
    <row r="2800" spans="1:17" x14ac:dyDescent="0.3">
      <c r="A2800" t="s">
        <v>28</v>
      </c>
      <c r="B2800" t="s">
        <v>36</v>
      </c>
      <c r="C2800" t="s">
        <v>16</v>
      </c>
      <c r="D2800" t="s">
        <v>17</v>
      </c>
      <c r="E2800" t="s">
        <v>41</v>
      </c>
      <c r="F2800" s="9">
        <v>0.02</v>
      </c>
      <c r="G2800" s="10">
        <v>5641</v>
      </c>
      <c r="H2800">
        <v>5.71</v>
      </c>
      <c r="I2800" s="5">
        <f>ROUND(Marketing[[#This Row],[Clicks]]*Marketing[[#This Row],[Conversion_Rate]],0)</f>
        <v>8</v>
      </c>
      <c r="J2800" s="12">
        <f>Marketing[[#This Row],[Campaign_Cost]]/Marketing[[#This Row],[Customers]]</f>
        <v>705.125</v>
      </c>
      <c r="K2800" t="s">
        <v>51</v>
      </c>
      <c r="L2800" t="s">
        <v>20</v>
      </c>
      <c r="M2800">
        <v>406</v>
      </c>
      <c r="N2800">
        <v>9145</v>
      </c>
      <c r="O2800">
        <v>8</v>
      </c>
      <c r="P2800" t="s">
        <v>21</v>
      </c>
      <c r="Q2800" s="1">
        <v>44440</v>
      </c>
    </row>
    <row r="2801" spans="1:17" x14ac:dyDescent="0.3">
      <c r="A2801" t="s">
        <v>35</v>
      </c>
      <c r="B2801" t="s">
        <v>45</v>
      </c>
      <c r="C2801" t="s">
        <v>16</v>
      </c>
      <c r="D2801" t="s">
        <v>24</v>
      </c>
      <c r="E2801" t="s">
        <v>31</v>
      </c>
      <c r="F2801" s="9">
        <v>0.02</v>
      </c>
      <c r="G2801" s="10">
        <v>17356</v>
      </c>
      <c r="H2801">
        <v>5.75</v>
      </c>
      <c r="I2801" s="5">
        <f>ROUND(Marketing[[#This Row],[Clicks]]*Marketing[[#This Row],[Conversion_Rate]],0)</f>
        <v>2</v>
      </c>
      <c r="J2801" s="12">
        <f>Marketing[[#This Row],[Campaign_Cost]]/Marketing[[#This Row],[Customers]]</f>
        <v>8678</v>
      </c>
      <c r="K2801" t="s">
        <v>25</v>
      </c>
      <c r="L2801" t="s">
        <v>20</v>
      </c>
      <c r="M2801">
        <v>103</v>
      </c>
      <c r="N2801">
        <v>1195</v>
      </c>
      <c r="O2801">
        <v>8</v>
      </c>
      <c r="P2801" t="s">
        <v>34</v>
      </c>
      <c r="Q2801" s="1">
        <v>44441</v>
      </c>
    </row>
    <row r="2802" spans="1:17" x14ac:dyDescent="0.3">
      <c r="A2802" t="s">
        <v>49</v>
      </c>
      <c r="B2802" t="s">
        <v>15</v>
      </c>
      <c r="C2802" t="s">
        <v>52</v>
      </c>
      <c r="D2802" t="s">
        <v>46</v>
      </c>
      <c r="E2802" t="s">
        <v>48</v>
      </c>
      <c r="F2802" s="9">
        <v>0.02</v>
      </c>
      <c r="G2802" s="10">
        <v>18025</v>
      </c>
      <c r="H2802">
        <v>3.68</v>
      </c>
      <c r="I2802" s="5">
        <f>ROUND(Marketing[[#This Row],[Clicks]]*Marketing[[#This Row],[Conversion_Rate]],0)</f>
        <v>8</v>
      </c>
      <c r="J2802" s="12">
        <f>Marketing[[#This Row],[Campaign_Cost]]/Marketing[[#This Row],[Customers]]</f>
        <v>2253.125</v>
      </c>
      <c r="K2802" t="s">
        <v>38</v>
      </c>
      <c r="L2802" t="s">
        <v>26</v>
      </c>
      <c r="M2802">
        <v>408</v>
      </c>
      <c r="N2802">
        <v>9374</v>
      </c>
      <c r="O2802">
        <v>5</v>
      </c>
      <c r="P2802" t="s">
        <v>21</v>
      </c>
      <c r="Q2802" s="1">
        <v>44442</v>
      </c>
    </row>
    <row r="2803" spans="1:17" x14ac:dyDescent="0.3">
      <c r="A2803" t="s">
        <v>22</v>
      </c>
      <c r="B2803" t="s">
        <v>29</v>
      </c>
      <c r="C2803" t="s">
        <v>52</v>
      </c>
      <c r="D2803" t="s">
        <v>24</v>
      </c>
      <c r="E2803" t="s">
        <v>43</v>
      </c>
      <c r="F2803" s="9">
        <v>0.11</v>
      </c>
      <c r="G2803" s="10">
        <v>5885</v>
      </c>
      <c r="H2803">
        <v>4</v>
      </c>
      <c r="I2803" s="5">
        <f>ROUND(Marketing[[#This Row],[Clicks]]*Marketing[[#This Row],[Conversion_Rate]],0)</f>
        <v>26</v>
      </c>
      <c r="J2803" s="12">
        <f>Marketing[[#This Row],[Campaign_Cost]]/Marketing[[#This Row],[Customers]]</f>
        <v>226.34615384615384</v>
      </c>
      <c r="K2803" t="s">
        <v>32</v>
      </c>
      <c r="L2803" t="s">
        <v>50</v>
      </c>
      <c r="M2803">
        <v>232</v>
      </c>
      <c r="N2803">
        <v>2966</v>
      </c>
      <c r="O2803">
        <v>2</v>
      </c>
      <c r="P2803" t="s">
        <v>42</v>
      </c>
      <c r="Q2803" s="1">
        <v>44443</v>
      </c>
    </row>
    <row r="2804" spans="1:17" x14ac:dyDescent="0.3">
      <c r="A2804" t="s">
        <v>14</v>
      </c>
      <c r="B2804" t="s">
        <v>36</v>
      </c>
      <c r="C2804" t="s">
        <v>52</v>
      </c>
      <c r="D2804" t="s">
        <v>46</v>
      </c>
      <c r="E2804" t="s">
        <v>41</v>
      </c>
      <c r="F2804" s="9">
        <v>0.05</v>
      </c>
      <c r="G2804" s="10">
        <v>10270</v>
      </c>
      <c r="H2804">
        <v>6.88</v>
      </c>
      <c r="I2804" s="5">
        <f>ROUND(Marketing[[#This Row],[Clicks]]*Marketing[[#This Row],[Conversion_Rate]],0)</f>
        <v>35</v>
      </c>
      <c r="J2804" s="12">
        <f>Marketing[[#This Row],[Campaign_Cost]]/Marketing[[#This Row],[Customers]]</f>
        <v>293.42857142857144</v>
      </c>
      <c r="K2804" t="s">
        <v>32</v>
      </c>
      <c r="L2804" t="s">
        <v>26</v>
      </c>
      <c r="M2804">
        <v>701</v>
      </c>
      <c r="N2804">
        <v>2349</v>
      </c>
      <c r="O2804">
        <v>10</v>
      </c>
      <c r="P2804" t="s">
        <v>34</v>
      </c>
      <c r="Q2804" s="1">
        <v>44444</v>
      </c>
    </row>
    <row r="2805" spans="1:17" x14ac:dyDescent="0.3">
      <c r="A2805" t="s">
        <v>28</v>
      </c>
      <c r="B2805" t="s">
        <v>36</v>
      </c>
      <c r="C2805" t="s">
        <v>30</v>
      </c>
      <c r="D2805" t="s">
        <v>46</v>
      </c>
      <c r="E2805" t="s">
        <v>48</v>
      </c>
      <c r="F2805" s="9">
        <v>0.1</v>
      </c>
      <c r="G2805" s="10">
        <v>17309</v>
      </c>
      <c r="H2805">
        <v>6.63</v>
      </c>
      <c r="I2805" s="5">
        <f>ROUND(Marketing[[#This Row],[Clicks]]*Marketing[[#This Row],[Conversion_Rate]],0)</f>
        <v>60</v>
      </c>
      <c r="J2805" s="12">
        <f>Marketing[[#This Row],[Campaign_Cost]]/Marketing[[#This Row],[Customers]]</f>
        <v>288.48333333333335</v>
      </c>
      <c r="K2805" t="s">
        <v>19</v>
      </c>
      <c r="L2805" t="s">
        <v>33</v>
      </c>
      <c r="M2805">
        <v>601</v>
      </c>
      <c r="N2805">
        <v>3708</v>
      </c>
      <c r="O2805">
        <v>2</v>
      </c>
      <c r="P2805" t="s">
        <v>42</v>
      </c>
      <c r="Q2805" s="1">
        <v>44445</v>
      </c>
    </row>
    <row r="2806" spans="1:17" x14ac:dyDescent="0.3">
      <c r="A2806" t="s">
        <v>49</v>
      </c>
      <c r="B2806" t="s">
        <v>45</v>
      </c>
      <c r="C2806" t="s">
        <v>37</v>
      </c>
      <c r="D2806" t="s">
        <v>46</v>
      </c>
      <c r="E2806" t="s">
        <v>48</v>
      </c>
      <c r="F2806" s="9">
        <v>0.05</v>
      </c>
      <c r="G2806" s="10">
        <v>8259</v>
      </c>
      <c r="H2806">
        <v>4.9000000000000004</v>
      </c>
      <c r="I2806" s="5">
        <f>ROUND(Marketing[[#This Row],[Clicks]]*Marketing[[#This Row],[Conversion_Rate]],0)</f>
        <v>15</v>
      </c>
      <c r="J2806" s="12">
        <f>Marketing[[#This Row],[Campaign_Cost]]/Marketing[[#This Row],[Customers]]</f>
        <v>550.6</v>
      </c>
      <c r="K2806" t="s">
        <v>32</v>
      </c>
      <c r="L2806" t="s">
        <v>39</v>
      </c>
      <c r="M2806">
        <v>290</v>
      </c>
      <c r="N2806">
        <v>7247</v>
      </c>
      <c r="O2806">
        <v>4</v>
      </c>
      <c r="P2806" t="s">
        <v>34</v>
      </c>
      <c r="Q2806" s="1">
        <v>44446</v>
      </c>
    </row>
    <row r="2807" spans="1:17" x14ac:dyDescent="0.3">
      <c r="A2807" t="s">
        <v>14</v>
      </c>
      <c r="B2807" t="s">
        <v>45</v>
      </c>
      <c r="C2807" t="s">
        <v>30</v>
      </c>
      <c r="D2807" t="s">
        <v>24</v>
      </c>
      <c r="E2807" t="s">
        <v>48</v>
      </c>
      <c r="F2807" s="9">
        <v>0.01</v>
      </c>
      <c r="G2807" s="10">
        <v>10501</v>
      </c>
      <c r="H2807">
        <v>3.99</v>
      </c>
      <c r="I2807" s="5">
        <f>ROUND(Marketing[[#This Row],[Clicks]]*Marketing[[#This Row],[Conversion_Rate]],0)</f>
        <v>9</v>
      </c>
      <c r="J2807" s="12">
        <f>Marketing[[#This Row],[Campaign_Cost]]/Marketing[[#This Row],[Customers]]</f>
        <v>1166.7777777777778</v>
      </c>
      <c r="K2807" t="s">
        <v>19</v>
      </c>
      <c r="L2807" t="s">
        <v>39</v>
      </c>
      <c r="M2807">
        <v>894</v>
      </c>
      <c r="N2807">
        <v>7198</v>
      </c>
      <c r="O2807">
        <v>1</v>
      </c>
      <c r="P2807" t="s">
        <v>27</v>
      </c>
      <c r="Q2807" s="1">
        <v>44447</v>
      </c>
    </row>
    <row r="2808" spans="1:17" x14ac:dyDescent="0.3">
      <c r="A2808" t="s">
        <v>35</v>
      </c>
      <c r="B2808" t="s">
        <v>15</v>
      </c>
      <c r="C2808" t="s">
        <v>52</v>
      </c>
      <c r="D2808" t="s">
        <v>24</v>
      </c>
      <c r="E2808" t="s">
        <v>31</v>
      </c>
      <c r="F2808" s="9">
        <v>0.11</v>
      </c>
      <c r="G2808" s="10">
        <v>7653</v>
      </c>
      <c r="H2808">
        <v>6.82</v>
      </c>
      <c r="I2808" s="5">
        <f>ROUND(Marketing[[#This Row],[Clicks]]*Marketing[[#This Row],[Conversion_Rate]],0)</f>
        <v>104</v>
      </c>
      <c r="J2808" s="12">
        <f>Marketing[[#This Row],[Campaign_Cost]]/Marketing[[#This Row],[Customers]]</f>
        <v>73.586538461538467</v>
      </c>
      <c r="K2808" t="s">
        <v>25</v>
      </c>
      <c r="L2808" t="s">
        <v>39</v>
      </c>
      <c r="M2808">
        <v>942</v>
      </c>
      <c r="N2808">
        <v>7715</v>
      </c>
      <c r="O2808">
        <v>2</v>
      </c>
      <c r="P2808" t="s">
        <v>27</v>
      </c>
      <c r="Q2808" s="1">
        <v>44448</v>
      </c>
    </row>
    <row r="2809" spans="1:17" x14ac:dyDescent="0.3">
      <c r="A2809" t="s">
        <v>35</v>
      </c>
      <c r="B2809" t="s">
        <v>15</v>
      </c>
      <c r="C2809" t="s">
        <v>16</v>
      </c>
      <c r="D2809" t="s">
        <v>46</v>
      </c>
      <c r="E2809" t="s">
        <v>43</v>
      </c>
      <c r="F2809" s="9">
        <v>0.06</v>
      </c>
      <c r="G2809" s="10">
        <v>7954</v>
      </c>
      <c r="H2809">
        <v>2.82</v>
      </c>
      <c r="I2809" s="5">
        <f>ROUND(Marketing[[#This Row],[Clicks]]*Marketing[[#This Row],[Conversion_Rate]],0)</f>
        <v>40</v>
      </c>
      <c r="J2809" s="12">
        <f>Marketing[[#This Row],[Campaign_Cost]]/Marketing[[#This Row],[Customers]]</f>
        <v>198.85</v>
      </c>
      <c r="K2809" t="s">
        <v>25</v>
      </c>
      <c r="L2809" t="s">
        <v>33</v>
      </c>
      <c r="M2809">
        <v>665</v>
      </c>
      <c r="N2809">
        <v>7713</v>
      </c>
      <c r="O2809">
        <v>7</v>
      </c>
      <c r="P2809" t="s">
        <v>42</v>
      </c>
      <c r="Q2809" s="1">
        <v>44449</v>
      </c>
    </row>
    <row r="2810" spans="1:17" x14ac:dyDescent="0.3">
      <c r="A2810" t="s">
        <v>28</v>
      </c>
      <c r="B2810" t="s">
        <v>36</v>
      </c>
      <c r="C2810" t="s">
        <v>37</v>
      </c>
      <c r="D2810" t="s">
        <v>46</v>
      </c>
      <c r="E2810" t="s">
        <v>18</v>
      </c>
      <c r="F2810" s="9">
        <v>0.13</v>
      </c>
      <c r="G2810" s="10">
        <v>18280</v>
      </c>
      <c r="H2810">
        <v>4.78</v>
      </c>
      <c r="I2810" s="5">
        <f>ROUND(Marketing[[#This Row],[Clicks]]*Marketing[[#This Row],[Conversion_Rate]],0)</f>
        <v>116</v>
      </c>
      <c r="J2810" s="12">
        <f>Marketing[[#This Row],[Campaign_Cost]]/Marketing[[#This Row],[Customers]]</f>
        <v>157.58620689655172</v>
      </c>
      <c r="K2810" t="s">
        <v>32</v>
      </c>
      <c r="L2810" t="s">
        <v>39</v>
      </c>
      <c r="M2810">
        <v>896</v>
      </c>
      <c r="N2810">
        <v>6219</v>
      </c>
      <c r="O2810">
        <v>1</v>
      </c>
      <c r="P2810" t="s">
        <v>44</v>
      </c>
      <c r="Q2810" s="1">
        <v>44450</v>
      </c>
    </row>
    <row r="2811" spans="1:17" x14ac:dyDescent="0.3">
      <c r="A2811" t="s">
        <v>35</v>
      </c>
      <c r="B2811" t="s">
        <v>47</v>
      </c>
      <c r="C2811" t="s">
        <v>30</v>
      </c>
      <c r="D2811" t="s">
        <v>17</v>
      </c>
      <c r="E2811" t="s">
        <v>43</v>
      </c>
      <c r="F2811" s="9">
        <v>0.04</v>
      </c>
      <c r="G2811" s="10">
        <v>8587</v>
      </c>
      <c r="H2811">
        <v>7.9</v>
      </c>
      <c r="I2811" s="5">
        <f>ROUND(Marketing[[#This Row],[Clicks]]*Marketing[[#This Row],[Conversion_Rate]],0)</f>
        <v>23</v>
      </c>
      <c r="J2811" s="12">
        <f>Marketing[[#This Row],[Campaign_Cost]]/Marketing[[#This Row],[Customers]]</f>
        <v>373.3478260869565</v>
      </c>
      <c r="K2811" t="s">
        <v>19</v>
      </c>
      <c r="L2811" t="s">
        <v>50</v>
      </c>
      <c r="M2811">
        <v>580</v>
      </c>
      <c r="N2811">
        <v>4000</v>
      </c>
      <c r="O2811">
        <v>10</v>
      </c>
      <c r="P2811" t="s">
        <v>42</v>
      </c>
      <c r="Q2811" s="1">
        <v>44451</v>
      </c>
    </row>
    <row r="2812" spans="1:17" x14ac:dyDescent="0.3">
      <c r="A2812" t="s">
        <v>22</v>
      </c>
      <c r="B2812" t="s">
        <v>47</v>
      </c>
      <c r="C2812" t="s">
        <v>30</v>
      </c>
      <c r="D2812" t="s">
        <v>24</v>
      </c>
      <c r="E2812" t="s">
        <v>41</v>
      </c>
      <c r="F2812" s="9">
        <v>0.09</v>
      </c>
      <c r="G2812" s="10">
        <v>7967</v>
      </c>
      <c r="H2812">
        <v>3.61</v>
      </c>
      <c r="I2812" s="5">
        <f>ROUND(Marketing[[#This Row],[Clicks]]*Marketing[[#This Row],[Conversion_Rate]],0)</f>
        <v>13</v>
      </c>
      <c r="J2812" s="12">
        <f>Marketing[[#This Row],[Campaign_Cost]]/Marketing[[#This Row],[Customers]]</f>
        <v>612.84615384615381</v>
      </c>
      <c r="K2812" t="s">
        <v>32</v>
      </c>
      <c r="L2812" t="s">
        <v>33</v>
      </c>
      <c r="M2812">
        <v>139</v>
      </c>
      <c r="N2812">
        <v>4715</v>
      </c>
      <c r="O2812">
        <v>8</v>
      </c>
      <c r="P2812" t="s">
        <v>42</v>
      </c>
      <c r="Q2812" s="1">
        <v>44452</v>
      </c>
    </row>
    <row r="2813" spans="1:17" x14ac:dyDescent="0.3">
      <c r="A2813" t="s">
        <v>14</v>
      </c>
      <c r="B2813" t="s">
        <v>47</v>
      </c>
      <c r="C2813" t="s">
        <v>30</v>
      </c>
      <c r="D2813" t="s">
        <v>17</v>
      </c>
      <c r="E2813" t="s">
        <v>31</v>
      </c>
      <c r="F2813" s="9">
        <v>0.05</v>
      </c>
      <c r="G2813" s="10">
        <v>10908</v>
      </c>
      <c r="H2813">
        <v>4.84</v>
      </c>
      <c r="I2813" s="5">
        <f>ROUND(Marketing[[#This Row],[Clicks]]*Marketing[[#This Row],[Conversion_Rate]],0)</f>
        <v>21</v>
      </c>
      <c r="J2813" s="12">
        <f>Marketing[[#This Row],[Campaign_Cost]]/Marketing[[#This Row],[Customers]]</f>
        <v>519.42857142857144</v>
      </c>
      <c r="K2813" t="s">
        <v>51</v>
      </c>
      <c r="L2813" t="s">
        <v>20</v>
      </c>
      <c r="M2813">
        <v>420</v>
      </c>
      <c r="N2813">
        <v>5434</v>
      </c>
      <c r="O2813">
        <v>6</v>
      </c>
      <c r="P2813" t="s">
        <v>21</v>
      </c>
      <c r="Q2813" s="1">
        <v>44453</v>
      </c>
    </row>
    <row r="2814" spans="1:17" x14ac:dyDescent="0.3">
      <c r="A2814" t="s">
        <v>28</v>
      </c>
      <c r="B2814" t="s">
        <v>29</v>
      </c>
      <c r="C2814" t="s">
        <v>16</v>
      </c>
      <c r="D2814" t="s">
        <v>17</v>
      </c>
      <c r="E2814" t="s">
        <v>15</v>
      </c>
      <c r="F2814" s="9">
        <v>0.11</v>
      </c>
      <c r="G2814" s="10">
        <v>8971</v>
      </c>
      <c r="H2814">
        <v>7.67</v>
      </c>
      <c r="I2814" s="5">
        <f>ROUND(Marketing[[#This Row],[Clicks]]*Marketing[[#This Row],[Conversion_Rate]],0)</f>
        <v>39</v>
      </c>
      <c r="J2814" s="12">
        <f>Marketing[[#This Row],[Campaign_Cost]]/Marketing[[#This Row],[Customers]]</f>
        <v>230.02564102564102</v>
      </c>
      <c r="K2814" t="s">
        <v>38</v>
      </c>
      <c r="L2814" t="s">
        <v>33</v>
      </c>
      <c r="M2814">
        <v>354</v>
      </c>
      <c r="N2814">
        <v>6386</v>
      </c>
      <c r="O2814">
        <v>1</v>
      </c>
      <c r="P2814" t="s">
        <v>42</v>
      </c>
      <c r="Q2814" s="1">
        <v>44454</v>
      </c>
    </row>
    <row r="2815" spans="1:17" x14ac:dyDescent="0.3">
      <c r="A2815" t="s">
        <v>35</v>
      </c>
      <c r="B2815" t="s">
        <v>29</v>
      </c>
      <c r="C2815" t="s">
        <v>23</v>
      </c>
      <c r="D2815" t="s">
        <v>40</v>
      </c>
      <c r="E2815" t="s">
        <v>41</v>
      </c>
      <c r="F2815" s="9">
        <v>0.02</v>
      </c>
      <c r="G2815" s="10">
        <v>17113</v>
      </c>
      <c r="H2815">
        <v>3.65</v>
      </c>
      <c r="I2815" s="5">
        <f>ROUND(Marketing[[#This Row],[Clicks]]*Marketing[[#This Row],[Conversion_Rate]],0)</f>
        <v>17</v>
      </c>
      <c r="J2815" s="12">
        <f>Marketing[[#This Row],[Campaign_Cost]]/Marketing[[#This Row],[Customers]]</f>
        <v>1006.6470588235294</v>
      </c>
      <c r="K2815" t="s">
        <v>51</v>
      </c>
      <c r="L2815" t="s">
        <v>20</v>
      </c>
      <c r="M2815">
        <v>860</v>
      </c>
      <c r="N2815">
        <v>4744</v>
      </c>
      <c r="O2815">
        <v>4</v>
      </c>
      <c r="P2815" t="s">
        <v>27</v>
      </c>
      <c r="Q2815" s="1">
        <v>44455</v>
      </c>
    </row>
    <row r="2816" spans="1:17" x14ac:dyDescent="0.3">
      <c r="A2816" t="s">
        <v>22</v>
      </c>
      <c r="B2816" t="s">
        <v>47</v>
      </c>
      <c r="C2816" t="s">
        <v>30</v>
      </c>
      <c r="D2816" t="s">
        <v>46</v>
      </c>
      <c r="E2816" t="s">
        <v>31</v>
      </c>
      <c r="F2816" s="9">
        <v>0.02</v>
      </c>
      <c r="G2816" s="10">
        <v>11718</v>
      </c>
      <c r="H2816">
        <v>4.09</v>
      </c>
      <c r="I2816" s="5">
        <f>ROUND(Marketing[[#This Row],[Clicks]]*Marketing[[#This Row],[Conversion_Rate]],0)</f>
        <v>4</v>
      </c>
      <c r="J2816" s="12">
        <f>Marketing[[#This Row],[Campaign_Cost]]/Marketing[[#This Row],[Customers]]</f>
        <v>2929.5</v>
      </c>
      <c r="K2816" t="s">
        <v>51</v>
      </c>
      <c r="L2816" t="s">
        <v>33</v>
      </c>
      <c r="M2816">
        <v>181</v>
      </c>
      <c r="N2816">
        <v>4942</v>
      </c>
      <c r="O2816">
        <v>9</v>
      </c>
      <c r="P2816" t="s">
        <v>27</v>
      </c>
      <c r="Q2816" s="1">
        <v>44456</v>
      </c>
    </row>
    <row r="2817" spans="1:17" x14ac:dyDescent="0.3">
      <c r="A2817" t="s">
        <v>49</v>
      </c>
      <c r="B2817" t="s">
        <v>29</v>
      </c>
      <c r="C2817" t="s">
        <v>23</v>
      </c>
      <c r="D2817" t="s">
        <v>24</v>
      </c>
      <c r="E2817" t="s">
        <v>48</v>
      </c>
      <c r="F2817" s="9">
        <v>0.11</v>
      </c>
      <c r="G2817" s="10">
        <v>13218</v>
      </c>
      <c r="H2817">
        <v>3.37</v>
      </c>
      <c r="I2817" s="5">
        <f>ROUND(Marketing[[#This Row],[Clicks]]*Marketing[[#This Row],[Conversion_Rate]],0)</f>
        <v>15</v>
      </c>
      <c r="J2817" s="12">
        <f>Marketing[[#This Row],[Campaign_Cost]]/Marketing[[#This Row],[Customers]]</f>
        <v>881.2</v>
      </c>
      <c r="K2817" t="s">
        <v>38</v>
      </c>
      <c r="L2817" t="s">
        <v>26</v>
      </c>
      <c r="M2817">
        <v>136</v>
      </c>
      <c r="N2817">
        <v>7795</v>
      </c>
      <c r="O2817">
        <v>8</v>
      </c>
      <c r="P2817" t="s">
        <v>42</v>
      </c>
      <c r="Q2817" s="1">
        <v>44457</v>
      </c>
    </row>
    <row r="2818" spans="1:17" x14ac:dyDescent="0.3">
      <c r="A2818" t="s">
        <v>28</v>
      </c>
      <c r="B2818" t="s">
        <v>36</v>
      </c>
      <c r="C2818" t="s">
        <v>16</v>
      </c>
      <c r="D2818" t="s">
        <v>46</v>
      </c>
      <c r="E2818" t="s">
        <v>18</v>
      </c>
      <c r="F2818" s="9">
        <v>0.1</v>
      </c>
      <c r="G2818" s="10">
        <v>19333</v>
      </c>
      <c r="H2818">
        <v>2.33</v>
      </c>
      <c r="I2818" s="5">
        <f>ROUND(Marketing[[#This Row],[Clicks]]*Marketing[[#This Row],[Conversion_Rate]],0)</f>
        <v>78</v>
      </c>
      <c r="J2818" s="12">
        <f>Marketing[[#This Row],[Campaign_Cost]]/Marketing[[#This Row],[Customers]]</f>
        <v>247.85897435897436</v>
      </c>
      <c r="K2818" t="s">
        <v>38</v>
      </c>
      <c r="L2818" t="s">
        <v>20</v>
      </c>
      <c r="M2818">
        <v>784</v>
      </c>
      <c r="N2818">
        <v>2797</v>
      </c>
      <c r="O2818">
        <v>7</v>
      </c>
      <c r="P2818" t="s">
        <v>27</v>
      </c>
      <c r="Q2818" s="1">
        <v>44458</v>
      </c>
    </row>
    <row r="2819" spans="1:17" x14ac:dyDescent="0.3">
      <c r="A2819" t="s">
        <v>14</v>
      </c>
      <c r="B2819" t="s">
        <v>47</v>
      </c>
      <c r="C2819" t="s">
        <v>52</v>
      </c>
      <c r="D2819" t="s">
        <v>17</v>
      </c>
      <c r="E2819" t="s">
        <v>31</v>
      </c>
      <c r="F2819" s="9">
        <v>0.11</v>
      </c>
      <c r="G2819" s="10">
        <v>10757</v>
      </c>
      <c r="H2819">
        <v>5.33</v>
      </c>
      <c r="I2819" s="5">
        <f>ROUND(Marketing[[#This Row],[Clicks]]*Marketing[[#This Row],[Conversion_Rate]],0)</f>
        <v>14</v>
      </c>
      <c r="J2819" s="12">
        <f>Marketing[[#This Row],[Campaign_Cost]]/Marketing[[#This Row],[Customers]]</f>
        <v>768.35714285714289</v>
      </c>
      <c r="K2819" t="s">
        <v>38</v>
      </c>
      <c r="L2819" t="s">
        <v>50</v>
      </c>
      <c r="M2819">
        <v>126</v>
      </c>
      <c r="N2819">
        <v>3637</v>
      </c>
      <c r="O2819">
        <v>7</v>
      </c>
      <c r="P2819" t="s">
        <v>34</v>
      </c>
      <c r="Q2819" s="1">
        <v>44459</v>
      </c>
    </row>
    <row r="2820" spans="1:17" x14ac:dyDescent="0.3">
      <c r="A2820" t="s">
        <v>22</v>
      </c>
      <c r="B2820" t="s">
        <v>45</v>
      </c>
      <c r="C2820" t="s">
        <v>30</v>
      </c>
      <c r="D2820" t="s">
        <v>24</v>
      </c>
      <c r="E2820" t="s">
        <v>31</v>
      </c>
      <c r="F2820" s="9">
        <v>0.05</v>
      </c>
      <c r="G2820" s="10">
        <v>16907</v>
      </c>
      <c r="H2820">
        <v>3.66</v>
      </c>
      <c r="I2820" s="5">
        <f>ROUND(Marketing[[#This Row],[Clicks]]*Marketing[[#This Row],[Conversion_Rate]],0)</f>
        <v>49</v>
      </c>
      <c r="J2820" s="12">
        <f>Marketing[[#This Row],[Campaign_Cost]]/Marketing[[#This Row],[Customers]]</f>
        <v>345.0408163265306</v>
      </c>
      <c r="K2820" t="s">
        <v>19</v>
      </c>
      <c r="L2820" t="s">
        <v>39</v>
      </c>
      <c r="M2820">
        <v>983</v>
      </c>
      <c r="N2820">
        <v>1383</v>
      </c>
      <c r="O2820">
        <v>8</v>
      </c>
      <c r="P2820" t="s">
        <v>42</v>
      </c>
      <c r="Q2820" s="1">
        <v>44460</v>
      </c>
    </row>
    <row r="2821" spans="1:17" x14ac:dyDescent="0.3">
      <c r="A2821" t="s">
        <v>22</v>
      </c>
      <c r="B2821" t="s">
        <v>45</v>
      </c>
      <c r="C2821" t="s">
        <v>30</v>
      </c>
      <c r="D2821" t="s">
        <v>24</v>
      </c>
      <c r="E2821" t="s">
        <v>43</v>
      </c>
      <c r="F2821" s="9">
        <v>0.1</v>
      </c>
      <c r="G2821" s="10">
        <v>5644</v>
      </c>
      <c r="H2821">
        <v>5.25</v>
      </c>
      <c r="I2821" s="5">
        <f>ROUND(Marketing[[#This Row],[Clicks]]*Marketing[[#This Row],[Conversion_Rate]],0)</f>
        <v>87</v>
      </c>
      <c r="J2821" s="12">
        <f>Marketing[[#This Row],[Campaign_Cost]]/Marketing[[#This Row],[Customers]]</f>
        <v>64.8735632183908</v>
      </c>
      <c r="K2821" t="s">
        <v>51</v>
      </c>
      <c r="L2821" t="s">
        <v>20</v>
      </c>
      <c r="M2821">
        <v>870</v>
      </c>
      <c r="N2821">
        <v>3568</v>
      </c>
      <c r="O2821">
        <v>5</v>
      </c>
      <c r="P2821" t="s">
        <v>42</v>
      </c>
      <c r="Q2821" s="1">
        <v>44461</v>
      </c>
    </row>
    <row r="2822" spans="1:17" x14ac:dyDescent="0.3">
      <c r="A2822" t="s">
        <v>28</v>
      </c>
      <c r="B2822" t="s">
        <v>29</v>
      </c>
      <c r="C2822" t="s">
        <v>16</v>
      </c>
      <c r="D2822" t="s">
        <v>24</v>
      </c>
      <c r="E2822" t="s">
        <v>15</v>
      </c>
      <c r="F2822" s="9">
        <v>0.01</v>
      </c>
      <c r="G2822" s="10">
        <v>14542</v>
      </c>
      <c r="H2822">
        <v>7.9</v>
      </c>
      <c r="I2822" s="5">
        <f>ROUND(Marketing[[#This Row],[Clicks]]*Marketing[[#This Row],[Conversion_Rate]],0)</f>
        <v>6</v>
      </c>
      <c r="J2822" s="12">
        <f>Marketing[[#This Row],[Campaign_Cost]]/Marketing[[#This Row],[Customers]]</f>
        <v>2423.6666666666665</v>
      </c>
      <c r="K2822" t="s">
        <v>19</v>
      </c>
      <c r="L2822" t="s">
        <v>50</v>
      </c>
      <c r="M2822">
        <v>589</v>
      </c>
      <c r="N2822">
        <v>4281</v>
      </c>
      <c r="O2822">
        <v>7</v>
      </c>
      <c r="P2822" t="s">
        <v>27</v>
      </c>
      <c r="Q2822" s="1">
        <v>44462</v>
      </c>
    </row>
    <row r="2823" spans="1:17" x14ac:dyDescent="0.3">
      <c r="A2823" t="s">
        <v>35</v>
      </c>
      <c r="B2823" t="s">
        <v>47</v>
      </c>
      <c r="C2823" t="s">
        <v>16</v>
      </c>
      <c r="D2823" t="s">
        <v>40</v>
      </c>
      <c r="E2823" t="s">
        <v>15</v>
      </c>
      <c r="F2823" s="9">
        <v>0.1</v>
      </c>
      <c r="G2823" s="10">
        <v>8051</v>
      </c>
      <c r="H2823">
        <v>7.42</v>
      </c>
      <c r="I2823" s="5">
        <f>ROUND(Marketing[[#This Row],[Clicks]]*Marketing[[#This Row],[Conversion_Rate]],0)</f>
        <v>89</v>
      </c>
      <c r="J2823" s="12">
        <f>Marketing[[#This Row],[Campaign_Cost]]/Marketing[[#This Row],[Customers]]</f>
        <v>90.460674157303373</v>
      </c>
      <c r="K2823" t="s">
        <v>19</v>
      </c>
      <c r="L2823" t="s">
        <v>33</v>
      </c>
      <c r="M2823">
        <v>886</v>
      </c>
      <c r="N2823">
        <v>1557</v>
      </c>
      <c r="O2823">
        <v>7</v>
      </c>
      <c r="P2823" t="s">
        <v>44</v>
      </c>
      <c r="Q2823" s="1">
        <v>44463</v>
      </c>
    </row>
    <row r="2824" spans="1:17" x14ac:dyDescent="0.3">
      <c r="A2824" t="s">
        <v>22</v>
      </c>
      <c r="B2824" t="s">
        <v>15</v>
      </c>
      <c r="C2824" t="s">
        <v>30</v>
      </c>
      <c r="D2824" t="s">
        <v>40</v>
      </c>
      <c r="E2824" t="s">
        <v>15</v>
      </c>
      <c r="F2824" s="9">
        <v>0.03</v>
      </c>
      <c r="G2824" s="10">
        <v>16032</v>
      </c>
      <c r="H2824">
        <v>3.83</v>
      </c>
      <c r="I2824" s="5">
        <f>ROUND(Marketing[[#This Row],[Clicks]]*Marketing[[#This Row],[Conversion_Rate]],0)</f>
        <v>26</v>
      </c>
      <c r="J2824" s="12">
        <f>Marketing[[#This Row],[Campaign_Cost]]/Marketing[[#This Row],[Customers]]</f>
        <v>616.61538461538464</v>
      </c>
      <c r="K2824" t="s">
        <v>51</v>
      </c>
      <c r="L2824" t="s">
        <v>39</v>
      </c>
      <c r="M2824">
        <v>865</v>
      </c>
      <c r="N2824">
        <v>3424</v>
      </c>
      <c r="O2824">
        <v>6</v>
      </c>
      <c r="P2824" t="s">
        <v>27</v>
      </c>
      <c r="Q2824" s="1">
        <v>44464</v>
      </c>
    </row>
    <row r="2825" spans="1:17" x14ac:dyDescent="0.3">
      <c r="A2825" t="s">
        <v>49</v>
      </c>
      <c r="B2825" t="s">
        <v>47</v>
      </c>
      <c r="C2825" t="s">
        <v>37</v>
      </c>
      <c r="D2825" t="s">
        <v>17</v>
      </c>
      <c r="E2825" t="s">
        <v>18</v>
      </c>
      <c r="F2825" s="9">
        <v>0.08</v>
      </c>
      <c r="G2825" s="10">
        <v>17632</v>
      </c>
      <c r="H2825">
        <v>4.7300000000000004</v>
      </c>
      <c r="I2825" s="5">
        <f>ROUND(Marketing[[#This Row],[Clicks]]*Marketing[[#This Row],[Conversion_Rate]],0)</f>
        <v>61</v>
      </c>
      <c r="J2825" s="12">
        <f>Marketing[[#This Row],[Campaign_Cost]]/Marketing[[#This Row],[Customers]]</f>
        <v>289.04918032786884</v>
      </c>
      <c r="K2825" t="s">
        <v>38</v>
      </c>
      <c r="L2825" t="s">
        <v>33</v>
      </c>
      <c r="M2825">
        <v>762</v>
      </c>
      <c r="N2825">
        <v>7172</v>
      </c>
      <c r="O2825">
        <v>9</v>
      </c>
      <c r="P2825" t="s">
        <v>44</v>
      </c>
      <c r="Q2825" s="1">
        <v>44465</v>
      </c>
    </row>
    <row r="2826" spans="1:17" x14ac:dyDescent="0.3">
      <c r="A2826" t="s">
        <v>14</v>
      </c>
      <c r="B2826" t="s">
        <v>15</v>
      </c>
      <c r="C2826" t="s">
        <v>52</v>
      </c>
      <c r="D2826" t="s">
        <v>40</v>
      </c>
      <c r="E2826" t="s">
        <v>31</v>
      </c>
      <c r="F2826" s="9">
        <v>0.02</v>
      </c>
      <c r="G2826" s="10">
        <v>5870</v>
      </c>
      <c r="H2826">
        <v>4</v>
      </c>
      <c r="I2826" s="5">
        <f>ROUND(Marketing[[#This Row],[Clicks]]*Marketing[[#This Row],[Conversion_Rate]],0)</f>
        <v>19</v>
      </c>
      <c r="J2826" s="12">
        <f>Marketing[[#This Row],[Campaign_Cost]]/Marketing[[#This Row],[Customers]]</f>
        <v>308.94736842105266</v>
      </c>
      <c r="K2826" t="s">
        <v>51</v>
      </c>
      <c r="L2826" t="s">
        <v>26</v>
      </c>
      <c r="M2826">
        <v>949</v>
      </c>
      <c r="N2826">
        <v>8090</v>
      </c>
      <c r="O2826">
        <v>3</v>
      </c>
      <c r="P2826" t="s">
        <v>21</v>
      </c>
      <c r="Q2826" s="1">
        <v>44466</v>
      </c>
    </row>
    <row r="2827" spans="1:17" x14ac:dyDescent="0.3">
      <c r="A2827" t="s">
        <v>28</v>
      </c>
      <c r="B2827" t="s">
        <v>45</v>
      </c>
      <c r="C2827" t="s">
        <v>37</v>
      </c>
      <c r="D2827" t="s">
        <v>40</v>
      </c>
      <c r="E2827" t="s">
        <v>41</v>
      </c>
      <c r="F2827" s="9">
        <v>0.14000000000000001</v>
      </c>
      <c r="G2827" s="10">
        <v>17354</v>
      </c>
      <c r="H2827">
        <v>2.06</v>
      </c>
      <c r="I2827" s="5">
        <f>ROUND(Marketing[[#This Row],[Clicks]]*Marketing[[#This Row],[Conversion_Rate]],0)</f>
        <v>26</v>
      </c>
      <c r="J2827" s="12">
        <f>Marketing[[#This Row],[Campaign_Cost]]/Marketing[[#This Row],[Customers]]</f>
        <v>667.46153846153845</v>
      </c>
      <c r="K2827" t="s">
        <v>25</v>
      </c>
      <c r="L2827" t="s">
        <v>20</v>
      </c>
      <c r="M2827">
        <v>187</v>
      </c>
      <c r="N2827">
        <v>1696</v>
      </c>
      <c r="O2827">
        <v>3</v>
      </c>
      <c r="P2827" t="s">
        <v>21</v>
      </c>
      <c r="Q2827" s="1">
        <v>44467</v>
      </c>
    </row>
    <row r="2828" spans="1:17" x14ac:dyDescent="0.3">
      <c r="A2828" t="s">
        <v>28</v>
      </c>
      <c r="B2828" t="s">
        <v>47</v>
      </c>
      <c r="C2828" t="s">
        <v>52</v>
      </c>
      <c r="D2828" t="s">
        <v>24</v>
      </c>
      <c r="E2828" t="s">
        <v>41</v>
      </c>
      <c r="F2828" s="9">
        <v>0.03</v>
      </c>
      <c r="G2828" s="10">
        <v>17456</v>
      </c>
      <c r="H2828">
        <v>6.97</v>
      </c>
      <c r="I2828" s="5">
        <f>ROUND(Marketing[[#This Row],[Clicks]]*Marketing[[#This Row],[Conversion_Rate]],0)</f>
        <v>17</v>
      </c>
      <c r="J2828" s="12">
        <f>Marketing[[#This Row],[Campaign_Cost]]/Marketing[[#This Row],[Customers]]</f>
        <v>1026.8235294117646</v>
      </c>
      <c r="K2828" t="s">
        <v>51</v>
      </c>
      <c r="L2828" t="s">
        <v>50</v>
      </c>
      <c r="M2828">
        <v>570</v>
      </c>
      <c r="N2828">
        <v>3389</v>
      </c>
      <c r="O2828">
        <v>5</v>
      </c>
      <c r="P2828" t="s">
        <v>42</v>
      </c>
      <c r="Q2828" s="1">
        <v>44468</v>
      </c>
    </row>
    <row r="2829" spans="1:17" x14ac:dyDescent="0.3">
      <c r="A2829" t="s">
        <v>28</v>
      </c>
      <c r="B2829" t="s">
        <v>36</v>
      </c>
      <c r="C2829" t="s">
        <v>16</v>
      </c>
      <c r="D2829" t="s">
        <v>46</v>
      </c>
      <c r="E2829" t="s">
        <v>48</v>
      </c>
      <c r="F2829" s="9">
        <v>0.15</v>
      </c>
      <c r="G2829" s="10">
        <v>14991</v>
      </c>
      <c r="H2829">
        <v>2.4500000000000002</v>
      </c>
      <c r="I2829" s="5">
        <f>ROUND(Marketing[[#This Row],[Clicks]]*Marketing[[#This Row],[Conversion_Rate]],0)</f>
        <v>102</v>
      </c>
      <c r="J2829" s="12">
        <f>Marketing[[#This Row],[Campaign_Cost]]/Marketing[[#This Row],[Customers]]</f>
        <v>146.97058823529412</v>
      </c>
      <c r="K2829" t="s">
        <v>51</v>
      </c>
      <c r="L2829" t="s">
        <v>33</v>
      </c>
      <c r="M2829">
        <v>681</v>
      </c>
      <c r="N2829">
        <v>6884</v>
      </c>
      <c r="O2829">
        <v>4</v>
      </c>
      <c r="P2829" t="s">
        <v>42</v>
      </c>
      <c r="Q2829" s="1">
        <v>44469</v>
      </c>
    </row>
    <row r="2830" spans="1:17" x14ac:dyDescent="0.3">
      <c r="A2830" t="s">
        <v>28</v>
      </c>
      <c r="B2830" t="s">
        <v>36</v>
      </c>
      <c r="C2830" t="s">
        <v>30</v>
      </c>
      <c r="D2830" t="s">
        <v>40</v>
      </c>
      <c r="E2830" t="s">
        <v>15</v>
      </c>
      <c r="F2830" s="9">
        <v>0.1</v>
      </c>
      <c r="G2830" s="10">
        <v>19124</v>
      </c>
      <c r="H2830">
        <v>7.11</v>
      </c>
      <c r="I2830" s="5">
        <f>ROUND(Marketing[[#This Row],[Clicks]]*Marketing[[#This Row],[Conversion_Rate]],0)</f>
        <v>28</v>
      </c>
      <c r="J2830" s="12">
        <f>Marketing[[#This Row],[Campaign_Cost]]/Marketing[[#This Row],[Customers]]</f>
        <v>683</v>
      </c>
      <c r="K2830" t="s">
        <v>38</v>
      </c>
      <c r="L2830" t="s">
        <v>26</v>
      </c>
      <c r="M2830">
        <v>282</v>
      </c>
      <c r="N2830">
        <v>3485</v>
      </c>
      <c r="O2830">
        <v>4</v>
      </c>
      <c r="P2830" t="s">
        <v>27</v>
      </c>
      <c r="Q2830" s="1">
        <v>44470</v>
      </c>
    </row>
    <row r="2831" spans="1:17" x14ac:dyDescent="0.3">
      <c r="A2831" t="s">
        <v>22</v>
      </c>
      <c r="B2831" t="s">
        <v>36</v>
      </c>
      <c r="C2831" t="s">
        <v>23</v>
      </c>
      <c r="D2831" t="s">
        <v>46</v>
      </c>
      <c r="E2831" t="s">
        <v>18</v>
      </c>
      <c r="F2831" s="9">
        <v>0.05</v>
      </c>
      <c r="G2831" s="10">
        <v>10805</v>
      </c>
      <c r="H2831">
        <v>3.61</v>
      </c>
      <c r="I2831" s="5">
        <f>ROUND(Marketing[[#This Row],[Clicks]]*Marketing[[#This Row],[Conversion_Rate]],0)</f>
        <v>45</v>
      </c>
      <c r="J2831" s="12">
        <f>Marketing[[#This Row],[Campaign_Cost]]/Marketing[[#This Row],[Customers]]</f>
        <v>240.11111111111111</v>
      </c>
      <c r="K2831" t="s">
        <v>38</v>
      </c>
      <c r="L2831" t="s">
        <v>39</v>
      </c>
      <c r="M2831">
        <v>905</v>
      </c>
      <c r="N2831">
        <v>9725</v>
      </c>
      <c r="O2831">
        <v>5</v>
      </c>
      <c r="P2831" t="s">
        <v>42</v>
      </c>
      <c r="Q2831" s="1">
        <v>44471</v>
      </c>
    </row>
    <row r="2832" spans="1:17" x14ac:dyDescent="0.3">
      <c r="A2832" t="s">
        <v>22</v>
      </c>
      <c r="B2832" t="s">
        <v>47</v>
      </c>
      <c r="C2832" t="s">
        <v>52</v>
      </c>
      <c r="D2832" t="s">
        <v>40</v>
      </c>
      <c r="E2832" t="s">
        <v>48</v>
      </c>
      <c r="F2832" s="9">
        <v>0.12</v>
      </c>
      <c r="G2832" s="10">
        <v>13914</v>
      </c>
      <c r="H2832">
        <v>2.2400000000000002</v>
      </c>
      <c r="I2832" s="5">
        <f>ROUND(Marketing[[#This Row],[Clicks]]*Marketing[[#This Row],[Conversion_Rate]],0)</f>
        <v>105</v>
      </c>
      <c r="J2832" s="12">
        <f>Marketing[[#This Row],[Campaign_Cost]]/Marketing[[#This Row],[Customers]]</f>
        <v>132.51428571428571</v>
      </c>
      <c r="K2832" t="s">
        <v>19</v>
      </c>
      <c r="L2832" t="s">
        <v>20</v>
      </c>
      <c r="M2832">
        <v>876</v>
      </c>
      <c r="N2832">
        <v>8405</v>
      </c>
      <c r="O2832">
        <v>9</v>
      </c>
      <c r="P2832" t="s">
        <v>27</v>
      </c>
      <c r="Q2832" s="1">
        <v>44472</v>
      </c>
    </row>
    <row r="2833" spans="1:17" x14ac:dyDescent="0.3">
      <c r="A2833" t="s">
        <v>14</v>
      </c>
      <c r="B2833" t="s">
        <v>45</v>
      </c>
      <c r="C2833" t="s">
        <v>16</v>
      </c>
      <c r="D2833" t="s">
        <v>40</v>
      </c>
      <c r="E2833" t="s">
        <v>15</v>
      </c>
      <c r="F2833" s="9">
        <v>7.0000000000000007E-2</v>
      </c>
      <c r="G2833" s="10">
        <v>12388</v>
      </c>
      <c r="H2833">
        <v>6.23</v>
      </c>
      <c r="I2833" s="5">
        <f>ROUND(Marketing[[#This Row],[Clicks]]*Marketing[[#This Row],[Conversion_Rate]],0)</f>
        <v>16</v>
      </c>
      <c r="J2833" s="12">
        <f>Marketing[[#This Row],[Campaign_Cost]]/Marketing[[#This Row],[Customers]]</f>
        <v>774.25</v>
      </c>
      <c r="K2833" t="s">
        <v>25</v>
      </c>
      <c r="L2833" t="s">
        <v>50</v>
      </c>
      <c r="M2833">
        <v>229</v>
      </c>
      <c r="N2833">
        <v>5609</v>
      </c>
      <c r="O2833">
        <v>5</v>
      </c>
      <c r="P2833" t="s">
        <v>34</v>
      </c>
      <c r="Q2833" s="1">
        <v>44473</v>
      </c>
    </row>
    <row r="2834" spans="1:17" x14ac:dyDescent="0.3">
      <c r="A2834" t="s">
        <v>14</v>
      </c>
      <c r="B2834" t="s">
        <v>36</v>
      </c>
      <c r="C2834" t="s">
        <v>30</v>
      </c>
      <c r="D2834" t="s">
        <v>17</v>
      </c>
      <c r="E2834" t="s">
        <v>48</v>
      </c>
      <c r="F2834" s="9">
        <v>7.0000000000000007E-2</v>
      </c>
      <c r="G2834" s="10">
        <v>19361</v>
      </c>
      <c r="H2834">
        <v>4.22</v>
      </c>
      <c r="I2834" s="5">
        <f>ROUND(Marketing[[#This Row],[Clicks]]*Marketing[[#This Row],[Conversion_Rate]],0)</f>
        <v>46</v>
      </c>
      <c r="J2834" s="12">
        <f>Marketing[[#This Row],[Campaign_Cost]]/Marketing[[#This Row],[Customers]]</f>
        <v>420.89130434782606</v>
      </c>
      <c r="K2834" t="s">
        <v>19</v>
      </c>
      <c r="L2834" t="s">
        <v>39</v>
      </c>
      <c r="M2834">
        <v>654</v>
      </c>
      <c r="N2834">
        <v>4234</v>
      </c>
      <c r="O2834">
        <v>6</v>
      </c>
      <c r="P2834" t="s">
        <v>21</v>
      </c>
      <c r="Q2834" s="1">
        <v>44474</v>
      </c>
    </row>
    <row r="2835" spans="1:17" x14ac:dyDescent="0.3">
      <c r="A2835" t="s">
        <v>35</v>
      </c>
      <c r="B2835" t="s">
        <v>47</v>
      </c>
      <c r="C2835" t="s">
        <v>23</v>
      </c>
      <c r="D2835" t="s">
        <v>17</v>
      </c>
      <c r="E2835" t="s">
        <v>41</v>
      </c>
      <c r="F2835" s="9">
        <v>0.14000000000000001</v>
      </c>
      <c r="G2835" s="10">
        <v>12277</v>
      </c>
      <c r="H2835">
        <v>2.7</v>
      </c>
      <c r="I2835" s="5">
        <f>ROUND(Marketing[[#This Row],[Clicks]]*Marketing[[#This Row],[Conversion_Rate]],0)</f>
        <v>74</v>
      </c>
      <c r="J2835" s="12">
        <f>Marketing[[#This Row],[Campaign_Cost]]/Marketing[[#This Row],[Customers]]</f>
        <v>165.90540540540542</v>
      </c>
      <c r="K2835" t="s">
        <v>19</v>
      </c>
      <c r="L2835" t="s">
        <v>26</v>
      </c>
      <c r="M2835">
        <v>532</v>
      </c>
      <c r="N2835">
        <v>4114</v>
      </c>
      <c r="O2835">
        <v>9</v>
      </c>
      <c r="P2835" t="s">
        <v>44</v>
      </c>
      <c r="Q2835" s="1">
        <v>44475</v>
      </c>
    </row>
    <row r="2836" spans="1:17" x14ac:dyDescent="0.3">
      <c r="A2836" t="s">
        <v>14</v>
      </c>
      <c r="B2836" t="s">
        <v>29</v>
      </c>
      <c r="C2836" t="s">
        <v>52</v>
      </c>
      <c r="D2836" t="s">
        <v>17</v>
      </c>
      <c r="E2836" t="s">
        <v>41</v>
      </c>
      <c r="F2836" s="9">
        <v>0.14000000000000001</v>
      </c>
      <c r="G2836" s="10">
        <v>17623</v>
      </c>
      <c r="H2836">
        <v>5.56</v>
      </c>
      <c r="I2836" s="5">
        <f>ROUND(Marketing[[#This Row],[Clicks]]*Marketing[[#This Row],[Conversion_Rate]],0)</f>
        <v>90</v>
      </c>
      <c r="J2836" s="12">
        <f>Marketing[[#This Row],[Campaign_Cost]]/Marketing[[#This Row],[Customers]]</f>
        <v>195.8111111111111</v>
      </c>
      <c r="K2836" t="s">
        <v>38</v>
      </c>
      <c r="L2836" t="s">
        <v>20</v>
      </c>
      <c r="M2836">
        <v>646</v>
      </c>
      <c r="N2836">
        <v>4403</v>
      </c>
      <c r="O2836">
        <v>7</v>
      </c>
      <c r="P2836" t="s">
        <v>34</v>
      </c>
      <c r="Q2836" s="1">
        <v>44476</v>
      </c>
    </row>
    <row r="2837" spans="1:17" x14ac:dyDescent="0.3">
      <c r="A2837" t="s">
        <v>49</v>
      </c>
      <c r="B2837" t="s">
        <v>45</v>
      </c>
      <c r="C2837" t="s">
        <v>37</v>
      </c>
      <c r="D2837" t="s">
        <v>40</v>
      </c>
      <c r="E2837" t="s">
        <v>43</v>
      </c>
      <c r="F2837" s="9">
        <v>0.14000000000000001</v>
      </c>
      <c r="G2837" s="10">
        <v>12504</v>
      </c>
      <c r="H2837">
        <v>3.17</v>
      </c>
      <c r="I2837" s="5">
        <f>ROUND(Marketing[[#This Row],[Clicks]]*Marketing[[#This Row],[Conversion_Rate]],0)</f>
        <v>104</v>
      </c>
      <c r="J2837" s="12">
        <f>Marketing[[#This Row],[Campaign_Cost]]/Marketing[[#This Row],[Customers]]</f>
        <v>120.23076923076923</v>
      </c>
      <c r="K2837" t="s">
        <v>38</v>
      </c>
      <c r="L2837" t="s">
        <v>50</v>
      </c>
      <c r="M2837">
        <v>744</v>
      </c>
      <c r="N2837">
        <v>6212</v>
      </c>
      <c r="O2837">
        <v>2</v>
      </c>
      <c r="P2837" t="s">
        <v>44</v>
      </c>
      <c r="Q2837" s="1">
        <v>44477</v>
      </c>
    </row>
    <row r="2838" spans="1:17" x14ac:dyDescent="0.3">
      <c r="A2838" t="s">
        <v>28</v>
      </c>
      <c r="B2838" t="s">
        <v>45</v>
      </c>
      <c r="C2838" t="s">
        <v>37</v>
      </c>
      <c r="D2838" t="s">
        <v>46</v>
      </c>
      <c r="E2838" t="s">
        <v>48</v>
      </c>
      <c r="F2838" s="9">
        <v>0.1</v>
      </c>
      <c r="G2838" s="10">
        <v>16775</v>
      </c>
      <c r="H2838">
        <v>3.47</v>
      </c>
      <c r="I2838" s="5">
        <f>ROUND(Marketing[[#This Row],[Clicks]]*Marketing[[#This Row],[Conversion_Rate]],0)</f>
        <v>70</v>
      </c>
      <c r="J2838" s="12">
        <f>Marketing[[#This Row],[Campaign_Cost]]/Marketing[[#This Row],[Customers]]</f>
        <v>239.64285714285714</v>
      </c>
      <c r="K2838" t="s">
        <v>19</v>
      </c>
      <c r="L2838" t="s">
        <v>39</v>
      </c>
      <c r="M2838">
        <v>700</v>
      </c>
      <c r="N2838">
        <v>3749</v>
      </c>
      <c r="O2838">
        <v>1</v>
      </c>
      <c r="P2838" t="s">
        <v>27</v>
      </c>
      <c r="Q2838" s="1">
        <v>44478</v>
      </c>
    </row>
    <row r="2839" spans="1:17" x14ac:dyDescent="0.3">
      <c r="A2839" t="s">
        <v>35</v>
      </c>
      <c r="B2839" t="s">
        <v>47</v>
      </c>
      <c r="C2839" t="s">
        <v>52</v>
      </c>
      <c r="D2839" t="s">
        <v>46</v>
      </c>
      <c r="E2839" t="s">
        <v>15</v>
      </c>
      <c r="F2839" s="9">
        <v>0.09</v>
      </c>
      <c r="G2839" s="10">
        <v>15760</v>
      </c>
      <c r="H2839">
        <v>6.43</v>
      </c>
      <c r="I2839" s="5">
        <f>ROUND(Marketing[[#This Row],[Clicks]]*Marketing[[#This Row],[Conversion_Rate]],0)</f>
        <v>19</v>
      </c>
      <c r="J2839" s="12">
        <f>Marketing[[#This Row],[Campaign_Cost]]/Marketing[[#This Row],[Customers]]</f>
        <v>829.47368421052636</v>
      </c>
      <c r="K2839" t="s">
        <v>51</v>
      </c>
      <c r="L2839" t="s">
        <v>50</v>
      </c>
      <c r="M2839">
        <v>211</v>
      </c>
      <c r="N2839">
        <v>8667</v>
      </c>
      <c r="O2839">
        <v>5</v>
      </c>
      <c r="P2839" t="s">
        <v>44</v>
      </c>
      <c r="Q2839" s="1">
        <v>44479</v>
      </c>
    </row>
    <row r="2840" spans="1:17" x14ac:dyDescent="0.3">
      <c r="A2840" t="s">
        <v>35</v>
      </c>
      <c r="B2840" t="s">
        <v>45</v>
      </c>
      <c r="C2840" t="s">
        <v>30</v>
      </c>
      <c r="D2840" t="s">
        <v>24</v>
      </c>
      <c r="E2840" t="s">
        <v>41</v>
      </c>
      <c r="F2840" s="9">
        <v>0.04</v>
      </c>
      <c r="G2840" s="10">
        <v>16751</v>
      </c>
      <c r="H2840">
        <v>4.5199999999999996</v>
      </c>
      <c r="I2840" s="5">
        <f>ROUND(Marketing[[#This Row],[Clicks]]*Marketing[[#This Row],[Conversion_Rate]],0)</f>
        <v>27</v>
      </c>
      <c r="J2840" s="12">
        <f>Marketing[[#This Row],[Campaign_Cost]]/Marketing[[#This Row],[Customers]]</f>
        <v>620.40740740740739</v>
      </c>
      <c r="K2840" t="s">
        <v>25</v>
      </c>
      <c r="L2840" t="s">
        <v>26</v>
      </c>
      <c r="M2840">
        <v>663</v>
      </c>
      <c r="N2840">
        <v>4743</v>
      </c>
      <c r="O2840">
        <v>1</v>
      </c>
      <c r="P2840" t="s">
        <v>21</v>
      </c>
      <c r="Q2840" s="1">
        <v>44480</v>
      </c>
    </row>
    <row r="2841" spans="1:17" x14ac:dyDescent="0.3">
      <c r="A2841" t="s">
        <v>22</v>
      </c>
      <c r="B2841" t="s">
        <v>47</v>
      </c>
      <c r="C2841" t="s">
        <v>23</v>
      </c>
      <c r="D2841" t="s">
        <v>24</v>
      </c>
      <c r="E2841" t="s">
        <v>15</v>
      </c>
      <c r="F2841" s="9">
        <v>0.1</v>
      </c>
      <c r="G2841" s="10">
        <v>9612</v>
      </c>
      <c r="H2841">
        <v>3.6</v>
      </c>
      <c r="I2841" s="5">
        <f>ROUND(Marketing[[#This Row],[Clicks]]*Marketing[[#This Row],[Conversion_Rate]],0)</f>
        <v>63</v>
      </c>
      <c r="J2841" s="12">
        <f>Marketing[[#This Row],[Campaign_Cost]]/Marketing[[#This Row],[Customers]]</f>
        <v>152.57142857142858</v>
      </c>
      <c r="K2841" t="s">
        <v>32</v>
      </c>
      <c r="L2841" t="s">
        <v>33</v>
      </c>
      <c r="M2841">
        <v>630</v>
      </c>
      <c r="N2841">
        <v>1219</v>
      </c>
      <c r="O2841">
        <v>8</v>
      </c>
      <c r="P2841" t="s">
        <v>21</v>
      </c>
      <c r="Q2841" s="1">
        <v>44481</v>
      </c>
    </row>
    <row r="2842" spans="1:17" x14ac:dyDescent="0.3">
      <c r="A2842" t="s">
        <v>22</v>
      </c>
      <c r="B2842" t="s">
        <v>15</v>
      </c>
      <c r="C2842" t="s">
        <v>16</v>
      </c>
      <c r="D2842" t="s">
        <v>24</v>
      </c>
      <c r="E2842" t="s">
        <v>43</v>
      </c>
      <c r="F2842" s="9">
        <v>0.11</v>
      </c>
      <c r="G2842" s="10">
        <v>13033</v>
      </c>
      <c r="H2842">
        <v>3.37</v>
      </c>
      <c r="I2842" s="5">
        <f>ROUND(Marketing[[#This Row],[Clicks]]*Marketing[[#This Row],[Conversion_Rate]],0)</f>
        <v>40</v>
      </c>
      <c r="J2842" s="12">
        <f>Marketing[[#This Row],[Campaign_Cost]]/Marketing[[#This Row],[Customers]]</f>
        <v>325.82499999999999</v>
      </c>
      <c r="K2842" t="s">
        <v>51</v>
      </c>
      <c r="L2842" t="s">
        <v>20</v>
      </c>
      <c r="M2842">
        <v>368</v>
      </c>
      <c r="N2842">
        <v>7294</v>
      </c>
      <c r="O2842">
        <v>9</v>
      </c>
      <c r="P2842" t="s">
        <v>27</v>
      </c>
      <c r="Q2842" s="1">
        <v>44482</v>
      </c>
    </row>
    <row r="2843" spans="1:17" x14ac:dyDescent="0.3">
      <c r="A2843" t="s">
        <v>14</v>
      </c>
      <c r="B2843" t="s">
        <v>45</v>
      </c>
      <c r="C2843" t="s">
        <v>52</v>
      </c>
      <c r="D2843" t="s">
        <v>46</v>
      </c>
      <c r="E2843" t="s">
        <v>43</v>
      </c>
      <c r="F2843" s="9">
        <v>0.02</v>
      </c>
      <c r="G2843" s="10">
        <v>7900</v>
      </c>
      <c r="H2843">
        <v>5.89</v>
      </c>
      <c r="I2843" s="5">
        <f>ROUND(Marketing[[#This Row],[Clicks]]*Marketing[[#This Row],[Conversion_Rate]],0)</f>
        <v>7</v>
      </c>
      <c r="J2843" s="12">
        <f>Marketing[[#This Row],[Campaign_Cost]]/Marketing[[#This Row],[Customers]]</f>
        <v>1128.5714285714287</v>
      </c>
      <c r="K2843" t="s">
        <v>25</v>
      </c>
      <c r="L2843" t="s">
        <v>20</v>
      </c>
      <c r="M2843">
        <v>352</v>
      </c>
      <c r="N2843">
        <v>7020</v>
      </c>
      <c r="O2843">
        <v>10</v>
      </c>
      <c r="P2843" t="s">
        <v>27</v>
      </c>
      <c r="Q2843" s="1">
        <v>44483</v>
      </c>
    </row>
    <row r="2844" spans="1:17" x14ac:dyDescent="0.3">
      <c r="A2844" t="s">
        <v>49</v>
      </c>
      <c r="B2844" t="s">
        <v>47</v>
      </c>
      <c r="C2844" t="s">
        <v>30</v>
      </c>
      <c r="D2844" t="s">
        <v>24</v>
      </c>
      <c r="E2844" t="s">
        <v>43</v>
      </c>
      <c r="F2844" s="9">
        <v>0.12</v>
      </c>
      <c r="G2844" s="10">
        <v>19774</v>
      </c>
      <c r="H2844">
        <v>6.16</v>
      </c>
      <c r="I2844" s="5">
        <f>ROUND(Marketing[[#This Row],[Clicks]]*Marketing[[#This Row],[Conversion_Rate]],0)</f>
        <v>64</v>
      </c>
      <c r="J2844" s="12">
        <f>Marketing[[#This Row],[Campaign_Cost]]/Marketing[[#This Row],[Customers]]</f>
        <v>308.96875</v>
      </c>
      <c r="K2844" t="s">
        <v>51</v>
      </c>
      <c r="L2844" t="s">
        <v>39</v>
      </c>
      <c r="M2844">
        <v>530</v>
      </c>
      <c r="N2844">
        <v>6125</v>
      </c>
      <c r="O2844">
        <v>10</v>
      </c>
      <c r="P2844" t="s">
        <v>34</v>
      </c>
      <c r="Q2844" s="1">
        <v>44484</v>
      </c>
    </row>
    <row r="2845" spans="1:17" x14ac:dyDescent="0.3">
      <c r="A2845" t="s">
        <v>22</v>
      </c>
      <c r="B2845" t="s">
        <v>36</v>
      </c>
      <c r="C2845" t="s">
        <v>37</v>
      </c>
      <c r="D2845" t="s">
        <v>40</v>
      </c>
      <c r="E2845" t="s">
        <v>43</v>
      </c>
      <c r="F2845" s="9">
        <v>0.01</v>
      </c>
      <c r="G2845" s="10">
        <v>9447</v>
      </c>
      <c r="H2845">
        <v>6.62</v>
      </c>
      <c r="I2845" s="5">
        <f>ROUND(Marketing[[#This Row],[Clicks]]*Marketing[[#This Row],[Conversion_Rate]],0)</f>
        <v>9</v>
      </c>
      <c r="J2845" s="12">
        <f>Marketing[[#This Row],[Campaign_Cost]]/Marketing[[#This Row],[Customers]]</f>
        <v>1049.6666666666667</v>
      </c>
      <c r="K2845" t="s">
        <v>38</v>
      </c>
      <c r="L2845" t="s">
        <v>20</v>
      </c>
      <c r="M2845">
        <v>873</v>
      </c>
      <c r="N2845">
        <v>9058</v>
      </c>
      <c r="O2845">
        <v>8</v>
      </c>
      <c r="P2845" t="s">
        <v>42</v>
      </c>
      <c r="Q2845" s="1">
        <v>44485</v>
      </c>
    </row>
    <row r="2846" spans="1:17" x14ac:dyDescent="0.3">
      <c r="A2846" t="s">
        <v>28</v>
      </c>
      <c r="B2846" t="s">
        <v>47</v>
      </c>
      <c r="C2846" t="s">
        <v>52</v>
      </c>
      <c r="D2846" t="s">
        <v>40</v>
      </c>
      <c r="E2846" t="s">
        <v>15</v>
      </c>
      <c r="F2846" s="9">
        <v>0.04</v>
      </c>
      <c r="G2846" s="10">
        <v>9323</v>
      </c>
      <c r="H2846">
        <v>6.87</v>
      </c>
      <c r="I2846" s="5">
        <f>ROUND(Marketing[[#This Row],[Clicks]]*Marketing[[#This Row],[Conversion_Rate]],0)</f>
        <v>30</v>
      </c>
      <c r="J2846" s="12">
        <f>Marketing[[#This Row],[Campaign_Cost]]/Marketing[[#This Row],[Customers]]</f>
        <v>310.76666666666665</v>
      </c>
      <c r="K2846" t="s">
        <v>32</v>
      </c>
      <c r="L2846" t="s">
        <v>33</v>
      </c>
      <c r="M2846">
        <v>754</v>
      </c>
      <c r="N2846">
        <v>9739</v>
      </c>
      <c r="O2846">
        <v>4</v>
      </c>
      <c r="P2846" t="s">
        <v>44</v>
      </c>
      <c r="Q2846" s="1">
        <v>44486</v>
      </c>
    </row>
    <row r="2847" spans="1:17" x14ac:dyDescent="0.3">
      <c r="A2847" t="s">
        <v>49</v>
      </c>
      <c r="B2847" t="s">
        <v>36</v>
      </c>
      <c r="C2847" t="s">
        <v>23</v>
      </c>
      <c r="D2847" t="s">
        <v>46</v>
      </c>
      <c r="E2847" t="s">
        <v>18</v>
      </c>
      <c r="F2847" s="9">
        <v>0.01</v>
      </c>
      <c r="G2847" s="10">
        <v>9584</v>
      </c>
      <c r="H2847">
        <v>4.5999999999999996</v>
      </c>
      <c r="I2847" s="5">
        <f>ROUND(Marketing[[#This Row],[Clicks]]*Marketing[[#This Row],[Conversion_Rate]],0)</f>
        <v>7</v>
      </c>
      <c r="J2847" s="12">
        <f>Marketing[[#This Row],[Campaign_Cost]]/Marketing[[#This Row],[Customers]]</f>
        <v>1369.1428571428571</v>
      </c>
      <c r="K2847" t="s">
        <v>19</v>
      </c>
      <c r="L2847" t="s">
        <v>26</v>
      </c>
      <c r="M2847">
        <v>739</v>
      </c>
      <c r="N2847">
        <v>9682</v>
      </c>
      <c r="O2847">
        <v>2</v>
      </c>
      <c r="P2847" t="s">
        <v>44</v>
      </c>
      <c r="Q2847" s="1">
        <v>44487</v>
      </c>
    </row>
    <row r="2848" spans="1:17" x14ac:dyDescent="0.3">
      <c r="A2848" t="s">
        <v>14</v>
      </c>
      <c r="B2848" t="s">
        <v>36</v>
      </c>
      <c r="C2848" t="s">
        <v>23</v>
      </c>
      <c r="D2848" t="s">
        <v>17</v>
      </c>
      <c r="E2848" t="s">
        <v>41</v>
      </c>
      <c r="F2848" s="9">
        <v>0.03</v>
      </c>
      <c r="G2848" s="10">
        <v>19573</v>
      </c>
      <c r="H2848">
        <v>3.1</v>
      </c>
      <c r="I2848" s="5">
        <f>ROUND(Marketing[[#This Row],[Clicks]]*Marketing[[#This Row],[Conversion_Rate]],0)</f>
        <v>21</v>
      </c>
      <c r="J2848" s="12">
        <f>Marketing[[#This Row],[Campaign_Cost]]/Marketing[[#This Row],[Customers]]</f>
        <v>932.04761904761904</v>
      </c>
      <c r="K2848" t="s">
        <v>25</v>
      </c>
      <c r="L2848" t="s">
        <v>39</v>
      </c>
      <c r="M2848">
        <v>689</v>
      </c>
      <c r="N2848">
        <v>3648</v>
      </c>
      <c r="O2848">
        <v>5</v>
      </c>
      <c r="P2848" t="s">
        <v>27</v>
      </c>
      <c r="Q2848" s="1">
        <v>44488</v>
      </c>
    </row>
    <row r="2849" spans="1:17" x14ac:dyDescent="0.3">
      <c r="A2849" t="s">
        <v>22</v>
      </c>
      <c r="B2849" t="s">
        <v>29</v>
      </c>
      <c r="C2849" t="s">
        <v>30</v>
      </c>
      <c r="D2849" t="s">
        <v>46</v>
      </c>
      <c r="E2849" t="s">
        <v>15</v>
      </c>
      <c r="F2849" s="9">
        <v>0.04</v>
      </c>
      <c r="G2849" s="10">
        <v>18916</v>
      </c>
      <c r="H2849">
        <v>3.85</v>
      </c>
      <c r="I2849" s="5">
        <f>ROUND(Marketing[[#This Row],[Clicks]]*Marketing[[#This Row],[Conversion_Rate]],0)</f>
        <v>29</v>
      </c>
      <c r="J2849" s="12">
        <f>Marketing[[#This Row],[Campaign_Cost]]/Marketing[[#This Row],[Customers]]</f>
        <v>652.27586206896547</v>
      </c>
      <c r="K2849" t="s">
        <v>25</v>
      </c>
      <c r="L2849" t="s">
        <v>39</v>
      </c>
      <c r="M2849">
        <v>726</v>
      </c>
      <c r="N2849">
        <v>5180</v>
      </c>
      <c r="O2849">
        <v>5</v>
      </c>
      <c r="P2849" t="s">
        <v>44</v>
      </c>
      <c r="Q2849" s="1">
        <v>44489</v>
      </c>
    </row>
    <row r="2850" spans="1:17" x14ac:dyDescent="0.3">
      <c r="A2850" t="s">
        <v>14</v>
      </c>
      <c r="B2850" t="s">
        <v>29</v>
      </c>
      <c r="C2850" t="s">
        <v>23</v>
      </c>
      <c r="D2850" t="s">
        <v>24</v>
      </c>
      <c r="E2850" t="s">
        <v>15</v>
      </c>
      <c r="F2850" s="9">
        <v>0.1</v>
      </c>
      <c r="G2850" s="10">
        <v>13220</v>
      </c>
      <c r="H2850">
        <v>6.85</v>
      </c>
      <c r="I2850" s="5">
        <f>ROUND(Marketing[[#This Row],[Clicks]]*Marketing[[#This Row],[Conversion_Rate]],0)</f>
        <v>68</v>
      </c>
      <c r="J2850" s="12">
        <f>Marketing[[#This Row],[Campaign_Cost]]/Marketing[[#This Row],[Customers]]</f>
        <v>194.41176470588235</v>
      </c>
      <c r="K2850" t="s">
        <v>19</v>
      </c>
      <c r="L2850" t="s">
        <v>39</v>
      </c>
      <c r="M2850">
        <v>680</v>
      </c>
      <c r="N2850">
        <v>6580</v>
      </c>
      <c r="O2850">
        <v>3</v>
      </c>
      <c r="P2850" t="s">
        <v>44</v>
      </c>
      <c r="Q2850" s="1">
        <v>44490</v>
      </c>
    </row>
    <row r="2851" spans="1:17" x14ac:dyDescent="0.3">
      <c r="A2851" t="s">
        <v>14</v>
      </c>
      <c r="B2851" t="s">
        <v>15</v>
      </c>
      <c r="C2851" t="s">
        <v>37</v>
      </c>
      <c r="D2851" t="s">
        <v>24</v>
      </c>
      <c r="E2851" t="s">
        <v>18</v>
      </c>
      <c r="F2851" s="9">
        <v>0.09</v>
      </c>
      <c r="G2851" s="10">
        <v>15167</v>
      </c>
      <c r="H2851">
        <v>7.84</v>
      </c>
      <c r="I2851" s="5">
        <f>ROUND(Marketing[[#This Row],[Clicks]]*Marketing[[#This Row],[Conversion_Rate]],0)</f>
        <v>81</v>
      </c>
      <c r="J2851" s="12">
        <f>Marketing[[#This Row],[Campaign_Cost]]/Marketing[[#This Row],[Customers]]</f>
        <v>187.24691358024691</v>
      </c>
      <c r="K2851" t="s">
        <v>32</v>
      </c>
      <c r="L2851" t="s">
        <v>26</v>
      </c>
      <c r="M2851">
        <v>903</v>
      </c>
      <c r="N2851">
        <v>5320</v>
      </c>
      <c r="O2851">
        <v>3</v>
      </c>
      <c r="P2851" t="s">
        <v>21</v>
      </c>
      <c r="Q2851" s="1">
        <v>44491</v>
      </c>
    </row>
    <row r="2852" spans="1:17" x14ac:dyDescent="0.3">
      <c r="A2852" t="s">
        <v>28</v>
      </c>
      <c r="B2852" t="s">
        <v>47</v>
      </c>
      <c r="C2852" t="s">
        <v>52</v>
      </c>
      <c r="D2852" t="s">
        <v>24</v>
      </c>
      <c r="E2852" t="s">
        <v>31</v>
      </c>
      <c r="F2852" s="9">
        <v>0.01</v>
      </c>
      <c r="G2852" s="10">
        <v>18509</v>
      </c>
      <c r="H2852">
        <v>7.46</v>
      </c>
      <c r="I2852" s="5">
        <f>ROUND(Marketing[[#This Row],[Clicks]]*Marketing[[#This Row],[Conversion_Rate]],0)</f>
        <v>5</v>
      </c>
      <c r="J2852" s="12">
        <f>Marketing[[#This Row],[Campaign_Cost]]/Marketing[[#This Row],[Customers]]</f>
        <v>3701.8</v>
      </c>
      <c r="K2852" t="s">
        <v>19</v>
      </c>
      <c r="L2852" t="s">
        <v>39</v>
      </c>
      <c r="M2852">
        <v>528</v>
      </c>
      <c r="N2852">
        <v>5076</v>
      </c>
      <c r="O2852">
        <v>6</v>
      </c>
      <c r="P2852" t="s">
        <v>27</v>
      </c>
      <c r="Q2852" s="1">
        <v>44492</v>
      </c>
    </row>
    <row r="2853" spans="1:17" x14ac:dyDescent="0.3">
      <c r="A2853" t="s">
        <v>22</v>
      </c>
      <c r="B2853" t="s">
        <v>29</v>
      </c>
      <c r="C2853" t="s">
        <v>52</v>
      </c>
      <c r="D2853" t="s">
        <v>46</v>
      </c>
      <c r="E2853" t="s">
        <v>15</v>
      </c>
      <c r="F2853" s="9">
        <v>0.08</v>
      </c>
      <c r="G2853" s="10">
        <v>5581</v>
      </c>
      <c r="H2853">
        <v>7.32</v>
      </c>
      <c r="I2853" s="5">
        <f>ROUND(Marketing[[#This Row],[Clicks]]*Marketing[[#This Row],[Conversion_Rate]],0)</f>
        <v>26</v>
      </c>
      <c r="J2853" s="12">
        <f>Marketing[[#This Row],[Campaign_Cost]]/Marketing[[#This Row],[Customers]]</f>
        <v>214.65384615384616</v>
      </c>
      <c r="K2853" t="s">
        <v>38</v>
      </c>
      <c r="L2853" t="s">
        <v>50</v>
      </c>
      <c r="M2853">
        <v>328</v>
      </c>
      <c r="N2853">
        <v>3734</v>
      </c>
      <c r="O2853">
        <v>6</v>
      </c>
      <c r="P2853" t="s">
        <v>44</v>
      </c>
      <c r="Q2853" s="1">
        <v>44493</v>
      </c>
    </row>
    <row r="2854" spans="1:17" x14ac:dyDescent="0.3">
      <c r="A2854" t="s">
        <v>49</v>
      </c>
      <c r="B2854" t="s">
        <v>47</v>
      </c>
      <c r="C2854" t="s">
        <v>37</v>
      </c>
      <c r="D2854" t="s">
        <v>17</v>
      </c>
      <c r="E2854" t="s">
        <v>41</v>
      </c>
      <c r="F2854" s="9">
        <v>0.03</v>
      </c>
      <c r="G2854" s="10">
        <v>18472</v>
      </c>
      <c r="H2854">
        <v>3.5</v>
      </c>
      <c r="I2854" s="5">
        <f>ROUND(Marketing[[#This Row],[Clicks]]*Marketing[[#This Row],[Conversion_Rate]],0)</f>
        <v>14</v>
      </c>
      <c r="J2854" s="12">
        <f>Marketing[[#This Row],[Campaign_Cost]]/Marketing[[#This Row],[Customers]]</f>
        <v>1319.4285714285713</v>
      </c>
      <c r="K2854" t="s">
        <v>51</v>
      </c>
      <c r="L2854" t="s">
        <v>33</v>
      </c>
      <c r="M2854">
        <v>455</v>
      </c>
      <c r="N2854">
        <v>9684</v>
      </c>
      <c r="O2854">
        <v>8</v>
      </c>
      <c r="P2854" t="s">
        <v>21</v>
      </c>
      <c r="Q2854" s="1">
        <v>44494</v>
      </c>
    </row>
    <row r="2855" spans="1:17" x14ac:dyDescent="0.3">
      <c r="A2855" t="s">
        <v>14</v>
      </c>
      <c r="B2855" t="s">
        <v>47</v>
      </c>
      <c r="C2855" t="s">
        <v>16</v>
      </c>
      <c r="D2855" t="s">
        <v>17</v>
      </c>
      <c r="E2855" t="s">
        <v>15</v>
      </c>
      <c r="F2855" s="9">
        <v>0.01</v>
      </c>
      <c r="G2855" s="10">
        <v>18531</v>
      </c>
      <c r="H2855">
        <v>3.12</v>
      </c>
      <c r="I2855" s="5">
        <f>ROUND(Marketing[[#This Row],[Clicks]]*Marketing[[#This Row],[Conversion_Rate]],0)</f>
        <v>6</v>
      </c>
      <c r="J2855" s="12">
        <f>Marketing[[#This Row],[Campaign_Cost]]/Marketing[[#This Row],[Customers]]</f>
        <v>3088.5</v>
      </c>
      <c r="K2855" t="s">
        <v>38</v>
      </c>
      <c r="L2855" t="s">
        <v>39</v>
      </c>
      <c r="M2855">
        <v>612</v>
      </c>
      <c r="N2855">
        <v>4245</v>
      </c>
      <c r="O2855">
        <v>2</v>
      </c>
      <c r="P2855" t="s">
        <v>44</v>
      </c>
      <c r="Q2855" s="1">
        <v>44495</v>
      </c>
    </row>
    <row r="2856" spans="1:17" x14ac:dyDescent="0.3">
      <c r="A2856" t="s">
        <v>28</v>
      </c>
      <c r="B2856" t="s">
        <v>29</v>
      </c>
      <c r="C2856" t="s">
        <v>23</v>
      </c>
      <c r="D2856" t="s">
        <v>24</v>
      </c>
      <c r="E2856" t="s">
        <v>15</v>
      </c>
      <c r="F2856" s="9">
        <v>0.08</v>
      </c>
      <c r="G2856" s="10">
        <v>6045</v>
      </c>
      <c r="H2856">
        <v>2.41</v>
      </c>
      <c r="I2856" s="5">
        <f>ROUND(Marketing[[#This Row],[Clicks]]*Marketing[[#This Row],[Conversion_Rate]],0)</f>
        <v>37</v>
      </c>
      <c r="J2856" s="12">
        <f>Marketing[[#This Row],[Campaign_Cost]]/Marketing[[#This Row],[Customers]]</f>
        <v>163.37837837837839</v>
      </c>
      <c r="K2856" t="s">
        <v>51</v>
      </c>
      <c r="L2856" t="s">
        <v>33</v>
      </c>
      <c r="M2856">
        <v>463</v>
      </c>
      <c r="N2856">
        <v>2881</v>
      </c>
      <c r="O2856">
        <v>10</v>
      </c>
      <c r="P2856" t="s">
        <v>34</v>
      </c>
      <c r="Q2856" s="1">
        <v>44496</v>
      </c>
    </row>
    <row r="2857" spans="1:17" x14ac:dyDescent="0.3">
      <c r="A2857" t="s">
        <v>49</v>
      </c>
      <c r="B2857" t="s">
        <v>45</v>
      </c>
      <c r="C2857" t="s">
        <v>37</v>
      </c>
      <c r="D2857" t="s">
        <v>46</v>
      </c>
      <c r="E2857" t="s">
        <v>15</v>
      </c>
      <c r="F2857" s="9">
        <v>0.01</v>
      </c>
      <c r="G2857" s="10">
        <v>5121</v>
      </c>
      <c r="H2857">
        <v>3</v>
      </c>
      <c r="I2857" s="5">
        <f>ROUND(Marketing[[#This Row],[Clicks]]*Marketing[[#This Row],[Conversion_Rate]],0)</f>
        <v>5</v>
      </c>
      <c r="J2857" s="12">
        <f>Marketing[[#This Row],[Campaign_Cost]]/Marketing[[#This Row],[Customers]]</f>
        <v>1024.2</v>
      </c>
      <c r="K2857" t="s">
        <v>25</v>
      </c>
      <c r="L2857" t="s">
        <v>33</v>
      </c>
      <c r="M2857">
        <v>520</v>
      </c>
      <c r="N2857">
        <v>7176</v>
      </c>
      <c r="O2857">
        <v>1</v>
      </c>
      <c r="P2857" t="s">
        <v>27</v>
      </c>
      <c r="Q2857" s="1">
        <v>44497</v>
      </c>
    </row>
    <row r="2858" spans="1:17" x14ac:dyDescent="0.3">
      <c r="A2858" t="s">
        <v>28</v>
      </c>
      <c r="B2858" t="s">
        <v>29</v>
      </c>
      <c r="C2858" t="s">
        <v>30</v>
      </c>
      <c r="D2858" t="s">
        <v>17</v>
      </c>
      <c r="E2858" t="s">
        <v>43</v>
      </c>
      <c r="F2858" s="9">
        <v>0.01</v>
      </c>
      <c r="G2858" s="10">
        <v>18378</v>
      </c>
      <c r="H2858">
        <v>2.97</v>
      </c>
      <c r="I2858" s="5">
        <f>ROUND(Marketing[[#This Row],[Clicks]]*Marketing[[#This Row],[Conversion_Rate]],0)</f>
        <v>10</v>
      </c>
      <c r="J2858" s="12">
        <f>Marketing[[#This Row],[Campaign_Cost]]/Marketing[[#This Row],[Customers]]</f>
        <v>1837.8</v>
      </c>
      <c r="K2858" t="s">
        <v>51</v>
      </c>
      <c r="L2858" t="s">
        <v>39</v>
      </c>
      <c r="M2858">
        <v>962</v>
      </c>
      <c r="N2858">
        <v>2796</v>
      </c>
      <c r="O2858">
        <v>2</v>
      </c>
      <c r="P2858" t="s">
        <v>42</v>
      </c>
      <c r="Q2858" s="1">
        <v>44498</v>
      </c>
    </row>
    <row r="2859" spans="1:17" x14ac:dyDescent="0.3">
      <c r="A2859" t="s">
        <v>35</v>
      </c>
      <c r="B2859" t="s">
        <v>15</v>
      </c>
      <c r="C2859" t="s">
        <v>30</v>
      </c>
      <c r="D2859" t="s">
        <v>40</v>
      </c>
      <c r="E2859" t="s">
        <v>48</v>
      </c>
      <c r="F2859" s="9">
        <v>0.14000000000000001</v>
      </c>
      <c r="G2859" s="10">
        <v>19479</v>
      </c>
      <c r="H2859">
        <v>2.11</v>
      </c>
      <c r="I2859" s="5">
        <f>ROUND(Marketing[[#This Row],[Clicks]]*Marketing[[#This Row],[Conversion_Rate]],0)</f>
        <v>64</v>
      </c>
      <c r="J2859" s="12">
        <f>Marketing[[#This Row],[Campaign_Cost]]/Marketing[[#This Row],[Customers]]</f>
        <v>304.359375</v>
      </c>
      <c r="K2859" t="s">
        <v>19</v>
      </c>
      <c r="L2859" t="s">
        <v>20</v>
      </c>
      <c r="M2859">
        <v>458</v>
      </c>
      <c r="N2859">
        <v>3994</v>
      </c>
      <c r="O2859">
        <v>9</v>
      </c>
      <c r="P2859" t="s">
        <v>34</v>
      </c>
      <c r="Q2859" s="1">
        <v>44499</v>
      </c>
    </row>
    <row r="2860" spans="1:17" x14ac:dyDescent="0.3">
      <c r="A2860" t="s">
        <v>35</v>
      </c>
      <c r="B2860" t="s">
        <v>45</v>
      </c>
      <c r="C2860" t="s">
        <v>52</v>
      </c>
      <c r="D2860" t="s">
        <v>46</v>
      </c>
      <c r="E2860" t="s">
        <v>43</v>
      </c>
      <c r="F2860" s="9">
        <v>7.0000000000000007E-2</v>
      </c>
      <c r="G2860" s="10">
        <v>17661</v>
      </c>
      <c r="H2860">
        <v>2.69</v>
      </c>
      <c r="I2860" s="5">
        <f>ROUND(Marketing[[#This Row],[Clicks]]*Marketing[[#This Row],[Conversion_Rate]],0)</f>
        <v>34</v>
      </c>
      <c r="J2860" s="12">
        <f>Marketing[[#This Row],[Campaign_Cost]]/Marketing[[#This Row],[Customers]]</f>
        <v>519.44117647058829</v>
      </c>
      <c r="K2860" t="s">
        <v>38</v>
      </c>
      <c r="L2860" t="s">
        <v>39</v>
      </c>
      <c r="M2860">
        <v>482</v>
      </c>
      <c r="N2860">
        <v>1065</v>
      </c>
      <c r="O2860">
        <v>7</v>
      </c>
      <c r="P2860" t="s">
        <v>42</v>
      </c>
      <c r="Q2860" s="1">
        <v>44500</v>
      </c>
    </row>
    <row r="2861" spans="1:17" x14ac:dyDescent="0.3">
      <c r="A2861" t="s">
        <v>22</v>
      </c>
      <c r="B2861" t="s">
        <v>47</v>
      </c>
      <c r="C2861" t="s">
        <v>37</v>
      </c>
      <c r="D2861" t="s">
        <v>46</v>
      </c>
      <c r="E2861" t="s">
        <v>43</v>
      </c>
      <c r="F2861" s="9">
        <v>7.0000000000000007E-2</v>
      </c>
      <c r="G2861" s="10">
        <v>16328</v>
      </c>
      <c r="H2861">
        <v>4.63</v>
      </c>
      <c r="I2861" s="5">
        <f>ROUND(Marketing[[#This Row],[Clicks]]*Marketing[[#This Row],[Conversion_Rate]],0)</f>
        <v>33</v>
      </c>
      <c r="J2861" s="12">
        <f>Marketing[[#This Row],[Campaign_Cost]]/Marketing[[#This Row],[Customers]]</f>
        <v>494.78787878787881</v>
      </c>
      <c r="K2861" t="s">
        <v>51</v>
      </c>
      <c r="L2861" t="s">
        <v>39</v>
      </c>
      <c r="M2861">
        <v>470</v>
      </c>
      <c r="N2861">
        <v>7098</v>
      </c>
      <c r="O2861">
        <v>3</v>
      </c>
      <c r="P2861" t="s">
        <v>34</v>
      </c>
      <c r="Q2861" s="1">
        <v>44501</v>
      </c>
    </row>
    <row r="2862" spans="1:17" x14ac:dyDescent="0.3">
      <c r="A2862" t="s">
        <v>49</v>
      </c>
      <c r="B2862" t="s">
        <v>45</v>
      </c>
      <c r="C2862" t="s">
        <v>30</v>
      </c>
      <c r="D2862" t="s">
        <v>24</v>
      </c>
      <c r="E2862" t="s">
        <v>48</v>
      </c>
      <c r="F2862" s="9">
        <v>0.15</v>
      </c>
      <c r="G2862" s="10">
        <v>10184</v>
      </c>
      <c r="H2862">
        <v>3.14</v>
      </c>
      <c r="I2862" s="5">
        <f>ROUND(Marketing[[#This Row],[Clicks]]*Marketing[[#This Row],[Conversion_Rate]],0)</f>
        <v>49</v>
      </c>
      <c r="J2862" s="12">
        <f>Marketing[[#This Row],[Campaign_Cost]]/Marketing[[#This Row],[Customers]]</f>
        <v>207.83673469387756</v>
      </c>
      <c r="K2862" t="s">
        <v>25</v>
      </c>
      <c r="L2862" t="s">
        <v>20</v>
      </c>
      <c r="M2862">
        <v>329</v>
      </c>
      <c r="N2862">
        <v>2425</v>
      </c>
      <c r="O2862">
        <v>4</v>
      </c>
      <c r="P2862" t="s">
        <v>44</v>
      </c>
      <c r="Q2862" s="1">
        <v>44502</v>
      </c>
    </row>
    <row r="2863" spans="1:17" x14ac:dyDescent="0.3">
      <c r="A2863" t="s">
        <v>35</v>
      </c>
      <c r="B2863" t="s">
        <v>15</v>
      </c>
      <c r="C2863" t="s">
        <v>37</v>
      </c>
      <c r="D2863" t="s">
        <v>40</v>
      </c>
      <c r="E2863" t="s">
        <v>43</v>
      </c>
      <c r="F2863" s="9">
        <v>0.11</v>
      </c>
      <c r="G2863" s="10">
        <v>6014</v>
      </c>
      <c r="H2863">
        <v>3.73</v>
      </c>
      <c r="I2863" s="5">
        <f>ROUND(Marketing[[#This Row],[Clicks]]*Marketing[[#This Row],[Conversion_Rate]],0)</f>
        <v>15</v>
      </c>
      <c r="J2863" s="12">
        <f>Marketing[[#This Row],[Campaign_Cost]]/Marketing[[#This Row],[Customers]]</f>
        <v>400.93333333333334</v>
      </c>
      <c r="K2863" t="s">
        <v>25</v>
      </c>
      <c r="L2863" t="s">
        <v>20</v>
      </c>
      <c r="M2863">
        <v>135</v>
      </c>
      <c r="N2863">
        <v>9645</v>
      </c>
      <c r="O2863">
        <v>2</v>
      </c>
      <c r="P2863" t="s">
        <v>27</v>
      </c>
      <c r="Q2863" s="1">
        <v>44503</v>
      </c>
    </row>
    <row r="2864" spans="1:17" x14ac:dyDescent="0.3">
      <c r="A2864" t="s">
        <v>14</v>
      </c>
      <c r="B2864" t="s">
        <v>36</v>
      </c>
      <c r="C2864" t="s">
        <v>37</v>
      </c>
      <c r="D2864" t="s">
        <v>17</v>
      </c>
      <c r="E2864" t="s">
        <v>31</v>
      </c>
      <c r="F2864" s="9">
        <v>0.04</v>
      </c>
      <c r="G2864" s="10">
        <v>10884</v>
      </c>
      <c r="H2864">
        <v>2.5099999999999998</v>
      </c>
      <c r="I2864" s="5">
        <f>ROUND(Marketing[[#This Row],[Clicks]]*Marketing[[#This Row],[Conversion_Rate]],0)</f>
        <v>32</v>
      </c>
      <c r="J2864" s="12">
        <f>Marketing[[#This Row],[Campaign_Cost]]/Marketing[[#This Row],[Customers]]</f>
        <v>340.125</v>
      </c>
      <c r="K2864" t="s">
        <v>38</v>
      </c>
      <c r="L2864" t="s">
        <v>26</v>
      </c>
      <c r="M2864">
        <v>804</v>
      </c>
      <c r="N2864">
        <v>6427</v>
      </c>
      <c r="O2864">
        <v>6</v>
      </c>
      <c r="P2864" t="s">
        <v>21</v>
      </c>
      <c r="Q2864" s="1">
        <v>44504</v>
      </c>
    </row>
    <row r="2865" spans="1:17" x14ac:dyDescent="0.3">
      <c r="A2865" t="s">
        <v>49</v>
      </c>
      <c r="B2865" t="s">
        <v>47</v>
      </c>
      <c r="C2865" t="s">
        <v>30</v>
      </c>
      <c r="D2865" t="s">
        <v>40</v>
      </c>
      <c r="E2865" t="s">
        <v>41</v>
      </c>
      <c r="F2865" s="9">
        <v>0.02</v>
      </c>
      <c r="G2865" s="10">
        <v>12227</v>
      </c>
      <c r="H2865">
        <v>7.47</v>
      </c>
      <c r="I2865" s="5">
        <f>ROUND(Marketing[[#This Row],[Clicks]]*Marketing[[#This Row],[Conversion_Rate]],0)</f>
        <v>4</v>
      </c>
      <c r="J2865" s="12">
        <f>Marketing[[#This Row],[Campaign_Cost]]/Marketing[[#This Row],[Customers]]</f>
        <v>3056.75</v>
      </c>
      <c r="K2865" t="s">
        <v>38</v>
      </c>
      <c r="L2865" t="s">
        <v>20</v>
      </c>
      <c r="M2865">
        <v>199</v>
      </c>
      <c r="N2865">
        <v>3263</v>
      </c>
      <c r="O2865">
        <v>6</v>
      </c>
      <c r="P2865" t="s">
        <v>34</v>
      </c>
      <c r="Q2865" s="1">
        <v>44505</v>
      </c>
    </row>
    <row r="2866" spans="1:17" x14ac:dyDescent="0.3">
      <c r="A2866" t="s">
        <v>22</v>
      </c>
      <c r="B2866" t="s">
        <v>15</v>
      </c>
      <c r="C2866" t="s">
        <v>30</v>
      </c>
      <c r="D2866" t="s">
        <v>40</v>
      </c>
      <c r="E2866" t="s">
        <v>18</v>
      </c>
      <c r="F2866" s="9">
        <v>0.15</v>
      </c>
      <c r="G2866" s="10">
        <v>10342</v>
      </c>
      <c r="H2866">
        <v>3.88</v>
      </c>
      <c r="I2866" s="5">
        <f>ROUND(Marketing[[#This Row],[Clicks]]*Marketing[[#This Row],[Conversion_Rate]],0)</f>
        <v>72</v>
      </c>
      <c r="J2866" s="12">
        <f>Marketing[[#This Row],[Campaign_Cost]]/Marketing[[#This Row],[Customers]]</f>
        <v>143.63888888888889</v>
      </c>
      <c r="K2866" t="s">
        <v>38</v>
      </c>
      <c r="L2866" t="s">
        <v>33</v>
      </c>
      <c r="M2866">
        <v>477</v>
      </c>
      <c r="N2866">
        <v>1591</v>
      </c>
      <c r="O2866">
        <v>9</v>
      </c>
      <c r="P2866" t="s">
        <v>27</v>
      </c>
      <c r="Q2866" s="1">
        <v>44506</v>
      </c>
    </row>
    <row r="2867" spans="1:17" x14ac:dyDescent="0.3">
      <c r="A2867" t="s">
        <v>22</v>
      </c>
      <c r="B2867" t="s">
        <v>29</v>
      </c>
      <c r="C2867" t="s">
        <v>23</v>
      </c>
      <c r="D2867" t="s">
        <v>24</v>
      </c>
      <c r="E2867" t="s">
        <v>15</v>
      </c>
      <c r="F2867" s="9">
        <v>0.06</v>
      </c>
      <c r="G2867" s="10">
        <v>17667</v>
      </c>
      <c r="H2867">
        <v>3.45</v>
      </c>
      <c r="I2867" s="5">
        <f>ROUND(Marketing[[#This Row],[Clicks]]*Marketing[[#This Row],[Conversion_Rate]],0)</f>
        <v>33</v>
      </c>
      <c r="J2867" s="12">
        <f>Marketing[[#This Row],[Campaign_Cost]]/Marketing[[#This Row],[Customers]]</f>
        <v>535.36363636363637</v>
      </c>
      <c r="K2867" t="s">
        <v>32</v>
      </c>
      <c r="L2867" t="s">
        <v>39</v>
      </c>
      <c r="M2867">
        <v>544</v>
      </c>
      <c r="N2867">
        <v>7065</v>
      </c>
      <c r="O2867">
        <v>1</v>
      </c>
      <c r="P2867" t="s">
        <v>44</v>
      </c>
      <c r="Q2867" s="1">
        <v>44507</v>
      </c>
    </row>
    <row r="2868" spans="1:17" x14ac:dyDescent="0.3">
      <c r="A2868" t="s">
        <v>14</v>
      </c>
      <c r="B2868" t="s">
        <v>36</v>
      </c>
      <c r="C2868" t="s">
        <v>52</v>
      </c>
      <c r="D2868" t="s">
        <v>17</v>
      </c>
      <c r="E2868" t="s">
        <v>48</v>
      </c>
      <c r="F2868" s="9">
        <v>0.05</v>
      </c>
      <c r="G2868" s="10">
        <v>15661</v>
      </c>
      <c r="H2868">
        <v>7.74</v>
      </c>
      <c r="I2868" s="5">
        <f>ROUND(Marketing[[#This Row],[Clicks]]*Marketing[[#This Row],[Conversion_Rate]],0)</f>
        <v>17</v>
      </c>
      <c r="J2868" s="12">
        <f>Marketing[[#This Row],[Campaign_Cost]]/Marketing[[#This Row],[Customers]]</f>
        <v>921.23529411764707</v>
      </c>
      <c r="K2868" t="s">
        <v>51</v>
      </c>
      <c r="L2868" t="s">
        <v>39</v>
      </c>
      <c r="M2868">
        <v>335</v>
      </c>
      <c r="N2868">
        <v>8022</v>
      </c>
      <c r="O2868">
        <v>2</v>
      </c>
      <c r="P2868" t="s">
        <v>27</v>
      </c>
      <c r="Q2868" s="1">
        <v>44508</v>
      </c>
    </row>
    <row r="2869" spans="1:17" x14ac:dyDescent="0.3">
      <c r="A2869" t="s">
        <v>35</v>
      </c>
      <c r="B2869" t="s">
        <v>15</v>
      </c>
      <c r="C2869" t="s">
        <v>30</v>
      </c>
      <c r="D2869" t="s">
        <v>24</v>
      </c>
      <c r="E2869" t="s">
        <v>41</v>
      </c>
      <c r="F2869" s="9">
        <v>0.09</v>
      </c>
      <c r="G2869" s="10">
        <v>19339</v>
      </c>
      <c r="H2869">
        <v>7.42</v>
      </c>
      <c r="I2869" s="5">
        <f>ROUND(Marketing[[#This Row],[Clicks]]*Marketing[[#This Row],[Conversion_Rate]],0)</f>
        <v>73</v>
      </c>
      <c r="J2869" s="12">
        <f>Marketing[[#This Row],[Campaign_Cost]]/Marketing[[#This Row],[Customers]]</f>
        <v>264.91780821917808</v>
      </c>
      <c r="K2869" t="s">
        <v>25</v>
      </c>
      <c r="L2869" t="s">
        <v>39</v>
      </c>
      <c r="M2869">
        <v>814</v>
      </c>
      <c r="N2869">
        <v>8101</v>
      </c>
      <c r="O2869">
        <v>6</v>
      </c>
      <c r="P2869" t="s">
        <v>34</v>
      </c>
      <c r="Q2869" s="1">
        <v>44509</v>
      </c>
    </row>
    <row r="2870" spans="1:17" x14ac:dyDescent="0.3">
      <c r="A2870" t="s">
        <v>49</v>
      </c>
      <c r="B2870" t="s">
        <v>47</v>
      </c>
      <c r="C2870" t="s">
        <v>30</v>
      </c>
      <c r="D2870" t="s">
        <v>24</v>
      </c>
      <c r="E2870" t="s">
        <v>31</v>
      </c>
      <c r="F2870" s="9">
        <v>0.06</v>
      </c>
      <c r="G2870" s="10">
        <v>5634</v>
      </c>
      <c r="H2870">
        <v>3.11</v>
      </c>
      <c r="I2870" s="5">
        <f>ROUND(Marketing[[#This Row],[Clicks]]*Marketing[[#This Row],[Conversion_Rate]],0)</f>
        <v>38</v>
      </c>
      <c r="J2870" s="12">
        <f>Marketing[[#This Row],[Campaign_Cost]]/Marketing[[#This Row],[Customers]]</f>
        <v>148.26315789473685</v>
      </c>
      <c r="K2870" t="s">
        <v>51</v>
      </c>
      <c r="L2870" t="s">
        <v>39</v>
      </c>
      <c r="M2870">
        <v>628</v>
      </c>
      <c r="N2870">
        <v>7720</v>
      </c>
      <c r="O2870">
        <v>2</v>
      </c>
      <c r="P2870" t="s">
        <v>44</v>
      </c>
      <c r="Q2870" s="1">
        <v>44510</v>
      </c>
    </row>
    <row r="2871" spans="1:17" x14ac:dyDescent="0.3">
      <c r="A2871" t="s">
        <v>49</v>
      </c>
      <c r="B2871" t="s">
        <v>36</v>
      </c>
      <c r="C2871" t="s">
        <v>52</v>
      </c>
      <c r="D2871" t="s">
        <v>24</v>
      </c>
      <c r="E2871" t="s">
        <v>48</v>
      </c>
      <c r="F2871" s="9">
        <v>0.09</v>
      </c>
      <c r="G2871" s="10">
        <v>16890</v>
      </c>
      <c r="H2871">
        <v>7.83</v>
      </c>
      <c r="I2871" s="5">
        <f>ROUND(Marketing[[#This Row],[Clicks]]*Marketing[[#This Row],[Conversion_Rate]],0)</f>
        <v>29</v>
      </c>
      <c r="J2871" s="12">
        <f>Marketing[[#This Row],[Campaign_Cost]]/Marketing[[#This Row],[Customers]]</f>
        <v>582.41379310344826</v>
      </c>
      <c r="K2871" t="s">
        <v>25</v>
      </c>
      <c r="L2871" t="s">
        <v>26</v>
      </c>
      <c r="M2871">
        <v>322</v>
      </c>
      <c r="N2871">
        <v>4764</v>
      </c>
      <c r="O2871">
        <v>10</v>
      </c>
      <c r="P2871" t="s">
        <v>44</v>
      </c>
      <c r="Q2871" s="1">
        <v>44511</v>
      </c>
    </row>
    <row r="2872" spans="1:17" x14ac:dyDescent="0.3">
      <c r="A2872" t="s">
        <v>35</v>
      </c>
      <c r="B2872" t="s">
        <v>45</v>
      </c>
      <c r="C2872" t="s">
        <v>30</v>
      </c>
      <c r="D2872" t="s">
        <v>24</v>
      </c>
      <c r="E2872" t="s">
        <v>41</v>
      </c>
      <c r="F2872" s="9">
        <v>0.05</v>
      </c>
      <c r="G2872" s="10">
        <v>8553</v>
      </c>
      <c r="H2872">
        <v>7.49</v>
      </c>
      <c r="I2872" s="5">
        <f>ROUND(Marketing[[#This Row],[Clicks]]*Marketing[[#This Row],[Conversion_Rate]],0)</f>
        <v>48</v>
      </c>
      <c r="J2872" s="12">
        <f>Marketing[[#This Row],[Campaign_Cost]]/Marketing[[#This Row],[Customers]]</f>
        <v>178.1875</v>
      </c>
      <c r="K2872" t="s">
        <v>51</v>
      </c>
      <c r="L2872" t="s">
        <v>26</v>
      </c>
      <c r="M2872">
        <v>967</v>
      </c>
      <c r="N2872">
        <v>6669</v>
      </c>
      <c r="O2872">
        <v>10</v>
      </c>
      <c r="P2872" t="s">
        <v>42</v>
      </c>
      <c r="Q2872" s="1">
        <v>44512</v>
      </c>
    </row>
    <row r="2873" spans="1:17" x14ac:dyDescent="0.3">
      <c r="A2873" t="s">
        <v>35</v>
      </c>
      <c r="B2873" t="s">
        <v>29</v>
      </c>
      <c r="C2873" t="s">
        <v>16</v>
      </c>
      <c r="D2873" t="s">
        <v>24</v>
      </c>
      <c r="E2873" t="s">
        <v>31</v>
      </c>
      <c r="F2873" s="9">
        <v>0.02</v>
      </c>
      <c r="G2873" s="10">
        <v>14860</v>
      </c>
      <c r="H2873">
        <v>6.73</v>
      </c>
      <c r="I2873" s="5">
        <f>ROUND(Marketing[[#This Row],[Clicks]]*Marketing[[#This Row],[Conversion_Rate]],0)</f>
        <v>19</v>
      </c>
      <c r="J2873" s="12">
        <f>Marketing[[#This Row],[Campaign_Cost]]/Marketing[[#This Row],[Customers]]</f>
        <v>782.10526315789468</v>
      </c>
      <c r="K2873" t="s">
        <v>32</v>
      </c>
      <c r="L2873" t="s">
        <v>33</v>
      </c>
      <c r="M2873">
        <v>971</v>
      </c>
      <c r="N2873">
        <v>8929</v>
      </c>
      <c r="O2873">
        <v>7</v>
      </c>
      <c r="P2873" t="s">
        <v>34</v>
      </c>
      <c r="Q2873" s="1">
        <v>44513</v>
      </c>
    </row>
    <row r="2874" spans="1:17" x14ac:dyDescent="0.3">
      <c r="A2874" t="s">
        <v>22</v>
      </c>
      <c r="B2874" t="s">
        <v>45</v>
      </c>
      <c r="C2874" t="s">
        <v>37</v>
      </c>
      <c r="D2874" t="s">
        <v>46</v>
      </c>
      <c r="E2874" t="s">
        <v>31</v>
      </c>
      <c r="F2874" s="9">
        <v>0.02</v>
      </c>
      <c r="G2874" s="10">
        <v>16180</v>
      </c>
      <c r="H2874">
        <v>5.31</v>
      </c>
      <c r="I2874" s="5">
        <f>ROUND(Marketing[[#This Row],[Clicks]]*Marketing[[#This Row],[Conversion_Rate]],0)</f>
        <v>20</v>
      </c>
      <c r="J2874" s="12">
        <f>Marketing[[#This Row],[Campaign_Cost]]/Marketing[[#This Row],[Customers]]</f>
        <v>809</v>
      </c>
      <c r="K2874" t="s">
        <v>38</v>
      </c>
      <c r="L2874" t="s">
        <v>26</v>
      </c>
      <c r="M2874">
        <v>994</v>
      </c>
      <c r="N2874">
        <v>7164</v>
      </c>
      <c r="O2874">
        <v>8</v>
      </c>
      <c r="P2874" t="s">
        <v>34</v>
      </c>
      <c r="Q2874" s="1">
        <v>44514</v>
      </c>
    </row>
    <row r="2875" spans="1:17" x14ac:dyDescent="0.3">
      <c r="A2875" t="s">
        <v>22</v>
      </c>
      <c r="B2875" t="s">
        <v>36</v>
      </c>
      <c r="C2875" t="s">
        <v>16</v>
      </c>
      <c r="D2875" t="s">
        <v>46</v>
      </c>
      <c r="E2875" t="s">
        <v>43</v>
      </c>
      <c r="F2875" s="9">
        <v>0.12</v>
      </c>
      <c r="G2875" s="10">
        <v>17188</v>
      </c>
      <c r="H2875">
        <v>3.78</v>
      </c>
      <c r="I2875" s="5">
        <f>ROUND(Marketing[[#This Row],[Clicks]]*Marketing[[#This Row],[Conversion_Rate]],0)</f>
        <v>64</v>
      </c>
      <c r="J2875" s="12">
        <f>Marketing[[#This Row],[Campaign_Cost]]/Marketing[[#This Row],[Customers]]</f>
        <v>268.5625</v>
      </c>
      <c r="K2875" t="s">
        <v>51</v>
      </c>
      <c r="L2875" t="s">
        <v>50</v>
      </c>
      <c r="M2875">
        <v>537</v>
      </c>
      <c r="N2875">
        <v>3817</v>
      </c>
      <c r="O2875">
        <v>8</v>
      </c>
      <c r="P2875" t="s">
        <v>34</v>
      </c>
      <c r="Q2875" s="1">
        <v>44515</v>
      </c>
    </row>
    <row r="2876" spans="1:17" x14ac:dyDescent="0.3">
      <c r="A2876" t="s">
        <v>35</v>
      </c>
      <c r="B2876" t="s">
        <v>45</v>
      </c>
      <c r="C2876" t="s">
        <v>52</v>
      </c>
      <c r="D2876" t="s">
        <v>46</v>
      </c>
      <c r="E2876" t="s">
        <v>18</v>
      </c>
      <c r="F2876" s="9">
        <v>0.08</v>
      </c>
      <c r="G2876" s="10">
        <v>18247</v>
      </c>
      <c r="H2876">
        <v>3.46</v>
      </c>
      <c r="I2876" s="5">
        <f>ROUND(Marketing[[#This Row],[Clicks]]*Marketing[[#This Row],[Conversion_Rate]],0)</f>
        <v>21</v>
      </c>
      <c r="J2876" s="12">
        <f>Marketing[[#This Row],[Campaign_Cost]]/Marketing[[#This Row],[Customers]]</f>
        <v>868.90476190476193</v>
      </c>
      <c r="K2876" t="s">
        <v>19</v>
      </c>
      <c r="L2876" t="s">
        <v>50</v>
      </c>
      <c r="M2876">
        <v>262</v>
      </c>
      <c r="N2876">
        <v>8164</v>
      </c>
      <c r="O2876">
        <v>3</v>
      </c>
      <c r="P2876" t="s">
        <v>34</v>
      </c>
      <c r="Q2876" s="1">
        <v>44516</v>
      </c>
    </row>
    <row r="2877" spans="1:17" x14ac:dyDescent="0.3">
      <c r="A2877" t="s">
        <v>35</v>
      </c>
      <c r="B2877" t="s">
        <v>29</v>
      </c>
      <c r="C2877" t="s">
        <v>23</v>
      </c>
      <c r="D2877" t="s">
        <v>24</v>
      </c>
      <c r="E2877" t="s">
        <v>15</v>
      </c>
      <c r="F2877" s="9">
        <v>0.04</v>
      </c>
      <c r="G2877" s="10">
        <v>18011</v>
      </c>
      <c r="H2877">
        <v>4.2</v>
      </c>
      <c r="I2877" s="5">
        <f>ROUND(Marketing[[#This Row],[Clicks]]*Marketing[[#This Row],[Conversion_Rate]],0)</f>
        <v>30</v>
      </c>
      <c r="J2877" s="12">
        <f>Marketing[[#This Row],[Campaign_Cost]]/Marketing[[#This Row],[Customers]]</f>
        <v>600.36666666666667</v>
      </c>
      <c r="K2877" t="s">
        <v>19</v>
      </c>
      <c r="L2877" t="s">
        <v>26</v>
      </c>
      <c r="M2877">
        <v>761</v>
      </c>
      <c r="N2877">
        <v>9732</v>
      </c>
      <c r="O2877">
        <v>1</v>
      </c>
      <c r="P2877" t="s">
        <v>42</v>
      </c>
      <c r="Q2877" s="1">
        <v>44517</v>
      </c>
    </row>
    <row r="2878" spans="1:17" x14ac:dyDescent="0.3">
      <c r="A2878" t="s">
        <v>35</v>
      </c>
      <c r="B2878" t="s">
        <v>47</v>
      </c>
      <c r="C2878" t="s">
        <v>16</v>
      </c>
      <c r="D2878" t="s">
        <v>46</v>
      </c>
      <c r="E2878" t="s">
        <v>18</v>
      </c>
      <c r="F2878" s="9">
        <v>0.05</v>
      </c>
      <c r="G2878" s="10">
        <v>10415</v>
      </c>
      <c r="H2878">
        <v>4.91</v>
      </c>
      <c r="I2878" s="5">
        <f>ROUND(Marketing[[#This Row],[Clicks]]*Marketing[[#This Row],[Conversion_Rate]],0)</f>
        <v>43</v>
      </c>
      <c r="J2878" s="12">
        <f>Marketing[[#This Row],[Campaign_Cost]]/Marketing[[#This Row],[Customers]]</f>
        <v>242.2093023255814</v>
      </c>
      <c r="K2878" t="s">
        <v>25</v>
      </c>
      <c r="L2878" t="s">
        <v>33</v>
      </c>
      <c r="M2878">
        <v>853</v>
      </c>
      <c r="N2878">
        <v>2171</v>
      </c>
      <c r="O2878">
        <v>3</v>
      </c>
      <c r="P2878" t="s">
        <v>21</v>
      </c>
      <c r="Q2878" s="1">
        <v>44518</v>
      </c>
    </row>
    <row r="2879" spans="1:17" x14ac:dyDescent="0.3">
      <c r="A2879" t="s">
        <v>22</v>
      </c>
      <c r="B2879" t="s">
        <v>29</v>
      </c>
      <c r="C2879" t="s">
        <v>23</v>
      </c>
      <c r="D2879" t="s">
        <v>40</v>
      </c>
      <c r="E2879" t="s">
        <v>48</v>
      </c>
      <c r="F2879" s="9">
        <v>0.08</v>
      </c>
      <c r="G2879" s="10">
        <v>16528</v>
      </c>
      <c r="H2879">
        <v>7.12</v>
      </c>
      <c r="I2879" s="5">
        <f>ROUND(Marketing[[#This Row],[Clicks]]*Marketing[[#This Row],[Conversion_Rate]],0)</f>
        <v>11</v>
      </c>
      <c r="J2879" s="12">
        <f>Marketing[[#This Row],[Campaign_Cost]]/Marketing[[#This Row],[Customers]]</f>
        <v>1502.5454545454545</v>
      </c>
      <c r="K2879" t="s">
        <v>25</v>
      </c>
      <c r="L2879" t="s">
        <v>33</v>
      </c>
      <c r="M2879">
        <v>135</v>
      </c>
      <c r="N2879">
        <v>3444</v>
      </c>
      <c r="O2879">
        <v>3</v>
      </c>
      <c r="P2879" t="s">
        <v>34</v>
      </c>
      <c r="Q2879" s="1">
        <v>44519</v>
      </c>
    </row>
    <row r="2880" spans="1:17" x14ac:dyDescent="0.3">
      <c r="A2880" t="s">
        <v>35</v>
      </c>
      <c r="B2880" t="s">
        <v>45</v>
      </c>
      <c r="C2880" t="s">
        <v>30</v>
      </c>
      <c r="D2880" t="s">
        <v>17</v>
      </c>
      <c r="E2880" t="s">
        <v>15</v>
      </c>
      <c r="F2880" s="9">
        <v>0.02</v>
      </c>
      <c r="G2880" s="10">
        <v>6260</v>
      </c>
      <c r="H2880">
        <v>3.12</v>
      </c>
      <c r="I2880" s="5">
        <f>ROUND(Marketing[[#This Row],[Clicks]]*Marketing[[#This Row],[Conversion_Rate]],0)</f>
        <v>12</v>
      </c>
      <c r="J2880" s="12">
        <f>Marketing[[#This Row],[Campaign_Cost]]/Marketing[[#This Row],[Customers]]</f>
        <v>521.66666666666663</v>
      </c>
      <c r="K2880" t="s">
        <v>19</v>
      </c>
      <c r="L2880" t="s">
        <v>50</v>
      </c>
      <c r="M2880">
        <v>619</v>
      </c>
      <c r="N2880">
        <v>5754</v>
      </c>
      <c r="O2880">
        <v>1</v>
      </c>
      <c r="P2880" t="s">
        <v>27</v>
      </c>
      <c r="Q2880" s="1">
        <v>44520</v>
      </c>
    </row>
    <row r="2881" spans="1:17" x14ac:dyDescent="0.3">
      <c r="A2881" t="s">
        <v>22</v>
      </c>
      <c r="B2881" t="s">
        <v>45</v>
      </c>
      <c r="C2881" t="s">
        <v>30</v>
      </c>
      <c r="D2881" t="s">
        <v>17</v>
      </c>
      <c r="E2881" t="s">
        <v>41</v>
      </c>
      <c r="F2881" s="9">
        <v>0.03</v>
      </c>
      <c r="G2881" s="10">
        <v>18330</v>
      </c>
      <c r="H2881">
        <v>5.73</v>
      </c>
      <c r="I2881" s="5">
        <f>ROUND(Marketing[[#This Row],[Clicks]]*Marketing[[#This Row],[Conversion_Rate]],0)</f>
        <v>8</v>
      </c>
      <c r="J2881" s="12">
        <f>Marketing[[#This Row],[Campaign_Cost]]/Marketing[[#This Row],[Customers]]</f>
        <v>2291.25</v>
      </c>
      <c r="K2881" t="s">
        <v>19</v>
      </c>
      <c r="L2881" t="s">
        <v>33</v>
      </c>
      <c r="M2881">
        <v>259</v>
      </c>
      <c r="N2881">
        <v>6795</v>
      </c>
      <c r="O2881">
        <v>6</v>
      </c>
      <c r="P2881" t="s">
        <v>21</v>
      </c>
      <c r="Q2881" s="1">
        <v>44521</v>
      </c>
    </row>
    <row r="2882" spans="1:17" x14ac:dyDescent="0.3">
      <c r="A2882" t="s">
        <v>28</v>
      </c>
      <c r="B2882" t="s">
        <v>15</v>
      </c>
      <c r="C2882" t="s">
        <v>30</v>
      </c>
      <c r="D2882" t="s">
        <v>17</v>
      </c>
      <c r="E2882" t="s">
        <v>48</v>
      </c>
      <c r="F2882" s="9">
        <v>0.04</v>
      </c>
      <c r="G2882" s="10">
        <v>18410</v>
      </c>
      <c r="H2882">
        <v>5.36</v>
      </c>
      <c r="I2882" s="5">
        <f>ROUND(Marketing[[#This Row],[Clicks]]*Marketing[[#This Row],[Conversion_Rate]],0)</f>
        <v>40</v>
      </c>
      <c r="J2882" s="12">
        <f>Marketing[[#This Row],[Campaign_Cost]]/Marketing[[#This Row],[Customers]]</f>
        <v>460.25</v>
      </c>
      <c r="K2882" t="s">
        <v>19</v>
      </c>
      <c r="L2882" t="s">
        <v>20</v>
      </c>
      <c r="M2882">
        <v>988</v>
      </c>
      <c r="N2882">
        <v>1938</v>
      </c>
      <c r="O2882">
        <v>2</v>
      </c>
      <c r="P2882" t="s">
        <v>34</v>
      </c>
      <c r="Q2882" s="1">
        <v>44522</v>
      </c>
    </row>
    <row r="2883" spans="1:17" x14ac:dyDescent="0.3">
      <c r="A2883" t="s">
        <v>28</v>
      </c>
      <c r="B2883" t="s">
        <v>36</v>
      </c>
      <c r="C2883" t="s">
        <v>16</v>
      </c>
      <c r="D2883" t="s">
        <v>24</v>
      </c>
      <c r="E2883" t="s">
        <v>18</v>
      </c>
      <c r="F2883" s="9">
        <v>0.11</v>
      </c>
      <c r="G2883" s="10">
        <v>9099</v>
      </c>
      <c r="H2883">
        <v>5.32</v>
      </c>
      <c r="I2883" s="5">
        <f>ROUND(Marketing[[#This Row],[Clicks]]*Marketing[[#This Row],[Conversion_Rate]],0)</f>
        <v>92</v>
      </c>
      <c r="J2883" s="12">
        <f>Marketing[[#This Row],[Campaign_Cost]]/Marketing[[#This Row],[Customers]]</f>
        <v>98.902173913043484</v>
      </c>
      <c r="K2883" t="s">
        <v>25</v>
      </c>
      <c r="L2883" t="s">
        <v>39</v>
      </c>
      <c r="M2883">
        <v>833</v>
      </c>
      <c r="N2883">
        <v>5697</v>
      </c>
      <c r="O2883">
        <v>1</v>
      </c>
      <c r="P2883" t="s">
        <v>21</v>
      </c>
      <c r="Q2883" s="1">
        <v>44523</v>
      </c>
    </row>
    <row r="2884" spans="1:17" x14ac:dyDescent="0.3">
      <c r="A2884" t="s">
        <v>22</v>
      </c>
      <c r="B2884" t="s">
        <v>47</v>
      </c>
      <c r="C2884" t="s">
        <v>16</v>
      </c>
      <c r="D2884" t="s">
        <v>40</v>
      </c>
      <c r="E2884" t="s">
        <v>41</v>
      </c>
      <c r="F2884" s="9">
        <v>7.0000000000000007E-2</v>
      </c>
      <c r="G2884" s="10">
        <v>8521</v>
      </c>
      <c r="H2884">
        <v>6.24</v>
      </c>
      <c r="I2884" s="5">
        <f>ROUND(Marketing[[#This Row],[Clicks]]*Marketing[[#This Row],[Conversion_Rate]],0)</f>
        <v>32</v>
      </c>
      <c r="J2884" s="12">
        <f>Marketing[[#This Row],[Campaign_Cost]]/Marketing[[#This Row],[Customers]]</f>
        <v>266.28125</v>
      </c>
      <c r="K2884" t="s">
        <v>19</v>
      </c>
      <c r="L2884" t="s">
        <v>33</v>
      </c>
      <c r="M2884">
        <v>461</v>
      </c>
      <c r="N2884">
        <v>4499</v>
      </c>
      <c r="O2884">
        <v>3</v>
      </c>
      <c r="P2884" t="s">
        <v>27</v>
      </c>
      <c r="Q2884" s="1">
        <v>44524</v>
      </c>
    </row>
    <row r="2885" spans="1:17" x14ac:dyDescent="0.3">
      <c r="A2885" t="s">
        <v>49</v>
      </c>
      <c r="B2885" t="s">
        <v>45</v>
      </c>
      <c r="C2885" t="s">
        <v>52</v>
      </c>
      <c r="D2885" t="s">
        <v>17</v>
      </c>
      <c r="E2885" t="s">
        <v>43</v>
      </c>
      <c r="F2885" s="9">
        <v>0.04</v>
      </c>
      <c r="G2885" s="10">
        <v>13416</v>
      </c>
      <c r="H2885">
        <v>2.61</v>
      </c>
      <c r="I2885" s="5">
        <f>ROUND(Marketing[[#This Row],[Clicks]]*Marketing[[#This Row],[Conversion_Rate]],0)</f>
        <v>24</v>
      </c>
      <c r="J2885" s="12">
        <f>Marketing[[#This Row],[Campaign_Cost]]/Marketing[[#This Row],[Customers]]</f>
        <v>559</v>
      </c>
      <c r="K2885" t="s">
        <v>38</v>
      </c>
      <c r="L2885" t="s">
        <v>26</v>
      </c>
      <c r="M2885">
        <v>589</v>
      </c>
      <c r="N2885">
        <v>1381</v>
      </c>
      <c r="O2885">
        <v>9</v>
      </c>
      <c r="P2885" t="s">
        <v>42</v>
      </c>
      <c r="Q2885" s="1">
        <v>44525</v>
      </c>
    </row>
    <row r="2886" spans="1:17" x14ac:dyDescent="0.3">
      <c r="A2886" t="s">
        <v>14</v>
      </c>
      <c r="B2886" t="s">
        <v>15</v>
      </c>
      <c r="C2886" t="s">
        <v>52</v>
      </c>
      <c r="D2886" t="s">
        <v>24</v>
      </c>
      <c r="E2886" t="s">
        <v>15</v>
      </c>
      <c r="F2886" s="9">
        <v>0.03</v>
      </c>
      <c r="G2886" s="10">
        <v>10047</v>
      </c>
      <c r="H2886">
        <v>7.8</v>
      </c>
      <c r="I2886" s="5">
        <f>ROUND(Marketing[[#This Row],[Clicks]]*Marketing[[#This Row],[Conversion_Rate]],0)</f>
        <v>27</v>
      </c>
      <c r="J2886" s="12">
        <f>Marketing[[#This Row],[Campaign_Cost]]/Marketing[[#This Row],[Customers]]</f>
        <v>372.11111111111109</v>
      </c>
      <c r="K2886" t="s">
        <v>38</v>
      </c>
      <c r="L2886" t="s">
        <v>20</v>
      </c>
      <c r="M2886">
        <v>884</v>
      </c>
      <c r="N2886">
        <v>3778</v>
      </c>
      <c r="O2886">
        <v>10</v>
      </c>
      <c r="P2886" t="s">
        <v>34</v>
      </c>
      <c r="Q2886" s="1">
        <v>44526</v>
      </c>
    </row>
    <row r="2887" spans="1:17" x14ac:dyDescent="0.3">
      <c r="A2887" t="s">
        <v>14</v>
      </c>
      <c r="B2887" t="s">
        <v>29</v>
      </c>
      <c r="C2887" t="s">
        <v>23</v>
      </c>
      <c r="D2887" t="s">
        <v>46</v>
      </c>
      <c r="E2887" t="s">
        <v>48</v>
      </c>
      <c r="F2887" s="9">
        <v>0.1</v>
      </c>
      <c r="G2887" s="10">
        <v>18028</v>
      </c>
      <c r="H2887">
        <v>5.34</v>
      </c>
      <c r="I2887" s="5">
        <f>ROUND(Marketing[[#This Row],[Clicks]]*Marketing[[#This Row],[Conversion_Rate]],0)</f>
        <v>29</v>
      </c>
      <c r="J2887" s="12">
        <f>Marketing[[#This Row],[Campaign_Cost]]/Marketing[[#This Row],[Customers]]</f>
        <v>621.65517241379314</v>
      </c>
      <c r="K2887" t="s">
        <v>19</v>
      </c>
      <c r="L2887" t="s">
        <v>39</v>
      </c>
      <c r="M2887">
        <v>294</v>
      </c>
      <c r="N2887">
        <v>7862</v>
      </c>
      <c r="O2887">
        <v>9</v>
      </c>
      <c r="P2887" t="s">
        <v>44</v>
      </c>
      <c r="Q2887" s="1">
        <v>44527</v>
      </c>
    </row>
    <row r="2888" spans="1:17" x14ac:dyDescent="0.3">
      <c r="A2888" t="s">
        <v>35</v>
      </c>
      <c r="B2888" t="s">
        <v>47</v>
      </c>
      <c r="C2888" t="s">
        <v>52</v>
      </c>
      <c r="D2888" t="s">
        <v>24</v>
      </c>
      <c r="E2888" t="s">
        <v>43</v>
      </c>
      <c r="F2888" s="9">
        <v>7.0000000000000007E-2</v>
      </c>
      <c r="G2888" s="10">
        <v>7685</v>
      </c>
      <c r="H2888">
        <v>5.24</v>
      </c>
      <c r="I2888" s="5">
        <f>ROUND(Marketing[[#This Row],[Clicks]]*Marketing[[#This Row],[Conversion_Rate]],0)</f>
        <v>29</v>
      </c>
      <c r="J2888" s="12">
        <f>Marketing[[#This Row],[Campaign_Cost]]/Marketing[[#This Row],[Customers]]</f>
        <v>265</v>
      </c>
      <c r="K2888" t="s">
        <v>38</v>
      </c>
      <c r="L2888" t="s">
        <v>39</v>
      </c>
      <c r="M2888">
        <v>411</v>
      </c>
      <c r="N2888">
        <v>9411</v>
      </c>
      <c r="O2888">
        <v>9</v>
      </c>
      <c r="P2888" t="s">
        <v>21</v>
      </c>
      <c r="Q2888" s="1">
        <v>44528</v>
      </c>
    </row>
    <row r="2889" spans="1:17" x14ac:dyDescent="0.3">
      <c r="A2889" t="s">
        <v>35</v>
      </c>
      <c r="B2889" t="s">
        <v>36</v>
      </c>
      <c r="C2889" t="s">
        <v>16</v>
      </c>
      <c r="D2889" t="s">
        <v>17</v>
      </c>
      <c r="E2889" t="s">
        <v>43</v>
      </c>
      <c r="F2889" s="9">
        <v>0.09</v>
      </c>
      <c r="G2889" s="10">
        <v>8793</v>
      </c>
      <c r="H2889">
        <v>7.31</v>
      </c>
      <c r="I2889" s="5">
        <f>ROUND(Marketing[[#This Row],[Clicks]]*Marketing[[#This Row],[Conversion_Rate]],0)</f>
        <v>73</v>
      </c>
      <c r="J2889" s="12">
        <f>Marketing[[#This Row],[Campaign_Cost]]/Marketing[[#This Row],[Customers]]</f>
        <v>120.45205479452055</v>
      </c>
      <c r="K2889" t="s">
        <v>51</v>
      </c>
      <c r="L2889" t="s">
        <v>39</v>
      </c>
      <c r="M2889">
        <v>806</v>
      </c>
      <c r="N2889">
        <v>9660</v>
      </c>
      <c r="O2889">
        <v>9</v>
      </c>
      <c r="P2889" t="s">
        <v>42</v>
      </c>
      <c r="Q2889" s="1">
        <v>44529</v>
      </c>
    </row>
    <row r="2890" spans="1:17" x14ac:dyDescent="0.3">
      <c r="A2890" t="s">
        <v>35</v>
      </c>
      <c r="B2890" t="s">
        <v>47</v>
      </c>
      <c r="C2890" t="s">
        <v>37</v>
      </c>
      <c r="D2890" t="s">
        <v>24</v>
      </c>
      <c r="E2890" t="s">
        <v>31</v>
      </c>
      <c r="F2890" s="9">
        <v>0.15</v>
      </c>
      <c r="G2890" s="10">
        <v>5820</v>
      </c>
      <c r="H2890">
        <v>6.22</v>
      </c>
      <c r="I2890" s="5">
        <f>ROUND(Marketing[[#This Row],[Clicks]]*Marketing[[#This Row],[Conversion_Rate]],0)</f>
        <v>125</v>
      </c>
      <c r="J2890" s="12">
        <f>Marketing[[#This Row],[Campaign_Cost]]/Marketing[[#This Row],[Customers]]</f>
        <v>46.56</v>
      </c>
      <c r="K2890" t="s">
        <v>38</v>
      </c>
      <c r="L2890" t="s">
        <v>20</v>
      </c>
      <c r="M2890">
        <v>832</v>
      </c>
      <c r="N2890">
        <v>5968</v>
      </c>
      <c r="O2890">
        <v>9</v>
      </c>
      <c r="P2890" t="s">
        <v>42</v>
      </c>
      <c r="Q2890" s="1">
        <v>44530</v>
      </c>
    </row>
    <row r="2891" spans="1:17" x14ac:dyDescent="0.3">
      <c r="A2891" t="s">
        <v>35</v>
      </c>
      <c r="B2891" t="s">
        <v>15</v>
      </c>
      <c r="C2891" t="s">
        <v>23</v>
      </c>
      <c r="D2891" t="s">
        <v>24</v>
      </c>
      <c r="E2891" t="s">
        <v>31</v>
      </c>
      <c r="F2891" s="9">
        <v>0.12</v>
      </c>
      <c r="G2891" s="10">
        <v>17647</v>
      </c>
      <c r="H2891">
        <v>2.76</v>
      </c>
      <c r="I2891" s="5">
        <f>ROUND(Marketing[[#This Row],[Clicks]]*Marketing[[#This Row],[Conversion_Rate]],0)</f>
        <v>95</v>
      </c>
      <c r="J2891" s="12">
        <f>Marketing[[#This Row],[Campaign_Cost]]/Marketing[[#This Row],[Customers]]</f>
        <v>185.7578947368421</v>
      </c>
      <c r="K2891" t="s">
        <v>32</v>
      </c>
      <c r="L2891" t="s">
        <v>26</v>
      </c>
      <c r="M2891">
        <v>789</v>
      </c>
      <c r="N2891">
        <v>7654</v>
      </c>
      <c r="O2891">
        <v>4</v>
      </c>
      <c r="P2891" t="s">
        <v>34</v>
      </c>
      <c r="Q2891" s="1">
        <v>44531</v>
      </c>
    </row>
    <row r="2892" spans="1:17" x14ac:dyDescent="0.3">
      <c r="A2892" t="s">
        <v>49</v>
      </c>
      <c r="B2892" t="s">
        <v>29</v>
      </c>
      <c r="C2892" t="s">
        <v>52</v>
      </c>
      <c r="D2892" t="s">
        <v>46</v>
      </c>
      <c r="E2892" t="s">
        <v>31</v>
      </c>
      <c r="F2892" s="9">
        <v>0.11</v>
      </c>
      <c r="G2892" s="10">
        <v>6402</v>
      </c>
      <c r="H2892">
        <v>2.02</v>
      </c>
      <c r="I2892" s="5">
        <f>ROUND(Marketing[[#This Row],[Clicks]]*Marketing[[#This Row],[Conversion_Rate]],0)</f>
        <v>28</v>
      </c>
      <c r="J2892" s="12">
        <f>Marketing[[#This Row],[Campaign_Cost]]/Marketing[[#This Row],[Customers]]</f>
        <v>228.64285714285714</v>
      </c>
      <c r="K2892" t="s">
        <v>51</v>
      </c>
      <c r="L2892" t="s">
        <v>33</v>
      </c>
      <c r="M2892">
        <v>252</v>
      </c>
      <c r="N2892">
        <v>3929</v>
      </c>
      <c r="O2892">
        <v>1</v>
      </c>
      <c r="P2892" t="s">
        <v>21</v>
      </c>
      <c r="Q2892" s="1">
        <v>44532</v>
      </c>
    </row>
    <row r="2893" spans="1:17" x14ac:dyDescent="0.3">
      <c r="A2893" t="s">
        <v>14</v>
      </c>
      <c r="B2893" t="s">
        <v>47</v>
      </c>
      <c r="C2893" t="s">
        <v>16</v>
      </c>
      <c r="D2893" t="s">
        <v>17</v>
      </c>
      <c r="E2893" t="s">
        <v>48</v>
      </c>
      <c r="F2893" s="9">
        <v>0.15</v>
      </c>
      <c r="G2893" s="10">
        <v>11475</v>
      </c>
      <c r="H2893">
        <v>6.24</v>
      </c>
      <c r="I2893" s="5">
        <f>ROUND(Marketing[[#This Row],[Clicks]]*Marketing[[#This Row],[Conversion_Rate]],0)</f>
        <v>15</v>
      </c>
      <c r="J2893" s="12">
        <f>Marketing[[#This Row],[Campaign_Cost]]/Marketing[[#This Row],[Customers]]</f>
        <v>765</v>
      </c>
      <c r="K2893" t="s">
        <v>51</v>
      </c>
      <c r="L2893" t="s">
        <v>20</v>
      </c>
      <c r="M2893">
        <v>102</v>
      </c>
      <c r="N2893">
        <v>1504</v>
      </c>
      <c r="O2893">
        <v>10</v>
      </c>
      <c r="P2893" t="s">
        <v>21</v>
      </c>
      <c r="Q2893" s="1">
        <v>44533</v>
      </c>
    </row>
    <row r="2894" spans="1:17" x14ac:dyDescent="0.3">
      <c r="A2894" t="s">
        <v>28</v>
      </c>
      <c r="B2894" t="s">
        <v>29</v>
      </c>
      <c r="C2894" t="s">
        <v>30</v>
      </c>
      <c r="D2894" t="s">
        <v>24</v>
      </c>
      <c r="E2894" t="s">
        <v>48</v>
      </c>
      <c r="F2894" s="9">
        <v>0.01</v>
      </c>
      <c r="G2894" s="10">
        <v>11714</v>
      </c>
      <c r="H2894">
        <v>5.91</v>
      </c>
      <c r="I2894" s="5">
        <f>ROUND(Marketing[[#This Row],[Clicks]]*Marketing[[#This Row],[Conversion_Rate]],0)</f>
        <v>7</v>
      </c>
      <c r="J2894" s="12">
        <f>Marketing[[#This Row],[Campaign_Cost]]/Marketing[[#This Row],[Customers]]</f>
        <v>1673.4285714285713</v>
      </c>
      <c r="K2894" t="s">
        <v>25</v>
      </c>
      <c r="L2894" t="s">
        <v>50</v>
      </c>
      <c r="M2894">
        <v>687</v>
      </c>
      <c r="N2894">
        <v>1428</v>
      </c>
      <c r="O2894">
        <v>2</v>
      </c>
      <c r="P2894" t="s">
        <v>34</v>
      </c>
      <c r="Q2894" s="1">
        <v>44534</v>
      </c>
    </row>
    <row r="2895" spans="1:17" x14ac:dyDescent="0.3">
      <c r="A2895" t="s">
        <v>35</v>
      </c>
      <c r="B2895" t="s">
        <v>15</v>
      </c>
      <c r="C2895" t="s">
        <v>37</v>
      </c>
      <c r="D2895" t="s">
        <v>24</v>
      </c>
      <c r="E2895" t="s">
        <v>48</v>
      </c>
      <c r="F2895" s="9">
        <v>0.06</v>
      </c>
      <c r="G2895" s="10">
        <v>16569</v>
      </c>
      <c r="H2895">
        <v>7.95</v>
      </c>
      <c r="I2895" s="5">
        <f>ROUND(Marketing[[#This Row],[Clicks]]*Marketing[[#This Row],[Conversion_Rate]],0)</f>
        <v>55</v>
      </c>
      <c r="J2895" s="12">
        <f>Marketing[[#This Row],[Campaign_Cost]]/Marketing[[#This Row],[Customers]]</f>
        <v>301.25454545454545</v>
      </c>
      <c r="K2895" t="s">
        <v>51</v>
      </c>
      <c r="L2895" t="s">
        <v>20</v>
      </c>
      <c r="M2895">
        <v>918</v>
      </c>
      <c r="N2895">
        <v>6486</v>
      </c>
      <c r="O2895">
        <v>1</v>
      </c>
      <c r="P2895" t="s">
        <v>44</v>
      </c>
      <c r="Q2895" s="1">
        <v>44535</v>
      </c>
    </row>
    <row r="2896" spans="1:17" x14ac:dyDescent="0.3">
      <c r="A2896" t="s">
        <v>14</v>
      </c>
      <c r="B2896" t="s">
        <v>15</v>
      </c>
      <c r="C2896" t="s">
        <v>52</v>
      </c>
      <c r="D2896" t="s">
        <v>17</v>
      </c>
      <c r="E2896" t="s">
        <v>15</v>
      </c>
      <c r="F2896" s="9">
        <v>0.13</v>
      </c>
      <c r="G2896" s="10">
        <v>6341</v>
      </c>
      <c r="H2896">
        <v>5.01</v>
      </c>
      <c r="I2896" s="5">
        <f>ROUND(Marketing[[#This Row],[Clicks]]*Marketing[[#This Row],[Conversion_Rate]],0)</f>
        <v>76</v>
      </c>
      <c r="J2896" s="12">
        <f>Marketing[[#This Row],[Campaign_Cost]]/Marketing[[#This Row],[Customers]]</f>
        <v>83.434210526315795</v>
      </c>
      <c r="K2896" t="s">
        <v>25</v>
      </c>
      <c r="L2896" t="s">
        <v>39</v>
      </c>
      <c r="M2896">
        <v>581</v>
      </c>
      <c r="N2896">
        <v>5707</v>
      </c>
      <c r="O2896">
        <v>4</v>
      </c>
      <c r="P2896" t="s">
        <v>34</v>
      </c>
      <c r="Q2896" s="1">
        <v>44536</v>
      </c>
    </row>
    <row r="2897" spans="1:17" x14ac:dyDescent="0.3">
      <c r="A2897" t="s">
        <v>35</v>
      </c>
      <c r="B2897" t="s">
        <v>29</v>
      </c>
      <c r="C2897" t="s">
        <v>23</v>
      </c>
      <c r="D2897" t="s">
        <v>40</v>
      </c>
      <c r="E2897" t="s">
        <v>48</v>
      </c>
      <c r="F2897" s="9">
        <v>0.11</v>
      </c>
      <c r="G2897" s="10">
        <v>7263</v>
      </c>
      <c r="H2897">
        <v>2.94</v>
      </c>
      <c r="I2897" s="5">
        <f>ROUND(Marketing[[#This Row],[Clicks]]*Marketing[[#This Row],[Conversion_Rate]],0)</f>
        <v>52</v>
      </c>
      <c r="J2897" s="12">
        <f>Marketing[[#This Row],[Campaign_Cost]]/Marketing[[#This Row],[Customers]]</f>
        <v>139.67307692307693</v>
      </c>
      <c r="K2897" t="s">
        <v>32</v>
      </c>
      <c r="L2897" t="s">
        <v>20</v>
      </c>
      <c r="M2897">
        <v>472</v>
      </c>
      <c r="N2897">
        <v>5610</v>
      </c>
      <c r="O2897">
        <v>5</v>
      </c>
      <c r="P2897" t="s">
        <v>34</v>
      </c>
      <c r="Q2897" s="1">
        <v>44537</v>
      </c>
    </row>
    <row r="2898" spans="1:17" x14ac:dyDescent="0.3">
      <c r="A2898" t="s">
        <v>35</v>
      </c>
      <c r="B2898" t="s">
        <v>47</v>
      </c>
      <c r="C2898" t="s">
        <v>30</v>
      </c>
      <c r="D2898" t="s">
        <v>17</v>
      </c>
      <c r="E2898" t="s">
        <v>15</v>
      </c>
      <c r="F2898" s="9">
        <v>0.08</v>
      </c>
      <c r="G2898" s="10">
        <v>19797</v>
      </c>
      <c r="H2898">
        <v>2.93</v>
      </c>
      <c r="I2898" s="5">
        <f>ROUND(Marketing[[#This Row],[Clicks]]*Marketing[[#This Row],[Conversion_Rate]],0)</f>
        <v>25</v>
      </c>
      <c r="J2898" s="12">
        <f>Marketing[[#This Row],[Campaign_Cost]]/Marketing[[#This Row],[Customers]]</f>
        <v>791.88</v>
      </c>
      <c r="K2898" t="s">
        <v>25</v>
      </c>
      <c r="L2898" t="s">
        <v>20</v>
      </c>
      <c r="M2898">
        <v>318</v>
      </c>
      <c r="N2898">
        <v>6192</v>
      </c>
      <c r="O2898">
        <v>5</v>
      </c>
      <c r="P2898" t="s">
        <v>44</v>
      </c>
      <c r="Q2898" s="1">
        <v>44538</v>
      </c>
    </row>
    <row r="2899" spans="1:17" x14ac:dyDescent="0.3">
      <c r="A2899" t="s">
        <v>49</v>
      </c>
      <c r="B2899" t="s">
        <v>29</v>
      </c>
      <c r="C2899" t="s">
        <v>16</v>
      </c>
      <c r="D2899" t="s">
        <v>46</v>
      </c>
      <c r="E2899" t="s">
        <v>31</v>
      </c>
      <c r="F2899" s="9">
        <v>0.09</v>
      </c>
      <c r="G2899" s="10">
        <v>6388</v>
      </c>
      <c r="H2899">
        <v>3.23</v>
      </c>
      <c r="I2899" s="5">
        <f>ROUND(Marketing[[#This Row],[Clicks]]*Marketing[[#This Row],[Conversion_Rate]],0)</f>
        <v>16</v>
      </c>
      <c r="J2899" s="12">
        <f>Marketing[[#This Row],[Campaign_Cost]]/Marketing[[#This Row],[Customers]]</f>
        <v>399.25</v>
      </c>
      <c r="K2899" t="s">
        <v>38</v>
      </c>
      <c r="L2899" t="s">
        <v>33</v>
      </c>
      <c r="M2899">
        <v>178</v>
      </c>
      <c r="N2899">
        <v>1192</v>
      </c>
      <c r="O2899">
        <v>4</v>
      </c>
      <c r="P2899" t="s">
        <v>27</v>
      </c>
      <c r="Q2899" s="1">
        <v>44539</v>
      </c>
    </row>
    <row r="2900" spans="1:17" x14ac:dyDescent="0.3">
      <c r="A2900" t="s">
        <v>49</v>
      </c>
      <c r="B2900" t="s">
        <v>45</v>
      </c>
      <c r="C2900" t="s">
        <v>16</v>
      </c>
      <c r="D2900" t="s">
        <v>46</v>
      </c>
      <c r="E2900" t="s">
        <v>43</v>
      </c>
      <c r="F2900" s="9">
        <v>7.0000000000000007E-2</v>
      </c>
      <c r="G2900" s="10">
        <v>7212</v>
      </c>
      <c r="H2900">
        <v>2.13</v>
      </c>
      <c r="I2900" s="5">
        <f>ROUND(Marketing[[#This Row],[Clicks]]*Marketing[[#This Row],[Conversion_Rate]],0)</f>
        <v>44</v>
      </c>
      <c r="J2900" s="12">
        <f>Marketing[[#This Row],[Campaign_Cost]]/Marketing[[#This Row],[Customers]]</f>
        <v>163.90909090909091</v>
      </c>
      <c r="K2900" t="s">
        <v>38</v>
      </c>
      <c r="L2900" t="s">
        <v>33</v>
      </c>
      <c r="M2900">
        <v>633</v>
      </c>
      <c r="N2900">
        <v>2907</v>
      </c>
      <c r="O2900">
        <v>7</v>
      </c>
      <c r="P2900" t="s">
        <v>34</v>
      </c>
      <c r="Q2900" s="1">
        <v>44540</v>
      </c>
    </row>
    <row r="2901" spans="1:17" x14ac:dyDescent="0.3">
      <c r="A2901" t="s">
        <v>35</v>
      </c>
      <c r="B2901" t="s">
        <v>47</v>
      </c>
      <c r="C2901" t="s">
        <v>16</v>
      </c>
      <c r="D2901" t="s">
        <v>24</v>
      </c>
      <c r="E2901" t="s">
        <v>43</v>
      </c>
      <c r="F2901" s="9">
        <v>0.11</v>
      </c>
      <c r="G2901" s="10">
        <v>12264</v>
      </c>
      <c r="H2901">
        <v>6.8</v>
      </c>
      <c r="I2901" s="5">
        <f>ROUND(Marketing[[#This Row],[Clicks]]*Marketing[[#This Row],[Conversion_Rate]],0)</f>
        <v>69</v>
      </c>
      <c r="J2901" s="12">
        <f>Marketing[[#This Row],[Campaign_Cost]]/Marketing[[#This Row],[Customers]]</f>
        <v>177.7391304347826</v>
      </c>
      <c r="K2901" t="s">
        <v>32</v>
      </c>
      <c r="L2901" t="s">
        <v>33</v>
      </c>
      <c r="M2901">
        <v>627</v>
      </c>
      <c r="N2901">
        <v>8361</v>
      </c>
      <c r="O2901">
        <v>8</v>
      </c>
      <c r="P2901" t="s">
        <v>34</v>
      </c>
      <c r="Q2901" s="1">
        <v>44541</v>
      </c>
    </row>
    <row r="2902" spans="1:17" x14ac:dyDescent="0.3">
      <c r="A2902" t="s">
        <v>35</v>
      </c>
      <c r="B2902" t="s">
        <v>29</v>
      </c>
      <c r="C2902" t="s">
        <v>23</v>
      </c>
      <c r="D2902" t="s">
        <v>46</v>
      </c>
      <c r="E2902" t="s">
        <v>18</v>
      </c>
      <c r="F2902" s="9">
        <v>0.04</v>
      </c>
      <c r="G2902" s="10">
        <v>6178</v>
      </c>
      <c r="H2902">
        <v>3.75</v>
      </c>
      <c r="I2902" s="5">
        <f>ROUND(Marketing[[#This Row],[Clicks]]*Marketing[[#This Row],[Conversion_Rate]],0)</f>
        <v>33</v>
      </c>
      <c r="J2902" s="12">
        <f>Marketing[[#This Row],[Campaign_Cost]]/Marketing[[#This Row],[Customers]]</f>
        <v>187.21212121212122</v>
      </c>
      <c r="K2902" t="s">
        <v>38</v>
      </c>
      <c r="L2902" t="s">
        <v>33</v>
      </c>
      <c r="M2902">
        <v>824</v>
      </c>
      <c r="N2902">
        <v>1651</v>
      </c>
      <c r="O2902">
        <v>4</v>
      </c>
      <c r="P2902" t="s">
        <v>34</v>
      </c>
      <c r="Q2902" s="1">
        <v>44542</v>
      </c>
    </row>
    <row r="2903" spans="1:17" x14ac:dyDescent="0.3">
      <c r="A2903" t="s">
        <v>49</v>
      </c>
      <c r="B2903" t="s">
        <v>47</v>
      </c>
      <c r="C2903" t="s">
        <v>30</v>
      </c>
      <c r="D2903" t="s">
        <v>17</v>
      </c>
      <c r="E2903" t="s">
        <v>43</v>
      </c>
      <c r="F2903" s="9">
        <v>0.01</v>
      </c>
      <c r="G2903" s="10">
        <v>13000</v>
      </c>
      <c r="H2903">
        <v>2.35</v>
      </c>
      <c r="I2903" s="5">
        <f>ROUND(Marketing[[#This Row],[Clicks]]*Marketing[[#This Row],[Conversion_Rate]],0)</f>
        <v>10</v>
      </c>
      <c r="J2903" s="12">
        <f>Marketing[[#This Row],[Campaign_Cost]]/Marketing[[#This Row],[Customers]]</f>
        <v>1300</v>
      </c>
      <c r="K2903" t="s">
        <v>19</v>
      </c>
      <c r="L2903" t="s">
        <v>50</v>
      </c>
      <c r="M2903">
        <v>971</v>
      </c>
      <c r="N2903">
        <v>1922</v>
      </c>
      <c r="O2903">
        <v>9</v>
      </c>
      <c r="P2903" t="s">
        <v>44</v>
      </c>
      <c r="Q2903" s="1">
        <v>44543</v>
      </c>
    </row>
    <row r="2904" spans="1:17" x14ac:dyDescent="0.3">
      <c r="A2904" t="s">
        <v>14</v>
      </c>
      <c r="B2904" t="s">
        <v>15</v>
      </c>
      <c r="C2904" t="s">
        <v>30</v>
      </c>
      <c r="D2904" t="s">
        <v>24</v>
      </c>
      <c r="E2904" t="s">
        <v>31</v>
      </c>
      <c r="F2904" s="9">
        <v>0.1</v>
      </c>
      <c r="G2904" s="10">
        <v>19544</v>
      </c>
      <c r="H2904">
        <v>4.4400000000000004</v>
      </c>
      <c r="I2904" s="5">
        <f>ROUND(Marketing[[#This Row],[Clicks]]*Marketing[[#This Row],[Conversion_Rate]],0)</f>
        <v>77</v>
      </c>
      <c r="J2904" s="12">
        <f>Marketing[[#This Row],[Campaign_Cost]]/Marketing[[#This Row],[Customers]]</f>
        <v>253.81818181818181</v>
      </c>
      <c r="K2904" t="s">
        <v>32</v>
      </c>
      <c r="L2904" t="s">
        <v>50</v>
      </c>
      <c r="M2904">
        <v>774</v>
      </c>
      <c r="N2904">
        <v>8473</v>
      </c>
      <c r="O2904">
        <v>3</v>
      </c>
      <c r="P2904" t="s">
        <v>42</v>
      </c>
      <c r="Q2904" s="1">
        <v>44544</v>
      </c>
    </row>
    <row r="2905" spans="1:17" x14ac:dyDescent="0.3">
      <c r="A2905" t="s">
        <v>35</v>
      </c>
      <c r="B2905" t="s">
        <v>36</v>
      </c>
      <c r="C2905" t="s">
        <v>30</v>
      </c>
      <c r="D2905" t="s">
        <v>46</v>
      </c>
      <c r="E2905" t="s">
        <v>31</v>
      </c>
      <c r="F2905" s="9">
        <v>0.12</v>
      </c>
      <c r="G2905" s="10">
        <v>9701</v>
      </c>
      <c r="H2905">
        <v>3.1</v>
      </c>
      <c r="I2905" s="5">
        <f>ROUND(Marketing[[#This Row],[Clicks]]*Marketing[[#This Row],[Conversion_Rate]],0)</f>
        <v>49</v>
      </c>
      <c r="J2905" s="12">
        <f>Marketing[[#This Row],[Campaign_Cost]]/Marketing[[#This Row],[Customers]]</f>
        <v>197.9795918367347</v>
      </c>
      <c r="K2905" t="s">
        <v>51</v>
      </c>
      <c r="L2905" t="s">
        <v>39</v>
      </c>
      <c r="M2905">
        <v>407</v>
      </c>
      <c r="N2905">
        <v>2308</v>
      </c>
      <c r="O2905">
        <v>4</v>
      </c>
      <c r="P2905" t="s">
        <v>44</v>
      </c>
      <c r="Q2905" s="1">
        <v>44545</v>
      </c>
    </row>
    <row r="2906" spans="1:17" x14ac:dyDescent="0.3">
      <c r="A2906" t="s">
        <v>14</v>
      </c>
      <c r="B2906" t="s">
        <v>47</v>
      </c>
      <c r="C2906" t="s">
        <v>37</v>
      </c>
      <c r="D2906" t="s">
        <v>46</v>
      </c>
      <c r="E2906" t="s">
        <v>41</v>
      </c>
      <c r="F2906" s="9">
        <v>0.13</v>
      </c>
      <c r="G2906" s="10">
        <v>12750</v>
      </c>
      <c r="H2906">
        <v>2.92</v>
      </c>
      <c r="I2906" s="5">
        <f>ROUND(Marketing[[#This Row],[Clicks]]*Marketing[[#This Row],[Conversion_Rate]],0)</f>
        <v>59</v>
      </c>
      <c r="J2906" s="12">
        <f>Marketing[[#This Row],[Campaign_Cost]]/Marketing[[#This Row],[Customers]]</f>
        <v>216.10169491525423</v>
      </c>
      <c r="K2906" t="s">
        <v>38</v>
      </c>
      <c r="L2906" t="s">
        <v>50</v>
      </c>
      <c r="M2906">
        <v>451</v>
      </c>
      <c r="N2906">
        <v>4790</v>
      </c>
      <c r="O2906">
        <v>7</v>
      </c>
      <c r="P2906" t="s">
        <v>42</v>
      </c>
      <c r="Q2906" s="1">
        <v>44546</v>
      </c>
    </row>
    <row r="2907" spans="1:17" x14ac:dyDescent="0.3">
      <c r="A2907" t="s">
        <v>28</v>
      </c>
      <c r="B2907" t="s">
        <v>36</v>
      </c>
      <c r="C2907" t="s">
        <v>30</v>
      </c>
      <c r="D2907" t="s">
        <v>24</v>
      </c>
      <c r="E2907" t="s">
        <v>18</v>
      </c>
      <c r="F2907" s="9">
        <v>0.06</v>
      </c>
      <c r="G2907" s="10">
        <v>19886</v>
      </c>
      <c r="H2907">
        <v>7.73</v>
      </c>
      <c r="I2907" s="5">
        <f>ROUND(Marketing[[#This Row],[Clicks]]*Marketing[[#This Row],[Conversion_Rate]],0)</f>
        <v>24</v>
      </c>
      <c r="J2907" s="12">
        <f>Marketing[[#This Row],[Campaign_Cost]]/Marketing[[#This Row],[Customers]]</f>
        <v>828.58333333333337</v>
      </c>
      <c r="K2907" t="s">
        <v>51</v>
      </c>
      <c r="L2907" t="s">
        <v>33</v>
      </c>
      <c r="M2907">
        <v>403</v>
      </c>
      <c r="N2907">
        <v>9488</v>
      </c>
      <c r="O2907">
        <v>5</v>
      </c>
      <c r="P2907" t="s">
        <v>21</v>
      </c>
      <c r="Q2907" s="1">
        <v>44547</v>
      </c>
    </row>
    <row r="2908" spans="1:17" x14ac:dyDescent="0.3">
      <c r="A2908" t="s">
        <v>14</v>
      </c>
      <c r="B2908" t="s">
        <v>45</v>
      </c>
      <c r="C2908" t="s">
        <v>37</v>
      </c>
      <c r="D2908" t="s">
        <v>46</v>
      </c>
      <c r="E2908" t="s">
        <v>48</v>
      </c>
      <c r="F2908" s="9">
        <v>0.14000000000000001</v>
      </c>
      <c r="G2908" s="10">
        <v>9083</v>
      </c>
      <c r="H2908">
        <v>4.6100000000000003</v>
      </c>
      <c r="I2908" s="5">
        <f>ROUND(Marketing[[#This Row],[Clicks]]*Marketing[[#This Row],[Conversion_Rate]],0)</f>
        <v>46</v>
      </c>
      <c r="J2908" s="12">
        <f>Marketing[[#This Row],[Campaign_Cost]]/Marketing[[#This Row],[Customers]]</f>
        <v>197.45652173913044</v>
      </c>
      <c r="K2908" t="s">
        <v>32</v>
      </c>
      <c r="L2908" t="s">
        <v>26</v>
      </c>
      <c r="M2908">
        <v>329</v>
      </c>
      <c r="N2908">
        <v>3217</v>
      </c>
      <c r="O2908">
        <v>3</v>
      </c>
      <c r="P2908" t="s">
        <v>21</v>
      </c>
      <c r="Q2908" s="1">
        <v>44548</v>
      </c>
    </row>
    <row r="2909" spans="1:17" x14ac:dyDescent="0.3">
      <c r="A2909" t="s">
        <v>22</v>
      </c>
      <c r="B2909" t="s">
        <v>36</v>
      </c>
      <c r="C2909" t="s">
        <v>37</v>
      </c>
      <c r="D2909" t="s">
        <v>17</v>
      </c>
      <c r="E2909" t="s">
        <v>48</v>
      </c>
      <c r="F2909" s="9">
        <v>0.03</v>
      </c>
      <c r="G2909" s="10">
        <v>6543</v>
      </c>
      <c r="H2909">
        <v>7.49</v>
      </c>
      <c r="I2909" s="5">
        <f>ROUND(Marketing[[#This Row],[Clicks]]*Marketing[[#This Row],[Conversion_Rate]],0)</f>
        <v>28</v>
      </c>
      <c r="J2909" s="12">
        <f>Marketing[[#This Row],[Campaign_Cost]]/Marketing[[#This Row],[Customers]]</f>
        <v>233.67857142857142</v>
      </c>
      <c r="K2909" t="s">
        <v>19</v>
      </c>
      <c r="L2909" t="s">
        <v>33</v>
      </c>
      <c r="M2909">
        <v>945</v>
      </c>
      <c r="N2909">
        <v>7030</v>
      </c>
      <c r="O2909">
        <v>8</v>
      </c>
      <c r="P2909" t="s">
        <v>34</v>
      </c>
      <c r="Q2909" s="1">
        <v>44549</v>
      </c>
    </row>
    <row r="2910" spans="1:17" x14ac:dyDescent="0.3">
      <c r="A2910" t="s">
        <v>49</v>
      </c>
      <c r="B2910" t="s">
        <v>47</v>
      </c>
      <c r="C2910" t="s">
        <v>30</v>
      </c>
      <c r="D2910" t="s">
        <v>24</v>
      </c>
      <c r="E2910" t="s">
        <v>48</v>
      </c>
      <c r="F2910" s="9">
        <v>0.02</v>
      </c>
      <c r="G2910" s="10">
        <v>15263</v>
      </c>
      <c r="H2910">
        <v>6.21</v>
      </c>
      <c r="I2910" s="5">
        <f>ROUND(Marketing[[#This Row],[Clicks]]*Marketing[[#This Row],[Conversion_Rate]],0)</f>
        <v>16</v>
      </c>
      <c r="J2910" s="12">
        <f>Marketing[[#This Row],[Campaign_Cost]]/Marketing[[#This Row],[Customers]]</f>
        <v>953.9375</v>
      </c>
      <c r="K2910" t="s">
        <v>38</v>
      </c>
      <c r="L2910" t="s">
        <v>33</v>
      </c>
      <c r="M2910">
        <v>795</v>
      </c>
      <c r="N2910">
        <v>3142</v>
      </c>
      <c r="O2910">
        <v>10</v>
      </c>
      <c r="P2910" t="s">
        <v>42</v>
      </c>
      <c r="Q2910" s="1">
        <v>44550</v>
      </c>
    </row>
    <row r="2911" spans="1:17" x14ac:dyDescent="0.3">
      <c r="A2911" t="s">
        <v>22</v>
      </c>
      <c r="B2911" t="s">
        <v>15</v>
      </c>
      <c r="C2911" t="s">
        <v>30</v>
      </c>
      <c r="D2911" t="s">
        <v>40</v>
      </c>
      <c r="E2911" t="s">
        <v>43</v>
      </c>
      <c r="F2911" s="9">
        <v>0.11</v>
      </c>
      <c r="G2911" s="10">
        <v>19868</v>
      </c>
      <c r="H2911">
        <v>3.41</v>
      </c>
      <c r="I2911" s="5">
        <f>ROUND(Marketing[[#This Row],[Clicks]]*Marketing[[#This Row],[Conversion_Rate]],0)</f>
        <v>29</v>
      </c>
      <c r="J2911" s="12">
        <f>Marketing[[#This Row],[Campaign_Cost]]/Marketing[[#This Row],[Customers]]</f>
        <v>685.10344827586209</v>
      </c>
      <c r="K2911" t="s">
        <v>51</v>
      </c>
      <c r="L2911" t="s">
        <v>39</v>
      </c>
      <c r="M2911">
        <v>266</v>
      </c>
      <c r="N2911">
        <v>7064</v>
      </c>
      <c r="O2911">
        <v>6</v>
      </c>
      <c r="P2911" t="s">
        <v>27</v>
      </c>
      <c r="Q2911" s="1">
        <v>44551</v>
      </c>
    </row>
    <row r="2912" spans="1:17" x14ac:dyDescent="0.3">
      <c r="A2912" t="s">
        <v>22</v>
      </c>
      <c r="B2912" t="s">
        <v>36</v>
      </c>
      <c r="C2912" t="s">
        <v>16</v>
      </c>
      <c r="D2912" t="s">
        <v>24</v>
      </c>
      <c r="E2912" t="s">
        <v>41</v>
      </c>
      <c r="F2912" s="9">
        <v>7.0000000000000007E-2</v>
      </c>
      <c r="G2912" s="10">
        <v>8883</v>
      </c>
      <c r="H2912">
        <v>2.58</v>
      </c>
      <c r="I2912" s="5">
        <f>ROUND(Marketing[[#This Row],[Clicks]]*Marketing[[#This Row],[Conversion_Rate]],0)</f>
        <v>15</v>
      </c>
      <c r="J2912" s="12">
        <f>Marketing[[#This Row],[Campaign_Cost]]/Marketing[[#This Row],[Customers]]</f>
        <v>592.20000000000005</v>
      </c>
      <c r="K2912" t="s">
        <v>51</v>
      </c>
      <c r="L2912" t="s">
        <v>39</v>
      </c>
      <c r="M2912">
        <v>208</v>
      </c>
      <c r="N2912">
        <v>3456</v>
      </c>
      <c r="O2912">
        <v>7</v>
      </c>
      <c r="P2912" t="s">
        <v>34</v>
      </c>
      <c r="Q2912" s="1">
        <v>44552</v>
      </c>
    </row>
    <row r="2913" spans="1:17" x14ac:dyDescent="0.3">
      <c r="A2913" t="s">
        <v>49</v>
      </c>
      <c r="B2913" t="s">
        <v>15</v>
      </c>
      <c r="C2913" t="s">
        <v>37</v>
      </c>
      <c r="D2913" t="s">
        <v>17</v>
      </c>
      <c r="E2913" t="s">
        <v>18</v>
      </c>
      <c r="F2913" s="9">
        <v>0.15</v>
      </c>
      <c r="G2913" s="10">
        <v>6892</v>
      </c>
      <c r="H2913">
        <v>2.2799999999999998</v>
      </c>
      <c r="I2913" s="5">
        <f>ROUND(Marketing[[#This Row],[Clicks]]*Marketing[[#This Row],[Conversion_Rate]],0)</f>
        <v>126</v>
      </c>
      <c r="J2913" s="12">
        <f>Marketing[[#This Row],[Campaign_Cost]]/Marketing[[#This Row],[Customers]]</f>
        <v>54.698412698412696</v>
      </c>
      <c r="K2913" t="s">
        <v>38</v>
      </c>
      <c r="L2913" t="s">
        <v>50</v>
      </c>
      <c r="M2913">
        <v>842</v>
      </c>
      <c r="N2913">
        <v>4958</v>
      </c>
      <c r="O2913">
        <v>1</v>
      </c>
      <c r="P2913" t="s">
        <v>42</v>
      </c>
      <c r="Q2913" s="1">
        <v>44553</v>
      </c>
    </row>
    <row r="2914" spans="1:17" x14ac:dyDescent="0.3">
      <c r="A2914" t="s">
        <v>22</v>
      </c>
      <c r="B2914" t="s">
        <v>47</v>
      </c>
      <c r="C2914" t="s">
        <v>23</v>
      </c>
      <c r="D2914" t="s">
        <v>46</v>
      </c>
      <c r="E2914" t="s">
        <v>48</v>
      </c>
      <c r="F2914" s="9">
        <v>0.11</v>
      </c>
      <c r="G2914" s="10">
        <v>7695</v>
      </c>
      <c r="H2914">
        <v>6.95</v>
      </c>
      <c r="I2914" s="5">
        <f>ROUND(Marketing[[#This Row],[Clicks]]*Marketing[[#This Row],[Conversion_Rate]],0)</f>
        <v>91</v>
      </c>
      <c r="J2914" s="12">
        <f>Marketing[[#This Row],[Campaign_Cost]]/Marketing[[#This Row],[Customers]]</f>
        <v>84.560439560439562</v>
      </c>
      <c r="K2914" t="s">
        <v>19</v>
      </c>
      <c r="L2914" t="s">
        <v>33</v>
      </c>
      <c r="M2914">
        <v>823</v>
      </c>
      <c r="N2914">
        <v>9129</v>
      </c>
      <c r="O2914">
        <v>2</v>
      </c>
      <c r="P2914" t="s">
        <v>44</v>
      </c>
      <c r="Q2914" s="1">
        <v>44554</v>
      </c>
    </row>
    <row r="2915" spans="1:17" x14ac:dyDescent="0.3">
      <c r="A2915" t="s">
        <v>14</v>
      </c>
      <c r="B2915" t="s">
        <v>15</v>
      </c>
      <c r="C2915" t="s">
        <v>16</v>
      </c>
      <c r="D2915" t="s">
        <v>40</v>
      </c>
      <c r="E2915" t="s">
        <v>18</v>
      </c>
      <c r="F2915" s="9">
        <v>0.03</v>
      </c>
      <c r="G2915" s="10">
        <v>9477</v>
      </c>
      <c r="H2915">
        <v>6.24</v>
      </c>
      <c r="I2915" s="5">
        <f>ROUND(Marketing[[#This Row],[Clicks]]*Marketing[[#This Row],[Conversion_Rate]],0)</f>
        <v>26</v>
      </c>
      <c r="J2915" s="12">
        <f>Marketing[[#This Row],[Campaign_Cost]]/Marketing[[#This Row],[Customers]]</f>
        <v>364.5</v>
      </c>
      <c r="K2915" t="s">
        <v>32</v>
      </c>
      <c r="L2915" t="s">
        <v>20</v>
      </c>
      <c r="M2915">
        <v>858</v>
      </c>
      <c r="N2915">
        <v>4577</v>
      </c>
      <c r="O2915">
        <v>8</v>
      </c>
      <c r="P2915" t="s">
        <v>21</v>
      </c>
      <c r="Q2915" s="1">
        <v>44555</v>
      </c>
    </row>
    <row r="2916" spans="1:17" x14ac:dyDescent="0.3">
      <c r="A2916" t="s">
        <v>49</v>
      </c>
      <c r="B2916" t="s">
        <v>15</v>
      </c>
      <c r="C2916" t="s">
        <v>30</v>
      </c>
      <c r="D2916" t="s">
        <v>24</v>
      </c>
      <c r="E2916" t="s">
        <v>41</v>
      </c>
      <c r="F2916" s="9">
        <v>0.02</v>
      </c>
      <c r="G2916" s="10">
        <v>6666</v>
      </c>
      <c r="H2916">
        <v>5.41</v>
      </c>
      <c r="I2916" s="5">
        <f>ROUND(Marketing[[#This Row],[Clicks]]*Marketing[[#This Row],[Conversion_Rate]],0)</f>
        <v>12</v>
      </c>
      <c r="J2916" s="12">
        <f>Marketing[[#This Row],[Campaign_Cost]]/Marketing[[#This Row],[Customers]]</f>
        <v>555.5</v>
      </c>
      <c r="K2916" t="s">
        <v>38</v>
      </c>
      <c r="L2916" t="s">
        <v>50</v>
      </c>
      <c r="M2916">
        <v>580</v>
      </c>
      <c r="N2916">
        <v>6135</v>
      </c>
      <c r="O2916">
        <v>2</v>
      </c>
      <c r="P2916" t="s">
        <v>27</v>
      </c>
      <c r="Q2916" s="1">
        <v>44556</v>
      </c>
    </row>
    <row r="2917" spans="1:17" x14ac:dyDescent="0.3">
      <c r="A2917" t="s">
        <v>14</v>
      </c>
      <c r="B2917" t="s">
        <v>36</v>
      </c>
      <c r="C2917" t="s">
        <v>23</v>
      </c>
      <c r="D2917" t="s">
        <v>17</v>
      </c>
      <c r="E2917" t="s">
        <v>31</v>
      </c>
      <c r="F2917" s="9">
        <v>0.02</v>
      </c>
      <c r="G2917" s="10">
        <v>13131</v>
      </c>
      <c r="H2917">
        <v>3.09</v>
      </c>
      <c r="I2917" s="5">
        <f>ROUND(Marketing[[#This Row],[Clicks]]*Marketing[[#This Row],[Conversion_Rate]],0)</f>
        <v>19</v>
      </c>
      <c r="J2917" s="12">
        <f>Marketing[[#This Row],[Campaign_Cost]]/Marketing[[#This Row],[Customers]]</f>
        <v>691.10526315789468</v>
      </c>
      <c r="K2917" t="s">
        <v>19</v>
      </c>
      <c r="L2917" t="s">
        <v>33</v>
      </c>
      <c r="M2917">
        <v>952</v>
      </c>
      <c r="N2917">
        <v>2520</v>
      </c>
      <c r="O2917">
        <v>7</v>
      </c>
      <c r="P2917" t="s">
        <v>27</v>
      </c>
      <c r="Q2917" s="1">
        <v>44557</v>
      </c>
    </row>
    <row r="2918" spans="1:17" x14ac:dyDescent="0.3">
      <c r="A2918" t="s">
        <v>35</v>
      </c>
      <c r="B2918" t="s">
        <v>36</v>
      </c>
      <c r="C2918" t="s">
        <v>23</v>
      </c>
      <c r="D2918" t="s">
        <v>24</v>
      </c>
      <c r="E2918" t="s">
        <v>18</v>
      </c>
      <c r="F2918" s="9">
        <v>0.05</v>
      </c>
      <c r="G2918" s="10">
        <v>15272</v>
      </c>
      <c r="H2918">
        <v>3.54</v>
      </c>
      <c r="I2918" s="5">
        <f>ROUND(Marketing[[#This Row],[Clicks]]*Marketing[[#This Row],[Conversion_Rate]],0)</f>
        <v>21</v>
      </c>
      <c r="J2918" s="12">
        <f>Marketing[[#This Row],[Campaign_Cost]]/Marketing[[#This Row],[Customers]]</f>
        <v>727.23809523809518</v>
      </c>
      <c r="K2918" t="s">
        <v>38</v>
      </c>
      <c r="L2918" t="s">
        <v>33</v>
      </c>
      <c r="M2918">
        <v>417</v>
      </c>
      <c r="N2918">
        <v>2813</v>
      </c>
      <c r="O2918">
        <v>8</v>
      </c>
      <c r="P2918" t="s">
        <v>34</v>
      </c>
      <c r="Q2918" s="1">
        <v>44558</v>
      </c>
    </row>
    <row r="2919" spans="1:17" x14ac:dyDescent="0.3">
      <c r="A2919" t="s">
        <v>14</v>
      </c>
      <c r="B2919" t="s">
        <v>15</v>
      </c>
      <c r="C2919" t="s">
        <v>52</v>
      </c>
      <c r="D2919" t="s">
        <v>40</v>
      </c>
      <c r="E2919" t="s">
        <v>43</v>
      </c>
      <c r="F2919" s="9">
        <v>0.02</v>
      </c>
      <c r="G2919" s="10">
        <v>16168</v>
      </c>
      <c r="H2919">
        <v>2.77</v>
      </c>
      <c r="I2919" s="5">
        <f>ROUND(Marketing[[#This Row],[Clicks]]*Marketing[[#This Row],[Conversion_Rate]],0)</f>
        <v>4</v>
      </c>
      <c r="J2919" s="12">
        <f>Marketing[[#This Row],[Campaign_Cost]]/Marketing[[#This Row],[Customers]]</f>
        <v>4042</v>
      </c>
      <c r="K2919" t="s">
        <v>38</v>
      </c>
      <c r="L2919" t="s">
        <v>39</v>
      </c>
      <c r="M2919">
        <v>199</v>
      </c>
      <c r="N2919">
        <v>1210</v>
      </c>
      <c r="O2919">
        <v>3</v>
      </c>
      <c r="P2919" t="s">
        <v>21</v>
      </c>
      <c r="Q2919" s="1">
        <v>44559</v>
      </c>
    </row>
    <row r="2920" spans="1:17" x14ac:dyDescent="0.3">
      <c r="A2920" t="s">
        <v>35</v>
      </c>
      <c r="B2920" t="s">
        <v>36</v>
      </c>
      <c r="C2920" t="s">
        <v>23</v>
      </c>
      <c r="D2920" t="s">
        <v>17</v>
      </c>
      <c r="E2920" t="s">
        <v>41</v>
      </c>
      <c r="F2920" s="9">
        <v>0.06</v>
      </c>
      <c r="G2920" s="10">
        <v>13517</v>
      </c>
      <c r="H2920">
        <v>7.27</v>
      </c>
      <c r="I2920" s="5">
        <f>ROUND(Marketing[[#This Row],[Clicks]]*Marketing[[#This Row],[Conversion_Rate]],0)</f>
        <v>28</v>
      </c>
      <c r="J2920" s="12">
        <f>Marketing[[#This Row],[Campaign_Cost]]/Marketing[[#This Row],[Customers]]</f>
        <v>482.75</v>
      </c>
      <c r="K2920" t="s">
        <v>19</v>
      </c>
      <c r="L2920" t="s">
        <v>39</v>
      </c>
      <c r="M2920">
        <v>471</v>
      </c>
      <c r="N2920">
        <v>2851</v>
      </c>
      <c r="O2920">
        <v>4</v>
      </c>
      <c r="P2920" t="s">
        <v>44</v>
      </c>
      <c r="Q2920" s="1">
        <v>44560</v>
      </c>
    </row>
    <row r="2921" spans="1:17" x14ac:dyDescent="0.3">
      <c r="A2921" t="s">
        <v>22</v>
      </c>
      <c r="B2921" t="s">
        <v>29</v>
      </c>
      <c r="C2921" t="s">
        <v>30</v>
      </c>
      <c r="D2921" t="s">
        <v>46</v>
      </c>
      <c r="E2921" t="s">
        <v>48</v>
      </c>
      <c r="F2921" s="9">
        <v>0.13</v>
      </c>
      <c r="G2921" s="10">
        <v>15306</v>
      </c>
      <c r="H2921">
        <v>3.51</v>
      </c>
      <c r="I2921" s="5">
        <f>ROUND(Marketing[[#This Row],[Clicks]]*Marketing[[#This Row],[Conversion_Rate]],0)</f>
        <v>124</v>
      </c>
      <c r="J2921" s="12">
        <f>Marketing[[#This Row],[Campaign_Cost]]/Marketing[[#This Row],[Customers]]</f>
        <v>123.43548387096774</v>
      </c>
      <c r="K2921" t="s">
        <v>51</v>
      </c>
      <c r="L2921" t="s">
        <v>33</v>
      </c>
      <c r="M2921">
        <v>950</v>
      </c>
      <c r="N2921">
        <v>3916</v>
      </c>
      <c r="O2921">
        <v>4</v>
      </c>
      <c r="P2921" t="s">
        <v>44</v>
      </c>
      <c r="Q2921" s="1">
        <v>44561</v>
      </c>
    </row>
    <row r="2922" spans="1:17" x14ac:dyDescent="0.3">
      <c r="A2922" t="s">
        <v>28</v>
      </c>
      <c r="B2922" t="s">
        <v>29</v>
      </c>
      <c r="C2922" t="s">
        <v>52</v>
      </c>
      <c r="D2922" t="s">
        <v>46</v>
      </c>
      <c r="E2922" t="s">
        <v>48</v>
      </c>
      <c r="F2922" s="9">
        <v>0.09</v>
      </c>
      <c r="G2922" s="10">
        <v>10950</v>
      </c>
      <c r="H2922">
        <v>6.22</v>
      </c>
      <c r="I2922" s="5">
        <f>ROUND(Marketing[[#This Row],[Clicks]]*Marketing[[#This Row],[Conversion_Rate]],0)</f>
        <v>70</v>
      </c>
      <c r="J2922" s="12">
        <f>Marketing[[#This Row],[Campaign_Cost]]/Marketing[[#This Row],[Customers]]</f>
        <v>156.42857142857142</v>
      </c>
      <c r="K2922" t="s">
        <v>19</v>
      </c>
      <c r="L2922" t="s">
        <v>50</v>
      </c>
      <c r="M2922">
        <v>779</v>
      </c>
      <c r="N2922">
        <v>3433</v>
      </c>
      <c r="O2922">
        <v>1</v>
      </c>
      <c r="P2922" t="s">
        <v>42</v>
      </c>
      <c r="Q2922" s="1">
        <v>44197</v>
      </c>
    </row>
    <row r="2923" spans="1:17" x14ac:dyDescent="0.3">
      <c r="A2923" t="s">
        <v>35</v>
      </c>
      <c r="B2923" t="s">
        <v>36</v>
      </c>
      <c r="C2923" t="s">
        <v>52</v>
      </c>
      <c r="D2923" t="s">
        <v>24</v>
      </c>
      <c r="E2923" t="s">
        <v>18</v>
      </c>
      <c r="F2923" s="9">
        <v>0.05</v>
      </c>
      <c r="G2923" s="10">
        <v>6863</v>
      </c>
      <c r="H2923">
        <v>2.25</v>
      </c>
      <c r="I2923" s="5">
        <f>ROUND(Marketing[[#This Row],[Clicks]]*Marketing[[#This Row],[Conversion_Rate]],0)</f>
        <v>25</v>
      </c>
      <c r="J2923" s="12">
        <f>Marketing[[#This Row],[Campaign_Cost]]/Marketing[[#This Row],[Customers]]</f>
        <v>274.52</v>
      </c>
      <c r="K2923" t="s">
        <v>32</v>
      </c>
      <c r="L2923" t="s">
        <v>20</v>
      </c>
      <c r="M2923">
        <v>504</v>
      </c>
      <c r="N2923">
        <v>6721</v>
      </c>
      <c r="O2923">
        <v>3</v>
      </c>
      <c r="P2923" t="s">
        <v>27</v>
      </c>
      <c r="Q2923" s="1">
        <v>44198</v>
      </c>
    </row>
    <row r="2924" spans="1:17" x14ac:dyDescent="0.3">
      <c r="A2924" t="s">
        <v>22</v>
      </c>
      <c r="B2924" t="s">
        <v>29</v>
      </c>
      <c r="C2924" t="s">
        <v>23</v>
      </c>
      <c r="D2924" t="s">
        <v>46</v>
      </c>
      <c r="E2924" t="s">
        <v>41</v>
      </c>
      <c r="F2924" s="9">
        <v>0.09</v>
      </c>
      <c r="G2924" s="10">
        <v>6066</v>
      </c>
      <c r="H2924">
        <v>7.25</v>
      </c>
      <c r="I2924" s="5">
        <f>ROUND(Marketing[[#This Row],[Clicks]]*Marketing[[#This Row],[Conversion_Rate]],0)</f>
        <v>59</v>
      </c>
      <c r="J2924" s="12">
        <f>Marketing[[#This Row],[Campaign_Cost]]/Marketing[[#This Row],[Customers]]</f>
        <v>102.8135593220339</v>
      </c>
      <c r="K2924" t="s">
        <v>38</v>
      </c>
      <c r="L2924" t="s">
        <v>50</v>
      </c>
      <c r="M2924">
        <v>661</v>
      </c>
      <c r="N2924">
        <v>3959</v>
      </c>
      <c r="O2924">
        <v>7</v>
      </c>
      <c r="P2924" t="s">
        <v>44</v>
      </c>
      <c r="Q2924" s="1">
        <v>44199</v>
      </c>
    </row>
    <row r="2925" spans="1:17" x14ac:dyDescent="0.3">
      <c r="A2925" t="s">
        <v>49</v>
      </c>
      <c r="B2925" t="s">
        <v>45</v>
      </c>
      <c r="C2925" t="s">
        <v>30</v>
      </c>
      <c r="D2925" t="s">
        <v>17</v>
      </c>
      <c r="E2925" t="s">
        <v>15</v>
      </c>
      <c r="F2925" s="9">
        <v>0.12</v>
      </c>
      <c r="G2925" s="10">
        <v>14652</v>
      </c>
      <c r="H2925">
        <v>3.7</v>
      </c>
      <c r="I2925" s="5">
        <f>ROUND(Marketing[[#This Row],[Clicks]]*Marketing[[#This Row],[Conversion_Rate]],0)</f>
        <v>52</v>
      </c>
      <c r="J2925" s="12">
        <f>Marketing[[#This Row],[Campaign_Cost]]/Marketing[[#This Row],[Customers]]</f>
        <v>281.76923076923077</v>
      </c>
      <c r="K2925" t="s">
        <v>51</v>
      </c>
      <c r="L2925" t="s">
        <v>20</v>
      </c>
      <c r="M2925">
        <v>436</v>
      </c>
      <c r="N2925">
        <v>7816</v>
      </c>
      <c r="O2925">
        <v>4</v>
      </c>
      <c r="P2925" t="s">
        <v>44</v>
      </c>
      <c r="Q2925" s="1">
        <v>44200</v>
      </c>
    </row>
    <row r="2926" spans="1:17" x14ac:dyDescent="0.3">
      <c r="A2926" t="s">
        <v>49</v>
      </c>
      <c r="B2926" t="s">
        <v>29</v>
      </c>
      <c r="C2926" t="s">
        <v>37</v>
      </c>
      <c r="D2926" t="s">
        <v>17</v>
      </c>
      <c r="E2926" t="s">
        <v>15</v>
      </c>
      <c r="F2926" s="9">
        <v>0.08</v>
      </c>
      <c r="G2926" s="10">
        <v>16178</v>
      </c>
      <c r="H2926">
        <v>3.28</v>
      </c>
      <c r="I2926" s="5">
        <f>ROUND(Marketing[[#This Row],[Clicks]]*Marketing[[#This Row],[Conversion_Rate]],0)</f>
        <v>26</v>
      </c>
      <c r="J2926" s="12">
        <f>Marketing[[#This Row],[Campaign_Cost]]/Marketing[[#This Row],[Customers]]</f>
        <v>622.23076923076928</v>
      </c>
      <c r="K2926" t="s">
        <v>19</v>
      </c>
      <c r="L2926" t="s">
        <v>50</v>
      </c>
      <c r="M2926">
        <v>325</v>
      </c>
      <c r="N2926">
        <v>8102</v>
      </c>
      <c r="O2926">
        <v>7</v>
      </c>
      <c r="P2926" t="s">
        <v>27</v>
      </c>
      <c r="Q2926" s="1">
        <v>44201</v>
      </c>
    </row>
    <row r="2927" spans="1:17" x14ac:dyDescent="0.3">
      <c r="A2927" t="s">
        <v>49</v>
      </c>
      <c r="B2927" t="s">
        <v>45</v>
      </c>
      <c r="C2927" t="s">
        <v>16</v>
      </c>
      <c r="D2927" t="s">
        <v>46</v>
      </c>
      <c r="E2927" t="s">
        <v>15</v>
      </c>
      <c r="F2927" s="9">
        <v>0.08</v>
      </c>
      <c r="G2927" s="10">
        <v>9939</v>
      </c>
      <c r="H2927">
        <v>6.07</v>
      </c>
      <c r="I2927" s="5">
        <f>ROUND(Marketing[[#This Row],[Clicks]]*Marketing[[#This Row],[Conversion_Rate]],0)</f>
        <v>38</v>
      </c>
      <c r="J2927" s="12">
        <f>Marketing[[#This Row],[Campaign_Cost]]/Marketing[[#This Row],[Customers]]</f>
        <v>261.55263157894734</v>
      </c>
      <c r="K2927" t="s">
        <v>51</v>
      </c>
      <c r="L2927" t="s">
        <v>33</v>
      </c>
      <c r="M2927">
        <v>472</v>
      </c>
      <c r="N2927">
        <v>5140</v>
      </c>
      <c r="O2927">
        <v>1</v>
      </c>
      <c r="P2927" t="s">
        <v>44</v>
      </c>
      <c r="Q2927" s="1">
        <v>44202</v>
      </c>
    </row>
    <row r="2928" spans="1:17" x14ac:dyDescent="0.3">
      <c r="A2928" t="s">
        <v>22</v>
      </c>
      <c r="B2928" t="s">
        <v>15</v>
      </c>
      <c r="C2928" t="s">
        <v>23</v>
      </c>
      <c r="D2928" t="s">
        <v>46</v>
      </c>
      <c r="E2928" t="s">
        <v>31</v>
      </c>
      <c r="F2928" s="9">
        <v>0.11</v>
      </c>
      <c r="G2928" s="10">
        <v>5141</v>
      </c>
      <c r="H2928">
        <v>7.42</v>
      </c>
      <c r="I2928" s="5">
        <f>ROUND(Marketing[[#This Row],[Clicks]]*Marketing[[#This Row],[Conversion_Rate]],0)</f>
        <v>63</v>
      </c>
      <c r="J2928" s="12">
        <f>Marketing[[#This Row],[Campaign_Cost]]/Marketing[[#This Row],[Customers]]</f>
        <v>81.603174603174608</v>
      </c>
      <c r="K2928" t="s">
        <v>51</v>
      </c>
      <c r="L2928" t="s">
        <v>20</v>
      </c>
      <c r="M2928">
        <v>574</v>
      </c>
      <c r="N2928">
        <v>4506</v>
      </c>
      <c r="O2928">
        <v>1</v>
      </c>
      <c r="P2928" t="s">
        <v>44</v>
      </c>
      <c r="Q2928" s="1">
        <v>44203</v>
      </c>
    </row>
    <row r="2929" spans="1:17" x14ac:dyDescent="0.3">
      <c r="A2929" t="s">
        <v>14</v>
      </c>
      <c r="B2929" t="s">
        <v>15</v>
      </c>
      <c r="C2929" t="s">
        <v>16</v>
      </c>
      <c r="D2929" t="s">
        <v>17</v>
      </c>
      <c r="E2929" t="s">
        <v>41</v>
      </c>
      <c r="F2929" s="9">
        <v>0.05</v>
      </c>
      <c r="G2929" s="10">
        <v>16018</v>
      </c>
      <c r="H2929">
        <v>7.11</v>
      </c>
      <c r="I2929" s="5">
        <f>ROUND(Marketing[[#This Row],[Clicks]]*Marketing[[#This Row],[Conversion_Rate]],0)</f>
        <v>15</v>
      </c>
      <c r="J2929" s="12">
        <f>Marketing[[#This Row],[Campaign_Cost]]/Marketing[[#This Row],[Customers]]</f>
        <v>1067.8666666666666</v>
      </c>
      <c r="K2929" t="s">
        <v>32</v>
      </c>
      <c r="L2929" t="s">
        <v>33</v>
      </c>
      <c r="M2929">
        <v>294</v>
      </c>
      <c r="N2929">
        <v>9868</v>
      </c>
      <c r="O2929">
        <v>6</v>
      </c>
      <c r="P2929" t="s">
        <v>27</v>
      </c>
      <c r="Q2929" s="1">
        <v>44204</v>
      </c>
    </row>
    <row r="2930" spans="1:17" x14ac:dyDescent="0.3">
      <c r="A2930" t="s">
        <v>35</v>
      </c>
      <c r="B2930" t="s">
        <v>47</v>
      </c>
      <c r="C2930" t="s">
        <v>16</v>
      </c>
      <c r="D2930" t="s">
        <v>17</v>
      </c>
      <c r="E2930" t="s">
        <v>43</v>
      </c>
      <c r="F2930" s="9">
        <v>0.02</v>
      </c>
      <c r="G2930" s="10">
        <v>12658</v>
      </c>
      <c r="H2930">
        <v>5.79</v>
      </c>
      <c r="I2930" s="5">
        <f>ROUND(Marketing[[#This Row],[Clicks]]*Marketing[[#This Row],[Conversion_Rate]],0)</f>
        <v>16</v>
      </c>
      <c r="J2930" s="12">
        <f>Marketing[[#This Row],[Campaign_Cost]]/Marketing[[#This Row],[Customers]]</f>
        <v>791.125</v>
      </c>
      <c r="K2930" t="s">
        <v>25</v>
      </c>
      <c r="L2930" t="s">
        <v>20</v>
      </c>
      <c r="M2930">
        <v>787</v>
      </c>
      <c r="N2930">
        <v>2830</v>
      </c>
      <c r="O2930">
        <v>4</v>
      </c>
      <c r="P2930" t="s">
        <v>34</v>
      </c>
      <c r="Q2930" s="1">
        <v>44205</v>
      </c>
    </row>
    <row r="2931" spans="1:17" x14ac:dyDescent="0.3">
      <c r="A2931" t="s">
        <v>22</v>
      </c>
      <c r="B2931" t="s">
        <v>45</v>
      </c>
      <c r="C2931" t="s">
        <v>37</v>
      </c>
      <c r="D2931" t="s">
        <v>24</v>
      </c>
      <c r="E2931" t="s">
        <v>31</v>
      </c>
      <c r="F2931" s="9">
        <v>7.0000000000000007E-2</v>
      </c>
      <c r="G2931" s="10">
        <v>17046</v>
      </c>
      <c r="H2931">
        <v>3.44</v>
      </c>
      <c r="I2931" s="5">
        <f>ROUND(Marketing[[#This Row],[Clicks]]*Marketing[[#This Row],[Conversion_Rate]],0)</f>
        <v>66</v>
      </c>
      <c r="J2931" s="12">
        <f>Marketing[[#This Row],[Campaign_Cost]]/Marketing[[#This Row],[Customers]]</f>
        <v>258.27272727272725</v>
      </c>
      <c r="K2931" t="s">
        <v>25</v>
      </c>
      <c r="L2931" t="s">
        <v>50</v>
      </c>
      <c r="M2931">
        <v>948</v>
      </c>
      <c r="N2931">
        <v>4417</v>
      </c>
      <c r="O2931">
        <v>10</v>
      </c>
      <c r="P2931" t="s">
        <v>44</v>
      </c>
      <c r="Q2931" s="1">
        <v>44206</v>
      </c>
    </row>
    <row r="2932" spans="1:17" x14ac:dyDescent="0.3">
      <c r="A2932" t="s">
        <v>49</v>
      </c>
      <c r="B2932" t="s">
        <v>15</v>
      </c>
      <c r="C2932" t="s">
        <v>16</v>
      </c>
      <c r="D2932" t="s">
        <v>40</v>
      </c>
      <c r="E2932" t="s">
        <v>31</v>
      </c>
      <c r="F2932" s="9">
        <v>0.06</v>
      </c>
      <c r="G2932" s="10">
        <v>9127</v>
      </c>
      <c r="H2932">
        <v>4.6500000000000004</v>
      </c>
      <c r="I2932" s="5">
        <f>ROUND(Marketing[[#This Row],[Clicks]]*Marketing[[#This Row],[Conversion_Rate]],0)</f>
        <v>47</v>
      </c>
      <c r="J2932" s="12">
        <f>Marketing[[#This Row],[Campaign_Cost]]/Marketing[[#This Row],[Customers]]</f>
        <v>194.19148936170214</v>
      </c>
      <c r="K2932" t="s">
        <v>19</v>
      </c>
      <c r="L2932" t="s">
        <v>39</v>
      </c>
      <c r="M2932">
        <v>779</v>
      </c>
      <c r="N2932">
        <v>4034</v>
      </c>
      <c r="O2932">
        <v>4</v>
      </c>
      <c r="P2932" t="s">
        <v>34</v>
      </c>
      <c r="Q2932" s="1">
        <v>44207</v>
      </c>
    </row>
    <row r="2933" spans="1:17" x14ac:dyDescent="0.3">
      <c r="A2933" t="s">
        <v>28</v>
      </c>
      <c r="B2933" t="s">
        <v>47</v>
      </c>
      <c r="C2933" t="s">
        <v>16</v>
      </c>
      <c r="D2933" t="s">
        <v>24</v>
      </c>
      <c r="E2933" t="s">
        <v>18</v>
      </c>
      <c r="F2933" s="9">
        <v>0.02</v>
      </c>
      <c r="G2933" s="10">
        <v>8092</v>
      </c>
      <c r="H2933">
        <v>4.97</v>
      </c>
      <c r="I2933" s="5">
        <f>ROUND(Marketing[[#This Row],[Clicks]]*Marketing[[#This Row],[Conversion_Rate]],0)</f>
        <v>15</v>
      </c>
      <c r="J2933" s="12">
        <f>Marketing[[#This Row],[Campaign_Cost]]/Marketing[[#This Row],[Customers]]</f>
        <v>539.4666666666667</v>
      </c>
      <c r="K2933" t="s">
        <v>19</v>
      </c>
      <c r="L2933" t="s">
        <v>20</v>
      </c>
      <c r="M2933">
        <v>750</v>
      </c>
      <c r="N2933">
        <v>3936</v>
      </c>
      <c r="O2933">
        <v>3</v>
      </c>
      <c r="P2933" t="s">
        <v>21</v>
      </c>
      <c r="Q2933" s="1">
        <v>44208</v>
      </c>
    </row>
    <row r="2934" spans="1:17" x14ac:dyDescent="0.3">
      <c r="A2934" t="s">
        <v>28</v>
      </c>
      <c r="B2934" t="s">
        <v>45</v>
      </c>
      <c r="C2934" t="s">
        <v>30</v>
      </c>
      <c r="D2934" t="s">
        <v>24</v>
      </c>
      <c r="E2934" t="s">
        <v>15</v>
      </c>
      <c r="F2934" s="9">
        <v>0.05</v>
      </c>
      <c r="G2934" s="10">
        <v>6011</v>
      </c>
      <c r="H2934">
        <v>7.44</v>
      </c>
      <c r="I2934" s="5">
        <f>ROUND(Marketing[[#This Row],[Clicks]]*Marketing[[#This Row],[Conversion_Rate]],0)</f>
        <v>19</v>
      </c>
      <c r="J2934" s="12">
        <f>Marketing[[#This Row],[Campaign_Cost]]/Marketing[[#This Row],[Customers]]</f>
        <v>316.36842105263156</v>
      </c>
      <c r="K2934" t="s">
        <v>19</v>
      </c>
      <c r="L2934" t="s">
        <v>50</v>
      </c>
      <c r="M2934">
        <v>373</v>
      </c>
      <c r="N2934">
        <v>5661</v>
      </c>
      <c r="O2934">
        <v>10</v>
      </c>
      <c r="P2934" t="s">
        <v>42</v>
      </c>
      <c r="Q2934" s="1">
        <v>44209</v>
      </c>
    </row>
    <row r="2935" spans="1:17" x14ac:dyDescent="0.3">
      <c r="A2935" t="s">
        <v>49</v>
      </c>
      <c r="B2935" t="s">
        <v>29</v>
      </c>
      <c r="C2935" t="s">
        <v>37</v>
      </c>
      <c r="D2935" t="s">
        <v>46</v>
      </c>
      <c r="E2935" t="s">
        <v>15</v>
      </c>
      <c r="F2935" s="9">
        <v>0.06</v>
      </c>
      <c r="G2935" s="10">
        <v>12065</v>
      </c>
      <c r="H2935">
        <v>7.45</v>
      </c>
      <c r="I2935" s="5">
        <f>ROUND(Marketing[[#This Row],[Clicks]]*Marketing[[#This Row],[Conversion_Rate]],0)</f>
        <v>38</v>
      </c>
      <c r="J2935" s="12">
        <f>Marketing[[#This Row],[Campaign_Cost]]/Marketing[[#This Row],[Customers]]</f>
        <v>317.5</v>
      </c>
      <c r="K2935" t="s">
        <v>38</v>
      </c>
      <c r="L2935" t="s">
        <v>26</v>
      </c>
      <c r="M2935">
        <v>633</v>
      </c>
      <c r="N2935">
        <v>7742</v>
      </c>
      <c r="O2935">
        <v>7</v>
      </c>
      <c r="P2935" t="s">
        <v>34</v>
      </c>
      <c r="Q2935" s="1">
        <v>44210</v>
      </c>
    </row>
    <row r="2936" spans="1:17" x14ac:dyDescent="0.3">
      <c r="A2936" t="s">
        <v>49</v>
      </c>
      <c r="B2936" t="s">
        <v>47</v>
      </c>
      <c r="C2936" t="s">
        <v>16</v>
      </c>
      <c r="D2936" t="s">
        <v>40</v>
      </c>
      <c r="E2936" t="s">
        <v>31</v>
      </c>
      <c r="F2936" s="9">
        <v>0.15</v>
      </c>
      <c r="G2936" s="10">
        <v>18740</v>
      </c>
      <c r="H2936">
        <v>3.36</v>
      </c>
      <c r="I2936" s="5">
        <f>ROUND(Marketing[[#This Row],[Clicks]]*Marketing[[#This Row],[Conversion_Rate]],0)</f>
        <v>72</v>
      </c>
      <c r="J2936" s="12">
        <f>Marketing[[#This Row],[Campaign_Cost]]/Marketing[[#This Row],[Customers]]</f>
        <v>260.27777777777777</v>
      </c>
      <c r="K2936" t="s">
        <v>19</v>
      </c>
      <c r="L2936" t="s">
        <v>50</v>
      </c>
      <c r="M2936">
        <v>482</v>
      </c>
      <c r="N2936">
        <v>9950</v>
      </c>
      <c r="O2936">
        <v>6</v>
      </c>
      <c r="P2936" t="s">
        <v>42</v>
      </c>
      <c r="Q2936" s="1">
        <v>44211</v>
      </c>
    </row>
    <row r="2937" spans="1:17" x14ac:dyDescent="0.3">
      <c r="A2937" t="s">
        <v>35</v>
      </c>
      <c r="B2937" t="s">
        <v>36</v>
      </c>
      <c r="C2937" t="s">
        <v>23</v>
      </c>
      <c r="D2937" t="s">
        <v>40</v>
      </c>
      <c r="E2937" t="s">
        <v>48</v>
      </c>
      <c r="F2937" s="9">
        <v>0.13</v>
      </c>
      <c r="G2937" s="10">
        <v>11681</v>
      </c>
      <c r="H2937">
        <v>7.34</v>
      </c>
      <c r="I2937" s="5">
        <f>ROUND(Marketing[[#This Row],[Clicks]]*Marketing[[#This Row],[Conversion_Rate]],0)</f>
        <v>47</v>
      </c>
      <c r="J2937" s="12">
        <f>Marketing[[#This Row],[Campaign_Cost]]/Marketing[[#This Row],[Customers]]</f>
        <v>248.53191489361703</v>
      </c>
      <c r="K2937" t="s">
        <v>19</v>
      </c>
      <c r="L2937" t="s">
        <v>26</v>
      </c>
      <c r="M2937">
        <v>360</v>
      </c>
      <c r="N2937">
        <v>7134</v>
      </c>
      <c r="O2937">
        <v>5</v>
      </c>
      <c r="P2937" t="s">
        <v>21</v>
      </c>
      <c r="Q2937" s="1">
        <v>44212</v>
      </c>
    </row>
    <row r="2938" spans="1:17" x14ac:dyDescent="0.3">
      <c r="A2938" t="s">
        <v>49</v>
      </c>
      <c r="B2938" t="s">
        <v>29</v>
      </c>
      <c r="C2938" t="s">
        <v>30</v>
      </c>
      <c r="D2938" t="s">
        <v>17</v>
      </c>
      <c r="E2938" t="s">
        <v>15</v>
      </c>
      <c r="F2938" s="9">
        <v>0.03</v>
      </c>
      <c r="G2938" s="10">
        <v>19944</v>
      </c>
      <c r="H2938">
        <v>6.66</v>
      </c>
      <c r="I2938" s="5">
        <f>ROUND(Marketing[[#This Row],[Clicks]]*Marketing[[#This Row],[Conversion_Rate]],0)</f>
        <v>12</v>
      </c>
      <c r="J2938" s="12">
        <f>Marketing[[#This Row],[Campaign_Cost]]/Marketing[[#This Row],[Customers]]</f>
        <v>1662</v>
      </c>
      <c r="K2938" t="s">
        <v>51</v>
      </c>
      <c r="L2938" t="s">
        <v>39</v>
      </c>
      <c r="M2938">
        <v>392</v>
      </c>
      <c r="N2938">
        <v>1819</v>
      </c>
      <c r="O2938">
        <v>5</v>
      </c>
      <c r="P2938" t="s">
        <v>42</v>
      </c>
      <c r="Q2938" s="1">
        <v>44213</v>
      </c>
    </row>
    <row r="2939" spans="1:17" x14ac:dyDescent="0.3">
      <c r="A2939" t="s">
        <v>14</v>
      </c>
      <c r="B2939" t="s">
        <v>45</v>
      </c>
      <c r="C2939" t="s">
        <v>52</v>
      </c>
      <c r="D2939" t="s">
        <v>46</v>
      </c>
      <c r="E2939" t="s">
        <v>31</v>
      </c>
      <c r="F2939" s="9">
        <v>0.13</v>
      </c>
      <c r="G2939" s="10">
        <v>16161</v>
      </c>
      <c r="H2939">
        <v>7.96</v>
      </c>
      <c r="I2939" s="5">
        <f>ROUND(Marketing[[#This Row],[Clicks]]*Marketing[[#This Row],[Conversion_Rate]],0)</f>
        <v>111</v>
      </c>
      <c r="J2939" s="12">
        <f>Marketing[[#This Row],[Campaign_Cost]]/Marketing[[#This Row],[Customers]]</f>
        <v>145.59459459459458</v>
      </c>
      <c r="K2939" t="s">
        <v>51</v>
      </c>
      <c r="L2939" t="s">
        <v>20</v>
      </c>
      <c r="M2939">
        <v>851</v>
      </c>
      <c r="N2939">
        <v>9320</v>
      </c>
      <c r="O2939">
        <v>5</v>
      </c>
      <c r="P2939" t="s">
        <v>44</v>
      </c>
      <c r="Q2939" s="1">
        <v>44214</v>
      </c>
    </row>
    <row r="2940" spans="1:17" x14ac:dyDescent="0.3">
      <c r="A2940" t="s">
        <v>28</v>
      </c>
      <c r="B2940" t="s">
        <v>29</v>
      </c>
      <c r="C2940" t="s">
        <v>16</v>
      </c>
      <c r="D2940" t="s">
        <v>17</v>
      </c>
      <c r="E2940" t="s">
        <v>15</v>
      </c>
      <c r="F2940" s="9">
        <v>0.01</v>
      </c>
      <c r="G2940" s="10">
        <v>13875</v>
      </c>
      <c r="H2940">
        <v>6.93</v>
      </c>
      <c r="I2940" s="5">
        <f>ROUND(Marketing[[#This Row],[Clicks]]*Marketing[[#This Row],[Conversion_Rate]],0)</f>
        <v>7</v>
      </c>
      <c r="J2940" s="12">
        <f>Marketing[[#This Row],[Campaign_Cost]]/Marketing[[#This Row],[Customers]]</f>
        <v>1982.1428571428571</v>
      </c>
      <c r="K2940" t="s">
        <v>32</v>
      </c>
      <c r="L2940" t="s">
        <v>20</v>
      </c>
      <c r="M2940">
        <v>714</v>
      </c>
      <c r="N2940">
        <v>2150</v>
      </c>
      <c r="O2940">
        <v>10</v>
      </c>
      <c r="P2940" t="s">
        <v>42</v>
      </c>
      <c r="Q2940" s="1">
        <v>44215</v>
      </c>
    </row>
    <row r="2941" spans="1:17" x14ac:dyDescent="0.3">
      <c r="A2941" t="s">
        <v>49</v>
      </c>
      <c r="B2941" t="s">
        <v>47</v>
      </c>
      <c r="C2941" t="s">
        <v>23</v>
      </c>
      <c r="D2941" t="s">
        <v>24</v>
      </c>
      <c r="E2941" t="s">
        <v>18</v>
      </c>
      <c r="F2941" s="9">
        <v>0.12</v>
      </c>
      <c r="G2941" s="10">
        <v>17338</v>
      </c>
      <c r="H2941">
        <v>5.12</v>
      </c>
      <c r="I2941" s="5">
        <f>ROUND(Marketing[[#This Row],[Clicks]]*Marketing[[#This Row],[Conversion_Rate]],0)</f>
        <v>118</v>
      </c>
      <c r="J2941" s="12">
        <f>Marketing[[#This Row],[Campaign_Cost]]/Marketing[[#This Row],[Customers]]</f>
        <v>146.93220338983051</v>
      </c>
      <c r="K2941" t="s">
        <v>25</v>
      </c>
      <c r="L2941" t="s">
        <v>39</v>
      </c>
      <c r="M2941">
        <v>986</v>
      </c>
      <c r="N2941">
        <v>6016</v>
      </c>
      <c r="O2941">
        <v>2</v>
      </c>
      <c r="P2941" t="s">
        <v>42</v>
      </c>
      <c r="Q2941" s="1">
        <v>44216</v>
      </c>
    </row>
    <row r="2942" spans="1:17" x14ac:dyDescent="0.3">
      <c r="A2942" t="s">
        <v>28</v>
      </c>
      <c r="B2942" t="s">
        <v>29</v>
      </c>
      <c r="C2942" t="s">
        <v>30</v>
      </c>
      <c r="D2942" t="s">
        <v>17</v>
      </c>
      <c r="E2942" t="s">
        <v>31</v>
      </c>
      <c r="F2942" s="9">
        <v>0.03</v>
      </c>
      <c r="G2942" s="10">
        <v>13765</v>
      </c>
      <c r="H2942">
        <v>3.9</v>
      </c>
      <c r="I2942" s="5">
        <f>ROUND(Marketing[[#This Row],[Clicks]]*Marketing[[#This Row],[Conversion_Rate]],0)</f>
        <v>17</v>
      </c>
      <c r="J2942" s="12">
        <f>Marketing[[#This Row],[Campaign_Cost]]/Marketing[[#This Row],[Customers]]</f>
        <v>809.70588235294122</v>
      </c>
      <c r="K2942" t="s">
        <v>32</v>
      </c>
      <c r="L2942" t="s">
        <v>20</v>
      </c>
      <c r="M2942">
        <v>576</v>
      </c>
      <c r="N2942">
        <v>9707</v>
      </c>
      <c r="O2942">
        <v>4</v>
      </c>
      <c r="P2942" t="s">
        <v>21</v>
      </c>
      <c r="Q2942" s="1">
        <v>44217</v>
      </c>
    </row>
    <row r="2943" spans="1:17" x14ac:dyDescent="0.3">
      <c r="A2943" t="s">
        <v>35</v>
      </c>
      <c r="B2943" t="s">
        <v>45</v>
      </c>
      <c r="C2943" t="s">
        <v>37</v>
      </c>
      <c r="D2943" t="s">
        <v>46</v>
      </c>
      <c r="E2943" t="s">
        <v>41</v>
      </c>
      <c r="F2943" s="9">
        <v>0.12</v>
      </c>
      <c r="G2943" s="10">
        <v>15692</v>
      </c>
      <c r="H2943">
        <v>7.25</v>
      </c>
      <c r="I2943" s="5">
        <f>ROUND(Marketing[[#This Row],[Clicks]]*Marketing[[#This Row],[Conversion_Rate]],0)</f>
        <v>13</v>
      </c>
      <c r="J2943" s="12">
        <f>Marketing[[#This Row],[Campaign_Cost]]/Marketing[[#This Row],[Customers]]</f>
        <v>1207.0769230769231</v>
      </c>
      <c r="K2943" t="s">
        <v>38</v>
      </c>
      <c r="L2943" t="s">
        <v>50</v>
      </c>
      <c r="M2943">
        <v>110</v>
      </c>
      <c r="N2943">
        <v>1562</v>
      </c>
      <c r="O2943">
        <v>8</v>
      </c>
      <c r="P2943" t="s">
        <v>27</v>
      </c>
      <c r="Q2943" s="1">
        <v>44218</v>
      </c>
    </row>
    <row r="2944" spans="1:17" x14ac:dyDescent="0.3">
      <c r="A2944" t="s">
        <v>14</v>
      </c>
      <c r="B2944" t="s">
        <v>36</v>
      </c>
      <c r="C2944" t="s">
        <v>16</v>
      </c>
      <c r="D2944" t="s">
        <v>46</v>
      </c>
      <c r="E2944" t="s">
        <v>43</v>
      </c>
      <c r="F2944" s="9">
        <v>0.09</v>
      </c>
      <c r="G2944" s="10">
        <v>6150</v>
      </c>
      <c r="H2944">
        <v>6.13</v>
      </c>
      <c r="I2944" s="5">
        <f>ROUND(Marketing[[#This Row],[Clicks]]*Marketing[[#This Row],[Conversion_Rate]],0)</f>
        <v>31</v>
      </c>
      <c r="J2944" s="12">
        <f>Marketing[[#This Row],[Campaign_Cost]]/Marketing[[#This Row],[Customers]]</f>
        <v>198.38709677419354</v>
      </c>
      <c r="K2944" t="s">
        <v>32</v>
      </c>
      <c r="L2944" t="s">
        <v>20</v>
      </c>
      <c r="M2944">
        <v>343</v>
      </c>
      <c r="N2944">
        <v>7686</v>
      </c>
      <c r="O2944">
        <v>1</v>
      </c>
      <c r="P2944" t="s">
        <v>42</v>
      </c>
      <c r="Q2944" s="1">
        <v>44219</v>
      </c>
    </row>
    <row r="2945" spans="1:17" x14ac:dyDescent="0.3">
      <c r="A2945" t="s">
        <v>49</v>
      </c>
      <c r="B2945" t="s">
        <v>47</v>
      </c>
      <c r="C2945" t="s">
        <v>23</v>
      </c>
      <c r="D2945" t="s">
        <v>46</v>
      </c>
      <c r="E2945" t="s">
        <v>18</v>
      </c>
      <c r="F2945" s="9">
        <v>0.12</v>
      </c>
      <c r="G2945" s="10">
        <v>5157</v>
      </c>
      <c r="H2945">
        <v>3.51</v>
      </c>
      <c r="I2945" s="5">
        <f>ROUND(Marketing[[#This Row],[Clicks]]*Marketing[[#This Row],[Conversion_Rate]],0)</f>
        <v>60</v>
      </c>
      <c r="J2945" s="12">
        <f>Marketing[[#This Row],[Campaign_Cost]]/Marketing[[#This Row],[Customers]]</f>
        <v>85.95</v>
      </c>
      <c r="K2945" t="s">
        <v>32</v>
      </c>
      <c r="L2945" t="s">
        <v>20</v>
      </c>
      <c r="M2945">
        <v>500</v>
      </c>
      <c r="N2945">
        <v>6705</v>
      </c>
      <c r="O2945">
        <v>7</v>
      </c>
      <c r="P2945" t="s">
        <v>21</v>
      </c>
      <c r="Q2945" s="1">
        <v>44220</v>
      </c>
    </row>
    <row r="2946" spans="1:17" x14ac:dyDescent="0.3">
      <c r="A2946" t="s">
        <v>28</v>
      </c>
      <c r="B2946" t="s">
        <v>15</v>
      </c>
      <c r="C2946" t="s">
        <v>52</v>
      </c>
      <c r="D2946" t="s">
        <v>17</v>
      </c>
      <c r="E2946" t="s">
        <v>41</v>
      </c>
      <c r="F2946" s="9">
        <v>0.08</v>
      </c>
      <c r="G2946" s="10">
        <v>14711</v>
      </c>
      <c r="H2946">
        <v>3.7</v>
      </c>
      <c r="I2946" s="5">
        <f>ROUND(Marketing[[#This Row],[Clicks]]*Marketing[[#This Row],[Conversion_Rate]],0)</f>
        <v>59</v>
      </c>
      <c r="J2946" s="12">
        <f>Marketing[[#This Row],[Campaign_Cost]]/Marketing[[#This Row],[Customers]]</f>
        <v>249.33898305084745</v>
      </c>
      <c r="K2946" t="s">
        <v>25</v>
      </c>
      <c r="L2946" t="s">
        <v>26</v>
      </c>
      <c r="M2946">
        <v>732</v>
      </c>
      <c r="N2946">
        <v>9198</v>
      </c>
      <c r="O2946">
        <v>1</v>
      </c>
      <c r="P2946" t="s">
        <v>34</v>
      </c>
      <c r="Q2946" s="1">
        <v>44221</v>
      </c>
    </row>
    <row r="2947" spans="1:17" x14ac:dyDescent="0.3">
      <c r="A2947" t="s">
        <v>28</v>
      </c>
      <c r="B2947" t="s">
        <v>47</v>
      </c>
      <c r="C2947" t="s">
        <v>16</v>
      </c>
      <c r="D2947" t="s">
        <v>17</v>
      </c>
      <c r="E2947" t="s">
        <v>41</v>
      </c>
      <c r="F2947" s="9">
        <v>0.12</v>
      </c>
      <c r="G2947" s="10">
        <v>12648</v>
      </c>
      <c r="H2947">
        <v>4.7</v>
      </c>
      <c r="I2947" s="5">
        <f>ROUND(Marketing[[#This Row],[Clicks]]*Marketing[[#This Row],[Conversion_Rate]],0)</f>
        <v>14</v>
      </c>
      <c r="J2947" s="12">
        <f>Marketing[[#This Row],[Campaign_Cost]]/Marketing[[#This Row],[Customers]]</f>
        <v>903.42857142857144</v>
      </c>
      <c r="K2947" t="s">
        <v>32</v>
      </c>
      <c r="L2947" t="s">
        <v>39</v>
      </c>
      <c r="M2947">
        <v>113</v>
      </c>
      <c r="N2947">
        <v>2673</v>
      </c>
      <c r="O2947">
        <v>4</v>
      </c>
      <c r="P2947" t="s">
        <v>21</v>
      </c>
      <c r="Q2947" s="1">
        <v>44222</v>
      </c>
    </row>
    <row r="2948" spans="1:17" x14ac:dyDescent="0.3">
      <c r="A2948" t="s">
        <v>22</v>
      </c>
      <c r="B2948" t="s">
        <v>15</v>
      </c>
      <c r="C2948" t="s">
        <v>23</v>
      </c>
      <c r="D2948" t="s">
        <v>24</v>
      </c>
      <c r="E2948" t="s">
        <v>15</v>
      </c>
      <c r="F2948" s="9">
        <v>0.13</v>
      </c>
      <c r="G2948" s="10">
        <v>10609</v>
      </c>
      <c r="H2948">
        <v>3.72</v>
      </c>
      <c r="I2948" s="5">
        <f>ROUND(Marketing[[#This Row],[Clicks]]*Marketing[[#This Row],[Conversion_Rate]],0)</f>
        <v>25</v>
      </c>
      <c r="J2948" s="12">
        <f>Marketing[[#This Row],[Campaign_Cost]]/Marketing[[#This Row],[Customers]]</f>
        <v>424.36</v>
      </c>
      <c r="K2948" t="s">
        <v>38</v>
      </c>
      <c r="L2948" t="s">
        <v>20</v>
      </c>
      <c r="M2948">
        <v>193</v>
      </c>
      <c r="N2948">
        <v>8394</v>
      </c>
      <c r="O2948">
        <v>7</v>
      </c>
      <c r="P2948" t="s">
        <v>34</v>
      </c>
      <c r="Q2948" s="1">
        <v>44223</v>
      </c>
    </row>
    <row r="2949" spans="1:17" x14ac:dyDescent="0.3">
      <c r="A2949" t="s">
        <v>35</v>
      </c>
      <c r="B2949" t="s">
        <v>45</v>
      </c>
      <c r="C2949" t="s">
        <v>37</v>
      </c>
      <c r="D2949" t="s">
        <v>24</v>
      </c>
      <c r="E2949" t="s">
        <v>31</v>
      </c>
      <c r="F2949" s="9">
        <v>0.13</v>
      </c>
      <c r="G2949" s="10">
        <v>6151</v>
      </c>
      <c r="H2949">
        <v>3.48</v>
      </c>
      <c r="I2949" s="5">
        <f>ROUND(Marketing[[#This Row],[Clicks]]*Marketing[[#This Row],[Conversion_Rate]],0)</f>
        <v>39</v>
      </c>
      <c r="J2949" s="12">
        <f>Marketing[[#This Row],[Campaign_Cost]]/Marketing[[#This Row],[Customers]]</f>
        <v>157.71794871794873</v>
      </c>
      <c r="K2949" t="s">
        <v>19</v>
      </c>
      <c r="L2949" t="s">
        <v>33</v>
      </c>
      <c r="M2949">
        <v>301</v>
      </c>
      <c r="N2949">
        <v>9983</v>
      </c>
      <c r="O2949">
        <v>8</v>
      </c>
      <c r="P2949" t="s">
        <v>21</v>
      </c>
      <c r="Q2949" s="1">
        <v>44224</v>
      </c>
    </row>
    <row r="2950" spans="1:17" x14ac:dyDescent="0.3">
      <c r="A2950" t="s">
        <v>28</v>
      </c>
      <c r="B2950" t="s">
        <v>47</v>
      </c>
      <c r="C2950" t="s">
        <v>52</v>
      </c>
      <c r="D2950" t="s">
        <v>24</v>
      </c>
      <c r="E2950" t="s">
        <v>43</v>
      </c>
      <c r="F2950" s="9">
        <v>0.1</v>
      </c>
      <c r="G2950" s="10">
        <v>6017</v>
      </c>
      <c r="H2950">
        <v>4.95</v>
      </c>
      <c r="I2950" s="5">
        <f>ROUND(Marketing[[#This Row],[Clicks]]*Marketing[[#This Row],[Conversion_Rate]],0)</f>
        <v>90</v>
      </c>
      <c r="J2950" s="12">
        <f>Marketing[[#This Row],[Campaign_Cost]]/Marketing[[#This Row],[Customers]]</f>
        <v>66.855555555555554</v>
      </c>
      <c r="K2950" t="s">
        <v>38</v>
      </c>
      <c r="L2950" t="s">
        <v>26</v>
      </c>
      <c r="M2950">
        <v>904</v>
      </c>
      <c r="N2950">
        <v>4935</v>
      </c>
      <c r="O2950">
        <v>3</v>
      </c>
      <c r="P2950" t="s">
        <v>34</v>
      </c>
      <c r="Q2950" s="1">
        <v>44225</v>
      </c>
    </row>
    <row r="2951" spans="1:17" x14ac:dyDescent="0.3">
      <c r="A2951" t="s">
        <v>28</v>
      </c>
      <c r="B2951" t="s">
        <v>29</v>
      </c>
      <c r="C2951" t="s">
        <v>23</v>
      </c>
      <c r="D2951" t="s">
        <v>24</v>
      </c>
      <c r="E2951" t="s">
        <v>31</v>
      </c>
      <c r="F2951" s="9">
        <v>0.05</v>
      </c>
      <c r="G2951" s="10">
        <v>9495</v>
      </c>
      <c r="H2951">
        <v>7.79</v>
      </c>
      <c r="I2951" s="5">
        <f>ROUND(Marketing[[#This Row],[Clicks]]*Marketing[[#This Row],[Conversion_Rate]],0)</f>
        <v>19</v>
      </c>
      <c r="J2951" s="12">
        <f>Marketing[[#This Row],[Campaign_Cost]]/Marketing[[#This Row],[Customers]]</f>
        <v>499.73684210526318</v>
      </c>
      <c r="K2951" t="s">
        <v>32</v>
      </c>
      <c r="L2951" t="s">
        <v>33</v>
      </c>
      <c r="M2951">
        <v>371</v>
      </c>
      <c r="N2951">
        <v>1710</v>
      </c>
      <c r="O2951">
        <v>7</v>
      </c>
      <c r="P2951" t="s">
        <v>21</v>
      </c>
      <c r="Q2951" s="1">
        <v>44226</v>
      </c>
    </row>
    <row r="2952" spans="1:17" x14ac:dyDescent="0.3">
      <c r="A2952" t="s">
        <v>49</v>
      </c>
      <c r="B2952" t="s">
        <v>15</v>
      </c>
      <c r="C2952" t="s">
        <v>30</v>
      </c>
      <c r="D2952" t="s">
        <v>17</v>
      </c>
      <c r="E2952" t="s">
        <v>48</v>
      </c>
      <c r="F2952" s="9">
        <v>0.09</v>
      </c>
      <c r="G2952" s="10">
        <v>14387</v>
      </c>
      <c r="H2952">
        <v>7.08</v>
      </c>
      <c r="I2952" s="5">
        <f>ROUND(Marketing[[#This Row],[Clicks]]*Marketing[[#This Row],[Conversion_Rate]],0)</f>
        <v>52</v>
      </c>
      <c r="J2952" s="12">
        <f>Marketing[[#This Row],[Campaign_Cost]]/Marketing[[#This Row],[Customers]]</f>
        <v>276.67307692307691</v>
      </c>
      <c r="K2952" t="s">
        <v>19</v>
      </c>
      <c r="L2952" t="s">
        <v>33</v>
      </c>
      <c r="M2952">
        <v>583</v>
      </c>
      <c r="N2952">
        <v>5516</v>
      </c>
      <c r="O2952">
        <v>4</v>
      </c>
      <c r="P2952" t="s">
        <v>27</v>
      </c>
      <c r="Q2952" s="1">
        <v>44227</v>
      </c>
    </row>
    <row r="2953" spans="1:17" x14ac:dyDescent="0.3">
      <c r="A2953" t="s">
        <v>49</v>
      </c>
      <c r="B2953" t="s">
        <v>36</v>
      </c>
      <c r="C2953" t="s">
        <v>37</v>
      </c>
      <c r="D2953" t="s">
        <v>24</v>
      </c>
      <c r="E2953" t="s">
        <v>15</v>
      </c>
      <c r="F2953" s="9">
        <v>0.04</v>
      </c>
      <c r="G2953" s="10">
        <v>14753</v>
      </c>
      <c r="H2953">
        <v>7.7</v>
      </c>
      <c r="I2953" s="5">
        <f>ROUND(Marketing[[#This Row],[Clicks]]*Marketing[[#This Row],[Conversion_Rate]],0)</f>
        <v>24</v>
      </c>
      <c r="J2953" s="12">
        <f>Marketing[[#This Row],[Campaign_Cost]]/Marketing[[#This Row],[Customers]]</f>
        <v>614.70833333333337</v>
      </c>
      <c r="K2953" t="s">
        <v>38</v>
      </c>
      <c r="L2953" t="s">
        <v>50</v>
      </c>
      <c r="M2953">
        <v>600</v>
      </c>
      <c r="N2953">
        <v>1828</v>
      </c>
      <c r="O2953">
        <v>7</v>
      </c>
      <c r="P2953" t="s">
        <v>21</v>
      </c>
      <c r="Q2953" s="1">
        <v>44228</v>
      </c>
    </row>
    <row r="2954" spans="1:17" x14ac:dyDescent="0.3">
      <c r="A2954" t="s">
        <v>28</v>
      </c>
      <c r="B2954" t="s">
        <v>47</v>
      </c>
      <c r="C2954" t="s">
        <v>37</v>
      </c>
      <c r="D2954" t="s">
        <v>46</v>
      </c>
      <c r="E2954" t="s">
        <v>18</v>
      </c>
      <c r="F2954" s="9">
        <v>7.0000000000000007E-2</v>
      </c>
      <c r="G2954" s="10">
        <v>12451</v>
      </c>
      <c r="H2954">
        <v>4.3099999999999996</v>
      </c>
      <c r="I2954" s="5">
        <f>ROUND(Marketing[[#This Row],[Clicks]]*Marketing[[#This Row],[Conversion_Rate]],0)</f>
        <v>44</v>
      </c>
      <c r="J2954" s="12">
        <f>Marketing[[#This Row],[Campaign_Cost]]/Marketing[[#This Row],[Customers]]</f>
        <v>282.97727272727275</v>
      </c>
      <c r="K2954" t="s">
        <v>19</v>
      </c>
      <c r="L2954" t="s">
        <v>33</v>
      </c>
      <c r="M2954">
        <v>625</v>
      </c>
      <c r="N2954">
        <v>4976</v>
      </c>
      <c r="O2954">
        <v>2</v>
      </c>
      <c r="P2954" t="s">
        <v>34</v>
      </c>
      <c r="Q2954" s="1">
        <v>44229</v>
      </c>
    </row>
    <row r="2955" spans="1:17" x14ac:dyDescent="0.3">
      <c r="A2955" t="s">
        <v>49</v>
      </c>
      <c r="B2955" t="s">
        <v>36</v>
      </c>
      <c r="C2955" t="s">
        <v>52</v>
      </c>
      <c r="D2955" t="s">
        <v>40</v>
      </c>
      <c r="E2955" t="s">
        <v>48</v>
      </c>
      <c r="F2955" s="9">
        <v>0.11</v>
      </c>
      <c r="G2955" s="10">
        <v>12924</v>
      </c>
      <c r="H2955">
        <v>7.04</v>
      </c>
      <c r="I2955" s="5">
        <f>ROUND(Marketing[[#This Row],[Clicks]]*Marketing[[#This Row],[Conversion_Rate]],0)</f>
        <v>99</v>
      </c>
      <c r="J2955" s="12">
        <f>Marketing[[#This Row],[Campaign_Cost]]/Marketing[[#This Row],[Customers]]</f>
        <v>130.54545454545453</v>
      </c>
      <c r="K2955" t="s">
        <v>19</v>
      </c>
      <c r="L2955" t="s">
        <v>33</v>
      </c>
      <c r="M2955">
        <v>896</v>
      </c>
      <c r="N2955">
        <v>3544</v>
      </c>
      <c r="O2955">
        <v>8</v>
      </c>
      <c r="P2955" t="s">
        <v>44</v>
      </c>
      <c r="Q2955" s="1">
        <v>44230</v>
      </c>
    </row>
    <row r="2956" spans="1:17" x14ac:dyDescent="0.3">
      <c r="A2956" t="s">
        <v>14</v>
      </c>
      <c r="B2956" t="s">
        <v>29</v>
      </c>
      <c r="C2956" t="s">
        <v>23</v>
      </c>
      <c r="D2956" t="s">
        <v>46</v>
      </c>
      <c r="E2956" t="s">
        <v>31</v>
      </c>
      <c r="F2956" s="9">
        <v>0.02</v>
      </c>
      <c r="G2956" s="10">
        <v>11860</v>
      </c>
      <c r="H2956">
        <v>6.87</v>
      </c>
      <c r="I2956" s="5">
        <f>ROUND(Marketing[[#This Row],[Clicks]]*Marketing[[#This Row],[Conversion_Rate]],0)</f>
        <v>3</v>
      </c>
      <c r="J2956" s="12">
        <f>Marketing[[#This Row],[Campaign_Cost]]/Marketing[[#This Row],[Customers]]</f>
        <v>3953.3333333333335</v>
      </c>
      <c r="K2956" t="s">
        <v>51</v>
      </c>
      <c r="L2956" t="s">
        <v>20</v>
      </c>
      <c r="M2956">
        <v>152</v>
      </c>
      <c r="N2956">
        <v>4030</v>
      </c>
      <c r="O2956">
        <v>3</v>
      </c>
      <c r="P2956" t="s">
        <v>34</v>
      </c>
      <c r="Q2956" s="1">
        <v>44231</v>
      </c>
    </row>
    <row r="2957" spans="1:17" x14ac:dyDescent="0.3">
      <c r="A2957" t="s">
        <v>22</v>
      </c>
      <c r="B2957" t="s">
        <v>29</v>
      </c>
      <c r="C2957" t="s">
        <v>23</v>
      </c>
      <c r="D2957" t="s">
        <v>46</v>
      </c>
      <c r="E2957" t="s">
        <v>41</v>
      </c>
      <c r="F2957" s="9">
        <v>0.14000000000000001</v>
      </c>
      <c r="G2957" s="10">
        <v>7034</v>
      </c>
      <c r="H2957">
        <v>3.49</v>
      </c>
      <c r="I2957" s="5">
        <f>ROUND(Marketing[[#This Row],[Clicks]]*Marketing[[#This Row],[Conversion_Rate]],0)</f>
        <v>70</v>
      </c>
      <c r="J2957" s="12">
        <f>Marketing[[#This Row],[Campaign_Cost]]/Marketing[[#This Row],[Customers]]</f>
        <v>100.48571428571428</v>
      </c>
      <c r="K2957" t="s">
        <v>51</v>
      </c>
      <c r="L2957" t="s">
        <v>39</v>
      </c>
      <c r="M2957">
        <v>498</v>
      </c>
      <c r="N2957">
        <v>9496</v>
      </c>
      <c r="O2957">
        <v>9</v>
      </c>
      <c r="P2957" t="s">
        <v>44</v>
      </c>
      <c r="Q2957" s="1">
        <v>44232</v>
      </c>
    </row>
    <row r="2958" spans="1:17" x14ac:dyDescent="0.3">
      <c r="A2958" t="s">
        <v>14</v>
      </c>
      <c r="B2958" t="s">
        <v>36</v>
      </c>
      <c r="C2958" t="s">
        <v>30</v>
      </c>
      <c r="D2958" t="s">
        <v>40</v>
      </c>
      <c r="E2958" t="s">
        <v>43</v>
      </c>
      <c r="F2958" s="9">
        <v>0.09</v>
      </c>
      <c r="G2958" s="10">
        <v>6285</v>
      </c>
      <c r="H2958">
        <v>5.55</v>
      </c>
      <c r="I2958" s="5">
        <f>ROUND(Marketing[[#This Row],[Clicks]]*Marketing[[#This Row],[Conversion_Rate]],0)</f>
        <v>80</v>
      </c>
      <c r="J2958" s="12">
        <f>Marketing[[#This Row],[Campaign_Cost]]/Marketing[[#This Row],[Customers]]</f>
        <v>78.5625</v>
      </c>
      <c r="K2958" t="s">
        <v>38</v>
      </c>
      <c r="L2958" t="s">
        <v>50</v>
      </c>
      <c r="M2958">
        <v>884</v>
      </c>
      <c r="N2958">
        <v>1549</v>
      </c>
      <c r="O2958">
        <v>2</v>
      </c>
      <c r="P2958" t="s">
        <v>44</v>
      </c>
      <c r="Q2958" s="1">
        <v>44233</v>
      </c>
    </row>
    <row r="2959" spans="1:17" x14ac:dyDescent="0.3">
      <c r="A2959" t="s">
        <v>35</v>
      </c>
      <c r="B2959" t="s">
        <v>45</v>
      </c>
      <c r="C2959" t="s">
        <v>52</v>
      </c>
      <c r="D2959" t="s">
        <v>17</v>
      </c>
      <c r="E2959" t="s">
        <v>48</v>
      </c>
      <c r="F2959" s="9">
        <v>0.04</v>
      </c>
      <c r="G2959" s="10">
        <v>7253</v>
      </c>
      <c r="H2959">
        <v>5.52</v>
      </c>
      <c r="I2959" s="5">
        <f>ROUND(Marketing[[#This Row],[Clicks]]*Marketing[[#This Row],[Conversion_Rate]],0)</f>
        <v>10</v>
      </c>
      <c r="J2959" s="12">
        <f>Marketing[[#This Row],[Campaign_Cost]]/Marketing[[#This Row],[Customers]]</f>
        <v>725.3</v>
      </c>
      <c r="K2959" t="s">
        <v>38</v>
      </c>
      <c r="L2959" t="s">
        <v>33</v>
      </c>
      <c r="M2959">
        <v>242</v>
      </c>
      <c r="N2959">
        <v>9814</v>
      </c>
      <c r="O2959">
        <v>3</v>
      </c>
      <c r="P2959" t="s">
        <v>34</v>
      </c>
      <c r="Q2959" s="1">
        <v>44234</v>
      </c>
    </row>
    <row r="2960" spans="1:17" x14ac:dyDescent="0.3">
      <c r="A2960" t="s">
        <v>28</v>
      </c>
      <c r="B2960" t="s">
        <v>45</v>
      </c>
      <c r="C2960" t="s">
        <v>30</v>
      </c>
      <c r="D2960" t="s">
        <v>17</v>
      </c>
      <c r="E2960" t="s">
        <v>31</v>
      </c>
      <c r="F2960" s="9">
        <v>0.12</v>
      </c>
      <c r="G2960" s="10">
        <v>11864</v>
      </c>
      <c r="H2960">
        <v>4.82</v>
      </c>
      <c r="I2960" s="5">
        <f>ROUND(Marketing[[#This Row],[Clicks]]*Marketing[[#This Row],[Conversion_Rate]],0)</f>
        <v>77</v>
      </c>
      <c r="J2960" s="12">
        <f>Marketing[[#This Row],[Campaign_Cost]]/Marketing[[#This Row],[Customers]]</f>
        <v>154.07792207792207</v>
      </c>
      <c r="K2960" t="s">
        <v>32</v>
      </c>
      <c r="L2960" t="s">
        <v>26</v>
      </c>
      <c r="M2960">
        <v>643</v>
      </c>
      <c r="N2960">
        <v>4123</v>
      </c>
      <c r="O2960">
        <v>5</v>
      </c>
      <c r="P2960" t="s">
        <v>21</v>
      </c>
      <c r="Q2960" s="1">
        <v>44235</v>
      </c>
    </row>
    <row r="2961" spans="1:17" x14ac:dyDescent="0.3">
      <c r="A2961" t="s">
        <v>49</v>
      </c>
      <c r="B2961" t="s">
        <v>15</v>
      </c>
      <c r="C2961" t="s">
        <v>37</v>
      </c>
      <c r="D2961" t="s">
        <v>24</v>
      </c>
      <c r="E2961" t="s">
        <v>48</v>
      </c>
      <c r="F2961" s="9">
        <v>0.14000000000000001</v>
      </c>
      <c r="G2961" s="10">
        <v>10600</v>
      </c>
      <c r="H2961">
        <v>5.0199999999999996</v>
      </c>
      <c r="I2961" s="5">
        <f>ROUND(Marketing[[#This Row],[Clicks]]*Marketing[[#This Row],[Conversion_Rate]],0)</f>
        <v>79</v>
      </c>
      <c r="J2961" s="12">
        <f>Marketing[[#This Row],[Campaign_Cost]]/Marketing[[#This Row],[Customers]]</f>
        <v>134.17721518987341</v>
      </c>
      <c r="K2961" t="s">
        <v>19</v>
      </c>
      <c r="L2961" t="s">
        <v>39</v>
      </c>
      <c r="M2961">
        <v>563</v>
      </c>
      <c r="N2961">
        <v>3616</v>
      </c>
      <c r="O2961">
        <v>4</v>
      </c>
      <c r="P2961" t="s">
        <v>27</v>
      </c>
      <c r="Q2961" s="1">
        <v>44236</v>
      </c>
    </row>
    <row r="2962" spans="1:17" x14ac:dyDescent="0.3">
      <c r="A2962" t="s">
        <v>14</v>
      </c>
      <c r="B2962" t="s">
        <v>15</v>
      </c>
      <c r="C2962" t="s">
        <v>37</v>
      </c>
      <c r="D2962" t="s">
        <v>17</v>
      </c>
      <c r="E2962" t="s">
        <v>18</v>
      </c>
      <c r="F2962" s="9">
        <v>0.03</v>
      </c>
      <c r="G2962" s="10">
        <v>6203</v>
      </c>
      <c r="H2962">
        <v>3.08</v>
      </c>
      <c r="I2962" s="5">
        <f>ROUND(Marketing[[#This Row],[Clicks]]*Marketing[[#This Row],[Conversion_Rate]],0)</f>
        <v>17</v>
      </c>
      <c r="J2962" s="12">
        <f>Marketing[[#This Row],[Campaign_Cost]]/Marketing[[#This Row],[Customers]]</f>
        <v>364.88235294117646</v>
      </c>
      <c r="K2962" t="s">
        <v>32</v>
      </c>
      <c r="L2962" t="s">
        <v>20</v>
      </c>
      <c r="M2962">
        <v>568</v>
      </c>
      <c r="N2962">
        <v>8646</v>
      </c>
      <c r="O2962">
        <v>4</v>
      </c>
      <c r="P2962" t="s">
        <v>27</v>
      </c>
      <c r="Q2962" s="1">
        <v>44237</v>
      </c>
    </row>
    <row r="2963" spans="1:17" x14ac:dyDescent="0.3">
      <c r="A2963" t="s">
        <v>14</v>
      </c>
      <c r="B2963" t="s">
        <v>45</v>
      </c>
      <c r="C2963" t="s">
        <v>52</v>
      </c>
      <c r="D2963" t="s">
        <v>24</v>
      </c>
      <c r="E2963" t="s">
        <v>43</v>
      </c>
      <c r="F2963" s="9">
        <v>0.09</v>
      </c>
      <c r="G2963" s="10">
        <v>17751</v>
      </c>
      <c r="H2963">
        <v>3.59</v>
      </c>
      <c r="I2963" s="5">
        <f>ROUND(Marketing[[#This Row],[Clicks]]*Marketing[[#This Row],[Conversion_Rate]],0)</f>
        <v>65</v>
      </c>
      <c r="J2963" s="12">
        <f>Marketing[[#This Row],[Campaign_Cost]]/Marketing[[#This Row],[Customers]]</f>
        <v>273.09230769230771</v>
      </c>
      <c r="K2963" t="s">
        <v>38</v>
      </c>
      <c r="L2963" t="s">
        <v>26</v>
      </c>
      <c r="M2963">
        <v>722</v>
      </c>
      <c r="N2963">
        <v>8471</v>
      </c>
      <c r="O2963">
        <v>10</v>
      </c>
      <c r="P2963" t="s">
        <v>27</v>
      </c>
      <c r="Q2963" s="1">
        <v>44238</v>
      </c>
    </row>
    <row r="2964" spans="1:17" x14ac:dyDescent="0.3">
      <c r="A2964" t="s">
        <v>14</v>
      </c>
      <c r="B2964" t="s">
        <v>47</v>
      </c>
      <c r="C2964" t="s">
        <v>16</v>
      </c>
      <c r="D2964" t="s">
        <v>24</v>
      </c>
      <c r="E2964" t="s">
        <v>18</v>
      </c>
      <c r="F2964" s="9">
        <v>0.11</v>
      </c>
      <c r="G2964" s="10">
        <v>17526</v>
      </c>
      <c r="H2964">
        <v>5.51</v>
      </c>
      <c r="I2964" s="5">
        <f>ROUND(Marketing[[#This Row],[Clicks]]*Marketing[[#This Row],[Conversion_Rate]],0)</f>
        <v>14</v>
      </c>
      <c r="J2964" s="12">
        <f>Marketing[[#This Row],[Campaign_Cost]]/Marketing[[#This Row],[Customers]]</f>
        <v>1251.8571428571429</v>
      </c>
      <c r="K2964" t="s">
        <v>19</v>
      </c>
      <c r="L2964" t="s">
        <v>33</v>
      </c>
      <c r="M2964">
        <v>130</v>
      </c>
      <c r="N2964">
        <v>5134</v>
      </c>
      <c r="O2964">
        <v>2</v>
      </c>
      <c r="P2964" t="s">
        <v>21</v>
      </c>
      <c r="Q2964" s="1">
        <v>44239</v>
      </c>
    </row>
    <row r="2965" spans="1:17" x14ac:dyDescent="0.3">
      <c r="A2965" t="s">
        <v>49</v>
      </c>
      <c r="B2965" t="s">
        <v>29</v>
      </c>
      <c r="C2965" t="s">
        <v>30</v>
      </c>
      <c r="D2965" t="s">
        <v>40</v>
      </c>
      <c r="E2965" t="s">
        <v>48</v>
      </c>
      <c r="F2965" s="9">
        <v>0.03</v>
      </c>
      <c r="G2965" s="10">
        <v>6948</v>
      </c>
      <c r="H2965">
        <v>4.84</v>
      </c>
      <c r="I2965" s="5">
        <f>ROUND(Marketing[[#This Row],[Clicks]]*Marketing[[#This Row],[Conversion_Rate]],0)</f>
        <v>23</v>
      </c>
      <c r="J2965" s="12">
        <f>Marketing[[#This Row],[Campaign_Cost]]/Marketing[[#This Row],[Customers]]</f>
        <v>302.08695652173913</v>
      </c>
      <c r="K2965" t="s">
        <v>19</v>
      </c>
      <c r="L2965" t="s">
        <v>26</v>
      </c>
      <c r="M2965">
        <v>781</v>
      </c>
      <c r="N2965">
        <v>4776</v>
      </c>
      <c r="O2965">
        <v>1</v>
      </c>
      <c r="P2965" t="s">
        <v>27</v>
      </c>
      <c r="Q2965" s="1">
        <v>44240</v>
      </c>
    </row>
    <row r="2966" spans="1:17" x14ac:dyDescent="0.3">
      <c r="A2966" t="s">
        <v>49</v>
      </c>
      <c r="B2966" t="s">
        <v>45</v>
      </c>
      <c r="C2966" t="s">
        <v>23</v>
      </c>
      <c r="D2966" t="s">
        <v>40</v>
      </c>
      <c r="E2966" t="s">
        <v>41</v>
      </c>
      <c r="F2966" s="9">
        <v>0.04</v>
      </c>
      <c r="G2966" s="10">
        <v>8126</v>
      </c>
      <c r="H2966">
        <v>4.25</v>
      </c>
      <c r="I2966" s="5">
        <f>ROUND(Marketing[[#This Row],[Clicks]]*Marketing[[#This Row],[Conversion_Rate]],0)</f>
        <v>14</v>
      </c>
      <c r="J2966" s="12">
        <f>Marketing[[#This Row],[Campaign_Cost]]/Marketing[[#This Row],[Customers]]</f>
        <v>580.42857142857144</v>
      </c>
      <c r="K2966" t="s">
        <v>19</v>
      </c>
      <c r="L2966" t="s">
        <v>39</v>
      </c>
      <c r="M2966">
        <v>355</v>
      </c>
      <c r="N2966">
        <v>3547</v>
      </c>
      <c r="O2966">
        <v>8</v>
      </c>
      <c r="P2966" t="s">
        <v>21</v>
      </c>
      <c r="Q2966" s="1">
        <v>44241</v>
      </c>
    </row>
    <row r="2967" spans="1:17" x14ac:dyDescent="0.3">
      <c r="A2967" t="s">
        <v>35</v>
      </c>
      <c r="B2967" t="s">
        <v>15</v>
      </c>
      <c r="C2967" t="s">
        <v>16</v>
      </c>
      <c r="D2967" t="s">
        <v>46</v>
      </c>
      <c r="E2967" t="s">
        <v>41</v>
      </c>
      <c r="F2967" s="9">
        <v>0.04</v>
      </c>
      <c r="G2967" s="10">
        <v>9652</v>
      </c>
      <c r="H2967">
        <v>6.19</v>
      </c>
      <c r="I2967" s="5">
        <f>ROUND(Marketing[[#This Row],[Clicks]]*Marketing[[#This Row],[Conversion_Rate]],0)</f>
        <v>30</v>
      </c>
      <c r="J2967" s="12">
        <f>Marketing[[#This Row],[Campaign_Cost]]/Marketing[[#This Row],[Customers]]</f>
        <v>321.73333333333335</v>
      </c>
      <c r="K2967" t="s">
        <v>38</v>
      </c>
      <c r="L2967" t="s">
        <v>33</v>
      </c>
      <c r="M2967">
        <v>739</v>
      </c>
      <c r="N2967">
        <v>8134</v>
      </c>
      <c r="O2967">
        <v>7</v>
      </c>
      <c r="P2967" t="s">
        <v>44</v>
      </c>
      <c r="Q2967" s="1">
        <v>44242</v>
      </c>
    </row>
    <row r="2968" spans="1:17" x14ac:dyDescent="0.3">
      <c r="A2968" t="s">
        <v>28</v>
      </c>
      <c r="B2968" t="s">
        <v>47</v>
      </c>
      <c r="C2968" t="s">
        <v>30</v>
      </c>
      <c r="D2968" t="s">
        <v>46</v>
      </c>
      <c r="E2968" t="s">
        <v>15</v>
      </c>
      <c r="F2968" s="9">
        <v>0.04</v>
      </c>
      <c r="G2968" s="10">
        <v>11870</v>
      </c>
      <c r="H2968">
        <v>5.71</v>
      </c>
      <c r="I2968" s="5">
        <f>ROUND(Marketing[[#This Row],[Clicks]]*Marketing[[#This Row],[Conversion_Rate]],0)</f>
        <v>37</v>
      </c>
      <c r="J2968" s="12">
        <f>Marketing[[#This Row],[Campaign_Cost]]/Marketing[[#This Row],[Customers]]</f>
        <v>320.81081081081084</v>
      </c>
      <c r="K2968" t="s">
        <v>19</v>
      </c>
      <c r="L2968" t="s">
        <v>50</v>
      </c>
      <c r="M2968">
        <v>932</v>
      </c>
      <c r="N2968">
        <v>2609</v>
      </c>
      <c r="O2968">
        <v>10</v>
      </c>
      <c r="P2968" t="s">
        <v>34</v>
      </c>
      <c r="Q2968" s="1">
        <v>44243</v>
      </c>
    </row>
    <row r="2969" spans="1:17" x14ac:dyDescent="0.3">
      <c r="A2969" t="s">
        <v>28</v>
      </c>
      <c r="B2969" t="s">
        <v>36</v>
      </c>
      <c r="C2969" t="s">
        <v>52</v>
      </c>
      <c r="D2969" t="s">
        <v>24</v>
      </c>
      <c r="E2969" t="s">
        <v>18</v>
      </c>
      <c r="F2969" s="9">
        <v>0.05</v>
      </c>
      <c r="G2969" s="10">
        <v>17610</v>
      </c>
      <c r="H2969">
        <v>6.1</v>
      </c>
      <c r="I2969" s="5">
        <f>ROUND(Marketing[[#This Row],[Clicks]]*Marketing[[#This Row],[Conversion_Rate]],0)</f>
        <v>26</v>
      </c>
      <c r="J2969" s="12">
        <f>Marketing[[#This Row],[Campaign_Cost]]/Marketing[[#This Row],[Customers]]</f>
        <v>677.30769230769226</v>
      </c>
      <c r="K2969" t="s">
        <v>38</v>
      </c>
      <c r="L2969" t="s">
        <v>33</v>
      </c>
      <c r="M2969">
        <v>524</v>
      </c>
      <c r="N2969">
        <v>9938</v>
      </c>
      <c r="O2969">
        <v>10</v>
      </c>
      <c r="P2969" t="s">
        <v>34</v>
      </c>
      <c r="Q2969" s="1">
        <v>44244</v>
      </c>
    </row>
    <row r="2970" spans="1:17" x14ac:dyDescent="0.3">
      <c r="A2970" t="s">
        <v>22</v>
      </c>
      <c r="B2970" t="s">
        <v>45</v>
      </c>
      <c r="C2970" t="s">
        <v>16</v>
      </c>
      <c r="D2970" t="s">
        <v>46</v>
      </c>
      <c r="E2970" t="s">
        <v>15</v>
      </c>
      <c r="F2970" s="9">
        <v>7.0000000000000007E-2</v>
      </c>
      <c r="G2970" s="10">
        <v>10139</v>
      </c>
      <c r="H2970">
        <v>7.44</v>
      </c>
      <c r="I2970" s="5">
        <f>ROUND(Marketing[[#This Row],[Clicks]]*Marketing[[#This Row],[Conversion_Rate]],0)</f>
        <v>13</v>
      </c>
      <c r="J2970" s="12">
        <f>Marketing[[#This Row],[Campaign_Cost]]/Marketing[[#This Row],[Customers]]</f>
        <v>779.92307692307691</v>
      </c>
      <c r="K2970" t="s">
        <v>32</v>
      </c>
      <c r="L2970" t="s">
        <v>50</v>
      </c>
      <c r="M2970">
        <v>189</v>
      </c>
      <c r="N2970">
        <v>4066</v>
      </c>
      <c r="O2970">
        <v>6</v>
      </c>
      <c r="P2970" t="s">
        <v>42</v>
      </c>
      <c r="Q2970" s="1">
        <v>44245</v>
      </c>
    </row>
    <row r="2971" spans="1:17" x14ac:dyDescent="0.3">
      <c r="A2971" t="s">
        <v>14</v>
      </c>
      <c r="B2971" t="s">
        <v>15</v>
      </c>
      <c r="C2971" t="s">
        <v>37</v>
      </c>
      <c r="D2971" t="s">
        <v>40</v>
      </c>
      <c r="E2971" t="s">
        <v>15</v>
      </c>
      <c r="F2971" s="9">
        <v>0.15</v>
      </c>
      <c r="G2971" s="10">
        <v>14788</v>
      </c>
      <c r="H2971">
        <v>7.36</v>
      </c>
      <c r="I2971" s="5">
        <f>ROUND(Marketing[[#This Row],[Clicks]]*Marketing[[#This Row],[Conversion_Rate]],0)</f>
        <v>94</v>
      </c>
      <c r="J2971" s="12">
        <f>Marketing[[#This Row],[Campaign_Cost]]/Marketing[[#This Row],[Customers]]</f>
        <v>157.31914893617022</v>
      </c>
      <c r="K2971" t="s">
        <v>25</v>
      </c>
      <c r="L2971" t="s">
        <v>33</v>
      </c>
      <c r="M2971">
        <v>628</v>
      </c>
      <c r="N2971">
        <v>9986</v>
      </c>
      <c r="O2971">
        <v>4</v>
      </c>
      <c r="P2971" t="s">
        <v>34</v>
      </c>
      <c r="Q2971" s="1">
        <v>44246</v>
      </c>
    </row>
    <row r="2972" spans="1:17" x14ac:dyDescent="0.3">
      <c r="A2972" t="s">
        <v>35</v>
      </c>
      <c r="B2972" t="s">
        <v>29</v>
      </c>
      <c r="C2972" t="s">
        <v>23</v>
      </c>
      <c r="D2972" t="s">
        <v>17</v>
      </c>
      <c r="E2972" t="s">
        <v>15</v>
      </c>
      <c r="F2972" s="9">
        <v>0.09</v>
      </c>
      <c r="G2972" s="10">
        <v>17935</v>
      </c>
      <c r="H2972">
        <v>4.5</v>
      </c>
      <c r="I2972" s="5">
        <f>ROUND(Marketing[[#This Row],[Clicks]]*Marketing[[#This Row],[Conversion_Rate]],0)</f>
        <v>15</v>
      </c>
      <c r="J2972" s="12">
        <f>Marketing[[#This Row],[Campaign_Cost]]/Marketing[[#This Row],[Customers]]</f>
        <v>1195.6666666666667</v>
      </c>
      <c r="K2972" t="s">
        <v>51</v>
      </c>
      <c r="L2972" t="s">
        <v>33</v>
      </c>
      <c r="M2972">
        <v>163</v>
      </c>
      <c r="N2972">
        <v>6258</v>
      </c>
      <c r="O2972">
        <v>4</v>
      </c>
      <c r="P2972" t="s">
        <v>44</v>
      </c>
      <c r="Q2972" s="1">
        <v>44247</v>
      </c>
    </row>
    <row r="2973" spans="1:17" x14ac:dyDescent="0.3">
      <c r="A2973" t="s">
        <v>49</v>
      </c>
      <c r="B2973" t="s">
        <v>36</v>
      </c>
      <c r="C2973" t="s">
        <v>16</v>
      </c>
      <c r="D2973" t="s">
        <v>40</v>
      </c>
      <c r="E2973" t="s">
        <v>15</v>
      </c>
      <c r="F2973" s="9">
        <v>0.14000000000000001</v>
      </c>
      <c r="G2973" s="10">
        <v>17157</v>
      </c>
      <c r="H2973">
        <v>5.88</v>
      </c>
      <c r="I2973" s="5">
        <f>ROUND(Marketing[[#This Row],[Clicks]]*Marketing[[#This Row],[Conversion_Rate]],0)</f>
        <v>125</v>
      </c>
      <c r="J2973" s="12">
        <f>Marketing[[#This Row],[Campaign_Cost]]/Marketing[[#This Row],[Customers]]</f>
        <v>137.256</v>
      </c>
      <c r="K2973" t="s">
        <v>51</v>
      </c>
      <c r="L2973" t="s">
        <v>20</v>
      </c>
      <c r="M2973">
        <v>890</v>
      </c>
      <c r="N2973">
        <v>8228</v>
      </c>
      <c r="O2973">
        <v>8</v>
      </c>
      <c r="P2973" t="s">
        <v>34</v>
      </c>
      <c r="Q2973" s="1">
        <v>44248</v>
      </c>
    </row>
    <row r="2974" spans="1:17" x14ac:dyDescent="0.3">
      <c r="A2974" t="s">
        <v>28</v>
      </c>
      <c r="B2974" t="s">
        <v>29</v>
      </c>
      <c r="C2974" t="s">
        <v>23</v>
      </c>
      <c r="D2974" t="s">
        <v>24</v>
      </c>
      <c r="E2974" t="s">
        <v>41</v>
      </c>
      <c r="F2974" s="9">
        <v>0.06</v>
      </c>
      <c r="G2974" s="10">
        <v>14937</v>
      </c>
      <c r="H2974">
        <v>3.97</v>
      </c>
      <c r="I2974" s="5">
        <f>ROUND(Marketing[[#This Row],[Clicks]]*Marketing[[#This Row],[Conversion_Rate]],0)</f>
        <v>60</v>
      </c>
      <c r="J2974" s="12">
        <f>Marketing[[#This Row],[Campaign_Cost]]/Marketing[[#This Row],[Customers]]</f>
        <v>248.95</v>
      </c>
      <c r="K2974" t="s">
        <v>38</v>
      </c>
      <c r="L2974" t="s">
        <v>33</v>
      </c>
      <c r="M2974">
        <v>993</v>
      </c>
      <c r="N2974">
        <v>6868</v>
      </c>
      <c r="O2974">
        <v>10</v>
      </c>
      <c r="P2974" t="s">
        <v>21</v>
      </c>
      <c r="Q2974" s="1">
        <v>44249</v>
      </c>
    </row>
    <row r="2975" spans="1:17" x14ac:dyDescent="0.3">
      <c r="A2975" t="s">
        <v>22</v>
      </c>
      <c r="B2975" t="s">
        <v>15</v>
      </c>
      <c r="C2975" t="s">
        <v>16</v>
      </c>
      <c r="D2975" t="s">
        <v>17</v>
      </c>
      <c r="E2975" t="s">
        <v>15</v>
      </c>
      <c r="F2975" s="9">
        <v>0.12</v>
      </c>
      <c r="G2975" s="10">
        <v>10447</v>
      </c>
      <c r="H2975">
        <v>2.41</v>
      </c>
      <c r="I2975" s="5">
        <f>ROUND(Marketing[[#This Row],[Clicks]]*Marketing[[#This Row],[Conversion_Rate]],0)</f>
        <v>109</v>
      </c>
      <c r="J2975" s="12">
        <f>Marketing[[#This Row],[Campaign_Cost]]/Marketing[[#This Row],[Customers]]</f>
        <v>95.844036697247702</v>
      </c>
      <c r="K2975" t="s">
        <v>32</v>
      </c>
      <c r="L2975" t="s">
        <v>39</v>
      </c>
      <c r="M2975">
        <v>912</v>
      </c>
      <c r="N2975">
        <v>5896</v>
      </c>
      <c r="O2975">
        <v>8</v>
      </c>
      <c r="P2975" t="s">
        <v>27</v>
      </c>
      <c r="Q2975" s="1">
        <v>44250</v>
      </c>
    </row>
    <row r="2976" spans="1:17" x14ac:dyDescent="0.3">
      <c r="A2976" t="s">
        <v>22</v>
      </c>
      <c r="B2976" t="s">
        <v>36</v>
      </c>
      <c r="C2976" t="s">
        <v>16</v>
      </c>
      <c r="D2976" t="s">
        <v>46</v>
      </c>
      <c r="E2976" t="s">
        <v>41</v>
      </c>
      <c r="F2976" s="9">
        <v>0.12</v>
      </c>
      <c r="G2976" s="10">
        <v>18690</v>
      </c>
      <c r="H2976">
        <v>7.87</v>
      </c>
      <c r="I2976" s="5">
        <f>ROUND(Marketing[[#This Row],[Clicks]]*Marketing[[#This Row],[Conversion_Rate]],0)</f>
        <v>94</v>
      </c>
      <c r="J2976" s="12">
        <f>Marketing[[#This Row],[Campaign_Cost]]/Marketing[[#This Row],[Customers]]</f>
        <v>198.82978723404256</v>
      </c>
      <c r="K2976" t="s">
        <v>32</v>
      </c>
      <c r="L2976" t="s">
        <v>33</v>
      </c>
      <c r="M2976">
        <v>787</v>
      </c>
      <c r="N2976">
        <v>8412</v>
      </c>
      <c r="O2976">
        <v>8</v>
      </c>
      <c r="P2976" t="s">
        <v>42</v>
      </c>
      <c r="Q2976" s="1">
        <v>44251</v>
      </c>
    </row>
    <row r="2977" spans="1:17" x14ac:dyDescent="0.3">
      <c r="A2977" t="s">
        <v>14</v>
      </c>
      <c r="B2977" t="s">
        <v>45</v>
      </c>
      <c r="C2977" t="s">
        <v>52</v>
      </c>
      <c r="D2977" t="s">
        <v>24</v>
      </c>
      <c r="E2977" t="s">
        <v>18</v>
      </c>
      <c r="F2977" s="9">
        <v>0.02</v>
      </c>
      <c r="G2977" s="10">
        <v>12741</v>
      </c>
      <c r="H2977">
        <v>7.58</v>
      </c>
      <c r="I2977" s="5">
        <f>ROUND(Marketing[[#This Row],[Clicks]]*Marketing[[#This Row],[Conversion_Rate]],0)</f>
        <v>4</v>
      </c>
      <c r="J2977" s="12">
        <f>Marketing[[#This Row],[Campaign_Cost]]/Marketing[[#This Row],[Customers]]</f>
        <v>3185.25</v>
      </c>
      <c r="K2977" t="s">
        <v>25</v>
      </c>
      <c r="L2977" t="s">
        <v>20</v>
      </c>
      <c r="M2977">
        <v>218</v>
      </c>
      <c r="N2977">
        <v>1184</v>
      </c>
      <c r="O2977">
        <v>9</v>
      </c>
      <c r="P2977" t="s">
        <v>44</v>
      </c>
      <c r="Q2977" s="1">
        <v>44252</v>
      </c>
    </row>
    <row r="2978" spans="1:17" x14ac:dyDescent="0.3">
      <c r="A2978" t="s">
        <v>35</v>
      </c>
      <c r="B2978" t="s">
        <v>45</v>
      </c>
      <c r="C2978" t="s">
        <v>23</v>
      </c>
      <c r="D2978" t="s">
        <v>46</v>
      </c>
      <c r="E2978" t="s">
        <v>48</v>
      </c>
      <c r="F2978" s="9">
        <v>0.09</v>
      </c>
      <c r="G2978" s="10">
        <v>9721</v>
      </c>
      <c r="H2978">
        <v>5.38</v>
      </c>
      <c r="I2978" s="5">
        <f>ROUND(Marketing[[#This Row],[Clicks]]*Marketing[[#This Row],[Conversion_Rate]],0)</f>
        <v>81</v>
      </c>
      <c r="J2978" s="12">
        <f>Marketing[[#This Row],[Campaign_Cost]]/Marketing[[#This Row],[Customers]]</f>
        <v>120.01234567901234</v>
      </c>
      <c r="K2978" t="s">
        <v>32</v>
      </c>
      <c r="L2978" t="s">
        <v>20</v>
      </c>
      <c r="M2978">
        <v>901</v>
      </c>
      <c r="N2978">
        <v>3205</v>
      </c>
      <c r="O2978">
        <v>7</v>
      </c>
      <c r="P2978" t="s">
        <v>42</v>
      </c>
      <c r="Q2978" s="1">
        <v>44253</v>
      </c>
    </row>
    <row r="2979" spans="1:17" x14ac:dyDescent="0.3">
      <c r="A2979" t="s">
        <v>35</v>
      </c>
      <c r="B2979" t="s">
        <v>29</v>
      </c>
      <c r="C2979" t="s">
        <v>23</v>
      </c>
      <c r="D2979" t="s">
        <v>46</v>
      </c>
      <c r="E2979" t="s">
        <v>31</v>
      </c>
      <c r="F2979" s="9">
        <v>0.14000000000000001</v>
      </c>
      <c r="G2979" s="10">
        <v>14329</v>
      </c>
      <c r="H2979">
        <v>6.85</v>
      </c>
      <c r="I2979" s="5">
        <f>ROUND(Marketing[[#This Row],[Clicks]]*Marketing[[#This Row],[Conversion_Rate]],0)</f>
        <v>71</v>
      </c>
      <c r="J2979" s="12">
        <f>Marketing[[#This Row],[Campaign_Cost]]/Marketing[[#This Row],[Customers]]</f>
        <v>201.81690140845072</v>
      </c>
      <c r="K2979" t="s">
        <v>32</v>
      </c>
      <c r="L2979" t="s">
        <v>33</v>
      </c>
      <c r="M2979">
        <v>508</v>
      </c>
      <c r="N2979">
        <v>9606</v>
      </c>
      <c r="O2979">
        <v>10</v>
      </c>
      <c r="P2979" t="s">
        <v>42</v>
      </c>
      <c r="Q2979" s="1">
        <v>44254</v>
      </c>
    </row>
    <row r="2980" spans="1:17" x14ac:dyDescent="0.3">
      <c r="A2980" t="s">
        <v>22</v>
      </c>
      <c r="B2980" t="s">
        <v>47</v>
      </c>
      <c r="C2980" t="s">
        <v>16</v>
      </c>
      <c r="D2980" t="s">
        <v>46</v>
      </c>
      <c r="E2980" t="s">
        <v>48</v>
      </c>
      <c r="F2980" s="9">
        <v>0.04</v>
      </c>
      <c r="G2980" s="10">
        <v>18862</v>
      </c>
      <c r="H2980">
        <v>3.48</v>
      </c>
      <c r="I2980" s="5">
        <f>ROUND(Marketing[[#This Row],[Clicks]]*Marketing[[#This Row],[Conversion_Rate]],0)</f>
        <v>26</v>
      </c>
      <c r="J2980" s="12">
        <f>Marketing[[#This Row],[Campaign_Cost]]/Marketing[[#This Row],[Customers]]</f>
        <v>725.46153846153845</v>
      </c>
      <c r="K2980" t="s">
        <v>51</v>
      </c>
      <c r="L2980" t="s">
        <v>26</v>
      </c>
      <c r="M2980">
        <v>641</v>
      </c>
      <c r="N2980">
        <v>1478</v>
      </c>
      <c r="O2980">
        <v>9</v>
      </c>
      <c r="P2980" t="s">
        <v>34</v>
      </c>
      <c r="Q2980" s="1">
        <v>44255</v>
      </c>
    </row>
    <row r="2981" spans="1:17" x14ac:dyDescent="0.3">
      <c r="A2981" t="s">
        <v>14</v>
      </c>
      <c r="B2981" t="s">
        <v>29</v>
      </c>
      <c r="C2981" t="s">
        <v>16</v>
      </c>
      <c r="D2981" t="s">
        <v>40</v>
      </c>
      <c r="E2981" t="s">
        <v>41</v>
      </c>
      <c r="F2981" s="9">
        <v>0.06</v>
      </c>
      <c r="G2981" s="10">
        <v>11126</v>
      </c>
      <c r="H2981">
        <v>4.34</v>
      </c>
      <c r="I2981" s="5">
        <f>ROUND(Marketing[[#This Row],[Clicks]]*Marketing[[#This Row],[Conversion_Rate]],0)</f>
        <v>51</v>
      </c>
      <c r="J2981" s="12">
        <f>Marketing[[#This Row],[Campaign_Cost]]/Marketing[[#This Row],[Customers]]</f>
        <v>218.15686274509804</v>
      </c>
      <c r="K2981" t="s">
        <v>38</v>
      </c>
      <c r="L2981" t="s">
        <v>50</v>
      </c>
      <c r="M2981">
        <v>842</v>
      </c>
      <c r="N2981">
        <v>9823</v>
      </c>
      <c r="O2981">
        <v>4</v>
      </c>
      <c r="P2981" t="s">
        <v>27</v>
      </c>
      <c r="Q2981" s="1">
        <v>44256</v>
      </c>
    </row>
    <row r="2982" spans="1:17" x14ac:dyDescent="0.3">
      <c r="A2982" t="s">
        <v>35</v>
      </c>
      <c r="B2982" t="s">
        <v>45</v>
      </c>
      <c r="C2982" t="s">
        <v>16</v>
      </c>
      <c r="D2982" t="s">
        <v>17</v>
      </c>
      <c r="E2982" t="s">
        <v>31</v>
      </c>
      <c r="F2982" s="9">
        <v>0.15</v>
      </c>
      <c r="G2982" s="10">
        <v>15312</v>
      </c>
      <c r="H2982">
        <v>3.83</v>
      </c>
      <c r="I2982" s="5">
        <f>ROUND(Marketing[[#This Row],[Clicks]]*Marketing[[#This Row],[Conversion_Rate]],0)</f>
        <v>20</v>
      </c>
      <c r="J2982" s="12">
        <f>Marketing[[#This Row],[Campaign_Cost]]/Marketing[[#This Row],[Customers]]</f>
        <v>765.6</v>
      </c>
      <c r="K2982" t="s">
        <v>38</v>
      </c>
      <c r="L2982" t="s">
        <v>26</v>
      </c>
      <c r="M2982">
        <v>136</v>
      </c>
      <c r="N2982">
        <v>8034</v>
      </c>
      <c r="O2982">
        <v>9</v>
      </c>
      <c r="P2982" t="s">
        <v>42</v>
      </c>
      <c r="Q2982" s="1">
        <v>44257</v>
      </c>
    </row>
    <row r="2983" spans="1:17" x14ac:dyDescent="0.3">
      <c r="A2983" t="s">
        <v>14</v>
      </c>
      <c r="B2983" t="s">
        <v>15</v>
      </c>
      <c r="C2983" t="s">
        <v>37</v>
      </c>
      <c r="D2983" t="s">
        <v>17</v>
      </c>
      <c r="E2983" t="s">
        <v>15</v>
      </c>
      <c r="F2983" s="9">
        <v>0.11</v>
      </c>
      <c r="G2983" s="10">
        <v>19161</v>
      </c>
      <c r="H2983">
        <v>5.04</v>
      </c>
      <c r="I2983" s="5">
        <f>ROUND(Marketing[[#This Row],[Clicks]]*Marketing[[#This Row],[Conversion_Rate]],0)</f>
        <v>104</v>
      </c>
      <c r="J2983" s="12">
        <f>Marketing[[#This Row],[Campaign_Cost]]/Marketing[[#This Row],[Customers]]</f>
        <v>184.24038461538461</v>
      </c>
      <c r="K2983" t="s">
        <v>32</v>
      </c>
      <c r="L2983" t="s">
        <v>50</v>
      </c>
      <c r="M2983">
        <v>941</v>
      </c>
      <c r="N2983">
        <v>1529</v>
      </c>
      <c r="O2983">
        <v>8</v>
      </c>
      <c r="P2983" t="s">
        <v>21</v>
      </c>
      <c r="Q2983" s="1">
        <v>44258</v>
      </c>
    </row>
    <row r="2984" spans="1:17" x14ac:dyDescent="0.3">
      <c r="A2984" t="s">
        <v>28</v>
      </c>
      <c r="B2984" t="s">
        <v>15</v>
      </c>
      <c r="C2984" t="s">
        <v>23</v>
      </c>
      <c r="D2984" t="s">
        <v>46</v>
      </c>
      <c r="E2984" t="s">
        <v>41</v>
      </c>
      <c r="F2984" s="9">
        <v>0.1</v>
      </c>
      <c r="G2984" s="10">
        <v>14311</v>
      </c>
      <c r="H2984">
        <v>4.55</v>
      </c>
      <c r="I2984" s="5">
        <f>ROUND(Marketing[[#This Row],[Clicks]]*Marketing[[#This Row],[Conversion_Rate]],0)</f>
        <v>94</v>
      </c>
      <c r="J2984" s="12">
        <f>Marketing[[#This Row],[Campaign_Cost]]/Marketing[[#This Row],[Customers]]</f>
        <v>152.24468085106383</v>
      </c>
      <c r="K2984" t="s">
        <v>51</v>
      </c>
      <c r="L2984" t="s">
        <v>50</v>
      </c>
      <c r="M2984">
        <v>944</v>
      </c>
      <c r="N2984">
        <v>4860</v>
      </c>
      <c r="O2984">
        <v>9</v>
      </c>
      <c r="P2984" t="s">
        <v>21</v>
      </c>
      <c r="Q2984" s="1">
        <v>44259</v>
      </c>
    </row>
    <row r="2985" spans="1:17" x14ac:dyDescent="0.3">
      <c r="A2985" t="s">
        <v>22</v>
      </c>
      <c r="B2985" t="s">
        <v>15</v>
      </c>
      <c r="C2985" t="s">
        <v>52</v>
      </c>
      <c r="D2985" t="s">
        <v>40</v>
      </c>
      <c r="E2985" t="s">
        <v>15</v>
      </c>
      <c r="F2985" s="9">
        <v>0.15</v>
      </c>
      <c r="G2985" s="10">
        <v>12198</v>
      </c>
      <c r="H2985">
        <v>7.17</v>
      </c>
      <c r="I2985" s="5">
        <f>ROUND(Marketing[[#This Row],[Clicks]]*Marketing[[#This Row],[Conversion_Rate]],0)</f>
        <v>38</v>
      </c>
      <c r="J2985" s="12">
        <f>Marketing[[#This Row],[Campaign_Cost]]/Marketing[[#This Row],[Customers]]</f>
        <v>321</v>
      </c>
      <c r="K2985" t="s">
        <v>32</v>
      </c>
      <c r="L2985" t="s">
        <v>50</v>
      </c>
      <c r="M2985">
        <v>254</v>
      </c>
      <c r="N2985">
        <v>7506</v>
      </c>
      <c r="O2985">
        <v>3</v>
      </c>
      <c r="P2985" t="s">
        <v>21</v>
      </c>
      <c r="Q2985" s="1">
        <v>44260</v>
      </c>
    </row>
    <row r="2986" spans="1:17" x14ac:dyDescent="0.3">
      <c r="A2986" t="s">
        <v>28</v>
      </c>
      <c r="B2986" t="s">
        <v>15</v>
      </c>
      <c r="C2986" t="s">
        <v>23</v>
      </c>
      <c r="D2986" t="s">
        <v>24</v>
      </c>
      <c r="E2986" t="s">
        <v>48</v>
      </c>
      <c r="F2986" s="9">
        <v>0.11</v>
      </c>
      <c r="G2986" s="10">
        <v>16387</v>
      </c>
      <c r="H2986">
        <v>2.3199999999999998</v>
      </c>
      <c r="I2986" s="5">
        <f>ROUND(Marketing[[#This Row],[Clicks]]*Marketing[[#This Row],[Conversion_Rate]],0)</f>
        <v>33</v>
      </c>
      <c r="J2986" s="12">
        <f>Marketing[[#This Row],[Campaign_Cost]]/Marketing[[#This Row],[Customers]]</f>
        <v>496.57575757575756</v>
      </c>
      <c r="K2986" t="s">
        <v>32</v>
      </c>
      <c r="L2986" t="s">
        <v>20</v>
      </c>
      <c r="M2986">
        <v>300</v>
      </c>
      <c r="N2986">
        <v>8729</v>
      </c>
      <c r="O2986">
        <v>5</v>
      </c>
      <c r="P2986" t="s">
        <v>21</v>
      </c>
      <c r="Q2986" s="1">
        <v>44261</v>
      </c>
    </row>
    <row r="2987" spans="1:17" x14ac:dyDescent="0.3">
      <c r="A2987" t="s">
        <v>14</v>
      </c>
      <c r="B2987" t="s">
        <v>29</v>
      </c>
      <c r="C2987" t="s">
        <v>23</v>
      </c>
      <c r="D2987" t="s">
        <v>40</v>
      </c>
      <c r="E2987" t="s">
        <v>43</v>
      </c>
      <c r="F2987" s="9">
        <v>0.12</v>
      </c>
      <c r="G2987" s="10">
        <v>6112</v>
      </c>
      <c r="H2987">
        <v>5.31</v>
      </c>
      <c r="I2987" s="5">
        <f>ROUND(Marketing[[#This Row],[Clicks]]*Marketing[[#This Row],[Conversion_Rate]],0)</f>
        <v>13</v>
      </c>
      <c r="J2987" s="12">
        <f>Marketing[[#This Row],[Campaign_Cost]]/Marketing[[#This Row],[Customers]]</f>
        <v>470.15384615384613</v>
      </c>
      <c r="K2987" t="s">
        <v>32</v>
      </c>
      <c r="L2987" t="s">
        <v>39</v>
      </c>
      <c r="M2987">
        <v>109</v>
      </c>
      <c r="N2987">
        <v>1910</v>
      </c>
      <c r="O2987">
        <v>8</v>
      </c>
      <c r="P2987" t="s">
        <v>21</v>
      </c>
      <c r="Q2987" s="1">
        <v>44262</v>
      </c>
    </row>
    <row r="2988" spans="1:17" x14ac:dyDescent="0.3">
      <c r="A2988" t="s">
        <v>14</v>
      </c>
      <c r="B2988" t="s">
        <v>15</v>
      </c>
      <c r="C2988" t="s">
        <v>37</v>
      </c>
      <c r="D2988" t="s">
        <v>40</v>
      </c>
      <c r="E2988" t="s">
        <v>31</v>
      </c>
      <c r="F2988" s="9">
        <v>0.08</v>
      </c>
      <c r="G2988" s="10">
        <v>11046</v>
      </c>
      <c r="H2988">
        <v>4.45</v>
      </c>
      <c r="I2988" s="5">
        <f>ROUND(Marketing[[#This Row],[Clicks]]*Marketing[[#This Row],[Conversion_Rate]],0)</f>
        <v>72</v>
      </c>
      <c r="J2988" s="12">
        <f>Marketing[[#This Row],[Campaign_Cost]]/Marketing[[#This Row],[Customers]]</f>
        <v>153.41666666666666</v>
      </c>
      <c r="K2988" t="s">
        <v>19</v>
      </c>
      <c r="L2988" t="s">
        <v>39</v>
      </c>
      <c r="M2988">
        <v>899</v>
      </c>
      <c r="N2988">
        <v>9287</v>
      </c>
      <c r="O2988">
        <v>2</v>
      </c>
      <c r="P2988" t="s">
        <v>44</v>
      </c>
      <c r="Q2988" s="1">
        <v>44263</v>
      </c>
    </row>
    <row r="2989" spans="1:17" x14ac:dyDescent="0.3">
      <c r="A2989" t="s">
        <v>14</v>
      </c>
      <c r="B2989" t="s">
        <v>15</v>
      </c>
      <c r="C2989" t="s">
        <v>52</v>
      </c>
      <c r="D2989" t="s">
        <v>46</v>
      </c>
      <c r="E2989" t="s">
        <v>41</v>
      </c>
      <c r="F2989" s="9">
        <v>0.06</v>
      </c>
      <c r="G2989" s="10">
        <v>8931</v>
      </c>
      <c r="H2989">
        <v>5.88</v>
      </c>
      <c r="I2989" s="5">
        <f>ROUND(Marketing[[#This Row],[Clicks]]*Marketing[[#This Row],[Conversion_Rate]],0)</f>
        <v>45</v>
      </c>
      <c r="J2989" s="12">
        <f>Marketing[[#This Row],[Campaign_Cost]]/Marketing[[#This Row],[Customers]]</f>
        <v>198.46666666666667</v>
      </c>
      <c r="K2989" t="s">
        <v>25</v>
      </c>
      <c r="L2989" t="s">
        <v>50</v>
      </c>
      <c r="M2989">
        <v>750</v>
      </c>
      <c r="N2989">
        <v>5822</v>
      </c>
      <c r="O2989">
        <v>3</v>
      </c>
      <c r="P2989" t="s">
        <v>27</v>
      </c>
      <c r="Q2989" s="1">
        <v>44264</v>
      </c>
    </row>
    <row r="2990" spans="1:17" x14ac:dyDescent="0.3">
      <c r="A2990" t="s">
        <v>22</v>
      </c>
      <c r="B2990" t="s">
        <v>36</v>
      </c>
      <c r="C2990" t="s">
        <v>37</v>
      </c>
      <c r="D2990" t="s">
        <v>17</v>
      </c>
      <c r="E2990" t="s">
        <v>15</v>
      </c>
      <c r="F2990" s="9">
        <v>0.08</v>
      </c>
      <c r="G2990" s="10">
        <v>8659</v>
      </c>
      <c r="H2990">
        <v>6.39</v>
      </c>
      <c r="I2990" s="5">
        <f>ROUND(Marketing[[#This Row],[Clicks]]*Marketing[[#This Row],[Conversion_Rate]],0)</f>
        <v>65</v>
      </c>
      <c r="J2990" s="12">
        <f>Marketing[[#This Row],[Campaign_Cost]]/Marketing[[#This Row],[Customers]]</f>
        <v>133.21538461538461</v>
      </c>
      <c r="K2990" t="s">
        <v>51</v>
      </c>
      <c r="L2990" t="s">
        <v>50</v>
      </c>
      <c r="M2990">
        <v>814</v>
      </c>
      <c r="N2990">
        <v>3560</v>
      </c>
      <c r="O2990">
        <v>1</v>
      </c>
      <c r="P2990" t="s">
        <v>27</v>
      </c>
      <c r="Q2990" s="1">
        <v>44265</v>
      </c>
    </row>
    <row r="2991" spans="1:17" x14ac:dyDescent="0.3">
      <c r="A2991" t="s">
        <v>14</v>
      </c>
      <c r="B2991" t="s">
        <v>29</v>
      </c>
      <c r="C2991" t="s">
        <v>16</v>
      </c>
      <c r="D2991" t="s">
        <v>46</v>
      </c>
      <c r="E2991" t="s">
        <v>43</v>
      </c>
      <c r="F2991" s="9">
        <v>0.14000000000000001</v>
      </c>
      <c r="G2991" s="10">
        <v>13089</v>
      </c>
      <c r="H2991">
        <v>2.97</v>
      </c>
      <c r="I2991" s="5">
        <f>ROUND(Marketing[[#This Row],[Clicks]]*Marketing[[#This Row],[Conversion_Rate]],0)</f>
        <v>130</v>
      </c>
      <c r="J2991" s="12">
        <f>Marketing[[#This Row],[Campaign_Cost]]/Marketing[[#This Row],[Customers]]</f>
        <v>100.68461538461538</v>
      </c>
      <c r="K2991" t="s">
        <v>38</v>
      </c>
      <c r="L2991" t="s">
        <v>39</v>
      </c>
      <c r="M2991">
        <v>925</v>
      </c>
      <c r="N2991">
        <v>6002</v>
      </c>
      <c r="O2991">
        <v>4</v>
      </c>
      <c r="P2991" t="s">
        <v>42</v>
      </c>
      <c r="Q2991" s="1">
        <v>44266</v>
      </c>
    </row>
    <row r="2992" spans="1:17" x14ac:dyDescent="0.3">
      <c r="A2992" t="s">
        <v>49</v>
      </c>
      <c r="B2992" t="s">
        <v>47</v>
      </c>
      <c r="C2992" t="s">
        <v>52</v>
      </c>
      <c r="D2992" t="s">
        <v>40</v>
      </c>
      <c r="E2992" t="s">
        <v>48</v>
      </c>
      <c r="F2992" s="9">
        <v>0.1</v>
      </c>
      <c r="G2992" s="10">
        <v>5870</v>
      </c>
      <c r="H2992">
        <v>2.08</v>
      </c>
      <c r="I2992" s="5">
        <f>ROUND(Marketing[[#This Row],[Clicks]]*Marketing[[#This Row],[Conversion_Rate]],0)</f>
        <v>90</v>
      </c>
      <c r="J2992" s="12">
        <f>Marketing[[#This Row],[Campaign_Cost]]/Marketing[[#This Row],[Customers]]</f>
        <v>65.222222222222229</v>
      </c>
      <c r="K2992" t="s">
        <v>25</v>
      </c>
      <c r="L2992" t="s">
        <v>20</v>
      </c>
      <c r="M2992">
        <v>902</v>
      </c>
      <c r="N2992">
        <v>7018</v>
      </c>
      <c r="O2992">
        <v>6</v>
      </c>
      <c r="P2992" t="s">
        <v>44</v>
      </c>
      <c r="Q2992" s="1">
        <v>44267</v>
      </c>
    </row>
    <row r="2993" spans="1:17" x14ac:dyDescent="0.3">
      <c r="A2993" t="s">
        <v>14</v>
      </c>
      <c r="B2993" t="s">
        <v>45</v>
      </c>
      <c r="C2993" t="s">
        <v>52</v>
      </c>
      <c r="D2993" t="s">
        <v>24</v>
      </c>
      <c r="E2993" t="s">
        <v>43</v>
      </c>
      <c r="F2993" s="9">
        <v>0.1</v>
      </c>
      <c r="G2993" s="10">
        <v>9800</v>
      </c>
      <c r="H2993">
        <v>2.93</v>
      </c>
      <c r="I2993" s="5">
        <f>ROUND(Marketing[[#This Row],[Clicks]]*Marketing[[#This Row],[Conversion_Rate]],0)</f>
        <v>15</v>
      </c>
      <c r="J2993" s="12">
        <f>Marketing[[#This Row],[Campaign_Cost]]/Marketing[[#This Row],[Customers]]</f>
        <v>653.33333333333337</v>
      </c>
      <c r="K2993" t="s">
        <v>38</v>
      </c>
      <c r="L2993" t="s">
        <v>33</v>
      </c>
      <c r="M2993">
        <v>153</v>
      </c>
      <c r="N2993">
        <v>8593</v>
      </c>
      <c r="O2993">
        <v>10</v>
      </c>
      <c r="P2993" t="s">
        <v>21</v>
      </c>
      <c r="Q2993" s="1">
        <v>44268</v>
      </c>
    </row>
    <row r="2994" spans="1:17" x14ac:dyDescent="0.3">
      <c r="A2994" t="s">
        <v>14</v>
      </c>
      <c r="B2994" t="s">
        <v>45</v>
      </c>
      <c r="C2994" t="s">
        <v>52</v>
      </c>
      <c r="D2994" t="s">
        <v>40</v>
      </c>
      <c r="E2994" t="s">
        <v>41</v>
      </c>
      <c r="F2994" s="9">
        <v>0.11</v>
      </c>
      <c r="G2994" s="10">
        <v>15265</v>
      </c>
      <c r="H2994">
        <v>5.13</v>
      </c>
      <c r="I2994" s="5">
        <f>ROUND(Marketing[[#This Row],[Clicks]]*Marketing[[#This Row],[Conversion_Rate]],0)</f>
        <v>67</v>
      </c>
      <c r="J2994" s="12">
        <f>Marketing[[#This Row],[Campaign_Cost]]/Marketing[[#This Row],[Customers]]</f>
        <v>227.83582089552237</v>
      </c>
      <c r="K2994" t="s">
        <v>25</v>
      </c>
      <c r="L2994" t="s">
        <v>20</v>
      </c>
      <c r="M2994">
        <v>612</v>
      </c>
      <c r="N2994">
        <v>6108</v>
      </c>
      <c r="O2994">
        <v>8</v>
      </c>
      <c r="P2994" t="s">
        <v>34</v>
      </c>
      <c r="Q2994" s="1">
        <v>44269</v>
      </c>
    </row>
    <row r="2995" spans="1:17" x14ac:dyDescent="0.3">
      <c r="A2995" t="s">
        <v>22</v>
      </c>
      <c r="B2995" t="s">
        <v>36</v>
      </c>
      <c r="C2995" t="s">
        <v>23</v>
      </c>
      <c r="D2995" t="s">
        <v>46</v>
      </c>
      <c r="E2995" t="s">
        <v>31</v>
      </c>
      <c r="F2995" s="9">
        <v>0.01</v>
      </c>
      <c r="G2995" s="10">
        <v>18903</v>
      </c>
      <c r="H2995">
        <v>2.65</v>
      </c>
      <c r="I2995" s="5">
        <f>ROUND(Marketing[[#This Row],[Clicks]]*Marketing[[#This Row],[Conversion_Rate]],0)</f>
        <v>7</v>
      </c>
      <c r="J2995" s="12">
        <f>Marketing[[#This Row],[Campaign_Cost]]/Marketing[[#This Row],[Customers]]</f>
        <v>2700.4285714285716</v>
      </c>
      <c r="K2995" t="s">
        <v>25</v>
      </c>
      <c r="L2995" t="s">
        <v>39</v>
      </c>
      <c r="M2995">
        <v>698</v>
      </c>
      <c r="N2995">
        <v>9008</v>
      </c>
      <c r="O2995">
        <v>1</v>
      </c>
      <c r="P2995" t="s">
        <v>21</v>
      </c>
      <c r="Q2995" s="1">
        <v>44270</v>
      </c>
    </row>
    <row r="2996" spans="1:17" x14ac:dyDescent="0.3">
      <c r="A2996" t="s">
        <v>14</v>
      </c>
      <c r="B2996" t="s">
        <v>29</v>
      </c>
      <c r="C2996" t="s">
        <v>23</v>
      </c>
      <c r="D2996" t="s">
        <v>24</v>
      </c>
      <c r="E2996" t="s">
        <v>31</v>
      </c>
      <c r="F2996" s="9">
        <v>7.0000000000000007E-2</v>
      </c>
      <c r="G2996" s="10">
        <v>8301</v>
      </c>
      <c r="H2996">
        <v>2.5499999999999998</v>
      </c>
      <c r="I2996" s="5">
        <f>ROUND(Marketing[[#This Row],[Clicks]]*Marketing[[#This Row],[Conversion_Rate]],0)</f>
        <v>38</v>
      </c>
      <c r="J2996" s="12">
        <f>Marketing[[#This Row],[Campaign_Cost]]/Marketing[[#This Row],[Customers]]</f>
        <v>218.44736842105263</v>
      </c>
      <c r="K2996" t="s">
        <v>38</v>
      </c>
      <c r="L2996" t="s">
        <v>20</v>
      </c>
      <c r="M2996">
        <v>541</v>
      </c>
      <c r="N2996">
        <v>1674</v>
      </c>
      <c r="O2996">
        <v>5</v>
      </c>
      <c r="P2996" t="s">
        <v>27</v>
      </c>
      <c r="Q2996" s="1">
        <v>44271</v>
      </c>
    </row>
    <row r="2997" spans="1:17" x14ac:dyDescent="0.3">
      <c r="A2997" t="s">
        <v>35</v>
      </c>
      <c r="B2997" t="s">
        <v>36</v>
      </c>
      <c r="C2997" t="s">
        <v>16</v>
      </c>
      <c r="D2997" t="s">
        <v>24</v>
      </c>
      <c r="E2997" t="s">
        <v>15</v>
      </c>
      <c r="F2997" s="9">
        <v>0.12</v>
      </c>
      <c r="G2997" s="10">
        <v>8755</v>
      </c>
      <c r="H2997">
        <v>7.31</v>
      </c>
      <c r="I2997" s="5">
        <f>ROUND(Marketing[[#This Row],[Clicks]]*Marketing[[#This Row],[Conversion_Rate]],0)</f>
        <v>53</v>
      </c>
      <c r="J2997" s="12">
        <f>Marketing[[#This Row],[Campaign_Cost]]/Marketing[[#This Row],[Customers]]</f>
        <v>165.18867924528303</v>
      </c>
      <c r="K2997" t="s">
        <v>25</v>
      </c>
      <c r="L2997" t="s">
        <v>20</v>
      </c>
      <c r="M2997">
        <v>444</v>
      </c>
      <c r="N2997">
        <v>3303</v>
      </c>
      <c r="O2997">
        <v>2</v>
      </c>
      <c r="P2997" t="s">
        <v>27</v>
      </c>
      <c r="Q2997" s="1">
        <v>44272</v>
      </c>
    </row>
    <row r="2998" spans="1:17" x14ac:dyDescent="0.3">
      <c r="A2998" t="s">
        <v>35</v>
      </c>
      <c r="B2998" t="s">
        <v>45</v>
      </c>
      <c r="C2998" t="s">
        <v>23</v>
      </c>
      <c r="D2998" t="s">
        <v>46</v>
      </c>
      <c r="E2998" t="s">
        <v>43</v>
      </c>
      <c r="F2998" s="9">
        <v>0.1</v>
      </c>
      <c r="G2998" s="10">
        <v>8164</v>
      </c>
      <c r="H2998">
        <v>7.43</v>
      </c>
      <c r="I2998" s="5">
        <f>ROUND(Marketing[[#This Row],[Clicks]]*Marketing[[#This Row],[Conversion_Rate]],0)</f>
        <v>22</v>
      </c>
      <c r="J2998" s="12">
        <f>Marketing[[#This Row],[Campaign_Cost]]/Marketing[[#This Row],[Customers]]</f>
        <v>371.09090909090907</v>
      </c>
      <c r="K2998" t="s">
        <v>38</v>
      </c>
      <c r="L2998" t="s">
        <v>39</v>
      </c>
      <c r="M2998">
        <v>222</v>
      </c>
      <c r="N2998">
        <v>7022</v>
      </c>
      <c r="O2998">
        <v>1</v>
      </c>
      <c r="P2998" t="s">
        <v>21</v>
      </c>
      <c r="Q2998" s="1">
        <v>44273</v>
      </c>
    </row>
    <row r="2999" spans="1:17" x14ac:dyDescent="0.3">
      <c r="A2999" t="s">
        <v>14</v>
      </c>
      <c r="B2999" t="s">
        <v>45</v>
      </c>
      <c r="C2999" t="s">
        <v>52</v>
      </c>
      <c r="D2999" t="s">
        <v>40</v>
      </c>
      <c r="E2999" t="s">
        <v>31</v>
      </c>
      <c r="F2999" s="9">
        <v>0.05</v>
      </c>
      <c r="G2999" s="10">
        <v>18854</v>
      </c>
      <c r="H2999">
        <v>5.12</v>
      </c>
      <c r="I2999" s="5">
        <f>ROUND(Marketing[[#This Row],[Clicks]]*Marketing[[#This Row],[Conversion_Rate]],0)</f>
        <v>31</v>
      </c>
      <c r="J2999" s="12">
        <f>Marketing[[#This Row],[Campaign_Cost]]/Marketing[[#This Row],[Customers]]</f>
        <v>608.19354838709683</v>
      </c>
      <c r="K2999" t="s">
        <v>25</v>
      </c>
      <c r="L2999" t="s">
        <v>39</v>
      </c>
      <c r="M2999">
        <v>625</v>
      </c>
      <c r="N2999">
        <v>2147</v>
      </c>
      <c r="O2999">
        <v>7</v>
      </c>
      <c r="P2999" t="s">
        <v>34</v>
      </c>
      <c r="Q2999" s="1">
        <v>44274</v>
      </c>
    </row>
    <row r="3000" spans="1:17" x14ac:dyDescent="0.3">
      <c r="A3000" t="s">
        <v>49</v>
      </c>
      <c r="B3000" t="s">
        <v>47</v>
      </c>
      <c r="C3000" t="s">
        <v>37</v>
      </c>
      <c r="D3000" t="s">
        <v>40</v>
      </c>
      <c r="E3000" t="s">
        <v>43</v>
      </c>
      <c r="F3000" s="9">
        <v>0.09</v>
      </c>
      <c r="G3000" s="10">
        <v>9906</v>
      </c>
      <c r="H3000">
        <v>5.73</v>
      </c>
      <c r="I3000" s="5">
        <f>ROUND(Marketing[[#This Row],[Clicks]]*Marketing[[#This Row],[Conversion_Rate]],0)</f>
        <v>28</v>
      </c>
      <c r="J3000" s="12">
        <f>Marketing[[#This Row],[Campaign_Cost]]/Marketing[[#This Row],[Customers]]</f>
        <v>353.78571428571428</v>
      </c>
      <c r="K3000" t="s">
        <v>51</v>
      </c>
      <c r="L3000" t="s">
        <v>33</v>
      </c>
      <c r="M3000">
        <v>309</v>
      </c>
      <c r="N3000">
        <v>1049</v>
      </c>
      <c r="O3000">
        <v>8</v>
      </c>
      <c r="P3000" t="s">
        <v>27</v>
      </c>
      <c r="Q3000" s="1">
        <v>44275</v>
      </c>
    </row>
    <row r="3001" spans="1:17" x14ac:dyDescent="0.3">
      <c r="A3001" t="s">
        <v>28</v>
      </c>
      <c r="B3001" t="s">
        <v>36</v>
      </c>
      <c r="C3001" t="s">
        <v>52</v>
      </c>
      <c r="D3001" t="s">
        <v>40</v>
      </c>
      <c r="E3001" t="s">
        <v>48</v>
      </c>
      <c r="F3001" s="9">
        <v>0.06</v>
      </c>
      <c r="G3001" s="10">
        <v>12482</v>
      </c>
      <c r="H3001">
        <v>2.5</v>
      </c>
      <c r="I3001" s="5">
        <f>ROUND(Marketing[[#This Row],[Clicks]]*Marketing[[#This Row],[Conversion_Rate]],0)</f>
        <v>49</v>
      </c>
      <c r="J3001" s="12">
        <f>Marketing[[#This Row],[Campaign_Cost]]/Marketing[[#This Row],[Customers]]</f>
        <v>254.73469387755102</v>
      </c>
      <c r="K3001" t="s">
        <v>25</v>
      </c>
      <c r="L3001" t="s">
        <v>26</v>
      </c>
      <c r="M3001">
        <v>818</v>
      </c>
      <c r="N3001">
        <v>1474</v>
      </c>
      <c r="O3001">
        <v>8</v>
      </c>
      <c r="P3001" t="s">
        <v>21</v>
      </c>
      <c r="Q3001" s="1">
        <v>44276</v>
      </c>
    </row>
    <row r="3002" spans="1:17" x14ac:dyDescent="0.3">
      <c r="A3002" t="s">
        <v>35</v>
      </c>
      <c r="B3002" t="s">
        <v>47</v>
      </c>
      <c r="C3002" t="s">
        <v>30</v>
      </c>
      <c r="D3002" t="s">
        <v>40</v>
      </c>
      <c r="E3002" t="s">
        <v>41</v>
      </c>
      <c r="F3002" s="9">
        <v>0.08</v>
      </c>
      <c r="G3002" s="10">
        <v>15909</v>
      </c>
      <c r="H3002">
        <v>4.75</v>
      </c>
      <c r="I3002" s="5">
        <f>ROUND(Marketing[[#This Row],[Clicks]]*Marketing[[#This Row],[Conversion_Rate]],0)</f>
        <v>20</v>
      </c>
      <c r="J3002" s="12">
        <f>Marketing[[#This Row],[Campaign_Cost]]/Marketing[[#This Row],[Customers]]</f>
        <v>795.45</v>
      </c>
      <c r="K3002" t="s">
        <v>19</v>
      </c>
      <c r="L3002" t="s">
        <v>50</v>
      </c>
      <c r="M3002">
        <v>250</v>
      </c>
      <c r="N3002">
        <v>8927</v>
      </c>
      <c r="O3002">
        <v>4</v>
      </c>
      <c r="P3002" t="s">
        <v>42</v>
      </c>
      <c r="Q3002" s="1">
        <v>44277</v>
      </c>
    </row>
    <row r="3003" spans="1:17" x14ac:dyDescent="0.3">
      <c r="A3003" t="s">
        <v>22</v>
      </c>
      <c r="B3003" t="s">
        <v>29</v>
      </c>
      <c r="C3003" t="s">
        <v>23</v>
      </c>
      <c r="D3003" t="s">
        <v>46</v>
      </c>
      <c r="E3003" t="s">
        <v>43</v>
      </c>
      <c r="F3003" s="9">
        <v>0.13</v>
      </c>
      <c r="G3003" s="10">
        <v>12265</v>
      </c>
      <c r="H3003">
        <v>7.69</v>
      </c>
      <c r="I3003" s="5">
        <f>ROUND(Marketing[[#This Row],[Clicks]]*Marketing[[#This Row],[Conversion_Rate]],0)</f>
        <v>62</v>
      </c>
      <c r="J3003" s="12">
        <f>Marketing[[#This Row],[Campaign_Cost]]/Marketing[[#This Row],[Customers]]</f>
        <v>197.82258064516128</v>
      </c>
      <c r="K3003" t="s">
        <v>19</v>
      </c>
      <c r="L3003" t="s">
        <v>39</v>
      </c>
      <c r="M3003">
        <v>478</v>
      </c>
      <c r="N3003">
        <v>5931</v>
      </c>
      <c r="O3003">
        <v>8</v>
      </c>
      <c r="P3003" t="s">
        <v>34</v>
      </c>
      <c r="Q3003" s="1">
        <v>44278</v>
      </c>
    </row>
    <row r="3004" spans="1:17" x14ac:dyDescent="0.3">
      <c r="A3004" t="s">
        <v>14</v>
      </c>
      <c r="B3004" t="s">
        <v>45</v>
      </c>
      <c r="C3004" t="s">
        <v>37</v>
      </c>
      <c r="D3004" t="s">
        <v>24</v>
      </c>
      <c r="E3004" t="s">
        <v>15</v>
      </c>
      <c r="F3004" s="9">
        <v>0.09</v>
      </c>
      <c r="G3004" s="10">
        <v>18161</v>
      </c>
      <c r="H3004">
        <v>4.0999999999999996</v>
      </c>
      <c r="I3004" s="5">
        <f>ROUND(Marketing[[#This Row],[Clicks]]*Marketing[[#This Row],[Conversion_Rate]],0)</f>
        <v>16</v>
      </c>
      <c r="J3004" s="12">
        <f>Marketing[[#This Row],[Campaign_Cost]]/Marketing[[#This Row],[Customers]]</f>
        <v>1135.0625</v>
      </c>
      <c r="K3004" t="s">
        <v>51</v>
      </c>
      <c r="L3004" t="s">
        <v>26</v>
      </c>
      <c r="M3004">
        <v>182</v>
      </c>
      <c r="N3004">
        <v>5200</v>
      </c>
      <c r="O3004">
        <v>10</v>
      </c>
      <c r="P3004" t="s">
        <v>44</v>
      </c>
      <c r="Q3004" s="1">
        <v>44279</v>
      </c>
    </row>
    <row r="3005" spans="1:17" x14ac:dyDescent="0.3">
      <c r="A3005" t="s">
        <v>28</v>
      </c>
      <c r="B3005" t="s">
        <v>15</v>
      </c>
      <c r="C3005" t="s">
        <v>30</v>
      </c>
      <c r="D3005" t="s">
        <v>24</v>
      </c>
      <c r="E3005" t="s">
        <v>18</v>
      </c>
      <c r="F3005" s="9">
        <v>0.11</v>
      </c>
      <c r="G3005" s="10">
        <v>12306</v>
      </c>
      <c r="H3005">
        <v>3.09</v>
      </c>
      <c r="I3005" s="5">
        <f>ROUND(Marketing[[#This Row],[Clicks]]*Marketing[[#This Row],[Conversion_Rate]],0)</f>
        <v>29</v>
      </c>
      <c r="J3005" s="12">
        <f>Marketing[[#This Row],[Campaign_Cost]]/Marketing[[#This Row],[Customers]]</f>
        <v>424.34482758620692</v>
      </c>
      <c r="K3005" t="s">
        <v>32</v>
      </c>
      <c r="L3005" t="s">
        <v>33</v>
      </c>
      <c r="M3005">
        <v>265</v>
      </c>
      <c r="N3005">
        <v>1858</v>
      </c>
      <c r="O3005">
        <v>3</v>
      </c>
      <c r="P3005" t="s">
        <v>27</v>
      </c>
      <c r="Q3005" s="1">
        <v>44280</v>
      </c>
    </row>
    <row r="3006" spans="1:17" x14ac:dyDescent="0.3">
      <c r="A3006" t="s">
        <v>14</v>
      </c>
      <c r="B3006" t="s">
        <v>36</v>
      </c>
      <c r="C3006" t="s">
        <v>16</v>
      </c>
      <c r="D3006" t="s">
        <v>24</v>
      </c>
      <c r="E3006" t="s">
        <v>41</v>
      </c>
      <c r="F3006" s="9">
        <v>0.04</v>
      </c>
      <c r="G3006" s="10">
        <v>12190</v>
      </c>
      <c r="H3006">
        <v>4.33</v>
      </c>
      <c r="I3006" s="5">
        <f>ROUND(Marketing[[#This Row],[Clicks]]*Marketing[[#This Row],[Conversion_Rate]],0)</f>
        <v>28</v>
      </c>
      <c r="J3006" s="12">
        <f>Marketing[[#This Row],[Campaign_Cost]]/Marketing[[#This Row],[Customers]]</f>
        <v>435.35714285714283</v>
      </c>
      <c r="K3006" t="s">
        <v>19</v>
      </c>
      <c r="L3006" t="s">
        <v>50</v>
      </c>
      <c r="M3006">
        <v>710</v>
      </c>
      <c r="N3006">
        <v>2791</v>
      </c>
      <c r="O3006">
        <v>10</v>
      </c>
      <c r="P3006" t="s">
        <v>44</v>
      </c>
      <c r="Q3006" s="1">
        <v>44281</v>
      </c>
    </row>
    <row r="3007" spans="1:17" x14ac:dyDescent="0.3">
      <c r="A3007" t="s">
        <v>14</v>
      </c>
      <c r="B3007" t="s">
        <v>29</v>
      </c>
      <c r="C3007" t="s">
        <v>52</v>
      </c>
      <c r="D3007" t="s">
        <v>40</v>
      </c>
      <c r="E3007" t="s">
        <v>18</v>
      </c>
      <c r="F3007" s="9">
        <v>0.11</v>
      </c>
      <c r="G3007" s="10">
        <v>6535</v>
      </c>
      <c r="H3007">
        <v>3.3</v>
      </c>
      <c r="I3007" s="5">
        <f>ROUND(Marketing[[#This Row],[Clicks]]*Marketing[[#This Row],[Conversion_Rate]],0)</f>
        <v>64</v>
      </c>
      <c r="J3007" s="12">
        <f>Marketing[[#This Row],[Campaign_Cost]]/Marketing[[#This Row],[Customers]]</f>
        <v>102.109375</v>
      </c>
      <c r="K3007" t="s">
        <v>51</v>
      </c>
      <c r="L3007" t="s">
        <v>50</v>
      </c>
      <c r="M3007">
        <v>582</v>
      </c>
      <c r="N3007">
        <v>9140</v>
      </c>
      <c r="O3007">
        <v>4</v>
      </c>
      <c r="P3007" t="s">
        <v>42</v>
      </c>
      <c r="Q3007" s="1">
        <v>44282</v>
      </c>
    </row>
    <row r="3008" spans="1:17" x14ac:dyDescent="0.3">
      <c r="A3008" t="s">
        <v>35</v>
      </c>
      <c r="B3008" t="s">
        <v>47</v>
      </c>
      <c r="C3008" t="s">
        <v>52</v>
      </c>
      <c r="D3008" t="s">
        <v>24</v>
      </c>
      <c r="E3008" t="s">
        <v>15</v>
      </c>
      <c r="F3008" s="9">
        <v>0.11</v>
      </c>
      <c r="G3008" s="10">
        <v>11776</v>
      </c>
      <c r="H3008">
        <v>3.27</v>
      </c>
      <c r="I3008" s="5">
        <f>ROUND(Marketing[[#This Row],[Clicks]]*Marketing[[#This Row],[Conversion_Rate]],0)</f>
        <v>59</v>
      </c>
      <c r="J3008" s="12">
        <f>Marketing[[#This Row],[Campaign_Cost]]/Marketing[[#This Row],[Customers]]</f>
        <v>199.59322033898306</v>
      </c>
      <c r="K3008" t="s">
        <v>38</v>
      </c>
      <c r="L3008" t="s">
        <v>50</v>
      </c>
      <c r="M3008">
        <v>534</v>
      </c>
      <c r="N3008">
        <v>6828</v>
      </c>
      <c r="O3008">
        <v>5</v>
      </c>
      <c r="P3008" t="s">
        <v>44</v>
      </c>
      <c r="Q3008" s="1">
        <v>44283</v>
      </c>
    </row>
    <row r="3009" spans="1:17" x14ac:dyDescent="0.3">
      <c r="A3009" t="s">
        <v>28</v>
      </c>
      <c r="B3009" t="s">
        <v>47</v>
      </c>
      <c r="C3009" t="s">
        <v>52</v>
      </c>
      <c r="D3009" t="s">
        <v>17</v>
      </c>
      <c r="E3009" t="s">
        <v>31</v>
      </c>
      <c r="F3009" s="9">
        <v>0.09</v>
      </c>
      <c r="G3009" s="10">
        <v>15955</v>
      </c>
      <c r="H3009">
        <v>3.62</v>
      </c>
      <c r="I3009" s="5">
        <f>ROUND(Marketing[[#This Row],[Clicks]]*Marketing[[#This Row],[Conversion_Rate]],0)</f>
        <v>62</v>
      </c>
      <c r="J3009" s="12">
        <f>Marketing[[#This Row],[Campaign_Cost]]/Marketing[[#This Row],[Customers]]</f>
        <v>257.33870967741933</v>
      </c>
      <c r="K3009" t="s">
        <v>19</v>
      </c>
      <c r="L3009" t="s">
        <v>20</v>
      </c>
      <c r="M3009">
        <v>691</v>
      </c>
      <c r="N3009">
        <v>3638</v>
      </c>
      <c r="O3009">
        <v>5</v>
      </c>
      <c r="P3009" t="s">
        <v>44</v>
      </c>
      <c r="Q3009" s="1">
        <v>44284</v>
      </c>
    </row>
    <row r="3010" spans="1:17" x14ac:dyDescent="0.3">
      <c r="A3010" t="s">
        <v>28</v>
      </c>
      <c r="B3010" t="s">
        <v>29</v>
      </c>
      <c r="C3010" t="s">
        <v>16</v>
      </c>
      <c r="D3010" t="s">
        <v>24</v>
      </c>
      <c r="E3010" t="s">
        <v>31</v>
      </c>
      <c r="F3010" s="9">
        <v>0.02</v>
      </c>
      <c r="G3010" s="10">
        <v>14138</v>
      </c>
      <c r="H3010">
        <v>6.71</v>
      </c>
      <c r="I3010" s="5">
        <f>ROUND(Marketing[[#This Row],[Clicks]]*Marketing[[#This Row],[Conversion_Rate]],0)</f>
        <v>7</v>
      </c>
      <c r="J3010" s="12">
        <f>Marketing[[#This Row],[Campaign_Cost]]/Marketing[[#This Row],[Customers]]</f>
        <v>2019.7142857142858</v>
      </c>
      <c r="K3010" t="s">
        <v>25</v>
      </c>
      <c r="L3010" t="s">
        <v>39</v>
      </c>
      <c r="M3010">
        <v>352</v>
      </c>
      <c r="N3010">
        <v>3661</v>
      </c>
      <c r="O3010">
        <v>8</v>
      </c>
      <c r="P3010" t="s">
        <v>27</v>
      </c>
      <c r="Q3010" s="1">
        <v>44285</v>
      </c>
    </row>
    <row r="3011" spans="1:17" x14ac:dyDescent="0.3">
      <c r="A3011" t="s">
        <v>35</v>
      </c>
      <c r="B3011" t="s">
        <v>45</v>
      </c>
      <c r="C3011" t="s">
        <v>52</v>
      </c>
      <c r="D3011" t="s">
        <v>40</v>
      </c>
      <c r="E3011" t="s">
        <v>15</v>
      </c>
      <c r="F3011" s="9">
        <v>0.09</v>
      </c>
      <c r="G3011" s="10">
        <v>19602</v>
      </c>
      <c r="H3011">
        <v>6.63</v>
      </c>
      <c r="I3011" s="5">
        <f>ROUND(Marketing[[#This Row],[Clicks]]*Marketing[[#This Row],[Conversion_Rate]],0)</f>
        <v>50</v>
      </c>
      <c r="J3011" s="12">
        <f>Marketing[[#This Row],[Campaign_Cost]]/Marketing[[#This Row],[Customers]]</f>
        <v>392.04</v>
      </c>
      <c r="K3011" t="s">
        <v>51</v>
      </c>
      <c r="L3011" t="s">
        <v>39</v>
      </c>
      <c r="M3011">
        <v>553</v>
      </c>
      <c r="N3011">
        <v>3722</v>
      </c>
      <c r="O3011">
        <v>1</v>
      </c>
      <c r="P3011" t="s">
        <v>21</v>
      </c>
      <c r="Q3011" s="1">
        <v>44286</v>
      </c>
    </row>
    <row r="3012" spans="1:17" x14ac:dyDescent="0.3">
      <c r="A3012" t="s">
        <v>22</v>
      </c>
      <c r="B3012" t="s">
        <v>45</v>
      </c>
      <c r="C3012" t="s">
        <v>52</v>
      </c>
      <c r="D3012" t="s">
        <v>24</v>
      </c>
      <c r="E3012" t="s">
        <v>48</v>
      </c>
      <c r="F3012" s="9">
        <v>0.1</v>
      </c>
      <c r="G3012" s="10">
        <v>7732</v>
      </c>
      <c r="H3012">
        <v>3.19</v>
      </c>
      <c r="I3012" s="5">
        <f>ROUND(Marketing[[#This Row],[Clicks]]*Marketing[[#This Row],[Conversion_Rate]],0)</f>
        <v>63</v>
      </c>
      <c r="J3012" s="12">
        <f>Marketing[[#This Row],[Campaign_Cost]]/Marketing[[#This Row],[Customers]]</f>
        <v>122.73015873015873</v>
      </c>
      <c r="K3012" t="s">
        <v>32</v>
      </c>
      <c r="L3012" t="s">
        <v>26</v>
      </c>
      <c r="M3012">
        <v>634</v>
      </c>
      <c r="N3012">
        <v>8167</v>
      </c>
      <c r="O3012">
        <v>9</v>
      </c>
      <c r="P3012" t="s">
        <v>44</v>
      </c>
      <c r="Q3012" s="1">
        <v>44287</v>
      </c>
    </row>
    <row r="3013" spans="1:17" x14ac:dyDescent="0.3">
      <c r="A3013" t="s">
        <v>35</v>
      </c>
      <c r="B3013" t="s">
        <v>36</v>
      </c>
      <c r="C3013" t="s">
        <v>52</v>
      </c>
      <c r="D3013" t="s">
        <v>46</v>
      </c>
      <c r="E3013" t="s">
        <v>18</v>
      </c>
      <c r="F3013" s="9">
        <v>0.11</v>
      </c>
      <c r="G3013" s="10">
        <v>11882</v>
      </c>
      <c r="H3013">
        <v>3.45</v>
      </c>
      <c r="I3013" s="5">
        <f>ROUND(Marketing[[#This Row],[Clicks]]*Marketing[[#This Row],[Conversion_Rate]],0)</f>
        <v>27</v>
      </c>
      <c r="J3013" s="12">
        <f>Marketing[[#This Row],[Campaign_Cost]]/Marketing[[#This Row],[Customers]]</f>
        <v>440.07407407407408</v>
      </c>
      <c r="K3013" t="s">
        <v>38</v>
      </c>
      <c r="L3013" t="s">
        <v>39</v>
      </c>
      <c r="M3013">
        <v>246</v>
      </c>
      <c r="N3013">
        <v>4710</v>
      </c>
      <c r="O3013">
        <v>4</v>
      </c>
      <c r="P3013" t="s">
        <v>34</v>
      </c>
      <c r="Q3013" s="1">
        <v>44288</v>
      </c>
    </row>
    <row r="3014" spans="1:17" x14ac:dyDescent="0.3">
      <c r="A3014" t="s">
        <v>35</v>
      </c>
      <c r="B3014" t="s">
        <v>29</v>
      </c>
      <c r="C3014" t="s">
        <v>37</v>
      </c>
      <c r="D3014" t="s">
        <v>24</v>
      </c>
      <c r="E3014" t="s">
        <v>15</v>
      </c>
      <c r="F3014" s="9">
        <v>0.14000000000000001</v>
      </c>
      <c r="G3014" s="10">
        <v>10786</v>
      </c>
      <c r="H3014">
        <v>4.4800000000000004</v>
      </c>
      <c r="I3014" s="5">
        <f>ROUND(Marketing[[#This Row],[Clicks]]*Marketing[[#This Row],[Conversion_Rate]],0)</f>
        <v>29</v>
      </c>
      <c r="J3014" s="12">
        <f>Marketing[[#This Row],[Campaign_Cost]]/Marketing[[#This Row],[Customers]]</f>
        <v>371.93103448275861</v>
      </c>
      <c r="K3014" t="s">
        <v>32</v>
      </c>
      <c r="L3014" t="s">
        <v>39</v>
      </c>
      <c r="M3014">
        <v>205</v>
      </c>
      <c r="N3014">
        <v>3230</v>
      </c>
      <c r="O3014">
        <v>2</v>
      </c>
      <c r="P3014" t="s">
        <v>21</v>
      </c>
      <c r="Q3014" s="1">
        <v>44289</v>
      </c>
    </row>
    <row r="3015" spans="1:17" x14ac:dyDescent="0.3">
      <c r="A3015" t="s">
        <v>35</v>
      </c>
      <c r="B3015" t="s">
        <v>29</v>
      </c>
      <c r="C3015" t="s">
        <v>23</v>
      </c>
      <c r="D3015" t="s">
        <v>17</v>
      </c>
      <c r="E3015" t="s">
        <v>48</v>
      </c>
      <c r="F3015" s="9">
        <v>0.02</v>
      </c>
      <c r="G3015" s="10">
        <v>5670</v>
      </c>
      <c r="H3015">
        <v>6.64</v>
      </c>
      <c r="I3015" s="5">
        <f>ROUND(Marketing[[#This Row],[Clicks]]*Marketing[[#This Row],[Conversion_Rate]],0)</f>
        <v>18</v>
      </c>
      <c r="J3015" s="12">
        <f>Marketing[[#This Row],[Campaign_Cost]]/Marketing[[#This Row],[Customers]]</f>
        <v>315</v>
      </c>
      <c r="K3015" t="s">
        <v>32</v>
      </c>
      <c r="L3015" t="s">
        <v>50</v>
      </c>
      <c r="M3015">
        <v>888</v>
      </c>
      <c r="N3015">
        <v>7496</v>
      </c>
      <c r="O3015">
        <v>3</v>
      </c>
      <c r="P3015" t="s">
        <v>27</v>
      </c>
      <c r="Q3015" s="1">
        <v>44290</v>
      </c>
    </row>
    <row r="3016" spans="1:17" x14ac:dyDescent="0.3">
      <c r="A3016" t="s">
        <v>49</v>
      </c>
      <c r="B3016" t="s">
        <v>47</v>
      </c>
      <c r="C3016" t="s">
        <v>30</v>
      </c>
      <c r="D3016" t="s">
        <v>40</v>
      </c>
      <c r="E3016" t="s">
        <v>31</v>
      </c>
      <c r="F3016" s="9">
        <v>0.14000000000000001</v>
      </c>
      <c r="G3016" s="10">
        <v>13534</v>
      </c>
      <c r="H3016">
        <v>4.1100000000000003</v>
      </c>
      <c r="I3016" s="5">
        <f>ROUND(Marketing[[#This Row],[Clicks]]*Marketing[[#This Row],[Conversion_Rate]],0)</f>
        <v>94</v>
      </c>
      <c r="J3016" s="12">
        <f>Marketing[[#This Row],[Campaign_Cost]]/Marketing[[#This Row],[Customers]]</f>
        <v>143.97872340425531</v>
      </c>
      <c r="K3016" t="s">
        <v>38</v>
      </c>
      <c r="L3016" t="s">
        <v>26</v>
      </c>
      <c r="M3016">
        <v>672</v>
      </c>
      <c r="N3016">
        <v>6682</v>
      </c>
      <c r="O3016">
        <v>1</v>
      </c>
      <c r="P3016" t="s">
        <v>27</v>
      </c>
      <c r="Q3016" s="1">
        <v>44291</v>
      </c>
    </row>
    <row r="3017" spans="1:17" x14ac:dyDescent="0.3">
      <c r="A3017" t="s">
        <v>22</v>
      </c>
      <c r="B3017" t="s">
        <v>29</v>
      </c>
      <c r="C3017" t="s">
        <v>16</v>
      </c>
      <c r="D3017" t="s">
        <v>24</v>
      </c>
      <c r="E3017" t="s">
        <v>15</v>
      </c>
      <c r="F3017" s="9">
        <v>0.06</v>
      </c>
      <c r="G3017" s="10">
        <v>15696</v>
      </c>
      <c r="H3017">
        <v>2.98</v>
      </c>
      <c r="I3017" s="5">
        <f>ROUND(Marketing[[#This Row],[Clicks]]*Marketing[[#This Row],[Conversion_Rate]],0)</f>
        <v>14</v>
      </c>
      <c r="J3017" s="12">
        <f>Marketing[[#This Row],[Campaign_Cost]]/Marketing[[#This Row],[Customers]]</f>
        <v>1121.1428571428571</v>
      </c>
      <c r="K3017" t="s">
        <v>32</v>
      </c>
      <c r="L3017" t="s">
        <v>20</v>
      </c>
      <c r="M3017">
        <v>241</v>
      </c>
      <c r="N3017">
        <v>5249</v>
      </c>
      <c r="O3017">
        <v>2</v>
      </c>
      <c r="P3017" t="s">
        <v>34</v>
      </c>
      <c r="Q3017" s="1">
        <v>44292</v>
      </c>
    </row>
    <row r="3018" spans="1:17" x14ac:dyDescent="0.3">
      <c r="A3018" t="s">
        <v>22</v>
      </c>
      <c r="B3018" t="s">
        <v>29</v>
      </c>
      <c r="C3018" t="s">
        <v>23</v>
      </c>
      <c r="D3018" t="s">
        <v>17</v>
      </c>
      <c r="E3018" t="s">
        <v>15</v>
      </c>
      <c r="F3018" s="9">
        <v>0.05</v>
      </c>
      <c r="G3018" s="10">
        <v>7389</v>
      </c>
      <c r="H3018">
        <v>4.9800000000000004</v>
      </c>
      <c r="I3018" s="5">
        <f>ROUND(Marketing[[#This Row],[Clicks]]*Marketing[[#This Row],[Conversion_Rate]],0)</f>
        <v>20</v>
      </c>
      <c r="J3018" s="12">
        <f>Marketing[[#This Row],[Campaign_Cost]]/Marketing[[#This Row],[Customers]]</f>
        <v>369.45</v>
      </c>
      <c r="K3018" t="s">
        <v>19</v>
      </c>
      <c r="L3018" t="s">
        <v>33</v>
      </c>
      <c r="M3018">
        <v>409</v>
      </c>
      <c r="N3018">
        <v>1309</v>
      </c>
      <c r="O3018">
        <v>9</v>
      </c>
      <c r="P3018" t="s">
        <v>34</v>
      </c>
      <c r="Q3018" s="1">
        <v>44293</v>
      </c>
    </row>
    <row r="3019" spans="1:17" x14ac:dyDescent="0.3">
      <c r="A3019" t="s">
        <v>28</v>
      </c>
      <c r="B3019" t="s">
        <v>45</v>
      </c>
      <c r="C3019" t="s">
        <v>52</v>
      </c>
      <c r="D3019" t="s">
        <v>17</v>
      </c>
      <c r="E3019" t="s">
        <v>43</v>
      </c>
      <c r="F3019" s="9">
        <v>0.06</v>
      </c>
      <c r="G3019" s="10">
        <v>8698</v>
      </c>
      <c r="H3019">
        <v>4.92</v>
      </c>
      <c r="I3019" s="5">
        <f>ROUND(Marketing[[#This Row],[Clicks]]*Marketing[[#This Row],[Conversion_Rate]],0)</f>
        <v>37</v>
      </c>
      <c r="J3019" s="12">
        <f>Marketing[[#This Row],[Campaign_Cost]]/Marketing[[#This Row],[Customers]]</f>
        <v>235.08108108108109</v>
      </c>
      <c r="K3019" t="s">
        <v>38</v>
      </c>
      <c r="L3019" t="s">
        <v>26</v>
      </c>
      <c r="M3019">
        <v>622</v>
      </c>
      <c r="N3019">
        <v>6366</v>
      </c>
      <c r="O3019">
        <v>3</v>
      </c>
      <c r="P3019" t="s">
        <v>42</v>
      </c>
      <c r="Q3019" s="1">
        <v>44294</v>
      </c>
    </row>
    <row r="3020" spans="1:17" x14ac:dyDescent="0.3">
      <c r="A3020" t="s">
        <v>22</v>
      </c>
      <c r="B3020" t="s">
        <v>47</v>
      </c>
      <c r="C3020" t="s">
        <v>30</v>
      </c>
      <c r="D3020" t="s">
        <v>17</v>
      </c>
      <c r="E3020" t="s">
        <v>41</v>
      </c>
      <c r="F3020" s="9">
        <v>0.1</v>
      </c>
      <c r="G3020" s="10">
        <v>14195</v>
      </c>
      <c r="H3020">
        <v>2.14</v>
      </c>
      <c r="I3020" s="5">
        <f>ROUND(Marketing[[#This Row],[Clicks]]*Marketing[[#This Row],[Conversion_Rate]],0)</f>
        <v>95</v>
      </c>
      <c r="J3020" s="12">
        <f>Marketing[[#This Row],[Campaign_Cost]]/Marketing[[#This Row],[Customers]]</f>
        <v>149.42105263157896</v>
      </c>
      <c r="K3020" t="s">
        <v>32</v>
      </c>
      <c r="L3020" t="s">
        <v>20</v>
      </c>
      <c r="M3020">
        <v>950</v>
      </c>
      <c r="N3020">
        <v>9036</v>
      </c>
      <c r="O3020">
        <v>5</v>
      </c>
      <c r="P3020" t="s">
        <v>21</v>
      </c>
      <c r="Q3020" s="1">
        <v>44295</v>
      </c>
    </row>
    <row r="3021" spans="1:17" x14ac:dyDescent="0.3">
      <c r="A3021" t="s">
        <v>22</v>
      </c>
      <c r="B3021" t="s">
        <v>36</v>
      </c>
      <c r="C3021" t="s">
        <v>16</v>
      </c>
      <c r="D3021" t="s">
        <v>40</v>
      </c>
      <c r="E3021" t="s">
        <v>48</v>
      </c>
      <c r="F3021" s="9">
        <v>0.08</v>
      </c>
      <c r="G3021" s="10">
        <v>16891</v>
      </c>
      <c r="H3021">
        <v>5.28</v>
      </c>
      <c r="I3021" s="5">
        <f>ROUND(Marketing[[#This Row],[Clicks]]*Marketing[[#This Row],[Conversion_Rate]],0)</f>
        <v>70</v>
      </c>
      <c r="J3021" s="12">
        <f>Marketing[[#This Row],[Campaign_Cost]]/Marketing[[#This Row],[Customers]]</f>
        <v>241.3</v>
      </c>
      <c r="K3021" t="s">
        <v>19</v>
      </c>
      <c r="L3021" t="s">
        <v>33</v>
      </c>
      <c r="M3021">
        <v>879</v>
      </c>
      <c r="N3021">
        <v>1061</v>
      </c>
      <c r="O3021">
        <v>10</v>
      </c>
      <c r="P3021" t="s">
        <v>27</v>
      </c>
      <c r="Q3021" s="1">
        <v>44296</v>
      </c>
    </row>
    <row r="3022" spans="1:17" x14ac:dyDescent="0.3">
      <c r="A3022" t="s">
        <v>28</v>
      </c>
      <c r="B3022" t="s">
        <v>36</v>
      </c>
      <c r="C3022" t="s">
        <v>16</v>
      </c>
      <c r="D3022" t="s">
        <v>24</v>
      </c>
      <c r="E3022" t="s">
        <v>18</v>
      </c>
      <c r="F3022" s="9">
        <v>0.15</v>
      </c>
      <c r="G3022" s="10">
        <v>5836</v>
      </c>
      <c r="H3022">
        <v>6.12</v>
      </c>
      <c r="I3022" s="5">
        <f>ROUND(Marketing[[#This Row],[Clicks]]*Marketing[[#This Row],[Conversion_Rate]],0)</f>
        <v>57</v>
      </c>
      <c r="J3022" s="12">
        <f>Marketing[[#This Row],[Campaign_Cost]]/Marketing[[#This Row],[Customers]]</f>
        <v>102.3859649122807</v>
      </c>
      <c r="K3022" t="s">
        <v>25</v>
      </c>
      <c r="L3022" t="s">
        <v>33</v>
      </c>
      <c r="M3022">
        <v>377</v>
      </c>
      <c r="N3022">
        <v>4008</v>
      </c>
      <c r="O3022">
        <v>2</v>
      </c>
      <c r="P3022" t="s">
        <v>34</v>
      </c>
      <c r="Q3022" s="1">
        <v>44297</v>
      </c>
    </row>
    <row r="3023" spans="1:17" x14ac:dyDescent="0.3">
      <c r="A3023" t="s">
        <v>35</v>
      </c>
      <c r="B3023" t="s">
        <v>29</v>
      </c>
      <c r="C3023" t="s">
        <v>23</v>
      </c>
      <c r="D3023" t="s">
        <v>17</v>
      </c>
      <c r="E3023" t="s">
        <v>41</v>
      </c>
      <c r="F3023" s="9">
        <v>0.05</v>
      </c>
      <c r="G3023" s="10">
        <v>5504</v>
      </c>
      <c r="H3023">
        <v>2.1</v>
      </c>
      <c r="I3023" s="5">
        <f>ROUND(Marketing[[#This Row],[Clicks]]*Marketing[[#This Row],[Conversion_Rate]],0)</f>
        <v>27</v>
      </c>
      <c r="J3023" s="12">
        <f>Marketing[[#This Row],[Campaign_Cost]]/Marketing[[#This Row],[Customers]]</f>
        <v>203.85185185185185</v>
      </c>
      <c r="K3023" t="s">
        <v>19</v>
      </c>
      <c r="L3023" t="s">
        <v>33</v>
      </c>
      <c r="M3023">
        <v>545</v>
      </c>
      <c r="N3023">
        <v>6348</v>
      </c>
      <c r="O3023">
        <v>7</v>
      </c>
      <c r="P3023" t="s">
        <v>34</v>
      </c>
      <c r="Q3023" s="1">
        <v>44298</v>
      </c>
    </row>
    <row r="3024" spans="1:17" x14ac:dyDescent="0.3">
      <c r="A3024" t="s">
        <v>28</v>
      </c>
      <c r="B3024" t="s">
        <v>36</v>
      </c>
      <c r="C3024" t="s">
        <v>37</v>
      </c>
      <c r="D3024" t="s">
        <v>46</v>
      </c>
      <c r="E3024" t="s">
        <v>41</v>
      </c>
      <c r="F3024" s="9">
        <v>0.04</v>
      </c>
      <c r="G3024" s="10">
        <v>8297</v>
      </c>
      <c r="H3024">
        <v>6.2</v>
      </c>
      <c r="I3024" s="5">
        <f>ROUND(Marketing[[#This Row],[Clicks]]*Marketing[[#This Row],[Conversion_Rate]],0)</f>
        <v>33</v>
      </c>
      <c r="J3024" s="12">
        <f>Marketing[[#This Row],[Campaign_Cost]]/Marketing[[#This Row],[Customers]]</f>
        <v>251.42424242424244</v>
      </c>
      <c r="K3024" t="s">
        <v>19</v>
      </c>
      <c r="L3024" t="s">
        <v>50</v>
      </c>
      <c r="M3024">
        <v>830</v>
      </c>
      <c r="N3024">
        <v>5252</v>
      </c>
      <c r="O3024">
        <v>3</v>
      </c>
      <c r="P3024" t="s">
        <v>21</v>
      </c>
      <c r="Q3024" s="1">
        <v>44299</v>
      </c>
    </row>
    <row r="3025" spans="1:17" x14ac:dyDescent="0.3">
      <c r="A3025" t="s">
        <v>22</v>
      </c>
      <c r="B3025" t="s">
        <v>36</v>
      </c>
      <c r="C3025" t="s">
        <v>16</v>
      </c>
      <c r="D3025" t="s">
        <v>24</v>
      </c>
      <c r="E3025" t="s">
        <v>18</v>
      </c>
      <c r="F3025" s="9">
        <v>0.01</v>
      </c>
      <c r="G3025" s="10">
        <v>8517</v>
      </c>
      <c r="H3025">
        <v>2.77</v>
      </c>
      <c r="I3025" s="5">
        <f>ROUND(Marketing[[#This Row],[Clicks]]*Marketing[[#This Row],[Conversion_Rate]],0)</f>
        <v>8</v>
      </c>
      <c r="J3025" s="12">
        <f>Marketing[[#This Row],[Campaign_Cost]]/Marketing[[#This Row],[Customers]]</f>
        <v>1064.625</v>
      </c>
      <c r="K3025" t="s">
        <v>25</v>
      </c>
      <c r="L3025" t="s">
        <v>50</v>
      </c>
      <c r="M3025">
        <v>829</v>
      </c>
      <c r="N3025">
        <v>6115</v>
      </c>
      <c r="O3025">
        <v>6</v>
      </c>
      <c r="P3025" t="s">
        <v>44</v>
      </c>
      <c r="Q3025" s="1">
        <v>44300</v>
      </c>
    </row>
    <row r="3026" spans="1:17" x14ac:dyDescent="0.3">
      <c r="A3026" t="s">
        <v>22</v>
      </c>
      <c r="B3026" t="s">
        <v>36</v>
      </c>
      <c r="C3026" t="s">
        <v>30</v>
      </c>
      <c r="D3026" t="s">
        <v>46</v>
      </c>
      <c r="E3026" t="s">
        <v>15</v>
      </c>
      <c r="F3026" s="9">
        <v>0.08</v>
      </c>
      <c r="G3026" s="10">
        <v>9344</v>
      </c>
      <c r="H3026">
        <v>3.86</v>
      </c>
      <c r="I3026" s="5">
        <f>ROUND(Marketing[[#This Row],[Clicks]]*Marketing[[#This Row],[Conversion_Rate]],0)</f>
        <v>80</v>
      </c>
      <c r="J3026" s="12">
        <f>Marketing[[#This Row],[Campaign_Cost]]/Marketing[[#This Row],[Customers]]</f>
        <v>116.8</v>
      </c>
      <c r="K3026" t="s">
        <v>25</v>
      </c>
      <c r="L3026" t="s">
        <v>50</v>
      </c>
      <c r="M3026">
        <v>995</v>
      </c>
      <c r="N3026">
        <v>8081</v>
      </c>
      <c r="O3026">
        <v>2</v>
      </c>
      <c r="P3026" t="s">
        <v>27</v>
      </c>
      <c r="Q3026" s="1">
        <v>44301</v>
      </c>
    </row>
    <row r="3027" spans="1:17" x14ac:dyDescent="0.3">
      <c r="A3027" t="s">
        <v>49</v>
      </c>
      <c r="B3027" t="s">
        <v>45</v>
      </c>
      <c r="C3027" t="s">
        <v>52</v>
      </c>
      <c r="D3027" t="s">
        <v>17</v>
      </c>
      <c r="E3027" t="s">
        <v>18</v>
      </c>
      <c r="F3027" s="9">
        <v>0.05</v>
      </c>
      <c r="G3027" s="10">
        <v>7096</v>
      </c>
      <c r="H3027">
        <v>7.92</v>
      </c>
      <c r="I3027" s="5">
        <f>ROUND(Marketing[[#This Row],[Clicks]]*Marketing[[#This Row],[Conversion_Rate]],0)</f>
        <v>10</v>
      </c>
      <c r="J3027" s="12">
        <f>Marketing[[#This Row],[Campaign_Cost]]/Marketing[[#This Row],[Customers]]</f>
        <v>709.6</v>
      </c>
      <c r="K3027" t="s">
        <v>51</v>
      </c>
      <c r="L3027" t="s">
        <v>20</v>
      </c>
      <c r="M3027">
        <v>194</v>
      </c>
      <c r="N3027">
        <v>5035</v>
      </c>
      <c r="O3027">
        <v>9</v>
      </c>
      <c r="P3027" t="s">
        <v>42</v>
      </c>
      <c r="Q3027" s="1">
        <v>44302</v>
      </c>
    </row>
    <row r="3028" spans="1:17" x14ac:dyDescent="0.3">
      <c r="A3028" t="s">
        <v>14</v>
      </c>
      <c r="B3028" t="s">
        <v>29</v>
      </c>
      <c r="C3028" t="s">
        <v>30</v>
      </c>
      <c r="D3028" t="s">
        <v>17</v>
      </c>
      <c r="E3028" t="s">
        <v>41</v>
      </c>
      <c r="F3028" s="9">
        <v>0.02</v>
      </c>
      <c r="G3028" s="10">
        <v>8286</v>
      </c>
      <c r="H3028">
        <v>3.21</v>
      </c>
      <c r="I3028" s="5">
        <f>ROUND(Marketing[[#This Row],[Clicks]]*Marketing[[#This Row],[Conversion_Rate]],0)</f>
        <v>14</v>
      </c>
      <c r="J3028" s="12">
        <f>Marketing[[#This Row],[Campaign_Cost]]/Marketing[[#This Row],[Customers]]</f>
        <v>591.85714285714289</v>
      </c>
      <c r="K3028" t="s">
        <v>32</v>
      </c>
      <c r="L3028" t="s">
        <v>50</v>
      </c>
      <c r="M3028">
        <v>678</v>
      </c>
      <c r="N3028">
        <v>7425</v>
      </c>
      <c r="O3028">
        <v>7</v>
      </c>
      <c r="P3028" t="s">
        <v>21</v>
      </c>
      <c r="Q3028" s="1">
        <v>44303</v>
      </c>
    </row>
    <row r="3029" spans="1:17" x14ac:dyDescent="0.3">
      <c r="A3029" t="s">
        <v>22</v>
      </c>
      <c r="B3029" t="s">
        <v>47</v>
      </c>
      <c r="C3029" t="s">
        <v>30</v>
      </c>
      <c r="D3029" t="s">
        <v>40</v>
      </c>
      <c r="E3029" t="s">
        <v>18</v>
      </c>
      <c r="F3029" s="9">
        <v>0.12</v>
      </c>
      <c r="G3029" s="10">
        <v>10598</v>
      </c>
      <c r="H3029">
        <v>7.86</v>
      </c>
      <c r="I3029" s="5">
        <f>ROUND(Marketing[[#This Row],[Clicks]]*Marketing[[#This Row],[Conversion_Rate]],0)</f>
        <v>117</v>
      </c>
      <c r="J3029" s="12">
        <f>Marketing[[#This Row],[Campaign_Cost]]/Marketing[[#This Row],[Customers]]</f>
        <v>90.581196581196579</v>
      </c>
      <c r="K3029" t="s">
        <v>32</v>
      </c>
      <c r="L3029" t="s">
        <v>26</v>
      </c>
      <c r="M3029">
        <v>974</v>
      </c>
      <c r="N3029">
        <v>9232</v>
      </c>
      <c r="O3029">
        <v>1</v>
      </c>
      <c r="P3029" t="s">
        <v>42</v>
      </c>
      <c r="Q3029" s="1">
        <v>44304</v>
      </c>
    </row>
    <row r="3030" spans="1:17" x14ac:dyDescent="0.3">
      <c r="A3030" t="s">
        <v>28</v>
      </c>
      <c r="B3030" t="s">
        <v>47</v>
      </c>
      <c r="C3030" t="s">
        <v>30</v>
      </c>
      <c r="D3030" t="s">
        <v>40</v>
      </c>
      <c r="E3030" t="s">
        <v>43</v>
      </c>
      <c r="F3030" s="9">
        <v>0.05</v>
      </c>
      <c r="G3030" s="10">
        <v>11181</v>
      </c>
      <c r="H3030">
        <v>4.99</v>
      </c>
      <c r="I3030" s="5">
        <f>ROUND(Marketing[[#This Row],[Clicks]]*Marketing[[#This Row],[Conversion_Rate]],0)</f>
        <v>16</v>
      </c>
      <c r="J3030" s="12">
        <f>Marketing[[#This Row],[Campaign_Cost]]/Marketing[[#This Row],[Customers]]</f>
        <v>698.8125</v>
      </c>
      <c r="K3030" t="s">
        <v>25</v>
      </c>
      <c r="L3030" t="s">
        <v>39</v>
      </c>
      <c r="M3030">
        <v>326</v>
      </c>
      <c r="N3030">
        <v>8706</v>
      </c>
      <c r="O3030">
        <v>1</v>
      </c>
      <c r="P3030" t="s">
        <v>42</v>
      </c>
      <c r="Q3030" s="1">
        <v>44305</v>
      </c>
    </row>
    <row r="3031" spans="1:17" x14ac:dyDescent="0.3">
      <c r="A3031" t="s">
        <v>28</v>
      </c>
      <c r="B3031" t="s">
        <v>36</v>
      </c>
      <c r="C3031" t="s">
        <v>37</v>
      </c>
      <c r="D3031" t="s">
        <v>46</v>
      </c>
      <c r="E3031" t="s">
        <v>18</v>
      </c>
      <c r="F3031" s="9">
        <v>0.04</v>
      </c>
      <c r="G3031" s="10">
        <v>17472</v>
      </c>
      <c r="H3031">
        <v>2.58</v>
      </c>
      <c r="I3031" s="5">
        <f>ROUND(Marketing[[#This Row],[Clicks]]*Marketing[[#This Row],[Conversion_Rate]],0)</f>
        <v>27</v>
      </c>
      <c r="J3031" s="12">
        <f>Marketing[[#This Row],[Campaign_Cost]]/Marketing[[#This Row],[Customers]]</f>
        <v>647.11111111111109</v>
      </c>
      <c r="K3031" t="s">
        <v>19</v>
      </c>
      <c r="L3031" t="s">
        <v>39</v>
      </c>
      <c r="M3031">
        <v>678</v>
      </c>
      <c r="N3031">
        <v>2762</v>
      </c>
      <c r="O3031">
        <v>1</v>
      </c>
      <c r="P3031" t="s">
        <v>27</v>
      </c>
      <c r="Q3031" s="1">
        <v>44306</v>
      </c>
    </row>
    <row r="3032" spans="1:17" x14ac:dyDescent="0.3">
      <c r="A3032" t="s">
        <v>35</v>
      </c>
      <c r="B3032" t="s">
        <v>47</v>
      </c>
      <c r="C3032" t="s">
        <v>16</v>
      </c>
      <c r="D3032" t="s">
        <v>46</v>
      </c>
      <c r="E3032" t="s">
        <v>31</v>
      </c>
      <c r="F3032" s="9">
        <v>0.02</v>
      </c>
      <c r="G3032" s="10">
        <v>14490</v>
      </c>
      <c r="H3032">
        <v>7.04</v>
      </c>
      <c r="I3032" s="5">
        <f>ROUND(Marketing[[#This Row],[Clicks]]*Marketing[[#This Row],[Conversion_Rate]],0)</f>
        <v>14</v>
      </c>
      <c r="J3032" s="12">
        <f>Marketing[[#This Row],[Campaign_Cost]]/Marketing[[#This Row],[Customers]]</f>
        <v>1035</v>
      </c>
      <c r="K3032" t="s">
        <v>51</v>
      </c>
      <c r="L3032" t="s">
        <v>33</v>
      </c>
      <c r="M3032">
        <v>702</v>
      </c>
      <c r="N3032">
        <v>1851</v>
      </c>
      <c r="O3032">
        <v>3</v>
      </c>
      <c r="P3032" t="s">
        <v>42</v>
      </c>
      <c r="Q3032" s="1">
        <v>44307</v>
      </c>
    </row>
    <row r="3033" spans="1:17" x14ac:dyDescent="0.3">
      <c r="A3033" t="s">
        <v>35</v>
      </c>
      <c r="B3033" t="s">
        <v>47</v>
      </c>
      <c r="C3033" t="s">
        <v>23</v>
      </c>
      <c r="D3033" t="s">
        <v>17</v>
      </c>
      <c r="E3033" t="s">
        <v>48</v>
      </c>
      <c r="F3033" s="9">
        <v>7.0000000000000007E-2</v>
      </c>
      <c r="G3033" s="10">
        <v>17939</v>
      </c>
      <c r="H3033">
        <v>7.3</v>
      </c>
      <c r="I3033" s="5">
        <f>ROUND(Marketing[[#This Row],[Clicks]]*Marketing[[#This Row],[Conversion_Rate]],0)</f>
        <v>17</v>
      </c>
      <c r="J3033" s="12">
        <f>Marketing[[#This Row],[Campaign_Cost]]/Marketing[[#This Row],[Customers]]</f>
        <v>1055.2352941176471</v>
      </c>
      <c r="K3033" t="s">
        <v>51</v>
      </c>
      <c r="L3033" t="s">
        <v>33</v>
      </c>
      <c r="M3033">
        <v>236</v>
      </c>
      <c r="N3033">
        <v>1918</v>
      </c>
      <c r="O3033">
        <v>4</v>
      </c>
      <c r="P3033" t="s">
        <v>42</v>
      </c>
      <c r="Q3033" s="1">
        <v>44308</v>
      </c>
    </row>
    <row r="3034" spans="1:17" x14ac:dyDescent="0.3">
      <c r="A3034" t="s">
        <v>35</v>
      </c>
      <c r="B3034" t="s">
        <v>29</v>
      </c>
      <c r="C3034" t="s">
        <v>16</v>
      </c>
      <c r="D3034" t="s">
        <v>24</v>
      </c>
      <c r="E3034" t="s">
        <v>31</v>
      </c>
      <c r="F3034" s="9">
        <v>0.05</v>
      </c>
      <c r="G3034" s="10">
        <v>9591</v>
      </c>
      <c r="H3034">
        <v>3</v>
      </c>
      <c r="I3034" s="5">
        <f>ROUND(Marketing[[#This Row],[Clicks]]*Marketing[[#This Row],[Conversion_Rate]],0)</f>
        <v>29</v>
      </c>
      <c r="J3034" s="12">
        <f>Marketing[[#This Row],[Campaign_Cost]]/Marketing[[#This Row],[Customers]]</f>
        <v>330.72413793103448</v>
      </c>
      <c r="K3034" t="s">
        <v>19</v>
      </c>
      <c r="L3034" t="s">
        <v>50</v>
      </c>
      <c r="M3034">
        <v>577</v>
      </c>
      <c r="N3034">
        <v>1916</v>
      </c>
      <c r="O3034">
        <v>4</v>
      </c>
      <c r="P3034" t="s">
        <v>42</v>
      </c>
      <c r="Q3034" s="1">
        <v>44309</v>
      </c>
    </row>
    <row r="3035" spans="1:17" x14ac:dyDescent="0.3">
      <c r="A3035" t="s">
        <v>14</v>
      </c>
      <c r="B3035" t="s">
        <v>47</v>
      </c>
      <c r="C3035" t="s">
        <v>37</v>
      </c>
      <c r="D3035" t="s">
        <v>24</v>
      </c>
      <c r="E3035" t="s">
        <v>48</v>
      </c>
      <c r="F3035" s="9">
        <v>0.12</v>
      </c>
      <c r="G3035" s="10">
        <v>10258</v>
      </c>
      <c r="H3035">
        <v>3.63</v>
      </c>
      <c r="I3035" s="5">
        <f>ROUND(Marketing[[#This Row],[Clicks]]*Marketing[[#This Row],[Conversion_Rate]],0)</f>
        <v>120</v>
      </c>
      <c r="J3035" s="12">
        <f>Marketing[[#This Row],[Campaign_Cost]]/Marketing[[#This Row],[Customers]]</f>
        <v>85.483333333333334</v>
      </c>
      <c r="K3035" t="s">
        <v>25</v>
      </c>
      <c r="L3035" t="s">
        <v>39</v>
      </c>
      <c r="M3035">
        <v>1000</v>
      </c>
      <c r="N3035">
        <v>1099</v>
      </c>
      <c r="O3035">
        <v>1</v>
      </c>
      <c r="P3035" t="s">
        <v>27</v>
      </c>
      <c r="Q3035" s="1">
        <v>44310</v>
      </c>
    </row>
    <row r="3036" spans="1:17" x14ac:dyDescent="0.3">
      <c r="A3036" t="s">
        <v>35</v>
      </c>
      <c r="B3036" t="s">
        <v>47</v>
      </c>
      <c r="C3036" t="s">
        <v>37</v>
      </c>
      <c r="D3036" t="s">
        <v>46</v>
      </c>
      <c r="E3036" t="s">
        <v>31</v>
      </c>
      <c r="F3036" s="9">
        <v>0.14000000000000001</v>
      </c>
      <c r="G3036" s="10">
        <v>14394</v>
      </c>
      <c r="H3036">
        <v>7.12</v>
      </c>
      <c r="I3036" s="5">
        <f>ROUND(Marketing[[#This Row],[Clicks]]*Marketing[[#This Row],[Conversion_Rate]],0)</f>
        <v>91</v>
      </c>
      <c r="J3036" s="12">
        <f>Marketing[[#This Row],[Campaign_Cost]]/Marketing[[#This Row],[Customers]]</f>
        <v>158.17582417582418</v>
      </c>
      <c r="K3036" t="s">
        <v>19</v>
      </c>
      <c r="L3036" t="s">
        <v>39</v>
      </c>
      <c r="M3036">
        <v>651</v>
      </c>
      <c r="N3036">
        <v>6266</v>
      </c>
      <c r="O3036">
        <v>4</v>
      </c>
      <c r="P3036" t="s">
        <v>27</v>
      </c>
      <c r="Q3036" s="1">
        <v>44311</v>
      </c>
    </row>
    <row r="3037" spans="1:17" x14ac:dyDescent="0.3">
      <c r="A3037" t="s">
        <v>22</v>
      </c>
      <c r="B3037" t="s">
        <v>29</v>
      </c>
      <c r="C3037" t="s">
        <v>16</v>
      </c>
      <c r="D3037" t="s">
        <v>46</v>
      </c>
      <c r="E3037" t="s">
        <v>41</v>
      </c>
      <c r="F3037" s="9">
        <v>0.06</v>
      </c>
      <c r="G3037" s="10">
        <v>10392</v>
      </c>
      <c r="H3037">
        <v>5.4</v>
      </c>
      <c r="I3037" s="5">
        <f>ROUND(Marketing[[#This Row],[Clicks]]*Marketing[[#This Row],[Conversion_Rate]],0)</f>
        <v>15</v>
      </c>
      <c r="J3037" s="12">
        <f>Marketing[[#This Row],[Campaign_Cost]]/Marketing[[#This Row],[Customers]]</f>
        <v>692.8</v>
      </c>
      <c r="K3037" t="s">
        <v>51</v>
      </c>
      <c r="L3037" t="s">
        <v>33</v>
      </c>
      <c r="M3037">
        <v>248</v>
      </c>
      <c r="N3037">
        <v>3956</v>
      </c>
      <c r="O3037">
        <v>10</v>
      </c>
      <c r="P3037" t="s">
        <v>27</v>
      </c>
      <c r="Q3037" s="1">
        <v>44312</v>
      </c>
    </row>
    <row r="3038" spans="1:17" x14ac:dyDescent="0.3">
      <c r="A3038" t="s">
        <v>28</v>
      </c>
      <c r="B3038" t="s">
        <v>47</v>
      </c>
      <c r="C3038" t="s">
        <v>16</v>
      </c>
      <c r="D3038" t="s">
        <v>17</v>
      </c>
      <c r="E3038" t="s">
        <v>18</v>
      </c>
      <c r="F3038" s="9">
        <v>0.03</v>
      </c>
      <c r="G3038" s="10">
        <v>5072</v>
      </c>
      <c r="H3038">
        <v>4.1900000000000004</v>
      </c>
      <c r="I3038" s="5">
        <f>ROUND(Marketing[[#This Row],[Clicks]]*Marketing[[#This Row],[Conversion_Rate]],0)</f>
        <v>16</v>
      </c>
      <c r="J3038" s="12">
        <f>Marketing[[#This Row],[Campaign_Cost]]/Marketing[[#This Row],[Customers]]</f>
        <v>317</v>
      </c>
      <c r="K3038" t="s">
        <v>38</v>
      </c>
      <c r="L3038" t="s">
        <v>39</v>
      </c>
      <c r="M3038">
        <v>523</v>
      </c>
      <c r="N3038">
        <v>2209</v>
      </c>
      <c r="O3038">
        <v>5</v>
      </c>
      <c r="P3038" t="s">
        <v>42</v>
      </c>
      <c r="Q3038" s="1">
        <v>44313</v>
      </c>
    </row>
    <row r="3039" spans="1:17" x14ac:dyDescent="0.3">
      <c r="A3039" t="s">
        <v>22</v>
      </c>
      <c r="B3039" t="s">
        <v>36</v>
      </c>
      <c r="C3039" t="s">
        <v>37</v>
      </c>
      <c r="D3039" t="s">
        <v>24</v>
      </c>
      <c r="E3039" t="s">
        <v>41</v>
      </c>
      <c r="F3039" s="9">
        <v>0.04</v>
      </c>
      <c r="G3039" s="10">
        <v>8122</v>
      </c>
      <c r="H3039">
        <v>7.05</v>
      </c>
      <c r="I3039" s="5">
        <f>ROUND(Marketing[[#This Row],[Clicks]]*Marketing[[#This Row],[Conversion_Rate]],0)</f>
        <v>6</v>
      </c>
      <c r="J3039" s="12">
        <f>Marketing[[#This Row],[Campaign_Cost]]/Marketing[[#This Row],[Customers]]</f>
        <v>1353.6666666666667</v>
      </c>
      <c r="K3039" t="s">
        <v>19</v>
      </c>
      <c r="L3039" t="s">
        <v>39</v>
      </c>
      <c r="M3039">
        <v>160</v>
      </c>
      <c r="N3039">
        <v>3905</v>
      </c>
      <c r="O3039">
        <v>3</v>
      </c>
      <c r="P3039" t="s">
        <v>34</v>
      </c>
      <c r="Q3039" s="1">
        <v>44314</v>
      </c>
    </row>
    <row r="3040" spans="1:17" x14ac:dyDescent="0.3">
      <c r="A3040" t="s">
        <v>22</v>
      </c>
      <c r="B3040" t="s">
        <v>45</v>
      </c>
      <c r="C3040" t="s">
        <v>52</v>
      </c>
      <c r="D3040" t="s">
        <v>24</v>
      </c>
      <c r="E3040" t="s">
        <v>31</v>
      </c>
      <c r="F3040" s="9">
        <v>0.09</v>
      </c>
      <c r="G3040" s="10">
        <v>16047</v>
      </c>
      <c r="H3040">
        <v>6.2</v>
      </c>
      <c r="I3040" s="5">
        <f>ROUND(Marketing[[#This Row],[Clicks]]*Marketing[[#This Row],[Conversion_Rate]],0)</f>
        <v>76</v>
      </c>
      <c r="J3040" s="12">
        <f>Marketing[[#This Row],[Campaign_Cost]]/Marketing[[#This Row],[Customers]]</f>
        <v>211.14473684210526</v>
      </c>
      <c r="K3040" t="s">
        <v>32</v>
      </c>
      <c r="L3040" t="s">
        <v>50</v>
      </c>
      <c r="M3040">
        <v>846</v>
      </c>
      <c r="N3040">
        <v>2468</v>
      </c>
      <c r="O3040">
        <v>2</v>
      </c>
      <c r="P3040" t="s">
        <v>21</v>
      </c>
      <c r="Q3040" s="1">
        <v>44315</v>
      </c>
    </row>
    <row r="3041" spans="1:17" x14ac:dyDescent="0.3">
      <c r="A3041" t="s">
        <v>35</v>
      </c>
      <c r="B3041" t="s">
        <v>36</v>
      </c>
      <c r="C3041" t="s">
        <v>16</v>
      </c>
      <c r="D3041" t="s">
        <v>46</v>
      </c>
      <c r="E3041" t="s">
        <v>15</v>
      </c>
      <c r="F3041" s="9">
        <v>0.02</v>
      </c>
      <c r="G3041" s="10">
        <v>9217</v>
      </c>
      <c r="H3041">
        <v>3.19</v>
      </c>
      <c r="I3041" s="5">
        <f>ROUND(Marketing[[#This Row],[Clicks]]*Marketing[[#This Row],[Conversion_Rate]],0)</f>
        <v>9</v>
      </c>
      <c r="J3041" s="12">
        <f>Marketing[[#This Row],[Campaign_Cost]]/Marketing[[#This Row],[Customers]]</f>
        <v>1024.1111111111111</v>
      </c>
      <c r="K3041" t="s">
        <v>32</v>
      </c>
      <c r="L3041" t="s">
        <v>50</v>
      </c>
      <c r="M3041">
        <v>473</v>
      </c>
      <c r="N3041">
        <v>8964</v>
      </c>
      <c r="O3041">
        <v>7</v>
      </c>
      <c r="P3041" t="s">
        <v>21</v>
      </c>
      <c r="Q3041" s="1">
        <v>44316</v>
      </c>
    </row>
    <row r="3042" spans="1:17" x14ac:dyDescent="0.3">
      <c r="A3042" t="s">
        <v>14</v>
      </c>
      <c r="B3042" t="s">
        <v>47</v>
      </c>
      <c r="C3042" t="s">
        <v>16</v>
      </c>
      <c r="D3042" t="s">
        <v>17</v>
      </c>
      <c r="E3042" t="s">
        <v>15</v>
      </c>
      <c r="F3042" s="9">
        <v>0.15</v>
      </c>
      <c r="G3042" s="10">
        <v>17347</v>
      </c>
      <c r="H3042">
        <v>4.0199999999999996</v>
      </c>
      <c r="I3042" s="5">
        <f>ROUND(Marketing[[#This Row],[Clicks]]*Marketing[[#This Row],[Conversion_Rate]],0)</f>
        <v>72</v>
      </c>
      <c r="J3042" s="12">
        <f>Marketing[[#This Row],[Campaign_Cost]]/Marketing[[#This Row],[Customers]]</f>
        <v>240.93055555555554</v>
      </c>
      <c r="K3042" t="s">
        <v>19</v>
      </c>
      <c r="L3042" t="s">
        <v>33</v>
      </c>
      <c r="M3042">
        <v>479</v>
      </c>
      <c r="N3042">
        <v>6094</v>
      </c>
      <c r="O3042">
        <v>5</v>
      </c>
      <c r="P3042" t="s">
        <v>44</v>
      </c>
      <c r="Q3042" s="1">
        <v>44317</v>
      </c>
    </row>
    <row r="3043" spans="1:17" x14ac:dyDescent="0.3">
      <c r="A3043" t="s">
        <v>28</v>
      </c>
      <c r="B3043" t="s">
        <v>45</v>
      </c>
      <c r="C3043" t="s">
        <v>23</v>
      </c>
      <c r="D3043" t="s">
        <v>46</v>
      </c>
      <c r="E3043" t="s">
        <v>43</v>
      </c>
      <c r="F3043" s="9">
        <v>0.14000000000000001</v>
      </c>
      <c r="G3043" s="10">
        <v>15910</v>
      </c>
      <c r="H3043">
        <v>3.02</v>
      </c>
      <c r="I3043" s="5">
        <f>ROUND(Marketing[[#This Row],[Clicks]]*Marketing[[#This Row],[Conversion_Rate]],0)</f>
        <v>92</v>
      </c>
      <c r="J3043" s="12">
        <f>Marketing[[#This Row],[Campaign_Cost]]/Marketing[[#This Row],[Customers]]</f>
        <v>172.93478260869566</v>
      </c>
      <c r="K3043" t="s">
        <v>51</v>
      </c>
      <c r="L3043" t="s">
        <v>33</v>
      </c>
      <c r="M3043">
        <v>656</v>
      </c>
      <c r="N3043">
        <v>6729</v>
      </c>
      <c r="O3043">
        <v>6</v>
      </c>
      <c r="P3043" t="s">
        <v>42</v>
      </c>
      <c r="Q3043" s="1">
        <v>44318</v>
      </c>
    </row>
    <row r="3044" spans="1:17" x14ac:dyDescent="0.3">
      <c r="A3044" t="s">
        <v>28</v>
      </c>
      <c r="B3044" t="s">
        <v>47</v>
      </c>
      <c r="C3044" t="s">
        <v>30</v>
      </c>
      <c r="D3044" t="s">
        <v>40</v>
      </c>
      <c r="E3044" t="s">
        <v>18</v>
      </c>
      <c r="F3044" s="9">
        <v>0.02</v>
      </c>
      <c r="G3044" s="10">
        <v>7842</v>
      </c>
      <c r="H3044">
        <v>7.43</v>
      </c>
      <c r="I3044" s="5">
        <f>ROUND(Marketing[[#This Row],[Clicks]]*Marketing[[#This Row],[Conversion_Rate]],0)</f>
        <v>7</v>
      </c>
      <c r="J3044" s="12">
        <f>Marketing[[#This Row],[Campaign_Cost]]/Marketing[[#This Row],[Customers]]</f>
        <v>1120.2857142857142</v>
      </c>
      <c r="K3044" t="s">
        <v>51</v>
      </c>
      <c r="L3044" t="s">
        <v>20</v>
      </c>
      <c r="M3044">
        <v>347</v>
      </c>
      <c r="N3044">
        <v>3015</v>
      </c>
      <c r="O3044">
        <v>1</v>
      </c>
      <c r="P3044" t="s">
        <v>27</v>
      </c>
      <c r="Q3044" s="1">
        <v>44319</v>
      </c>
    </row>
    <row r="3045" spans="1:17" x14ac:dyDescent="0.3">
      <c r="A3045" t="s">
        <v>14</v>
      </c>
      <c r="B3045" t="s">
        <v>45</v>
      </c>
      <c r="C3045" t="s">
        <v>52</v>
      </c>
      <c r="D3045" t="s">
        <v>46</v>
      </c>
      <c r="E3045" t="s">
        <v>31</v>
      </c>
      <c r="F3045" s="9">
        <v>0.15</v>
      </c>
      <c r="G3045" s="10">
        <v>12620</v>
      </c>
      <c r="H3045">
        <v>2.54</v>
      </c>
      <c r="I3045" s="5">
        <f>ROUND(Marketing[[#This Row],[Clicks]]*Marketing[[#This Row],[Conversion_Rate]],0)</f>
        <v>105</v>
      </c>
      <c r="J3045" s="12">
        <f>Marketing[[#This Row],[Campaign_Cost]]/Marketing[[#This Row],[Customers]]</f>
        <v>120.19047619047619</v>
      </c>
      <c r="K3045" t="s">
        <v>51</v>
      </c>
      <c r="L3045" t="s">
        <v>20</v>
      </c>
      <c r="M3045">
        <v>699</v>
      </c>
      <c r="N3045">
        <v>9871</v>
      </c>
      <c r="O3045">
        <v>8</v>
      </c>
      <c r="P3045" t="s">
        <v>21</v>
      </c>
      <c r="Q3045" s="1">
        <v>44320</v>
      </c>
    </row>
    <row r="3046" spans="1:17" x14ac:dyDescent="0.3">
      <c r="A3046" t="s">
        <v>14</v>
      </c>
      <c r="B3046" t="s">
        <v>47</v>
      </c>
      <c r="C3046" t="s">
        <v>30</v>
      </c>
      <c r="D3046" t="s">
        <v>40</v>
      </c>
      <c r="E3046" t="s">
        <v>48</v>
      </c>
      <c r="F3046" s="9">
        <v>7.0000000000000007E-2</v>
      </c>
      <c r="G3046" s="10">
        <v>10496</v>
      </c>
      <c r="H3046">
        <v>5.19</v>
      </c>
      <c r="I3046" s="5">
        <f>ROUND(Marketing[[#This Row],[Clicks]]*Marketing[[#This Row],[Conversion_Rate]],0)</f>
        <v>36</v>
      </c>
      <c r="J3046" s="12">
        <f>Marketing[[#This Row],[Campaign_Cost]]/Marketing[[#This Row],[Customers]]</f>
        <v>291.55555555555554</v>
      </c>
      <c r="K3046" t="s">
        <v>38</v>
      </c>
      <c r="L3046" t="s">
        <v>20</v>
      </c>
      <c r="M3046">
        <v>508</v>
      </c>
      <c r="N3046">
        <v>4031</v>
      </c>
      <c r="O3046">
        <v>8</v>
      </c>
      <c r="P3046" t="s">
        <v>34</v>
      </c>
      <c r="Q3046" s="1">
        <v>44321</v>
      </c>
    </row>
    <row r="3047" spans="1:17" x14ac:dyDescent="0.3">
      <c r="A3047" t="s">
        <v>22</v>
      </c>
      <c r="B3047" t="s">
        <v>36</v>
      </c>
      <c r="C3047" t="s">
        <v>16</v>
      </c>
      <c r="D3047" t="s">
        <v>17</v>
      </c>
      <c r="E3047" t="s">
        <v>31</v>
      </c>
      <c r="F3047" s="9">
        <v>0.01</v>
      </c>
      <c r="G3047" s="10">
        <v>9280</v>
      </c>
      <c r="H3047">
        <v>4.9400000000000004</v>
      </c>
      <c r="I3047" s="5">
        <f>ROUND(Marketing[[#This Row],[Clicks]]*Marketing[[#This Row],[Conversion_Rate]],0)</f>
        <v>3</v>
      </c>
      <c r="J3047" s="12">
        <f>Marketing[[#This Row],[Campaign_Cost]]/Marketing[[#This Row],[Customers]]</f>
        <v>3093.3333333333335</v>
      </c>
      <c r="K3047" t="s">
        <v>19</v>
      </c>
      <c r="L3047" t="s">
        <v>33</v>
      </c>
      <c r="M3047">
        <v>267</v>
      </c>
      <c r="N3047">
        <v>3434</v>
      </c>
      <c r="O3047">
        <v>8</v>
      </c>
      <c r="P3047" t="s">
        <v>42</v>
      </c>
      <c r="Q3047" s="1">
        <v>44322</v>
      </c>
    </row>
    <row r="3048" spans="1:17" x14ac:dyDescent="0.3">
      <c r="A3048" t="s">
        <v>14</v>
      </c>
      <c r="B3048" t="s">
        <v>36</v>
      </c>
      <c r="C3048" t="s">
        <v>16</v>
      </c>
      <c r="D3048" t="s">
        <v>24</v>
      </c>
      <c r="E3048" t="s">
        <v>18</v>
      </c>
      <c r="F3048" s="9">
        <v>7.0000000000000007E-2</v>
      </c>
      <c r="G3048" s="10">
        <v>8729</v>
      </c>
      <c r="H3048">
        <v>4.46</v>
      </c>
      <c r="I3048" s="5">
        <f>ROUND(Marketing[[#This Row],[Clicks]]*Marketing[[#This Row],[Conversion_Rate]],0)</f>
        <v>57</v>
      </c>
      <c r="J3048" s="12">
        <f>Marketing[[#This Row],[Campaign_Cost]]/Marketing[[#This Row],[Customers]]</f>
        <v>153.14035087719299</v>
      </c>
      <c r="K3048" t="s">
        <v>32</v>
      </c>
      <c r="L3048" t="s">
        <v>50</v>
      </c>
      <c r="M3048">
        <v>808</v>
      </c>
      <c r="N3048">
        <v>5672</v>
      </c>
      <c r="O3048">
        <v>7</v>
      </c>
      <c r="P3048" t="s">
        <v>42</v>
      </c>
      <c r="Q3048" s="1">
        <v>44323</v>
      </c>
    </row>
    <row r="3049" spans="1:17" x14ac:dyDescent="0.3">
      <c r="A3049" t="s">
        <v>22</v>
      </c>
      <c r="B3049" t="s">
        <v>47</v>
      </c>
      <c r="C3049" t="s">
        <v>16</v>
      </c>
      <c r="D3049" t="s">
        <v>46</v>
      </c>
      <c r="E3049" t="s">
        <v>18</v>
      </c>
      <c r="F3049" s="9">
        <v>0.08</v>
      </c>
      <c r="G3049" s="10">
        <v>10250</v>
      </c>
      <c r="H3049">
        <v>5.91</v>
      </c>
      <c r="I3049" s="5">
        <f>ROUND(Marketing[[#This Row],[Clicks]]*Marketing[[#This Row],[Conversion_Rate]],0)</f>
        <v>56</v>
      </c>
      <c r="J3049" s="12">
        <f>Marketing[[#This Row],[Campaign_Cost]]/Marketing[[#This Row],[Customers]]</f>
        <v>183.03571428571428</v>
      </c>
      <c r="K3049" t="s">
        <v>51</v>
      </c>
      <c r="L3049" t="s">
        <v>26</v>
      </c>
      <c r="M3049">
        <v>702</v>
      </c>
      <c r="N3049">
        <v>4561</v>
      </c>
      <c r="O3049">
        <v>10</v>
      </c>
      <c r="P3049" t="s">
        <v>34</v>
      </c>
      <c r="Q3049" s="1">
        <v>44324</v>
      </c>
    </row>
    <row r="3050" spans="1:17" x14ac:dyDescent="0.3">
      <c r="A3050" t="s">
        <v>22</v>
      </c>
      <c r="B3050" t="s">
        <v>45</v>
      </c>
      <c r="C3050" t="s">
        <v>37</v>
      </c>
      <c r="D3050" t="s">
        <v>17</v>
      </c>
      <c r="E3050" t="s">
        <v>15</v>
      </c>
      <c r="F3050" s="9">
        <v>0.14000000000000001</v>
      </c>
      <c r="G3050" s="10">
        <v>12472</v>
      </c>
      <c r="H3050">
        <v>6.28</v>
      </c>
      <c r="I3050" s="5">
        <f>ROUND(Marketing[[#This Row],[Clicks]]*Marketing[[#This Row],[Conversion_Rate]],0)</f>
        <v>39</v>
      </c>
      <c r="J3050" s="12">
        <f>Marketing[[#This Row],[Campaign_Cost]]/Marketing[[#This Row],[Customers]]</f>
        <v>319.79487179487177</v>
      </c>
      <c r="K3050" t="s">
        <v>19</v>
      </c>
      <c r="L3050" t="s">
        <v>39</v>
      </c>
      <c r="M3050">
        <v>277</v>
      </c>
      <c r="N3050">
        <v>5946</v>
      </c>
      <c r="O3050">
        <v>8</v>
      </c>
      <c r="P3050" t="s">
        <v>42</v>
      </c>
      <c r="Q3050" s="1">
        <v>44325</v>
      </c>
    </row>
    <row r="3051" spans="1:17" x14ac:dyDescent="0.3">
      <c r="A3051" t="s">
        <v>22</v>
      </c>
      <c r="B3051" t="s">
        <v>45</v>
      </c>
      <c r="C3051" t="s">
        <v>23</v>
      </c>
      <c r="D3051" t="s">
        <v>24</v>
      </c>
      <c r="E3051" t="s">
        <v>18</v>
      </c>
      <c r="F3051" s="9">
        <v>0.08</v>
      </c>
      <c r="G3051" s="10">
        <v>18707</v>
      </c>
      <c r="H3051">
        <v>2.59</v>
      </c>
      <c r="I3051" s="5">
        <f>ROUND(Marketing[[#This Row],[Clicks]]*Marketing[[#This Row],[Conversion_Rate]],0)</f>
        <v>15</v>
      </c>
      <c r="J3051" s="12">
        <f>Marketing[[#This Row],[Campaign_Cost]]/Marketing[[#This Row],[Customers]]</f>
        <v>1247.1333333333334</v>
      </c>
      <c r="K3051" t="s">
        <v>25</v>
      </c>
      <c r="L3051" t="s">
        <v>33</v>
      </c>
      <c r="M3051">
        <v>191</v>
      </c>
      <c r="N3051">
        <v>6854</v>
      </c>
      <c r="O3051">
        <v>6</v>
      </c>
      <c r="P3051" t="s">
        <v>42</v>
      </c>
      <c r="Q3051" s="1">
        <v>44326</v>
      </c>
    </row>
    <row r="3052" spans="1:17" x14ac:dyDescent="0.3">
      <c r="A3052" t="s">
        <v>49</v>
      </c>
      <c r="B3052" t="s">
        <v>45</v>
      </c>
      <c r="C3052" t="s">
        <v>30</v>
      </c>
      <c r="D3052" t="s">
        <v>17</v>
      </c>
      <c r="E3052" t="s">
        <v>31</v>
      </c>
      <c r="F3052" s="9">
        <v>0.13</v>
      </c>
      <c r="G3052" s="10">
        <v>14274</v>
      </c>
      <c r="H3052">
        <v>6.75</v>
      </c>
      <c r="I3052" s="5">
        <f>ROUND(Marketing[[#This Row],[Clicks]]*Marketing[[#This Row],[Conversion_Rate]],0)</f>
        <v>28</v>
      </c>
      <c r="J3052" s="12">
        <f>Marketing[[#This Row],[Campaign_Cost]]/Marketing[[#This Row],[Customers]]</f>
        <v>509.78571428571428</v>
      </c>
      <c r="K3052" t="s">
        <v>51</v>
      </c>
      <c r="L3052" t="s">
        <v>50</v>
      </c>
      <c r="M3052">
        <v>213</v>
      </c>
      <c r="N3052">
        <v>8853</v>
      </c>
      <c r="O3052">
        <v>5</v>
      </c>
      <c r="P3052" t="s">
        <v>42</v>
      </c>
      <c r="Q3052" s="1">
        <v>44327</v>
      </c>
    </row>
    <row r="3053" spans="1:17" x14ac:dyDescent="0.3">
      <c r="A3053" t="s">
        <v>49</v>
      </c>
      <c r="B3053" t="s">
        <v>36</v>
      </c>
      <c r="C3053" t="s">
        <v>37</v>
      </c>
      <c r="D3053" t="s">
        <v>24</v>
      </c>
      <c r="E3053" t="s">
        <v>18</v>
      </c>
      <c r="F3053" s="9">
        <v>0.08</v>
      </c>
      <c r="G3053" s="10">
        <v>16591</v>
      </c>
      <c r="H3053">
        <v>7.06</v>
      </c>
      <c r="I3053" s="5">
        <f>ROUND(Marketing[[#This Row],[Clicks]]*Marketing[[#This Row],[Conversion_Rate]],0)</f>
        <v>30</v>
      </c>
      <c r="J3053" s="12">
        <f>Marketing[[#This Row],[Campaign_Cost]]/Marketing[[#This Row],[Customers]]</f>
        <v>553.0333333333333</v>
      </c>
      <c r="K3053" t="s">
        <v>19</v>
      </c>
      <c r="L3053" t="s">
        <v>50</v>
      </c>
      <c r="M3053">
        <v>377</v>
      </c>
      <c r="N3053">
        <v>8120</v>
      </c>
      <c r="O3053">
        <v>1</v>
      </c>
      <c r="P3053" t="s">
        <v>34</v>
      </c>
      <c r="Q3053" s="1">
        <v>44328</v>
      </c>
    </row>
    <row r="3054" spans="1:17" x14ac:dyDescent="0.3">
      <c r="A3054" t="s">
        <v>28</v>
      </c>
      <c r="B3054" t="s">
        <v>45</v>
      </c>
      <c r="C3054" t="s">
        <v>37</v>
      </c>
      <c r="D3054" t="s">
        <v>24</v>
      </c>
      <c r="E3054" t="s">
        <v>15</v>
      </c>
      <c r="F3054" s="9">
        <v>0.11</v>
      </c>
      <c r="G3054" s="10">
        <v>15424</v>
      </c>
      <c r="H3054">
        <v>3.27</v>
      </c>
      <c r="I3054" s="5">
        <f>ROUND(Marketing[[#This Row],[Clicks]]*Marketing[[#This Row],[Conversion_Rate]],0)</f>
        <v>87</v>
      </c>
      <c r="J3054" s="12">
        <f>Marketing[[#This Row],[Campaign_Cost]]/Marketing[[#This Row],[Customers]]</f>
        <v>177.28735632183907</v>
      </c>
      <c r="K3054" t="s">
        <v>25</v>
      </c>
      <c r="L3054" t="s">
        <v>33</v>
      </c>
      <c r="M3054">
        <v>795</v>
      </c>
      <c r="N3054">
        <v>4545</v>
      </c>
      <c r="O3054">
        <v>9</v>
      </c>
      <c r="P3054" t="s">
        <v>42</v>
      </c>
      <c r="Q3054" s="1">
        <v>44329</v>
      </c>
    </row>
    <row r="3055" spans="1:17" x14ac:dyDescent="0.3">
      <c r="A3055" t="s">
        <v>28</v>
      </c>
      <c r="B3055" t="s">
        <v>47</v>
      </c>
      <c r="C3055" t="s">
        <v>16</v>
      </c>
      <c r="D3055" t="s">
        <v>24</v>
      </c>
      <c r="E3055" t="s">
        <v>48</v>
      </c>
      <c r="F3055" s="9">
        <v>0.03</v>
      </c>
      <c r="G3055" s="10">
        <v>7628</v>
      </c>
      <c r="H3055">
        <v>7.72</v>
      </c>
      <c r="I3055" s="5">
        <f>ROUND(Marketing[[#This Row],[Clicks]]*Marketing[[#This Row],[Conversion_Rate]],0)</f>
        <v>6</v>
      </c>
      <c r="J3055" s="12">
        <f>Marketing[[#This Row],[Campaign_Cost]]/Marketing[[#This Row],[Customers]]</f>
        <v>1271.3333333333333</v>
      </c>
      <c r="K3055" t="s">
        <v>38</v>
      </c>
      <c r="L3055" t="s">
        <v>33</v>
      </c>
      <c r="M3055">
        <v>212</v>
      </c>
      <c r="N3055">
        <v>8152</v>
      </c>
      <c r="O3055">
        <v>2</v>
      </c>
      <c r="P3055" t="s">
        <v>42</v>
      </c>
      <c r="Q3055" s="1">
        <v>44330</v>
      </c>
    </row>
    <row r="3056" spans="1:17" x14ac:dyDescent="0.3">
      <c r="A3056" t="s">
        <v>35</v>
      </c>
      <c r="B3056" t="s">
        <v>36</v>
      </c>
      <c r="C3056" t="s">
        <v>23</v>
      </c>
      <c r="D3056" t="s">
        <v>46</v>
      </c>
      <c r="E3056" t="s">
        <v>43</v>
      </c>
      <c r="F3056" s="9">
        <v>0.14000000000000001</v>
      </c>
      <c r="G3056" s="10">
        <v>13465</v>
      </c>
      <c r="H3056">
        <v>3.31</v>
      </c>
      <c r="I3056" s="5">
        <f>ROUND(Marketing[[#This Row],[Clicks]]*Marketing[[#This Row],[Conversion_Rate]],0)</f>
        <v>19</v>
      </c>
      <c r="J3056" s="12">
        <f>Marketing[[#This Row],[Campaign_Cost]]/Marketing[[#This Row],[Customers]]</f>
        <v>708.68421052631584</v>
      </c>
      <c r="K3056" t="s">
        <v>25</v>
      </c>
      <c r="L3056" t="s">
        <v>20</v>
      </c>
      <c r="M3056">
        <v>135</v>
      </c>
      <c r="N3056">
        <v>1827</v>
      </c>
      <c r="O3056">
        <v>10</v>
      </c>
      <c r="P3056" t="s">
        <v>27</v>
      </c>
      <c r="Q3056" s="1">
        <v>44331</v>
      </c>
    </row>
    <row r="3057" spans="1:17" x14ac:dyDescent="0.3">
      <c r="A3057" t="s">
        <v>22</v>
      </c>
      <c r="B3057" t="s">
        <v>45</v>
      </c>
      <c r="C3057" t="s">
        <v>30</v>
      </c>
      <c r="D3057" t="s">
        <v>40</v>
      </c>
      <c r="E3057" t="s">
        <v>15</v>
      </c>
      <c r="F3057" s="9">
        <v>0.11</v>
      </c>
      <c r="G3057" s="10">
        <v>15130</v>
      </c>
      <c r="H3057">
        <v>8</v>
      </c>
      <c r="I3057" s="5">
        <f>ROUND(Marketing[[#This Row],[Clicks]]*Marketing[[#This Row],[Conversion_Rate]],0)</f>
        <v>67</v>
      </c>
      <c r="J3057" s="12">
        <f>Marketing[[#This Row],[Campaign_Cost]]/Marketing[[#This Row],[Customers]]</f>
        <v>225.82089552238807</v>
      </c>
      <c r="K3057" t="s">
        <v>32</v>
      </c>
      <c r="L3057" t="s">
        <v>50</v>
      </c>
      <c r="M3057">
        <v>606</v>
      </c>
      <c r="N3057">
        <v>6638</v>
      </c>
      <c r="O3057">
        <v>9</v>
      </c>
      <c r="P3057" t="s">
        <v>44</v>
      </c>
      <c r="Q3057" s="1">
        <v>44332</v>
      </c>
    </row>
    <row r="3058" spans="1:17" x14ac:dyDescent="0.3">
      <c r="A3058" t="s">
        <v>35</v>
      </c>
      <c r="B3058" t="s">
        <v>29</v>
      </c>
      <c r="C3058" t="s">
        <v>37</v>
      </c>
      <c r="D3058" t="s">
        <v>40</v>
      </c>
      <c r="E3058" t="s">
        <v>31</v>
      </c>
      <c r="F3058" s="9">
        <v>0.08</v>
      </c>
      <c r="G3058" s="10">
        <v>12729</v>
      </c>
      <c r="H3058">
        <v>7.87</v>
      </c>
      <c r="I3058" s="5">
        <f>ROUND(Marketing[[#This Row],[Clicks]]*Marketing[[#This Row],[Conversion_Rate]],0)</f>
        <v>18</v>
      </c>
      <c r="J3058" s="12">
        <f>Marketing[[#This Row],[Campaign_Cost]]/Marketing[[#This Row],[Customers]]</f>
        <v>707.16666666666663</v>
      </c>
      <c r="K3058" t="s">
        <v>25</v>
      </c>
      <c r="L3058" t="s">
        <v>20</v>
      </c>
      <c r="M3058">
        <v>219</v>
      </c>
      <c r="N3058">
        <v>9926</v>
      </c>
      <c r="O3058">
        <v>6</v>
      </c>
      <c r="P3058" t="s">
        <v>44</v>
      </c>
      <c r="Q3058" s="1">
        <v>44333</v>
      </c>
    </row>
    <row r="3059" spans="1:17" x14ac:dyDescent="0.3">
      <c r="A3059" t="s">
        <v>35</v>
      </c>
      <c r="B3059" t="s">
        <v>47</v>
      </c>
      <c r="C3059" t="s">
        <v>30</v>
      </c>
      <c r="D3059" t="s">
        <v>40</v>
      </c>
      <c r="E3059" t="s">
        <v>41</v>
      </c>
      <c r="F3059" s="9">
        <v>0.06</v>
      </c>
      <c r="G3059" s="10">
        <v>16133</v>
      </c>
      <c r="H3059">
        <v>6.7</v>
      </c>
      <c r="I3059" s="5">
        <f>ROUND(Marketing[[#This Row],[Clicks]]*Marketing[[#This Row],[Conversion_Rate]],0)</f>
        <v>50</v>
      </c>
      <c r="J3059" s="12">
        <f>Marketing[[#This Row],[Campaign_Cost]]/Marketing[[#This Row],[Customers]]</f>
        <v>322.66000000000003</v>
      </c>
      <c r="K3059" t="s">
        <v>38</v>
      </c>
      <c r="L3059" t="s">
        <v>50</v>
      </c>
      <c r="M3059">
        <v>833</v>
      </c>
      <c r="N3059">
        <v>4290</v>
      </c>
      <c r="O3059">
        <v>3</v>
      </c>
      <c r="P3059" t="s">
        <v>42</v>
      </c>
      <c r="Q3059" s="1">
        <v>44334</v>
      </c>
    </row>
    <row r="3060" spans="1:17" x14ac:dyDescent="0.3">
      <c r="A3060" t="s">
        <v>28</v>
      </c>
      <c r="B3060" t="s">
        <v>47</v>
      </c>
      <c r="C3060" t="s">
        <v>16</v>
      </c>
      <c r="D3060" t="s">
        <v>40</v>
      </c>
      <c r="E3060" t="s">
        <v>43</v>
      </c>
      <c r="F3060" s="9">
        <v>0.12</v>
      </c>
      <c r="G3060" s="10">
        <v>16551</v>
      </c>
      <c r="H3060">
        <v>2.2599999999999998</v>
      </c>
      <c r="I3060" s="5">
        <f>ROUND(Marketing[[#This Row],[Clicks]]*Marketing[[#This Row],[Conversion_Rate]],0)</f>
        <v>91</v>
      </c>
      <c r="J3060" s="12">
        <f>Marketing[[#This Row],[Campaign_Cost]]/Marketing[[#This Row],[Customers]]</f>
        <v>181.87912087912088</v>
      </c>
      <c r="K3060" t="s">
        <v>25</v>
      </c>
      <c r="L3060" t="s">
        <v>50</v>
      </c>
      <c r="M3060">
        <v>758</v>
      </c>
      <c r="N3060">
        <v>2598</v>
      </c>
      <c r="O3060">
        <v>8</v>
      </c>
      <c r="P3060" t="s">
        <v>21</v>
      </c>
      <c r="Q3060" s="1">
        <v>44335</v>
      </c>
    </row>
    <row r="3061" spans="1:17" x14ac:dyDescent="0.3">
      <c r="A3061" t="s">
        <v>28</v>
      </c>
      <c r="B3061" t="s">
        <v>15</v>
      </c>
      <c r="C3061" t="s">
        <v>30</v>
      </c>
      <c r="D3061" t="s">
        <v>46</v>
      </c>
      <c r="E3061" t="s">
        <v>15</v>
      </c>
      <c r="F3061" s="9">
        <v>0.02</v>
      </c>
      <c r="G3061" s="10">
        <v>17035</v>
      </c>
      <c r="H3061">
        <v>7.68</v>
      </c>
      <c r="I3061" s="5">
        <f>ROUND(Marketing[[#This Row],[Clicks]]*Marketing[[#This Row],[Conversion_Rate]],0)</f>
        <v>9</v>
      </c>
      <c r="J3061" s="12">
        <f>Marketing[[#This Row],[Campaign_Cost]]/Marketing[[#This Row],[Customers]]</f>
        <v>1892.7777777777778</v>
      </c>
      <c r="K3061" t="s">
        <v>51</v>
      </c>
      <c r="L3061" t="s">
        <v>20</v>
      </c>
      <c r="M3061">
        <v>444</v>
      </c>
      <c r="N3061">
        <v>2041</v>
      </c>
      <c r="O3061">
        <v>3</v>
      </c>
      <c r="P3061" t="s">
        <v>27</v>
      </c>
      <c r="Q3061" s="1">
        <v>44336</v>
      </c>
    </row>
    <row r="3062" spans="1:17" x14ac:dyDescent="0.3">
      <c r="A3062" t="s">
        <v>28</v>
      </c>
      <c r="B3062" t="s">
        <v>15</v>
      </c>
      <c r="C3062" t="s">
        <v>23</v>
      </c>
      <c r="D3062" t="s">
        <v>24</v>
      </c>
      <c r="E3062" t="s">
        <v>18</v>
      </c>
      <c r="F3062" s="9">
        <v>0.1</v>
      </c>
      <c r="G3062" s="10">
        <v>15601</v>
      </c>
      <c r="H3062">
        <v>4.99</v>
      </c>
      <c r="I3062" s="5">
        <f>ROUND(Marketing[[#This Row],[Clicks]]*Marketing[[#This Row],[Conversion_Rate]],0)</f>
        <v>92</v>
      </c>
      <c r="J3062" s="12">
        <f>Marketing[[#This Row],[Campaign_Cost]]/Marketing[[#This Row],[Customers]]</f>
        <v>169.57608695652175</v>
      </c>
      <c r="K3062" t="s">
        <v>32</v>
      </c>
      <c r="L3062" t="s">
        <v>39</v>
      </c>
      <c r="M3062">
        <v>923</v>
      </c>
      <c r="N3062">
        <v>8172</v>
      </c>
      <c r="O3062">
        <v>5</v>
      </c>
      <c r="P3062" t="s">
        <v>27</v>
      </c>
      <c r="Q3062" s="1">
        <v>44337</v>
      </c>
    </row>
    <row r="3063" spans="1:17" x14ac:dyDescent="0.3">
      <c r="A3063" t="s">
        <v>22</v>
      </c>
      <c r="B3063" t="s">
        <v>45</v>
      </c>
      <c r="C3063" t="s">
        <v>16</v>
      </c>
      <c r="D3063" t="s">
        <v>24</v>
      </c>
      <c r="E3063" t="s">
        <v>31</v>
      </c>
      <c r="F3063" s="9">
        <v>0.04</v>
      </c>
      <c r="G3063" s="10">
        <v>18227</v>
      </c>
      <c r="H3063">
        <v>4.4800000000000004</v>
      </c>
      <c r="I3063" s="5">
        <f>ROUND(Marketing[[#This Row],[Clicks]]*Marketing[[#This Row],[Conversion_Rate]],0)</f>
        <v>39</v>
      </c>
      <c r="J3063" s="12">
        <f>Marketing[[#This Row],[Campaign_Cost]]/Marketing[[#This Row],[Customers]]</f>
        <v>467.35897435897436</v>
      </c>
      <c r="K3063" t="s">
        <v>32</v>
      </c>
      <c r="L3063" t="s">
        <v>39</v>
      </c>
      <c r="M3063">
        <v>980</v>
      </c>
      <c r="N3063">
        <v>9778</v>
      </c>
      <c r="O3063">
        <v>3</v>
      </c>
      <c r="P3063" t="s">
        <v>42</v>
      </c>
      <c r="Q3063" s="1">
        <v>44338</v>
      </c>
    </row>
    <row r="3064" spans="1:17" x14ac:dyDescent="0.3">
      <c r="A3064" t="s">
        <v>49</v>
      </c>
      <c r="B3064" t="s">
        <v>29</v>
      </c>
      <c r="C3064" t="s">
        <v>52</v>
      </c>
      <c r="D3064" t="s">
        <v>24</v>
      </c>
      <c r="E3064" t="s">
        <v>41</v>
      </c>
      <c r="F3064" s="9">
        <v>0.04</v>
      </c>
      <c r="G3064" s="10">
        <v>18864</v>
      </c>
      <c r="H3064">
        <v>4.05</v>
      </c>
      <c r="I3064" s="5">
        <f>ROUND(Marketing[[#This Row],[Clicks]]*Marketing[[#This Row],[Conversion_Rate]],0)</f>
        <v>25</v>
      </c>
      <c r="J3064" s="12">
        <f>Marketing[[#This Row],[Campaign_Cost]]/Marketing[[#This Row],[Customers]]</f>
        <v>754.56</v>
      </c>
      <c r="K3064" t="s">
        <v>32</v>
      </c>
      <c r="L3064" t="s">
        <v>20</v>
      </c>
      <c r="M3064">
        <v>637</v>
      </c>
      <c r="N3064">
        <v>4945</v>
      </c>
      <c r="O3064">
        <v>8</v>
      </c>
      <c r="P3064" t="s">
        <v>27</v>
      </c>
      <c r="Q3064" s="1">
        <v>44339</v>
      </c>
    </row>
    <row r="3065" spans="1:17" x14ac:dyDescent="0.3">
      <c r="A3065" t="s">
        <v>28</v>
      </c>
      <c r="B3065" t="s">
        <v>29</v>
      </c>
      <c r="C3065" t="s">
        <v>37</v>
      </c>
      <c r="D3065" t="s">
        <v>46</v>
      </c>
      <c r="E3065" t="s">
        <v>48</v>
      </c>
      <c r="F3065" s="9">
        <v>0.14000000000000001</v>
      </c>
      <c r="G3065" s="10">
        <v>7099</v>
      </c>
      <c r="H3065">
        <v>4</v>
      </c>
      <c r="I3065" s="5">
        <f>ROUND(Marketing[[#This Row],[Clicks]]*Marketing[[#This Row],[Conversion_Rate]],0)</f>
        <v>36</v>
      </c>
      <c r="J3065" s="12">
        <f>Marketing[[#This Row],[Campaign_Cost]]/Marketing[[#This Row],[Customers]]</f>
        <v>197.19444444444446</v>
      </c>
      <c r="K3065" t="s">
        <v>51</v>
      </c>
      <c r="L3065" t="s">
        <v>33</v>
      </c>
      <c r="M3065">
        <v>260</v>
      </c>
      <c r="N3065">
        <v>4157</v>
      </c>
      <c r="O3065">
        <v>2</v>
      </c>
      <c r="P3065" t="s">
        <v>34</v>
      </c>
      <c r="Q3065" s="1">
        <v>44340</v>
      </c>
    </row>
    <row r="3066" spans="1:17" x14ac:dyDescent="0.3">
      <c r="A3066" t="s">
        <v>28</v>
      </c>
      <c r="B3066" t="s">
        <v>29</v>
      </c>
      <c r="C3066" t="s">
        <v>52</v>
      </c>
      <c r="D3066" t="s">
        <v>17</v>
      </c>
      <c r="E3066" t="s">
        <v>18</v>
      </c>
      <c r="F3066" s="9">
        <v>0.1</v>
      </c>
      <c r="G3066" s="10">
        <v>11860</v>
      </c>
      <c r="H3066">
        <v>5.31</v>
      </c>
      <c r="I3066" s="5">
        <f>ROUND(Marketing[[#This Row],[Clicks]]*Marketing[[#This Row],[Conversion_Rate]],0)</f>
        <v>86</v>
      </c>
      <c r="J3066" s="12">
        <f>Marketing[[#This Row],[Campaign_Cost]]/Marketing[[#This Row],[Customers]]</f>
        <v>137.90697674418604</v>
      </c>
      <c r="K3066" t="s">
        <v>32</v>
      </c>
      <c r="L3066" t="s">
        <v>39</v>
      </c>
      <c r="M3066">
        <v>864</v>
      </c>
      <c r="N3066">
        <v>8695</v>
      </c>
      <c r="O3066">
        <v>3</v>
      </c>
      <c r="P3066" t="s">
        <v>27</v>
      </c>
      <c r="Q3066" s="1">
        <v>44341</v>
      </c>
    </row>
    <row r="3067" spans="1:17" x14ac:dyDescent="0.3">
      <c r="A3067" t="s">
        <v>22</v>
      </c>
      <c r="B3067" t="s">
        <v>47</v>
      </c>
      <c r="C3067" t="s">
        <v>16</v>
      </c>
      <c r="D3067" t="s">
        <v>24</v>
      </c>
      <c r="E3067" t="s">
        <v>18</v>
      </c>
      <c r="F3067" s="9">
        <v>0.01</v>
      </c>
      <c r="G3067" s="10">
        <v>19250</v>
      </c>
      <c r="H3067">
        <v>3.45</v>
      </c>
      <c r="I3067" s="5">
        <f>ROUND(Marketing[[#This Row],[Clicks]]*Marketing[[#This Row],[Conversion_Rate]],0)</f>
        <v>5</v>
      </c>
      <c r="J3067" s="12">
        <f>Marketing[[#This Row],[Campaign_Cost]]/Marketing[[#This Row],[Customers]]</f>
        <v>3850</v>
      </c>
      <c r="K3067" t="s">
        <v>51</v>
      </c>
      <c r="L3067" t="s">
        <v>50</v>
      </c>
      <c r="M3067">
        <v>470</v>
      </c>
      <c r="N3067">
        <v>9343</v>
      </c>
      <c r="O3067">
        <v>2</v>
      </c>
      <c r="P3067" t="s">
        <v>27</v>
      </c>
      <c r="Q3067" s="1">
        <v>44342</v>
      </c>
    </row>
    <row r="3068" spans="1:17" x14ac:dyDescent="0.3">
      <c r="A3068" t="s">
        <v>14</v>
      </c>
      <c r="B3068" t="s">
        <v>29</v>
      </c>
      <c r="C3068" t="s">
        <v>16</v>
      </c>
      <c r="D3068" t="s">
        <v>24</v>
      </c>
      <c r="E3068" t="s">
        <v>15</v>
      </c>
      <c r="F3068" s="9">
        <v>0.02</v>
      </c>
      <c r="G3068" s="10">
        <v>14886</v>
      </c>
      <c r="H3068">
        <v>6.16</v>
      </c>
      <c r="I3068" s="5">
        <f>ROUND(Marketing[[#This Row],[Clicks]]*Marketing[[#This Row],[Conversion_Rate]],0)</f>
        <v>11</v>
      </c>
      <c r="J3068" s="12">
        <f>Marketing[[#This Row],[Campaign_Cost]]/Marketing[[#This Row],[Customers]]</f>
        <v>1353.2727272727273</v>
      </c>
      <c r="K3068" t="s">
        <v>38</v>
      </c>
      <c r="L3068" t="s">
        <v>26</v>
      </c>
      <c r="M3068">
        <v>565</v>
      </c>
      <c r="N3068">
        <v>8241</v>
      </c>
      <c r="O3068">
        <v>9</v>
      </c>
      <c r="P3068" t="s">
        <v>21</v>
      </c>
      <c r="Q3068" s="1">
        <v>44343</v>
      </c>
    </row>
    <row r="3069" spans="1:17" x14ac:dyDescent="0.3">
      <c r="A3069" t="s">
        <v>35</v>
      </c>
      <c r="B3069" t="s">
        <v>36</v>
      </c>
      <c r="C3069" t="s">
        <v>52</v>
      </c>
      <c r="D3069" t="s">
        <v>24</v>
      </c>
      <c r="E3069" t="s">
        <v>48</v>
      </c>
      <c r="F3069" s="9">
        <v>0.09</v>
      </c>
      <c r="G3069" s="10">
        <v>6218</v>
      </c>
      <c r="H3069">
        <v>2.08</v>
      </c>
      <c r="I3069" s="5">
        <f>ROUND(Marketing[[#This Row],[Clicks]]*Marketing[[#This Row],[Conversion_Rate]],0)</f>
        <v>38</v>
      </c>
      <c r="J3069" s="12">
        <f>Marketing[[#This Row],[Campaign_Cost]]/Marketing[[#This Row],[Customers]]</f>
        <v>163.63157894736841</v>
      </c>
      <c r="K3069" t="s">
        <v>25</v>
      </c>
      <c r="L3069" t="s">
        <v>20</v>
      </c>
      <c r="M3069">
        <v>420</v>
      </c>
      <c r="N3069">
        <v>4423</v>
      </c>
      <c r="O3069">
        <v>1</v>
      </c>
      <c r="P3069" t="s">
        <v>21</v>
      </c>
      <c r="Q3069" s="1">
        <v>44344</v>
      </c>
    </row>
    <row r="3070" spans="1:17" x14ac:dyDescent="0.3">
      <c r="A3070" t="s">
        <v>28</v>
      </c>
      <c r="B3070" t="s">
        <v>29</v>
      </c>
      <c r="C3070" t="s">
        <v>30</v>
      </c>
      <c r="D3070" t="s">
        <v>46</v>
      </c>
      <c r="E3070" t="s">
        <v>15</v>
      </c>
      <c r="F3070" s="9">
        <v>0.13</v>
      </c>
      <c r="G3070" s="10">
        <v>15364</v>
      </c>
      <c r="H3070">
        <v>6.47</v>
      </c>
      <c r="I3070" s="5">
        <f>ROUND(Marketing[[#This Row],[Clicks]]*Marketing[[#This Row],[Conversion_Rate]],0)</f>
        <v>20</v>
      </c>
      <c r="J3070" s="12">
        <f>Marketing[[#This Row],[Campaign_Cost]]/Marketing[[#This Row],[Customers]]</f>
        <v>768.2</v>
      </c>
      <c r="K3070" t="s">
        <v>19</v>
      </c>
      <c r="L3070" t="s">
        <v>39</v>
      </c>
      <c r="M3070">
        <v>154</v>
      </c>
      <c r="N3070">
        <v>1773</v>
      </c>
      <c r="O3070">
        <v>2</v>
      </c>
      <c r="P3070" t="s">
        <v>21</v>
      </c>
      <c r="Q3070" s="1">
        <v>44345</v>
      </c>
    </row>
    <row r="3071" spans="1:17" x14ac:dyDescent="0.3">
      <c r="A3071" t="s">
        <v>28</v>
      </c>
      <c r="B3071" t="s">
        <v>15</v>
      </c>
      <c r="C3071" t="s">
        <v>37</v>
      </c>
      <c r="D3071" t="s">
        <v>46</v>
      </c>
      <c r="E3071" t="s">
        <v>31</v>
      </c>
      <c r="F3071" s="9">
        <v>0.09</v>
      </c>
      <c r="G3071" s="10">
        <v>6394</v>
      </c>
      <c r="H3071">
        <v>2.0699999999999998</v>
      </c>
      <c r="I3071" s="5">
        <f>ROUND(Marketing[[#This Row],[Clicks]]*Marketing[[#This Row],[Conversion_Rate]],0)</f>
        <v>77</v>
      </c>
      <c r="J3071" s="12">
        <f>Marketing[[#This Row],[Campaign_Cost]]/Marketing[[#This Row],[Customers]]</f>
        <v>83.038961038961034</v>
      </c>
      <c r="K3071" t="s">
        <v>19</v>
      </c>
      <c r="L3071" t="s">
        <v>39</v>
      </c>
      <c r="M3071">
        <v>855</v>
      </c>
      <c r="N3071">
        <v>5399</v>
      </c>
      <c r="O3071">
        <v>3</v>
      </c>
      <c r="P3071" t="s">
        <v>42</v>
      </c>
      <c r="Q3071" s="1">
        <v>44346</v>
      </c>
    </row>
    <row r="3072" spans="1:17" x14ac:dyDescent="0.3">
      <c r="A3072" t="s">
        <v>28</v>
      </c>
      <c r="B3072" t="s">
        <v>15</v>
      </c>
      <c r="C3072" t="s">
        <v>37</v>
      </c>
      <c r="D3072" t="s">
        <v>40</v>
      </c>
      <c r="E3072" t="s">
        <v>31</v>
      </c>
      <c r="F3072" s="9">
        <v>0.05</v>
      </c>
      <c r="G3072" s="10">
        <v>17166</v>
      </c>
      <c r="H3072">
        <v>6.69</v>
      </c>
      <c r="I3072" s="5">
        <f>ROUND(Marketing[[#This Row],[Clicks]]*Marketing[[#This Row],[Conversion_Rate]],0)</f>
        <v>34</v>
      </c>
      <c r="J3072" s="12">
        <f>Marketing[[#This Row],[Campaign_Cost]]/Marketing[[#This Row],[Customers]]</f>
        <v>504.88235294117646</v>
      </c>
      <c r="K3072" t="s">
        <v>51</v>
      </c>
      <c r="L3072" t="s">
        <v>26</v>
      </c>
      <c r="M3072">
        <v>684</v>
      </c>
      <c r="N3072">
        <v>1118</v>
      </c>
      <c r="O3072">
        <v>6</v>
      </c>
      <c r="P3072" t="s">
        <v>34</v>
      </c>
      <c r="Q3072" s="1">
        <v>44347</v>
      </c>
    </row>
    <row r="3073" spans="1:17" x14ac:dyDescent="0.3">
      <c r="A3073" t="s">
        <v>49</v>
      </c>
      <c r="B3073" t="s">
        <v>15</v>
      </c>
      <c r="C3073" t="s">
        <v>23</v>
      </c>
      <c r="D3073" t="s">
        <v>17</v>
      </c>
      <c r="E3073" t="s">
        <v>31</v>
      </c>
      <c r="F3073" s="9">
        <v>7.0000000000000007E-2</v>
      </c>
      <c r="G3073" s="10">
        <v>12584</v>
      </c>
      <c r="H3073">
        <v>2.7</v>
      </c>
      <c r="I3073" s="5">
        <f>ROUND(Marketing[[#This Row],[Clicks]]*Marketing[[#This Row],[Conversion_Rate]],0)</f>
        <v>16</v>
      </c>
      <c r="J3073" s="12">
        <f>Marketing[[#This Row],[Campaign_Cost]]/Marketing[[#This Row],[Customers]]</f>
        <v>786.5</v>
      </c>
      <c r="K3073" t="s">
        <v>25</v>
      </c>
      <c r="L3073" t="s">
        <v>39</v>
      </c>
      <c r="M3073">
        <v>225</v>
      </c>
      <c r="N3073">
        <v>2052</v>
      </c>
      <c r="O3073">
        <v>8</v>
      </c>
      <c r="P3073" t="s">
        <v>42</v>
      </c>
      <c r="Q3073" s="1">
        <v>44348</v>
      </c>
    </row>
    <row r="3074" spans="1:17" x14ac:dyDescent="0.3">
      <c r="A3074" t="s">
        <v>49</v>
      </c>
      <c r="B3074" t="s">
        <v>36</v>
      </c>
      <c r="C3074" t="s">
        <v>30</v>
      </c>
      <c r="D3074" t="s">
        <v>40</v>
      </c>
      <c r="E3074" t="s">
        <v>15</v>
      </c>
      <c r="F3074" s="9">
        <v>0.03</v>
      </c>
      <c r="G3074" s="10">
        <v>15567</v>
      </c>
      <c r="H3074">
        <v>3.67</v>
      </c>
      <c r="I3074" s="5">
        <f>ROUND(Marketing[[#This Row],[Clicks]]*Marketing[[#This Row],[Conversion_Rate]],0)</f>
        <v>11</v>
      </c>
      <c r="J3074" s="12">
        <f>Marketing[[#This Row],[Campaign_Cost]]/Marketing[[#This Row],[Customers]]</f>
        <v>1415.1818181818182</v>
      </c>
      <c r="K3074" t="s">
        <v>32</v>
      </c>
      <c r="L3074" t="s">
        <v>33</v>
      </c>
      <c r="M3074">
        <v>368</v>
      </c>
      <c r="N3074">
        <v>4747</v>
      </c>
      <c r="O3074">
        <v>6</v>
      </c>
      <c r="P3074" t="s">
        <v>27</v>
      </c>
      <c r="Q3074" s="1">
        <v>44349</v>
      </c>
    </row>
    <row r="3075" spans="1:17" x14ac:dyDescent="0.3">
      <c r="A3075" t="s">
        <v>49</v>
      </c>
      <c r="B3075" t="s">
        <v>45</v>
      </c>
      <c r="C3075" t="s">
        <v>52</v>
      </c>
      <c r="D3075" t="s">
        <v>40</v>
      </c>
      <c r="E3075" t="s">
        <v>31</v>
      </c>
      <c r="F3075" s="9">
        <v>0.05</v>
      </c>
      <c r="G3075" s="10">
        <v>9651</v>
      </c>
      <c r="H3075">
        <v>4.0999999999999996</v>
      </c>
      <c r="I3075" s="5">
        <f>ROUND(Marketing[[#This Row],[Clicks]]*Marketing[[#This Row],[Conversion_Rate]],0)</f>
        <v>26</v>
      </c>
      <c r="J3075" s="12">
        <f>Marketing[[#This Row],[Campaign_Cost]]/Marketing[[#This Row],[Customers]]</f>
        <v>371.19230769230768</v>
      </c>
      <c r="K3075" t="s">
        <v>51</v>
      </c>
      <c r="L3075" t="s">
        <v>39</v>
      </c>
      <c r="M3075">
        <v>524</v>
      </c>
      <c r="N3075">
        <v>6545</v>
      </c>
      <c r="O3075">
        <v>10</v>
      </c>
      <c r="P3075" t="s">
        <v>34</v>
      </c>
      <c r="Q3075" s="1">
        <v>44350</v>
      </c>
    </row>
    <row r="3076" spans="1:17" x14ac:dyDescent="0.3">
      <c r="A3076" t="s">
        <v>28</v>
      </c>
      <c r="B3076" t="s">
        <v>45</v>
      </c>
      <c r="C3076" t="s">
        <v>37</v>
      </c>
      <c r="D3076" t="s">
        <v>40</v>
      </c>
      <c r="E3076" t="s">
        <v>48</v>
      </c>
      <c r="F3076" s="9">
        <v>0.05</v>
      </c>
      <c r="G3076" s="10">
        <v>10245</v>
      </c>
      <c r="H3076">
        <v>4.59</v>
      </c>
      <c r="I3076" s="5">
        <f>ROUND(Marketing[[#This Row],[Clicks]]*Marketing[[#This Row],[Conversion_Rate]],0)</f>
        <v>16</v>
      </c>
      <c r="J3076" s="12">
        <f>Marketing[[#This Row],[Campaign_Cost]]/Marketing[[#This Row],[Customers]]</f>
        <v>640.3125</v>
      </c>
      <c r="K3076" t="s">
        <v>19</v>
      </c>
      <c r="L3076" t="s">
        <v>33</v>
      </c>
      <c r="M3076">
        <v>326</v>
      </c>
      <c r="N3076">
        <v>7144</v>
      </c>
      <c r="O3076">
        <v>2</v>
      </c>
      <c r="P3076" t="s">
        <v>42</v>
      </c>
      <c r="Q3076" s="1">
        <v>44351</v>
      </c>
    </row>
    <row r="3077" spans="1:17" x14ac:dyDescent="0.3">
      <c r="A3077" t="s">
        <v>49</v>
      </c>
      <c r="B3077" t="s">
        <v>36</v>
      </c>
      <c r="C3077" t="s">
        <v>23</v>
      </c>
      <c r="D3077" t="s">
        <v>46</v>
      </c>
      <c r="E3077" t="s">
        <v>41</v>
      </c>
      <c r="F3077" s="9">
        <v>0.14000000000000001</v>
      </c>
      <c r="G3077" s="10">
        <v>19268</v>
      </c>
      <c r="H3077">
        <v>4.83</v>
      </c>
      <c r="I3077" s="5">
        <f>ROUND(Marketing[[#This Row],[Clicks]]*Marketing[[#This Row],[Conversion_Rate]],0)</f>
        <v>110</v>
      </c>
      <c r="J3077" s="12">
        <f>Marketing[[#This Row],[Campaign_Cost]]/Marketing[[#This Row],[Customers]]</f>
        <v>175.16363636363636</v>
      </c>
      <c r="K3077" t="s">
        <v>32</v>
      </c>
      <c r="L3077" t="s">
        <v>33</v>
      </c>
      <c r="M3077">
        <v>785</v>
      </c>
      <c r="N3077">
        <v>9042</v>
      </c>
      <c r="O3077">
        <v>5</v>
      </c>
      <c r="P3077" t="s">
        <v>27</v>
      </c>
      <c r="Q3077" s="1">
        <v>44352</v>
      </c>
    </row>
    <row r="3078" spans="1:17" x14ac:dyDescent="0.3">
      <c r="A3078" t="s">
        <v>22</v>
      </c>
      <c r="B3078" t="s">
        <v>29</v>
      </c>
      <c r="C3078" t="s">
        <v>37</v>
      </c>
      <c r="D3078" t="s">
        <v>46</v>
      </c>
      <c r="E3078" t="s">
        <v>48</v>
      </c>
      <c r="F3078" s="9">
        <v>0.02</v>
      </c>
      <c r="G3078" s="10">
        <v>16578</v>
      </c>
      <c r="H3078">
        <v>3.62</v>
      </c>
      <c r="I3078" s="5">
        <f>ROUND(Marketing[[#This Row],[Clicks]]*Marketing[[#This Row],[Conversion_Rate]],0)</f>
        <v>3</v>
      </c>
      <c r="J3078" s="12">
        <f>Marketing[[#This Row],[Campaign_Cost]]/Marketing[[#This Row],[Customers]]</f>
        <v>5526</v>
      </c>
      <c r="K3078" t="s">
        <v>32</v>
      </c>
      <c r="L3078" t="s">
        <v>26</v>
      </c>
      <c r="M3078">
        <v>166</v>
      </c>
      <c r="N3078">
        <v>8460</v>
      </c>
      <c r="O3078">
        <v>1</v>
      </c>
      <c r="P3078" t="s">
        <v>42</v>
      </c>
      <c r="Q3078" s="1">
        <v>44353</v>
      </c>
    </row>
    <row r="3079" spans="1:17" x14ac:dyDescent="0.3">
      <c r="A3079" t="s">
        <v>49</v>
      </c>
      <c r="B3079" t="s">
        <v>47</v>
      </c>
      <c r="C3079" t="s">
        <v>16</v>
      </c>
      <c r="D3079" t="s">
        <v>24</v>
      </c>
      <c r="E3079" t="s">
        <v>18</v>
      </c>
      <c r="F3079" s="9">
        <v>0.06</v>
      </c>
      <c r="G3079" s="10">
        <v>8291</v>
      </c>
      <c r="H3079">
        <v>3.86</v>
      </c>
      <c r="I3079" s="5">
        <f>ROUND(Marketing[[#This Row],[Clicks]]*Marketing[[#This Row],[Conversion_Rate]],0)</f>
        <v>20</v>
      </c>
      <c r="J3079" s="12">
        <f>Marketing[[#This Row],[Campaign_Cost]]/Marketing[[#This Row],[Customers]]</f>
        <v>414.55</v>
      </c>
      <c r="K3079" t="s">
        <v>19</v>
      </c>
      <c r="L3079" t="s">
        <v>20</v>
      </c>
      <c r="M3079">
        <v>338</v>
      </c>
      <c r="N3079">
        <v>9830</v>
      </c>
      <c r="O3079">
        <v>9</v>
      </c>
      <c r="P3079" t="s">
        <v>34</v>
      </c>
      <c r="Q3079" s="1">
        <v>44354</v>
      </c>
    </row>
    <row r="3080" spans="1:17" x14ac:dyDescent="0.3">
      <c r="A3080" t="s">
        <v>49</v>
      </c>
      <c r="B3080" t="s">
        <v>47</v>
      </c>
      <c r="C3080" t="s">
        <v>16</v>
      </c>
      <c r="D3080" t="s">
        <v>24</v>
      </c>
      <c r="E3080" t="s">
        <v>41</v>
      </c>
      <c r="F3080" s="9">
        <v>7.0000000000000007E-2</v>
      </c>
      <c r="G3080" s="10">
        <v>15305</v>
      </c>
      <c r="H3080">
        <v>5.9</v>
      </c>
      <c r="I3080" s="5">
        <f>ROUND(Marketing[[#This Row],[Clicks]]*Marketing[[#This Row],[Conversion_Rate]],0)</f>
        <v>64</v>
      </c>
      <c r="J3080" s="12">
        <f>Marketing[[#This Row],[Campaign_Cost]]/Marketing[[#This Row],[Customers]]</f>
        <v>239.140625</v>
      </c>
      <c r="K3080" t="s">
        <v>25</v>
      </c>
      <c r="L3080" t="s">
        <v>39</v>
      </c>
      <c r="M3080">
        <v>921</v>
      </c>
      <c r="N3080">
        <v>1424</v>
      </c>
      <c r="O3080">
        <v>1</v>
      </c>
      <c r="P3080" t="s">
        <v>27</v>
      </c>
      <c r="Q3080" s="1">
        <v>44355</v>
      </c>
    </row>
    <row r="3081" spans="1:17" x14ac:dyDescent="0.3">
      <c r="A3081" t="s">
        <v>14</v>
      </c>
      <c r="B3081" t="s">
        <v>29</v>
      </c>
      <c r="C3081" t="s">
        <v>23</v>
      </c>
      <c r="D3081" t="s">
        <v>17</v>
      </c>
      <c r="E3081" t="s">
        <v>31</v>
      </c>
      <c r="F3081" s="9">
        <v>0.01</v>
      </c>
      <c r="G3081" s="10">
        <v>8295</v>
      </c>
      <c r="H3081">
        <v>7.08</v>
      </c>
      <c r="I3081" s="5">
        <f>ROUND(Marketing[[#This Row],[Clicks]]*Marketing[[#This Row],[Conversion_Rate]],0)</f>
        <v>1</v>
      </c>
      <c r="J3081" s="12">
        <f>Marketing[[#This Row],[Campaign_Cost]]/Marketing[[#This Row],[Customers]]</f>
        <v>8295</v>
      </c>
      <c r="K3081" t="s">
        <v>51</v>
      </c>
      <c r="L3081" t="s">
        <v>20</v>
      </c>
      <c r="M3081">
        <v>124</v>
      </c>
      <c r="N3081">
        <v>6814</v>
      </c>
      <c r="O3081">
        <v>4</v>
      </c>
      <c r="P3081" t="s">
        <v>21</v>
      </c>
      <c r="Q3081" s="1">
        <v>44356</v>
      </c>
    </row>
    <row r="3082" spans="1:17" x14ac:dyDescent="0.3">
      <c r="A3082" t="s">
        <v>14</v>
      </c>
      <c r="B3082" t="s">
        <v>29</v>
      </c>
      <c r="C3082" t="s">
        <v>23</v>
      </c>
      <c r="D3082" t="s">
        <v>40</v>
      </c>
      <c r="E3082" t="s">
        <v>31</v>
      </c>
      <c r="F3082" s="9">
        <v>0.05</v>
      </c>
      <c r="G3082" s="10">
        <v>10556</v>
      </c>
      <c r="H3082">
        <v>5.24</v>
      </c>
      <c r="I3082" s="5">
        <f>ROUND(Marketing[[#This Row],[Clicks]]*Marketing[[#This Row],[Conversion_Rate]],0)</f>
        <v>18</v>
      </c>
      <c r="J3082" s="12">
        <f>Marketing[[#This Row],[Campaign_Cost]]/Marketing[[#This Row],[Customers]]</f>
        <v>586.44444444444446</v>
      </c>
      <c r="K3082" t="s">
        <v>38</v>
      </c>
      <c r="L3082" t="s">
        <v>39</v>
      </c>
      <c r="M3082">
        <v>353</v>
      </c>
      <c r="N3082">
        <v>7466</v>
      </c>
      <c r="O3082">
        <v>5</v>
      </c>
      <c r="P3082" t="s">
        <v>34</v>
      </c>
      <c r="Q3082" s="1">
        <v>44357</v>
      </c>
    </row>
    <row r="3083" spans="1:17" x14ac:dyDescent="0.3">
      <c r="A3083" t="s">
        <v>49</v>
      </c>
      <c r="B3083" t="s">
        <v>36</v>
      </c>
      <c r="C3083" t="s">
        <v>30</v>
      </c>
      <c r="D3083" t="s">
        <v>40</v>
      </c>
      <c r="E3083" t="s">
        <v>15</v>
      </c>
      <c r="F3083" s="9">
        <v>0.14000000000000001</v>
      </c>
      <c r="G3083" s="10">
        <v>11725</v>
      </c>
      <c r="H3083">
        <v>7.78</v>
      </c>
      <c r="I3083" s="5">
        <f>ROUND(Marketing[[#This Row],[Clicks]]*Marketing[[#This Row],[Conversion_Rate]],0)</f>
        <v>122</v>
      </c>
      <c r="J3083" s="12">
        <f>Marketing[[#This Row],[Campaign_Cost]]/Marketing[[#This Row],[Customers]]</f>
        <v>96.106557377049185</v>
      </c>
      <c r="K3083" t="s">
        <v>51</v>
      </c>
      <c r="L3083" t="s">
        <v>26</v>
      </c>
      <c r="M3083">
        <v>870</v>
      </c>
      <c r="N3083">
        <v>7084</v>
      </c>
      <c r="O3083">
        <v>3</v>
      </c>
      <c r="P3083" t="s">
        <v>27</v>
      </c>
      <c r="Q3083" s="1">
        <v>44358</v>
      </c>
    </row>
    <row r="3084" spans="1:17" x14ac:dyDescent="0.3">
      <c r="A3084" t="s">
        <v>28</v>
      </c>
      <c r="B3084" t="s">
        <v>15</v>
      </c>
      <c r="C3084" t="s">
        <v>30</v>
      </c>
      <c r="D3084" t="s">
        <v>46</v>
      </c>
      <c r="E3084" t="s">
        <v>43</v>
      </c>
      <c r="F3084" s="9">
        <v>0.1</v>
      </c>
      <c r="G3084" s="10">
        <v>13335</v>
      </c>
      <c r="H3084">
        <v>2.17</v>
      </c>
      <c r="I3084" s="5">
        <f>ROUND(Marketing[[#This Row],[Clicks]]*Marketing[[#This Row],[Conversion_Rate]],0)</f>
        <v>25</v>
      </c>
      <c r="J3084" s="12">
        <f>Marketing[[#This Row],[Campaign_Cost]]/Marketing[[#This Row],[Customers]]</f>
        <v>533.4</v>
      </c>
      <c r="K3084" t="s">
        <v>38</v>
      </c>
      <c r="L3084" t="s">
        <v>39</v>
      </c>
      <c r="M3084">
        <v>254</v>
      </c>
      <c r="N3084">
        <v>5370</v>
      </c>
      <c r="O3084">
        <v>5</v>
      </c>
      <c r="P3084" t="s">
        <v>27</v>
      </c>
      <c r="Q3084" s="1">
        <v>44359</v>
      </c>
    </row>
    <row r="3085" spans="1:17" x14ac:dyDescent="0.3">
      <c r="A3085" t="s">
        <v>28</v>
      </c>
      <c r="B3085" t="s">
        <v>15</v>
      </c>
      <c r="C3085" t="s">
        <v>16</v>
      </c>
      <c r="D3085" t="s">
        <v>46</v>
      </c>
      <c r="E3085" t="s">
        <v>41</v>
      </c>
      <c r="F3085" s="9">
        <v>0.05</v>
      </c>
      <c r="G3085" s="10">
        <v>5515</v>
      </c>
      <c r="H3085">
        <v>3.03</v>
      </c>
      <c r="I3085" s="5">
        <f>ROUND(Marketing[[#This Row],[Clicks]]*Marketing[[#This Row],[Conversion_Rate]],0)</f>
        <v>34</v>
      </c>
      <c r="J3085" s="12">
        <f>Marketing[[#This Row],[Campaign_Cost]]/Marketing[[#This Row],[Customers]]</f>
        <v>162.20588235294119</v>
      </c>
      <c r="K3085" t="s">
        <v>25</v>
      </c>
      <c r="L3085" t="s">
        <v>20</v>
      </c>
      <c r="M3085">
        <v>688</v>
      </c>
      <c r="N3085">
        <v>6210</v>
      </c>
      <c r="O3085">
        <v>4</v>
      </c>
      <c r="P3085" t="s">
        <v>44</v>
      </c>
      <c r="Q3085" s="1">
        <v>44360</v>
      </c>
    </row>
    <row r="3086" spans="1:17" x14ac:dyDescent="0.3">
      <c r="A3086" t="s">
        <v>35</v>
      </c>
      <c r="B3086" t="s">
        <v>29</v>
      </c>
      <c r="C3086" t="s">
        <v>52</v>
      </c>
      <c r="D3086" t="s">
        <v>46</v>
      </c>
      <c r="E3086" t="s">
        <v>41</v>
      </c>
      <c r="F3086" s="9">
        <v>0.09</v>
      </c>
      <c r="G3086" s="10">
        <v>6151</v>
      </c>
      <c r="H3086">
        <v>6.14</v>
      </c>
      <c r="I3086" s="5">
        <f>ROUND(Marketing[[#This Row],[Clicks]]*Marketing[[#This Row],[Conversion_Rate]],0)</f>
        <v>14</v>
      </c>
      <c r="J3086" s="12">
        <f>Marketing[[#This Row],[Campaign_Cost]]/Marketing[[#This Row],[Customers]]</f>
        <v>439.35714285714283</v>
      </c>
      <c r="K3086" t="s">
        <v>32</v>
      </c>
      <c r="L3086" t="s">
        <v>50</v>
      </c>
      <c r="M3086">
        <v>160</v>
      </c>
      <c r="N3086">
        <v>4750</v>
      </c>
      <c r="O3086">
        <v>7</v>
      </c>
      <c r="P3086" t="s">
        <v>42</v>
      </c>
      <c r="Q3086" s="1">
        <v>44361</v>
      </c>
    </row>
    <row r="3087" spans="1:17" x14ac:dyDescent="0.3">
      <c r="A3087" t="s">
        <v>14</v>
      </c>
      <c r="B3087" t="s">
        <v>29</v>
      </c>
      <c r="C3087" t="s">
        <v>37</v>
      </c>
      <c r="D3087" t="s">
        <v>24</v>
      </c>
      <c r="E3087" t="s">
        <v>15</v>
      </c>
      <c r="F3087" s="9">
        <v>0.06</v>
      </c>
      <c r="G3087" s="10">
        <v>16974</v>
      </c>
      <c r="H3087">
        <v>7.75</v>
      </c>
      <c r="I3087" s="5">
        <f>ROUND(Marketing[[#This Row],[Clicks]]*Marketing[[#This Row],[Conversion_Rate]],0)</f>
        <v>19</v>
      </c>
      <c r="J3087" s="12">
        <f>Marketing[[#This Row],[Campaign_Cost]]/Marketing[[#This Row],[Customers]]</f>
        <v>893.36842105263156</v>
      </c>
      <c r="K3087" t="s">
        <v>51</v>
      </c>
      <c r="L3087" t="s">
        <v>50</v>
      </c>
      <c r="M3087">
        <v>322</v>
      </c>
      <c r="N3087">
        <v>1741</v>
      </c>
      <c r="O3087">
        <v>6</v>
      </c>
      <c r="P3087" t="s">
        <v>34</v>
      </c>
      <c r="Q3087" s="1">
        <v>44362</v>
      </c>
    </row>
    <row r="3088" spans="1:17" x14ac:dyDescent="0.3">
      <c r="A3088" t="s">
        <v>35</v>
      </c>
      <c r="B3088" t="s">
        <v>15</v>
      </c>
      <c r="C3088" t="s">
        <v>30</v>
      </c>
      <c r="D3088" t="s">
        <v>17</v>
      </c>
      <c r="E3088" t="s">
        <v>18</v>
      </c>
      <c r="F3088" s="9">
        <v>0.09</v>
      </c>
      <c r="G3088" s="10">
        <v>10837</v>
      </c>
      <c r="H3088">
        <v>5.57</v>
      </c>
      <c r="I3088" s="5">
        <f>ROUND(Marketing[[#This Row],[Clicks]]*Marketing[[#This Row],[Conversion_Rate]],0)</f>
        <v>28</v>
      </c>
      <c r="J3088" s="12">
        <f>Marketing[[#This Row],[Campaign_Cost]]/Marketing[[#This Row],[Customers]]</f>
        <v>387.03571428571428</v>
      </c>
      <c r="K3088" t="s">
        <v>32</v>
      </c>
      <c r="L3088" t="s">
        <v>26</v>
      </c>
      <c r="M3088">
        <v>310</v>
      </c>
      <c r="N3088">
        <v>5465</v>
      </c>
      <c r="O3088">
        <v>10</v>
      </c>
      <c r="P3088" t="s">
        <v>21</v>
      </c>
      <c r="Q3088" s="1">
        <v>44363</v>
      </c>
    </row>
    <row r="3089" spans="1:17" x14ac:dyDescent="0.3">
      <c r="A3089" t="s">
        <v>49</v>
      </c>
      <c r="B3089" t="s">
        <v>29</v>
      </c>
      <c r="C3089" t="s">
        <v>30</v>
      </c>
      <c r="D3089" t="s">
        <v>24</v>
      </c>
      <c r="E3089" t="s">
        <v>18</v>
      </c>
      <c r="F3089" s="9">
        <v>0.1</v>
      </c>
      <c r="G3089" s="10">
        <v>17287</v>
      </c>
      <c r="H3089">
        <v>4.01</v>
      </c>
      <c r="I3089" s="5">
        <f>ROUND(Marketing[[#This Row],[Clicks]]*Marketing[[#This Row],[Conversion_Rate]],0)</f>
        <v>64</v>
      </c>
      <c r="J3089" s="12">
        <f>Marketing[[#This Row],[Campaign_Cost]]/Marketing[[#This Row],[Customers]]</f>
        <v>270.109375</v>
      </c>
      <c r="K3089" t="s">
        <v>25</v>
      </c>
      <c r="L3089" t="s">
        <v>20</v>
      </c>
      <c r="M3089">
        <v>635</v>
      </c>
      <c r="N3089">
        <v>4656</v>
      </c>
      <c r="O3089">
        <v>3</v>
      </c>
      <c r="P3089" t="s">
        <v>42</v>
      </c>
      <c r="Q3089" s="1">
        <v>44364</v>
      </c>
    </row>
    <row r="3090" spans="1:17" x14ac:dyDescent="0.3">
      <c r="A3090" t="s">
        <v>14</v>
      </c>
      <c r="B3090" t="s">
        <v>47</v>
      </c>
      <c r="C3090" t="s">
        <v>23</v>
      </c>
      <c r="D3090" t="s">
        <v>24</v>
      </c>
      <c r="E3090" t="s">
        <v>41</v>
      </c>
      <c r="F3090" s="9">
        <v>0.12</v>
      </c>
      <c r="G3090" s="10">
        <v>18266</v>
      </c>
      <c r="H3090">
        <v>5.99</v>
      </c>
      <c r="I3090" s="5">
        <f>ROUND(Marketing[[#This Row],[Clicks]]*Marketing[[#This Row],[Conversion_Rate]],0)</f>
        <v>105</v>
      </c>
      <c r="J3090" s="12">
        <f>Marketing[[#This Row],[Campaign_Cost]]/Marketing[[#This Row],[Customers]]</f>
        <v>173.96190476190475</v>
      </c>
      <c r="K3090" t="s">
        <v>51</v>
      </c>
      <c r="L3090" t="s">
        <v>26</v>
      </c>
      <c r="M3090">
        <v>872</v>
      </c>
      <c r="N3090">
        <v>9882</v>
      </c>
      <c r="O3090">
        <v>5</v>
      </c>
      <c r="P3090" t="s">
        <v>27</v>
      </c>
      <c r="Q3090" s="1">
        <v>44365</v>
      </c>
    </row>
    <row r="3091" spans="1:17" x14ac:dyDescent="0.3">
      <c r="A3091" t="s">
        <v>35</v>
      </c>
      <c r="B3091" t="s">
        <v>36</v>
      </c>
      <c r="C3091" t="s">
        <v>37</v>
      </c>
      <c r="D3091" t="s">
        <v>46</v>
      </c>
      <c r="E3091" t="s">
        <v>18</v>
      </c>
      <c r="F3091" s="9">
        <v>0.11</v>
      </c>
      <c r="G3091" s="10">
        <v>5379</v>
      </c>
      <c r="H3091">
        <v>5.05</v>
      </c>
      <c r="I3091" s="5">
        <f>ROUND(Marketing[[#This Row],[Clicks]]*Marketing[[#This Row],[Conversion_Rate]],0)</f>
        <v>17</v>
      </c>
      <c r="J3091" s="12">
        <f>Marketing[[#This Row],[Campaign_Cost]]/Marketing[[#This Row],[Customers]]</f>
        <v>316.41176470588238</v>
      </c>
      <c r="K3091" t="s">
        <v>25</v>
      </c>
      <c r="L3091" t="s">
        <v>33</v>
      </c>
      <c r="M3091">
        <v>157</v>
      </c>
      <c r="N3091">
        <v>7462</v>
      </c>
      <c r="O3091">
        <v>6</v>
      </c>
      <c r="P3091" t="s">
        <v>42</v>
      </c>
      <c r="Q3091" s="1">
        <v>44366</v>
      </c>
    </row>
    <row r="3092" spans="1:17" x14ac:dyDescent="0.3">
      <c r="A3092" t="s">
        <v>28</v>
      </c>
      <c r="B3092" t="s">
        <v>15</v>
      </c>
      <c r="C3092" t="s">
        <v>30</v>
      </c>
      <c r="D3092" t="s">
        <v>46</v>
      </c>
      <c r="E3092" t="s">
        <v>41</v>
      </c>
      <c r="F3092" s="9">
        <v>0.08</v>
      </c>
      <c r="G3092" s="10">
        <v>5535</v>
      </c>
      <c r="H3092">
        <v>7.37</v>
      </c>
      <c r="I3092" s="5">
        <f>ROUND(Marketing[[#This Row],[Clicks]]*Marketing[[#This Row],[Conversion_Rate]],0)</f>
        <v>74</v>
      </c>
      <c r="J3092" s="12">
        <f>Marketing[[#This Row],[Campaign_Cost]]/Marketing[[#This Row],[Customers]]</f>
        <v>74.797297297297291</v>
      </c>
      <c r="K3092" t="s">
        <v>19</v>
      </c>
      <c r="L3092" t="s">
        <v>20</v>
      </c>
      <c r="M3092">
        <v>920</v>
      </c>
      <c r="N3092">
        <v>8408</v>
      </c>
      <c r="O3092">
        <v>6</v>
      </c>
      <c r="P3092" t="s">
        <v>27</v>
      </c>
      <c r="Q3092" s="1">
        <v>44367</v>
      </c>
    </row>
    <row r="3093" spans="1:17" x14ac:dyDescent="0.3">
      <c r="A3093" t="s">
        <v>28</v>
      </c>
      <c r="B3093" t="s">
        <v>45</v>
      </c>
      <c r="C3093" t="s">
        <v>52</v>
      </c>
      <c r="D3093" t="s">
        <v>17</v>
      </c>
      <c r="E3093" t="s">
        <v>48</v>
      </c>
      <c r="F3093" s="9">
        <v>0.11</v>
      </c>
      <c r="G3093" s="10">
        <v>7927</v>
      </c>
      <c r="H3093">
        <v>7.22</v>
      </c>
      <c r="I3093" s="5">
        <f>ROUND(Marketing[[#This Row],[Clicks]]*Marketing[[#This Row],[Conversion_Rate]],0)</f>
        <v>25</v>
      </c>
      <c r="J3093" s="12">
        <f>Marketing[[#This Row],[Campaign_Cost]]/Marketing[[#This Row],[Customers]]</f>
        <v>317.08</v>
      </c>
      <c r="K3093" t="s">
        <v>32</v>
      </c>
      <c r="L3093" t="s">
        <v>50</v>
      </c>
      <c r="M3093">
        <v>228</v>
      </c>
      <c r="N3093">
        <v>9844</v>
      </c>
      <c r="O3093">
        <v>7</v>
      </c>
      <c r="P3093" t="s">
        <v>27</v>
      </c>
      <c r="Q3093" s="1">
        <v>44368</v>
      </c>
    </row>
    <row r="3094" spans="1:17" x14ac:dyDescent="0.3">
      <c r="A3094" t="s">
        <v>22</v>
      </c>
      <c r="B3094" t="s">
        <v>29</v>
      </c>
      <c r="C3094" t="s">
        <v>37</v>
      </c>
      <c r="D3094" t="s">
        <v>46</v>
      </c>
      <c r="E3094" t="s">
        <v>31</v>
      </c>
      <c r="F3094" s="9">
        <v>0.09</v>
      </c>
      <c r="G3094" s="10">
        <v>10314</v>
      </c>
      <c r="H3094">
        <v>6.17</v>
      </c>
      <c r="I3094" s="5">
        <f>ROUND(Marketing[[#This Row],[Clicks]]*Marketing[[#This Row],[Conversion_Rate]],0)</f>
        <v>39</v>
      </c>
      <c r="J3094" s="12">
        <f>Marketing[[#This Row],[Campaign_Cost]]/Marketing[[#This Row],[Customers]]</f>
        <v>264.46153846153845</v>
      </c>
      <c r="K3094" t="s">
        <v>25</v>
      </c>
      <c r="L3094" t="s">
        <v>26</v>
      </c>
      <c r="M3094">
        <v>437</v>
      </c>
      <c r="N3094">
        <v>8291</v>
      </c>
      <c r="O3094">
        <v>10</v>
      </c>
      <c r="P3094" t="s">
        <v>21</v>
      </c>
      <c r="Q3094" s="1">
        <v>44369</v>
      </c>
    </row>
    <row r="3095" spans="1:17" x14ac:dyDescent="0.3">
      <c r="A3095" t="s">
        <v>49</v>
      </c>
      <c r="B3095" t="s">
        <v>47</v>
      </c>
      <c r="C3095" t="s">
        <v>52</v>
      </c>
      <c r="D3095" t="s">
        <v>40</v>
      </c>
      <c r="E3095" t="s">
        <v>48</v>
      </c>
      <c r="F3095" s="9">
        <v>0.11</v>
      </c>
      <c r="G3095" s="10">
        <v>14200</v>
      </c>
      <c r="H3095">
        <v>6.76</v>
      </c>
      <c r="I3095" s="5">
        <f>ROUND(Marketing[[#This Row],[Clicks]]*Marketing[[#This Row],[Conversion_Rate]],0)</f>
        <v>75</v>
      </c>
      <c r="J3095" s="12">
        <f>Marketing[[#This Row],[Campaign_Cost]]/Marketing[[#This Row],[Customers]]</f>
        <v>189.33333333333334</v>
      </c>
      <c r="K3095" t="s">
        <v>19</v>
      </c>
      <c r="L3095" t="s">
        <v>33</v>
      </c>
      <c r="M3095">
        <v>682</v>
      </c>
      <c r="N3095">
        <v>4975</v>
      </c>
      <c r="O3095">
        <v>6</v>
      </c>
      <c r="P3095" t="s">
        <v>42</v>
      </c>
      <c r="Q3095" s="1">
        <v>44370</v>
      </c>
    </row>
    <row r="3096" spans="1:17" x14ac:dyDescent="0.3">
      <c r="A3096" t="s">
        <v>49</v>
      </c>
      <c r="B3096" t="s">
        <v>15</v>
      </c>
      <c r="C3096" t="s">
        <v>23</v>
      </c>
      <c r="D3096" t="s">
        <v>24</v>
      </c>
      <c r="E3096" t="s">
        <v>31</v>
      </c>
      <c r="F3096" s="9">
        <v>7.0000000000000007E-2</v>
      </c>
      <c r="G3096" s="10">
        <v>16898</v>
      </c>
      <c r="H3096">
        <v>7.18</v>
      </c>
      <c r="I3096" s="5">
        <f>ROUND(Marketing[[#This Row],[Clicks]]*Marketing[[#This Row],[Conversion_Rate]],0)</f>
        <v>67</v>
      </c>
      <c r="J3096" s="12">
        <f>Marketing[[#This Row],[Campaign_Cost]]/Marketing[[#This Row],[Customers]]</f>
        <v>252.20895522388059</v>
      </c>
      <c r="K3096" t="s">
        <v>38</v>
      </c>
      <c r="L3096" t="s">
        <v>33</v>
      </c>
      <c r="M3096">
        <v>956</v>
      </c>
      <c r="N3096">
        <v>1569</v>
      </c>
      <c r="O3096">
        <v>4</v>
      </c>
      <c r="P3096" t="s">
        <v>34</v>
      </c>
      <c r="Q3096" s="1">
        <v>44371</v>
      </c>
    </row>
    <row r="3097" spans="1:17" x14ac:dyDescent="0.3">
      <c r="A3097" t="s">
        <v>28</v>
      </c>
      <c r="B3097" t="s">
        <v>36</v>
      </c>
      <c r="C3097" t="s">
        <v>30</v>
      </c>
      <c r="D3097" t="s">
        <v>46</v>
      </c>
      <c r="E3097" t="s">
        <v>15</v>
      </c>
      <c r="F3097" s="9">
        <v>0.13</v>
      </c>
      <c r="G3097" s="10">
        <v>11448</v>
      </c>
      <c r="H3097">
        <v>3.5</v>
      </c>
      <c r="I3097" s="5">
        <f>ROUND(Marketing[[#This Row],[Clicks]]*Marketing[[#This Row],[Conversion_Rate]],0)</f>
        <v>122</v>
      </c>
      <c r="J3097" s="12">
        <f>Marketing[[#This Row],[Campaign_Cost]]/Marketing[[#This Row],[Customers]]</f>
        <v>93.836065573770497</v>
      </c>
      <c r="K3097" t="s">
        <v>51</v>
      </c>
      <c r="L3097" t="s">
        <v>39</v>
      </c>
      <c r="M3097">
        <v>938</v>
      </c>
      <c r="N3097">
        <v>1653</v>
      </c>
      <c r="O3097">
        <v>7</v>
      </c>
      <c r="P3097" t="s">
        <v>42</v>
      </c>
      <c r="Q3097" s="1">
        <v>44372</v>
      </c>
    </row>
    <row r="3098" spans="1:17" x14ac:dyDescent="0.3">
      <c r="A3098" t="s">
        <v>14</v>
      </c>
      <c r="B3098" t="s">
        <v>29</v>
      </c>
      <c r="C3098" t="s">
        <v>23</v>
      </c>
      <c r="D3098" t="s">
        <v>46</v>
      </c>
      <c r="E3098" t="s">
        <v>31</v>
      </c>
      <c r="F3098" s="9">
        <v>0.06</v>
      </c>
      <c r="G3098" s="10">
        <v>10285</v>
      </c>
      <c r="H3098">
        <v>3.64</v>
      </c>
      <c r="I3098" s="5">
        <f>ROUND(Marketing[[#This Row],[Clicks]]*Marketing[[#This Row],[Conversion_Rate]],0)</f>
        <v>58</v>
      </c>
      <c r="J3098" s="12">
        <f>Marketing[[#This Row],[Campaign_Cost]]/Marketing[[#This Row],[Customers]]</f>
        <v>177.32758620689654</v>
      </c>
      <c r="K3098" t="s">
        <v>19</v>
      </c>
      <c r="L3098" t="s">
        <v>39</v>
      </c>
      <c r="M3098">
        <v>961</v>
      </c>
      <c r="N3098">
        <v>9394</v>
      </c>
      <c r="O3098">
        <v>6</v>
      </c>
      <c r="P3098" t="s">
        <v>34</v>
      </c>
      <c r="Q3098" s="1">
        <v>44373</v>
      </c>
    </row>
    <row r="3099" spans="1:17" x14ac:dyDescent="0.3">
      <c r="A3099" t="s">
        <v>49</v>
      </c>
      <c r="B3099" t="s">
        <v>45</v>
      </c>
      <c r="C3099" t="s">
        <v>52</v>
      </c>
      <c r="D3099" t="s">
        <v>46</v>
      </c>
      <c r="E3099" t="s">
        <v>15</v>
      </c>
      <c r="F3099" s="9">
        <v>0.02</v>
      </c>
      <c r="G3099" s="10">
        <v>5719</v>
      </c>
      <c r="H3099">
        <v>6.06</v>
      </c>
      <c r="I3099" s="5">
        <f>ROUND(Marketing[[#This Row],[Clicks]]*Marketing[[#This Row],[Conversion_Rate]],0)</f>
        <v>16</v>
      </c>
      <c r="J3099" s="12">
        <f>Marketing[[#This Row],[Campaign_Cost]]/Marketing[[#This Row],[Customers]]</f>
        <v>357.4375</v>
      </c>
      <c r="K3099" t="s">
        <v>19</v>
      </c>
      <c r="L3099" t="s">
        <v>20</v>
      </c>
      <c r="M3099">
        <v>784</v>
      </c>
      <c r="N3099">
        <v>7898</v>
      </c>
      <c r="O3099">
        <v>8</v>
      </c>
      <c r="P3099" t="s">
        <v>34</v>
      </c>
      <c r="Q3099" s="1">
        <v>44374</v>
      </c>
    </row>
    <row r="3100" spans="1:17" x14ac:dyDescent="0.3">
      <c r="A3100" t="s">
        <v>22</v>
      </c>
      <c r="B3100" t="s">
        <v>36</v>
      </c>
      <c r="C3100" t="s">
        <v>30</v>
      </c>
      <c r="D3100" t="s">
        <v>24</v>
      </c>
      <c r="E3100" t="s">
        <v>41</v>
      </c>
      <c r="F3100" s="9">
        <v>0.11</v>
      </c>
      <c r="G3100" s="10">
        <v>18947</v>
      </c>
      <c r="H3100">
        <v>5.08</v>
      </c>
      <c r="I3100" s="5">
        <f>ROUND(Marketing[[#This Row],[Clicks]]*Marketing[[#This Row],[Conversion_Rate]],0)</f>
        <v>93</v>
      </c>
      <c r="J3100" s="12">
        <f>Marketing[[#This Row],[Campaign_Cost]]/Marketing[[#This Row],[Customers]]</f>
        <v>203.73118279569891</v>
      </c>
      <c r="K3100" t="s">
        <v>19</v>
      </c>
      <c r="L3100" t="s">
        <v>50</v>
      </c>
      <c r="M3100">
        <v>846</v>
      </c>
      <c r="N3100">
        <v>3188</v>
      </c>
      <c r="O3100">
        <v>10</v>
      </c>
      <c r="P3100" t="s">
        <v>42</v>
      </c>
      <c r="Q3100" s="1">
        <v>44375</v>
      </c>
    </row>
    <row r="3101" spans="1:17" x14ac:dyDescent="0.3">
      <c r="A3101" t="s">
        <v>35</v>
      </c>
      <c r="B3101" t="s">
        <v>36</v>
      </c>
      <c r="C3101" t="s">
        <v>37</v>
      </c>
      <c r="D3101" t="s">
        <v>24</v>
      </c>
      <c r="E3101" t="s">
        <v>31</v>
      </c>
      <c r="F3101" s="9">
        <v>0.11</v>
      </c>
      <c r="G3101" s="10">
        <v>13352</v>
      </c>
      <c r="H3101">
        <v>5.87</v>
      </c>
      <c r="I3101" s="5">
        <f>ROUND(Marketing[[#This Row],[Clicks]]*Marketing[[#This Row],[Conversion_Rate]],0)</f>
        <v>38</v>
      </c>
      <c r="J3101" s="12">
        <f>Marketing[[#This Row],[Campaign_Cost]]/Marketing[[#This Row],[Customers]]</f>
        <v>351.36842105263156</v>
      </c>
      <c r="K3101" t="s">
        <v>25</v>
      </c>
      <c r="L3101" t="s">
        <v>20</v>
      </c>
      <c r="M3101">
        <v>345</v>
      </c>
      <c r="N3101">
        <v>6284</v>
      </c>
      <c r="O3101">
        <v>3</v>
      </c>
      <c r="P3101" t="s">
        <v>44</v>
      </c>
      <c r="Q3101" s="1">
        <v>44376</v>
      </c>
    </row>
    <row r="3102" spans="1:17" x14ac:dyDescent="0.3">
      <c r="A3102" t="s">
        <v>35</v>
      </c>
      <c r="B3102" t="s">
        <v>47</v>
      </c>
      <c r="C3102" t="s">
        <v>16</v>
      </c>
      <c r="D3102" t="s">
        <v>40</v>
      </c>
      <c r="E3102" t="s">
        <v>43</v>
      </c>
      <c r="F3102" s="9">
        <v>0.11</v>
      </c>
      <c r="G3102" s="10">
        <v>19002</v>
      </c>
      <c r="H3102">
        <v>3.87</v>
      </c>
      <c r="I3102" s="5">
        <f>ROUND(Marketing[[#This Row],[Clicks]]*Marketing[[#This Row],[Conversion_Rate]],0)</f>
        <v>27</v>
      </c>
      <c r="J3102" s="12">
        <f>Marketing[[#This Row],[Campaign_Cost]]/Marketing[[#This Row],[Customers]]</f>
        <v>703.77777777777783</v>
      </c>
      <c r="K3102" t="s">
        <v>51</v>
      </c>
      <c r="L3102" t="s">
        <v>26</v>
      </c>
      <c r="M3102">
        <v>248</v>
      </c>
      <c r="N3102">
        <v>9638</v>
      </c>
      <c r="O3102">
        <v>8</v>
      </c>
      <c r="P3102" t="s">
        <v>42</v>
      </c>
      <c r="Q3102" s="1">
        <v>44377</v>
      </c>
    </row>
    <row r="3103" spans="1:17" x14ac:dyDescent="0.3">
      <c r="A3103" t="s">
        <v>14</v>
      </c>
      <c r="B3103" t="s">
        <v>36</v>
      </c>
      <c r="C3103" t="s">
        <v>23</v>
      </c>
      <c r="D3103" t="s">
        <v>24</v>
      </c>
      <c r="E3103" t="s">
        <v>43</v>
      </c>
      <c r="F3103" s="9">
        <v>0.13</v>
      </c>
      <c r="G3103" s="10">
        <v>19509</v>
      </c>
      <c r="H3103">
        <v>7.65</v>
      </c>
      <c r="I3103" s="5">
        <f>ROUND(Marketing[[#This Row],[Clicks]]*Marketing[[#This Row],[Conversion_Rate]],0)</f>
        <v>70</v>
      </c>
      <c r="J3103" s="12">
        <f>Marketing[[#This Row],[Campaign_Cost]]/Marketing[[#This Row],[Customers]]</f>
        <v>278.7</v>
      </c>
      <c r="K3103" t="s">
        <v>51</v>
      </c>
      <c r="L3103" t="s">
        <v>33</v>
      </c>
      <c r="M3103">
        <v>540</v>
      </c>
      <c r="N3103">
        <v>6194</v>
      </c>
      <c r="O3103">
        <v>7</v>
      </c>
      <c r="P3103" t="s">
        <v>21</v>
      </c>
      <c r="Q3103" s="1">
        <v>44378</v>
      </c>
    </row>
    <row r="3104" spans="1:17" x14ac:dyDescent="0.3">
      <c r="A3104" t="s">
        <v>28</v>
      </c>
      <c r="B3104" t="s">
        <v>36</v>
      </c>
      <c r="C3104" t="s">
        <v>37</v>
      </c>
      <c r="D3104" t="s">
        <v>40</v>
      </c>
      <c r="E3104" t="s">
        <v>48</v>
      </c>
      <c r="F3104" s="9">
        <v>0.13</v>
      </c>
      <c r="G3104" s="10">
        <v>5055</v>
      </c>
      <c r="H3104">
        <v>2.17</v>
      </c>
      <c r="I3104" s="5">
        <f>ROUND(Marketing[[#This Row],[Clicks]]*Marketing[[#This Row],[Conversion_Rate]],0)</f>
        <v>119</v>
      </c>
      <c r="J3104" s="12">
        <f>Marketing[[#This Row],[Campaign_Cost]]/Marketing[[#This Row],[Customers]]</f>
        <v>42.478991596638657</v>
      </c>
      <c r="K3104" t="s">
        <v>25</v>
      </c>
      <c r="L3104" t="s">
        <v>39</v>
      </c>
      <c r="M3104">
        <v>912</v>
      </c>
      <c r="N3104">
        <v>6850</v>
      </c>
      <c r="O3104">
        <v>8</v>
      </c>
      <c r="P3104" t="s">
        <v>42</v>
      </c>
      <c r="Q3104" s="1">
        <v>44379</v>
      </c>
    </row>
    <row r="3105" spans="1:17" x14ac:dyDescent="0.3">
      <c r="A3105" t="s">
        <v>22</v>
      </c>
      <c r="B3105" t="s">
        <v>47</v>
      </c>
      <c r="C3105" t="s">
        <v>16</v>
      </c>
      <c r="D3105" t="s">
        <v>46</v>
      </c>
      <c r="E3105" t="s">
        <v>18</v>
      </c>
      <c r="F3105" s="9">
        <v>0.1</v>
      </c>
      <c r="G3105" s="10">
        <v>6399</v>
      </c>
      <c r="H3105">
        <v>2.5</v>
      </c>
      <c r="I3105" s="5">
        <f>ROUND(Marketing[[#This Row],[Clicks]]*Marketing[[#This Row],[Conversion_Rate]],0)</f>
        <v>13</v>
      </c>
      <c r="J3105" s="12">
        <f>Marketing[[#This Row],[Campaign_Cost]]/Marketing[[#This Row],[Customers]]</f>
        <v>492.23076923076923</v>
      </c>
      <c r="K3105" t="s">
        <v>19</v>
      </c>
      <c r="L3105" t="s">
        <v>39</v>
      </c>
      <c r="M3105">
        <v>129</v>
      </c>
      <c r="N3105">
        <v>9693</v>
      </c>
      <c r="O3105">
        <v>8</v>
      </c>
      <c r="P3105" t="s">
        <v>21</v>
      </c>
      <c r="Q3105" s="1">
        <v>44380</v>
      </c>
    </row>
    <row r="3106" spans="1:17" x14ac:dyDescent="0.3">
      <c r="A3106" t="s">
        <v>35</v>
      </c>
      <c r="B3106" t="s">
        <v>47</v>
      </c>
      <c r="C3106" t="s">
        <v>30</v>
      </c>
      <c r="D3106" t="s">
        <v>46</v>
      </c>
      <c r="E3106" t="s">
        <v>48</v>
      </c>
      <c r="F3106" s="9">
        <v>0.14000000000000001</v>
      </c>
      <c r="G3106" s="10">
        <v>16996</v>
      </c>
      <c r="H3106">
        <v>3.68</v>
      </c>
      <c r="I3106" s="5">
        <f>ROUND(Marketing[[#This Row],[Clicks]]*Marketing[[#This Row],[Conversion_Rate]],0)</f>
        <v>38</v>
      </c>
      <c r="J3106" s="12">
        <f>Marketing[[#This Row],[Campaign_Cost]]/Marketing[[#This Row],[Customers]]</f>
        <v>447.26315789473682</v>
      </c>
      <c r="K3106" t="s">
        <v>38</v>
      </c>
      <c r="L3106" t="s">
        <v>20</v>
      </c>
      <c r="M3106">
        <v>271</v>
      </c>
      <c r="N3106">
        <v>1876</v>
      </c>
      <c r="O3106">
        <v>5</v>
      </c>
      <c r="P3106" t="s">
        <v>34</v>
      </c>
      <c r="Q3106" s="1">
        <v>44381</v>
      </c>
    </row>
    <row r="3107" spans="1:17" x14ac:dyDescent="0.3">
      <c r="A3107" t="s">
        <v>49</v>
      </c>
      <c r="B3107" t="s">
        <v>29</v>
      </c>
      <c r="C3107" t="s">
        <v>16</v>
      </c>
      <c r="D3107" t="s">
        <v>40</v>
      </c>
      <c r="E3107" t="s">
        <v>48</v>
      </c>
      <c r="F3107" s="9">
        <v>7.0000000000000007E-2</v>
      </c>
      <c r="G3107" s="10">
        <v>6709</v>
      </c>
      <c r="H3107">
        <v>2.13</v>
      </c>
      <c r="I3107" s="5">
        <f>ROUND(Marketing[[#This Row],[Clicks]]*Marketing[[#This Row],[Conversion_Rate]],0)</f>
        <v>23</v>
      </c>
      <c r="J3107" s="12">
        <f>Marketing[[#This Row],[Campaign_Cost]]/Marketing[[#This Row],[Customers]]</f>
        <v>291.69565217391306</v>
      </c>
      <c r="K3107" t="s">
        <v>25</v>
      </c>
      <c r="L3107" t="s">
        <v>33</v>
      </c>
      <c r="M3107">
        <v>331</v>
      </c>
      <c r="N3107">
        <v>4525</v>
      </c>
      <c r="O3107">
        <v>3</v>
      </c>
      <c r="P3107" t="s">
        <v>44</v>
      </c>
      <c r="Q3107" s="1">
        <v>44382</v>
      </c>
    </row>
    <row r="3108" spans="1:17" x14ac:dyDescent="0.3">
      <c r="A3108" t="s">
        <v>28</v>
      </c>
      <c r="B3108" t="s">
        <v>47</v>
      </c>
      <c r="C3108" t="s">
        <v>16</v>
      </c>
      <c r="D3108" t="s">
        <v>46</v>
      </c>
      <c r="E3108" t="s">
        <v>15</v>
      </c>
      <c r="F3108" s="9">
        <v>0.03</v>
      </c>
      <c r="G3108" s="10">
        <v>10052</v>
      </c>
      <c r="H3108">
        <v>4.88</v>
      </c>
      <c r="I3108" s="5">
        <f>ROUND(Marketing[[#This Row],[Clicks]]*Marketing[[#This Row],[Conversion_Rate]],0)</f>
        <v>7</v>
      </c>
      <c r="J3108" s="12">
        <f>Marketing[[#This Row],[Campaign_Cost]]/Marketing[[#This Row],[Customers]]</f>
        <v>1436</v>
      </c>
      <c r="K3108" t="s">
        <v>19</v>
      </c>
      <c r="L3108" t="s">
        <v>33</v>
      </c>
      <c r="M3108">
        <v>241</v>
      </c>
      <c r="N3108">
        <v>3693</v>
      </c>
      <c r="O3108">
        <v>10</v>
      </c>
      <c r="P3108" t="s">
        <v>42</v>
      </c>
      <c r="Q3108" s="1">
        <v>44383</v>
      </c>
    </row>
    <row r="3109" spans="1:17" x14ac:dyDescent="0.3">
      <c r="A3109" t="s">
        <v>28</v>
      </c>
      <c r="B3109" t="s">
        <v>45</v>
      </c>
      <c r="C3109" t="s">
        <v>30</v>
      </c>
      <c r="D3109" t="s">
        <v>46</v>
      </c>
      <c r="E3109" t="s">
        <v>48</v>
      </c>
      <c r="F3109" s="9">
        <v>0.06</v>
      </c>
      <c r="G3109" s="10">
        <v>18613</v>
      </c>
      <c r="H3109">
        <v>5.03</v>
      </c>
      <c r="I3109" s="5">
        <f>ROUND(Marketing[[#This Row],[Clicks]]*Marketing[[#This Row],[Conversion_Rate]],0)</f>
        <v>54</v>
      </c>
      <c r="J3109" s="12">
        <f>Marketing[[#This Row],[Campaign_Cost]]/Marketing[[#This Row],[Customers]]</f>
        <v>344.68518518518516</v>
      </c>
      <c r="K3109" t="s">
        <v>38</v>
      </c>
      <c r="L3109" t="s">
        <v>33</v>
      </c>
      <c r="M3109">
        <v>908</v>
      </c>
      <c r="N3109">
        <v>5403</v>
      </c>
      <c r="O3109">
        <v>3</v>
      </c>
      <c r="P3109" t="s">
        <v>34</v>
      </c>
      <c r="Q3109" s="1">
        <v>44384</v>
      </c>
    </row>
    <row r="3110" spans="1:17" x14ac:dyDescent="0.3">
      <c r="A3110" t="s">
        <v>28</v>
      </c>
      <c r="B3110" t="s">
        <v>45</v>
      </c>
      <c r="C3110" t="s">
        <v>16</v>
      </c>
      <c r="D3110" t="s">
        <v>24</v>
      </c>
      <c r="E3110" t="s">
        <v>41</v>
      </c>
      <c r="F3110" s="9">
        <v>0.12</v>
      </c>
      <c r="G3110" s="10">
        <v>18795</v>
      </c>
      <c r="H3110">
        <v>2.4500000000000002</v>
      </c>
      <c r="I3110" s="5">
        <f>ROUND(Marketing[[#This Row],[Clicks]]*Marketing[[#This Row],[Conversion_Rate]],0)</f>
        <v>75</v>
      </c>
      <c r="J3110" s="12">
        <f>Marketing[[#This Row],[Campaign_Cost]]/Marketing[[#This Row],[Customers]]</f>
        <v>250.6</v>
      </c>
      <c r="K3110" t="s">
        <v>25</v>
      </c>
      <c r="L3110" t="s">
        <v>39</v>
      </c>
      <c r="M3110">
        <v>626</v>
      </c>
      <c r="N3110">
        <v>5675</v>
      </c>
      <c r="O3110">
        <v>1</v>
      </c>
      <c r="P3110" t="s">
        <v>34</v>
      </c>
      <c r="Q3110" s="1">
        <v>44385</v>
      </c>
    </row>
    <row r="3111" spans="1:17" x14ac:dyDescent="0.3">
      <c r="A3111" t="s">
        <v>49</v>
      </c>
      <c r="B3111" t="s">
        <v>29</v>
      </c>
      <c r="C3111" t="s">
        <v>30</v>
      </c>
      <c r="D3111" t="s">
        <v>40</v>
      </c>
      <c r="E3111" t="s">
        <v>48</v>
      </c>
      <c r="F3111" s="9">
        <v>0.13</v>
      </c>
      <c r="G3111" s="10">
        <v>11860</v>
      </c>
      <c r="H3111">
        <v>7.85</v>
      </c>
      <c r="I3111" s="5">
        <f>ROUND(Marketing[[#This Row],[Clicks]]*Marketing[[#This Row],[Conversion_Rate]],0)</f>
        <v>109</v>
      </c>
      <c r="J3111" s="12">
        <f>Marketing[[#This Row],[Campaign_Cost]]/Marketing[[#This Row],[Customers]]</f>
        <v>108.80733944954129</v>
      </c>
      <c r="K3111" t="s">
        <v>19</v>
      </c>
      <c r="L3111" t="s">
        <v>26</v>
      </c>
      <c r="M3111">
        <v>839</v>
      </c>
      <c r="N3111">
        <v>6432</v>
      </c>
      <c r="O3111">
        <v>8</v>
      </c>
      <c r="P3111" t="s">
        <v>27</v>
      </c>
      <c r="Q3111" s="1">
        <v>44386</v>
      </c>
    </row>
    <row r="3112" spans="1:17" x14ac:dyDescent="0.3">
      <c r="A3112" t="s">
        <v>49</v>
      </c>
      <c r="B3112" t="s">
        <v>47</v>
      </c>
      <c r="C3112" t="s">
        <v>52</v>
      </c>
      <c r="D3112" t="s">
        <v>46</v>
      </c>
      <c r="E3112" t="s">
        <v>18</v>
      </c>
      <c r="F3112" s="9">
        <v>0.08</v>
      </c>
      <c r="G3112" s="10">
        <v>9568</v>
      </c>
      <c r="H3112">
        <v>2.88</v>
      </c>
      <c r="I3112" s="5">
        <f>ROUND(Marketing[[#This Row],[Clicks]]*Marketing[[#This Row],[Conversion_Rate]],0)</f>
        <v>16</v>
      </c>
      <c r="J3112" s="12">
        <f>Marketing[[#This Row],[Campaign_Cost]]/Marketing[[#This Row],[Customers]]</f>
        <v>598</v>
      </c>
      <c r="K3112" t="s">
        <v>32</v>
      </c>
      <c r="L3112" t="s">
        <v>50</v>
      </c>
      <c r="M3112">
        <v>201</v>
      </c>
      <c r="N3112">
        <v>8911</v>
      </c>
      <c r="O3112">
        <v>4</v>
      </c>
      <c r="P3112" t="s">
        <v>42</v>
      </c>
      <c r="Q3112" s="1">
        <v>44387</v>
      </c>
    </row>
    <row r="3113" spans="1:17" x14ac:dyDescent="0.3">
      <c r="A3113" t="s">
        <v>28</v>
      </c>
      <c r="B3113" t="s">
        <v>47</v>
      </c>
      <c r="C3113" t="s">
        <v>30</v>
      </c>
      <c r="D3113" t="s">
        <v>17</v>
      </c>
      <c r="E3113" t="s">
        <v>18</v>
      </c>
      <c r="F3113" s="9">
        <v>0.06</v>
      </c>
      <c r="G3113" s="10">
        <v>6704</v>
      </c>
      <c r="H3113">
        <v>3.48</v>
      </c>
      <c r="I3113" s="5">
        <f>ROUND(Marketing[[#This Row],[Clicks]]*Marketing[[#This Row],[Conversion_Rate]],0)</f>
        <v>39</v>
      </c>
      <c r="J3113" s="12">
        <f>Marketing[[#This Row],[Campaign_Cost]]/Marketing[[#This Row],[Customers]]</f>
        <v>171.89743589743588</v>
      </c>
      <c r="K3113" t="s">
        <v>25</v>
      </c>
      <c r="L3113" t="s">
        <v>26</v>
      </c>
      <c r="M3113">
        <v>644</v>
      </c>
      <c r="N3113">
        <v>4991</v>
      </c>
      <c r="O3113">
        <v>3</v>
      </c>
      <c r="P3113" t="s">
        <v>34</v>
      </c>
      <c r="Q3113" s="1">
        <v>44388</v>
      </c>
    </row>
    <row r="3114" spans="1:17" x14ac:dyDescent="0.3">
      <c r="A3114" t="s">
        <v>28</v>
      </c>
      <c r="B3114" t="s">
        <v>29</v>
      </c>
      <c r="C3114" t="s">
        <v>30</v>
      </c>
      <c r="D3114" t="s">
        <v>24</v>
      </c>
      <c r="E3114" t="s">
        <v>31</v>
      </c>
      <c r="F3114" s="9">
        <v>0.08</v>
      </c>
      <c r="G3114" s="10">
        <v>13289</v>
      </c>
      <c r="H3114">
        <v>7.27</v>
      </c>
      <c r="I3114" s="5">
        <f>ROUND(Marketing[[#This Row],[Clicks]]*Marketing[[#This Row],[Conversion_Rate]],0)</f>
        <v>28</v>
      </c>
      <c r="J3114" s="12">
        <f>Marketing[[#This Row],[Campaign_Cost]]/Marketing[[#This Row],[Customers]]</f>
        <v>474.60714285714283</v>
      </c>
      <c r="K3114" t="s">
        <v>19</v>
      </c>
      <c r="L3114" t="s">
        <v>20</v>
      </c>
      <c r="M3114">
        <v>356</v>
      </c>
      <c r="N3114">
        <v>8491</v>
      </c>
      <c r="O3114">
        <v>1</v>
      </c>
      <c r="P3114" t="s">
        <v>21</v>
      </c>
      <c r="Q3114" s="1">
        <v>44389</v>
      </c>
    </row>
    <row r="3115" spans="1:17" x14ac:dyDescent="0.3">
      <c r="A3115" t="s">
        <v>14</v>
      </c>
      <c r="B3115" t="s">
        <v>36</v>
      </c>
      <c r="C3115" t="s">
        <v>23</v>
      </c>
      <c r="D3115" t="s">
        <v>46</v>
      </c>
      <c r="E3115" t="s">
        <v>41</v>
      </c>
      <c r="F3115" s="9">
        <v>0.14000000000000001</v>
      </c>
      <c r="G3115" s="10">
        <v>14881</v>
      </c>
      <c r="H3115">
        <v>5.3</v>
      </c>
      <c r="I3115" s="5">
        <f>ROUND(Marketing[[#This Row],[Clicks]]*Marketing[[#This Row],[Conversion_Rate]],0)</f>
        <v>52</v>
      </c>
      <c r="J3115" s="12">
        <f>Marketing[[#This Row],[Campaign_Cost]]/Marketing[[#This Row],[Customers]]</f>
        <v>286.17307692307691</v>
      </c>
      <c r="K3115" t="s">
        <v>38</v>
      </c>
      <c r="L3115" t="s">
        <v>39</v>
      </c>
      <c r="M3115">
        <v>370</v>
      </c>
      <c r="N3115">
        <v>1673</v>
      </c>
      <c r="O3115">
        <v>2</v>
      </c>
      <c r="P3115" t="s">
        <v>34</v>
      </c>
      <c r="Q3115" s="1">
        <v>44390</v>
      </c>
    </row>
    <row r="3116" spans="1:17" x14ac:dyDescent="0.3">
      <c r="A3116" t="s">
        <v>35</v>
      </c>
      <c r="B3116" t="s">
        <v>29</v>
      </c>
      <c r="C3116" t="s">
        <v>23</v>
      </c>
      <c r="D3116" t="s">
        <v>40</v>
      </c>
      <c r="E3116" t="s">
        <v>48</v>
      </c>
      <c r="F3116" s="9">
        <v>0.01</v>
      </c>
      <c r="G3116" s="10">
        <v>12104</v>
      </c>
      <c r="H3116">
        <v>4.0599999999999996</v>
      </c>
      <c r="I3116" s="5">
        <f>ROUND(Marketing[[#This Row],[Clicks]]*Marketing[[#This Row],[Conversion_Rate]],0)</f>
        <v>3</v>
      </c>
      <c r="J3116" s="12">
        <f>Marketing[[#This Row],[Campaign_Cost]]/Marketing[[#This Row],[Customers]]</f>
        <v>4034.6666666666665</v>
      </c>
      <c r="K3116" t="s">
        <v>19</v>
      </c>
      <c r="L3116" t="s">
        <v>20</v>
      </c>
      <c r="M3116">
        <v>326</v>
      </c>
      <c r="N3116">
        <v>8773</v>
      </c>
      <c r="O3116">
        <v>7</v>
      </c>
      <c r="P3116" t="s">
        <v>42</v>
      </c>
      <c r="Q3116" s="1">
        <v>44391</v>
      </c>
    </row>
    <row r="3117" spans="1:17" x14ac:dyDescent="0.3">
      <c r="A3117" t="s">
        <v>14</v>
      </c>
      <c r="B3117" t="s">
        <v>15</v>
      </c>
      <c r="C3117" t="s">
        <v>23</v>
      </c>
      <c r="D3117" t="s">
        <v>46</v>
      </c>
      <c r="E3117" t="s">
        <v>31</v>
      </c>
      <c r="F3117" s="9">
        <v>0.11</v>
      </c>
      <c r="G3117" s="10">
        <v>9429</v>
      </c>
      <c r="H3117">
        <v>3.03</v>
      </c>
      <c r="I3117" s="5">
        <f>ROUND(Marketing[[#This Row],[Clicks]]*Marketing[[#This Row],[Conversion_Rate]],0)</f>
        <v>85</v>
      </c>
      <c r="J3117" s="12">
        <f>Marketing[[#This Row],[Campaign_Cost]]/Marketing[[#This Row],[Customers]]</f>
        <v>110.92941176470588</v>
      </c>
      <c r="K3117" t="s">
        <v>38</v>
      </c>
      <c r="L3117" t="s">
        <v>26</v>
      </c>
      <c r="M3117">
        <v>771</v>
      </c>
      <c r="N3117">
        <v>4750</v>
      </c>
      <c r="O3117">
        <v>5</v>
      </c>
      <c r="P3117" t="s">
        <v>21</v>
      </c>
      <c r="Q3117" s="1">
        <v>44392</v>
      </c>
    </row>
    <row r="3118" spans="1:17" x14ac:dyDescent="0.3">
      <c r="A3118" t="s">
        <v>28</v>
      </c>
      <c r="B3118" t="s">
        <v>29</v>
      </c>
      <c r="C3118" t="s">
        <v>30</v>
      </c>
      <c r="D3118" t="s">
        <v>17</v>
      </c>
      <c r="E3118" t="s">
        <v>31</v>
      </c>
      <c r="F3118" s="9">
        <v>7.0000000000000007E-2</v>
      </c>
      <c r="G3118" s="10">
        <v>9866</v>
      </c>
      <c r="H3118">
        <v>5.81</v>
      </c>
      <c r="I3118" s="5">
        <f>ROUND(Marketing[[#This Row],[Clicks]]*Marketing[[#This Row],[Conversion_Rate]],0)</f>
        <v>30</v>
      </c>
      <c r="J3118" s="12">
        <f>Marketing[[#This Row],[Campaign_Cost]]/Marketing[[#This Row],[Customers]]</f>
        <v>328.86666666666667</v>
      </c>
      <c r="K3118" t="s">
        <v>32</v>
      </c>
      <c r="L3118" t="s">
        <v>26</v>
      </c>
      <c r="M3118">
        <v>434</v>
      </c>
      <c r="N3118">
        <v>8875</v>
      </c>
      <c r="O3118">
        <v>2</v>
      </c>
      <c r="P3118" t="s">
        <v>34</v>
      </c>
      <c r="Q3118" s="1">
        <v>44393</v>
      </c>
    </row>
    <row r="3119" spans="1:17" x14ac:dyDescent="0.3">
      <c r="A3119" t="s">
        <v>22</v>
      </c>
      <c r="B3119" t="s">
        <v>36</v>
      </c>
      <c r="C3119" t="s">
        <v>30</v>
      </c>
      <c r="D3119" t="s">
        <v>40</v>
      </c>
      <c r="E3119" t="s">
        <v>41</v>
      </c>
      <c r="F3119" s="9">
        <v>0.05</v>
      </c>
      <c r="G3119" s="10">
        <v>13988</v>
      </c>
      <c r="H3119">
        <v>3.23</v>
      </c>
      <c r="I3119" s="5">
        <f>ROUND(Marketing[[#This Row],[Clicks]]*Marketing[[#This Row],[Conversion_Rate]],0)</f>
        <v>27</v>
      </c>
      <c r="J3119" s="12">
        <f>Marketing[[#This Row],[Campaign_Cost]]/Marketing[[#This Row],[Customers]]</f>
        <v>518.07407407407402</v>
      </c>
      <c r="K3119" t="s">
        <v>51</v>
      </c>
      <c r="L3119" t="s">
        <v>26</v>
      </c>
      <c r="M3119">
        <v>531</v>
      </c>
      <c r="N3119">
        <v>5174</v>
      </c>
      <c r="O3119">
        <v>2</v>
      </c>
      <c r="P3119" t="s">
        <v>34</v>
      </c>
      <c r="Q3119" s="1">
        <v>44394</v>
      </c>
    </row>
    <row r="3120" spans="1:17" x14ac:dyDescent="0.3">
      <c r="A3120" t="s">
        <v>14</v>
      </c>
      <c r="B3120" t="s">
        <v>47</v>
      </c>
      <c r="C3120" t="s">
        <v>16</v>
      </c>
      <c r="D3120" t="s">
        <v>46</v>
      </c>
      <c r="E3120" t="s">
        <v>18</v>
      </c>
      <c r="F3120" s="9">
        <v>0.15</v>
      </c>
      <c r="G3120" s="10">
        <v>17150</v>
      </c>
      <c r="H3120">
        <v>2.29</v>
      </c>
      <c r="I3120" s="5">
        <f>ROUND(Marketing[[#This Row],[Clicks]]*Marketing[[#This Row],[Conversion_Rate]],0)</f>
        <v>25</v>
      </c>
      <c r="J3120" s="12">
        <f>Marketing[[#This Row],[Campaign_Cost]]/Marketing[[#This Row],[Customers]]</f>
        <v>686</v>
      </c>
      <c r="K3120" t="s">
        <v>19</v>
      </c>
      <c r="L3120" t="s">
        <v>26</v>
      </c>
      <c r="M3120">
        <v>165</v>
      </c>
      <c r="N3120">
        <v>5108</v>
      </c>
      <c r="O3120">
        <v>2</v>
      </c>
      <c r="P3120" t="s">
        <v>42</v>
      </c>
      <c r="Q3120" s="1">
        <v>44395</v>
      </c>
    </row>
    <row r="3121" spans="1:17" x14ac:dyDescent="0.3">
      <c r="A3121" t="s">
        <v>28</v>
      </c>
      <c r="B3121" t="s">
        <v>47</v>
      </c>
      <c r="C3121" t="s">
        <v>23</v>
      </c>
      <c r="D3121" t="s">
        <v>46</v>
      </c>
      <c r="E3121" t="s">
        <v>41</v>
      </c>
      <c r="F3121" s="9">
        <v>0.04</v>
      </c>
      <c r="G3121" s="10">
        <v>15788</v>
      </c>
      <c r="H3121">
        <v>6.31</v>
      </c>
      <c r="I3121" s="5">
        <f>ROUND(Marketing[[#This Row],[Clicks]]*Marketing[[#This Row],[Conversion_Rate]],0)</f>
        <v>39</v>
      </c>
      <c r="J3121" s="12">
        <f>Marketing[[#This Row],[Campaign_Cost]]/Marketing[[#This Row],[Customers]]</f>
        <v>404.82051282051282</v>
      </c>
      <c r="K3121" t="s">
        <v>25</v>
      </c>
      <c r="L3121" t="s">
        <v>33</v>
      </c>
      <c r="M3121">
        <v>976</v>
      </c>
      <c r="N3121">
        <v>4938</v>
      </c>
      <c r="O3121">
        <v>7</v>
      </c>
      <c r="P3121" t="s">
        <v>44</v>
      </c>
      <c r="Q3121" s="1">
        <v>44396</v>
      </c>
    </row>
    <row r="3122" spans="1:17" x14ac:dyDescent="0.3">
      <c r="A3122" t="s">
        <v>22</v>
      </c>
      <c r="B3122" t="s">
        <v>47</v>
      </c>
      <c r="C3122" t="s">
        <v>37</v>
      </c>
      <c r="D3122" t="s">
        <v>24</v>
      </c>
      <c r="E3122" t="s">
        <v>43</v>
      </c>
      <c r="F3122" s="9">
        <v>0.08</v>
      </c>
      <c r="G3122" s="10">
        <v>8099</v>
      </c>
      <c r="H3122">
        <v>3.74</v>
      </c>
      <c r="I3122" s="5">
        <f>ROUND(Marketing[[#This Row],[Clicks]]*Marketing[[#This Row],[Conversion_Rate]],0)</f>
        <v>19</v>
      </c>
      <c r="J3122" s="12">
        <f>Marketing[[#This Row],[Campaign_Cost]]/Marketing[[#This Row],[Customers]]</f>
        <v>426.26315789473682</v>
      </c>
      <c r="K3122" t="s">
        <v>19</v>
      </c>
      <c r="L3122" t="s">
        <v>39</v>
      </c>
      <c r="M3122">
        <v>242</v>
      </c>
      <c r="N3122">
        <v>8624</v>
      </c>
      <c r="O3122">
        <v>8</v>
      </c>
      <c r="P3122" t="s">
        <v>27</v>
      </c>
      <c r="Q3122" s="1">
        <v>44397</v>
      </c>
    </row>
    <row r="3123" spans="1:17" x14ac:dyDescent="0.3">
      <c r="A3123" t="s">
        <v>49</v>
      </c>
      <c r="B3123" t="s">
        <v>47</v>
      </c>
      <c r="C3123" t="s">
        <v>37</v>
      </c>
      <c r="D3123" t="s">
        <v>17</v>
      </c>
      <c r="E3123" t="s">
        <v>41</v>
      </c>
      <c r="F3123" s="9">
        <v>0.13</v>
      </c>
      <c r="G3123" s="10">
        <v>16813</v>
      </c>
      <c r="H3123">
        <v>3.09</v>
      </c>
      <c r="I3123" s="5">
        <f>ROUND(Marketing[[#This Row],[Clicks]]*Marketing[[#This Row],[Conversion_Rate]],0)</f>
        <v>123</v>
      </c>
      <c r="J3123" s="12">
        <f>Marketing[[#This Row],[Campaign_Cost]]/Marketing[[#This Row],[Customers]]</f>
        <v>136.6910569105691</v>
      </c>
      <c r="K3123" t="s">
        <v>51</v>
      </c>
      <c r="L3123" t="s">
        <v>20</v>
      </c>
      <c r="M3123">
        <v>948</v>
      </c>
      <c r="N3123">
        <v>8134</v>
      </c>
      <c r="O3123">
        <v>5</v>
      </c>
      <c r="P3123" t="s">
        <v>34</v>
      </c>
      <c r="Q3123" s="1">
        <v>44398</v>
      </c>
    </row>
    <row r="3124" spans="1:17" x14ac:dyDescent="0.3">
      <c r="A3124" t="s">
        <v>22</v>
      </c>
      <c r="B3124" t="s">
        <v>15</v>
      </c>
      <c r="C3124" t="s">
        <v>30</v>
      </c>
      <c r="D3124" t="s">
        <v>46</v>
      </c>
      <c r="E3124" t="s">
        <v>43</v>
      </c>
      <c r="F3124" s="9">
        <v>0.08</v>
      </c>
      <c r="G3124" s="10">
        <v>9700</v>
      </c>
      <c r="H3124">
        <v>2.2200000000000002</v>
      </c>
      <c r="I3124" s="5">
        <f>ROUND(Marketing[[#This Row],[Clicks]]*Marketing[[#This Row],[Conversion_Rate]],0)</f>
        <v>80</v>
      </c>
      <c r="J3124" s="12">
        <f>Marketing[[#This Row],[Campaign_Cost]]/Marketing[[#This Row],[Customers]]</f>
        <v>121.25</v>
      </c>
      <c r="K3124" t="s">
        <v>32</v>
      </c>
      <c r="L3124" t="s">
        <v>50</v>
      </c>
      <c r="M3124">
        <v>994</v>
      </c>
      <c r="N3124">
        <v>8803</v>
      </c>
      <c r="O3124">
        <v>1</v>
      </c>
      <c r="P3124" t="s">
        <v>21</v>
      </c>
      <c r="Q3124" s="1">
        <v>44399</v>
      </c>
    </row>
    <row r="3125" spans="1:17" x14ac:dyDescent="0.3">
      <c r="A3125" t="s">
        <v>28</v>
      </c>
      <c r="B3125" t="s">
        <v>47</v>
      </c>
      <c r="C3125" t="s">
        <v>37</v>
      </c>
      <c r="D3125" t="s">
        <v>40</v>
      </c>
      <c r="E3125" t="s">
        <v>43</v>
      </c>
      <c r="F3125" s="9">
        <v>0.09</v>
      </c>
      <c r="G3125" s="10">
        <v>17484</v>
      </c>
      <c r="H3125">
        <v>4.92</v>
      </c>
      <c r="I3125" s="5">
        <f>ROUND(Marketing[[#This Row],[Clicks]]*Marketing[[#This Row],[Conversion_Rate]],0)</f>
        <v>42</v>
      </c>
      <c r="J3125" s="12">
        <f>Marketing[[#This Row],[Campaign_Cost]]/Marketing[[#This Row],[Customers]]</f>
        <v>416.28571428571428</v>
      </c>
      <c r="K3125" t="s">
        <v>19</v>
      </c>
      <c r="L3125" t="s">
        <v>26</v>
      </c>
      <c r="M3125">
        <v>469</v>
      </c>
      <c r="N3125">
        <v>6286</v>
      </c>
      <c r="O3125">
        <v>3</v>
      </c>
      <c r="P3125" t="s">
        <v>27</v>
      </c>
      <c r="Q3125" s="1">
        <v>44400</v>
      </c>
    </row>
    <row r="3126" spans="1:17" x14ac:dyDescent="0.3">
      <c r="A3126" t="s">
        <v>49</v>
      </c>
      <c r="B3126" t="s">
        <v>29</v>
      </c>
      <c r="C3126" t="s">
        <v>52</v>
      </c>
      <c r="D3126" t="s">
        <v>40</v>
      </c>
      <c r="E3126" t="s">
        <v>48</v>
      </c>
      <c r="F3126" s="9">
        <v>0.08</v>
      </c>
      <c r="G3126" s="10">
        <v>10322</v>
      </c>
      <c r="H3126">
        <v>5.84</v>
      </c>
      <c r="I3126" s="5">
        <f>ROUND(Marketing[[#This Row],[Clicks]]*Marketing[[#This Row],[Conversion_Rate]],0)</f>
        <v>62</v>
      </c>
      <c r="J3126" s="12">
        <f>Marketing[[#This Row],[Campaign_Cost]]/Marketing[[#This Row],[Customers]]</f>
        <v>166.48387096774192</v>
      </c>
      <c r="K3126" t="s">
        <v>25</v>
      </c>
      <c r="L3126" t="s">
        <v>33</v>
      </c>
      <c r="M3126">
        <v>777</v>
      </c>
      <c r="N3126">
        <v>5665</v>
      </c>
      <c r="O3126">
        <v>9</v>
      </c>
      <c r="P3126" t="s">
        <v>34</v>
      </c>
      <c r="Q3126" s="1">
        <v>44401</v>
      </c>
    </row>
    <row r="3127" spans="1:17" x14ac:dyDescent="0.3">
      <c r="A3127" t="s">
        <v>49</v>
      </c>
      <c r="B3127" t="s">
        <v>47</v>
      </c>
      <c r="C3127" t="s">
        <v>30</v>
      </c>
      <c r="D3127" t="s">
        <v>24</v>
      </c>
      <c r="E3127" t="s">
        <v>48</v>
      </c>
      <c r="F3127" s="9">
        <v>0.14000000000000001</v>
      </c>
      <c r="G3127" s="10">
        <v>5788</v>
      </c>
      <c r="H3127">
        <v>5.37</v>
      </c>
      <c r="I3127" s="5">
        <f>ROUND(Marketing[[#This Row],[Clicks]]*Marketing[[#This Row],[Conversion_Rate]],0)</f>
        <v>133</v>
      </c>
      <c r="J3127" s="12">
        <f>Marketing[[#This Row],[Campaign_Cost]]/Marketing[[#This Row],[Customers]]</f>
        <v>43.518796992481199</v>
      </c>
      <c r="K3127" t="s">
        <v>51</v>
      </c>
      <c r="L3127" t="s">
        <v>39</v>
      </c>
      <c r="M3127">
        <v>953</v>
      </c>
      <c r="N3127">
        <v>7914</v>
      </c>
      <c r="O3127">
        <v>10</v>
      </c>
      <c r="P3127" t="s">
        <v>34</v>
      </c>
      <c r="Q3127" s="1">
        <v>44402</v>
      </c>
    </row>
    <row r="3128" spans="1:17" x14ac:dyDescent="0.3">
      <c r="A3128" t="s">
        <v>35</v>
      </c>
      <c r="B3128" t="s">
        <v>47</v>
      </c>
      <c r="C3128" t="s">
        <v>16</v>
      </c>
      <c r="D3128" t="s">
        <v>40</v>
      </c>
      <c r="E3128" t="s">
        <v>31</v>
      </c>
      <c r="F3128" s="9">
        <v>0.14000000000000001</v>
      </c>
      <c r="G3128" s="10">
        <v>12310</v>
      </c>
      <c r="H3128">
        <v>4.68</v>
      </c>
      <c r="I3128" s="5">
        <f>ROUND(Marketing[[#This Row],[Clicks]]*Marketing[[#This Row],[Conversion_Rate]],0)</f>
        <v>86</v>
      </c>
      <c r="J3128" s="12">
        <f>Marketing[[#This Row],[Campaign_Cost]]/Marketing[[#This Row],[Customers]]</f>
        <v>143.13953488372093</v>
      </c>
      <c r="K3128" t="s">
        <v>19</v>
      </c>
      <c r="L3128" t="s">
        <v>26</v>
      </c>
      <c r="M3128">
        <v>615</v>
      </c>
      <c r="N3128">
        <v>3768</v>
      </c>
      <c r="O3128">
        <v>3</v>
      </c>
      <c r="P3128" t="s">
        <v>44</v>
      </c>
      <c r="Q3128" s="1">
        <v>44403</v>
      </c>
    </row>
    <row r="3129" spans="1:17" x14ac:dyDescent="0.3">
      <c r="A3129" t="s">
        <v>14</v>
      </c>
      <c r="B3129" t="s">
        <v>15</v>
      </c>
      <c r="C3129" t="s">
        <v>23</v>
      </c>
      <c r="D3129" t="s">
        <v>24</v>
      </c>
      <c r="E3129" t="s">
        <v>31</v>
      </c>
      <c r="F3129" s="9">
        <v>7.0000000000000007E-2</v>
      </c>
      <c r="G3129" s="10">
        <v>6283</v>
      </c>
      <c r="H3129">
        <v>5.35</v>
      </c>
      <c r="I3129" s="5">
        <f>ROUND(Marketing[[#This Row],[Clicks]]*Marketing[[#This Row],[Conversion_Rate]],0)</f>
        <v>67</v>
      </c>
      <c r="J3129" s="12">
        <f>Marketing[[#This Row],[Campaign_Cost]]/Marketing[[#This Row],[Customers]]</f>
        <v>93.776119402985074</v>
      </c>
      <c r="K3129" t="s">
        <v>51</v>
      </c>
      <c r="L3129" t="s">
        <v>50</v>
      </c>
      <c r="M3129">
        <v>959</v>
      </c>
      <c r="N3129">
        <v>1639</v>
      </c>
      <c r="O3129">
        <v>7</v>
      </c>
      <c r="P3129" t="s">
        <v>34</v>
      </c>
      <c r="Q3129" s="1">
        <v>44404</v>
      </c>
    </row>
    <row r="3130" spans="1:17" x14ac:dyDescent="0.3">
      <c r="A3130" t="s">
        <v>28</v>
      </c>
      <c r="B3130" t="s">
        <v>29</v>
      </c>
      <c r="C3130" t="s">
        <v>37</v>
      </c>
      <c r="D3130" t="s">
        <v>40</v>
      </c>
      <c r="E3130" t="s">
        <v>48</v>
      </c>
      <c r="F3130" s="9">
        <v>0.13</v>
      </c>
      <c r="G3130" s="10">
        <v>5747</v>
      </c>
      <c r="H3130">
        <v>2.77</v>
      </c>
      <c r="I3130" s="5">
        <f>ROUND(Marketing[[#This Row],[Clicks]]*Marketing[[#This Row],[Conversion_Rate]],0)</f>
        <v>71</v>
      </c>
      <c r="J3130" s="12">
        <f>Marketing[[#This Row],[Campaign_Cost]]/Marketing[[#This Row],[Customers]]</f>
        <v>80.943661971830991</v>
      </c>
      <c r="K3130" t="s">
        <v>51</v>
      </c>
      <c r="L3130" t="s">
        <v>26</v>
      </c>
      <c r="M3130">
        <v>548</v>
      </c>
      <c r="N3130">
        <v>6978</v>
      </c>
      <c r="O3130">
        <v>9</v>
      </c>
      <c r="P3130" t="s">
        <v>44</v>
      </c>
      <c r="Q3130" s="1">
        <v>44405</v>
      </c>
    </row>
    <row r="3131" spans="1:17" x14ac:dyDescent="0.3">
      <c r="A3131" t="s">
        <v>49</v>
      </c>
      <c r="B3131" t="s">
        <v>29</v>
      </c>
      <c r="C3131" t="s">
        <v>37</v>
      </c>
      <c r="D3131" t="s">
        <v>24</v>
      </c>
      <c r="E3131" t="s">
        <v>41</v>
      </c>
      <c r="F3131" s="9">
        <v>0.09</v>
      </c>
      <c r="G3131" s="10">
        <v>11240</v>
      </c>
      <c r="H3131">
        <v>3.01</v>
      </c>
      <c r="I3131" s="5">
        <f>ROUND(Marketing[[#This Row],[Clicks]]*Marketing[[#This Row],[Conversion_Rate]],0)</f>
        <v>15</v>
      </c>
      <c r="J3131" s="12">
        <f>Marketing[[#This Row],[Campaign_Cost]]/Marketing[[#This Row],[Customers]]</f>
        <v>749.33333333333337</v>
      </c>
      <c r="K3131" t="s">
        <v>38</v>
      </c>
      <c r="L3131" t="s">
        <v>33</v>
      </c>
      <c r="M3131">
        <v>162</v>
      </c>
      <c r="N3131">
        <v>7180</v>
      </c>
      <c r="O3131">
        <v>7</v>
      </c>
      <c r="P3131" t="s">
        <v>34</v>
      </c>
      <c r="Q3131" s="1">
        <v>44406</v>
      </c>
    </row>
    <row r="3132" spans="1:17" x14ac:dyDescent="0.3">
      <c r="A3132" t="s">
        <v>22</v>
      </c>
      <c r="B3132" t="s">
        <v>29</v>
      </c>
      <c r="C3132" t="s">
        <v>52</v>
      </c>
      <c r="D3132" t="s">
        <v>24</v>
      </c>
      <c r="E3132" t="s">
        <v>43</v>
      </c>
      <c r="F3132" s="9">
        <v>0.06</v>
      </c>
      <c r="G3132" s="10">
        <v>8290</v>
      </c>
      <c r="H3132">
        <v>3.1</v>
      </c>
      <c r="I3132" s="5">
        <f>ROUND(Marketing[[#This Row],[Clicks]]*Marketing[[#This Row],[Conversion_Rate]],0)</f>
        <v>44</v>
      </c>
      <c r="J3132" s="12">
        <f>Marketing[[#This Row],[Campaign_Cost]]/Marketing[[#This Row],[Customers]]</f>
        <v>188.40909090909091</v>
      </c>
      <c r="K3132" t="s">
        <v>38</v>
      </c>
      <c r="L3132" t="s">
        <v>20</v>
      </c>
      <c r="M3132">
        <v>728</v>
      </c>
      <c r="N3132">
        <v>3332</v>
      </c>
      <c r="O3132">
        <v>10</v>
      </c>
      <c r="P3132" t="s">
        <v>34</v>
      </c>
      <c r="Q3132" s="1">
        <v>44407</v>
      </c>
    </row>
    <row r="3133" spans="1:17" x14ac:dyDescent="0.3">
      <c r="A3133" t="s">
        <v>49</v>
      </c>
      <c r="B3133" t="s">
        <v>15</v>
      </c>
      <c r="C3133" t="s">
        <v>30</v>
      </c>
      <c r="D3133" t="s">
        <v>17</v>
      </c>
      <c r="E3133" t="s">
        <v>43</v>
      </c>
      <c r="F3133" s="9">
        <v>0.1</v>
      </c>
      <c r="G3133" s="10">
        <v>12757</v>
      </c>
      <c r="H3133">
        <v>2.95</v>
      </c>
      <c r="I3133" s="5">
        <f>ROUND(Marketing[[#This Row],[Clicks]]*Marketing[[#This Row],[Conversion_Rate]],0)</f>
        <v>61</v>
      </c>
      <c r="J3133" s="12">
        <f>Marketing[[#This Row],[Campaign_Cost]]/Marketing[[#This Row],[Customers]]</f>
        <v>209.13114754098362</v>
      </c>
      <c r="K3133" t="s">
        <v>32</v>
      </c>
      <c r="L3133" t="s">
        <v>33</v>
      </c>
      <c r="M3133">
        <v>611</v>
      </c>
      <c r="N3133">
        <v>3123</v>
      </c>
      <c r="O3133">
        <v>7</v>
      </c>
      <c r="P3133" t="s">
        <v>34</v>
      </c>
      <c r="Q3133" s="1">
        <v>44408</v>
      </c>
    </row>
    <row r="3134" spans="1:17" x14ac:dyDescent="0.3">
      <c r="A3134" t="s">
        <v>22</v>
      </c>
      <c r="B3134" t="s">
        <v>29</v>
      </c>
      <c r="C3134" t="s">
        <v>23</v>
      </c>
      <c r="D3134" t="s">
        <v>46</v>
      </c>
      <c r="E3134" t="s">
        <v>31</v>
      </c>
      <c r="F3134" s="9">
        <v>0.14000000000000001</v>
      </c>
      <c r="G3134" s="10">
        <v>17950</v>
      </c>
      <c r="H3134">
        <v>2.08</v>
      </c>
      <c r="I3134" s="5">
        <f>ROUND(Marketing[[#This Row],[Clicks]]*Marketing[[#This Row],[Conversion_Rate]],0)</f>
        <v>63</v>
      </c>
      <c r="J3134" s="12">
        <f>Marketing[[#This Row],[Campaign_Cost]]/Marketing[[#This Row],[Customers]]</f>
        <v>284.92063492063494</v>
      </c>
      <c r="K3134" t="s">
        <v>32</v>
      </c>
      <c r="L3134" t="s">
        <v>20</v>
      </c>
      <c r="M3134">
        <v>453</v>
      </c>
      <c r="N3134">
        <v>8238</v>
      </c>
      <c r="O3134">
        <v>9</v>
      </c>
      <c r="P3134" t="s">
        <v>42</v>
      </c>
      <c r="Q3134" s="1">
        <v>44409</v>
      </c>
    </row>
    <row r="3135" spans="1:17" x14ac:dyDescent="0.3">
      <c r="A3135" t="s">
        <v>22</v>
      </c>
      <c r="B3135" t="s">
        <v>47</v>
      </c>
      <c r="C3135" t="s">
        <v>30</v>
      </c>
      <c r="D3135" t="s">
        <v>17</v>
      </c>
      <c r="E3135" t="s">
        <v>48</v>
      </c>
      <c r="F3135" s="9">
        <v>0.08</v>
      </c>
      <c r="G3135" s="10">
        <v>11452</v>
      </c>
      <c r="H3135">
        <v>7.71</v>
      </c>
      <c r="I3135" s="5">
        <f>ROUND(Marketing[[#This Row],[Clicks]]*Marketing[[#This Row],[Conversion_Rate]],0)</f>
        <v>32</v>
      </c>
      <c r="J3135" s="12">
        <f>Marketing[[#This Row],[Campaign_Cost]]/Marketing[[#This Row],[Customers]]</f>
        <v>357.875</v>
      </c>
      <c r="K3135" t="s">
        <v>32</v>
      </c>
      <c r="L3135" t="s">
        <v>50</v>
      </c>
      <c r="M3135">
        <v>399</v>
      </c>
      <c r="N3135">
        <v>8851</v>
      </c>
      <c r="O3135">
        <v>9</v>
      </c>
      <c r="P3135" t="s">
        <v>34</v>
      </c>
      <c r="Q3135" s="1">
        <v>44410</v>
      </c>
    </row>
    <row r="3136" spans="1:17" x14ac:dyDescent="0.3">
      <c r="A3136" t="s">
        <v>28</v>
      </c>
      <c r="B3136" t="s">
        <v>36</v>
      </c>
      <c r="C3136" t="s">
        <v>37</v>
      </c>
      <c r="D3136" t="s">
        <v>40</v>
      </c>
      <c r="E3136" t="s">
        <v>48</v>
      </c>
      <c r="F3136" s="9">
        <v>0.12</v>
      </c>
      <c r="G3136" s="10">
        <v>15831</v>
      </c>
      <c r="H3136">
        <v>2.84</v>
      </c>
      <c r="I3136" s="5">
        <f>ROUND(Marketing[[#This Row],[Clicks]]*Marketing[[#This Row],[Conversion_Rate]],0)</f>
        <v>118</v>
      </c>
      <c r="J3136" s="12">
        <f>Marketing[[#This Row],[Campaign_Cost]]/Marketing[[#This Row],[Customers]]</f>
        <v>134.16101694915255</v>
      </c>
      <c r="K3136" t="s">
        <v>25</v>
      </c>
      <c r="L3136" t="s">
        <v>50</v>
      </c>
      <c r="M3136">
        <v>984</v>
      </c>
      <c r="N3136">
        <v>1277</v>
      </c>
      <c r="O3136">
        <v>9</v>
      </c>
      <c r="P3136" t="s">
        <v>27</v>
      </c>
      <c r="Q3136" s="1">
        <v>44411</v>
      </c>
    </row>
    <row r="3137" spans="1:17" x14ac:dyDescent="0.3">
      <c r="A3137" t="s">
        <v>22</v>
      </c>
      <c r="B3137" t="s">
        <v>45</v>
      </c>
      <c r="C3137" t="s">
        <v>16</v>
      </c>
      <c r="D3137" t="s">
        <v>40</v>
      </c>
      <c r="E3137" t="s">
        <v>48</v>
      </c>
      <c r="F3137" s="9">
        <v>7.0000000000000007E-2</v>
      </c>
      <c r="G3137" s="10">
        <v>10594</v>
      </c>
      <c r="H3137">
        <v>3.92</v>
      </c>
      <c r="I3137" s="5">
        <f>ROUND(Marketing[[#This Row],[Clicks]]*Marketing[[#This Row],[Conversion_Rate]],0)</f>
        <v>63</v>
      </c>
      <c r="J3137" s="12">
        <f>Marketing[[#This Row],[Campaign_Cost]]/Marketing[[#This Row],[Customers]]</f>
        <v>168.15873015873015</v>
      </c>
      <c r="K3137" t="s">
        <v>19</v>
      </c>
      <c r="L3137" t="s">
        <v>33</v>
      </c>
      <c r="M3137">
        <v>895</v>
      </c>
      <c r="N3137">
        <v>7944</v>
      </c>
      <c r="O3137">
        <v>7</v>
      </c>
      <c r="P3137" t="s">
        <v>34</v>
      </c>
      <c r="Q3137" s="1">
        <v>44412</v>
      </c>
    </row>
    <row r="3138" spans="1:17" x14ac:dyDescent="0.3">
      <c r="A3138" t="s">
        <v>22</v>
      </c>
      <c r="B3138" t="s">
        <v>45</v>
      </c>
      <c r="C3138" t="s">
        <v>30</v>
      </c>
      <c r="D3138" t="s">
        <v>24</v>
      </c>
      <c r="E3138" t="s">
        <v>15</v>
      </c>
      <c r="F3138" s="9">
        <v>0.02</v>
      </c>
      <c r="G3138" s="10">
        <v>9789</v>
      </c>
      <c r="H3138">
        <v>6.18</v>
      </c>
      <c r="I3138" s="5">
        <f>ROUND(Marketing[[#This Row],[Clicks]]*Marketing[[#This Row],[Conversion_Rate]],0)</f>
        <v>9</v>
      </c>
      <c r="J3138" s="12">
        <f>Marketing[[#This Row],[Campaign_Cost]]/Marketing[[#This Row],[Customers]]</f>
        <v>1087.6666666666667</v>
      </c>
      <c r="K3138" t="s">
        <v>38</v>
      </c>
      <c r="L3138" t="s">
        <v>26</v>
      </c>
      <c r="M3138">
        <v>457</v>
      </c>
      <c r="N3138">
        <v>9677</v>
      </c>
      <c r="O3138">
        <v>8</v>
      </c>
      <c r="P3138" t="s">
        <v>44</v>
      </c>
      <c r="Q3138" s="1">
        <v>44413</v>
      </c>
    </row>
    <row r="3139" spans="1:17" x14ac:dyDescent="0.3">
      <c r="A3139" t="s">
        <v>28</v>
      </c>
      <c r="B3139" t="s">
        <v>36</v>
      </c>
      <c r="C3139" t="s">
        <v>16</v>
      </c>
      <c r="D3139" t="s">
        <v>46</v>
      </c>
      <c r="E3139" t="s">
        <v>48</v>
      </c>
      <c r="F3139" s="9">
        <v>0.03</v>
      </c>
      <c r="G3139" s="10">
        <v>15087</v>
      </c>
      <c r="H3139">
        <v>7.27</v>
      </c>
      <c r="I3139" s="5">
        <f>ROUND(Marketing[[#This Row],[Clicks]]*Marketing[[#This Row],[Conversion_Rate]],0)</f>
        <v>16</v>
      </c>
      <c r="J3139" s="12">
        <f>Marketing[[#This Row],[Campaign_Cost]]/Marketing[[#This Row],[Customers]]</f>
        <v>942.9375</v>
      </c>
      <c r="K3139" t="s">
        <v>32</v>
      </c>
      <c r="L3139" t="s">
        <v>50</v>
      </c>
      <c r="M3139">
        <v>522</v>
      </c>
      <c r="N3139">
        <v>2983</v>
      </c>
      <c r="O3139">
        <v>3</v>
      </c>
      <c r="P3139" t="s">
        <v>27</v>
      </c>
      <c r="Q3139" s="1">
        <v>44414</v>
      </c>
    </row>
    <row r="3140" spans="1:17" x14ac:dyDescent="0.3">
      <c r="A3140" t="s">
        <v>28</v>
      </c>
      <c r="B3140" t="s">
        <v>47</v>
      </c>
      <c r="C3140" t="s">
        <v>52</v>
      </c>
      <c r="D3140" t="s">
        <v>17</v>
      </c>
      <c r="E3140" t="s">
        <v>41</v>
      </c>
      <c r="F3140" s="9">
        <v>0.11</v>
      </c>
      <c r="G3140" s="10">
        <v>17054</v>
      </c>
      <c r="H3140">
        <v>4.58</v>
      </c>
      <c r="I3140" s="5">
        <f>ROUND(Marketing[[#This Row],[Clicks]]*Marketing[[#This Row],[Conversion_Rate]],0)</f>
        <v>24</v>
      </c>
      <c r="J3140" s="12">
        <f>Marketing[[#This Row],[Campaign_Cost]]/Marketing[[#This Row],[Customers]]</f>
        <v>710.58333333333337</v>
      </c>
      <c r="K3140" t="s">
        <v>51</v>
      </c>
      <c r="L3140" t="s">
        <v>39</v>
      </c>
      <c r="M3140">
        <v>219</v>
      </c>
      <c r="N3140">
        <v>5093</v>
      </c>
      <c r="O3140">
        <v>10</v>
      </c>
      <c r="P3140" t="s">
        <v>21</v>
      </c>
      <c r="Q3140" s="1">
        <v>44415</v>
      </c>
    </row>
    <row r="3141" spans="1:17" x14ac:dyDescent="0.3">
      <c r="A3141" t="s">
        <v>22</v>
      </c>
      <c r="B3141" t="s">
        <v>47</v>
      </c>
      <c r="C3141" t="s">
        <v>37</v>
      </c>
      <c r="D3141" t="s">
        <v>40</v>
      </c>
      <c r="E3141" t="s">
        <v>31</v>
      </c>
      <c r="F3141" s="9">
        <v>0.06</v>
      </c>
      <c r="G3141" s="10">
        <v>17451</v>
      </c>
      <c r="H3141">
        <v>4.53</v>
      </c>
      <c r="I3141" s="5">
        <f>ROUND(Marketing[[#This Row],[Clicks]]*Marketing[[#This Row],[Conversion_Rate]],0)</f>
        <v>26</v>
      </c>
      <c r="J3141" s="12">
        <f>Marketing[[#This Row],[Campaign_Cost]]/Marketing[[#This Row],[Customers]]</f>
        <v>671.19230769230774</v>
      </c>
      <c r="K3141" t="s">
        <v>51</v>
      </c>
      <c r="L3141" t="s">
        <v>26</v>
      </c>
      <c r="M3141">
        <v>425</v>
      </c>
      <c r="N3141">
        <v>9667</v>
      </c>
      <c r="O3141">
        <v>10</v>
      </c>
      <c r="P3141" t="s">
        <v>34</v>
      </c>
      <c r="Q3141" s="1">
        <v>44416</v>
      </c>
    </row>
    <row r="3142" spans="1:17" x14ac:dyDescent="0.3">
      <c r="A3142" t="s">
        <v>35</v>
      </c>
      <c r="B3142" t="s">
        <v>47</v>
      </c>
      <c r="C3142" t="s">
        <v>23</v>
      </c>
      <c r="D3142" t="s">
        <v>17</v>
      </c>
      <c r="E3142" t="s">
        <v>31</v>
      </c>
      <c r="F3142" s="9">
        <v>0.02</v>
      </c>
      <c r="G3142" s="10">
        <v>15130</v>
      </c>
      <c r="H3142">
        <v>6.19</v>
      </c>
      <c r="I3142" s="5">
        <f>ROUND(Marketing[[#This Row],[Clicks]]*Marketing[[#This Row],[Conversion_Rate]],0)</f>
        <v>3</v>
      </c>
      <c r="J3142" s="12">
        <f>Marketing[[#This Row],[Campaign_Cost]]/Marketing[[#This Row],[Customers]]</f>
        <v>5043.333333333333</v>
      </c>
      <c r="K3142" t="s">
        <v>51</v>
      </c>
      <c r="L3142" t="s">
        <v>39</v>
      </c>
      <c r="M3142">
        <v>155</v>
      </c>
      <c r="N3142">
        <v>8683</v>
      </c>
      <c r="O3142">
        <v>8</v>
      </c>
      <c r="P3142" t="s">
        <v>44</v>
      </c>
      <c r="Q3142" s="1">
        <v>44417</v>
      </c>
    </row>
    <row r="3143" spans="1:17" x14ac:dyDescent="0.3">
      <c r="A3143" t="s">
        <v>35</v>
      </c>
      <c r="B3143" t="s">
        <v>15</v>
      </c>
      <c r="C3143" t="s">
        <v>37</v>
      </c>
      <c r="D3143" t="s">
        <v>40</v>
      </c>
      <c r="E3143" t="s">
        <v>18</v>
      </c>
      <c r="F3143" s="9">
        <v>7.0000000000000007E-2</v>
      </c>
      <c r="G3143" s="10">
        <v>8031</v>
      </c>
      <c r="H3143">
        <v>4.2300000000000004</v>
      </c>
      <c r="I3143" s="5">
        <f>ROUND(Marketing[[#This Row],[Clicks]]*Marketing[[#This Row],[Conversion_Rate]],0)</f>
        <v>17</v>
      </c>
      <c r="J3143" s="12">
        <f>Marketing[[#This Row],[Campaign_Cost]]/Marketing[[#This Row],[Customers]]</f>
        <v>472.41176470588238</v>
      </c>
      <c r="K3143" t="s">
        <v>32</v>
      </c>
      <c r="L3143" t="s">
        <v>50</v>
      </c>
      <c r="M3143">
        <v>245</v>
      </c>
      <c r="N3143">
        <v>9514</v>
      </c>
      <c r="O3143">
        <v>6</v>
      </c>
      <c r="P3143" t="s">
        <v>21</v>
      </c>
      <c r="Q3143" s="1">
        <v>44418</v>
      </c>
    </row>
    <row r="3144" spans="1:17" x14ac:dyDescent="0.3">
      <c r="A3144" t="s">
        <v>35</v>
      </c>
      <c r="B3144" t="s">
        <v>45</v>
      </c>
      <c r="C3144" t="s">
        <v>52</v>
      </c>
      <c r="D3144" t="s">
        <v>46</v>
      </c>
      <c r="E3144" t="s">
        <v>48</v>
      </c>
      <c r="F3144" s="9">
        <v>0.06</v>
      </c>
      <c r="G3144" s="10">
        <v>18027</v>
      </c>
      <c r="H3144">
        <v>4.78</v>
      </c>
      <c r="I3144" s="5">
        <f>ROUND(Marketing[[#This Row],[Clicks]]*Marketing[[#This Row],[Conversion_Rate]],0)</f>
        <v>38</v>
      </c>
      <c r="J3144" s="12">
        <f>Marketing[[#This Row],[Campaign_Cost]]/Marketing[[#This Row],[Customers]]</f>
        <v>474.39473684210526</v>
      </c>
      <c r="K3144" t="s">
        <v>51</v>
      </c>
      <c r="L3144" t="s">
        <v>39</v>
      </c>
      <c r="M3144">
        <v>626</v>
      </c>
      <c r="N3144">
        <v>2902</v>
      </c>
      <c r="O3144">
        <v>2</v>
      </c>
      <c r="P3144" t="s">
        <v>42</v>
      </c>
      <c r="Q3144" s="1">
        <v>44419</v>
      </c>
    </row>
    <row r="3145" spans="1:17" x14ac:dyDescent="0.3">
      <c r="A3145" t="s">
        <v>22</v>
      </c>
      <c r="B3145" t="s">
        <v>45</v>
      </c>
      <c r="C3145" t="s">
        <v>30</v>
      </c>
      <c r="D3145" t="s">
        <v>46</v>
      </c>
      <c r="E3145" t="s">
        <v>43</v>
      </c>
      <c r="F3145" s="9">
        <v>0.1</v>
      </c>
      <c r="G3145" s="10">
        <v>9022</v>
      </c>
      <c r="H3145">
        <v>6.07</v>
      </c>
      <c r="I3145" s="5">
        <f>ROUND(Marketing[[#This Row],[Clicks]]*Marketing[[#This Row],[Conversion_Rate]],0)</f>
        <v>80</v>
      </c>
      <c r="J3145" s="12">
        <f>Marketing[[#This Row],[Campaign_Cost]]/Marketing[[#This Row],[Customers]]</f>
        <v>112.77500000000001</v>
      </c>
      <c r="K3145" t="s">
        <v>25</v>
      </c>
      <c r="L3145" t="s">
        <v>33</v>
      </c>
      <c r="M3145">
        <v>796</v>
      </c>
      <c r="N3145">
        <v>3236</v>
      </c>
      <c r="O3145">
        <v>8</v>
      </c>
      <c r="P3145" t="s">
        <v>44</v>
      </c>
      <c r="Q3145" s="1">
        <v>44420</v>
      </c>
    </row>
    <row r="3146" spans="1:17" x14ac:dyDescent="0.3">
      <c r="A3146" t="s">
        <v>22</v>
      </c>
      <c r="B3146" t="s">
        <v>36</v>
      </c>
      <c r="C3146" t="s">
        <v>23</v>
      </c>
      <c r="D3146" t="s">
        <v>24</v>
      </c>
      <c r="E3146" t="s">
        <v>43</v>
      </c>
      <c r="F3146" s="9">
        <v>0.06</v>
      </c>
      <c r="G3146" s="10">
        <v>18156</v>
      </c>
      <c r="H3146">
        <v>5.97</v>
      </c>
      <c r="I3146" s="5">
        <f>ROUND(Marketing[[#This Row],[Clicks]]*Marketing[[#This Row],[Conversion_Rate]],0)</f>
        <v>8</v>
      </c>
      <c r="J3146" s="12">
        <f>Marketing[[#This Row],[Campaign_Cost]]/Marketing[[#This Row],[Customers]]</f>
        <v>2269.5</v>
      </c>
      <c r="K3146" t="s">
        <v>38</v>
      </c>
      <c r="L3146" t="s">
        <v>50</v>
      </c>
      <c r="M3146">
        <v>138</v>
      </c>
      <c r="N3146">
        <v>4215</v>
      </c>
      <c r="O3146">
        <v>1</v>
      </c>
      <c r="P3146" t="s">
        <v>21</v>
      </c>
      <c r="Q3146" s="1">
        <v>44421</v>
      </c>
    </row>
    <row r="3147" spans="1:17" x14ac:dyDescent="0.3">
      <c r="A3147" t="s">
        <v>22</v>
      </c>
      <c r="B3147" t="s">
        <v>47</v>
      </c>
      <c r="C3147" t="s">
        <v>23</v>
      </c>
      <c r="D3147" t="s">
        <v>24</v>
      </c>
      <c r="E3147" t="s">
        <v>15</v>
      </c>
      <c r="F3147" s="9">
        <v>0.11</v>
      </c>
      <c r="G3147" s="10">
        <v>11191</v>
      </c>
      <c r="H3147">
        <v>2.27</v>
      </c>
      <c r="I3147" s="5">
        <f>ROUND(Marketing[[#This Row],[Clicks]]*Marketing[[#This Row],[Conversion_Rate]],0)</f>
        <v>76</v>
      </c>
      <c r="J3147" s="12">
        <f>Marketing[[#This Row],[Campaign_Cost]]/Marketing[[#This Row],[Customers]]</f>
        <v>147.25</v>
      </c>
      <c r="K3147" t="s">
        <v>32</v>
      </c>
      <c r="L3147" t="s">
        <v>39</v>
      </c>
      <c r="M3147">
        <v>689</v>
      </c>
      <c r="N3147">
        <v>2763</v>
      </c>
      <c r="O3147">
        <v>10</v>
      </c>
      <c r="P3147" t="s">
        <v>42</v>
      </c>
      <c r="Q3147" s="1">
        <v>44422</v>
      </c>
    </row>
    <row r="3148" spans="1:17" x14ac:dyDescent="0.3">
      <c r="A3148" t="s">
        <v>35</v>
      </c>
      <c r="B3148" t="s">
        <v>15</v>
      </c>
      <c r="C3148" t="s">
        <v>52</v>
      </c>
      <c r="D3148" t="s">
        <v>46</v>
      </c>
      <c r="E3148" t="s">
        <v>18</v>
      </c>
      <c r="F3148" s="9">
        <v>0.12</v>
      </c>
      <c r="G3148" s="10">
        <v>19953</v>
      </c>
      <c r="H3148">
        <v>2.11</v>
      </c>
      <c r="I3148" s="5">
        <f>ROUND(Marketing[[#This Row],[Clicks]]*Marketing[[#This Row],[Conversion_Rate]],0)</f>
        <v>69</v>
      </c>
      <c r="J3148" s="12">
        <f>Marketing[[#This Row],[Campaign_Cost]]/Marketing[[#This Row],[Customers]]</f>
        <v>289.17391304347825</v>
      </c>
      <c r="K3148" t="s">
        <v>25</v>
      </c>
      <c r="L3148" t="s">
        <v>33</v>
      </c>
      <c r="M3148">
        <v>577</v>
      </c>
      <c r="N3148">
        <v>9175</v>
      </c>
      <c r="O3148">
        <v>5</v>
      </c>
      <c r="P3148" t="s">
        <v>42</v>
      </c>
      <c r="Q3148" s="1">
        <v>44423</v>
      </c>
    </row>
    <row r="3149" spans="1:17" x14ac:dyDescent="0.3">
      <c r="A3149" t="s">
        <v>49</v>
      </c>
      <c r="B3149" t="s">
        <v>36</v>
      </c>
      <c r="C3149" t="s">
        <v>23</v>
      </c>
      <c r="D3149" t="s">
        <v>40</v>
      </c>
      <c r="E3149" t="s">
        <v>18</v>
      </c>
      <c r="F3149" s="9">
        <v>0.02</v>
      </c>
      <c r="G3149" s="10">
        <v>10969</v>
      </c>
      <c r="H3149">
        <v>2.88</v>
      </c>
      <c r="I3149" s="5">
        <f>ROUND(Marketing[[#This Row],[Clicks]]*Marketing[[#This Row],[Conversion_Rate]],0)</f>
        <v>19</v>
      </c>
      <c r="J3149" s="12">
        <f>Marketing[[#This Row],[Campaign_Cost]]/Marketing[[#This Row],[Customers]]</f>
        <v>577.31578947368416</v>
      </c>
      <c r="K3149" t="s">
        <v>38</v>
      </c>
      <c r="L3149" t="s">
        <v>20</v>
      </c>
      <c r="M3149">
        <v>959</v>
      </c>
      <c r="N3149">
        <v>5624</v>
      </c>
      <c r="O3149">
        <v>4</v>
      </c>
      <c r="P3149" t="s">
        <v>21</v>
      </c>
      <c r="Q3149" s="1">
        <v>44424</v>
      </c>
    </row>
    <row r="3150" spans="1:17" x14ac:dyDescent="0.3">
      <c r="A3150" t="s">
        <v>14</v>
      </c>
      <c r="B3150" t="s">
        <v>47</v>
      </c>
      <c r="C3150" t="s">
        <v>52</v>
      </c>
      <c r="D3150" t="s">
        <v>40</v>
      </c>
      <c r="E3150" t="s">
        <v>31</v>
      </c>
      <c r="F3150" s="9">
        <v>0.02</v>
      </c>
      <c r="G3150" s="10">
        <v>13183</v>
      </c>
      <c r="H3150">
        <v>5.35</v>
      </c>
      <c r="I3150" s="5">
        <f>ROUND(Marketing[[#This Row],[Clicks]]*Marketing[[#This Row],[Conversion_Rate]],0)</f>
        <v>7</v>
      </c>
      <c r="J3150" s="12">
        <f>Marketing[[#This Row],[Campaign_Cost]]/Marketing[[#This Row],[Customers]]</f>
        <v>1883.2857142857142</v>
      </c>
      <c r="K3150" t="s">
        <v>25</v>
      </c>
      <c r="L3150" t="s">
        <v>26</v>
      </c>
      <c r="M3150">
        <v>351</v>
      </c>
      <c r="N3150">
        <v>3078</v>
      </c>
      <c r="O3150">
        <v>8</v>
      </c>
      <c r="P3150" t="s">
        <v>42</v>
      </c>
      <c r="Q3150" s="1">
        <v>44425</v>
      </c>
    </row>
    <row r="3151" spans="1:17" x14ac:dyDescent="0.3">
      <c r="A3151" t="s">
        <v>22</v>
      </c>
      <c r="B3151" t="s">
        <v>29</v>
      </c>
      <c r="C3151" t="s">
        <v>16</v>
      </c>
      <c r="D3151" t="s">
        <v>46</v>
      </c>
      <c r="E3151" t="s">
        <v>43</v>
      </c>
      <c r="F3151" s="9">
        <v>7.0000000000000007E-2</v>
      </c>
      <c r="G3151" s="10">
        <v>12921</v>
      </c>
      <c r="H3151">
        <v>4.16</v>
      </c>
      <c r="I3151" s="5">
        <f>ROUND(Marketing[[#This Row],[Clicks]]*Marketing[[#This Row],[Conversion_Rate]],0)</f>
        <v>28</v>
      </c>
      <c r="J3151" s="12">
        <f>Marketing[[#This Row],[Campaign_Cost]]/Marketing[[#This Row],[Customers]]</f>
        <v>461.46428571428572</v>
      </c>
      <c r="K3151" t="s">
        <v>25</v>
      </c>
      <c r="L3151" t="s">
        <v>20</v>
      </c>
      <c r="M3151">
        <v>403</v>
      </c>
      <c r="N3151">
        <v>5885</v>
      </c>
      <c r="O3151">
        <v>9</v>
      </c>
      <c r="P3151" t="s">
        <v>27</v>
      </c>
      <c r="Q3151" s="1">
        <v>44426</v>
      </c>
    </row>
    <row r="3152" spans="1:17" x14ac:dyDescent="0.3">
      <c r="A3152" t="s">
        <v>22</v>
      </c>
      <c r="B3152" t="s">
        <v>36</v>
      </c>
      <c r="C3152" t="s">
        <v>52</v>
      </c>
      <c r="D3152" t="s">
        <v>46</v>
      </c>
      <c r="E3152" t="s">
        <v>41</v>
      </c>
      <c r="F3152" s="9">
        <v>7.0000000000000007E-2</v>
      </c>
      <c r="G3152" s="10">
        <v>14306</v>
      </c>
      <c r="H3152">
        <v>7.64</v>
      </c>
      <c r="I3152" s="5">
        <f>ROUND(Marketing[[#This Row],[Clicks]]*Marketing[[#This Row],[Conversion_Rate]],0)</f>
        <v>44</v>
      </c>
      <c r="J3152" s="12">
        <f>Marketing[[#This Row],[Campaign_Cost]]/Marketing[[#This Row],[Customers]]</f>
        <v>325.13636363636363</v>
      </c>
      <c r="K3152" t="s">
        <v>32</v>
      </c>
      <c r="L3152" t="s">
        <v>50</v>
      </c>
      <c r="M3152">
        <v>628</v>
      </c>
      <c r="N3152">
        <v>7850</v>
      </c>
      <c r="O3152">
        <v>3</v>
      </c>
      <c r="P3152" t="s">
        <v>34</v>
      </c>
      <c r="Q3152" s="1">
        <v>44427</v>
      </c>
    </row>
    <row r="3153" spans="1:17" x14ac:dyDescent="0.3">
      <c r="A3153" t="s">
        <v>22</v>
      </c>
      <c r="B3153" t="s">
        <v>29</v>
      </c>
      <c r="C3153" t="s">
        <v>37</v>
      </c>
      <c r="D3153" t="s">
        <v>24</v>
      </c>
      <c r="E3153" t="s">
        <v>41</v>
      </c>
      <c r="F3153" s="9">
        <v>7.0000000000000007E-2</v>
      </c>
      <c r="G3153" s="10">
        <v>18772</v>
      </c>
      <c r="H3153">
        <v>3.37</v>
      </c>
      <c r="I3153" s="5">
        <f>ROUND(Marketing[[#This Row],[Clicks]]*Marketing[[#This Row],[Conversion_Rate]],0)</f>
        <v>16</v>
      </c>
      <c r="J3153" s="12">
        <f>Marketing[[#This Row],[Campaign_Cost]]/Marketing[[#This Row],[Customers]]</f>
        <v>1173.25</v>
      </c>
      <c r="K3153" t="s">
        <v>51</v>
      </c>
      <c r="L3153" t="s">
        <v>26</v>
      </c>
      <c r="M3153">
        <v>223</v>
      </c>
      <c r="N3153">
        <v>8001</v>
      </c>
      <c r="O3153">
        <v>2</v>
      </c>
      <c r="P3153" t="s">
        <v>27</v>
      </c>
      <c r="Q3153" s="1">
        <v>44428</v>
      </c>
    </row>
    <row r="3154" spans="1:17" x14ac:dyDescent="0.3">
      <c r="A3154" t="s">
        <v>22</v>
      </c>
      <c r="B3154" t="s">
        <v>36</v>
      </c>
      <c r="C3154" t="s">
        <v>30</v>
      </c>
      <c r="D3154" t="s">
        <v>46</v>
      </c>
      <c r="E3154" t="s">
        <v>31</v>
      </c>
      <c r="F3154" s="9">
        <v>0.06</v>
      </c>
      <c r="G3154" s="10">
        <v>18201</v>
      </c>
      <c r="H3154">
        <v>5.16</v>
      </c>
      <c r="I3154" s="5">
        <f>ROUND(Marketing[[#This Row],[Clicks]]*Marketing[[#This Row],[Conversion_Rate]],0)</f>
        <v>24</v>
      </c>
      <c r="J3154" s="12">
        <f>Marketing[[#This Row],[Campaign_Cost]]/Marketing[[#This Row],[Customers]]</f>
        <v>758.375</v>
      </c>
      <c r="K3154" t="s">
        <v>19</v>
      </c>
      <c r="L3154" t="s">
        <v>39</v>
      </c>
      <c r="M3154">
        <v>403</v>
      </c>
      <c r="N3154">
        <v>1557</v>
      </c>
      <c r="O3154">
        <v>10</v>
      </c>
      <c r="P3154" t="s">
        <v>34</v>
      </c>
      <c r="Q3154" s="1">
        <v>44429</v>
      </c>
    </row>
    <row r="3155" spans="1:17" x14ac:dyDescent="0.3">
      <c r="A3155" t="s">
        <v>35</v>
      </c>
      <c r="B3155" t="s">
        <v>29</v>
      </c>
      <c r="C3155" t="s">
        <v>52</v>
      </c>
      <c r="D3155" t="s">
        <v>24</v>
      </c>
      <c r="E3155" t="s">
        <v>31</v>
      </c>
      <c r="F3155" s="9">
        <v>0.08</v>
      </c>
      <c r="G3155" s="10">
        <v>12304</v>
      </c>
      <c r="H3155">
        <v>7.36</v>
      </c>
      <c r="I3155" s="5">
        <f>ROUND(Marketing[[#This Row],[Clicks]]*Marketing[[#This Row],[Conversion_Rate]],0)</f>
        <v>17</v>
      </c>
      <c r="J3155" s="12">
        <f>Marketing[[#This Row],[Campaign_Cost]]/Marketing[[#This Row],[Customers]]</f>
        <v>723.76470588235293</v>
      </c>
      <c r="K3155" t="s">
        <v>38</v>
      </c>
      <c r="L3155" t="s">
        <v>26</v>
      </c>
      <c r="M3155">
        <v>218</v>
      </c>
      <c r="N3155">
        <v>9009</v>
      </c>
      <c r="O3155">
        <v>4</v>
      </c>
      <c r="P3155" t="s">
        <v>44</v>
      </c>
      <c r="Q3155" s="1">
        <v>44430</v>
      </c>
    </row>
    <row r="3156" spans="1:17" x14ac:dyDescent="0.3">
      <c r="A3156" t="s">
        <v>22</v>
      </c>
      <c r="B3156" t="s">
        <v>29</v>
      </c>
      <c r="C3156" t="s">
        <v>16</v>
      </c>
      <c r="D3156" t="s">
        <v>24</v>
      </c>
      <c r="E3156" t="s">
        <v>18</v>
      </c>
      <c r="F3156" s="9">
        <v>0.04</v>
      </c>
      <c r="G3156" s="10">
        <v>11784</v>
      </c>
      <c r="H3156">
        <v>6.69</v>
      </c>
      <c r="I3156" s="5">
        <f>ROUND(Marketing[[#This Row],[Clicks]]*Marketing[[#This Row],[Conversion_Rate]],0)</f>
        <v>5</v>
      </c>
      <c r="J3156" s="12">
        <f>Marketing[[#This Row],[Campaign_Cost]]/Marketing[[#This Row],[Customers]]</f>
        <v>2356.8000000000002</v>
      </c>
      <c r="K3156" t="s">
        <v>32</v>
      </c>
      <c r="L3156" t="s">
        <v>50</v>
      </c>
      <c r="M3156">
        <v>127</v>
      </c>
      <c r="N3156">
        <v>7082</v>
      </c>
      <c r="O3156">
        <v>6</v>
      </c>
      <c r="P3156" t="s">
        <v>44</v>
      </c>
      <c r="Q3156" s="1">
        <v>44431</v>
      </c>
    </row>
    <row r="3157" spans="1:17" x14ac:dyDescent="0.3">
      <c r="A3157" t="s">
        <v>35</v>
      </c>
      <c r="B3157" t="s">
        <v>36</v>
      </c>
      <c r="C3157" t="s">
        <v>52</v>
      </c>
      <c r="D3157" t="s">
        <v>17</v>
      </c>
      <c r="E3157" t="s">
        <v>18</v>
      </c>
      <c r="F3157" s="9">
        <v>0.1</v>
      </c>
      <c r="G3157" s="10">
        <v>15309</v>
      </c>
      <c r="H3157">
        <v>3.24</v>
      </c>
      <c r="I3157" s="5">
        <f>ROUND(Marketing[[#This Row],[Clicks]]*Marketing[[#This Row],[Conversion_Rate]],0)</f>
        <v>97</v>
      </c>
      <c r="J3157" s="12">
        <f>Marketing[[#This Row],[Campaign_Cost]]/Marketing[[#This Row],[Customers]]</f>
        <v>157.82474226804123</v>
      </c>
      <c r="K3157" t="s">
        <v>19</v>
      </c>
      <c r="L3157" t="s">
        <v>20</v>
      </c>
      <c r="M3157">
        <v>972</v>
      </c>
      <c r="N3157">
        <v>1353</v>
      </c>
      <c r="O3157">
        <v>6</v>
      </c>
      <c r="P3157" t="s">
        <v>21</v>
      </c>
      <c r="Q3157" s="1">
        <v>44432</v>
      </c>
    </row>
    <row r="3158" spans="1:17" x14ac:dyDescent="0.3">
      <c r="A3158" t="s">
        <v>28</v>
      </c>
      <c r="B3158" t="s">
        <v>15</v>
      </c>
      <c r="C3158" t="s">
        <v>52</v>
      </c>
      <c r="D3158" t="s">
        <v>24</v>
      </c>
      <c r="E3158" t="s">
        <v>41</v>
      </c>
      <c r="F3158" s="9">
        <v>7.0000000000000007E-2</v>
      </c>
      <c r="G3158" s="10">
        <v>5097</v>
      </c>
      <c r="H3158">
        <v>4.88</v>
      </c>
      <c r="I3158" s="5">
        <f>ROUND(Marketing[[#This Row],[Clicks]]*Marketing[[#This Row],[Conversion_Rate]],0)</f>
        <v>17</v>
      </c>
      <c r="J3158" s="12">
        <f>Marketing[[#This Row],[Campaign_Cost]]/Marketing[[#This Row],[Customers]]</f>
        <v>299.8235294117647</v>
      </c>
      <c r="K3158" t="s">
        <v>51</v>
      </c>
      <c r="L3158" t="s">
        <v>39</v>
      </c>
      <c r="M3158">
        <v>248</v>
      </c>
      <c r="N3158">
        <v>2307</v>
      </c>
      <c r="O3158">
        <v>6</v>
      </c>
      <c r="P3158" t="s">
        <v>44</v>
      </c>
      <c r="Q3158" s="1">
        <v>44433</v>
      </c>
    </row>
    <row r="3159" spans="1:17" x14ac:dyDescent="0.3">
      <c r="A3159" t="s">
        <v>49</v>
      </c>
      <c r="B3159" t="s">
        <v>36</v>
      </c>
      <c r="C3159" t="s">
        <v>23</v>
      </c>
      <c r="D3159" t="s">
        <v>17</v>
      </c>
      <c r="E3159" t="s">
        <v>41</v>
      </c>
      <c r="F3159" s="9">
        <v>0.12</v>
      </c>
      <c r="G3159" s="10">
        <v>14159</v>
      </c>
      <c r="H3159">
        <v>3.04</v>
      </c>
      <c r="I3159" s="5">
        <f>ROUND(Marketing[[#This Row],[Clicks]]*Marketing[[#This Row],[Conversion_Rate]],0)</f>
        <v>25</v>
      </c>
      <c r="J3159" s="12">
        <f>Marketing[[#This Row],[Campaign_Cost]]/Marketing[[#This Row],[Customers]]</f>
        <v>566.36</v>
      </c>
      <c r="K3159" t="s">
        <v>32</v>
      </c>
      <c r="L3159" t="s">
        <v>26</v>
      </c>
      <c r="M3159">
        <v>206</v>
      </c>
      <c r="N3159">
        <v>5039</v>
      </c>
      <c r="O3159">
        <v>1</v>
      </c>
      <c r="P3159" t="s">
        <v>27</v>
      </c>
      <c r="Q3159" s="1">
        <v>44434</v>
      </c>
    </row>
    <row r="3160" spans="1:17" x14ac:dyDescent="0.3">
      <c r="A3160" t="s">
        <v>28</v>
      </c>
      <c r="B3160" t="s">
        <v>15</v>
      </c>
      <c r="C3160" t="s">
        <v>30</v>
      </c>
      <c r="D3160" t="s">
        <v>24</v>
      </c>
      <c r="E3160" t="s">
        <v>43</v>
      </c>
      <c r="F3160" s="9">
        <v>0.14000000000000001</v>
      </c>
      <c r="G3160" s="10">
        <v>17881</v>
      </c>
      <c r="H3160">
        <v>3.54</v>
      </c>
      <c r="I3160" s="5">
        <f>ROUND(Marketing[[#This Row],[Clicks]]*Marketing[[#This Row],[Conversion_Rate]],0)</f>
        <v>122</v>
      </c>
      <c r="J3160" s="12">
        <f>Marketing[[#This Row],[Campaign_Cost]]/Marketing[[#This Row],[Customers]]</f>
        <v>146.5655737704918</v>
      </c>
      <c r="K3160" t="s">
        <v>19</v>
      </c>
      <c r="L3160" t="s">
        <v>33</v>
      </c>
      <c r="M3160">
        <v>871</v>
      </c>
      <c r="N3160">
        <v>4372</v>
      </c>
      <c r="O3160">
        <v>10</v>
      </c>
      <c r="P3160" t="s">
        <v>27</v>
      </c>
      <c r="Q3160" s="1">
        <v>44435</v>
      </c>
    </row>
    <row r="3161" spans="1:17" x14ac:dyDescent="0.3">
      <c r="A3161" t="s">
        <v>35</v>
      </c>
      <c r="B3161" t="s">
        <v>29</v>
      </c>
      <c r="C3161" t="s">
        <v>30</v>
      </c>
      <c r="D3161" t="s">
        <v>40</v>
      </c>
      <c r="E3161" t="s">
        <v>18</v>
      </c>
      <c r="F3161" s="9">
        <v>0.12</v>
      </c>
      <c r="G3161" s="10">
        <v>10051</v>
      </c>
      <c r="H3161">
        <v>3.68</v>
      </c>
      <c r="I3161" s="5">
        <f>ROUND(Marketing[[#This Row],[Clicks]]*Marketing[[#This Row],[Conversion_Rate]],0)</f>
        <v>80</v>
      </c>
      <c r="J3161" s="12">
        <f>Marketing[[#This Row],[Campaign_Cost]]/Marketing[[#This Row],[Customers]]</f>
        <v>125.6375</v>
      </c>
      <c r="K3161" t="s">
        <v>51</v>
      </c>
      <c r="L3161" t="s">
        <v>50</v>
      </c>
      <c r="M3161">
        <v>669</v>
      </c>
      <c r="N3161">
        <v>4322</v>
      </c>
      <c r="O3161">
        <v>3</v>
      </c>
      <c r="P3161" t="s">
        <v>34</v>
      </c>
      <c r="Q3161" s="1">
        <v>44436</v>
      </c>
    </row>
    <row r="3162" spans="1:17" x14ac:dyDescent="0.3">
      <c r="A3162" t="s">
        <v>49</v>
      </c>
      <c r="B3162" t="s">
        <v>15</v>
      </c>
      <c r="C3162" t="s">
        <v>37</v>
      </c>
      <c r="D3162" t="s">
        <v>17</v>
      </c>
      <c r="E3162" t="s">
        <v>43</v>
      </c>
      <c r="F3162" s="9">
        <v>0.02</v>
      </c>
      <c r="G3162" s="10">
        <v>12481</v>
      </c>
      <c r="H3162">
        <v>6.79</v>
      </c>
      <c r="I3162" s="5">
        <f>ROUND(Marketing[[#This Row],[Clicks]]*Marketing[[#This Row],[Conversion_Rate]],0)</f>
        <v>6</v>
      </c>
      <c r="J3162" s="12">
        <f>Marketing[[#This Row],[Campaign_Cost]]/Marketing[[#This Row],[Customers]]</f>
        <v>2080.1666666666665</v>
      </c>
      <c r="K3162" t="s">
        <v>25</v>
      </c>
      <c r="L3162" t="s">
        <v>26</v>
      </c>
      <c r="M3162">
        <v>321</v>
      </c>
      <c r="N3162">
        <v>2821</v>
      </c>
      <c r="O3162">
        <v>1</v>
      </c>
      <c r="P3162" t="s">
        <v>21</v>
      </c>
      <c r="Q3162" s="1">
        <v>44437</v>
      </c>
    </row>
    <row r="3163" spans="1:17" x14ac:dyDescent="0.3">
      <c r="A3163" t="s">
        <v>14</v>
      </c>
      <c r="B3163" t="s">
        <v>29</v>
      </c>
      <c r="C3163" t="s">
        <v>37</v>
      </c>
      <c r="D3163" t="s">
        <v>40</v>
      </c>
      <c r="E3163" t="s">
        <v>15</v>
      </c>
      <c r="F3163" s="9">
        <v>0.13</v>
      </c>
      <c r="G3163" s="10">
        <v>19449</v>
      </c>
      <c r="H3163">
        <v>2.52</v>
      </c>
      <c r="I3163" s="5">
        <f>ROUND(Marketing[[#This Row],[Clicks]]*Marketing[[#This Row],[Conversion_Rate]],0)</f>
        <v>32</v>
      </c>
      <c r="J3163" s="12">
        <f>Marketing[[#This Row],[Campaign_Cost]]/Marketing[[#This Row],[Customers]]</f>
        <v>607.78125</v>
      </c>
      <c r="K3163" t="s">
        <v>25</v>
      </c>
      <c r="L3163" t="s">
        <v>39</v>
      </c>
      <c r="M3163">
        <v>243</v>
      </c>
      <c r="N3163">
        <v>5638</v>
      </c>
      <c r="O3163">
        <v>10</v>
      </c>
      <c r="P3163" t="s">
        <v>34</v>
      </c>
      <c r="Q3163" s="1">
        <v>44438</v>
      </c>
    </row>
    <row r="3164" spans="1:17" x14ac:dyDescent="0.3">
      <c r="A3164" t="s">
        <v>35</v>
      </c>
      <c r="B3164" t="s">
        <v>36</v>
      </c>
      <c r="C3164" t="s">
        <v>16</v>
      </c>
      <c r="D3164" t="s">
        <v>17</v>
      </c>
      <c r="E3164" t="s">
        <v>48</v>
      </c>
      <c r="F3164" s="9">
        <v>0.1</v>
      </c>
      <c r="G3164" s="10">
        <v>12001</v>
      </c>
      <c r="H3164">
        <v>3.78</v>
      </c>
      <c r="I3164" s="5">
        <f>ROUND(Marketing[[#This Row],[Clicks]]*Marketing[[#This Row],[Conversion_Rate]],0)</f>
        <v>35</v>
      </c>
      <c r="J3164" s="12">
        <f>Marketing[[#This Row],[Campaign_Cost]]/Marketing[[#This Row],[Customers]]</f>
        <v>342.8857142857143</v>
      </c>
      <c r="K3164" t="s">
        <v>25</v>
      </c>
      <c r="L3164" t="s">
        <v>20</v>
      </c>
      <c r="M3164">
        <v>351</v>
      </c>
      <c r="N3164">
        <v>2613</v>
      </c>
      <c r="O3164">
        <v>3</v>
      </c>
      <c r="P3164" t="s">
        <v>21</v>
      </c>
      <c r="Q3164" s="1">
        <v>44439</v>
      </c>
    </row>
    <row r="3165" spans="1:17" x14ac:dyDescent="0.3">
      <c r="A3165" t="s">
        <v>35</v>
      </c>
      <c r="B3165" t="s">
        <v>36</v>
      </c>
      <c r="C3165" t="s">
        <v>16</v>
      </c>
      <c r="D3165" t="s">
        <v>17</v>
      </c>
      <c r="E3165" t="s">
        <v>41</v>
      </c>
      <c r="F3165" s="9">
        <v>0.02</v>
      </c>
      <c r="G3165" s="10">
        <v>8077</v>
      </c>
      <c r="H3165">
        <v>3.64</v>
      </c>
      <c r="I3165" s="5">
        <f>ROUND(Marketing[[#This Row],[Clicks]]*Marketing[[#This Row],[Conversion_Rate]],0)</f>
        <v>6</v>
      </c>
      <c r="J3165" s="12">
        <f>Marketing[[#This Row],[Campaign_Cost]]/Marketing[[#This Row],[Customers]]</f>
        <v>1346.1666666666667</v>
      </c>
      <c r="K3165" t="s">
        <v>38</v>
      </c>
      <c r="L3165" t="s">
        <v>50</v>
      </c>
      <c r="M3165">
        <v>319</v>
      </c>
      <c r="N3165">
        <v>1568</v>
      </c>
      <c r="O3165">
        <v>8</v>
      </c>
      <c r="P3165" t="s">
        <v>44</v>
      </c>
      <c r="Q3165" s="1">
        <v>44440</v>
      </c>
    </row>
    <row r="3166" spans="1:17" x14ac:dyDescent="0.3">
      <c r="A3166" t="s">
        <v>22</v>
      </c>
      <c r="B3166" t="s">
        <v>45</v>
      </c>
      <c r="C3166" t="s">
        <v>30</v>
      </c>
      <c r="D3166" t="s">
        <v>40</v>
      </c>
      <c r="E3166" t="s">
        <v>43</v>
      </c>
      <c r="F3166" s="9">
        <v>0.01</v>
      </c>
      <c r="G3166" s="10">
        <v>11462</v>
      </c>
      <c r="H3166">
        <v>5.43</v>
      </c>
      <c r="I3166" s="5">
        <f>ROUND(Marketing[[#This Row],[Clicks]]*Marketing[[#This Row],[Conversion_Rate]],0)</f>
        <v>1</v>
      </c>
      <c r="J3166" s="12">
        <f>Marketing[[#This Row],[Campaign_Cost]]/Marketing[[#This Row],[Customers]]</f>
        <v>11462</v>
      </c>
      <c r="K3166" t="s">
        <v>25</v>
      </c>
      <c r="L3166" t="s">
        <v>39</v>
      </c>
      <c r="M3166">
        <v>134</v>
      </c>
      <c r="N3166">
        <v>3014</v>
      </c>
      <c r="O3166">
        <v>10</v>
      </c>
      <c r="P3166" t="s">
        <v>27</v>
      </c>
      <c r="Q3166" s="1">
        <v>44441</v>
      </c>
    </row>
    <row r="3167" spans="1:17" x14ac:dyDescent="0.3">
      <c r="A3167" t="s">
        <v>49</v>
      </c>
      <c r="B3167" t="s">
        <v>45</v>
      </c>
      <c r="C3167" t="s">
        <v>30</v>
      </c>
      <c r="D3167" t="s">
        <v>46</v>
      </c>
      <c r="E3167" t="s">
        <v>31</v>
      </c>
      <c r="F3167" s="9">
        <v>0.05</v>
      </c>
      <c r="G3167" s="10">
        <v>8030</v>
      </c>
      <c r="H3167">
        <v>3.58</v>
      </c>
      <c r="I3167" s="5">
        <f>ROUND(Marketing[[#This Row],[Clicks]]*Marketing[[#This Row],[Conversion_Rate]],0)</f>
        <v>29</v>
      </c>
      <c r="J3167" s="12">
        <f>Marketing[[#This Row],[Campaign_Cost]]/Marketing[[#This Row],[Customers]]</f>
        <v>276.89655172413791</v>
      </c>
      <c r="K3167" t="s">
        <v>38</v>
      </c>
      <c r="L3167" t="s">
        <v>50</v>
      </c>
      <c r="M3167">
        <v>576</v>
      </c>
      <c r="N3167">
        <v>1846</v>
      </c>
      <c r="O3167">
        <v>6</v>
      </c>
      <c r="P3167" t="s">
        <v>44</v>
      </c>
      <c r="Q3167" s="1">
        <v>44442</v>
      </c>
    </row>
    <row r="3168" spans="1:17" x14ac:dyDescent="0.3">
      <c r="A3168" t="s">
        <v>14</v>
      </c>
      <c r="B3168" t="s">
        <v>15</v>
      </c>
      <c r="C3168" t="s">
        <v>23</v>
      </c>
      <c r="D3168" t="s">
        <v>46</v>
      </c>
      <c r="E3168" t="s">
        <v>41</v>
      </c>
      <c r="F3168" s="9">
        <v>0.02</v>
      </c>
      <c r="G3168" s="10">
        <v>14832</v>
      </c>
      <c r="H3168">
        <v>2.5499999999999998</v>
      </c>
      <c r="I3168" s="5">
        <f>ROUND(Marketing[[#This Row],[Clicks]]*Marketing[[#This Row],[Conversion_Rate]],0)</f>
        <v>17</v>
      </c>
      <c r="J3168" s="12">
        <f>Marketing[[#This Row],[Campaign_Cost]]/Marketing[[#This Row],[Customers]]</f>
        <v>872.47058823529414</v>
      </c>
      <c r="K3168" t="s">
        <v>25</v>
      </c>
      <c r="L3168" t="s">
        <v>50</v>
      </c>
      <c r="M3168">
        <v>825</v>
      </c>
      <c r="N3168">
        <v>1999</v>
      </c>
      <c r="O3168">
        <v>9</v>
      </c>
      <c r="P3168" t="s">
        <v>27</v>
      </c>
      <c r="Q3168" s="1">
        <v>44443</v>
      </c>
    </row>
    <row r="3169" spans="1:17" x14ac:dyDescent="0.3">
      <c r="A3169" t="s">
        <v>22</v>
      </c>
      <c r="B3169" t="s">
        <v>45</v>
      </c>
      <c r="C3169" t="s">
        <v>37</v>
      </c>
      <c r="D3169" t="s">
        <v>40</v>
      </c>
      <c r="E3169" t="s">
        <v>18</v>
      </c>
      <c r="F3169" s="9">
        <v>0.11</v>
      </c>
      <c r="G3169" s="10">
        <v>13616</v>
      </c>
      <c r="H3169">
        <v>4.8099999999999996</v>
      </c>
      <c r="I3169" s="5">
        <f>ROUND(Marketing[[#This Row],[Clicks]]*Marketing[[#This Row],[Conversion_Rate]],0)</f>
        <v>87</v>
      </c>
      <c r="J3169" s="12">
        <f>Marketing[[#This Row],[Campaign_Cost]]/Marketing[[#This Row],[Customers]]</f>
        <v>156.50574712643677</v>
      </c>
      <c r="K3169" t="s">
        <v>32</v>
      </c>
      <c r="L3169" t="s">
        <v>33</v>
      </c>
      <c r="M3169">
        <v>795</v>
      </c>
      <c r="N3169">
        <v>1294</v>
      </c>
      <c r="O3169">
        <v>3</v>
      </c>
      <c r="P3169" t="s">
        <v>27</v>
      </c>
      <c r="Q3169" s="1">
        <v>44444</v>
      </c>
    </row>
    <row r="3170" spans="1:17" x14ac:dyDescent="0.3">
      <c r="A3170" t="s">
        <v>49</v>
      </c>
      <c r="B3170" t="s">
        <v>45</v>
      </c>
      <c r="C3170" t="s">
        <v>37</v>
      </c>
      <c r="D3170" t="s">
        <v>24</v>
      </c>
      <c r="E3170" t="s">
        <v>41</v>
      </c>
      <c r="F3170" s="9">
        <v>0.1</v>
      </c>
      <c r="G3170" s="10">
        <v>11192</v>
      </c>
      <c r="H3170">
        <v>6.72</v>
      </c>
      <c r="I3170" s="5">
        <f>ROUND(Marketing[[#This Row],[Clicks]]*Marketing[[#This Row],[Conversion_Rate]],0)</f>
        <v>49</v>
      </c>
      <c r="J3170" s="12">
        <f>Marketing[[#This Row],[Campaign_Cost]]/Marketing[[#This Row],[Customers]]</f>
        <v>228.40816326530611</v>
      </c>
      <c r="K3170" t="s">
        <v>32</v>
      </c>
      <c r="L3170" t="s">
        <v>33</v>
      </c>
      <c r="M3170">
        <v>494</v>
      </c>
      <c r="N3170">
        <v>9635</v>
      </c>
      <c r="O3170">
        <v>4</v>
      </c>
      <c r="P3170" t="s">
        <v>42</v>
      </c>
      <c r="Q3170" s="1">
        <v>44445</v>
      </c>
    </row>
    <row r="3171" spans="1:17" x14ac:dyDescent="0.3">
      <c r="A3171" t="s">
        <v>28</v>
      </c>
      <c r="B3171" t="s">
        <v>29</v>
      </c>
      <c r="C3171" t="s">
        <v>37</v>
      </c>
      <c r="D3171" t="s">
        <v>40</v>
      </c>
      <c r="E3171" t="s">
        <v>15</v>
      </c>
      <c r="F3171" s="9">
        <v>7.0000000000000007E-2</v>
      </c>
      <c r="G3171" s="10">
        <v>10201</v>
      </c>
      <c r="H3171">
        <v>7.51</v>
      </c>
      <c r="I3171" s="5">
        <f>ROUND(Marketing[[#This Row],[Clicks]]*Marketing[[#This Row],[Conversion_Rate]],0)</f>
        <v>30</v>
      </c>
      <c r="J3171" s="12">
        <f>Marketing[[#This Row],[Campaign_Cost]]/Marketing[[#This Row],[Customers]]</f>
        <v>340.03333333333336</v>
      </c>
      <c r="K3171" t="s">
        <v>19</v>
      </c>
      <c r="L3171" t="s">
        <v>50</v>
      </c>
      <c r="M3171">
        <v>430</v>
      </c>
      <c r="N3171">
        <v>2125</v>
      </c>
      <c r="O3171">
        <v>2</v>
      </c>
      <c r="P3171" t="s">
        <v>21</v>
      </c>
      <c r="Q3171" s="1">
        <v>44446</v>
      </c>
    </row>
    <row r="3172" spans="1:17" x14ac:dyDescent="0.3">
      <c r="A3172" t="s">
        <v>49</v>
      </c>
      <c r="B3172" t="s">
        <v>36</v>
      </c>
      <c r="C3172" t="s">
        <v>23</v>
      </c>
      <c r="D3172" t="s">
        <v>40</v>
      </c>
      <c r="E3172" t="s">
        <v>31</v>
      </c>
      <c r="F3172" s="9">
        <v>7.0000000000000007E-2</v>
      </c>
      <c r="G3172" s="10">
        <v>16892</v>
      </c>
      <c r="H3172">
        <v>4.2699999999999996</v>
      </c>
      <c r="I3172" s="5">
        <f>ROUND(Marketing[[#This Row],[Clicks]]*Marketing[[#This Row],[Conversion_Rate]],0)</f>
        <v>56</v>
      </c>
      <c r="J3172" s="12">
        <f>Marketing[[#This Row],[Campaign_Cost]]/Marketing[[#This Row],[Customers]]</f>
        <v>301.64285714285717</v>
      </c>
      <c r="K3172" t="s">
        <v>38</v>
      </c>
      <c r="L3172" t="s">
        <v>20</v>
      </c>
      <c r="M3172">
        <v>805</v>
      </c>
      <c r="N3172">
        <v>7071</v>
      </c>
      <c r="O3172">
        <v>6</v>
      </c>
      <c r="P3172" t="s">
        <v>34</v>
      </c>
      <c r="Q3172" s="1">
        <v>44447</v>
      </c>
    </row>
    <row r="3173" spans="1:17" x14ac:dyDescent="0.3">
      <c r="A3173" t="s">
        <v>22</v>
      </c>
      <c r="B3173" t="s">
        <v>47</v>
      </c>
      <c r="C3173" t="s">
        <v>30</v>
      </c>
      <c r="D3173" t="s">
        <v>40</v>
      </c>
      <c r="E3173" t="s">
        <v>43</v>
      </c>
      <c r="F3173" s="9">
        <v>0.11</v>
      </c>
      <c r="G3173" s="10">
        <v>12533</v>
      </c>
      <c r="H3173">
        <v>4.42</v>
      </c>
      <c r="I3173" s="5">
        <f>ROUND(Marketing[[#This Row],[Clicks]]*Marketing[[#This Row],[Conversion_Rate]],0)</f>
        <v>86</v>
      </c>
      <c r="J3173" s="12">
        <f>Marketing[[#This Row],[Campaign_Cost]]/Marketing[[#This Row],[Customers]]</f>
        <v>145.73255813953489</v>
      </c>
      <c r="K3173" t="s">
        <v>38</v>
      </c>
      <c r="L3173" t="s">
        <v>33</v>
      </c>
      <c r="M3173">
        <v>780</v>
      </c>
      <c r="N3173">
        <v>3439</v>
      </c>
      <c r="O3173">
        <v>4</v>
      </c>
      <c r="P3173" t="s">
        <v>44</v>
      </c>
      <c r="Q3173" s="1">
        <v>44448</v>
      </c>
    </row>
    <row r="3174" spans="1:17" x14ac:dyDescent="0.3">
      <c r="A3174" t="s">
        <v>35</v>
      </c>
      <c r="B3174" t="s">
        <v>36</v>
      </c>
      <c r="C3174" t="s">
        <v>37</v>
      </c>
      <c r="D3174" t="s">
        <v>17</v>
      </c>
      <c r="E3174" t="s">
        <v>41</v>
      </c>
      <c r="F3174" s="9">
        <v>0.03</v>
      </c>
      <c r="G3174" s="10">
        <v>11172</v>
      </c>
      <c r="H3174">
        <v>4.05</v>
      </c>
      <c r="I3174" s="5">
        <f>ROUND(Marketing[[#This Row],[Clicks]]*Marketing[[#This Row],[Conversion_Rate]],0)</f>
        <v>14</v>
      </c>
      <c r="J3174" s="12">
        <f>Marketing[[#This Row],[Campaign_Cost]]/Marketing[[#This Row],[Customers]]</f>
        <v>798</v>
      </c>
      <c r="K3174" t="s">
        <v>25</v>
      </c>
      <c r="L3174" t="s">
        <v>20</v>
      </c>
      <c r="M3174">
        <v>477</v>
      </c>
      <c r="N3174">
        <v>8325</v>
      </c>
      <c r="O3174">
        <v>10</v>
      </c>
      <c r="P3174" t="s">
        <v>42</v>
      </c>
      <c r="Q3174" s="1">
        <v>44449</v>
      </c>
    </row>
    <row r="3175" spans="1:17" x14ac:dyDescent="0.3">
      <c r="A3175" t="s">
        <v>28</v>
      </c>
      <c r="B3175" t="s">
        <v>29</v>
      </c>
      <c r="C3175" t="s">
        <v>52</v>
      </c>
      <c r="D3175" t="s">
        <v>46</v>
      </c>
      <c r="E3175" t="s">
        <v>15</v>
      </c>
      <c r="F3175" s="9">
        <v>0.02</v>
      </c>
      <c r="G3175" s="10">
        <v>9157</v>
      </c>
      <c r="H3175">
        <v>2.42</v>
      </c>
      <c r="I3175" s="5">
        <f>ROUND(Marketing[[#This Row],[Clicks]]*Marketing[[#This Row],[Conversion_Rate]],0)</f>
        <v>17</v>
      </c>
      <c r="J3175" s="12">
        <f>Marketing[[#This Row],[Campaign_Cost]]/Marketing[[#This Row],[Customers]]</f>
        <v>538.64705882352939</v>
      </c>
      <c r="K3175" t="s">
        <v>51</v>
      </c>
      <c r="L3175" t="s">
        <v>20</v>
      </c>
      <c r="M3175">
        <v>851</v>
      </c>
      <c r="N3175">
        <v>9474</v>
      </c>
      <c r="O3175">
        <v>9</v>
      </c>
      <c r="P3175" t="s">
        <v>34</v>
      </c>
      <c r="Q3175" s="1">
        <v>44450</v>
      </c>
    </row>
    <row r="3176" spans="1:17" x14ac:dyDescent="0.3">
      <c r="A3176" t="s">
        <v>35</v>
      </c>
      <c r="B3176" t="s">
        <v>45</v>
      </c>
      <c r="C3176" t="s">
        <v>23</v>
      </c>
      <c r="D3176" t="s">
        <v>24</v>
      </c>
      <c r="E3176" t="s">
        <v>48</v>
      </c>
      <c r="F3176" s="9">
        <v>0.11</v>
      </c>
      <c r="G3176" s="10">
        <v>19216</v>
      </c>
      <c r="H3176">
        <v>5.84</v>
      </c>
      <c r="I3176" s="5">
        <f>ROUND(Marketing[[#This Row],[Clicks]]*Marketing[[#This Row],[Conversion_Rate]],0)</f>
        <v>45</v>
      </c>
      <c r="J3176" s="12">
        <f>Marketing[[#This Row],[Campaign_Cost]]/Marketing[[#This Row],[Customers]]</f>
        <v>427.02222222222224</v>
      </c>
      <c r="K3176" t="s">
        <v>19</v>
      </c>
      <c r="L3176" t="s">
        <v>26</v>
      </c>
      <c r="M3176">
        <v>412</v>
      </c>
      <c r="N3176">
        <v>3151</v>
      </c>
      <c r="O3176">
        <v>7</v>
      </c>
      <c r="P3176" t="s">
        <v>27</v>
      </c>
      <c r="Q3176" s="1">
        <v>44451</v>
      </c>
    </row>
    <row r="3177" spans="1:17" x14ac:dyDescent="0.3">
      <c r="A3177" t="s">
        <v>22</v>
      </c>
      <c r="B3177" t="s">
        <v>47</v>
      </c>
      <c r="C3177" t="s">
        <v>16</v>
      </c>
      <c r="D3177" t="s">
        <v>40</v>
      </c>
      <c r="E3177" t="s">
        <v>15</v>
      </c>
      <c r="F3177" s="9">
        <v>0.13</v>
      </c>
      <c r="G3177" s="10">
        <v>8231</v>
      </c>
      <c r="H3177">
        <v>5.16</v>
      </c>
      <c r="I3177" s="5">
        <f>ROUND(Marketing[[#This Row],[Clicks]]*Marketing[[#This Row],[Conversion_Rate]],0)</f>
        <v>111</v>
      </c>
      <c r="J3177" s="12">
        <f>Marketing[[#This Row],[Campaign_Cost]]/Marketing[[#This Row],[Customers]]</f>
        <v>74.153153153153156</v>
      </c>
      <c r="K3177" t="s">
        <v>38</v>
      </c>
      <c r="L3177" t="s">
        <v>39</v>
      </c>
      <c r="M3177">
        <v>852</v>
      </c>
      <c r="N3177">
        <v>7367</v>
      </c>
      <c r="O3177">
        <v>6</v>
      </c>
      <c r="P3177" t="s">
        <v>21</v>
      </c>
      <c r="Q3177" s="1">
        <v>44452</v>
      </c>
    </row>
    <row r="3178" spans="1:17" x14ac:dyDescent="0.3">
      <c r="A3178" t="s">
        <v>22</v>
      </c>
      <c r="B3178" t="s">
        <v>47</v>
      </c>
      <c r="C3178" t="s">
        <v>37</v>
      </c>
      <c r="D3178" t="s">
        <v>24</v>
      </c>
      <c r="E3178" t="s">
        <v>31</v>
      </c>
      <c r="F3178" s="9">
        <v>0.15</v>
      </c>
      <c r="G3178" s="10">
        <v>12800</v>
      </c>
      <c r="H3178">
        <v>2.99</v>
      </c>
      <c r="I3178" s="5">
        <f>ROUND(Marketing[[#This Row],[Clicks]]*Marketing[[#This Row],[Conversion_Rate]],0)</f>
        <v>34</v>
      </c>
      <c r="J3178" s="12">
        <f>Marketing[[#This Row],[Campaign_Cost]]/Marketing[[#This Row],[Customers]]</f>
        <v>376.47058823529414</v>
      </c>
      <c r="K3178" t="s">
        <v>19</v>
      </c>
      <c r="L3178" t="s">
        <v>33</v>
      </c>
      <c r="M3178">
        <v>228</v>
      </c>
      <c r="N3178">
        <v>1496</v>
      </c>
      <c r="O3178">
        <v>5</v>
      </c>
      <c r="P3178" t="s">
        <v>44</v>
      </c>
      <c r="Q3178" s="1">
        <v>44453</v>
      </c>
    </row>
    <row r="3179" spans="1:17" x14ac:dyDescent="0.3">
      <c r="A3179" t="s">
        <v>35</v>
      </c>
      <c r="B3179" t="s">
        <v>45</v>
      </c>
      <c r="C3179" t="s">
        <v>52</v>
      </c>
      <c r="D3179" t="s">
        <v>40</v>
      </c>
      <c r="E3179" t="s">
        <v>41</v>
      </c>
      <c r="F3179" s="9">
        <v>0.01</v>
      </c>
      <c r="G3179" s="10">
        <v>12725</v>
      </c>
      <c r="H3179">
        <v>5.87</v>
      </c>
      <c r="I3179" s="5">
        <f>ROUND(Marketing[[#This Row],[Clicks]]*Marketing[[#This Row],[Conversion_Rate]],0)</f>
        <v>4</v>
      </c>
      <c r="J3179" s="12">
        <f>Marketing[[#This Row],[Campaign_Cost]]/Marketing[[#This Row],[Customers]]</f>
        <v>3181.25</v>
      </c>
      <c r="K3179" t="s">
        <v>32</v>
      </c>
      <c r="L3179" t="s">
        <v>39</v>
      </c>
      <c r="M3179">
        <v>428</v>
      </c>
      <c r="N3179">
        <v>9754</v>
      </c>
      <c r="O3179">
        <v>4</v>
      </c>
      <c r="P3179" t="s">
        <v>42</v>
      </c>
      <c r="Q3179" s="1">
        <v>44454</v>
      </c>
    </row>
    <row r="3180" spans="1:17" x14ac:dyDescent="0.3">
      <c r="A3180" t="s">
        <v>35</v>
      </c>
      <c r="B3180" t="s">
        <v>47</v>
      </c>
      <c r="C3180" t="s">
        <v>52</v>
      </c>
      <c r="D3180" t="s">
        <v>17</v>
      </c>
      <c r="E3180" t="s">
        <v>43</v>
      </c>
      <c r="F3180" s="9">
        <v>0.06</v>
      </c>
      <c r="G3180" s="10">
        <v>16946</v>
      </c>
      <c r="H3180">
        <v>4.38</v>
      </c>
      <c r="I3180" s="5">
        <f>ROUND(Marketing[[#This Row],[Clicks]]*Marketing[[#This Row],[Conversion_Rate]],0)</f>
        <v>42</v>
      </c>
      <c r="J3180" s="12">
        <f>Marketing[[#This Row],[Campaign_Cost]]/Marketing[[#This Row],[Customers]]</f>
        <v>403.47619047619048</v>
      </c>
      <c r="K3180" t="s">
        <v>25</v>
      </c>
      <c r="L3180" t="s">
        <v>33</v>
      </c>
      <c r="M3180">
        <v>700</v>
      </c>
      <c r="N3180">
        <v>3608</v>
      </c>
      <c r="O3180">
        <v>3</v>
      </c>
      <c r="P3180" t="s">
        <v>42</v>
      </c>
      <c r="Q3180" s="1">
        <v>44455</v>
      </c>
    </row>
    <row r="3181" spans="1:17" x14ac:dyDescent="0.3">
      <c r="A3181" t="s">
        <v>22</v>
      </c>
      <c r="B3181" t="s">
        <v>47</v>
      </c>
      <c r="C3181" t="s">
        <v>37</v>
      </c>
      <c r="D3181" t="s">
        <v>46</v>
      </c>
      <c r="E3181" t="s">
        <v>31</v>
      </c>
      <c r="F3181" s="9">
        <v>0.06</v>
      </c>
      <c r="G3181" s="10">
        <v>5152</v>
      </c>
      <c r="H3181">
        <v>2.54</v>
      </c>
      <c r="I3181" s="5">
        <f>ROUND(Marketing[[#This Row],[Clicks]]*Marketing[[#This Row],[Conversion_Rate]],0)</f>
        <v>22</v>
      </c>
      <c r="J3181" s="12">
        <f>Marketing[[#This Row],[Campaign_Cost]]/Marketing[[#This Row],[Customers]]</f>
        <v>234.18181818181819</v>
      </c>
      <c r="K3181" t="s">
        <v>38</v>
      </c>
      <c r="L3181" t="s">
        <v>50</v>
      </c>
      <c r="M3181">
        <v>374</v>
      </c>
      <c r="N3181">
        <v>1155</v>
      </c>
      <c r="O3181">
        <v>5</v>
      </c>
      <c r="P3181" t="s">
        <v>42</v>
      </c>
      <c r="Q3181" s="1">
        <v>44456</v>
      </c>
    </row>
    <row r="3182" spans="1:17" x14ac:dyDescent="0.3">
      <c r="A3182" t="s">
        <v>35</v>
      </c>
      <c r="B3182" t="s">
        <v>36</v>
      </c>
      <c r="C3182" t="s">
        <v>52</v>
      </c>
      <c r="D3182" t="s">
        <v>17</v>
      </c>
      <c r="E3182" t="s">
        <v>48</v>
      </c>
      <c r="F3182" s="9">
        <v>0.04</v>
      </c>
      <c r="G3182" s="10">
        <v>7089</v>
      </c>
      <c r="H3182">
        <v>6.56</v>
      </c>
      <c r="I3182" s="5">
        <f>ROUND(Marketing[[#This Row],[Clicks]]*Marketing[[#This Row],[Conversion_Rate]],0)</f>
        <v>35</v>
      </c>
      <c r="J3182" s="12">
        <f>Marketing[[#This Row],[Campaign_Cost]]/Marketing[[#This Row],[Customers]]</f>
        <v>202.54285714285714</v>
      </c>
      <c r="K3182" t="s">
        <v>32</v>
      </c>
      <c r="L3182" t="s">
        <v>26</v>
      </c>
      <c r="M3182">
        <v>869</v>
      </c>
      <c r="N3182">
        <v>9779</v>
      </c>
      <c r="O3182">
        <v>1</v>
      </c>
      <c r="P3182" t="s">
        <v>44</v>
      </c>
      <c r="Q3182" s="1">
        <v>44457</v>
      </c>
    </row>
    <row r="3183" spans="1:17" x14ac:dyDescent="0.3">
      <c r="A3183" t="s">
        <v>14</v>
      </c>
      <c r="B3183" t="s">
        <v>29</v>
      </c>
      <c r="C3183" t="s">
        <v>30</v>
      </c>
      <c r="D3183" t="s">
        <v>46</v>
      </c>
      <c r="E3183" t="s">
        <v>41</v>
      </c>
      <c r="F3183" s="9">
        <v>0.12</v>
      </c>
      <c r="G3183" s="10">
        <v>13321</v>
      </c>
      <c r="H3183">
        <v>6.34</v>
      </c>
      <c r="I3183" s="5">
        <f>ROUND(Marketing[[#This Row],[Clicks]]*Marketing[[#This Row],[Conversion_Rate]],0)</f>
        <v>100</v>
      </c>
      <c r="J3183" s="12">
        <f>Marketing[[#This Row],[Campaign_Cost]]/Marketing[[#This Row],[Customers]]</f>
        <v>133.21</v>
      </c>
      <c r="K3183" t="s">
        <v>19</v>
      </c>
      <c r="L3183" t="s">
        <v>33</v>
      </c>
      <c r="M3183">
        <v>831</v>
      </c>
      <c r="N3183">
        <v>2575</v>
      </c>
      <c r="O3183">
        <v>6</v>
      </c>
      <c r="P3183" t="s">
        <v>27</v>
      </c>
      <c r="Q3183" s="1">
        <v>44458</v>
      </c>
    </row>
    <row r="3184" spans="1:17" x14ac:dyDescent="0.3">
      <c r="A3184" t="s">
        <v>35</v>
      </c>
      <c r="B3184" t="s">
        <v>29</v>
      </c>
      <c r="C3184" t="s">
        <v>30</v>
      </c>
      <c r="D3184" t="s">
        <v>17</v>
      </c>
      <c r="E3184" t="s">
        <v>48</v>
      </c>
      <c r="F3184" s="9">
        <v>0.03</v>
      </c>
      <c r="G3184" s="10">
        <v>14100</v>
      </c>
      <c r="H3184">
        <v>3.35</v>
      </c>
      <c r="I3184" s="5">
        <f>ROUND(Marketing[[#This Row],[Clicks]]*Marketing[[#This Row],[Conversion_Rate]],0)</f>
        <v>25</v>
      </c>
      <c r="J3184" s="12">
        <f>Marketing[[#This Row],[Campaign_Cost]]/Marketing[[#This Row],[Customers]]</f>
        <v>564</v>
      </c>
      <c r="K3184" t="s">
        <v>32</v>
      </c>
      <c r="L3184" t="s">
        <v>50</v>
      </c>
      <c r="M3184">
        <v>819</v>
      </c>
      <c r="N3184">
        <v>4620</v>
      </c>
      <c r="O3184">
        <v>6</v>
      </c>
      <c r="P3184" t="s">
        <v>21</v>
      </c>
      <c r="Q3184" s="1">
        <v>44459</v>
      </c>
    </row>
    <row r="3185" spans="1:17" x14ac:dyDescent="0.3">
      <c r="A3185" t="s">
        <v>22</v>
      </c>
      <c r="B3185" t="s">
        <v>45</v>
      </c>
      <c r="C3185" t="s">
        <v>16</v>
      </c>
      <c r="D3185" t="s">
        <v>46</v>
      </c>
      <c r="E3185" t="s">
        <v>18</v>
      </c>
      <c r="F3185" s="9">
        <v>0.05</v>
      </c>
      <c r="G3185" s="10">
        <v>13283</v>
      </c>
      <c r="H3185">
        <v>6.34</v>
      </c>
      <c r="I3185" s="5">
        <f>ROUND(Marketing[[#This Row],[Clicks]]*Marketing[[#This Row],[Conversion_Rate]],0)</f>
        <v>46</v>
      </c>
      <c r="J3185" s="12">
        <f>Marketing[[#This Row],[Campaign_Cost]]/Marketing[[#This Row],[Customers]]</f>
        <v>288.76086956521738</v>
      </c>
      <c r="K3185" t="s">
        <v>51</v>
      </c>
      <c r="L3185" t="s">
        <v>33</v>
      </c>
      <c r="M3185">
        <v>915</v>
      </c>
      <c r="N3185">
        <v>4284</v>
      </c>
      <c r="O3185">
        <v>8</v>
      </c>
      <c r="P3185" t="s">
        <v>42</v>
      </c>
      <c r="Q3185" s="1">
        <v>44460</v>
      </c>
    </row>
    <row r="3186" spans="1:17" x14ac:dyDescent="0.3">
      <c r="A3186" t="s">
        <v>28</v>
      </c>
      <c r="B3186" t="s">
        <v>29</v>
      </c>
      <c r="C3186" t="s">
        <v>37</v>
      </c>
      <c r="D3186" t="s">
        <v>40</v>
      </c>
      <c r="E3186" t="s">
        <v>48</v>
      </c>
      <c r="F3186" s="9">
        <v>0.04</v>
      </c>
      <c r="G3186" s="10">
        <v>7672</v>
      </c>
      <c r="H3186">
        <v>7.73</v>
      </c>
      <c r="I3186" s="5">
        <f>ROUND(Marketing[[#This Row],[Clicks]]*Marketing[[#This Row],[Conversion_Rate]],0)</f>
        <v>23</v>
      </c>
      <c r="J3186" s="12">
        <f>Marketing[[#This Row],[Campaign_Cost]]/Marketing[[#This Row],[Customers]]</f>
        <v>333.56521739130437</v>
      </c>
      <c r="K3186" t="s">
        <v>32</v>
      </c>
      <c r="L3186" t="s">
        <v>33</v>
      </c>
      <c r="M3186">
        <v>584</v>
      </c>
      <c r="N3186">
        <v>8653</v>
      </c>
      <c r="O3186">
        <v>7</v>
      </c>
      <c r="P3186" t="s">
        <v>42</v>
      </c>
      <c r="Q3186" s="1">
        <v>44461</v>
      </c>
    </row>
    <row r="3187" spans="1:17" x14ac:dyDescent="0.3">
      <c r="A3187" t="s">
        <v>35</v>
      </c>
      <c r="B3187" t="s">
        <v>29</v>
      </c>
      <c r="C3187" t="s">
        <v>16</v>
      </c>
      <c r="D3187" t="s">
        <v>24</v>
      </c>
      <c r="E3187" t="s">
        <v>43</v>
      </c>
      <c r="F3187" s="9">
        <v>0.09</v>
      </c>
      <c r="G3187" s="10">
        <v>9809</v>
      </c>
      <c r="H3187">
        <v>5.16</v>
      </c>
      <c r="I3187" s="5">
        <f>ROUND(Marketing[[#This Row],[Clicks]]*Marketing[[#This Row],[Conversion_Rate]],0)</f>
        <v>19</v>
      </c>
      <c r="J3187" s="12">
        <f>Marketing[[#This Row],[Campaign_Cost]]/Marketing[[#This Row],[Customers]]</f>
        <v>516.26315789473688</v>
      </c>
      <c r="K3187" t="s">
        <v>25</v>
      </c>
      <c r="L3187" t="s">
        <v>33</v>
      </c>
      <c r="M3187">
        <v>212</v>
      </c>
      <c r="N3187">
        <v>9432</v>
      </c>
      <c r="O3187">
        <v>7</v>
      </c>
      <c r="P3187" t="s">
        <v>27</v>
      </c>
      <c r="Q3187" s="1">
        <v>44462</v>
      </c>
    </row>
    <row r="3188" spans="1:17" x14ac:dyDescent="0.3">
      <c r="A3188" t="s">
        <v>14</v>
      </c>
      <c r="B3188" t="s">
        <v>15</v>
      </c>
      <c r="C3188" t="s">
        <v>37</v>
      </c>
      <c r="D3188" t="s">
        <v>24</v>
      </c>
      <c r="E3188" t="s">
        <v>31</v>
      </c>
      <c r="F3188" s="9">
        <v>0.1</v>
      </c>
      <c r="G3188" s="10">
        <v>14783</v>
      </c>
      <c r="H3188">
        <v>4.68</v>
      </c>
      <c r="I3188" s="5">
        <f>ROUND(Marketing[[#This Row],[Clicks]]*Marketing[[#This Row],[Conversion_Rate]],0)</f>
        <v>19</v>
      </c>
      <c r="J3188" s="12">
        <f>Marketing[[#This Row],[Campaign_Cost]]/Marketing[[#This Row],[Customers]]</f>
        <v>778.0526315789474</v>
      </c>
      <c r="K3188" t="s">
        <v>38</v>
      </c>
      <c r="L3188" t="s">
        <v>50</v>
      </c>
      <c r="M3188">
        <v>186</v>
      </c>
      <c r="N3188">
        <v>8064</v>
      </c>
      <c r="O3188">
        <v>3</v>
      </c>
      <c r="P3188" t="s">
        <v>44</v>
      </c>
      <c r="Q3188" s="1">
        <v>44463</v>
      </c>
    </row>
    <row r="3189" spans="1:17" x14ac:dyDescent="0.3">
      <c r="A3189" t="s">
        <v>49</v>
      </c>
      <c r="B3189" t="s">
        <v>29</v>
      </c>
      <c r="C3189" t="s">
        <v>16</v>
      </c>
      <c r="D3189" t="s">
        <v>24</v>
      </c>
      <c r="E3189" t="s">
        <v>15</v>
      </c>
      <c r="F3189" s="9">
        <v>0.03</v>
      </c>
      <c r="G3189" s="10">
        <v>13036</v>
      </c>
      <c r="H3189">
        <v>6.87</v>
      </c>
      <c r="I3189" s="5">
        <f>ROUND(Marketing[[#This Row],[Clicks]]*Marketing[[#This Row],[Conversion_Rate]],0)</f>
        <v>10</v>
      </c>
      <c r="J3189" s="12">
        <f>Marketing[[#This Row],[Campaign_Cost]]/Marketing[[#This Row],[Customers]]</f>
        <v>1303.5999999999999</v>
      </c>
      <c r="K3189" t="s">
        <v>38</v>
      </c>
      <c r="L3189" t="s">
        <v>50</v>
      </c>
      <c r="M3189">
        <v>335</v>
      </c>
      <c r="N3189">
        <v>7693</v>
      </c>
      <c r="O3189">
        <v>3</v>
      </c>
      <c r="P3189" t="s">
        <v>44</v>
      </c>
      <c r="Q3189" s="1">
        <v>44464</v>
      </c>
    </row>
    <row r="3190" spans="1:17" x14ac:dyDescent="0.3">
      <c r="A3190" t="s">
        <v>49</v>
      </c>
      <c r="B3190" t="s">
        <v>15</v>
      </c>
      <c r="C3190" t="s">
        <v>23</v>
      </c>
      <c r="D3190" t="s">
        <v>17</v>
      </c>
      <c r="E3190" t="s">
        <v>31</v>
      </c>
      <c r="F3190" s="9">
        <v>0.01</v>
      </c>
      <c r="G3190" s="10">
        <v>6261</v>
      </c>
      <c r="H3190">
        <v>3.17</v>
      </c>
      <c r="I3190" s="5">
        <f>ROUND(Marketing[[#This Row],[Clicks]]*Marketing[[#This Row],[Conversion_Rate]],0)</f>
        <v>5</v>
      </c>
      <c r="J3190" s="12">
        <f>Marketing[[#This Row],[Campaign_Cost]]/Marketing[[#This Row],[Customers]]</f>
        <v>1252.2</v>
      </c>
      <c r="K3190" t="s">
        <v>32</v>
      </c>
      <c r="L3190" t="s">
        <v>39</v>
      </c>
      <c r="M3190">
        <v>521</v>
      </c>
      <c r="N3190">
        <v>8622</v>
      </c>
      <c r="O3190">
        <v>8</v>
      </c>
      <c r="P3190" t="s">
        <v>34</v>
      </c>
      <c r="Q3190" s="1">
        <v>44465</v>
      </c>
    </row>
    <row r="3191" spans="1:17" x14ac:dyDescent="0.3">
      <c r="A3191" t="s">
        <v>35</v>
      </c>
      <c r="B3191" t="s">
        <v>47</v>
      </c>
      <c r="C3191" t="s">
        <v>52</v>
      </c>
      <c r="D3191" t="s">
        <v>17</v>
      </c>
      <c r="E3191" t="s">
        <v>18</v>
      </c>
      <c r="F3191" s="9">
        <v>0.03</v>
      </c>
      <c r="G3191" s="10">
        <v>8538</v>
      </c>
      <c r="H3191">
        <v>6.74</v>
      </c>
      <c r="I3191" s="5">
        <f>ROUND(Marketing[[#This Row],[Clicks]]*Marketing[[#This Row],[Conversion_Rate]],0)</f>
        <v>20</v>
      </c>
      <c r="J3191" s="12">
        <f>Marketing[[#This Row],[Campaign_Cost]]/Marketing[[#This Row],[Customers]]</f>
        <v>426.9</v>
      </c>
      <c r="K3191" t="s">
        <v>25</v>
      </c>
      <c r="L3191" t="s">
        <v>26</v>
      </c>
      <c r="M3191">
        <v>669</v>
      </c>
      <c r="N3191">
        <v>4791</v>
      </c>
      <c r="O3191">
        <v>1</v>
      </c>
      <c r="P3191" t="s">
        <v>27</v>
      </c>
      <c r="Q3191" s="1">
        <v>44466</v>
      </c>
    </row>
    <row r="3192" spans="1:17" x14ac:dyDescent="0.3">
      <c r="A3192" t="s">
        <v>35</v>
      </c>
      <c r="B3192" t="s">
        <v>36</v>
      </c>
      <c r="C3192" t="s">
        <v>16</v>
      </c>
      <c r="D3192" t="s">
        <v>40</v>
      </c>
      <c r="E3192" t="s">
        <v>48</v>
      </c>
      <c r="F3192" s="9">
        <v>0.06</v>
      </c>
      <c r="G3192" s="10">
        <v>13273</v>
      </c>
      <c r="H3192">
        <v>4.13</v>
      </c>
      <c r="I3192" s="5">
        <f>ROUND(Marketing[[#This Row],[Clicks]]*Marketing[[#This Row],[Conversion_Rate]],0)</f>
        <v>8</v>
      </c>
      <c r="J3192" s="12">
        <f>Marketing[[#This Row],[Campaign_Cost]]/Marketing[[#This Row],[Customers]]</f>
        <v>1659.125</v>
      </c>
      <c r="K3192" t="s">
        <v>25</v>
      </c>
      <c r="L3192" t="s">
        <v>33</v>
      </c>
      <c r="M3192">
        <v>133</v>
      </c>
      <c r="N3192">
        <v>9085</v>
      </c>
      <c r="O3192">
        <v>1</v>
      </c>
      <c r="P3192" t="s">
        <v>42</v>
      </c>
      <c r="Q3192" s="1">
        <v>44467</v>
      </c>
    </row>
    <row r="3193" spans="1:17" x14ac:dyDescent="0.3">
      <c r="A3193" t="s">
        <v>49</v>
      </c>
      <c r="B3193" t="s">
        <v>47</v>
      </c>
      <c r="C3193" t="s">
        <v>23</v>
      </c>
      <c r="D3193" t="s">
        <v>46</v>
      </c>
      <c r="E3193" t="s">
        <v>15</v>
      </c>
      <c r="F3193" s="9">
        <v>0.14000000000000001</v>
      </c>
      <c r="G3193" s="10">
        <v>19161</v>
      </c>
      <c r="H3193">
        <v>2.82</v>
      </c>
      <c r="I3193" s="5">
        <f>ROUND(Marketing[[#This Row],[Clicks]]*Marketing[[#This Row],[Conversion_Rate]],0)</f>
        <v>96</v>
      </c>
      <c r="J3193" s="12">
        <f>Marketing[[#This Row],[Campaign_Cost]]/Marketing[[#This Row],[Customers]]</f>
        <v>199.59375</v>
      </c>
      <c r="K3193" t="s">
        <v>32</v>
      </c>
      <c r="L3193" t="s">
        <v>33</v>
      </c>
      <c r="M3193">
        <v>689</v>
      </c>
      <c r="N3193">
        <v>1628</v>
      </c>
      <c r="O3193">
        <v>2</v>
      </c>
      <c r="P3193" t="s">
        <v>34</v>
      </c>
      <c r="Q3193" s="1">
        <v>44468</v>
      </c>
    </row>
    <row r="3194" spans="1:17" x14ac:dyDescent="0.3">
      <c r="A3194" t="s">
        <v>49</v>
      </c>
      <c r="B3194" t="s">
        <v>15</v>
      </c>
      <c r="C3194" t="s">
        <v>16</v>
      </c>
      <c r="D3194" t="s">
        <v>24</v>
      </c>
      <c r="E3194" t="s">
        <v>15</v>
      </c>
      <c r="F3194" s="9">
        <v>0.05</v>
      </c>
      <c r="G3194" s="10">
        <v>16177</v>
      </c>
      <c r="H3194">
        <v>6.43</v>
      </c>
      <c r="I3194" s="5">
        <f>ROUND(Marketing[[#This Row],[Clicks]]*Marketing[[#This Row],[Conversion_Rate]],0)</f>
        <v>46</v>
      </c>
      <c r="J3194" s="12">
        <f>Marketing[[#This Row],[Campaign_Cost]]/Marketing[[#This Row],[Customers]]</f>
        <v>351.67391304347825</v>
      </c>
      <c r="K3194" t="s">
        <v>25</v>
      </c>
      <c r="L3194" t="s">
        <v>20</v>
      </c>
      <c r="M3194">
        <v>913</v>
      </c>
      <c r="N3194">
        <v>8769</v>
      </c>
      <c r="O3194">
        <v>3</v>
      </c>
      <c r="P3194" t="s">
        <v>44</v>
      </c>
      <c r="Q3194" s="1">
        <v>44469</v>
      </c>
    </row>
    <row r="3195" spans="1:17" x14ac:dyDescent="0.3">
      <c r="A3195" t="s">
        <v>14</v>
      </c>
      <c r="B3195" t="s">
        <v>36</v>
      </c>
      <c r="C3195" t="s">
        <v>23</v>
      </c>
      <c r="D3195" t="s">
        <v>24</v>
      </c>
      <c r="E3195" t="s">
        <v>43</v>
      </c>
      <c r="F3195" s="9">
        <v>0.05</v>
      </c>
      <c r="G3195" s="10">
        <v>12910</v>
      </c>
      <c r="H3195">
        <v>4.28</v>
      </c>
      <c r="I3195" s="5">
        <f>ROUND(Marketing[[#This Row],[Clicks]]*Marketing[[#This Row],[Conversion_Rate]],0)</f>
        <v>41</v>
      </c>
      <c r="J3195" s="12">
        <f>Marketing[[#This Row],[Campaign_Cost]]/Marketing[[#This Row],[Customers]]</f>
        <v>314.8780487804878</v>
      </c>
      <c r="K3195" t="s">
        <v>25</v>
      </c>
      <c r="L3195" t="s">
        <v>26</v>
      </c>
      <c r="M3195">
        <v>814</v>
      </c>
      <c r="N3195">
        <v>5370</v>
      </c>
      <c r="O3195">
        <v>9</v>
      </c>
      <c r="P3195" t="s">
        <v>42</v>
      </c>
      <c r="Q3195" s="1">
        <v>44470</v>
      </c>
    </row>
    <row r="3196" spans="1:17" x14ac:dyDescent="0.3">
      <c r="A3196" t="s">
        <v>14</v>
      </c>
      <c r="B3196" t="s">
        <v>29</v>
      </c>
      <c r="C3196" t="s">
        <v>37</v>
      </c>
      <c r="D3196" t="s">
        <v>46</v>
      </c>
      <c r="E3196" t="s">
        <v>31</v>
      </c>
      <c r="F3196" s="9">
        <v>0.15</v>
      </c>
      <c r="G3196" s="10">
        <v>18397</v>
      </c>
      <c r="H3196">
        <v>6.37</v>
      </c>
      <c r="I3196" s="5">
        <f>ROUND(Marketing[[#This Row],[Clicks]]*Marketing[[#This Row],[Conversion_Rate]],0)</f>
        <v>41</v>
      </c>
      <c r="J3196" s="12">
        <f>Marketing[[#This Row],[Campaign_Cost]]/Marketing[[#This Row],[Customers]]</f>
        <v>448.70731707317071</v>
      </c>
      <c r="K3196" t="s">
        <v>38</v>
      </c>
      <c r="L3196" t="s">
        <v>33</v>
      </c>
      <c r="M3196">
        <v>276</v>
      </c>
      <c r="N3196">
        <v>8474</v>
      </c>
      <c r="O3196">
        <v>3</v>
      </c>
      <c r="P3196" t="s">
        <v>44</v>
      </c>
      <c r="Q3196" s="1">
        <v>44471</v>
      </c>
    </row>
    <row r="3197" spans="1:17" x14ac:dyDescent="0.3">
      <c r="A3197" t="s">
        <v>28</v>
      </c>
      <c r="B3197" t="s">
        <v>29</v>
      </c>
      <c r="C3197" t="s">
        <v>37</v>
      </c>
      <c r="D3197" t="s">
        <v>17</v>
      </c>
      <c r="E3197" t="s">
        <v>31</v>
      </c>
      <c r="F3197" s="9">
        <v>0.09</v>
      </c>
      <c r="G3197" s="10">
        <v>12495</v>
      </c>
      <c r="H3197">
        <v>6.14</v>
      </c>
      <c r="I3197" s="5">
        <f>ROUND(Marketing[[#This Row],[Clicks]]*Marketing[[#This Row],[Conversion_Rate]],0)</f>
        <v>47</v>
      </c>
      <c r="J3197" s="12">
        <f>Marketing[[#This Row],[Campaign_Cost]]/Marketing[[#This Row],[Customers]]</f>
        <v>265.85106382978722</v>
      </c>
      <c r="K3197" t="s">
        <v>19</v>
      </c>
      <c r="L3197" t="s">
        <v>26</v>
      </c>
      <c r="M3197">
        <v>519</v>
      </c>
      <c r="N3197">
        <v>7448</v>
      </c>
      <c r="O3197">
        <v>3</v>
      </c>
      <c r="P3197" t="s">
        <v>21</v>
      </c>
      <c r="Q3197" s="1">
        <v>44472</v>
      </c>
    </row>
    <row r="3198" spans="1:17" x14ac:dyDescent="0.3">
      <c r="A3198" t="s">
        <v>35</v>
      </c>
      <c r="B3198" t="s">
        <v>15</v>
      </c>
      <c r="C3198" t="s">
        <v>16</v>
      </c>
      <c r="D3198" t="s">
        <v>17</v>
      </c>
      <c r="E3198" t="s">
        <v>18</v>
      </c>
      <c r="F3198" s="9">
        <v>0.15</v>
      </c>
      <c r="G3198" s="10">
        <v>6125</v>
      </c>
      <c r="H3198">
        <v>6.04</v>
      </c>
      <c r="I3198" s="5">
        <f>ROUND(Marketing[[#This Row],[Clicks]]*Marketing[[#This Row],[Conversion_Rate]],0)</f>
        <v>75</v>
      </c>
      <c r="J3198" s="12">
        <f>Marketing[[#This Row],[Campaign_Cost]]/Marketing[[#This Row],[Customers]]</f>
        <v>81.666666666666671</v>
      </c>
      <c r="K3198" t="s">
        <v>32</v>
      </c>
      <c r="L3198" t="s">
        <v>50</v>
      </c>
      <c r="M3198">
        <v>500</v>
      </c>
      <c r="N3198">
        <v>8858</v>
      </c>
      <c r="O3198">
        <v>1</v>
      </c>
      <c r="P3198" t="s">
        <v>27</v>
      </c>
      <c r="Q3198" s="1">
        <v>44473</v>
      </c>
    </row>
    <row r="3199" spans="1:17" x14ac:dyDescent="0.3">
      <c r="A3199" t="s">
        <v>14</v>
      </c>
      <c r="B3199" t="s">
        <v>29</v>
      </c>
      <c r="C3199" t="s">
        <v>37</v>
      </c>
      <c r="D3199" t="s">
        <v>46</v>
      </c>
      <c r="E3199" t="s">
        <v>48</v>
      </c>
      <c r="F3199" s="9">
        <v>0.06</v>
      </c>
      <c r="G3199" s="10">
        <v>15882</v>
      </c>
      <c r="H3199">
        <v>5.31</v>
      </c>
      <c r="I3199" s="5">
        <f>ROUND(Marketing[[#This Row],[Clicks]]*Marketing[[#This Row],[Conversion_Rate]],0)</f>
        <v>52</v>
      </c>
      <c r="J3199" s="12">
        <f>Marketing[[#This Row],[Campaign_Cost]]/Marketing[[#This Row],[Customers]]</f>
        <v>305.42307692307691</v>
      </c>
      <c r="K3199" t="s">
        <v>32</v>
      </c>
      <c r="L3199" t="s">
        <v>33</v>
      </c>
      <c r="M3199">
        <v>863</v>
      </c>
      <c r="N3199">
        <v>7244</v>
      </c>
      <c r="O3199">
        <v>2</v>
      </c>
      <c r="P3199" t="s">
        <v>34</v>
      </c>
      <c r="Q3199" s="1">
        <v>44474</v>
      </c>
    </row>
    <row r="3200" spans="1:17" x14ac:dyDescent="0.3">
      <c r="A3200" t="s">
        <v>28</v>
      </c>
      <c r="B3200" t="s">
        <v>36</v>
      </c>
      <c r="C3200" t="s">
        <v>16</v>
      </c>
      <c r="D3200" t="s">
        <v>24</v>
      </c>
      <c r="E3200" t="s">
        <v>41</v>
      </c>
      <c r="F3200" s="9">
        <v>0.02</v>
      </c>
      <c r="G3200" s="10">
        <v>7373</v>
      </c>
      <c r="H3200">
        <v>4.5199999999999996</v>
      </c>
      <c r="I3200" s="5">
        <f>ROUND(Marketing[[#This Row],[Clicks]]*Marketing[[#This Row],[Conversion_Rate]],0)</f>
        <v>4</v>
      </c>
      <c r="J3200" s="12">
        <f>Marketing[[#This Row],[Campaign_Cost]]/Marketing[[#This Row],[Customers]]</f>
        <v>1843.25</v>
      </c>
      <c r="K3200" t="s">
        <v>32</v>
      </c>
      <c r="L3200" t="s">
        <v>26</v>
      </c>
      <c r="M3200">
        <v>180</v>
      </c>
      <c r="N3200">
        <v>9378</v>
      </c>
      <c r="O3200">
        <v>2</v>
      </c>
      <c r="P3200" t="s">
        <v>21</v>
      </c>
      <c r="Q3200" s="1">
        <v>44475</v>
      </c>
    </row>
    <row r="3201" spans="1:17" x14ac:dyDescent="0.3">
      <c r="A3201" t="s">
        <v>49</v>
      </c>
      <c r="B3201" t="s">
        <v>29</v>
      </c>
      <c r="C3201" t="s">
        <v>23</v>
      </c>
      <c r="D3201" t="s">
        <v>40</v>
      </c>
      <c r="E3201" t="s">
        <v>31</v>
      </c>
      <c r="F3201" s="9">
        <v>0.11</v>
      </c>
      <c r="G3201" s="10">
        <v>15481</v>
      </c>
      <c r="H3201">
        <v>2.1800000000000002</v>
      </c>
      <c r="I3201" s="5">
        <f>ROUND(Marketing[[#This Row],[Clicks]]*Marketing[[#This Row],[Conversion_Rate]],0)</f>
        <v>46</v>
      </c>
      <c r="J3201" s="12">
        <f>Marketing[[#This Row],[Campaign_Cost]]/Marketing[[#This Row],[Customers]]</f>
        <v>336.54347826086956</v>
      </c>
      <c r="K3201" t="s">
        <v>19</v>
      </c>
      <c r="L3201" t="s">
        <v>26</v>
      </c>
      <c r="M3201">
        <v>420</v>
      </c>
      <c r="N3201">
        <v>1904</v>
      </c>
      <c r="O3201">
        <v>1</v>
      </c>
      <c r="P3201" t="s">
        <v>44</v>
      </c>
      <c r="Q3201" s="1">
        <v>44476</v>
      </c>
    </row>
    <row r="3202" spans="1:17" x14ac:dyDescent="0.3">
      <c r="A3202" t="s">
        <v>14</v>
      </c>
      <c r="B3202" t="s">
        <v>47</v>
      </c>
      <c r="C3202" t="s">
        <v>37</v>
      </c>
      <c r="D3202" t="s">
        <v>46</v>
      </c>
      <c r="E3202" t="s">
        <v>31</v>
      </c>
      <c r="F3202" s="9">
        <v>0.08</v>
      </c>
      <c r="G3202" s="10">
        <v>6872</v>
      </c>
      <c r="H3202">
        <v>4.9800000000000004</v>
      </c>
      <c r="I3202" s="5">
        <f>ROUND(Marketing[[#This Row],[Clicks]]*Marketing[[#This Row],[Conversion_Rate]],0)</f>
        <v>28</v>
      </c>
      <c r="J3202" s="12">
        <f>Marketing[[#This Row],[Campaign_Cost]]/Marketing[[#This Row],[Customers]]</f>
        <v>245.42857142857142</v>
      </c>
      <c r="K3202" t="s">
        <v>32</v>
      </c>
      <c r="L3202" t="s">
        <v>50</v>
      </c>
      <c r="M3202">
        <v>345</v>
      </c>
      <c r="N3202">
        <v>5790</v>
      </c>
      <c r="O3202">
        <v>9</v>
      </c>
      <c r="P3202" t="s">
        <v>44</v>
      </c>
      <c r="Q3202" s="1">
        <v>44477</v>
      </c>
    </row>
    <row r="3203" spans="1:17" x14ac:dyDescent="0.3">
      <c r="A3203" t="s">
        <v>28</v>
      </c>
      <c r="B3203" t="s">
        <v>47</v>
      </c>
      <c r="C3203" t="s">
        <v>52</v>
      </c>
      <c r="D3203" t="s">
        <v>40</v>
      </c>
      <c r="E3203" t="s">
        <v>41</v>
      </c>
      <c r="F3203" s="9">
        <v>0.03</v>
      </c>
      <c r="G3203" s="10">
        <v>16788</v>
      </c>
      <c r="H3203">
        <v>3.67</v>
      </c>
      <c r="I3203" s="5">
        <f>ROUND(Marketing[[#This Row],[Clicks]]*Marketing[[#This Row],[Conversion_Rate]],0)</f>
        <v>13</v>
      </c>
      <c r="J3203" s="12">
        <f>Marketing[[#This Row],[Campaign_Cost]]/Marketing[[#This Row],[Customers]]</f>
        <v>1291.3846153846155</v>
      </c>
      <c r="K3203" t="s">
        <v>32</v>
      </c>
      <c r="L3203" t="s">
        <v>39</v>
      </c>
      <c r="M3203">
        <v>436</v>
      </c>
      <c r="N3203">
        <v>2538</v>
      </c>
      <c r="O3203">
        <v>3</v>
      </c>
      <c r="P3203" t="s">
        <v>27</v>
      </c>
      <c r="Q3203" s="1">
        <v>44478</v>
      </c>
    </row>
    <row r="3204" spans="1:17" x14ac:dyDescent="0.3">
      <c r="A3204" t="s">
        <v>28</v>
      </c>
      <c r="B3204" t="s">
        <v>47</v>
      </c>
      <c r="C3204" t="s">
        <v>37</v>
      </c>
      <c r="D3204" t="s">
        <v>17</v>
      </c>
      <c r="E3204" t="s">
        <v>18</v>
      </c>
      <c r="F3204" s="9">
        <v>0.01</v>
      </c>
      <c r="G3204" s="10">
        <v>6706</v>
      </c>
      <c r="H3204">
        <v>5.41</v>
      </c>
      <c r="I3204" s="5">
        <f>ROUND(Marketing[[#This Row],[Clicks]]*Marketing[[#This Row],[Conversion_Rate]],0)</f>
        <v>10</v>
      </c>
      <c r="J3204" s="12">
        <f>Marketing[[#This Row],[Campaign_Cost]]/Marketing[[#This Row],[Customers]]</f>
        <v>670.6</v>
      </c>
      <c r="K3204" t="s">
        <v>25</v>
      </c>
      <c r="L3204" t="s">
        <v>20</v>
      </c>
      <c r="M3204">
        <v>950</v>
      </c>
      <c r="N3204">
        <v>5193</v>
      </c>
      <c r="O3204">
        <v>2</v>
      </c>
      <c r="P3204" t="s">
        <v>44</v>
      </c>
      <c r="Q3204" s="1">
        <v>44479</v>
      </c>
    </row>
    <row r="3205" spans="1:17" x14ac:dyDescent="0.3">
      <c r="A3205" t="s">
        <v>14</v>
      </c>
      <c r="B3205" t="s">
        <v>29</v>
      </c>
      <c r="C3205" t="s">
        <v>23</v>
      </c>
      <c r="D3205" t="s">
        <v>46</v>
      </c>
      <c r="E3205" t="s">
        <v>48</v>
      </c>
      <c r="F3205" s="9">
        <v>0.12</v>
      </c>
      <c r="G3205" s="10">
        <v>6900</v>
      </c>
      <c r="H3205">
        <v>4.5</v>
      </c>
      <c r="I3205" s="5">
        <f>ROUND(Marketing[[#This Row],[Clicks]]*Marketing[[#This Row],[Conversion_Rate]],0)</f>
        <v>88</v>
      </c>
      <c r="J3205" s="12">
        <f>Marketing[[#This Row],[Campaign_Cost]]/Marketing[[#This Row],[Customers]]</f>
        <v>78.409090909090907</v>
      </c>
      <c r="K3205" t="s">
        <v>19</v>
      </c>
      <c r="L3205" t="s">
        <v>39</v>
      </c>
      <c r="M3205">
        <v>735</v>
      </c>
      <c r="N3205">
        <v>1882</v>
      </c>
      <c r="O3205">
        <v>1</v>
      </c>
      <c r="P3205" t="s">
        <v>34</v>
      </c>
      <c r="Q3205" s="1">
        <v>44480</v>
      </c>
    </row>
    <row r="3206" spans="1:17" x14ac:dyDescent="0.3">
      <c r="A3206" t="s">
        <v>49</v>
      </c>
      <c r="B3206" t="s">
        <v>36</v>
      </c>
      <c r="C3206" t="s">
        <v>16</v>
      </c>
      <c r="D3206" t="s">
        <v>24</v>
      </c>
      <c r="E3206" t="s">
        <v>15</v>
      </c>
      <c r="F3206" s="9">
        <v>7.0000000000000007E-2</v>
      </c>
      <c r="G3206" s="10">
        <v>5614</v>
      </c>
      <c r="H3206">
        <v>7.76</v>
      </c>
      <c r="I3206" s="5">
        <f>ROUND(Marketing[[#This Row],[Clicks]]*Marketing[[#This Row],[Conversion_Rate]],0)</f>
        <v>15</v>
      </c>
      <c r="J3206" s="12">
        <f>Marketing[[#This Row],[Campaign_Cost]]/Marketing[[#This Row],[Customers]]</f>
        <v>374.26666666666665</v>
      </c>
      <c r="K3206" t="s">
        <v>32</v>
      </c>
      <c r="L3206" t="s">
        <v>33</v>
      </c>
      <c r="M3206">
        <v>216</v>
      </c>
      <c r="N3206">
        <v>4221</v>
      </c>
      <c r="O3206">
        <v>5</v>
      </c>
      <c r="P3206" t="s">
        <v>27</v>
      </c>
      <c r="Q3206" s="1">
        <v>44481</v>
      </c>
    </row>
    <row r="3207" spans="1:17" x14ac:dyDescent="0.3">
      <c r="A3207" t="s">
        <v>49</v>
      </c>
      <c r="B3207" t="s">
        <v>29</v>
      </c>
      <c r="C3207" t="s">
        <v>16</v>
      </c>
      <c r="D3207" t="s">
        <v>24</v>
      </c>
      <c r="E3207" t="s">
        <v>48</v>
      </c>
      <c r="F3207" s="9">
        <v>0.13</v>
      </c>
      <c r="G3207" s="10">
        <v>6306</v>
      </c>
      <c r="H3207">
        <v>5.0999999999999996</v>
      </c>
      <c r="I3207" s="5">
        <f>ROUND(Marketing[[#This Row],[Clicks]]*Marketing[[#This Row],[Conversion_Rate]],0)</f>
        <v>102</v>
      </c>
      <c r="J3207" s="12">
        <f>Marketing[[#This Row],[Campaign_Cost]]/Marketing[[#This Row],[Customers]]</f>
        <v>61.823529411764703</v>
      </c>
      <c r="K3207" t="s">
        <v>51</v>
      </c>
      <c r="L3207" t="s">
        <v>50</v>
      </c>
      <c r="M3207">
        <v>788</v>
      </c>
      <c r="N3207">
        <v>3742</v>
      </c>
      <c r="O3207">
        <v>5</v>
      </c>
      <c r="P3207" t="s">
        <v>27</v>
      </c>
      <c r="Q3207" s="1">
        <v>44482</v>
      </c>
    </row>
    <row r="3208" spans="1:17" x14ac:dyDescent="0.3">
      <c r="A3208" t="s">
        <v>49</v>
      </c>
      <c r="B3208" t="s">
        <v>29</v>
      </c>
      <c r="C3208" t="s">
        <v>23</v>
      </c>
      <c r="D3208" t="s">
        <v>40</v>
      </c>
      <c r="E3208" t="s">
        <v>18</v>
      </c>
      <c r="F3208" s="9">
        <v>0.03</v>
      </c>
      <c r="G3208" s="10">
        <v>7405</v>
      </c>
      <c r="H3208">
        <v>4.41</v>
      </c>
      <c r="I3208" s="5">
        <f>ROUND(Marketing[[#This Row],[Clicks]]*Marketing[[#This Row],[Conversion_Rate]],0)</f>
        <v>27</v>
      </c>
      <c r="J3208" s="12">
        <f>Marketing[[#This Row],[Campaign_Cost]]/Marketing[[#This Row],[Customers]]</f>
        <v>274.25925925925924</v>
      </c>
      <c r="K3208" t="s">
        <v>38</v>
      </c>
      <c r="L3208" t="s">
        <v>39</v>
      </c>
      <c r="M3208">
        <v>905</v>
      </c>
      <c r="N3208">
        <v>5738</v>
      </c>
      <c r="O3208">
        <v>5</v>
      </c>
      <c r="P3208" t="s">
        <v>34</v>
      </c>
      <c r="Q3208" s="1">
        <v>44483</v>
      </c>
    </row>
    <row r="3209" spans="1:17" x14ac:dyDescent="0.3">
      <c r="A3209" t="s">
        <v>49</v>
      </c>
      <c r="B3209" t="s">
        <v>36</v>
      </c>
      <c r="C3209" t="s">
        <v>37</v>
      </c>
      <c r="D3209" t="s">
        <v>24</v>
      </c>
      <c r="E3209" t="s">
        <v>18</v>
      </c>
      <c r="F3209" s="9">
        <v>0.11</v>
      </c>
      <c r="G3209" s="10">
        <v>15726</v>
      </c>
      <c r="H3209">
        <v>3.05</v>
      </c>
      <c r="I3209" s="5">
        <f>ROUND(Marketing[[#This Row],[Clicks]]*Marketing[[#This Row],[Conversion_Rate]],0)</f>
        <v>36</v>
      </c>
      <c r="J3209" s="12">
        <f>Marketing[[#This Row],[Campaign_Cost]]/Marketing[[#This Row],[Customers]]</f>
        <v>436.83333333333331</v>
      </c>
      <c r="K3209" t="s">
        <v>19</v>
      </c>
      <c r="L3209" t="s">
        <v>39</v>
      </c>
      <c r="M3209">
        <v>327</v>
      </c>
      <c r="N3209">
        <v>9697</v>
      </c>
      <c r="O3209">
        <v>9</v>
      </c>
      <c r="P3209" t="s">
        <v>21</v>
      </c>
      <c r="Q3209" s="1">
        <v>44484</v>
      </c>
    </row>
    <row r="3210" spans="1:17" x14ac:dyDescent="0.3">
      <c r="A3210" t="s">
        <v>28</v>
      </c>
      <c r="B3210" t="s">
        <v>29</v>
      </c>
      <c r="C3210" t="s">
        <v>30</v>
      </c>
      <c r="D3210" t="s">
        <v>17</v>
      </c>
      <c r="E3210" t="s">
        <v>41</v>
      </c>
      <c r="F3210" s="9">
        <v>0.13</v>
      </c>
      <c r="G3210" s="10">
        <v>10746</v>
      </c>
      <c r="H3210">
        <v>2.13</v>
      </c>
      <c r="I3210" s="5">
        <f>ROUND(Marketing[[#This Row],[Clicks]]*Marketing[[#This Row],[Conversion_Rate]],0)</f>
        <v>127</v>
      </c>
      <c r="J3210" s="12">
        <f>Marketing[[#This Row],[Campaign_Cost]]/Marketing[[#This Row],[Customers]]</f>
        <v>84.614173228346459</v>
      </c>
      <c r="K3210" t="s">
        <v>38</v>
      </c>
      <c r="L3210" t="s">
        <v>50</v>
      </c>
      <c r="M3210">
        <v>978</v>
      </c>
      <c r="N3210">
        <v>9419</v>
      </c>
      <c r="O3210">
        <v>1</v>
      </c>
      <c r="P3210" t="s">
        <v>42</v>
      </c>
      <c r="Q3210" s="1">
        <v>44485</v>
      </c>
    </row>
    <row r="3211" spans="1:17" x14ac:dyDescent="0.3">
      <c r="A3211" t="s">
        <v>14</v>
      </c>
      <c r="B3211" t="s">
        <v>29</v>
      </c>
      <c r="C3211" t="s">
        <v>30</v>
      </c>
      <c r="D3211" t="s">
        <v>46</v>
      </c>
      <c r="E3211" t="s">
        <v>18</v>
      </c>
      <c r="F3211" s="9">
        <v>0.09</v>
      </c>
      <c r="G3211" s="10">
        <v>17756</v>
      </c>
      <c r="H3211">
        <v>5.65</v>
      </c>
      <c r="I3211" s="5">
        <f>ROUND(Marketing[[#This Row],[Clicks]]*Marketing[[#This Row],[Conversion_Rate]],0)</f>
        <v>70</v>
      </c>
      <c r="J3211" s="12">
        <f>Marketing[[#This Row],[Campaign_Cost]]/Marketing[[#This Row],[Customers]]</f>
        <v>253.65714285714284</v>
      </c>
      <c r="K3211" t="s">
        <v>25</v>
      </c>
      <c r="L3211" t="s">
        <v>33</v>
      </c>
      <c r="M3211">
        <v>776</v>
      </c>
      <c r="N3211">
        <v>7239</v>
      </c>
      <c r="O3211">
        <v>9</v>
      </c>
      <c r="P3211" t="s">
        <v>34</v>
      </c>
      <c r="Q3211" s="1">
        <v>44486</v>
      </c>
    </row>
    <row r="3212" spans="1:17" x14ac:dyDescent="0.3">
      <c r="A3212" t="s">
        <v>28</v>
      </c>
      <c r="B3212" t="s">
        <v>47</v>
      </c>
      <c r="C3212" t="s">
        <v>52</v>
      </c>
      <c r="D3212" t="s">
        <v>24</v>
      </c>
      <c r="E3212" t="s">
        <v>31</v>
      </c>
      <c r="F3212" s="9">
        <v>0.02</v>
      </c>
      <c r="G3212" s="10">
        <v>16439</v>
      </c>
      <c r="H3212">
        <v>3.36</v>
      </c>
      <c r="I3212" s="5">
        <f>ROUND(Marketing[[#This Row],[Clicks]]*Marketing[[#This Row],[Conversion_Rate]],0)</f>
        <v>3</v>
      </c>
      <c r="J3212" s="12">
        <f>Marketing[[#This Row],[Campaign_Cost]]/Marketing[[#This Row],[Customers]]</f>
        <v>5479.666666666667</v>
      </c>
      <c r="K3212" t="s">
        <v>19</v>
      </c>
      <c r="L3212" t="s">
        <v>50</v>
      </c>
      <c r="M3212">
        <v>129</v>
      </c>
      <c r="N3212">
        <v>4496</v>
      </c>
      <c r="O3212">
        <v>3</v>
      </c>
      <c r="P3212" t="s">
        <v>44</v>
      </c>
      <c r="Q3212" s="1">
        <v>44487</v>
      </c>
    </row>
    <row r="3213" spans="1:17" x14ac:dyDescent="0.3">
      <c r="A3213" t="s">
        <v>35</v>
      </c>
      <c r="B3213" t="s">
        <v>45</v>
      </c>
      <c r="C3213" t="s">
        <v>23</v>
      </c>
      <c r="D3213" t="s">
        <v>24</v>
      </c>
      <c r="E3213" t="s">
        <v>41</v>
      </c>
      <c r="F3213" s="9">
        <v>0.12</v>
      </c>
      <c r="G3213" s="10">
        <v>17965</v>
      </c>
      <c r="H3213">
        <v>2.5499999999999998</v>
      </c>
      <c r="I3213" s="5">
        <f>ROUND(Marketing[[#This Row],[Clicks]]*Marketing[[#This Row],[Conversion_Rate]],0)</f>
        <v>31</v>
      </c>
      <c r="J3213" s="12">
        <f>Marketing[[#This Row],[Campaign_Cost]]/Marketing[[#This Row],[Customers]]</f>
        <v>579.51612903225805</v>
      </c>
      <c r="K3213" t="s">
        <v>25</v>
      </c>
      <c r="L3213" t="s">
        <v>39</v>
      </c>
      <c r="M3213">
        <v>256</v>
      </c>
      <c r="N3213">
        <v>8403</v>
      </c>
      <c r="O3213">
        <v>4</v>
      </c>
      <c r="P3213" t="s">
        <v>21</v>
      </c>
      <c r="Q3213" s="1">
        <v>44488</v>
      </c>
    </row>
    <row r="3214" spans="1:17" x14ac:dyDescent="0.3">
      <c r="A3214" t="s">
        <v>28</v>
      </c>
      <c r="B3214" t="s">
        <v>29</v>
      </c>
      <c r="C3214" t="s">
        <v>16</v>
      </c>
      <c r="D3214" t="s">
        <v>40</v>
      </c>
      <c r="E3214" t="s">
        <v>31</v>
      </c>
      <c r="F3214" s="9">
        <v>0.09</v>
      </c>
      <c r="G3214" s="10">
        <v>12483</v>
      </c>
      <c r="H3214">
        <v>5.94</v>
      </c>
      <c r="I3214" s="5">
        <f>ROUND(Marketing[[#This Row],[Clicks]]*Marketing[[#This Row],[Conversion_Rate]],0)</f>
        <v>24</v>
      </c>
      <c r="J3214" s="12">
        <f>Marketing[[#This Row],[Campaign_Cost]]/Marketing[[#This Row],[Customers]]</f>
        <v>520.125</v>
      </c>
      <c r="K3214" t="s">
        <v>38</v>
      </c>
      <c r="L3214" t="s">
        <v>33</v>
      </c>
      <c r="M3214">
        <v>264</v>
      </c>
      <c r="N3214">
        <v>5551</v>
      </c>
      <c r="O3214">
        <v>8</v>
      </c>
      <c r="P3214" t="s">
        <v>42</v>
      </c>
      <c r="Q3214" s="1">
        <v>44489</v>
      </c>
    </row>
    <row r="3215" spans="1:17" x14ac:dyDescent="0.3">
      <c r="A3215" t="s">
        <v>35</v>
      </c>
      <c r="B3215" t="s">
        <v>15</v>
      </c>
      <c r="C3215" t="s">
        <v>16</v>
      </c>
      <c r="D3215" t="s">
        <v>46</v>
      </c>
      <c r="E3215" t="s">
        <v>31</v>
      </c>
      <c r="F3215" s="9">
        <v>0.04</v>
      </c>
      <c r="G3215" s="10">
        <v>19009</v>
      </c>
      <c r="H3215">
        <v>3.02</v>
      </c>
      <c r="I3215" s="5">
        <f>ROUND(Marketing[[#This Row],[Clicks]]*Marketing[[#This Row],[Conversion_Rate]],0)</f>
        <v>23</v>
      </c>
      <c r="J3215" s="12">
        <f>Marketing[[#This Row],[Campaign_Cost]]/Marketing[[#This Row],[Customers]]</f>
        <v>826.47826086956525</v>
      </c>
      <c r="K3215" t="s">
        <v>51</v>
      </c>
      <c r="L3215" t="s">
        <v>39</v>
      </c>
      <c r="M3215">
        <v>575</v>
      </c>
      <c r="N3215">
        <v>6419</v>
      </c>
      <c r="O3215">
        <v>8</v>
      </c>
      <c r="P3215" t="s">
        <v>34</v>
      </c>
      <c r="Q3215" s="1">
        <v>44490</v>
      </c>
    </row>
    <row r="3216" spans="1:17" x14ac:dyDescent="0.3">
      <c r="A3216" t="s">
        <v>22</v>
      </c>
      <c r="B3216" t="s">
        <v>15</v>
      </c>
      <c r="C3216" t="s">
        <v>30</v>
      </c>
      <c r="D3216" t="s">
        <v>24</v>
      </c>
      <c r="E3216" t="s">
        <v>41</v>
      </c>
      <c r="F3216" s="9">
        <v>0.13</v>
      </c>
      <c r="G3216" s="10">
        <v>19725</v>
      </c>
      <c r="H3216">
        <v>3.43</v>
      </c>
      <c r="I3216" s="5">
        <f>ROUND(Marketing[[#This Row],[Clicks]]*Marketing[[#This Row],[Conversion_Rate]],0)</f>
        <v>26</v>
      </c>
      <c r="J3216" s="12">
        <f>Marketing[[#This Row],[Campaign_Cost]]/Marketing[[#This Row],[Customers]]</f>
        <v>758.65384615384619</v>
      </c>
      <c r="K3216" t="s">
        <v>25</v>
      </c>
      <c r="L3216" t="s">
        <v>33</v>
      </c>
      <c r="M3216">
        <v>199</v>
      </c>
      <c r="N3216">
        <v>2683</v>
      </c>
      <c r="O3216">
        <v>4</v>
      </c>
      <c r="P3216" t="s">
        <v>42</v>
      </c>
      <c r="Q3216" s="1">
        <v>44491</v>
      </c>
    </row>
    <row r="3217" spans="1:17" x14ac:dyDescent="0.3">
      <c r="A3217" t="s">
        <v>14</v>
      </c>
      <c r="B3217" t="s">
        <v>29</v>
      </c>
      <c r="C3217" t="s">
        <v>23</v>
      </c>
      <c r="D3217" t="s">
        <v>17</v>
      </c>
      <c r="E3217" t="s">
        <v>31</v>
      </c>
      <c r="F3217" s="9">
        <v>7.0000000000000007E-2</v>
      </c>
      <c r="G3217" s="10">
        <v>13752</v>
      </c>
      <c r="H3217">
        <v>7.26</v>
      </c>
      <c r="I3217" s="5">
        <f>ROUND(Marketing[[#This Row],[Clicks]]*Marketing[[#This Row],[Conversion_Rate]],0)</f>
        <v>27</v>
      </c>
      <c r="J3217" s="12">
        <f>Marketing[[#This Row],[Campaign_Cost]]/Marketing[[#This Row],[Customers]]</f>
        <v>509.33333333333331</v>
      </c>
      <c r="K3217" t="s">
        <v>51</v>
      </c>
      <c r="L3217" t="s">
        <v>20</v>
      </c>
      <c r="M3217">
        <v>384</v>
      </c>
      <c r="N3217">
        <v>9195</v>
      </c>
      <c r="O3217">
        <v>6</v>
      </c>
      <c r="P3217" t="s">
        <v>44</v>
      </c>
      <c r="Q3217" s="1">
        <v>44492</v>
      </c>
    </row>
    <row r="3218" spans="1:17" x14ac:dyDescent="0.3">
      <c r="A3218" t="s">
        <v>35</v>
      </c>
      <c r="B3218" t="s">
        <v>36</v>
      </c>
      <c r="C3218" t="s">
        <v>23</v>
      </c>
      <c r="D3218" t="s">
        <v>24</v>
      </c>
      <c r="E3218" t="s">
        <v>48</v>
      </c>
      <c r="F3218" s="9">
        <v>0.04</v>
      </c>
      <c r="G3218" s="10">
        <v>14904</v>
      </c>
      <c r="H3218">
        <v>5.85</v>
      </c>
      <c r="I3218" s="5">
        <f>ROUND(Marketing[[#This Row],[Clicks]]*Marketing[[#This Row],[Conversion_Rate]],0)</f>
        <v>14</v>
      </c>
      <c r="J3218" s="12">
        <f>Marketing[[#This Row],[Campaign_Cost]]/Marketing[[#This Row],[Customers]]</f>
        <v>1064.5714285714287</v>
      </c>
      <c r="K3218" t="s">
        <v>19</v>
      </c>
      <c r="L3218" t="s">
        <v>33</v>
      </c>
      <c r="M3218">
        <v>342</v>
      </c>
      <c r="N3218">
        <v>8070</v>
      </c>
      <c r="O3218">
        <v>8</v>
      </c>
      <c r="P3218" t="s">
        <v>34</v>
      </c>
      <c r="Q3218" s="1">
        <v>44493</v>
      </c>
    </row>
    <row r="3219" spans="1:17" x14ac:dyDescent="0.3">
      <c r="A3219" t="s">
        <v>14</v>
      </c>
      <c r="B3219" t="s">
        <v>15</v>
      </c>
      <c r="C3219" t="s">
        <v>52</v>
      </c>
      <c r="D3219" t="s">
        <v>40</v>
      </c>
      <c r="E3219" t="s">
        <v>41</v>
      </c>
      <c r="F3219" s="9">
        <v>0.12</v>
      </c>
      <c r="G3219" s="10">
        <v>10347</v>
      </c>
      <c r="H3219">
        <v>7.89</v>
      </c>
      <c r="I3219" s="5">
        <f>ROUND(Marketing[[#This Row],[Clicks]]*Marketing[[#This Row],[Conversion_Rate]],0)</f>
        <v>118</v>
      </c>
      <c r="J3219" s="12">
        <f>Marketing[[#This Row],[Campaign_Cost]]/Marketing[[#This Row],[Customers]]</f>
        <v>87.686440677966104</v>
      </c>
      <c r="K3219" t="s">
        <v>32</v>
      </c>
      <c r="L3219" t="s">
        <v>20</v>
      </c>
      <c r="M3219">
        <v>983</v>
      </c>
      <c r="N3219">
        <v>3211</v>
      </c>
      <c r="O3219">
        <v>5</v>
      </c>
      <c r="P3219" t="s">
        <v>42</v>
      </c>
      <c r="Q3219" s="1">
        <v>44494</v>
      </c>
    </row>
    <row r="3220" spans="1:17" x14ac:dyDescent="0.3">
      <c r="A3220" t="s">
        <v>22</v>
      </c>
      <c r="B3220" t="s">
        <v>29</v>
      </c>
      <c r="C3220" t="s">
        <v>52</v>
      </c>
      <c r="D3220" t="s">
        <v>17</v>
      </c>
      <c r="E3220" t="s">
        <v>15</v>
      </c>
      <c r="F3220" s="9">
        <v>0.11</v>
      </c>
      <c r="G3220" s="10">
        <v>6260</v>
      </c>
      <c r="H3220">
        <v>5.3</v>
      </c>
      <c r="I3220" s="5">
        <f>ROUND(Marketing[[#This Row],[Clicks]]*Marketing[[#This Row],[Conversion_Rate]],0)</f>
        <v>103</v>
      </c>
      <c r="J3220" s="12">
        <f>Marketing[[#This Row],[Campaign_Cost]]/Marketing[[#This Row],[Customers]]</f>
        <v>60.776699029126213</v>
      </c>
      <c r="K3220" t="s">
        <v>51</v>
      </c>
      <c r="L3220" t="s">
        <v>50</v>
      </c>
      <c r="M3220">
        <v>933</v>
      </c>
      <c r="N3220">
        <v>4275</v>
      </c>
      <c r="O3220">
        <v>2</v>
      </c>
      <c r="P3220" t="s">
        <v>42</v>
      </c>
      <c r="Q3220" s="1">
        <v>44495</v>
      </c>
    </row>
    <row r="3221" spans="1:17" x14ac:dyDescent="0.3">
      <c r="A3221" t="s">
        <v>28</v>
      </c>
      <c r="B3221" t="s">
        <v>45</v>
      </c>
      <c r="C3221" t="s">
        <v>30</v>
      </c>
      <c r="D3221" t="s">
        <v>17</v>
      </c>
      <c r="E3221" t="s">
        <v>18</v>
      </c>
      <c r="F3221" s="9">
        <v>0.14000000000000001</v>
      </c>
      <c r="G3221" s="10">
        <v>16652</v>
      </c>
      <c r="H3221">
        <v>6.37</v>
      </c>
      <c r="I3221" s="5">
        <f>ROUND(Marketing[[#This Row],[Clicks]]*Marketing[[#This Row],[Conversion_Rate]],0)</f>
        <v>62</v>
      </c>
      <c r="J3221" s="12">
        <f>Marketing[[#This Row],[Campaign_Cost]]/Marketing[[#This Row],[Customers]]</f>
        <v>268.58064516129031</v>
      </c>
      <c r="K3221" t="s">
        <v>32</v>
      </c>
      <c r="L3221" t="s">
        <v>50</v>
      </c>
      <c r="M3221">
        <v>446</v>
      </c>
      <c r="N3221">
        <v>8952</v>
      </c>
      <c r="O3221">
        <v>3</v>
      </c>
      <c r="P3221" t="s">
        <v>34</v>
      </c>
      <c r="Q3221" s="1">
        <v>44496</v>
      </c>
    </row>
    <row r="3222" spans="1:17" x14ac:dyDescent="0.3">
      <c r="A3222" t="s">
        <v>49</v>
      </c>
      <c r="B3222" t="s">
        <v>29</v>
      </c>
      <c r="C3222" t="s">
        <v>52</v>
      </c>
      <c r="D3222" t="s">
        <v>17</v>
      </c>
      <c r="E3222" t="s">
        <v>41</v>
      </c>
      <c r="F3222" s="9">
        <v>0.03</v>
      </c>
      <c r="G3222" s="10">
        <v>6922</v>
      </c>
      <c r="H3222">
        <v>3.55</v>
      </c>
      <c r="I3222" s="5">
        <f>ROUND(Marketing[[#This Row],[Clicks]]*Marketing[[#This Row],[Conversion_Rate]],0)</f>
        <v>8</v>
      </c>
      <c r="J3222" s="12">
        <f>Marketing[[#This Row],[Campaign_Cost]]/Marketing[[#This Row],[Customers]]</f>
        <v>865.25</v>
      </c>
      <c r="K3222" t="s">
        <v>25</v>
      </c>
      <c r="L3222" t="s">
        <v>50</v>
      </c>
      <c r="M3222">
        <v>261</v>
      </c>
      <c r="N3222">
        <v>6720</v>
      </c>
      <c r="O3222">
        <v>8</v>
      </c>
      <c r="P3222" t="s">
        <v>42</v>
      </c>
      <c r="Q3222" s="1">
        <v>44497</v>
      </c>
    </row>
    <row r="3223" spans="1:17" x14ac:dyDescent="0.3">
      <c r="A3223" t="s">
        <v>14</v>
      </c>
      <c r="B3223" t="s">
        <v>45</v>
      </c>
      <c r="C3223" t="s">
        <v>16</v>
      </c>
      <c r="D3223" t="s">
        <v>17</v>
      </c>
      <c r="E3223" t="s">
        <v>15</v>
      </c>
      <c r="F3223" s="9">
        <v>0.14000000000000001</v>
      </c>
      <c r="G3223" s="10">
        <v>6923</v>
      </c>
      <c r="H3223">
        <v>5.89</v>
      </c>
      <c r="I3223" s="5">
        <f>ROUND(Marketing[[#This Row],[Clicks]]*Marketing[[#This Row],[Conversion_Rate]],0)</f>
        <v>50</v>
      </c>
      <c r="J3223" s="12">
        <f>Marketing[[#This Row],[Campaign_Cost]]/Marketing[[#This Row],[Customers]]</f>
        <v>138.46</v>
      </c>
      <c r="K3223" t="s">
        <v>19</v>
      </c>
      <c r="L3223" t="s">
        <v>26</v>
      </c>
      <c r="M3223">
        <v>360</v>
      </c>
      <c r="N3223">
        <v>7688</v>
      </c>
      <c r="O3223">
        <v>2</v>
      </c>
      <c r="P3223" t="s">
        <v>34</v>
      </c>
      <c r="Q3223" s="1">
        <v>44498</v>
      </c>
    </row>
    <row r="3224" spans="1:17" x14ac:dyDescent="0.3">
      <c r="A3224" t="s">
        <v>14</v>
      </c>
      <c r="B3224" t="s">
        <v>45</v>
      </c>
      <c r="C3224" t="s">
        <v>30</v>
      </c>
      <c r="D3224" t="s">
        <v>46</v>
      </c>
      <c r="E3224" t="s">
        <v>15</v>
      </c>
      <c r="F3224" s="9">
        <v>0.13</v>
      </c>
      <c r="G3224" s="10">
        <v>7328</v>
      </c>
      <c r="H3224">
        <v>3.75</v>
      </c>
      <c r="I3224" s="5">
        <f>ROUND(Marketing[[#This Row],[Clicks]]*Marketing[[#This Row],[Conversion_Rate]],0)</f>
        <v>106</v>
      </c>
      <c r="J3224" s="12">
        <f>Marketing[[#This Row],[Campaign_Cost]]/Marketing[[#This Row],[Customers]]</f>
        <v>69.132075471698116</v>
      </c>
      <c r="K3224" t="s">
        <v>25</v>
      </c>
      <c r="L3224" t="s">
        <v>26</v>
      </c>
      <c r="M3224">
        <v>817</v>
      </c>
      <c r="N3224">
        <v>6306</v>
      </c>
      <c r="O3224">
        <v>7</v>
      </c>
      <c r="P3224" t="s">
        <v>21</v>
      </c>
      <c r="Q3224" s="1">
        <v>44499</v>
      </c>
    </row>
    <row r="3225" spans="1:17" x14ac:dyDescent="0.3">
      <c r="A3225" t="s">
        <v>49</v>
      </c>
      <c r="B3225" t="s">
        <v>36</v>
      </c>
      <c r="C3225" t="s">
        <v>16</v>
      </c>
      <c r="D3225" t="s">
        <v>40</v>
      </c>
      <c r="E3225" t="s">
        <v>41</v>
      </c>
      <c r="F3225" s="9">
        <v>0.03</v>
      </c>
      <c r="G3225" s="10">
        <v>10314</v>
      </c>
      <c r="H3225">
        <v>3.8</v>
      </c>
      <c r="I3225" s="5">
        <f>ROUND(Marketing[[#This Row],[Clicks]]*Marketing[[#This Row],[Conversion_Rate]],0)</f>
        <v>3</v>
      </c>
      <c r="J3225" s="12">
        <f>Marketing[[#This Row],[Campaign_Cost]]/Marketing[[#This Row],[Customers]]</f>
        <v>3438</v>
      </c>
      <c r="K3225" t="s">
        <v>51</v>
      </c>
      <c r="L3225" t="s">
        <v>20</v>
      </c>
      <c r="M3225">
        <v>105</v>
      </c>
      <c r="N3225">
        <v>2825</v>
      </c>
      <c r="O3225">
        <v>10</v>
      </c>
      <c r="P3225" t="s">
        <v>42</v>
      </c>
      <c r="Q3225" s="1">
        <v>44500</v>
      </c>
    </row>
    <row r="3226" spans="1:17" x14ac:dyDescent="0.3">
      <c r="A3226" t="s">
        <v>35</v>
      </c>
      <c r="B3226" t="s">
        <v>29</v>
      </c>
      <c r="C3226" t="s">
        <v>23</v>
      </c>
      <c r="D3226" t="s">
        <v>46</v>
      </c>
      <c r="E3226" t="s">
        <v>31</v>
      </c>
      <c r="F3226" s="9">
        <v>0.12</v>
      </c>
      <c r="G3226" s="10">
        <v>9784</v>
      </c>
      <c r="H3226">
        <v>3.23</v>
      </c>
      <c r="I3226" s="5">
        <f>ROUND(Marketing[[#This Row],[Clicks]]*Marketing[[#This Row],[Conversion_Rate]],0)</f>
        <v>39</v>
      </c>
      <c r="J3226" s="12">
        <f>Marketing[[#This Row],[Campaign_Cost]]/Marketing[[#This Row],[Customers]]</f>
        <v>250.87179487179486</v>
      </c>
      <c r="K3226" t="s">
        <v>51</v>
      </c>
      <c r="L3226" t="s">
        <v>33</v>
      </c>
      <c r="M3226">
        <v>323</v>
      </c>
      <c r="N3226">
        <v>5592</v>
      </c>
      <c r="O3226">
        <v>10</v>
      </c>
      <c r="P3226" t="s">
        <v>27</v>
      </c>
      <c r="Q3226" s="1">
        <v>44501</v>
      </c>
    </row>
    <row r="3227" spans="1:17" x14ac:dyDescent="0.3">
      <c r="A3227" t="s">
        <v>49</v>
      </c>
      <c r="B3227" t="s">
        <v>15</v>
      </c>
      <c r="C3227" t="s">
        <v>52</v>
      </c>
      <c r="D3227" t="s">
        <v>17</v>
      </c>
      <c r="E3227" t="s">
        <v>31</v>
      </c>
      <c r="F3227" s="9">
        <v>0.08</v>
      </c>
      <c r="G3227" s="10">
        <v>11395</v>
      </c>
      <c r="H3227">
        <v>3.34</v>
      </c>
      <c r="I3227" s="5">
        <f>ROUND(Marketing[[#This Row],[Clicks]]*Marketing[[#This Row],[Conversion_Rate]],0)</f>
        <v>49</v>
      </c>
      <c r="J3227" s="12">
        <f>Marketing[[#This Row],[Campaign_Cost]]/Marketing[[#This Row],[Customers]]</f>
        <v>232.55102040816325</v>
      </c>
      <c r="K3227" t="s">
        <v>32</v>
      </c>
      <c r="L3227" t="s">
        <v>26</v>
      </c>
      <c r="M3227">
        <v>611</v>
      </c>
      <c r="N3227">
        <v>1919</v>
      </c>
      <c r="O3227">
        <v>3</v>
      </c>
      <c r="P3227" t="s">
        <v>27</v>
      </c>
      <c r="Q3227" s="1">
        <v>44502</v>
      </c>
    </row>
    <row r="3228" spans="1:17" x14ac:dyDescent="0.3">
      <c r="A3228" t="s">
        <v>22</v>
      </c>
      <c r="B3228" t="s">
        <v>29</v>
      </c>
      <c r="C3228" t="s">
        <v>23</v>
      </c>
      <c r="D3228" t="s">
        <v>17</v>
      </c>
      <c r="E3228" t="s">
        <v>15</v>
      </c>
      <c r="F3228" s="9">
        <v>0.04</v>
      </c>
      <c r="G3228" s="10">
        <v>16293</v>
      </c>
      <c r="H3228">
        <v>7.95</v>
      </c>
      <c r="I3228" s="5">
        <f>ROUND(Marketing[[#This Row],[Clicks]]*Marketing[[#This Row],[Conversion_Rate]],0)</f>
        <v>38</v>
      </c>
      <c r="J3228" s="12">
        <f>Marketing[[#This Row],[Campaign_Cost]]/Marketing[[#This Row],[Customers]]</f>
        <v>428.76315789473682</v>
      </c>
      <c r="K3228" t="s">
        <v>25</v>
      </c>
      <c r="L3228" t="s">
        <v>33</v>
      </c>
      <c r="M3228">
        <v>952</v>
      </c>
      <c r="N3228">
        <v>8210</v>
      </c>
      <c r="O3228">
        <v>10</v>
      </c>
      <c r="P3228" t="s">
        <v>34</v>
      </c>
      <c r="Q3228" s="1">
        <v>44503</v>
      </c>
    </row>
    <row r="3229" spans="1:17" x14ac:dyDescent="0.3">
      <c r="A3229" t="s">
        <v>14</v>
      </c>
      <c r="B3229" t="s">
        <v>29</v>
      </c>
      <c r="C3229" t="s">
        <v>37</v>
      </c>
      <c r="D3229" t="s">
        <v>24</v>
      </c>
      <c r="E3229" t="s">
        <v>43</v>
      </c>
      <c r="F3229" s="9">
        <v>0.03</v>
      </c>
      <c r="G3229" s="10">
        <v>7021</v>
      </c>
      <c r="H3229">
        <v>3.23</v>
      </c>
      <c r="I3229" s="5">
        <f>ROUND(Marketing[[#This Row],[Clicks]]*Marketing[[#This Row],[Conversion_Rate]],0)</f>
        <v>9</v>
      </c>
      <c r="J3229" s="12">
        <f>Marketing[[#This Row],[Campaign_Cost]]/Marketing[[#This Row],[Customers]]</f>
        <v>780.11111111111109</v>
      </c>
      <c r="K3229" t="s">
        <v>25</v>
      </c>
      <c r="L3229" t="s">
        <v>26</v>
      </c>
      <c r="M3229">
        <v>309</v>
      </c>
      <c r="N3229">
        <v>8988</v>
      </c>
      <c r="O3229">
        <v>7</v>
      </c>
      <c r="P3229" t="s">
        <v>44</v>
      </c>
      <c r="Q3229" s="1">
        <v>44504</v>
      </c>
    </row>
    <row r="3230" spans="1:17" x14ac:dyDescent="0.3">
      <c r="A3230" t="s">
        <v>49</v>
      </c>
      <c r="B3230" t="s">
        <v>36</v>
      </c>
      <c r="C3230" t="s">
        <v>37</v>
      </c>
      <c r="D3230" t="s">
        <v>46</v>
      </c>
      <c r="E3230" t="s">
        <v>48</v>
      </c>
      <c r="F3230" s="9">
        <v>7.0000000000000007E-2</v>
      </c>
      <c r="G3230" s="10">
        <v>5732</v>
      </c>
      <c r="H3230">
        <v>6.2</v>
      </c>
      <c r="I3230" s="5">
        <f>ROUND(Marketing[[#This Row],[Clicks]]*Marketing[[#This Row],[Conversion_Rate]],0)</f>
        <v>65</v>
      </c>
      <c r="J3230" s="12">
        <f>Marketing[[#This Row],[Campaign_Cost]]/Marketing[[#This Row],[Customers]]</f>
        <v>88.184615384615384</v>
      </c>
      <c r="K3230" t="s">
        <v>51</v>
      </c>
      <c r="L3230" t="s">
        <v>20</v>
      </c>
      <c r="M3230">
        <v>926</v>
      </c>
      <c r="N3230">
        <v>4734</v>
      </c>
      <c r="O3230">
        <v>7</v>
      </c>
      <c r="P3230" t="s">
        <v>27</v>
      </c>
      <c r="Q3230" s="1">
        <v>44505</v>
      </c>
    </row>
    <row r="3231" spans="1:17" x14ac:dyDescent="0.3">
      <c r="A3231" t="s">
        <v>14</v>
      </c>
      <c r="B3231" t="s">
        <v>36</v>
      </c>
      <c r="C3231" t="s">
        <v>37</v>
      </c>
      <c r="D3231" t="s">
        <v>17</v>
      </c>
      <c r="E3231" t="s">
        <v>43</v>
      </c>
      <c r="F3231" s="9">
        <v>0.04</v>
      </c>
      <c r="G3231" s="10">
        <v>5360</v>
      </c>
      <c r="H3231">
        <v>3.28</v>
      </c>
      <c r="I3231" s="5">
        <f>ROUND(Marketing[[#This Row],[Clicks]]*Marketing[[#This Row],[Conversion_Rate]],0)</f>
        <v>27</v>
      </c>
      <c r="J3231" s="12">
        <f>Marketing[[#This Row],[Campaign_Cost]]/Marketing[[#This Row],[Customers]]</f>
        <v>198.5185185185185</v>
      </c>
      <c r="K3231" t="s">
        <v>32</v>
      </c>
      <c r="L3231" t="s">
        <v>26</v>
      </c>
      <c r="M3231">
        <v>681</v>
      </c>
      <c r="N3231">
        <v>5430</v>
      </c>
      <c r="O3231">
        <v>2</v>
      </c>
      <c r="P3231" t="s">
        <v>44</v>
      </c>
      <c r="Q3231" s="1">
        <v>44506</v>
      </c>
    </row>
    <row r="3232" spans="1:17" x14ac:dyDescent="0.3">
      <c r="A3232" t="s">
        <v>14</v>
      </c>
      <c r="B3232" t="s">
        <v>29</v>
      </c>
      <c r="C3232" t="s">
        <v>52</v>
      </c>
      <c r="D3232" t="s">
        <v>17</v>
      </c>
      <c r="E3232" t="s">
        <v>43</v>
      </c>
      <c r="F3232" s="9">
        <v>0.13</v>
      </c>
      <c r="G3232" s="10">
        <v>16802</v>
      </c>
      <c r="H3232">
        <v>2.68</v>
      </c>
      <c r="I3232" s="5">
        <f>ROUND(Marketing[[#This Row],[Clicks]]*Marketing[[#This Row],[Conversion_Rate]],0)</f>
        <v>50</v>
      </c>
      <c r="J3232" s="12">
        <f>Marketing[[#This Row],[Campaign_Cost]]/Marketing[[#This Row],[Customers]]</f>
        <v>336.04</v>
      </c>
      <c r="K3232" t="s">
        <v>38</v>
      </c>
      <c r="L3232" t="s">
        <v>39</v>
      </c>
      <c r="M3232">
        <v>385</v>
      </c>
      <c r="N3232">
        <v>6134</v>
      </c>
      <c r="O3232">
        <v>3</v>
      </c>
      <c r="P3232" t="s">
        <v>21</v>
      </c>
      <c r="Q3232" s="1">
        <v>44507</v>
      </c>
    </row>
    <row r="3233" spans="1:17" x14ac:dyDescent="0.3">
      <c r="A3233" t="s">
        <v>28</v>
      </c>
      <c r="B3233" t="s">
        <v>36</v>
      </c>
      <c r="C3233" t="s">
        <v>52</v>
      </c>
      <c r="D3233" t="s">
        <v>17</v>
      </c>
      <c r="E3233" t="s">
        <v>41</v>
      </c>
      <c r="F3233" s="9">
        <v>0.01</v>
      </c>
      <c r="G3233" s="10">
        <v>12759</v>
      </c>
      <c r="H3233">
        <v>8</v>
      </c>
      <c r="I3233" s="5">
        <f>ROUND(Marketing[[#This Row],[Clicks]]*Marketing[[#This Row],[Conversion_Rate]],0)</f>
        <v>5</v>
      </c>
      <c r="J3233" s="12">
        <f>Marketing[[#This Row],[Campaign_Cost]]/Marketing[[#This Row],[Customers]]</f>
        <v>2551.8000000000002</v>
      </c>
      <c r="K3233" t="s">
        <v>25</v>
      </c>
      <c r="L3233" t="s">
        <v>50</v>
      </c>
      <c r="M3233">
        <v>476</v>
      </c>
      <c r="N3233">
        <v>3627</v>
      </c>
      <c r="O3233">
        <v>6</v>
      </c>
      <c r="P3233" t="s">
        <v>44</v>
      </c>
      <c r="Q3233" s="1">
        <v>44508</v>
      </c>
    </row>
    <row r="3234" spans="1:17" x14ac:dyDescent="0.3">
      <c r="A3234" t="s">
        <v>28</v>
      </c>
      <c r="B3234" t="s">
        <v>45</v>
      </c>
      <c r="C3234" t="s">
        <v>37</v>
      </c>
      <c r="D3234" t="s">
        <v>40</v>
      </c>
      <c r="E3234" t="s">
        <v>15</v>
      </c>
      <c r="F3234" s="9">
        <v>0.12</v>
      </c>
      <c r="G3234" s="10">
        <v>17518</v>
      </c>
      <c r="H3234">
        <v>6.05</v>
      </c>
      <c r="I3234" s="5">
        <f>ROUND(Marketing[[#This Row],[Clicks]]*Marketing[[#This Row],[Conversion_Rate]],0)</f>
        <v>58</v>
      </c>
      <c r="J3234" s="12">
        <f>Marketing[[#This Row],[Campaign_Cost]]/Marketing[[#This Row],[Customers]]</f>
        <v>302.0344827586207</v>
      </c>
      <c r="K3234" t="s">
        <v>32</v>
      </c>
      <c r="L3234" t="s">
        <v>26</v>
      </c>
      <c r="M3234">
        <v>485</v>
      </c>
      <c r="N3234">
        <v>3002</v>
      </c>
      <c r="O3234">
        <v>8</v>
      </c>
      <c r="P3234" t="s">
        <v>42</v>
      </c>
      <c r="Q3234" s="1">
        <v>44509</v>
      </c>
    </row>
    <row r="3235" spans="1:17" x14ac:dyDescent="0.3">
      <c r="A3235" t="s">
        <v>14</v>
      </c>
      <c r="B3235" t="s">
        <v>47</v>
      </c>
      <c r="C3235" t="s">
        <v>16</v>
      </c>
      <c r="D3235" t="s">
        <v>24</v>
      </c>
      <c r="E3235" t="s">
        <v>43</v>
      </c>
      <c r="F3235" s="9">
        <v>0.06</v>
      </c>
      <c r="G3235" s="10">
        <v>8798</v>
      </c>
      <c r="H3235">
        <v>3.31</v>
      </c>
      <c r="I3235" s="5">
        <f>ROUND(Marketing[[#This Row],[Clicks]]*Marketing[[#This Row],[Conversion_Rate]],0)</f>
        <v>7</v>
      </c>
      <c r="J3235" s="12">
        <f>Marketing[[#This Row],[Campaign_Cost]]/Marketing[[#This Row],[Customers]]</f>
        <v>1256.8571428571429</v>
      </c>
      <c r="K3235" t="s">
        <v>19</v>
      </c>
      <c r="L3235" t="s">
        <v>39</v>
      </c>
      <c r="M3235">
        <v>112</v>
      </c>
      <c r="N3235">
        <v>4388</v>
      </c>
      <c r="O3235">
        <v>10</v>
      </c>
      <c r="P3235" t="s">
        <v>34</v>
      </c>
      <c r="Q3235" s="1">
        <v>44510</v>
      </c>
    </row>
    <row r="3236" spans="1:17" x14ac:dyDescent="0.3">
      <c r="A3236" t="s">
        <v>22</v>
      </c>
      <c r="B3236" t="s">
        <v>36</v>
      </c>
      <c r="C3236" t="s">
        <v>16</v>
      </c>
      <c r="D3236" t="s">
        <v>40</v>
      </c>
      <c r="E3236" t="s">
        <v>31</v>
      </c>
      <c r="F3236" s="9">
        <v>0.14000000000000001</v>
      </c>
      <c r="G3236" s="10">
        <v>14672</v>
      </c>
      <c r="H3236">
        <v>2.1</v>
      </c>
      <c r="I3236" s="5">
        <f>ROUND(Marketing[[#This Row],[Clicks]]*Marketing[[#This Row],[Conversion_Rate]],0)</f>
        <v>29</v>
      </c>
      <c r="J3236" s="12">
        <f>Marketing[[#This Row],[Campaign_Cost]]/Marketing[[#This Row],[Customers]]</f>
        <v>505.93103448275861</v>
      </c>
      <c r="K3236" t="s">
        <v>25</v>
      </c>
      <c r="L3236" t="s">
        <v>39</v>
      </c>
      <c r="M3236">
        <v>210</v>
      </c>
      <c r="N3236">
        <v>2847</v>
      </c>
      <c r="O3236">
        <v>5</v>
      </c>
      <c r="P3236" t="s">
        <v>34</v>
      </c>
      <c r="Q3236" s="1">
        <v>44511</v>
      </c>
    </row>
    <row r="3237" spans="1:17" x14ac:dyDescent="0.3">
      <c r="A3237" t="s">
        <v>14</v>
      </c>
      <c r="B3237" t="s">
        <v>47</v>
      </c>
      <c r="C3237" t="s">
        <v>37</v>
      </c>
      <c r="D3237" t="s">
        <v>46</v>
      </c>
      <c r="E3237" t="s">
        <v>43</v>
      </c>
      <c r="F3237" s="9">
        <v>0.13</v>
      </c>
      <c r="G3237" s="10">
        <v>16789</v>
      </c>
      <c r="H3237">
        <v>6.92</v>
      </c>
      <c r="I3237" s="5">
        <f>ROUND(Marketing[[#This Row],[Clicks]]*Marketing[[#This Row],[Conversion_Rate]],0)</f>
        <v>124</v>
      </c>
      <c r="J3237" s="12">
        <f>Marketing[[#This Row],[Campaign_Cost]]/Marketing[[#This Row],[Customers]]</f>
        <v>135.39516129032259</v>
      </c>
      <c r="K3237" t="s">
        <v>32</v>
      </c>
      <c r="L3237" t="s">
        <v>50</v>
      </c>
      <c r="M3237">
        <v>951</v>
      </c>
      <c r="N3237">
        <v>2718</v>
      </c>
      <c r="O3237">
        <v>4</v>
      </c>
      <c r="P3237" t="s">
        <v>27</v>
      </c>
      <c r="Q3237" s="1">
        <v>44512</v>
      </c>
    </row>
    <row r="3238" spans="1:17" x14ac:dyDescent="0.3">
      <c r="A3238" t="s">
        <v>49</v>
      </c>
      <c r="B3238" t="s">
        <v>29</v>
      </c>
      <c r="C3238" t="s">
        <v>52</v>
      </c>
      <c r="D3238" t="s">
        <v>46</v>
      </c>
      <c r="E3238" t="s">
        <v>41</v>
      </c>
      <c r="F3238" s="9">
        <v>7.0000000000000007E-2</v>
      </c>
      <c r="G3238" s="10">
        <v>13241</v>
      </c>
      <c r="H3238">
        <v>3.22</v>
      </c>
      <c r="I3238" s="5">
        <f>ROUND(Marketing[[#This Row],[Clicks]]*Marketing[[#This Row],[Conversion_Rate]],0)</f>
        <v>9</v>
      </c>
      <c r="J3238" s="12">
        <f>Marketing[[#This Row],[Campaign_Cost]]/Marketing[[#This Row],[Customers]]</f>
        <v>1471.2222222222222</v>
      </c>
      <c r="K3238" t="s">
        <v>32</v>
      </c>
      <c r="L3238" t="s">
        <v>39</v>
      </c>
      <c r="M3238">
        <v>129</v>
      </c>
      <c r="N3238">
        <v>2900</v>
      </c>
      <c r="O3238">
        <v>8</v>
      </c>
      <c r="P3238" t="s">
        <v>44</v>
      </c>
      <c r="Q3238" s="1">
        <v>44513</v>
      </c>
    </row>
    <row r="3239" spans="1:17" x14ac:dyDescent="0.3">
      <c r="A3239" t="s">
        <v>14</v>
      </c>
      <c r="B3239" t="s">
        <v>45</v>
      </c>
      <c r="C3239" t="s">
        <v>30</v>
      </c>
      <c r="D3239" t="s">
        <v>40</v>
      </c>
      <c r="E3239" t="s">
        <v>43</v>
      </c>
      <c r="F3239" s="9">
        <v>0.1</v>
      </c>
      <c r="G3239" s="10">
        <v>7712</v>
      </c>
      <c r="H3239">
        <v>5.89</v>
      </c>
      <c r="I3239" s="5">
        <f>ROUND(Marketing[[#This Row],[Clicks]]*Marketing[[#This Row],[Conversion_Rate]],0)</f>
        <v>74</v>
      </c>
      <c r="J3239" s="12">
        <f>Marketing[[#This Row],[Campaign_Cost]]/Marketing[[#This Row],[Customers]]</f>
        <v>104.21621621621621</v>
      </c>
      <c r="K3239" t="s">
        <v>32</v>
      </c>
      <c r="L3239" t="s">
        <v>39</v>
      </c>
      <c r="M3239">
        <v>742</v>
      </c>
      <c r="N3239">
        <v>7047</v>
      </c>
      <c r="O3239">
        <v>10</v>
      </c>
      <c r="P3239" t="s">
        <v>27</v>
      </c>
      <c r="Q3239" s="1">
        <v>44514</v>
      </c>
    </row>
    <row r="3240" spans="1:17" x14ac:dyDescent="0.3">
      <c r="A3240" t="s">
        <v>28</v>
      </c>
      <c r="B3240" t="s">
        <v>15</v>
      </c>
      <c r="C3240" t="s">
        <v>16</v>
      </c>
      <c r="D3240" t="s">
        <v>24</v>
      </c>
      <c r="E3240" t="s">
        <v>18</v>
      </c>
      <c r="F3240" s="9">
        <v>0.01</v>
      </c>
      <c r="G3240" s="10">
        <v>19433</v>
      </c>
      <c r="H3240">
        <v>6.57</v>
      </c>
      <c r="I3240" s="5">
        <f>ROUND(Marketing[[#This Row],[Clicks]]*Marketing[[#This Row],[Conversion_Rate]],0)</f>
        <v>5</v>
      </c>
      <c r="J3240" s="12">
        <f>Marketing[[#This Row],[Campaign_Cost]]/Marketing[[#This Row],[Customers]]</f>
        <v>3886.6</v>
      </c>
      <c r="K3240" t="s">
        <v>32</v>
      </c>
      <c r="L3240" t="s">
        <v>20</v>
      </c>
      <c r="M3240">
        <v>500</v>
      </c>
      <c r="N3240">
        <v>1669</v>
      </c>
      <c r="O3240">
        <v>7</v>
      </c>
      <c r="P3240" t="s">
        <v>42</v>
      </c>
      <c r="Q3240" s="1">
        <v>44515</v>
      </c>
    </row>
    <row r="3241" spans="1:17" x14ac:dyDescent="0.3">
      <c r="A3241" t="s">
        <v>49</v>
      </c>
      <c r="B3241" t="s">
        <v>45</v>
      </c>
      <c r="C3241" t="s">
        <v>52</v>
      </c>
      <c r="D3241" t="s">
        <v>24</v>
      </c>
      <c r="E3241" t="s">
        <v>15</v>
      </c>
      <c r="F3241" s="9">
        <v>0.05</v>
      </c>
      <c r="G3241" s="10">
        <v>14817</v>
      </c>
      <c r="H3241">
        <v>4</v>
      </c>
      <c r="I3241" s="5">
        <f>ROUND(Marketing[[#This Row],[Clicks]]*Marketing[[#This Row],[Conversion_Rate]],0)</f>
        <v>24</v>
      </c>
      <c r="J3241" s="12">
        <f>Marketing[[#This Row],[Campaign_Cost]]/Marketing[[#This Row],[Customers]]</f>
        <v>617.375</v>
      </c>
      <c r="K3241" t="s">
        <v>51</v>
      </c>
      <c r="L3241" t="s">
        <v>50</v>
      </c>
      <c r="M3241">
        <v>489</v>
      </c>
      <c r="N3241">
        <v>8761</v>
      </c>
      <c r="O3241">
        <v>6</v>
      </c>
      <c r="P3241" t="s">
        <v>44</v>
      </c>
      <c r="Q3241" s="1">
        <v>44516</v>
      </c>
    </row>
    <row r="3242" spans="1:17" x14ac:dyDescent="0.3">
      <c r="A3242" t="s">
        <v>35</v>
      </c>
      <c r="B3242" t="s">
        <v>36</v>
      </c>
      <c r="C3242" t="s">
        <v>37</v>
      </c>
      <c r="D3242" t="s">
        <v>40</v>
      </c>
      <c r="E3242" t="s">
        <v>48</v>
      </c>
      <c r="F3242" s="9">
        <v>0.04</v>
      </c>
      <c r="G3242" s="10">
        <v>12764</v>
      </c>
      <c r="H3242">
        <v>6.62</v>
      </c>
      <c r="I3242" s="5">
        <f>ROUND(Marketing[[#This Row],[Clicks]]*Marketing[[#This Row],[Conversion_Rate]],0)</f>
        <v>32</v>
      </c>
      <c r="J3242" s="12">
        <f>Marketing[[#This Row],[Campaign_Cost]]/Marketing[[#This Row],[Customers]]</f>
        <v>398.875</v>
      </c>
      <c r="K3242" t="s">
        <v>19</v>
      </c>
      <c r="L3242" t="s">
        <v>33</v>
      </c>
      <c r="M3242">
        <v>799</v>
      </c>
      <c r="N3242">
        <v>4210</v>
      </c>
      <c r="O3242">
        <v>2</v>
      </c>
      <c r="P3242" t="s">
        <v>21</v>
      </c>
      <c r="Q3242" s="1">
        <v>44517</v>
      </c>
    </row>
    <row r="3243" spans="1:17" x14ac:dyDescent="0.3">
      <c r="A3243" t="s">
        <v>14</v>
      </c>
      <c r="B3243" t="s">
        <v>15</v>
      </c>
      <c r="C3243" t="s">
        <v>52</v>
      </c>
      <c r="D3243" t="s">
        <v>40</v>
      </c>
      <c r="E3243" t="s">
        <v>18</v>
      </c>
      <c r="F3243" s="9">
        <v>0.1</v>
      </c>
      <c r="G3243" s="10">
        <v>6372</v>
      </c>
      <c r="H3243">
        <v>6.86</v>
      </c>
      <c r="I3243" s="5">
        <f>ROUND(Marketing[[#This Row],[Clicks]]*Marketing[[#This Row],[Conversion_Rate]],0)</f>
        <v>25</v>
      </c>
      <c r="J3243" s="12">
        <f>Marketing[[#This Row],[Campaign_Cost]]/Marketing[[#This Row],[Customers]]</f>
        <v>254.88</v>
      </c>
      <c r="K3243" t="s">
        <v>19</v>
      </c>
      <c r="L3243" t="s">
        <v>50</v>
      </c>
      <c r="M3243">
        <v>249</v>
      </c>
      <c r="N3243">
        <v>4750</v>
      </c>
      <c r="O3243">
        <v>6</v>
      </c>
      <c r="P3243" t="s">
        <v>21</v>
      </c>
      <c r="Q3243" s="1">
        <v>44518</v>
      </c>
    </row>
    <row r="3244" spans="1:17" x14ac:dyDescent="0.3">
      <c r="A3244" t="s">
        <v>14</v>
      </c>
      <c r="B3244" t="s">
        <v>47</v>
      </c>
      <c r="C3244" t="s">
        <v>52</v>
      </c>
      <c r="D3244" t="s">
        <v>46</v>
      </c>
      <c r="E3244" t="s">
        <v>43</v>
      </c>
      <c r="F3244" s="9">
        <v>0.1</v>
      </c>
      <c r="G3244" s="10">
        <v>11189</v>
      </c>
      <c r="H3244">
        <v>2.8</v>
      </c>
      <c r="I3244" s="5">
        <f>ROUND(Marketing[[#This Row],[Clicks]]*Marketing[[#This Row],[Conversion_Rate]],0)</f>
        <v>18</v>
      </c>
      <c r="J3244" s="12">
        <f>Marketing[[#This Row],[Campaign_Cost]]/Marketing[[#This Row],[Customers]]</f>
        <v>621.61111111111109</v>
      </c>
      <c r="K3244" t="s">
        <v>19</v>
      </c>
      <c r="L3244" t="s">
        <v>20</v>
      </c>
      <c r="M3244">
        <v>182</v>
      </c>
      <c r="N3244">
        <v>7881</v>
      </c>
      <c r="O3244">
        <v>6</v>
      </c>
      <c r="P3244" t="s">
        <v>34</v>
      </c>
      <c r="Q3244" s="1">
        <v>44519</v>
      </c>
    </row>
    <row r="3245" spans="1:17" x14ac:dyDescent="0.3">
      <c r="A3245" t="s">
        <v>28</v>
      </c>
      <c r="B3245" t="s">
        <v>29</v>
      </c>
      <c r="C3245" t="s">
        <v>37</v>
      </c>
      <c r="D3245" t="s">
        <v>40</v>
      </c>
      <c r="E3245" t="s">
        <v>15</v>
      </c>
      <c r="F3245" s="9">
        <v>0.08</v>
      </c>
      <c r="G3245" s="10">
        <v>17373</v>
      </c>
      <c r="H3245">
        <v>2.06</v>
      </c>
      <c r="I3245" s="5">
        <f>ROUND(Marketing[[#This Row],[Clicks]]*Marketing[[#This Row],[Conversion_Rate]],0)</f>
        <v>28</v>
      </c>
      <c r="J3245" s="12">
        <f>Marketing[[#This Row],[Campaign_Cost]]/Marketing[[#This Row],[Customers]]</f>
        <v>620.46428571428567</v>
      </c>
      <c r="K3245" t="s">
        <v>51</v>
      </c>
      <c r="L3245" t="s">
        <v>33</v>
      </c>
      <c r="M3245">
        <v>356</v>
      </c>
      <c r="N3245">
        <v>4655</v>
      </c>
      <c r="O3245">
        <v>7</v>
      </c>
      <c r="P3245" t="s">
        <v>44</v>
      </c>
      <c r="Q3245" s="1">
        <v>44520</v>
      </c>
    </row>
    <row r="3246" spans="1:17" x14ac:dyDescent="0.3">
      <c r="A3246" t="s">
        <v>14</v>
      </c>
      <c r="B3246" t="s">
        <v>36</v>
      </c>
      <c r="C3246" t="s">
        <v>16</v>
      </c>
      <c r="D3246" t="s">
        <v>40</v>
      </c>
      <c r="E3246" t="s">
        <v>15</v>
      </c>
      <c r="F3246" s="9">
        <v>0.02</v>
      </c>
      <c r="G3246" s="10">
        <v>13035</v>
      </c>
      <c r="H3246">
        <v>6.84</v>
      </c>
      <c r="I3246" s="5">
        <f>ROUND(Marketing[[#This Row],[Clicks]]*Marketing[[#This Row],[Conversion_Rate]],0)</f>
        <v>3</v>
      </c>
      <c r="J3246" s="12">
        <f>Marketing[[#This Row],[Campaign_Cost]]/Marketing[[#This Row],[Customers]]</f>
        <v>4345</v>
      </c>
      <c r="K3246" t="s">
        <v>38</v>
      </c>
      <c r="L3246" t="s">
        <v>33</v>
      </c>
      <c r="M3246">
        <v>159</v>
      </c>
      <c r="N3246">
        <v>3368</v>
      </c>
      <c r="O3246">
        <v>1</v>
      </c>
      <c r="P3246" t="s">
        <v>21</v>
      </c>
      <c r="Q3246" s="1">
        <v>44521</v>
      </c>
    </row>
    <row r="3247" spans="1:17" x14ac:dyDescent="0.3">
      <c r="A3247" t="s">
        <v>22</v>
      </c>
      <c r="B3247" t="s">
        <v>45</v>
      </c>
      <c r="C3247" t="s">
        <v>30</v>
      </c>
      <c r="D3247" t="s">
        <v>46</v>
      </c>
      <c r="E3247" t="s">
        <v>41</v>
      </c>
      <c r="F3247" s="9">
        <v>0.03</v>
      </c>
      <c r="G3247" s="10">
        <v>19734</v>
      </c>
      <c r="H3247">
        <v>4.93</v>
      </c>
      <c r="I3247" s="5">
        <f>ROUND(Marketing[[#This Row],[Clicks]]*Marketing[[#This Row],[Conversion_Rate]],0)</f>
        <v>20</v>
      </c>
      <c r="J3247" s="12">
        <f>Marketing[[#This Row],[Campaign_Cost]]/Marketing[[#This Row],[Customers]]</f>
        <v>986.7</v>
      </c>
      <c r="K3247" t="s">
        <v>19</v>
      </c>
      <c r="L3247" t="s">
        <v>26</v>
      </c>
      <c r="M3247">
        <v>654</v>
      </c>
      <c r="N3247">
        <v>3765</v>
      </c>
      <c r="O3247">
        <v>5</v>
      </c>
      <c r="P3247" t="s">
        <v>42</v>
      </c>
      <c r="Q3247" s="1">
        <v>44522</v>
      </c>
    </row>
    <row r="3248" spans="1:17" x14ac:dyDescent="0.3">
      <c r="A3248" t="s">
        <v>35</v>
      </c>
      <c r="B3248" t="s">
        <v>15</v>
      </c>
      <c r="C3248" t="s">
        <v>16</v>
      </c>
      <c r="D3248" t="s">
        <v>24</v>
      </c>
      <c r="E3248" t="s">
        <v>43</v>
      </c>
      <c r="F3248" s="9">
        <v>0.09</v>
      </c>
      <c r="G3248" s="10">
        <v>15121</v>
      </c>
      <c r="H3248">
        <v>7.83</v>
      </c>
      <c r="I3248" s="5">
        <f>ROUND(Marketing[[#This Row],[Clicks]]*Marketing[[#This Row],[Conversion_Rate]],0)</f>
        <v>53</v>
      </c>
      <c r="J3248" s="12">
        <f>Marketing[[#This Row],[Campaign_Cost]]/Marketing[[#This Row],[Customers]]</f>
        <v>285.30188679245282</v>
      </c>
      <c r="K3248" t="s">
        <v>25</v>
      </c>
      <c r="L3248" t="s">
        <v>20</v>
      </c>
      <c r="M3248">
        <v>593</v>
      </c>
      <c r="N3248">
        <v>3649</v>
      </c>
      <c r="O3248">
        <v>1</v>
      </c>
      <c r="P3248" t="s">
        <v>44</v>
      </c>
      <c r="Q3248" s="1">
        <v>44523</v>
      </c>
    </row>
    <row r="3249" spans="1:17" x14ac:dyDescent="0.3">
      <c r="A3249" t="s">
        <v>35</v>
      </c>
      <c r="B3249" t="s">
        <v>15</v>
      </c>
      <c r="C3249" t="s">
        <v>52</v>
      </c>
      <c r="D3249" t="s">
        <v>40</v>
      </c>
      <c r="E3249" t="s">
        <v>48</v>
      </c>
      <c r="F3249" s="9">
        <v>0.09</v>
      </c>
      <c r="G3249" s="10">
        <v>9537</v>
      </c>
      <c r="H3249">
        <v>2.94</v>
      </c>
      <c r="I3249" s="5">
        <f>ROUND(Marketing[[#This Row],[Clicks]]*Marketing[[#This Row],[Conversion_Rate]],0)</f>
        <v>48</v>
      </c>
      <c r="J3249" s="12">
        <f>Marketing[[#This Row],[Campaign_Cost]]/Marketing[[#This Row],[Customers]]</f>
        <v>198.6875</v>
      </c>
      <c r="K3249" t="s">
        <v>19</v>
      </c>
      <c r="L3249" t="s">
        <v>26</v>
      </c>
      <c r="M3249">
        <v>538</v>
      </c>
      <c r="N3249">
        <v>6063</v>
      </c>
      <c r="O3249">
        <v>8</v>
      </c>
      <c r="P3249" t="s">
        <v>42</v>
      </c>
      <c r="Q3249" s="1">
        <v>44524</v>
      </c>
    </row>
    <row r="3250" spans="1:17" x14ac:dyDescent="0.3">
      <c r="A3250" t="s">
        <v>22</v>
      </c>
      <c r="B3250" t="s">
        <v>29</v>
      </c>
      <c r="C3250" t="s">
        <v>16</v>
      </c>
      <c r="D3250" t="s">
        <v>17</v>
      </c>
      <c r="E3250" t="s">
        <v>18</v>
      </c>
      <c r="F3250" s="9">
        <v>0.03</v>
      </c>
      <c r="G3250" s="10">
        <v>11729</v>
      </c>
      <c r="H3250">
        <v>2.44</v>
      </c>
      <c r="I3250" s="5">
        <f>ROUND(Marketing[[#This Row],[Clicks]]*Marketing[[#This Row],[Conversion_Rate]],0)</f>
        <v>5</v>
      </c>
      <c r="J3250" s="12">
        <f>Marketing[[#This Row],[Campaign_Cost]]/Marketing[[#This Row],[Customers]]</f>
        <v>2345.8000000000002</v>
      </c>
      <c r="K3250" t="s">
        <v>38</v>
      </c>
      <c r="L3250" t="s">
        <v>33</v>
      </c>
      <c r="M3250">
        <v>152</v>
      </c>
      <c r="N3250">
        <v>1027</v>
      </c>
      <c r="O3250">
        <v>6</v>
      </c>
      <c r="P3250" t="s">
        <v>44</v>
      </c>
      <c r="Q3250" s="1">
        <v>44525</v>
      </c>
    </row>
    <row r="3251" spans="1:17" x14ac:dyDescent="0.3">
      <c r="A3251" t="s">
        <v>49</v>
      </c>
      <c r="B3251" t="s">
        <v>36</v>
      </c>
      <c r="C3251" t="s">
        <v>30</v>
      </c>
      <c r="D3251" t="s">
        <v>40</v>
      </c>
      <c r="E3251" t="s">
        <v>15</v>
      </c>
      <c r="F3251" s="9">
        <v>0.04</v>
      </c>
      <c r="G3251" s="10">
        <v>18454</v>
      </c>
      <c r="H3251">
        <v>5.0999999999999996</v>
      </c>
      <c r="I3251" s="5">
        <f>ROUND(Marketing[[#This Row],[Clicks]]*Marketing[[#This Row],[Conversion_Rate]],0)</f>
        <v>40</v>
      </c>
      <c r="J3251" s="12">
        <f>Marketing[[#This Row],[Campaign_Cost]]/Marketing[[#This Row],[Customers]]</f>
        <v>461.35</v>
      </c>
      <c r="K3251" t="s">
        <v>32</v>
      </c>
      <c r="L3251" t="s">
        <v>20</v>
      </c>
      <c r="M3251">
        <v>989</v>
      </c>
      <c r="N3251">
        <v>2711</v>
      </c>
      <c r="O3251">
        <v>4</v>
      </c>
      <c r="P3251" t="s">
        <v>44</v>
      </c>
      <c r="Q3251" s="1">
        <v>44526</v>
      </c>
    </row>
    <row r="3252" spans="1:17" x14ac:dyDescent="0.3">
      <c r="A3252" t="s">
        <v>35</v>
      </c>
      <c r="B3252" t="s">
        <v>29</v>
      </c>
      <c r="C3252" t="s">
        <v>30</v>
      </c>
      <c r="D3252" t="s">
        <v>40</v>
      </c>
      <c r="E3252" t="s">
        <v>43</v>
      </c>
      <c r="F3252" s="9">
        <v>0.14000000000000001</v>
      </c>
      <c r="G3252" s="10">
        <v>15515</v>
      </c>
      <c r="H3252">
        <v>6.91</v>
      </c>
      <c r="I3252" s="5">
        <f>ROUND(Marketing[[#This Row],[Clicks]]*Marketing[[#This Row],[Conversion_Rate]],0)</f>
        <v>120</v>
      </c>
      <c r="J3252" s="12">
        <f>Marketing[[#This Row],[Campaign_Cost]]/Marketing[[#This Row],[Customers]]</f>
        <v>129.29166666666666</v>
      </c>
      <c r="K3252" t="s">
        <v>51</v>
      </c>
      <c r="L3252" t="s">
        <v>50</v>
      </c>
      <c r="M3252">
        <v>859</v>
      </c>
      <c r="N3252">
        <v>9300</v>
      </c>
      <c r="O3252">
        <v>7</v>
      </c>
      <c r="P3252" t="s">
        <v>42</v>
      </c>
      <c r="Q3252" s="1">
        <v>44527</v>
      </c>
    </row>
    <row r="3253" spans="1:17" x14ac:dyDescent="0.3">
      <c r="A3253" t="s">
        <v>35</v>
      </c>
      <c r="B3253" t="s">
        <v>47</v>
      </c>
      <c r="C3253" t="s">
        <v>52</v>
      </c>
      <c r="D3253" t="s">
        <v>46</v>
      </c>
      <c r="E3253" t="s">
        <v>41</v>
      </c>
      <c r="F3253" s="9">
        <v>0.06</v>
      </c>
      <c r="G3253" s="10">
        <v>9512</v>
      </c>
      <c r="H3253">
        <v>3.14</v>
      </c>
      <c r="I3253" s="5">
        <f>ROUND(Marketing[[#This Row],[Clicks]]*Marketing[[#This Row],[Conversion_Rate]],0)</f>
        <v>26</v>
      </c>
      <c r="J3253" s="12">
        <f>Marketing[[#This Row],[Campaign_Cost]]/Marketing[[#This Row],[Customers]]</f>
        <v>365.84615384615387</v>
      </c>
      <c r="K3253" t="s">
        <v>38</v>
      </c>
      <c r="L3253" t="s">
        <v>50</v>
      </c>
      <c r="M3253">
        <v>432</v>
      </c>
      <c r="N3253">
        <v>1869</v>
      </c>
      <c r="O3253">
        <v>6</v>
      </c>
      <c r="P3253" t="s">
        <v>44</v>
      </c>
      <c r="Q3253" s="1">
        <v>44528</v>
      </c>
    </row>
    <row r="3254" spans="1:17" x14ac:dyDescent="0.3">
      <c r="A3254" t="s">
        <v>28</v>
      </c>
      <c r="B3254" t="s">
        <v>36</v>
      </c>
      <c r="C3254" t="s">
        <v>23</v>
      </c>
      <c r="D3254" t="s">
        <v>40</v>
      </c>
      <c r="E3254" t="s">
        <v>41</v>
      </c>
      <c r="F3254" s="9">
        <v>0.09</v>
      </c>
      <c r="G3254" s="10">
        <v>11424</v>
      </c>
      <c r="H3254">
        <v>7.59</v>
      </c>
      <c r="I3254" s="5">
        <f>ROUND(Marketing[[#This Row],[Clicks]]*Marketing[[#This Row],[Conversion_Rate]],0)</f>
        <v>80</v>
      </c>
      <c r="J3254" s="12">
        <f>Marketing[[#This Row],[Campaign_Cost]]/Marketing[[#This Row],[Customers]]</f>
        <v>142.80000000000001</v>
      </c>
      <c r="K3254" t="s">
        <v>51</v>
      </c>
      <c r="L3254" t="s">
        <v>26</v>
      </c>
      <c r="M3254">
        <v>888</v>
      </c>
      <c r="N3254">
        <v>2625</v>
      </c>
      <c r="O3254">
        <v>2</v>
      </c>
      <c r="P3254" t="s">
        <v>34</v>
      </c>
      <c r="Q3254" s="1">
        <v>44529</v>
      </c>
    </row>
    <row r="3255" spans="1:17" x14ac:dyDescent="0.3">
      <c r="A3255" t="s">
        <v>28</v>
      </c>
      <c r="B3255" t="s">
        <v>36</v>
      </c>
      <c r="C3255" t="s">
        <v>37</v>
      </c>
      <c r="D3255" t="s">
        <v>40</v>
      </c>
      <c r="E3255" t="s">
        <v>41</v>
      </c>
      <c r="F3255" s="9">
        <v>0.14000000000000001</v>
      </c>
      <c r="G3255" s="10">
        <v>19067</v>
      </c>
      <c r="H3255">
        <v>6.04</v>
      </c>
      <c r="I3255" s="5">
        <f>ROUND(Marketing[[#This Row],[Clicks]]*Marketing[[#This Row],[Conversion_Rate]],0)</f>
        <v>114</v>
      </c>
      <c r="J3255" s="12">
        <f>Marketing[[#This Row],[Campaign_Cost]]/Marketing[[#This Row],[Customers]]</f>
        <v>167.25438596491227</v>
      </c>
      <c r="K3255" t="s">
        <v>25</v>
      </c>
      <c r="L3255" t="s">
        <v>50</v>
      </c>
      <c r="M3255">
        <v>817</v>
      </c>
      <c r="N3255">
        <v>6313</v>
      </c>
      <c r="O3255">
        <v>9</v>
      </c>
      <c r="P3255" t="s">
        <v>27</v>
      </c>
      <c r="Q3255" s="1">
        <v>44530</v>
      </c>
    </row>
    <row r="3256" spans="1:17" x14ac:dyDescent="0.3">
      <c r="A3256" t="s">
        <v>22</v>
      </c>
      <c r="B3256" t="s">
        <v>36</v>
      </c>
      <c r="C3256" t="s">
        <v>37</v>
      </c>
      <c r="D3256" t="s">
        <v>24</v>
      </c>
      <c r="E3256" t="s">
        <v>31</v>
      </c>
      <c r="F3256" s="9">
        <v>0.11</v>
      </c>
      <c r="G3256" s="10">
        <v>5703</v>
      </c>
      <c r="H3256">
        <v>6.41</v>
      </c>
      <c r="I3256" s="5">
        <f>ROUND(Marketing[[#This Row],[Clicks]]*Marketing[[#This Row],[Conversion_Rate]],0)</f>
        <v>89</v>
      </c>
      <c r="J3256" s="12">
        <f>Marketing[[#This Row],[Campaign_Cost]]/Marketing[[#This Row],[Customers]]</f>
        <v>64.078651685393254</v>
      </c>
      <c r="K3256" t="s">
        <v>38</v>
      </c>
      <c r="L3256" t="s">
        <v>39</v>
      </c>
      <c r="M3256">
        <v>805</v>
      </c>
      <c r="N3256">
        <v>5393</v>
      </c>
      <c r="O3256">
        <v>8</v>
      </c>
      <c r="P3256" t="s">
        <v>34</v>
      </c>
      <c r="Q3256" s="1">
        <v>44531</v>
      </c>
    </row>
    <row r="3257" spans="1:17" x14ac:dyDescent="0.3">
      <c r="A3257" t="s">
        <v>49</v>
      </c>
      <c r="B3257" t="s">
        <v>36</v>
      </c>
      <c r="C3257" t="s">
        <v>23</v>
      </c>
      <c r="D3257" t="s">
        <v>17</v>
      </c>
      <c r="E3257" t="s">
        <v>43</v>
      </c>
      <c r="F3257" s="9">
        <v>0.11</v>
      </c>
      <c r="G3257" s="10">
        <v>12522</v>
      </c>
      <c r="H3257">
        <v>5.8</v>
      </c>
      <c r="I3257" s="5">
        <f>ROUND(Marketing[[#This Row],[Clicks]]*Marketing[[#This Row],[Conversion_Rate]],0)</f>
        <v>28</v>
      </c>
      <c r="J3257" s="12">
        <f>Marketing[[#This Row],[Campaign_Cost]]/Marketing[[#This Row],[Customers]]</f>
        <v>447.21428571428572</v>
      </c>
      <c r="K3257" t="s">
        <v>32</v>
      </c>
      <c r="L3257" t="s">
        <v>26</v>
      </c>
      <c r="M3257">
        <v>259</v>
      </c>
      <c r="N3257">
        <v>5384</v>
      </c>
      <c r="O3257">
        <v>7</v>
      </c>
      <c r="P3257" t="s">
        <v>44</v>
      </c>
      <c r="Q3257" s="1">
        <v>44532</v>
      </c>
    </row>
    <row r="3258" spans="1:17" x14ac:dyDescent="0.3">
      <c r="A3258" t="s">
        <v>49</v>
      </c>
      <c r="B3258" t="s">
        <v>47</v>
      </c>
      <c r="C3258" t="s">
        <v>52</v>
      </c>
      <c r="D3258" t="s">
        <v>40</v>
      </c>
      <c r="E3258" t="s">
        <v>15</v>
      </c>
      <c r="F3258" s="9">
        <v>0.03</v>
      </c>
      <c r="G3258" s="10">
        <v>19885</v>
      </c>
      <c r="H3258">
        <v>3.21</v>
      </c>
      <c r="I3258" s="5">
        <f>ROUND(Marketing[[#This Row],[Clicks]]*Marketing[[#This Row],[Conversion_Rate]],0)</f>
        <v>19</v>
      </c>
      <c r="J3258" s="12">
        <f>Marketing[[#This Row],[Campaign_Cost]]/Marketing[[#This Row],[Customers]]</f>
        <v>1046.578947368421</v>
      </c>
      <c r="K3258" t="s">
        <v>19</v>
      </c>
      <c r="L3258" t="s">
        <v>39</v>
      </c>
      <c r="M3258">
        <v>646</v>
      </c>
      <c r="N3258">
        <v>5490</v>
      </c>
      <c r="O3258">
        <v>3</v>
      </c>
      <c r="P3258" t="s">
        <v>42</v>
      </c>
      <c r="Q3258" s="1">
        <v>44533</v>
      </c>
    </row>
    <row r="3259" spans="1:17" x14ac:dyDescent="0.3">
      <c r="A3259" t="s">
        <v>49</v>
      </c>
      <c r="B3259" t="s">
        <v>47</v>
      </c>
      <c r="C3259" t="s">
        <v>37</v>
      </c>
      <c r="D3259" t="s">
        <v>40</v>
      </c>
      <c r="E3259" t="s">
        <v>43</v>
      </c>
      <c r="F3259" s="9">
        <v>0.03</v>
      </c>
      <c r="G3259" s="10">
        <v>7712</v>
      </c>
      <c r="H3259">
        <v>6.28</v>
      </c>
      <c r="I3259" s="5">
        <f>ROUND(Marketing[[#This Row],[Clicks]]*Marketing[[#This Row],[Conversion_Rate]],0)</f>
        <v>15</v>
      </c>
      <c r="J3259" s="12">
        <f>Marketing[[#This Row],[Campaign_Cost]]/Marketing[[#This Row],[Customers]]</f>
        <v>514.13333333333333</v>
      </c>
      <c r="K3259" t="s">
        <v>32</v>
      </c>
      <c r="L3259" t="s">
        <v>20</v>
      </c>
      <c r="M3259">
        <v>513</v>
      </c>
      <c r="N3259">
        <v>8430</v>
      </c>
      <c r="O3259">
        <v>2</v>
      </c>
      <c r="P3259" t="s">
        <v>27</v>
      </c>
      <c r="Q3259" s="1">
        <v>44534</v>
      </c>
    </row>
    <row r="3260" spans="1:17" x14ac:dyDescent="0.3">
      <c r="A3260" t="s">
        <v>14</v>
      </c>
      <c r="B3260" t="s">
        <v>47</v>
      </c>
      <c r="C3260" t="s">
        <v>16</v>
      </c>
      <c r="D3260" t="s">
        <v>17</v>
      </c>
      <c r="E3260" t="s">
        <v>48</v>
      </c>
      <c r="F3260" s="9">
        <v>0.01</v>
      </c>
      <c r="G3260" s="10">
        <v>19410</v>
      </c>
      <c r="H3260">
        <v>5.09</v>
      </c>
      <c r="I3260" s="5">
        <f>ROUND(Marketing[[#This Row],[Clicks]]*Marketing[[#This Row],[Conversion_Rate]],0)</f>
        <v>5</v>
      </c>
      <c r="J3260" s="12">
        <f>Marketing[[#This Row],[Campaign_Cost]]/Marketing[[#This Row],[Customers]]</f>
        <v>3882</v>
      </c>
      <c r="K3260" t="s">
        <v>25</v>
      </c>
      <c r="L3260" t="s">
        <v>26</v>
      </c>
      <c r="M3260">
        <v>495</v>
      </c>
      <c r="N3260">
        <v>3927</v>
      </c>
      <c r="O3260">
        <v>8</v>
      </c>
      <c r="P3260" t="s">
        <v>21</v>
      </c>
      <c r="Q3260" s="1">
        <v>44535</v>
      </c>
    </row>
    <row r="3261" spans="1:17" x14ac:dyDescent="0.3">
      <c r="A3261" t="s">
        <v>22</v>
      </c>
      <c r="B3261" t="s">
        <v>45</v>
      </c>
      <c r="C3261" t="s">
        <v>37</v>
      </c>
      <c r="D3261" t="s">
        <v>24</v>
      </c>
      <c r="E3261" t="s">
        <v>18</v>
      </c>
      <c r="F3261" s="9">
        <v>0.04</v>
      </c>
      <c r="G3261" s="10">
        <v>15937</v>
      </c>
      <c r="H3261">
        <v>4.1500000000000004</v>
      </c>
      <c r="I3261" s="5">
        <f>ROUND(Marketing[[#This Row],[Clicks]]*Marketing[[#This Row],[Conversion_Rate]],0)</f>
        <v>15</v>
      </c>
      <c r="J3261" s="12">
        <f>Marketing[[#This Row],[Campaign_Cost]]/Marketing[[#This Row],[Customers]]</f>
        <v>1062.4666666666667</v>
      </c>
      <c r="K3261" t="s">
        <v>38</v>
      </c>
      <c r="L3261" t="s">
        <v>50</v>
      </c>
      <c r="M3261">
        <v>377</v>
      </c>
      <c r="N3261">
        <v>5681</v>
      </c>
      <c r="O3261">
        <v>2</v>
      </c>
      <c r="P3261" t="s">
        <v>21</v>
      </c>
      <c r="Q3261" s="1">
        <v>44536</v>
      </c>
    </row>
    <row r="3262" spans="1:17" x14ac:dyDescent="0.3">
      <c r="A3262" t="s">
        <v>22</v>
      </c>
      <c r="B3262" t="s">
        <v>15</v>
      </c>
      <c r="C3262" t="s">
        <v>16</v>
      </c>
      <c r="D3262" t="s">
        <v>40</v>
      </c>
      <c r="E3262" t="s">
        <v>15</v>
      </c>
      <c r="F3262" s="9">
        <v>0.13</v>
      </c>
      <c r="G3262" s="10">
        <v>14574</v>
      </c>
      <c r="H3262">
        <v>6.13</v>
      </c>
      <c r="I3262" s="5">
        <f>ROUND(Marketing[[#This Row],[Clicks]]*Marketing[[#This Row],[Conversion_Rate]],0)</f>
        <v>92</v>
      </c>
      <c r="J3262" s="12">
        <f>Marketing[[#This Row],[Campaign_Cost]]/Marketing[[#This Row],[Customers]]</f>
        <v>158.41304347826087</v>
      </c>
      <c r="K3262" t="s">
        <v>32</v>
      </c>
      <c r="L3262" t="s">
        <v>39</v>
      </c>
      <c r="M3262">
        <v>706</v>
      </c>
      <c r="N3262">
        <v>3532</v>
      </c>
      <c r="O3262">
        <v>2</v>
      </c>
      <c r="P3262" t="s">
        <v>21</v>
      </c>
      <c r="Q3262" s="1">
        <v>44537</v>
      </c>
    </row>
    <row r="3263" spans="1:17" x14ac:dyDescent="0.3">
      <c r="A3263" t="s">
        <v>35</v>
      </c>
      <c r="B3263" t="s">
        <v>47</v>
      </c>
      <c r="C3263" t="s">
        <v>30</v>
      </c>
      <c r="D3263" t="s">
        <v>40</v>
      </c>
      <c r="E3263" t="s">
        <v>43</v>
      </c>
      <c r="F3263" s="9">
        <v>0.09</v>
      </c>
      <c r="G3263" s="10">
        <v>5325</v>
      </c>
      <c r="H3263">
        <v>2.8</v>
      </c>
      <c r="I3263" s="5">
        <f>ROUND(Marketing[[#This Row],[Clicks]]*Marketing[[#This Row],[Conversion_Rate]],0)</f>
        <v>34</v>
      </c>
      <c r="J3263" s="12">
        <f>Marketing[[#This Row],[Campaign_Cost]]/Marketing[[#This Row],[Customers]]</f>
        <v>156.61764705882354</v>
      </c>
      <c r="K3263" t="s">
        <v>51</v>
      </c>
      <c r="L3263" t="s">
        <v>39</v>
      </c>
      <c r="M3263">
        <v>378</v>
      </c>
      <c r="N3263">
        <v>5514</v>
      </c>
      <c r="O3263">
        <v>5</v>
      </c>
      <c r="P3263" t="s">
        <v>27</v>
      </c>
      <c r="Q3263" s="1">
        <v>44538</v>
      </c>
    </row>
    <row r="3264" spans="1:17" x14ac:dyDescent="0.3">
      <c r="A3264" t="s">
        <v>49</v>
      </c>
      <c r="B3264" t="s">
        <v>29</v>
      </c>
      <c r="C3264" t="s">
        <v>37</v>
      </c>
      <c r="D3264" t="s">
        <v>17</v>
      </c>
      <c r="E3264" t="s">
        <v>31</v>
      </c>
      <c r="F3264" s="9">
        <v>0.04</v>
      </c>
      <c r="G3264" s="10">
        <v>6319</v>
      </c>
      <c r="H3264">
        <v>6.64</v>
      </c>
      <c r="I3264" s="5">
        <f>ROUND(Marketing[[#This Row],[Clicks]]*Marketing[[#This Row],[Conversion_Rate]],0)</f>
        <v>18</v>
      </c>
      <c r="J3264" s="12">
        <f>Marketing[[#This Row],[Campaign_Cost]]/Marketing[[#This Row],[Customers]]</f>
        <v>351.05555555555554</v>
      </c>
      <c r="K3264" t="s">
        <v>51</v>
      </c>
      <c r="L3264" t="s">
        <v>33</v>
      </c>
      <c r="M3264">
        <v>451</v>
      </c>
      <c r="N3264">
        <v>3228</v>
      </c>
      <c r="O3264">
        <v>2</v>
      </c>
      <c r="P3264" t="s">
        <v>44</v>
      </c>
      <c r="Q3264" s="1">
        <v>44539</v>
      </c>
    </row>
    <row r="3265" spans="1:17" x14ac:dyDescent="0.3">
      <c r="A3265" t="s">
        <v>14</v>
      </c>
      <c r="B3265" t="s">
        <v>36</v>
      </c>
      <c r="C3265" t="s">
        <v>16</v>
      </c>
      <c r="D3265" t="s">
        <v>24</v>
      </c>
      <c r="E3265" t="s">
        <v>15</v>
      </c>
      <c r="F3265" s="9">
        <v>0.03</v>
      </c>
      <c r="G3265" s="10">
        <v>8202</v>
      </c>
      <c r="H3265">
        <v>4.95</v>
      </c>
      <c r="I3265" s="5">
        <f>ROUND(Marketing[[#This Row],[Clicks]]*Marketing[[#This Row],[Conversion_Rate]],0)</f>
        <v>4</v>
      </c>
      <c r="J3265" s="12">
        <f>Marketing[[#This Row],[Campaign_Cost]]/Marketing[[#This Row],[Customers]]</f>
        <v>2050.5</v>
      </c>
      <c r="K3265" t="s">
        <v>38</v>
      </c>
      <c r="L3265" t="s">
        <v>39</v>
      </c>
      <c r="M3265">
        <v>138</v>
      </c>
      <c r="N3265">
        <v>8876</v>
      </c>
      <c r="O3265">
        <v>9</v>
      </c>
      <c r="P3265" t="s">
        <v>44</v>
      </c>
      <c r="Q3265" s="1">
        <v>44540</v>
      </c>
    </row>
    <row r="3266" spans="1:17" x14ac:dyDescent="0.3">
      <c r="A3266" t="s">
        <v>14</v>
      </c>
      <c r="B3266" t="s">
        <v>36</v>
      </c>
      <c r="C3266" t="s">
        <v>23</v>
      </c>
      <c r="D3266" t="s">
        <v>17</v>
      </c>
      <c r="E3266" t="s">
        <v>15</v>
      </c>
      <c r="F3266" s="9">
        <v>0.06</v>
      </c>
      <c r="G3266" s="10">
        <v>12786</v>
      </c>
      <c r="H3266">
        <v>7.21</v>
      </c>
      <c r="I3266" s="5">
        <f>ROUND(Marketing[[#This Row],[Clicks]]*Marketing[[#This Row],[Conversion_Rate]],0)</f>
        <v>24</v>
      </c>
      <c r="J3266" s="12">
        <f>Marketing[[#This Row],[Campaign_Cost]]/Marketing[[#This Row],[Customers]]</f>
        <v>532.75</v>
      </c>
      <c r="K3266" t="s">
        <v>32</v>
      </c>
      <c r="L3266" t="s">
        <v>50</v>
      </c>
      <c r="M3266">
        <v>401</v>
      </c>
      <c r="N3266">
        <v>1892</v>
      </c>
      <c r="O3266">
        <v>1</v>
      </c>
      <c r="P3266" t="s">
        <v>44</v>
      </c>
      <c r="Q3266" s="1">
        <v>44541</v>
      </c>
    </row>
    <row r="3267" spans="1:17" x14ac:dyDescent="0.3">
      <c r="A3267" t="s">
        <v>28</v>
      </c>
      <c r="B3267" t="s">
        <v>15</v>
      </c>
      <c r="C3267" t="s">
        <v>52</v>
      </c>
      <c r="D3267" t="s">
        <v>17</v>
      </c>
      <c r="E3267" t="s">
        <v>41</v>
      </c>
      <c r="F3267" s="9">
        <v>0.11</v>
      </c>
      <c r="G3267" s="10">
        <v>6613</v>
      </c>
      <c r="H3267">
        <v>4.2</v>
      </c>
      <c r="I3267" s="5">
        <f>ROUND(Marketing[[#This Row],[Clicks]]*Marketing[[#This Row],[Conversion_Rate]],0)</f>
        <v>93</v>
      </c>
      <c r="J3267" s="12">
        <f>Marketing[[#This Row],[Campaign_Cost]]/Marketing[[#This Row],[Customers]]</f>
        <v>71.107526881720432</v>
      </c>
      <c r="K3267" t="s">
        <v>25</v>
      </c>
      <c r="L3267" t="s">
        <v>33</v>
      </c>
      <c r="M3267">
        <v>845</v>
      </c>
      <c r="N3267">
        <v>4499</v>
      </c>
      <c r="O3267">
        <v>7</v>
      </c>
      <c r="P3267" t="s">
        <v>44</v>
      </c>
      <c r="Q3267" s="1">
        <v>44542</v>
      </c>
    </row>
    <row r="3268" spans="1:17" x14ac:dyDescent="0.3">
      <c r="A3268" t="s">
        <v>35</v>
      </c>
      <c r="B3268" t="s">
        <v>29</v>
      </c>
      <c r="C3268" t="s">
        <v>37</v>
      </c>
      <c r="D3268" t="s">
        <v>24</v>
      </c>
      <c r="E3268" t="s">
        <v>15</v>
      </c>
      <c r="F3268" s="9">
        <v>0.11</v>
      </c>
      <c r="G3268" s="10">
        <v>14835</v>
      </c>
      <c r="H3268">
        <v>5.22</v>
      </c>
      <c r="I3268" s="5">
        <f>ROUND(Marketing[[#This Row],[Clicks]]*Marketing[[#This Row],[Conversion_Rate]],0)</f>
        <v>92</v>
      </c>
      <c r="J3268" s="12">
        <f>Marketing[[#This Row],[Campaign_Cost]]/Marketing[[#This Row],[Customers]]</f>
        <v>161.25</v>
      </c>
      <c r="K3268" t="s">
        <v>38</v>
      </c>
      <c r="L3268" t="s">
        <v>33</v>
      </c>
      <c r="M3268">
        <v>833</v>
      </c>
      <c r="N3268">
        <v>5630</v>
      </c>
      <c r="O3268">
        <v>7</v>
      </c>
      <c r="P3268" t="s">
        <v>42</v>
      </c>
      <c r="Q3268" s="1">
        <v>44543</v>
      </c>
    </row>
    <row r="3269" spans="1:17" x14ac:dyDescent="0.3">
      <c r="A3269" t="s">
        <v>22</v>
      </c>
      <c r="B3269" t="s">
        <v>15</v>
      </c>
      <c r="C3269" t="s">
        <v>52</v>
      </c>
      <c r="D3269" t="s">
        <v>46</v>
      </c>
      <c r="E3269" t="s">
        <v>18</v>
      </c>
      <c r="F3269" s="9">
        <v>0.13</v>
      </c>
      <c r="G3269" s="10">
        <v>13704</v>
      </c>
      <c r="H3269">
        <v>2.5</v>
      </c>
      <c r="I3269" s="5">
        <f>ROUND(Marketing[[#This Row],[Clicks]]*Marketing[[#This Row],[Conversion_Rate]],0)</f>
        <v>100</v>
      </c>
      <c r="J3269" s="12">
        <f>Marketing[[#This Row],[Campaign_Cost]]/Marketing[[#This Row],[Customers]]</f>
        <v>137.04</v>
      </c>
      <c r="K3269" t="s">
        <v>32</v>
      </c>
      <c r="L3269" t="s">
        <v>50</v>
      </c>
      <c r="M3269">
        <v>771</v>
      </c>
      <c r="N3269">
        <v>6029</v>
      </c>
      <c r="O3269">
        <v>1</v>
      </c>
      <c r="P3269" t="s">
        <v>21</v>
      </c>
      <c r="Q3269" s="1">
        <v>44544</v>
      </c>
    </row>
    <row r="3270" spans="1:17" x14ac:dyDescent="0.3">
      <c r="A3270" t="s">
        <v>14</v>
      </c>
      <c r="B3270" t="s">
        <v>36</v>
      </c>
      <c r="C3270" t="s">
        <v>52</v>
      </c>
      <c r="D3270" t="s">
        <v>24</v>
      </c>
      <c r="E3270" t="s">
        <v>31</v>
      </c>
      <c r="F3270" s="9">
        <v>0.11</v>
      </c>
      <c r="G3270" s="10">
        <v>19414</v>
      </c>
      <c r="H3270">
        <v>6.66</v>
      </c>
      <c r="I3270" s="5">
        <f>ROUND(Marketing[[#This Row],[Clicks]]*Marketing[[#This Row],[Conversion_Rate]],0)</f>
        <v>87</v>
      </c>
      <c r="J3270" s="12">
        <f>Marketing[[#This Row],[Campaign_Cost]]/Marketing[[#This Row],[Customers]]</f>
        <v>223.14942528735631</v>
      </c>
      <c r="K3270" t="s">
        <v>38</v>
      </c>
      <c r="L3270" t="s">
        <v>39</v>
      </c>
      <c r="M3270">
        <v>790</v>
      </c>
      <c r="N3270">
        <v>8189</v>
      </c>
      <c r="O3270">
        <v>2</v>
      </c>
      <c r="P3270" t="s">
        <v>42</v>
      </c>
      <c r="Q3270" s="1">
        <v>44545</v>
      </c>
    </row>
    <row r="3271" spans="1:17" x14ac:dyDescent="0.3">
      <c r="A3271" t="s">
        <v>28</v>
      </c>
      <c r="B3271" t="s">
        <v>29</v>
      </c>
      <c r="C3271" t="s">
        <v>23</v>
      </c>
      <c r="D3271" t="s">
        <v>46</v>
      </c>
      <c r="E3271" t="s">
        <v>15</v>
      </c>
      <c r="F3271" s="9">
        <v>0.09</v>
      </c>
      <c r="G3271" s="10">
        <v>12716</v>
      </c>
      <c r="H3271">
        <v>5.25</v>
      </c>
      <c r="I3271" s="5">
        <f>ROUND(Marketing[[#This Row],[Clicks]]*Marketing[[#This Row],[Conversion_Rate]],0)</f>
        <v>62</v>
      </c>
      <c r="J3271" s="12">
        <f>Marketing[[#This Row],[Campaign_Cost]]/Marketing[[#This Row],[Customers]]</f>
        <v>205.09677419354838</v>
      </c>
      <c r="K3271" t="s">
        <v>19</v>
      </c>
      <c r="L3271" t="s">
        <v>50</v>
      </c>
      <c r="M3271">
        <v>690</v>
      </c>
      <c r="N3271">
        <v>8208</v>
      </c>
      <c r="O3271">
        <v>2</v>
      </c>
      <c r="P3271" t="s">
        <v>44</v>
      </c>
      <c r="Q3271" s="1">
        <v>44546</v>
      </c>
    </row>
    <row r="3272" spans="1:17" x14ac:dyDescent="0.3">
      <c r="A3272" t="s">
        <v>49</v>
      </c>
      <c r="B3272" t="s">
        <v>36</v>
      </c>
      <c r="C3272" t="s">
        <v>30</v>
      </c>
      <c r="D3272" t="s">
        <v>40</v>
      </c>
      <c r="E3272" t="s">
        <v>41</v>
      </c>
      <c r="F3272" s="9">
        <v>0.02</v>
      </c>
      <c r="G3272" s="10">
        <v>7784</v>
      </c>
      <c r="H3272">
        <v>3.28</v>
      </c>
      <c r="I3272" s="5">
        <f>ROUND(Marketing[[#This Row],[Clicks]]*Marketing[[#This Row],[Conversion_Rate]],0)</f>
        <v>3</v>
      </c>
      <c r="J3272" s="12">
        <f>Marketing[[#This Row],[Campaign_Cost]]/Marketing[[#This Row],[Customers]]</f>
        <v>2594.6666666666665</v>
      </c>
      <c r="K3272" t="s">
        <v>38</v>
      </c>
      <c r="L3272" t="s">
        <v>39</v>
      </c>
      <c r="M3272">
        <v>126</v>
      </c>
      <c r="N3272">
        <v>1841</v>
      </c>
      <c r="O3272">
        <v>5</v>
      </c>
      <c r="P3272" t="s">
        <v>27</v>
      </c>
      <c r="Q3272" s="1">
        <v>44547</v>
      </c>
    </row>
    <row r="3273" spans="1:17" x14ac:dyDescent="0.3">
      <c r="A3273" t="s">
        <v>49</v>
      </c>
      <c r="B3273" t="s">
        <v>47</v>
      </c>
      <c r="C3273" t="s">
        <v>23</v>
      </c>
      <c r="D3273" t="s">
        <v>17</v>
      </c>
      <c r="E3273" t="s">
        <v>18</v>
      </c>
      <c r="F3273" s="9">
        <v>0.01</v>
      </c>
      <c r="G3273" s="10">
        <v>8641</v>
      </c>
      <c r="H3273">
        <v>3.81</v>
      </c>
      <c r="I3273" s="5">
        <f>ROUND(Marketing[[#This Row],[Clicks]]*Marketing[[#This Row],[Conversion_Rate]],0)</f>
        <v>8</v>
      </c>
      <c r="J3273" s="12">
        <f>Marketing[[#This Row],[Campaign_Cost]]/Marketing[[#This Row],[Customers]]</f>
        <v>1080.125</v>
      </c>
      <c r="K3273" t="s">
        <v>38</v>
      </c>
      <c r="L3273" t="s">
        <v>39</v>
      </c>
      <c r="M3273">
        <v>842</v>
      </c>
      <c r="N3273">
        <v>8007</v>
      </c>
      <c r="O3273">
        <v>2</v>
      </c>
      <c r="P3273" t="s">
        <v>44</v>
      </c>
      <c r="Q3273" s="1">
        <v>44548</v>
      </c>
    </row>
    <row r="3274" spans="1:17" x14ac:dyDescent="0.3">
      <c r="A3274" t="s">
        <v>35</v>
      </c>
      <c r="B3274" t="s">
        <v>15</v>
      </c>
      <c r="C3274" t="s">
        <v>52</v>
      </c>
      <c r="D3274" t="s">
        <v>40</v>
      </c>
      <c r="E3274" t="s">
        <v>31</v>
      </c>
      <c r="F3274" s="9">
        <v>0.02</v>
      </c>
      <c r="G3274" s="10">
        <v>9398</v>
      </c>
      <c r="H3274">
        <v>7.18</v>
      </c>
      <c r="I3274" s="5">
        <f>ROUND(Marketing[[#This Row],[Clicks]]*Marketing[[#This Row],[Conversion_Rate]],0)</f>
        <v>4</v>
      </c>
      <c r="J3274" s="12">
        <f>Marketing[[#This Row],[Campaign_Cost]]/Marketing[[#This Row],[Customers]]</f>
        <v>2349.5</v>
      </c>
      <c r="K3274" t="s">
        <v>19</v>
      </c>
      <c r="L3274" t="s">
        <v>39</v>
      </c>
      <c r="M3274">
        <v>180</v>
      </c>
      <c r="N3274">
        <v>5288</v>
      </c>
      <c r="O3274">
        <v>9</v>
      </c>
      <c r="P3274" t="s">
        <v>27</v>
      </c>
      <c r="Q3274" s="1">
        <v>44549</v>
      </c>
    </row>
    <row r="3275" spans="1:17" x14ac:dyDescent="0.3">
      <c r="A3275" t="s">
        <v>49</v>
      </c>
      <c r="B3275" t="s">
        <v>47</v>
      </c>
      <c r="C3275" t="s">
        <v>30</v>
      </c>
      <c r="D3275" t="s">
        <v>17</v>
      </c>
      <c r="E3275" t="s">
        <v>43</v>
      </c>
      <c r="F3275" s="9">
        <v>0.13</v>
      </c>
      <c r="G3275" s="10">
        <v>13483</v>
      </c>
      <c r="H3275">
        <v>7.75</v>
      </c>
      <c r="I3275" s="5">
        <f>ROUND(Marketing[[#This Row],[Clicks]]*Marketing[[#This Row],[Conversion_Rate]],0)</f>
        <v>51</v>
      </c>
      <c r="J3275" s="12">
        <f>Marketing[[#This Row],[Campaign_Cost]]/Marketing[[#This Row],[Customers]]</f>
        <v>264.37254901960785</v>
      </c>
      <c r="K3275" t="s">
        <v>19</v>
      </c>
      <c r="L3275" t="s">
        <v>26</v>
      </c>
      <c r="M3275">
        <v>389</v>
      </c>
      <c r="N3275">
        <v>3824</v>
      </c>
      <c r="O3275">
        <v>6</v>
      </c>
      <c r="P3275" t="s">
        <v>42</v>
      </c>
      <c r="Q3275" s="1">
        <v>44550</v>
      </c>
    </row>
    <row r="3276" spans="1:17" x14ac:dyDescent="0.3">
      <c r="A3276" t="s">
        <v>49</v>
      </c>
      <c r="B3276" t="s">
        <v>36</v>
      </c>
      <c r="C3276" t="s">
        <v>37</v>
      </c>
      <c r="D3276" t="s">
        <v>46</v>
      </c>
      <c r="E3276" t="s">
        <v>43</v>
      </c>
      <c r="F3276" s="9">
        <v>0.04</v>
      </c>
      <c r="G3276" s="10">
        <v>16168</v>
      </c>
      <c r="H3276">
        <v>4.4400000000000004</v>
      </c>
      <c r="I3276" s="5">
        <f>ROUND(Marketing[[#This Row],[Clicks]]*Marketing[[#This Row],[Conversion_Rate]],0)</f>
        <v>22</v>
      </c>
      <c r="J3276" s="12">
        <f>Marketing[[#This Row],[Campaign_Cost]]/Marketing[[#This Row],[Customers]]</f>
        <v>734.90909090909088</v>
      </c>
      <c r="K3276" t="s">
        <v>38</v>
      </c>
      <c r="L3276" t="s">
        <v>50</v>
      </c>
      <c r="M3276">
        <v>550</v>
      </c>
      <c r="N3276">
        <v>4129</v>
      </c>
      <c r="O3276">
        <v>5</v>
      </c>
      <c r="P3276" t="s">
        <v>21</v>
      </c>
      <c r="Q3276" s="1">
        <v>44551</v>
      </c>
    </row>
    <row r="3277" spans="1:17" x14ac:dyDescent="0.3">
      <c r="A3277" t="s">
        <v>49</v>
      </c>
      <c r="B3277" t="s">
        <v>15</v>
      </c>
      <c r="C3277" t="s">
        <v>37</v>
      </c>
      <c r="D3277" t="s">
        <v>24</v>
      </c>
      <c r="E3277" t="s">
        <v>18</v>
      </c>
      <c r="F3277" s="9">
        <v>0.03</v>
      </c>
      <c r="G3277" s="10">
        <v>10759</v>
      </c>
      <c r="H3277">
        <v>6.03</v>
      </c>
      <c r="I3277" s="5">
        <f>ROUND(Marketing[[#This Row],[Clicks]]*Marketing[[#This Row],[Conversion_Rate]],0)</f>
        <v>15</v>
      </c>
      <c r="J3277" s="12">
        <f>Marketing[[#This Row],[Campaign_Cost]]/Marketing[[#This Row],[Customers]]</f>
        <v>717.26666666666665</v>
      </c>
      <c r="K3277" t="s">
        <v>51</v>
      </c>
      <c r="L3277" t="s">
        <v>50</v>
      </c>
      <c r="M3277">
        <v>492</v>
      </c>
      <c r="N3277">
        <v>1012</v>
      </c>
      <c r="O3277">
        <v>8</v>
      </c>
      <c r="P3277" t="s">
        <v>44</v>
      </c>
      <c r="Q3277" s="1">
        <v>44552</v>
      </c>
    </row>
    <row r="3278" spans="1:17" x14ac:dyDescent="0.3">
      <c r="A3278" t="s">
        <v>28</v>
      </c>
      <c r="B3278" t="s">
        <v>29</v>
      </c>
      <c r="C3278" t="s">
        <v>52</v>
      </c>
      <c r="D3278" t="s">
        <v>17</v>
      </c>
      <c r="E3278" t="s">
        <v>15</v>
      </c>
      <c r="F3278" s="9">
        <v>0.15</v>
      </c>
      <c r="G3278" s="10">
        <v>5588</v>
      </c>
      <c r="H3278">
        <v>6.88</v>
      </c>
      <c r="I3278" s="5">
        <f>ROUND(Marketing[[#This Row],[Clicks]]*Marketing[[#This Row],[Conversion_Rate]],0)</f>
        <v>97</v>
      </c>
      <c r="J3278" s="12">
        <f>Marketing[[#This Row],[Campaign_Cost]]/Marketing[[#This Row],[Customers]]</f>
        <v>57.608247422680414</v>
      </c>
      <c r="K3278" t="s">
        <v>51</v>
      </c>
      <c r="L3278" t="s">
        <v>33</v>
      </c>
      <c r="M3278">
        <v>647</v>
      </c>
      <c r="N3278">
        <v>8991</v>
      </c>
      <c r="O3278">
        <v>8</v>
      </c>
      <c r="P3278" t="s">
        <v>34</v>
      </c>
      <c r="Q3278" s="1">
        <v>44553</v>
      </c>
    </row>
    <row r="3279" spans="1:17" x14ac:dyDescent="0.3">
      <c r="A3279" t="s">
        <v>22</v>
      </c>
      <c r="B3279" t="s">
        <v>47</v>
      </c>
      <c r="C3279" t="s">
        <v>52</v>
      </c>
      <c r="D3279" t="s">
        <v>17</v>
      </c>
      <c r="E3279" t="s">
        <v>15</v>
      </c>
      <c r="F3279" s="9">
        <v>0.08</v>
      </c>
      <c r="G3279" s="10">
        <v>5210</v>
      </c>
      <c r="H3279">
        <v>2.15</v>
      </c>
      <c r="I3279" s="5">
        <f>ROUND(Marketing[[#This Row],[Clicks]]*Marketing[[#This Row],[Conversion_Rate]],0)</f>
        <v>18</v>
      </c>
      <c r="J3279" s="12">
        <f>Marketing[[#This Row],[Campaign_Cost]]/Marketing[[#This Row],[Customers]]</f>
        <v>289.44444444444446</v>
      </c>
      <c r="K3279" t="s">
        <v>51</v>
      </c>
      <c r="L3279" t="s">
        <v>39</v>
      </c>
      <c r="M3279">
        <v>225</v>
      </c>
      <c r="N3279">
        <v>1510</v>
      </c>
      <c r="O3279">
        <v>1</v>
      </c>
      <c r="P3279" t="s">
        <v>34</v>
      </c>
      <c r="Q3279" s="1">
        <v>44554</v>
      </c>
    </row>
    <row r="3280" spans="1:17" x14ac:dyDescent="0.3">
      <c r="A3280" t="s">
        <v>28</v>
      </c>
      <c r="B3280" t="s">
        <v>36</v>
      </c>
      <c r="C3280" t="s">
        <v>37</v>
      </c>
      <c r="D3280" t="s">
        <v>40</v>
      </c>
      <c r="E3280" t="s">
        <v>43</v>
      </c>
      <c r="F3280" s="9">
        <v>0.15</v>
      </c>
      <c r="G3280" s="10">
        <v>14316</v>
      </c>
      <c r="H3280">
        <v>6.16</v>
      </c>
      <c r="I3280" s="5">
        <f>ROUND(Marketing[[#This Row],[Clicks]]*Marketing[[#This Row],[Conversion_Rate]],0)</f>
        <v>100</v>
      </c>
      <c r="J3280" s="12">
        <f>Marketing[[#This Row],[Campaign_Cost]]/Marketing[[#This Row],[Customers]]</f>
        <v>143.16</v>
      </c>
      <c r="K3280" t="s">
        <v>51</v>
      </c>
      <c r="L3280" t="s">
        <v>26</v>
      </c>
      <c r="M3280">
        <v>669</v>
      </c>
      <c r="N3280">
        <v>8408</v>
      </c>
      <c r="O3280">
        <v>2</v>
      </c>
      <c r="P3280" t="s">
        <v>21</v>
      </c>
      <c r="Q3280" s="1">
        <v>44555</v>
      </c>
    </row>
    <row r="3281" spans="1:17" x14ac:dyDescent="0.3">
      <c r="A3281" t="s">
        <v>28</v>
      </c>
      <c r="B3281" t="s">
        <v>47</v>
      </c>
      <c r="C3281" t="s">
        <v>23</v>
      </c>
      <c r="D3281" t="s">
        <v>17</v>
      </c>
      <c r="E3281" t="s">
        <v>48</v>
      </c>
      <c r="F3281" s="9">
        <v>0.03</v>
      </c>
      <c r="G3281" s="10">
        <v>15945</v>
      </c>
      <c r="H3281">
        <v>5.73</v>
      </c>
      <c r="I3281" s="5">
        <f>ROUND(Marketing[[#This Row],[Clicks]]*Marketing[[#This Row],[Conversion_Rate]],0)</f>
        <v>26</v>
      </c>
      <c r="J3281" s="12">
        <f>Marketing[[#This Row],[Campaign_Cost]]/Marketing[[#This Row],[Customers]]</f>
        <v>613.26923076923072</v>
      </c>
      <c r="K3281" t="s">
        <v>51</v>
      </c>
      <c r="L3281" t="s">
        <v>20</v>
      </c>
      <c r="M3281">
        <v>882</v>
      </c>
      <c r="N3281">
        <v>7588</v>
      </c>
      <c r="O3281">
        <v>1</v>
      </c>
      <c r="P3281" t="s">
        <v>21</v>
      </c>
      <c r="Q3281" s="1">
        <v>44556</v>
      </c>
    </row>
    <row r="3282" spans="1:17" x14ac:dyDescent="0.3">
      <c r="A3282" t="s">
        <v>22</v>
      </c>
      <c r="B3282" t="s">
        <v>36</v>
      </c>
      <c r="C3282" t="s">
        <v>52</v>
      </c>
      <c r="D3282" t="s">
        <v>46</v>
      </c>
      <c r="E3282" t="s">
        <v>48</v>
      </c>
      <c r="F3282" s="9">
        <v>0.04</v>
      </c>
      <c r="G3282" s="10">
        <v>11143</v>
      </c>
      <c r="H3282">
        <v>3.6</v>
      </c>
      <c r="I3282" s="5">
        <f>ROUND(Marketing[[#This Row],[Clicks]]*Marketing[[#This Row],[Conversion_Rate]],0)</f>
        <v>21</v>
      </c>
      <c r="J3282" s="12">
        <f>Marketing[[#This Row],[Campaign_Cost]]/Marketing[[#This Row],[Customers]]</f>
        <v>530.61904761904759</v>
      </c>
      <c r="K3282" t="s">
        <v>19</v>
      </c>
      <c r="L3282" t="s">
        <v>50</v>
      </c>
      <c r="M3282">
        <v>533</v>
      </c>
      <c r="N3282">
        <v>3908</v>
      </c>
      <c r="O3282">
        <v>5</v>
      </c>
      <c r="P3282" t="s">
        <v>44</v>
      </c>
      <c r="Q3282" s="1">
        <v>44557</v>
      </c>
    </row>
    <row r="3283" spans="1:17" x14ac:dyDescent="0.3">
      <c r="A3283" t="s">
        <v>35</v>
      </c>
      <c r="B3283" t="s">
        <v>36</v>
      </c>
      <c r="C3283" t="s">
        <v>52</v>
      </c>
      <c r="D3283" t="s">
        <v>46</v>
      </c>
      <c r="E3283" t="s">
        <v>43</v>
      </c>
      <c r="F3283" s="9">
        <v>0.01</v>
      </c>
      <c r="G3283" s="10">
        <v>15422</v>
      </c>
      <c r="H3283">
        <v>7.95</v>
      </c>
      <c r="I3283" s="5">
        <f>ROUND(Marketing[[#This Row],[Clicks]]*Marketing[[#This Row],[Conversion_Rate]],0)</f>
        <v>2</v>
      </c>
      <c r="J3283" s="12">
        <f>Marketing[[#This Row],[Campaign_Cost]]/Marketing[[#This Row],[Customers]]</f>
        <v>7711</v>
      </c>
      <c r="K3283" t="s">
        <v>19</v>
      </c>
      <c r="L3283" t="s">
        <v>33</v>
      </c>
      <c r="M3283">
        <v>185</v>
      </c>
      <c r="N3283">
        <v>1365</v>
      </c>
      <c r="O3283">
        <v>9</v>
      </c>
      <c r="P3283" t="s">
        <v>42</v>
      </c>
      <c r="Q3283" s="1">
        <v>44558</v>
      </c>
    </row>
    <row r="3284" spans="1:17" x14ac:dyDescent="0.3">
      <c r="A3284" t="s">
        <v>28</v>
      </c>
      <c r="B3284" t="s">
        <v>29</v>
      </c>
      <c r="C3284" t="s">
        <v>37</v>
      </c>
      <c r="D3284" t="s">
        <v>40</v>
      </c>
      <c r="E3284" t="s">
        <v>48</v>
      </c>
      <c r="F3284" s="9">
        <v>0.01</v>
      </c>
      <c r="G3284" s="10">
        <v>11474</v>
      </c>
      <c r="H3284">
        <v>3.4</v>
      </c>
      <c r="I3284" s="5">
        <f>ROUND(Marketing[[#This Row],[Clicks]]*Marketing[[#This Row],[Conversion_Rate]],0)</f>
        <v>7</v>
      </c>
      <c r="J3284" s="12">
        <f>Marketing[[#This Row],[Campaign_Cost]]/Marketing[[#This Row],[Customers]]</f>
        <v>1639.1428571428571</v>
      </c>
      <c r="K3284" t="s">
        <v>32</v>
      </c>
      <c r="L3284" t="s">
        <v>39</v>
      </c>
      <c r="M3284">
        <v>744</v>
      </c>
      <c r="N3284">
        <v>2284</v>
      </c>
      <c r="O3284">
        <v>9</v>
      </c>
      <c r="P3284" t="s">
        <v>42</v>
      </c>
      <c r="Q3284" s="1">
        <v>44559</v>
      </c>
    </row>
    <row r="3285" spans="1:17" x14ac:dyDescent="0.3">
      <c r="A3285" t="s">
        <v>28</v>
      </c>
      <c r="B3285" t="s">
        <v>47</v>
      </c>
      <c r="C3285" t="s">
        <v>30</v>
      </c>
      <c r="D3285" t="s">
        <v>40</v>
      </c>
      <c r="E3285" t="s">
        <v>43</v>
      </c>
      <c r="F3285" s="9">
        <v>0.06</v>
      </c>
      <c r="G3285" s="10">
        <v>10291</v>
      </c>
      <c r="H3285">
        <v>5.58</v>
      </c>
      <c r="I3285" s="5">
        <f>ROUND(Marketing[[#This Row],[Clicks]]*Marketing[[#This Row],[Conversion_Rate]],0)</f>
        <v>38</v>
      </c>
      <c r="J3285" s="12">
        <f>Marketing[[#This Row],[Campaign_Cost]]/Marketing[[#This Row],[Customers]]</f>
        <v>270.81578947368422</v>
      </c>
      <c r="K3285" t="s">
        <v>51</v>
      </c>
      <c r="L3285" t="s">
        <v>50</v>
      </c>
      <c r="M3285">
        <v>635</v>
      </c>
      <c r="N3285">
        <v>1102</v>
      </c>
      <c r="O3285">
        <v>2</v>
      </c>
      <c r="P3285" t="s">
        <v>44</v>
      </c>
      <c r="Q3285" s="1">
        <v>44560</v>
      </c>
    </row>
    <row r="3286" spans="1:17" x14ac:dyDescent="0.3">
      <c r="A3286" t="s">
        <v>28</v>
      </c>
      <c r="B3286" t="s">
        <v>47</v>
      </c>
      <c r="C3286" t="s">
        <v>30</v>
      </c>
      <c r="D3286" t="s">
        <v>24</v>
      </c>
      <c r="E3286" t="s">
        <v>31</v>
      </c>
      <c r="F3286" s="9">
        <v>0.06</v>
      </c>
      <c r="G3286" s="10">
        <v>7804</v>
      </c>
      <c r="H3286">
        <v>4.72</v>
      </c>
      <c r="I3286" s="5">
        <f>ROUND(Marketing[[#This Row],[Clicks]]*Marketing[[#This Row],[Conversion_Rate]],0)</f>
        <v>42</v>
      </c>
      <c r="J3286" s="12">
        <f>Marketing[[#This Row],[Campaign_Cost]]/Marketing[[#This Row],[Customers]]</f>
        <v>185.8095238095238</v>
      </c>
      <c r="K3286" t="s">
        <v>19</v>
      </c>
      <c r="L3286" t="s">
        <v>39</v>
      </c>
      <c r="M3286">
        <v>702</v>
      </c>
      <c r="N3286">
        <v>7617</v>
      </c>
      <c r="O3286">
        <v>9</v>
      </c>
      <c r="P3286" t="s">
        <v>34</v>
      </c>
      <c r="Q3286" s="1">
        <v>44561</v>
      </c>
    </row>
    <row r="3287" spans="1:17" x14ac:dyDescent="0.3">
      <c r="A3287" t="s">
        <v>22</v>
      </c>
      <c r="B3287" t="s">
        <v>15</v>
      </c>
      <c r="C3287" t="s">
        <v>23</v>
      </c>
      <c r="D3287" t="s">
        <v>40</v>
      </c>
      <c r="E3287" t="s">
        <v>31</v>
      </c>
      <c r="F3287" s="9">
        <v>0.12</v>
      </c>
      <c r="G3287" s="10">
        <v>19747</v>
      </c>
      <c r="H3287">
        <v>5.93</v>
      </c>
      <c r="I3287" s="5">
        <f>ROUND(Marketing[[#This Row],[Clicks]]*Marketing[[#This Row],[Conversion_Rate]],0)</f>
        <v>53</v>
      </c>
      <c r="J3287" s="12">
        <f>Marketing[[#This Row],[Campaign_Cost]]/Marketing[[#This Row],[Customers]]</f>
        <v>372.58490566037733</v>
      </c>
      <c r="K3287" t="s">
        <v>32</v>
      </c>
      <c r="L3287" t="s">
        <v>20</v>
      </c>
      <c r="M3287">
        <v>439</v>
      </c>
      <c r="N3287">
        <v>4978</v>
      </c>
      <c r="O3287">
        <v>4</v>
      </c>
      <c r="P3287" t="s">
        <v>27</v>
      </c>
      <c r="Q3287" s="1">
        <v>44197</v>
      </c>
    </row>
    <row r="3288" spans="1:17" x14ac:dyDescent="0.3">
      <c r="A3288" t="s">
        <v>14</v>
      </c>
      <c r="B3288" t="s">
        <v>29</v>
      </c>
      <c r="C3288" t="s">
        <v>52</v>
      </c>
      <c r="D3288" t="s">
        <v>17</v>
      </c>
      <c r="E3288" t="s">
        <v>15</v>
      </c>
      <c r="F3288" s="9">
        <v>0.14000000000000001</v>
      </c>
      <c r="G3288" s="10">
        <v>8670</v>
      </c>
      <c r="H3288">
        <v>2.75</v>
      </c>
      <c r="I3288" s="5">
        <f>ROUND(Marketing[[#This Row],[Clicks]]*Marketing[[#This Row],[Conversion_Rate]],0)</f>
        <v>24</v>
      </c>
      <c r="J3288" s="12">
        <f>Marketing[[#This Row],[Campaign_Cost]]/Marketing[[#This Row],[Customers]]</f>
        <v>361.25</v>
      </c>
      <c r="K3288" t="s">
        <v>19</v>
      </c>
      <c r="L3288" t="s">
        <v>39</v>
      </c>
      <c r="M3288">
        <v>170</v>
      </c>
      <c r="N3288">
        <v>7293</v>
      </c>
      <c r="O3288">
        <v>9</v>
      </c>
      <c r="P3288" t="s">
        <v>42</v>
      </c>
      <c r="Q3288" s="1">
        <v>44198</v>
      </c>
    </row>
    <row r="3289" spans="1:17" x14ac:dyDescent="0.3">
      <c r="A3289" t="s">
        <v>28</v>
      </c>
      <c r="B3289" t="s">
        <v>36</v>
      </c>
      <c r="C3289" t="s">
        <v>30</v>
      </c>
      <c r="D3289" t="s">
        <v>24</v>
      </c>
      <c r="E3289" t="s">
        <v>41</v>
      </c>
      <c r="F3289" s="9">
        <v>0.11</v>
      </c>
      <c r="G3289" s="10">
        <v>18837</v>
      </c>
      <c r="H3289">
        <v>2.96</v>
      </c>
      <c r="I3289" s="5">
        <f>ROUND(Marketing[[#This Row],[Clicks]]*Marketing[[#This Row],[Conversion_Rate]],0)</f>
        <v>18</v>
      </c>
      <c r="J3289" s="12">
        <f>Marketing[[#This Row],[Campaign_Cost]]/Marketing[[#This Row],[Customers]]</f>
        <v>1046.5</v>
      </c>
      <c r="K3289" t="s">
        <v>19</v>
      </c>
      <c r="L3289" t="s">
        <v>39</v>
      </c>
      <c r="M3289">
        <v>162</v>
      </c>
      <c r="N3289">
        <v>6801</v>
      </c>
      <c r="O3289">
        <v>10</v>
      </c>
      <c r="P3289" t="s">
        <v>42</v>
      </c>
      <c r="Q3289" s="1">
        <v>44199</v>
      </c>
    </row>
    <row r="3290" spans="1:17" x14ac:dyDescent="0.3">
      <c r="A3290" t="s">
        <v>28</v>
      </c>
      <c r="B3290" t="s">
        <v>36</v>
      </c>
      <c r="C3290" t="s">
        <v>37</v>
      </c>
      <c r="D3290" t="s">
        <v>40</v>
      </c>
      <c r="E3290" t="s">
        <v>31</v>
      </c>
      <c r="F3290" s="9">
        <v>7.0000000000000007E-2</v>
      </c>
      <c r="G3290" s="10">
        <v>12899</v>
      </c>
      <c r="H3290">
        <v>6.29</v>
      </c>
      <c r="I3290" s="5">
        <f>ROUND(Marketing[[#This Row],[Clicks]]*Marketing[[#This Row],[Conversion_Rate]],0)</f>
        <v>9</v>
      </c>
      <c r="J3290" s="12">
        <f>Marketing[[#This Row],[Campaign_Cost]]/Marketing[[#This Row],[Customers]]</f>
        <v>1433.2222222222222</v>
      </c>
      <c r="K3290" t="s">
        <v>32</v>
      </c>
      <c r="L3290" t="s">
        <v>26</v>
      </c>
      <c r="M3290">
        <v>133</v>
      </c>
      <c r="N3290">
        <v>9885</v>
      </c>
      <c r="O3290">
        <v>8</v>
      </c>
      <c r="P3290" t="s">
        <v>21</v>
      </c>
      <c r="Q3290" s="1">
        <v>44200</v>
      </c>
    </row>
    <row r="3291" spans="1:17" x14ac:dyDescent="0.3">
      <c r="A3291" t="s">
        <v>28</v>
      </c>
      <c r="B3291" t="s">
        <v>45</v>
      </c>
      <c r="C3291" t="s">
        <v>16</v>
      </c>
      <c r="D3291" t="s">
        <v>24</v>
      </c>
      <c r="E3291" t="s">
        <v>15</v>
      </c>
      <c r="F3291" s="9">
        <v>0.12</v>
      </c>
      <c r="G3291" s="10">
        <v>11906</v>
      </c>
      <c r="H3291">
        <v>3.2</v>
      </c>
      <c r="I3291" s="5">
        <f>ROUND(Marketing[[#This Row],[Clicks]]*Marketing[[#This Row],[Conversion_Rate]],0)</f>
        <v>100</v>
      </c>
      <c r="J3291" s="12">
        <f>Marketing[[#This Row],[Campaign_Cost]]/Marketing[[#This Row],[Customers]]</f>
        <v>119.06</v>
      </c>
      <c r="K3291" t="s">
        <v>38</v>
      </c>
      <c r="L3291" t="s">
        <v>50</v>
      </c>
      <c r="M3291">
        <v>836</v>
      </c>
      <c r="N3291">
        <v>4004</v>
      </c>
      <c r="O3291">
        <v>6</v>
      </c>
      <c r="P3291" t="s">
        <v>34</v>
      </c>
      <c r="Q3291" s="1">
        <v>44201</v>
      </c>
    </row>
    <row r="3292" spans="1:17" x14ac:dyDescent="0.3">
      <c r="A3292" t="s">
        <v>49</v>
      </c>
      <c r="B3292" t="s">
        <v>45</v>
      </c>
      <c r="C3292" t="s">
        <v>37</v>
      </c>
      <c r="D3292" t="s">
        <v>17</v>
      </c>
      <c r="E3292" t="s">
        <v>43</v>
      </c>
      <c r="F3292" s="9">
        <v>0.06</v>
      </c>
      <c r="G3292" s="10">
        <v>17901</v>
      </c>
      <c r="H3292">
        <v>5.41</v>
      </c>
      <c r="I3292" s="5">
        <f>ROUND(Marketing[[#This Row],[Clicks]]*Marketing[[#This Row],[Conversion_Rate]],0)</f>
        <v>39</v>
      </c>
      <c r="J3292" s="12">
        <f>Marketing[[#This Row],[Campaign_Cost]]/Marketing[[#This Row],[Customers]]</f>
        <v>459</v>
      </c>
      <c r="K3292" t="s">
        <v>32</v>
      </c>
      <c r="L3292" t="s">
        <v>50</v>
      </c>
      <c r="M3292">
        <v>644</v>
      </c>
      <c r="N3292">
        <v>7657</v>
      </c>
      <c r="O3292">
        <v>8</v>
      </c>
      <c r="P3292" t="s">
        <v>21</v>
      </c>
      <c r="Q3292" s="1">
        <v>44202</v>
      </c>
    </row>
    <row r="3293" spans="1:17" x14ac:dyDescent="0.3">
      <c r="A3293" t="s">
        <v>22</v>
      </c>
      <c r="B3293" t="s">
        <v>36</v>
      </c>
      <c r="C3293" t="s">
        <v>30</v>
      </c>
      <c r="D3293" t="s">
        <v>24</v>
      </c>
      <c r="E3293" t="s">
        <v>18</v>
      </c>
      <c r="F3293" s="9">
        <v>0.06</v>
      </c>
      <c r="G3293" s="10">
        <v>17250</v>
      </c>
      <c r="H3293">
        <v>4</v>
      </c>
      <c r="I3293" s="5">
        <f>ROUND(Marketing[[#This Row],[Clicks]]*Marketing[[#This Row],[Conversion_Rate]],0)</f>
        <v>52</v>
      </c>
      <c r="J3293" s="12">
        <f>Marketing[[#This Row],[Campaign_Cost]]/Marketing[[#This Row],[Customers]]</f>
        <v>331.73076923076923</v>
      </c>
      <c r="K3293" t="s">
        <v>32</v>
      </c>
      <c r="L3293" t="s">
        <v>33</v>
      </c>
      <c r="M3293">
        <v>873</v>
      </c>
      <c r="N3293">
        <v>6205</v>
      </c>
      <c r="O3293">
        <v>4</v>
      </c>
      <c r="P3293" t="s">
        <v>34</v>
      </c>
      <c r="Q3293" s="1">
        <v>44203</v>
      </c>
    </row>
    <row r="3294" spans="1:17" x14ac:dyDescent="0.3">
      <c r="A3294" t="s">
        <v>35</v>
      </c>
      <c r="B3294" t="s">
        <v>15</v>
      </c>
      <c r="C3294" t="s">
        <v>52</v>
      </c>
      <c r="D3294" t="s">
        <v>17</v>
      </c>
      <c r="E3294" t="s">
        <v>41</v>
      </c>
      <c r="F3294" s="9">
        <v>0.09</v>
      </c>
      <c r="G3294" s="10">
        <v>15876</v>
      </c>
      <c r="H3294">
        <v>7.48</v>
      </c>
      <c r="I3294" s="5">
        <f>ROUND(Marketing[[#This Row],[Clicks]]*Marketing[[#This Row],[Conversion_Rate]],0)</f>
        <v>50</v>
      </c>
      <c r="J3294" s="12">
        <f>Marketing[[#This Row],[Campaign_Cost]]/Marketing[[#This Row],[Customers]]</f>
        <v>317.52</v>
      </c>
      <c r="K3294" t="s">
        <v>25</v>
      </c>
      <c r="L3294" t="s">
        <v>50</v>
      </c>
      <c r="M3294">
        <v>554</v>
      </c>
      <c r="N3294">
        <v>7882</v>
      </c>
      <c r="O3294">
        <v>1</v>
      </c>
      <c r="P3294" t="s">
        <v>27</v>
      </c>
      <c r="Q3294" s="1">
        <v>44204</v>
      </c>
    </row>
    <row r="3295" spans="1:17" x14ac:dyDescent="0.3">
      <c r="A3295" t="s">
        <v>28</v>
      </c>
      <c r="B3295" t="s">
        <v>15</v>
      </c>
      <c r="C3295" t="s">
        <v>16</v>
      </c>
      <c r="D3295" t="s">
        <v>17</v>
      </c>
      <c r="E3295" t="s">
        <v>31</v>
      </c>
      <c r="F3295" s="9">
        <v>0.1</v>
      </c>
      <c r="G3295" s="10">
        <v>18946</v>
      </c>
      <c r="H3295">
        <v>6.04</v>
      </c>
      <c r="I3295" s="5">
        <f>ROUND(Marketing[[#This Row],[Clicks]]*Marketing[[#This Row],[Conversion_Rate]],0)</f>
        <v>86</v>
      </c>
      <c r="J3295" s="12">
        <f>Marketing[[#This Row],[Campaign_Cost]]/Marketing[[#This Row],[Customers]]</f>
        <v>220.30232558139534</v>
      </c>
      <c r="K3295" t="s">
        <v>51</v>
      </c>
      <c r="L3295" t="s">
        <v>26</v>
      </c>
      <c r="M3295">
        <v>857</v>
      </c>
      <c r="N3295">
        <v>4284</v>
      </c>
      <c r="O3295">
        <v>2</v>
      </c>
      <c r="P3295" t="s">
        <v>21</v>
      </c>
      <c r="Q3295" s="1">
        <v>44205</v>
      </c>
    </row>
    <row r="3296" spans="1:17" x14ac:dyDescent="0.3">
      <c r="A3296" t="s">
        <v>49</v>
      </c>
      <c r="B3296" t="s">
        <v>36</v>
      </c>
      <c r="C3296" t="s">
        <v>37</v>
      </c>
      <c r="D3296" t="s">
        <v>46</v>
      </c>
      <c r="E3296" t="s">
        <v>48</v>
      </c>
      <c r="F3296" s="9">
        <v>0.09</v>
      </c>
      <c r="G3296" s="10">
        <v>19681</v>
      </c>
      <c r="H3296">
        <v>5.71</v>
      </c>
      <c r="I3296" s="5">
        <f>ROUND(Marketing[[#This Row],[Clicks]]*Marketing[[#This Row],[Conversion_Rate]],0)</f>
        <v>59</v>
      </c>
      <c r="J3296" s="12">
        <f>Marketing[[#This Row],[Campaign_Cost]]/Marketing[[#This Row],[Customers]]</f>
        <v>333.57627118644069</v>
      </c>
      <c r="K3296" t="s">
        <v>19</v>
      </c>
      <c r="L3296" t="s">
        <v>50</v>
      </c>
      <c r="M3296">
        <v>656</v>
      </c>
      <c r="N3296">
        <v>8898</v>
      </c>
      <c r="O3296">
        <v>7</v>
      </c>
      <c r="P3296" t="s">
        <v>34</v>
      </c>
      <c r="Q3296" s="1">
        <v>44206</v>
      </c>
    </row>
    <row r="3297" spans="1:17" x14ac:dyDescent="0.3">
      <c r="A3297" t="s">
        <v>28</v>
      </c>
      <c r="B3297" t="s">
        <v>29</v>
      </c>
      <c r="C3297" t="s">
        <v>37</v>
      </c>
      <c r="D3297" t="s">
        <v>46</v>
      </c>
      <c r="E3297" t="s">
        <v>31</v>
      </c>
      <c r="F3297" s="9">
        <v>0.09</v>
      </c>
      <c r="G3297" s="10">
        <v>17983</v>
      </c>
      <c r="H3297">
        <v>7.45</v>
      </c>
      <c r="I3297" s="5">
        <f>ROUND(Marketing[[#This Row],[Clicks]]*Marketing[[#This Row],[Conversion_Rate]],0)</f>
        <v>48</v>
      </c>
      <c r="J3297" s="12">
        <f>Marketing[[#This Row],[Campaign_Cost]]/Marketing[[#This Row],[Customers]]</f>
        <v>374.64583333333331</v>
      </c>
      <c r="K3297" t="s">
        <v>32</v>
      </c>
      <c r="L3297" t="s">
        <v>50</v>
      </c>
      <c r="M3297">
        <v>536</v>
      </c>
      <c r="N3297">
        <v>7963</v>
      </c>
      <c r="O3297">
        <v>9</v>
      </c>
      <c r="P3297" t="s">
        <v>44</v>
      </c>
      <c r="Q3297" s="1">
        <v>44207</v>
      </c>
    </row>
    <row r="3298" spans="1:17" x14ac:dyDescent="0.3">
      <c r="A3298" t="s">
        <v>22</v>
      </c>
      <c r="B3298" t="s">
        <v>29</v>
      </c>
      <c r="C3298" t="s">
        <v>23</v>
      </c>
      <c r="D3298" t="s">
        <v>46</v>
      </c>
      <c r="E3298" t="s">
        <v>43</v>
      </c>
      <c r="F3298" s="9">
        <v>0.06</v>
      </c>
      <c r="G3298" s="10">
        <v>11841</v>
      </c>
      <c r="H3298">
        <v>4.29</v>
      </c>
      <c r="I3298" s="5">
        <f>ROUND(Marketing[[#This Row],[Clicks]]*Marketing[[#This Row],[Conversion_Rate]],0)</f>
        <v>35</v>
      </c>
      <c r="J3298" s="12">
        <f>Marketing[[#This Row],[Campaign_Cost]]/Marketing[[#This Row],[Customers]]</f>
        <v>338.31428571428569</v>
      </c>
      <c r="K3298" t="s">
        <v>19</v>
      </c>
      <c r="L3298" t="s">
        <v>50</v>
      </c>
      <c r="M3298">
        <v>591</v>
      </c>
      <c r="N3298">
        <v>7733</v>
      </c>
      <c r="O3298">
        <v>3</v>
      </c>
      <c r="P3298" t="s">
        <v>34</v>
      </c>
      <c r="Q3298" s="1">
        <v>44208</v>
      </c>
    </row>
    <row r="3299" spans="1:17" x14ac:dyDescent="0.3">
      <c r="A3299" t="s">
        <v>49</v>
      </c>
      <c r="B3299" t="s">
        <v>29</v>
      </c>
      <c r="C3299" t="s">
        <v>30</v>
      </c>
      <c r="D3299" t="s">
        <v>17</v>
      </c>
      <c r="E3299" t="s">
        <v>18</v>
      </c>
      <c r="F3299" s="9">
        <v>0.1</v>
      </c>
      <c r="G3299" s="10">
        <v>8180</v>
      </c>
      <c r="H3299">
        <v>5.57</v>
      </c>
      <c r="I3299" s="5">
        <f>ROUND(Marketing[[#This Row],[Clicks]]*Marketing[[#This Row],[Conversion_Rate]],0)</f>
        <v>37</v>
      </c>
      <c r="J3299" s="12">
        <f>Marketing[[#This Row],[Campaign_Cost]]/Marketing[[#This Row],[Customers]]</f>
        <v>221.08108108108109</v>
      </c>
      <c r="K3299" t="s">
        <v>25</v>
      </c>
      <c r="L3299" t="s">
        <v>39</v>
      </c>
      <c r="M3299">
        <v>365</v>
      </c>
      <c r="N3299">
        <v>4696</v>
      </c>
      <c r="O3299">
        <v>3</v>
      </c>
      <c r="P3299" t="s">
        <v>27</v>
      </c>
      <c r="Q3299" s="1">
        <v>44209</v>
      </c>
    </row>
    <row r="3300" spans="1:17" x14ac:dyDescent="0.3">
      <c r="A3300" t="s">
        <v>35</v>
      </c>
      <c r="B3300" t="s">
        <v>36</v>
      </c>
      <c r="C3300" t="s">
        <v>23</v>
      </c>
      <c r="D3300" t="s">
        <v>17</v>
      </c>
      <c r="E3300" t="s">
        <v>31</v>
      </c>
      <c r="F3300" s="9">
        <v>0.01</v>
      </c>
      <c r="G3300" s="10">
        <v>14695</v>
      </c>
      <c r="H3300">
        <v>7.62</v>
      </c>
      <c r="I3300" s="5">
        <f>ROUND(Marketing[[#This Row],[Clicks]]*Marketing[[#This Row],[Conversion_Rate]],0)</f>
        <v>4</v>
      </c>
      <c r="J3300" s="12">
        <f>Marketing[[#This Row],[Campaign_Cost]]/Marketing[[#This Row],[Customers]]</f>
        <v>3673.75</v>
      </c>
      <c r="K3300" t="s">
        <v>32</v>
      </c>
      <c r="L3300" t="s">
        <v>20</v>
      </c>
      <c r="M3300">
        <v>423</v>
      </c>
      <c r="N3300">
        <v>3630</v>
      </c>
      <c r="O3300">
        <v>3</v>
      </c>
      <c r="P3300" t="s">
        <v>44</v>
      </c>
      <c r="Q3300" s="1">
        <v>44210</v>
      </c>
    </row>
    <row r="3301" spans="1:17" x14ac:dyDescent="0.3">
      <c r="A3301" t="s">
        <v>49</v>
      </c>
      <c r="B3301" t="s">
        <v>45</v>
      </c>
      <c r="C3301" t="s">
        <v>16</v>
      </c>
      <c r="D3301" t="s">
        <v>17</v>
      </c>
      <c r="E3301" t="s">
        <v>15</v>
      </c>
      <c r="F3301" s="9">
        <v>0.1</v>
      </c>
      <c r="G3301" s="10">
        <v>18526</v>
      </c>
      <c r="H3301">
        <v>3.33</v>
      </c>
      <c r="I3301" s="5">
        <f>ROUND(Marketing[[#This Row],[Clicks]]*Marketing[[#This Row],[Conversion_Rate]],0)</f>
        <v>57</v>
      </c>
      <c r="J3301" s="12">
        <f>Marketing[[#This Row],[Campaign_Cost]]/Marketing[[#This Row],[Customers]]</f>
        <v>325.01754385964909</v>
      </c>
      <c r="K3301" t="s">
        <v>32</v>
      </c>
      <c r="L3301" t="s">
        <v>33</v>
      </c>
      <c r="M3301">
        <v>570</v>
      </c>
      <c r="N3301">
        <v>7929</v>
      </c>
      <c r="O3301">
        <v>3</v>
      </c>
      <c r="P3301" t="s">
        <v>34</v>
      </c>
      <c r="Q3301" s="1">
        <v>44211</v>
      </c>
    </row>
    <row r="3302" spans="1:17" x14ac:dyDescent="0.3">
      <c r="A3302" t="s">
        <v>35</v>
      </c>
      <c r="B3302" t="s">
        <v>15</v>
      </c>
      <c r="C3302" t="s">
        <v>30</v>
      </c>
      <c r="D3302" t="s">
        <v>46</v>
      </c>
      <c r="E3302" t="s">
        <v>41</v>
      </c>
      <c r="F3302" s="9">
        <v>0.06</v>
      </c>
      <c r="G3302" s="10">
        <v>7603</v>
      </c>
      <c r="H3302">
        <v>2.87</v>
      </c>
      <c r="I3302" s="5">
        <f>ROUND(Marketing[[#This Row],[Clicks]]*Marketing[[#This Row],[Conversion_Rate]],0)</f>
        <v>58</v>
      </c>
      <c r="J3302" s="12">
        <f>Marketing[[#This Row],[Campaign_Cost]]/Marketing[[#This Row],[Customers]]</f>
        <v>131.08620689655172</v>
      </c>
      <c r="K3302" t="s">
        <v>38</v>
      </c>
      <c r="L3302" t="s">
        <v>39</v>
      </c>
      <c r="M3302">
        <v>967</v>
      </c>
      <c r="N3302">
        <v>8260</v>
      </c>
      <c r="O3302">
        <v>10</v>
      </c>
      <c r="P3302" t="s">
        <v>44</v>
      </c>
      <c r="Q3302" s="1">
        <v>44212</v>
      </c>
    </row>
    <row r="3303" spans="1:17" x14ac:dyDescent="0.3">
      <c r="A3303" t="s">
        <v>14</v>
      </c>
      <c r="B3303" t="s">
        <v>29</v>
      </c>
      <c r="C3303" t="s">
        <v>16</v>
      </c>
      <c r="D3303" t="s">
        <v>24</v>
      </c>
      <c r="E3303" t="s">
        <v>43</v>
      </c>
      <c r="F3303" s="9">
        <v>0.13</v>
      </c>
      <c r="G3303" s="10">
        <v>9950</v>
      </c>
      <c r="H3303">
        <v>5.04</v>
      </c>
      <c r="I3303" s="5">
        <f>ROUND(Marketing[[#This Row],[Clicks]]*Marketing[[#This Row],[Conversion_Rate]],0)</f>
        <v>95</v>
      </c>
      <c r="J3303" s="12">
        <f>Marketing[[#This Row],[Campaign_Cost]]/Marketing[[#This Row],[Customers]]</f>
        <v>104.73684210526316</v>
      </c>
      <c r="K3303" t="s">
        <v>19</v>
      </c>
      <c r="L3303" t="s">
        <v>39</v>
      </c>
      <c r="M3303">
        <v>733</v>
      </c>
      <c r="N3303">
        <v>6551</v>
      </c>
      <c r="O3303">
        <v>7</v>
      </c>
      <c r="P3303" t="s">
        <v>42</v>
      </c>
      <c r="Q3303" s="1">
        <v>44213</v>
      </c>
    </row>
    <row r="3304" spans="1:17" x14ac:dyDescent="0.3">
      <c r="A3304" t="s">
        <v>14</v>
      </c>
      <c r="B3304" t="s">
        <v>45</v>
      </c>
      <c r="C3304" t="s">
        <v>37</v>
      </c>
      <c r="D3304" t="s">
        <v>24</v>
      </c>
      <c r="E3304" t="s">
        <v>43</v>
      </c>
      <c r="F3304" s="9">
        <v>0.12</v>
      </c>
      <c r="G3304" s="10">
        <v>9903</v>
      </c>
      <c r="H3304">
        <v>3.45</v>
      </c>
      <c r="I3304" s="5">
        <f>ROUND(Marketing[[#This Row],[Clicks]]*Marketing[[#This Row],[Conversion_Rate]],0)</f>
        <v>96</v>
      </c>
      <c r="J3304" s="12">
        <f>Marketing[[#This Row],[Campaign_Cost]]/Marketing[[#This Row],[Customers]]</f>
        <v>103.15625</v>
      </c>
      <c r="K3304" t="s">
        <v>38</v>
      </c>
      <c r="L3304" t="s">
        <v>39</v>
      </c>
      <c r="M3304">
        <v>798</v>
      </c>
      <c r="N3304">
        <v>8732</v>
      </c>
      <c r="O3304">
        <v>2</v>
      </c>
      <c r="P3304" t="s">
        <v>27</v>
      </c>
      <c r="Q3304" s="1">
        <v>44214</v>
      </c>
    </row>
    <row r="3305" spans="1:17" x14ac:dyDescent="0.3">
      <c r="A3305" t="s">
        <v>14</v>
      </c>
      <c r="B3305" t="s">
        <v>29</v>
      </c>
      <c r="C3305" t="s">
        <v>37</v>
      </c>
      <c r="D3305" t="s">
        <v>46</v>
      </c>
      <c r="E3305" t="s">
        <v>18</v>
      </c>
      <c r="F3305" s="9">
        <v>0.13</v>
      </c>
      <c r="G3305" s="10">
        <v>10605</v>
      </c>
      <c r="H3305">
        <v>3.65</v>
      </c>
      <c r="I3305" s="5">
        <f>ROUND(Marketing[[#This Row],[Clicks]]*Marketing[[#This Row],[Conversion_Rate]],0)</f>
        <v>42</v>
      </c>
      <c r="J3305" s="12">
        <f>Marketing[[#This Row],[Campaign_Cost]]/Marketing[[#This Row],[Customers]]</f>
        <v>252.5</v>
      </c>
      <c r="K3305" t="s">
        <v>25</v>
      </c>
      <c r="L3305" t="s">
        <v>39</v>
      </c>
      <c r="M3305">
        <v>323</v>
      </c>
      <c r="N3305">
        <v>8767</v>
      </c>
      <c r="O3305">
        <v>7</v>
      </c>
      <c r="P3305" t="s">
        <v>27</v>
      </c>
      <c r="Q3305" s="1">
        <v>44215</v>
      </c>
    </row>
    <row r="3306" spans="1:17" x14ac:dyDescent="0.3">
      <c r="A3306" t="s">
        <v>28</v>
      </c>
      <c r="B3306" t="s">
        <v>47</v>
      </c>
      <c r="C3306" t="s">
        <v>52</v>
      </c>
      <c r="D3306" t="s">
        <v>46</v>
      </c>
      <c r="E3306" t="s">
        <v>41</v>
      </c>
      <c r="F3306" s="9">
        <v>0.02</v>
      </c>
      <c r="G3306" s="10">
        <v>15667</v>
      </c>
      <c r="H3306">
        <v>7.91</v>
      </c>
      <c r="I3306" s="5">
        <f>ROUND(Marketing[[#This Row],[Clicks]]*Marketing[[#This Row],[Conversion_Rate]],0)</f>
        <v>18</v>
      </c>
      <c r="J3306" s="12">
        <f>Marketing[[#This Row],[Campaign_Cost]]/Marketing[[#This Row],[Customers]]</f>
        <v>870.38888888888891</v>
      </c>
      <c r="K3306" t="s">
        <v>32</v>
      </c>
      <c r="L3306" t="s">
        <v>20</v>
      </c>
      <c r="M3306">
        <v>877</v>
      </c>
      <c r="N3306">
        <v>5422</v>
      </c>
      <c r="O3306">
        <v>9</v>
      </c>
      <c r="P3306" t="s">
        <v>44</v>
      </c>
      <c r="Q3306" s="1">
        <v>44216</v>
      </c>
    </row>
    <row r="3307" spans="1:17" x14ac:dyDescent="0.3">
      <c r="A3307" t="s">
        <v>49</v>
      </c>
      <c r="B3307" t="s">
        <v>47</v>
      </c>
      <c r="C3307" t="s">
        <v>37</v>
      </c>
      <c r="D3307" t="s">
        <v>17</v>
      </c>
      <c r="E3307" t="s">
        <v>31</v>
      </c>
      <c r="F3307" s="9">
        <v>0.13</v>
      </c>
      <c r="G3307" s="10">
        <v>16412</v>
      </c>
      <c r="H3307">
        <v>5.23</v>
      </c>
      <c r="I3307" s="5">
        <f>ROUND(Marketing[[#This Row],[Clicks]]*Marketing[[#This Row],[Conversion_Rate]],0)</f>
        <v>37</v>
      </c>
      <c r="J3307" s="12">
        <f>Marketing[[#This Row],[Campaign_Cost]]/Marketing[[#This Row],[Customers]]</f>
        <v>443.56756756756755</v>
      </c>
      <c r="K3307" t="s">
        <v>25</v>
      </c>
      <c r="L3307" t="s">
        <v>50</v>
      </c>
      <c r="M3307">
        <v>285</v>
      </c>
      <c r="N3307">
        <v>3007</v>
      </c>
      <c r="O3307">
        <v>4</v>
      </c>
      <c r="P3307" t="s">
        <v>34</v>
      </c>
      <c r="Q3307" s="1">
        <v>44217</v>
      </c>
    </row>
    <row r="3308" spans="1:17" x14ac:dyDescent="0.3">
      <c r="A3308" t="s">
        <v>49</v>
      </c>
      <c r="B3308" t="s">
        <v>29</v>
      </c>
      <c r="C3308" t="s">
        <v>30</v>
      </c>
      <c r="D3308" t="s">
        <v>24</v>
      </c>
      <c r="E3308" t="s">
        <v>43</v>
      </c>
      <c r="F3308" s="9">
        <v>0.14000000000000001</v>
      </c>
      <c r="G3308" s="10">
        <v>17362</v>
      </c>
      <c r="H3308">
        <v>5.55</v>
      </c>
      <c r="I3308" s="5">
        <f>ROUND(Marketing[[#This Row],[Clicks]]*Marketing[[#This Row],[Conversion_Rate]],0)</f>
        <v>125</v>
      </c>
      <c r="J3308" s="12">
        <f>Marketing[[#This Row],[Campaign_Cost]]/Marketing[[#This Row],[Customers]]</f>
        <v>138.89599999999999</v>
      </c>
      <c r="K3308" t="s">
        <v>19</v>
      </c>
      <c r="L3308" t="s">
        <v>50</v>
      </c>
      <c r="M3308">
        <v>892</v>
      </c>
      <c r="N3308">
        <v>6018</v>
      </c>
      <c r="O3308">
        <v>3</v>
      </c>
      <c r="P3308" t="s">
        <v>44</v>
      </c>
      <c r="Q3308" s="1">
        <v>44218</v>
      </c>
    </row>
    <row r="3309" spans="1:17" x14ac:dyDescent="0.3">
      <c r="A3309" t="s">
        <v>14</v>
      </c>
      <c r="B3309" t="s">
        <v>45</v>
      </c>
      <c r="C3309" t="s">
        <v>23</v>
      </c>
      <c r="D3309" t="s">
        <v>40</v>
      </c>
      <c r="E3309" t="s">
        <v>48</v>
      </c>
      <c r="F3309" s="9">
        <v>0.14000000000000001</v>
      </c>
      <c r="G3309" s="10">
        <v>12196</v>
      </c>
      <c r="H3309">
        <v>3.31</v>
      </c>
      <c r="I3309" s="5">
        <f>ROUND(Marketing[[#This Row],[Clicks]]*Marketing[[#This Row],[Conversion_Rate]],0)</f>
        <v>14</v>
      </c>
      <c r="J3309" s="12">
        <f>Marketing[[#This Row],[Campaign_Cost]]/Marketing[[#This Row],[Customers]]</f>
        <v>871.14285714285711</v>
      </c>
      <c r="K3309" t="s">
        <v>38</v>
      </c>
      <c r="L3309" t="s">
        <v>20</v>
      </c>
      <c r="M3309">
        <v>103</v>
      </c>
      <c r="N3309">
        <v>2674</v>
      </c>
      <c r="O3309">
        <v>1</v>
      </c>
      <c r="P3309" t="s">
        <v>34</v>
      </c>
      <c r="Q3309" s="1">
        <v>44219</v>
      </c>
    </row>
    <row r="3310" spans="1:17" x14ac:dyDescent="0.3">
      <c r="A3310" t="s">
        <v>49</v>
      </c>
      <c r="B3310" t="s">
        <v>45</v>
      </c>
      <c r="C3310" t="s">
        <v>30</v>
      </c>
      <c r="D3310" t="s">
        <v>17</v>
      </c>
      <c r="E3310" t="s">
        <v>43</v>
      </c>
      <c r="F3310" s="9">
        <v>0.13</v>
      </c>
      <c r="G3310" s="10">
        <v>6683</v>
      </c>
      <c r="H3310">
        <v>6.03</v>
      </c>
      <c r="I3310" s="5">
        <f>ROUND(Marketing[[#This Row],[Clicks]]*Marketing[[#This Row],[Conversion_Rate]],0)</f>
        <v>86</v>
      </c>
      <c r="J3310" s="12">
        <f>Marketing[[#This Row],[Campaign_Cost]]/Marketing[[#This Row],[Customers]]</f>
        <v>77.70930232558139</v>
      </c>
      <c r="K3310" t="s">
        <v>19</v>
      </c>
      <c r="L3310" t="s">
        <v>20</v>
      </c>
      <c r="M3310">
        <v>665</v>
      </c>
      <c r="N3310">
        <v>9158</v>
      </c>
      <c r="O3310">
        <v>5</v>
      </c>
      <c r="P3310" t="s">
        <v>27</v>
      </c>
      <c r="Q3310" s="1">
        <v>44220</v>
      </c>
    </row>
    <row r="3311" spans="1:17" x14ac:dyDescent="0.3">
      <c r="A3311" t="s">
        <v>35</v>
      </c>
      <c r="B3311" t="s">
        <v>15</v>
      </c>
      <c r="C3311" t="s">
        <v>30</v>
      </c>
      <c r="D3311" t="s">
        <v>17</v>
      </c>
      <c r="E3311" t="s">
        <v>48</v>
      </c>
      <c r="F3311" s="9">
        <v>0.1</v>
      </c>
      <c r="G3311" s="10">
        <v>8106</v>
      </c>
      <c r="H3311">
        <v>6.21</v>
      </c>
      <c r="I3311" s="5">
        <f>ROUND(Marketing[[#This Row],[Clicks]]*Marketing[[#This Row],[Conversion_Rate]],0)</f>
        <v>68</v>
      </c>
      <c r="J3311" s="12">
        <f>Marketing[[#This Row],[Campaign_Cost]]/Marketing[[#This Row],[Customers]]</f>
        <v>119.20588235294117</v>
      </c>
      <c r="K3311" t="s">
        <v>25</v>
      </c>
      <c r="L3311" t="s">
        <v>50</v>
      </c>
      <c r="M3311">
        <v>683</v>
      </c>
      <c r="N3311">
        <v>1519</v>
      </c>
      <c r="O3311">
        <v>7</v>
      </c>
      <c r="P3311" t="s">
        <v>44</v>
      </c>
      <c r="Q3311" s="1">
        <v>44221</v>
      </c>
    </row>
    <row r="3312" spans="1:17" x14ac:dyDescent="0.3">
      <c r="A3312" t="s">
        <v>35</v>
      </c>
      <c r="B3312" t="s">
        <v>36</v>
      </c>
      <c r="C3312" t="s">
        <v>16</v>
      </c>
      <c r="D3312" t="s">
        <v>24</v>
      </c>
      <c r="E3312" t="s">
        <v>48</v>
      </c>
      <c r="F3312" s="9">
        <v>0.06</v>
      </c>
      <c r="G3312" s="10">
        <v>15988</v>
      </c>
      <c r="H3312">
        <v>4.43</v>
      </c>
      <c r="I3312" s="5">
        <f>ROUND(Marketing[[#This Row],[Clicks]]*Marketing[[#This Row],[Conversion_Rate]],0)</f>
        <v>42</v>
      </c>
      <c r="J3312" s="12">
        <f>Marketing[[#This Row],[Campaign_Cost]]/Marketing[[#This Row],[Customers]]</f>
        <v>380.66666666666669</v>
      </c>
      <c r="K3312" t="s">
        <v>19</v>
      </c>
      <c r="L3312" t="s">
        <v>26</v>
      </c>
      <c r="M3312">
        <v>696</v>
      </c>
      <c r="N3312">
        <v>7205</v>
      </c>
      <c r="O3312">
        <v>3</v>
      </c>
      <c r="P3312" t="s">
        <v>21</v>
      </c>
      <c r="Q3312" s="1">
        <v>44222</v>
      </c>
    </row>
    <row r="3313" spans="1:17" x14ac:dyDescent="0.3">
      <c r="A3313" t="s">
        <v>22</v>
      </c>
      <c r="B3313" t="s">
        <v>47</v>
      </c>
      <c r="C3313" t="s">
        <v>23</v>
      </c>
      <c r="D3313" t="s">
        <v>40</v>
      </c>
      <c r="E3313" t="s">
        <v>15</v>
      </c>
      <c r="F3313" s="9">
        <v>0.14000000000000001</v>
      </c>
      <c r="G3313" s="10">
        <v>9701</v>
      </c>
      <c r="H3313">
        <v>5.1100000000000003</v>
      </c>
      <c r="I3313" s="5">
        <f>ROUND(Marketing[[#This Row],[Clicks]]*Marketing[[#This Row],[Conversion_Rate]],0)</f>
        <v>32</v>
      </c>
      <c r="J3313" s="12">
        <f>Marketing[[#This Row],[Campaign_Cost]]/Marketing[[#This Row],[Customers]]</f>
        <v>303.15625</v>
      </c>
      <c r="K3313" t="s">
        <v>19</v>
      </c>
      <c r="L3313" t="s">
        <v>39</v>
      </c>
      <c r="M3313">
        <v>228</v>
      </c>
      <c r="N3313">
        <v>1514</v>
      </c>
      <c r="O3313">
        <v>1</v>
      </c>
      <c r="P3313" t="s">
        <v>34</v>
      </c>
      <c r="Q3313" s="1">
        <v>44223</v>
      </c>
    </row>
    <row r="3314" spans="1:17" x14ac:dyDescent="0.3">
      <c r="A3314" t="s">
        <v>49</v>
      </c>
      <c r="B3314" t="s">
        <v>36</v>
      </c>
      <c r="C3314" t="s">
        <v>23</v>
      </c>
      <c r="D3314" t="s">
        <v>17</v>
      </c>
      <c r="E3314" t="s">
        <v>18</v>
      </c>
      <c r="F3314" s="9">
        <v>0.13</v>
      </c>
      <c r="G3314" s="10">
        <v>6145</v>
      </c>
      <c r="H3314">
        <v>6.94</v>
      </c>
      <c r="I3314" s="5">
        <f>ROUND(Marketing[[#This Row],[Clicks]]*Marketing[[#This Row],[Conversion_Rate]],0)</f>
        <v>53</v>
      </c>
      <c r="J3314" s="12">
        <f>Marketing[[#This Row],[Campaign_Cost]]/Marketing[[#This Row],[Customers]]</f>
        <v>115.94339622641509</v>
      </c>
      <c r="K3314" t="s">
        <v>19</v>
      </c>
      <c r="L3314" t="s">
        <v>50</v>
      </c>
      <c r="M3314">
        <v>405</v>
      </c>
      <c r="N3314">
        <v>2433</v>
      </c>
      <c r="O3314">
        <v>8</v>
      </c>
      <c r="P3314" t="s">
        <v>44</v>
      </c>
      <c r="Q3314" s="1">
        <v>44224</v>
      </c>
    </row>
    <row r="3315" spans="1:17" x14ac:dyDescent="0.3">
      <c r="A3315" t="s">
        <v>35</v>
      </c>
      <c r="B3315" t="s">
        <v>29</v>
      </c>
      <c r="C3315" t="s">
        <v>23</v>
      </c>
      <c r="D3315" t="s">
        <v>40</v>
      </c>
      <c r="E3315" t="s">
        <v>18</v>
      </c>
      <c r="F3315" s="9">
        <v>0.02</v>
      </c>
      <c r="G3315" s="10">
        <v>5311</v>
      </c>
      <c r="H3315">
        <v>5.18</v>
      </c>
      <c r="I3315" s="5">
        <f>ROUND(Marketing[[#This Row],[Clicks]]*Marketing[[#This Row],[Conversion_Rate]],0)</f>
        <v>7</v>
      </c>
      <c r="J3315" s="12">
        <f>Marketing[[#This Row],[Campaign_Cost]]/Marketing[[#This Row],[Customers]]</f>
        <v>758.71428571428567</v>
      </c>
      <c r="K3315" t="s">
        <v>25</v>
      </c>
      <c r="L3315" t="s">
        <v>33</v>
      </c>
      <c r="M3315">
        <v>340</v>
      </c>
      <c r="N3315">
        <v>1295</v>
      </c>
      <c r="O3315">
        <v>1</v>
      </c>
      <c r="P3315" t="s">
        <v>21</v>
      </c>
      <c r="Q3315" s="1">
        <v>44225</v>
      </c>
    </row>
    <row r="3316" spans="1:17" x14ac:dyDescent="0.3">
      <c r="A3316" t="s">
        <v>14</v>
      </c>
      <c r="B3316" t="s">
        <v>45</v>
      </c>
      <c r="C3316" t="s">
        <v>23</v>
      </c>
      <c r="D3316" t="s">
        <v>17</v>
      </c>
      <c r="E3316" t="s">
        <v>41</v>
      </c>
      <c r="F3316" s="9">
        <v>0.05</v>
      </c>
      <c r="G3316" s="10">
        <v>10286</v>
      </c>
      <c r="H3316">
        <v>6.38</v>
      </c>
      <c r="I3316" s="5">
        <f>ROUND(Marketing[[#This Row],[Clicks]]*Marketing[[#This Row],[Conversion_Rate]],0)</f>
        <v>41</v>
      </c>
      <c r="J3316" s="12">
        <f>Marketing[[#This Row],[Campaign_Cost]]/Marketing[[#This Row],[Customers]]</f>
        <v>250.8780487804878</v>
      </c>
      <c r="K3316" t="s">
        <v>32</v>
      </c>
      <c r="L3316" t="s">
        <v>50</v>
      </c>
      <c r="M3316">
        <v>811</v>
      </c>
      <c r="N3316">
        <v>1312</v>
      </c>
      <c r="O3316">
        <v>7</v>
      </c>
      <c r="P3316" t="s">
        <v>42</v>
      </c>
      <c r="Q3316" s="1">
        <v>44226</v>
      </c>
    </row>
    <row r="3317" spans="1:17" x14ac:dyDescent="0.3">
      <c r="A3317" t="s">
        <v>28</v>
      </c>
      <c r="B3317" t="s">
        <v>15</v>
      </c>
      <c r="C3317" t="s">
        <v>23</v>
      </c>
      <c r="D3317" t="s">
        <v>46</v>
      </c>
      <c r="E3317" t="s">
        <v>31</v>
      </c>
      <c r="F3317" s="9">
        <v>0.03</v>
      </c>
      <c r="G3317" s="10">
        <v>19666</v>
      </c>
      <c r="H3317">
        <v>2.39</v>
      </c>
      <c r="I3317" s="5">
        <f>ROUND(Marketing[[#This Row],[Clicks]]*Marketing[[#This Row],[Conversion_Rate]],0)</f>
        <v>29</v>
      </c>
      <c r="J3317" s="12">
        <f>Marketing[[#This Row],[Campaign_Cost]]/Marketing[[#This Row],[Customers]]</f>
        <v>678.13793103448279</v>
      </c>
      <c r="K3317" t="s">
        <v>19</v>
      </c>
      <c r="L3317" t="s">
        <v>39</v>
      </c>
      <c r="M3317">
        <v>959</v>
      </c>
      <c r="N3317">
        <v>7904</v>
      </c>
      <c r="O3317">
        <v>2</v>
      </c>
      <c r="P3317" t="s">
        <v>27</v>
      </c>
      <c r="Q3317" s="1">
        <v>44227</v>
      </c>
    </row>
    <row r="3318" spans="1:17" x14ac:dyDescent="0.3">
      <c r="A3318" t="s">
        <v>49</v>
      </c>
      <c r="B3318" t="s">
        <v>36</v>
      </c>
      <c r="C3318" t="s">
        <v>37</v>
      </c>
      <c r="D3318" t="s">
        <v>24</v>
      </c>
      <c r="E3318" t="s">
        <v>18</v>
      </c>
      <c r="F3318" s="9">
        <v>0.12</v>
      </c>
      <c r="G3318" s="10">
        <v>8858</v>
      </c>
      <c r="H3318">
        <v>4.93</v>
      </c>
      <c r="I3318" s="5">
        <f>ROUND(Marketing[[#This Row],[Clicks]]*Marketing[[#This Row],[Conversion_Rate]],0)</f>
        <v>32</v>
      </c>
      <c r="J3318" s="12">
        <f>Marketing[[#This Row],[Campaign_Cost]]/Marketing[[#This Row],[Customers]]</f>
        <v>276.8125</v>
      </c>
      <c r="K3318" t="s">
        <v>25</v>
      </c>
      <c r="L3318" t="s">
        <v>33</v>
      </c>
      <c r="M3318">
        <v>267</v>
      </c>
      <c r="N3318">
        <v>5662</v>
      </c>
      <c r="O3318">
        <v>2</v>
      </c>
      <c r="P3318" t="s">
        <v>21</v>
      </c>
      <c r="Q3318" s="1">
        <v>44228</v>
      </c>
    </row>
    <row r="3319" spans="1:17" x14ac:dyDescent="0.3">
      <c r="A3319" t="s">
        <v>22</v>
      </c>
      <c r="B3319" t="s">
        <v>15</v>
      </c>
      <c r="C3319" t="s">
        <v>23</v>
      </c>
      <c r="D3319" t="s">
        <v>46</v>
      </c>
      <c r="E3319" t="s">
        <v>43</v>
      </c>
      <c r="F3319" s="9">
        <v>0.14000000000000001</v>
      </c>
      <c r="G3319" s="10">
        <v>8636</v>
      </c>
      <c r="H3319">
        <v>6.41</v>
      </c>
      <c r="I3319" s="5">
        <f>ROUND(Marketing[[#This Row],[Clicks]]*Marketing[[#This Row],[Conversion_Rate]],0)</f>
        <v>108</v>
      </c>
      <c r="J3319" s="12">
        <f>Marketing[[#This Row],[Campaign_Cost]]/Marketing[[#This Row],[Customers]]</f>
        <v>79.962962962962962</v>
      </c>
      <c r="K3319" t="s">
        <v>32</v>
      </c>
      <c r="L3319" t="s">
        <v>20</v>
      </c>
      <c r="M3319">
        <v>769</v>
      </c>
      <c r="N3319">
        <v>8322</v>
      </c>
      <c r="O3319">
        <v>7</v>
      </c>
      <c r="P3319" t="s">
        <v>21</v>
      </c>
      <c r="Q3319" s="1">
        <v>44229</v>
      </c>
    </row>
    <row r="3320" spans="1:17" x14ac:dyDescent="0.3">
      <c r="A3320" t="s">
        <v>14</v>
      </c>
      <c r="B3320" t="s">
        <v>45</v>
      </c>
      <c r="C3320" t="s">
        <v>30</v>
      </c>
      <c r="D3320" t="s">
        <v>24</v>
      </c>
      <c r="E3320" t="s">
        <v>48</v>
      </c>
      <c r="F3320" s="9">
        <v>0.09</v>
      </c>
      <c r="G3320" s="10">
        <v>14439</v>
      </c>
      <c r="H3320">
        <v>4.34</v>
      </c>
      <c r="I3320" s="5">
        <f>ROUND(Marketing[[#This Row],[Clicks]]*Marketing[[#This Row],[Conversion_Rate]],0)</f>
        <v>87</v>
      </c>
      <c r="J3320" s="12">
        <f>Marketing[[#This Row],[Campaign_Cost]]/Marketing[[#This Row],[Customers]]</f>
        <v>165.9655172413793</v>
      </c>
      <c r="K3320" t="s">
        <v>51</v>
      </c>
      <c r="L3320" t="s">
        <v>33</v>
      </c>
      <c r="M3320">
        <v>965</v>
      </c>
      <c r="N3320">
        <v>5391</v>
      </c>
      <c r="O3320">
        <v>7</v>
      </c>
      <c r="P3320" t="s">
        <v>42</v>
      </c>
      <c r="Q3320" s="1">
        <v>44230</v>
      </c>
    </row>
    <row r="3321" spans="1:17" x14ac:dyDescent="0.3">
      <c r="A3321" t="s">
        <v>28</v>
      </c>
      <c r="B3321" t="s">
        <v>45</v>
      </c>
      <c r="C3321" t="s">
        <v>23</v>
      </c>
      <c r="D3321" t="s">
        <v>17</v>
      </c>
      <c r="E3321" t="s">
        <v>48</v>
      </c>
      <c r="F3321" s="9">
        <v>0.01</v>
      </c>
      <c r="G3321" s="10">
        <v>6745</v>
      </c>
      <c r="H3321">
        <v>6.81</v>
      </c>
      <c r="I3321" s="5">
        <f>ROUND(Marketing[[#This Row],[Clicks]]*Marketing[[#This Row],[Conversion_Rate]],0)</f>
        <v>9</v>
      </c>
      <c r="J3321" s="12">
        <f>Marketing[[#This Row],[Campaign_Cost]]/Marketing[[#This Row],[Customers]]</f>
        <v>749.44444444444446</v>
      </c>
      <c r="K3321" t="s">
        <v>32</v>
      </c>
      <c r="L3321" t="s">
        <v>26</v>
      </c>
      <c r="M3321">
        <v>877</v>
      </c>
      <c r="N3321">
        <v>6718</v>
      </c>
      <c r="O3321">
        <v>7</v>
      </c>
      <c r="P3321" t="s">
        <v>44</v>
      </c>
      <c r="Q3321" s="1">
        <v>44231</v>
      </c>
    </row>
    <row r="3322" spans="1:17" x14ac:dyDescent="0.3">
      <c r="A3322" t="s">
        <v>22</v>
      </c>
      <c r="B3322" t="s">
        <v>15</v>
      </c>
      <c r="C3322" t="s">
        <v>52</v>
      </c>
      <c r="D3322" t="s">
        <v>24</v>
      </c>
      <c r="E3322" t="s">
        <v>48</v>
      </c>
      <c r="F3322" s="9">
        <v>0.11</v>
      </c>
      <c r="G3322" s="10">
        <v>14014</v>
      </c>
      <c r="H3322">
        <v>4.1900000000000004</v>
      </c>
      <c r="I3322" s="5">
        <f>ROUND(Marketing[[#This Row],[Clicks]]*Marketing[[#This Row],[Conversion_Rate]],0)</f>
        <v>49</v>
      </c>
      <c r="J3322" s="12">
        <f>Marketing[[#This Row],[Campaign_Cost]]/Marketing[[#This Row],[Customers]]</f>
        <v>286</v>
      </c>
      <c r="K3322" t="s">
        <v>19</v>
      </c>
      <c r="L3322" t="s">
        <v>33</v>
      </c>
      <c r="M3322">
        <v>441</v>
      </c>
      <c r="N3322">
        <v>8951</v>
      </c>
      <c r="O3322">
        <v>4</v>
      </c>
      <c r="P3322" t="s">
        <v>42</v>
      </c>
      <c r="Q3322" s="1">
        <v>44232</v>
      </c>
    </row>
    <row r="3323" spans="1:17" x14ac:dyDescent="0.3">
      <c r="A3323" t="s">
        <v>14</v>
      </c>
      <c r="B3323" t="s">
        <v>47</v>
      </c>
      <c r="C3323" t="s">
        <v>52</v>
      </c>
      <c r="D3323" t="s">
        <v>17</v>
      </c>
      <c r="E3323" t="s">
        <v>15</v>
      </c>
      <c r="F3323" s="9">
        <v>0.12</v>
      </c>
      <c r="G3323" s="10">
        <v>5130</v>
      </c>
      <c r="H3323">
        <v>2.9</v>
      </c>
      <c r="I3323" s="5">
        <f>ROUND(Marketing[[#This Row],[Clicks]]*Marketing[[#This Row],[Conversion_Rate]],0)</f>
        <v>19</v>
      </c>
      <c r="J3323" s="12">
        <f>Marketing[[#This Row],[Campaign_Cost]]/Marketing[[#This Row],[Customers]]</f>
        <v>270</v>
      </c>
      <c r="K3323" t="s">
        <v>19</v>
      </c>
      <c r="L3323" t="s">
        <v>33</v>
      </c>
      <c r="M3323">
        <v>162</v>
      </c>
      <c r="N3323">
        <v>9423</v>
      </c>
      <c r="O3323">
        <v>8</v>
      </c>
      <c r="P3323" t="s">
        <v>42</v>
      </c>
      <c r="Q3323" s="1">
        <v>44233</v>
      </c>
    </row>
    <row r="3324" spans="1:17" x14ac:dyDescent="0.3">
      <c r="A3324" t="s">
        <v>22</v>
      </c>
      <c r="B3324" t="s">
        <v>15</v>
      </c>
      <c r="C3324" t="s">
        <v>16</v>
      </c>
      <c r="D3324" t="s">
        <v>46</v>
      </c>
      <c r="E3324" t="s">
        <v>15</v>
      </c>
      <c r="F3324" s="9">
        <v>0.08</v>
      </c>
      <c r="G3324" s="10">
        <v>9055</v>
      </c>
      <c r="H3324">
        <v>7.52</v>
      </c>
      <c r="I3324" s="5">
        <f>ROUND(Marketing[[#This Row],[Clicks]]*Marketing[[#This Row],[Conversion_Rate]],0)</f>
        <v>51</v>
      </c>
      <c r="J3324" s="12">
        <f>Marketing[[#This Row],[Campaign_Cost]]/Marketing[[#This Row],[Customers]]</f>
        <v>177.54901960784315</v>
      </c>
      <c r="K3324" t="s">
        <v>25</v>
      </c>
      <c r="L3324" t="s">
        <v>33</v>
      </c>
      <c r="M3324">
        <v>636</v>
      </c>
      <c r="N3324">
        <v>6075</v>
      </c>
      <c r="O3324">
        <v>6</v>
      </c>
      <c r="P3324" t="s">
        <v>42</v>
      </c>
      <c r="Q3324" s="1">
        <v>44234</v>
      </c>
    </row>
    <row r="3325" spans="1:17" x14ac:dyDescent="0.3">
      <c r="A3325" t="s">
        <v>22</v>
      </c>
      <c r="B3325" t="s">
        <v>15</v>
      </c>
      <c r="C3325" t="s">
        <v>37</v>
      </c>
      <c r="D3325" t="s">
        <v>40</v>
      </c>
      <c r="E3325" t="s">
        <v>41</v>
      </c>
      <c r="F3325" s="9">
        <v>0.01</v>
      </c>
      <c r="G3325" s="10">
        <v>13589</v>
      </c>
      <c r="H3325">
        <v>2.76</v>
      </c>
      <c r="I3325" s="5">
        <f>ROUND(Marketing[[#This Row],[Clicks]]*Marketing[[#This Row],[Conversion_Rate]],0)</f>
        <v>1</v>
      </c>
      <c r="J3325" s="12">
        <f>Marketing[[#This Row],[Campaign_Cost]]/Marketing[[#This Row],[Customers]]</f>
        <v>13589</v>
      </c>
      <c r="K3325" t="s">
        <v>19</v>
      </c>
      <c r="L3325" t="s">
        <v>39</v>
      </c>
      <c r="M3325">
        <v>114</v>
      </c>
      <c r="N3325">
        <v>2665</v>
      </c>
      <c r="O3325">
        <v>4</v>
      </c>
      <c r="P3325" t="s">
        <v>21</v>
      </c>
      <c r="Q3325" s="1">
        <v>44235</v>
      </c>
    </row>
    <row r="3326" spans="1:17" x14ac:dyDescent="0.3">
      <c r="A3326" t="s">
        <v>22</v>
      </c>
      <c r="B3326" t="s">
        <v>15</v>
      </c>
      <c r="C3326" t="s">
        <v>30</v>
      </c>
      <c r="D3326" t="s">
        <v>17</v>
      </c>
      <c r="E3326" t="s">
        <v>41</v>
      </c>
      <c r="F3326" s="9">
        <v>0.1</v>
      </c>
      <c r="G3326" s="10">
        <v>16454</v>
      </c>
      <c r="H3326">
        <v>7.78</v>
      </c>
      <c r="I3326" s="5">
        <f>ROUND(Marketing[[#This Row],[Clicks]]*Marketing[[#This Row],[Conversion_Rate]],0)</f>
        <v>85</v>
      </c>
      <c r="J3326" s="12">
        <f>Marketing[[#This Row],[Campaign_Cost]]/Marketing[[#This Row],[Customers]]</f>
        <v>193.57647058823528</v>
      </c>
      <c r="K3326" t="s">
        <v>32</v>
      </c>
      <c r="L3326" t="s">
        <v>50</v>
      </c>
      <c r="M3326">
        <v>852</v>
      </c>
      <c r="N3326">
        <v>7029</v>
      </c>
      <c r="O3326">
        <v>4</v>
      </c>
      <c r="P3326" t="s">
        <v>34</v>
      </c>
      <c r="Q3326" s="1">
        <v>44236</v>
      </c>
    </row>
    <row r="3327" spans="1:17" x14ac:dyDescent="0.3">
      <c r="A3327" t="s">
        <v>49</v>
      </c>
      <c r="B3327" t="s">
        <v>36</v>
      </c>
      <c r="C3327" t="s">
        <v>37</v>
      </c>
      <c r="D3327" t="s">
        <v>46</v>
      </c>
      <c r="E3327" t="s">
        <v>15</v>
      </c>
      <c r="F3327" s="9">
        <v>7.0000000000000007E-2</v>
      </c>
      <c r="G3327" s="10">
        <v>12353</v>
      </c>
      <c r="H3327">
        <v>5.39</v>
      </c>
      <c r="I3327" s="5">
        <f>ROUND(Marketing[[#This Row],[Clicks]]*Marketing[[#This Row],[Conversion_Rate]],0)</f>
        <v>38</v>
      </c>
      <c r="J3327" s="12">
        <f>Marketing[[#This Row],[Campaign_Cost]]/Marketing[[#This Row],[Customers]]</f>
        <v>325.07894736842104</v>
      </c>
      <c r="K3327" t="s">
        <v>51</v>
      </c>
      <c r="L3327" t="s">
        <v>33</v>
      </c>
      <c r="M3327">
        <v>548</v>
      </c>
      <c r="N3327">
        <v>3605</v>
      </c>
      <c r="O3327">
        <v>6</v>
      </c>
      <c r="P3327" t="s">
        <v>34</v>
      </c>
      <c r="Q3327" s="1">
        <v>44237</v>
      </c>
    </row>
    <row r="3328" spans="1:17" x14ac:dyDescent="0.3">
      <c r="A3328" t="s">
        <v>28</v>
      </c>
      <c r="B3328" t="s">
        <v>45</v>
      </c>
      <c r="C3328" t="s">
        <v>52</v>
      </c>
      <c r="D3328" t="s">
        <v>17</v>
      </c>
      <c r="E3328" t="s">
        <v>43</v>
      </c>
      <c r="F3328" s="9">
        <v>0.13</v>
      </c>
      <c r="G3328" s="10">
        <v>5623</v>
      </c>
      <c r="H3328">
        <v>2.09</v>
      </c>
      <c r="I3328" s="5">
        <f>ROUND(Marketing[[#This Row],[Clicks]]*Marketing[[#This Row],[Conversion_Rate]],0)</f>
        <v>104</v>
      </c>
      <c r="J3328" s="12">
        <f>Marketing[[#This Row],[Campaign_Cost]]/Marketing[[#This Row],[Customers]]</f>
        <v>54.067307692307693</v>
      </c>
      <c r="K3328" t="s">
        <v>19</v>
      </c>
      <c r="L3328" t="s">
        <v>26</v>
      </c>
      <c r="M3328">
        <v>799</v>
      </c>
      <c r="N3328">
        <v>5053</v>
      </c>
      <c r="O3328">
        <v>4</v>
      </c>
      <c r="P3328" t="s">
        <v>42</v>
      </c>
      <c r="Q3328" s="1">
        <v>44238</v>
      </c>
    </row>
    <row r="3329" spans="1:17" x14ac:dyDescent="0.3">
      <c r="A3329" t="s">
        <v>49</v>
      </c>
      <c r="B3329" t="s">
        <v>15</v>
      </c>
      <c r="C3329" t="s">
        <v>52</v>
      </c>
      <c r="D3329" t="s">
        <v>24</v>
      </c>
      <c r="E3329" t="s">
        <v>43</v>
      </c>
      <c r="F3329" s="9">
        <v>0.14000000000000001</v>
      </c>
      <c r="G3329" s="10">
        <v>5898</v>
      </c>
      <c r="H3329">
        <v>6.07</v>
      </c>
      <c r="I3329" s="5">
        <f>ROUND(Marketing[[#This Row],[Clicks]]*Marketing[[#This Row],[Conversion_Rate]],0)</f>
        <v>23</v>
      </c>
      <c r="J3329" s="12">
        <f>Marketing[[#This Row],[Campaign_Cost]]/Marketing[[#This Row],[Customers]]</f>
        <v>256.43478260869563</v>
      </c>
      <c r="K3329" t="s">
        <v>25</v>
      </c>
      <c r="L3329" t="s">
        <v>20</v>
      </c>
      <c r="M3329">
        <v>164</v>
      </c>
      <c r="N3329">
        <v>3283</v>
      </c>
      <c r="O3329">
        <v>5</v>
      </c>
      <c r="P3329" t="s">
        <v>44</v>
      </c>
      <c r="Q3329" s="1">
        <v>44239</v>
      </c>
    </row>
    <row r="3330" spans="1:17" x14ac:dyDescent="0.3">
      <c r="A3330" t="s">
        <v>28</v>
      </c>
      <c r="B3330" t="s">
        <v>45</v>
      </c>
      <c r="C3330" t="s">
        <v>52</v>
      </c>
      <c r="D3330" t="s">
        <v>46</v>
      </c>
      <c r="E3330" t="s">
        <v>18</v>
      </c>
      <c r="F3330" s="9">
        <v>0.13</v>
      </c>
      <c r="G3330" s="10">
        <v>15066</v>
      </c>
      <c r="H3330">
        <v>2.4500000000000002</v>
      </c>
      <c r="I3330" s="5">
        <f>ROUND(Marketing[[#This Row],[Clicks]]*Marketing[[#This Row],[Conversion_Rate]],0)</f>
        <v>42</v>
      </c>
      <c r="J3330" s="12">
        <f>Marketing[[#This Row],[Campaign_Cost]]/Marketing[[#This Row],[Customers]]</f>
        <v>358.71428571428572</v>
      </c>
      <c r="K3330" t="s">
        <v>19</v>
      </c>
      <c r="L3330" t="s">
        <v>26</v>
      </c>
      <c r="M3330">
        <v>324</v>
      </c>
      <c r="N3330">
        <v>8498</v>
      </c>
      <c r="O3330">
        <v>1</v>
      </c>
      <c r="P3330" t="s">
        <v>42</v>
      </c>
      <c r="Q3330" s="1">
        <v>44240</v>
      </c>
    </row>
    <row r="3331" spans="1:17" x14ac:dyDescent="0.3">
      <c r="A3331" t="s">
        <v>35</v>
      </c>
      <c r="B3331" t="s">
        <v>45</v>
      </c>
      <c r="C3331" t="s">
        <v>37</v>
      </c>
      <c r="D3331" t="s">
        <v>24</v>
      </c>
      <c r="E3331" t="s">
        <v>18</v>
      </c>
      <c r="F3331" s="9">
        <v>0.06</v>
      </c>
      <c r="G3331" s="10">
        <v>7647</v>
      </c>
      <c r="H3331">
        <v>2.0099999999999998</v>
      </c>
      <c r="I3331" s="5">
        <f>ROUND(Marketing[[#This Row],[Clicks]]*Marketing[[#This Row],[Conversion_Rate]],0)</f>
        <v>8</v>
      </c>
      <c r="J3331" s="12">
        <f>Marketing[[#This Row],[Campaign_Cost]]/Marketing[[#This Row],[Customers]]</f>
        <v>955.875</v>
      </c>
      <c r="K3331" t="s">
        <v>51</v>
      </c>
      <c r="L3331" t="s">
        <v>33</v>
      </c>
      <c r="M3331">
        <v>133</v>
      </c>
      <c r="N3331">
        <v>6877</v>
      </c>
      <c r="O3331">
        <v>3</v>
      </c>
      <c r="P3331" t="s">
        <v>21</v>
      </c>
      <c r="Q3331" s="1">
        <v>44241</v>
      </c>
    </row>
    <row r="3332" spans="1:17" x14ac:dyDescent="0.3">
      <c r="A3332" t="s">
        <v>28</v>
      </c>
      <c r="B3332" t="s">
        <v>47</v>
      </c>
      <c r="C3332" t="s">
        <v>30</v>
      </c>
      <c r="D3332" t="s">
        <v>40</v>
      </c>
      <c r="E3332" t="s">
        <v>41</v>
      </c>
      <c r="F3332" s="9">
        <v>0.14000000000000001</v>
      </c>
      <c r="G3332" s="10">
        <v>14218</v>
      </c>
      <c r="H3332">
        <v>5.03</v>
      </c>
      <c r="I3332" s="5">
        <f>ROUND(Marketing[[#This Row],[Clicks]]*Marketing[[#This Row],[Conversion_Rate]],0)</f>
        <v>135</v>
      </c>
      <c r="J3332" s="12">
        <f>Marketing[[#This Row],[Campaign_Cost]]/Marketing[[#This Row],[Customers]]</f>
        <v>105.31851851851852</v>
      </c>
      <c r="K3332" t="s">
        <v>38</v>
      </c>
      <c r="L3332" t="s">
        <v>26</v>
      </c>
      <c r="M3332">
        <v>961</v>
      </c>
      <c r="N3332">
        <v>1402</v>
      </c>
      <c r="O3332">
        <v>8</v>
      </c>
      <c r="P3332" t="s">
        <v>27</v>
      </c>
      <c r="Q3332" s="1">
        <v>44242</v>
      </c>
    </row>
    <row r="3333" spans="1:17" x14ac:dyDescent="0.3">
      <c r="A3333" t="s">
        <v>22</v>
      </c>
      <c r="B3333" t="s">
        <v>15</v>
      </c>
      <c r="C3333" t="s">
        <v>16</v>
      </c>
      <c r="D3333" t="s">
        <v>40</v>
      </c>
      <c r="E3333" t="s">
        <v>31</v>
      </c>
      <c r="F3333" s="9">
        <v>0.1</v>
      </c>
      <c r="G3333" s="10">
        <v>16258</v>
      </c>
      <c r="H3333">
        <v>2.48</v>
      </c>
      <c r="I3333" s="5">
        <f>ROUND(Marketing[[#This Row],[Clicks]]*Marketing[[#This Row],[Conversion_Rate]],0)</f>
        <v>67</v>
      </c>
      <c r="J3333" s="12">
        <f>Marketing[[#This Row],[Campaign_Cost]]/Marketing[[#This Row],[Customers]]</f>
        <v>242.65671641791045</v>
      </c>
      <c r="K3333" t="s">
        <v>19</v>
      </c>
      <c r="L3333" t="s">
        <v>20</v>
      </c>
      <c r="M3333">
        <v>674</v>
      </c>
      <c r="N3333">
        <v>6943</v>
      </c>
      <c r="O3333">
        <v>4</v>
      </c>
      <c r="P3333" t="s">
        <v>42</v>
      </c>
      <c r="Q3333" s="1">
        <v>44243</v>
      </c>
    </row>
    <row r="3334" spans="1:17" x14ac:dyDescent="0.3">
      <c r="A3334" t="s">
        <v>22</v>
      </c>
      <c r="B3334" t="s">
        <v>45</v>
      </c>
      <c r="C3334" t="s">
        <v>16</v>
      </c>
      <c r="D3334" t="s">
        <v>40</v>
      </c>
      <c r="E3334" t="s">
        <v>15</v>
      </c>
      <c r="F3334" s="9">
        <v>0.06</v>
      </c>
      <c r="G3334" s="10">
        <v>17604</v>
      </c>
      <c r="H3334">
        <v>3.69</v>
      </c>
      <c r="I3334" s="5">
        <f>ROUND(Marketing[[#This Row],[Clicks]]*Marketing[[#This Row],[Conversion_Rate]],0)</f>
        <v>37</v>
      </c>
      <c r="J3334" s="12">
        <f>Marketing[[#This Row],[Campaign_Cost]]/Marketing[[#This Row],[Customers]]</f>
        <v>475.7837837837838</v>
      </c>
      <c r="K3334" t="s">
        <v>51</v>
      </c>
      <c r="L3334" t="s">
        <v>39</v>
      </c>
      <c r="M3334">
        <v>612</v>
      </c>
      <c r="N3334">
        <v>7012</v>
      </c>
      <c r="O3334">
        <v>2</v>
      </c>
      <c r="P3334" t="s">
        <v>21</v>
      </c>
      <c r="Q3334" s="1">
        <v>44244</v>
      </c>
    </row>
    <row r="3335" spans="1:17" x14ac:dyDescent="0.3">
      <c r="A3335" t="s">
        <v>35</v>
      </c>
      <c r="B3335" t="s">
        <v>45</v>
      </c>
      <c r="C3335" t="s">
        <v>16</v>
      </c>
      <c r="D3335" t="s">
        <v>46</v>
      </c>
      <c r="E3335" t="s">
        <v>48</v>
      </c>
      <c r="F3335" s="9">
        <v>0.06</v>
      </c>
      <c r="G3335" s="10">
        <v>15322</v>
      </c>
      <c r="H3335">
        <v>5.86</v>
      </c>
      <c r="I3335" s="5">
        <f>ROUND(Marketing[[#This Row],[Clicks]]*Marketing[[#This Row],[Conversion_Rate]],0)</f>
        <v>48</v>
      </c>
      <c r="J3335" s="12">
        <f>Marketing[[#This Row],[Campaign_Cost]]/Marketing[[#This Row],[Customers]]</f>
        <v>319.20833333333331</v>
      </c>
      <c r="K3335" t="s">
        <v>25</v>
      </c>
      <c r="L3335" t="s">
        <v>33</v>
      </c>
      <c r="M3335">
        <v>802</v>
      </c>
      <c r="N3335">
        <v>1480</v>
      </c>
      <c r="O3335">
        <v>1</v>
      </c>
      <c r="P3335" t="s">
        <v>42</v>
      </c>
      <c r="Q3335" s="1">
        <v>44245</v>
      </c>
    </row>
    <row r="3336" spans="1:17" x14ac:dyDescent="0.3">
      <c r="A3336" t="s">
        <v>14</v>
      </c>
      <c r="B3336" t="s">
        <v>47</v>
      </c>
      <c r="C3336" t="s">
        <v>16</v>
      </c>
      <c r="D3336" t="s">
        <v>17</v>
      </c>
      <c r="E3336" t="s">
        <v>43</v>
      </c>
      <c r="F3336" s="9">
        <v>0.11</v>
      </c>
      <c r="G3336" s="10">
        <v>7590</v>
      </c>
      <c r="H3336">
        <v>3.35</v>
      </c>
      <c r="I3336" s="5">
        <f>ROUND(Marketing[[#This Row],[Clicks]]*Marketing[[#This Row],[Conversion_Rate]],0)</f>
        <v>35</v>
      </c>
      <c r="J3336" s="12">
        <f>Marketing[[#This Row],[Campaign_Cost]]/Marketing[[#This Row],[Customers]]</f>
        <v>216.85714285714286</v>
      </c>
      <c r="K3336" t="s">
        <v>32</v>
      </c>
      <c r="L3336" t="s">
        <v>39</v>
      </c>
      <c r="M3336">
        <v>317</v>
      </c>
      <c r="N3336">
        <v>7877</v>
      </c>
      <c r="O3336">
        <v>2</v>
      </c>
      <c r="P3336" t="s">
        <v>27</v>
      </c>
      <c r="Q3336" s="1">
        <v>44246</v>
      </c>
    </row>
    <row r="3337" spans="1:17" x14ac:dyDescent="0.3">
      <c r="A3337" t="s">
        <v>28</v>
      </c>
      <c r="B3337" t="s">
        <v>36</v>
      </c>
      <c r="C3337" t="s">
        <v>16</v>
      </c>
      <c r="D3337" t="s">
        <v>17</v>
      </c>
      <c r="E3337" t="s">
        <v>31</v>
      </c>
      <c r="F3337" s="9">
        <v>0.12</v>
      </c>
      <c r="G3337" s="10">
        <v>5066</v>
      </c>
      <c r="H3337">
        <v>3.58</v>
      </c>
      <c r="I3337" s="5">
        <f>ROUND(Marketing[[#This Row],[Clicks]]*Marketing[[#This Row],[Conversion_Rate]],0)</f>
        <v>76</v>
      </c>
      <c r="J3337" s="12">
        <f>Marketing[[#This Row],[Campaign_Cost]]/Marketing[[#This Row],[Customers]]</f>
        <v>66.65789473684211</v>
      </c>
      <c r="K3337" t="s">
        <v>51</v>
      </c>
      <c r="L3337" t="s">
        <v>20</v>
      </c>
      <c r="M3337">
        <v>633</v>
      </c>
      <c r="N3337">
        <v>5800</v>
      </c>
      <c r="O3337">
        <v>1</v>
      </c>
      <c r="P3337" t="s">
        <v>27</v>
      </c>
      <c r="Q3337" s="1">
        <v>44247</v>
      </c>
    </row>
    <row r="3338" spans="1:17" x14ac:dyDescent="0.3">
      <c r="A3338" t="s">
        <v>14</v>
      </c>
      <c r="B3338" t="s">
        <v>36</v>
      </c>
      <c r="C3338" t="s">
        <v>23</v>
      </c>
      <c r="D3338" t="s">
        <v>46</v>
      </c>
      <c r="E3338" t="s">
        <v>41</v>
      </c>
      <c r="F3338" s="9">
        <v>0.01</v>
      </c>
      <c r="G3338" s="10">
        <v>6758</v>
      </c>
      <c r="H3338">
        <v>3.06</v>
      </c>
      <c r="I3338" s="5">
        <f>ROUND(Marketing[[#This Row],[Clicks]]*Marketing[[#This Row],[Conversion_Rate]],0)</f>
        <v>10</v>
      </c>
      <c r="J3338" s="12">
        <f>Marketing[[#This Row],[Campaign_Cost]]/Marketing[[#This Row],[Customers]]</f>
        <v>675.8</v>
      </c>
      <c r="K3338" t="s">
        <v>19</v>
      </c>
      <c r="L3338" t="s">
        <v>20</v>
      </c>
      <c r="M3338">
        <v>997</v>
      </c>
      <c r="N3338">
        <v>3862</v>
      </c>
      <c r="O3338">
        <v>6</v>
      </c>
      <c r="P3338" t="s">
        <v>21</v>
      </c>
      <c r="Q3338" s="1">
        <v>44248</v>
      </c>
    </row>
    <row r="3339" spans="1:17" x14ac:dyDescent="0.3">
      <c r="A3339" t="s">
        <v>14</v>
      </c>
      <c r="B3339" t="s">
        <v>36</v>
      </c>
      <c r="C3339" t="s">
        <v>37</v>
      </c>
      <c r="D3339" t="s">
        <v>46</v>
      </c>
      <c r="E3339" t="s">
        <v>31</v>
      </c>
      <c r="F3339" s="9">
        <v>7.0000000000000007E-2</v>
      </c>
      <c r="G3339" s="10">
        <v>14002</v>
      </c>
      <c r="H3339">
        <v>2.63</v>
      </c>
      <c r="I3339" s="5">
        <f>ROUND(Marketing[[#This Row],[Clicks]]*Marketing[[#This Row],[Conversion_Rate]],0)</f>
        <v>36</v>
      </c>
      <c r="J3339" s="12">
        <f>Marketing[[#This Row],[Campaign_Cost]]/Marketing[[#This Row],[Customers]]</f>
        <v>388.94444444444446</v>
      </c>
      <c r="K3339" t="s">
        <v>25</v>
      </c>
      <c r="L3339" t="s">
        <v>20</v>
      </c>
      <c r="M3339">
        <v>511</v>
      </c>
      <c r="N3339">
        <v>5014</v>
      </c>
      <c r="O3339">
        <v>8</v>
      </c>
      <c r="P3339" t="s">
        <v>42</v>
      </c>
      <c r="Q3339" s="1">
        <v>44249</v>
      </c>
    </row>
    <row r="3340" spans="1:17" x14ac:dyDescent="0.3">
      <c r="A3340" t="s">
        <v>49</v>
      </c>
      <c r="B3340" t="s">
        <v>45</v>
      </c>
      <c r="C3340" t="s">
        <v>30</v>
      </c>
      <c r="D3340" t="s">
        <v>17</v>
      </c>
      <c r="E3340" t="s">
        <v>48</v>
      </c>
      <c r="F3340" s="9">
        <v>7.0000000000000007E-2</v>
      </c>
      <c r="G3340" s="10">
        <v>9243</v>
      </c>
      <c r="H3340">
        <v>2.2799999999999998</v>
      </c>
      <c r="I3340" s="5">
        <f>ROUND(Marketing[[#This Row],[Clicks]]*Marketing[[#This Row],[Conversion_Rate]],0)</f>
        <v>58</v>
      </c>
      <c r="J3340" s="12">
        <f>Marketing[[#This Row],[Campaign_Cost]]/Marketing[[#This Row],[Customers]]</f>
        <v>159.36206896551724</v>
      </c>
      <c r="K3340" t="s">
        <v>38</v>
      </c>
      <c r="L3340" t="s">
        <v>20</v>
      </c>
      <c r="M3340">
        <v>828</v>
      </c>
      <c r="N3340">
        <v>1152</v>
      </c>
      <c r="O3340">
        <v>3</v>
      </c>
      <c r="P3340" t="s">
        <v>27</v>
      </c>
      <c r="Q3340" s="1">
        <v>44250</v>
      </c>
    </row>
    <row r="3341" spans="1:17" x14ac:dyDescent="0.3">
      <c r="A3341" t="s">
        <v>35</v>
      </c>
      <c r="B3341" t="s">
        <v>47</v>
      </c>
      <c r="C3341" t="s">
        <v>16</v>
      </c>
      <c r="D3341" t="s">
        <v>17</v>
      </c>
      <c r="E3341" t="s">
        <v>18</v>
      </c>
      <c r="F3341" s="9">
        <v>0.09</v>
      </c>
      <c r="G3341" s="10">
        <v>17910</v>
      </c>
      <c r="H3341">
        <v>3.77</v>
      </c>
      <c r="I3341" s="5">
        <f>ROUND(Marketing[[#This Row],[Clicks]]*Marketing[[#This Row],[Conversion_Rate]],0)</f>
        <v>30</v>
      </c>
      <c r="J3341" s="12">
        <f>Marketing[[#This Row],[Campaign_Cost]]/Marketing[[#This Row],[Customers]]</f>
        <v>597</v>
      </c>
      <c r="K3341" t="s">
        <v>19</v>
      </c>
      <c r="L3341" t="s">
        <v>33</v>
      </c>
      <c r="M3341">
        <v>335</v>
      </c>
      <c r="N3341">
        <v>6561</v>
      </c>
      <c r="O3341">
        <v>9</v>
      </c>
      <c r="P3341" t="s">
        <v>34</v>
      </c>
      <c r="Q3341" s="1">
        <v>44251</v>
      </c>
    </row>
    <row r="3342" spans="1:17" x14ac:dyDescent="0.3">
      <c r="A3342" t="s">
        <v>28</v>
      </c>
      <c r="B3342" t="s">
        <v>45</v>
      </c>
      <c r="C3342" t="s">
        <v>52</v>
      </c>
      <c r="D3342" t="s">
        <v>17</v>
      </c>
      <c r="E3342" t="s">
        <v>15</v>
      </c>
      <c r="F3342" s="9">
        <v>0.1</v>
      </c>
      <c r="G3342" s="10">
        <v>13011</v>
      </c>
      <c r="H3342">
        <v>4.8600000000000003</v>
      </c>
      <c r="I3342" s="5">
        <f>ROUND(Marketing[[#This Row],[Clicks]]*Marketing[[#This Row],[Conversion_Rate]],0)</f>
        <v>66</v>
      </c>
      <c r="J3342" s="12">
        <f>Marketing[[#This Row],[Campaign_Cost]]/Marketing[[#This Row],[Customers]]</f>
        <v>197.13636363636363</v>
      </c>
      <c r="K3342" t="s">
        <v>38</v>
      </c>
      <c r="L3342" t="s">
        <v>20</v>
      </c>
      <c r="M3342">
        <v>656</v>
      </c>
      <c r="N3342">
        <v>4380</v>
      </c>
      <c r="O3342">
        <v>3</v>
      </c>
      <c r="P3342" t="s">
        <v>34</v>
      </c>
      <c r="Q3342" s="1">
        <v>44252</v>
      </c>
    </row>
    <row r="3343" spans="1:17" x14ac:dyDescent="0.3">
      <c r="A3343" t="s">
        <v>49</v>
      </c>
      <c r="B3343" t="s">
        <v>29</v>
      </c>
      <c r="C3343" t="s">
        <v>37</v>
      </c>
      <c r="D3343" t="s">
        <v>40</v>
      </c>
      <c r="E3343" t="s">
        <v>43</v>
      </c>
      <c r="F3343" s="9">
        <v>0.01</v>
      </c>
      <c r="G3343" s="10">
        <v>9606</v>
      </c>
      <c r="H3343">
        <v>2.3199999999999998</v>
      </c>
      <c r="I3343" s="5">
        <f>ROUND(Marketing[[#This Row],[Clicks]]*Marketing[[#This Row],[Conversion_Rate]],0)</f>
        <v>4</v>
      </c>
      <c r="J3343" s="12">
        <f>Marketing[[#This Row],[Campaign_Cost]]/Marketing[[#This Row],[Customers]]</f>
        <v>2401.5</v>
      </c>
      <c r="K3343" t="s">
        <v>32</v>
      </c>
      <c r="L3343" t="s">
        <v>26</v>
      </c>
      <c r="M3343">
        <v>426</v>
      </c>
      <c r="N3343">
        <v>9031</v>
      </c>
      <c r="O3343">
        <v>7</v>
      </c>
      <c r="P3343" t="s">
        <v>42</v>
      </c>
      <c r="Q3343" s="1">
        <v>44253</v>
      </c>
    </row>
    <row r="3344" spans="1:17" x14ac:dyDescent="0.3">
      <c r="A3344" t="s">
        <v>49</v>
      </c>
      <c r="B3344" t="s">
        <v>15</v>
      </c>
      <c r="C3344" t="s">
        <v>52</v>
      </c>
      <c r="D3344" t="s">
        <v>40</v>
      </c>
      <c r="E3344" t="s">
        <v>15</v>
      </c>
      <c r="F3344" s="9">
        <v>7.0000000000000007E-2</v>
      </c>
      <c r="G3344" s="10">
        <v>9410</v>
      </c>
      <c r="H3344">
        <v>7.45</v>
      </c>
      <c r="I3344" s="5">
        <f>ROUND(Marketing[[#This Row],[Clicks]]*Marketing[[#This Row],[Conversion_Rate]],0)</f>
        <v>14</v>
      </c>
      <c r="J3344" s="12">
        <f>Marketing[[#This Row],[Campaign_Cost]]/Marketing[[#This Row],[Customers]]</f>
        <v>672.14285714285711</v>
      </c>
      <c r="K3344" t="s">
        <v>25</v>
      </c>
      <c r="L3344" t="s">
        <v>33</v>
      </c>
      <c r="M3344">
        <v>201</v>
      </c>
      <c r="N3344">
        <v>8959</v>
      </c>
      <c r="O3344">
        <v>5</v>
      </c>
      <c r="P3344" t="s">
        <v>44</v>
      </c>
      <c r="Q3344" s="1">
        <v>44254</v>
      </c>
    </row>
    <row r="3345" spans="1:17" x14ac:dyDescent="0.3">
      <c r="A3345" t="s">
        <v>22</v>
      </c>
      <c r="B3345" t="s">
        <v>36</v>
      </c>
      <c r="C3345" t="s">
        <v>16</v>
      </c>
      <c r="D3345" t="s">
        <v>46</v>
      </c>
      <c r="E3345" t="s">
        <v>41</v>
      </c>
      <c r="F3345" s="9">
        <v>0.06</v>
      </c>
      <c r="G3345" s="10">
        <v>16720</v>
      </c>
      <c r="H3345">
        <v>7.8</v>
      </c>
      <c r="I3345" s="5">
        <f>ROUND(Marketing[[#This Row],[Clicks]]*Marketing[[#This Row],[Conversion_Rate]],0)</f>
        <v>35</v>
      </c>
      <c r="J3345" s="12">
        <f>Marketing[[#This Row],[Campaign_Cost]]/Marketing[[#This Row],[Customers]]</f>
        <v>477.71428571428572</v>
      </c>
      <c r="K3345" t="s">
        <v>32</v>
      </c>
      <c r="L3345" t="s">
        <v>20</v>
      </c>
      <c r="M3345">
        <v>585</v>
      </c>
      <c r="N3345">
        <v>8385</v>
      </c>
      <c r="O3345">
        <v>9</v>
      </c>
      <c r="P3345" t="s">
        <v>42</v>
      </c>
      <c r="Q3345" s="1">
        <v>44255</v>
      </c>
    </row>
    <row r="3346" spans="1:17" x14ac:dyDescent="0.3">
      <c r="A3346" t="s">
        <v>28</v>
      </c>
      <c r="B3346" t="s">
        <v>47</v>
      </c>
      <c r="C3346" t="s">
        <v>37</v>
      </c>
      <c r="D3346" t="s">
        <v>40</v>
      </c>
      <c r="E3346" t="s">
        <v>15</v>
      </c>
      <c r="F3346" s="9">
        <v>7.0000000000000007E-2</v>
      </c>
      <c r="G3346" s="10">
        <v>7970</v>
      </c>
      <c r="H3346">
        <v>3.73</v>
      </c>
      <c r="I3346" s="5">
        <f>ROUND(Marketing[[#This Row],[Clicks]]*Marketing[[#This Row],[Conversion_Rate]],0)</f>
        <v>52</v>
      </c>
      <c r="J3346" s="12">
        <f>Marketing[[#This Row],[Campaign_Cost]]/Marketing[[#This Row],[Customers]]</f>
        <v>153.26923076923077</v>
      </c>
      <c r="K3346" t="s">
        <v>51</v>
      </c>
      <c r="L3346" t="s">
        <v>26</v>
      </c>
      <c r="M3346">
        <v>743</v>
      </c>
      <c r="N3346">
        <v>4846</v>
      </c>
      <c r="O3346">
        <v>8</v>
      </c>
      <c r="P3346" t="s">
        <v>42</v>
      </c>
      <c r="Q3346" s="1">
        <v>44256</v>
      </c>
    </row>
    <row r="3347" spans="1:17" x14ac:dyDescent="0.3">
      <c r="A3347" t="s">
        <v>14</v>
      </c>
      <c r="B3347" t="s">
        <v>45</v>
      </c>
      <c r="C3347" t="s">
        <v>52</v>
      </c>
      <c r="D3347" t="s">
        <v>17</v>
      </c>
      <c r="E3347" t="s">
        <v>48</v>
      </c>
      <c r="F3347" s="9">
        <v>0.04</v>
      </c>
      <c r="G3347" s="10">
        <v>9175</v>
      </c>
      <c r="H3347">
        <v>7.55</v>
      </c>
      <c r="I3347" s="5">
        <f>ROUND(Marketing[[#This Row],[Clicks]]*Marketing[[#This Row],[Conversion_Rate]],0)</f>
        <v>31</v>
      </c>
      <c r="J3347" s="12">
        <f>Marketing[[#This Row],[Campaign_Cost]]/Marketing[[#This Row],[Customers]]</f>
        <v>295.96774193548384</v>
      </c>
      <c r="K3347" t="s">
        <v>25</v>
      </c>
      <c r="L3347" t="s">
        <v>33</v>
      </c>
      <c r="M3347">
        <v>763</v>
      </c>
      <c r="N3347">
        <v>1444</v>
      </c>
      <c r="O3347">
        <v>6</v>
      </c>
      <c r="P3347" t="s">
        <v>21</v>
      </c>
      <c r="Q3347" s="1">
        <v>44257</v>
      </c>
    </row>
    <row r="3348" spans="1:17" x14ac:dyDescent="0.3">
      <c r="A3348" t="s">
        <v>49</v>
      </c>
      <c r="B3348" t="s">
        <v>29</v>
      </c>
      <c r="C3348" t="s">
        <v>30</v>
      </c>
      <c r="D3348" t="s">
        <v>46</v>
      </c>
      <c r="E3348" t="s">
        <v>31</v>
      </c>
      <c r="F3348" s="9">
        <v>0.06</v>
      </c>
      <c r="G3348" s="10">
        <v>10230</v>
      </c>
      <c r="H3348">
        <v>6.08</v>
      </c>
      <c r="I3348" s="5">
        <f>ROUND(Marketing[[#This Row],[Clicks]]*Marketing[[#This Row],[Conversion_Rate]],0)</f>
        <v>25</v>
      </c>
      <c r="J3348" s="12">
        <f>Marketing[[#This Row],[Campaign_Cost]]/Marketing[[#This Row],[Customers]]</f>
        <v>409.2</v>
      </c>
      <c r="K3348" t="s">
        <v>51</v>
      </c>
      <c r="L3348" t="s">
        <v>20</v>
      </c>
      <c r="M3348">
        <v>422</v>
      </c>
      <c r="N3348">
        <v>6425</v>
      </c>
      <c r="O3348">
        <v>2</v>
      </c>
      <c r="P3348" t="s">
        <v>42</v>
      </c>
      <c r="Q3348" s="1">
        <v>44258</v>
      </c>
    </row>
    <row r="3349" spans="1:17" x14ac:dyDescent="0.3">
      <c r="A3349" t="s">
        <v>22</v>
      </c>
      <c r="B3349" t="s">
        <v>36</v>
      </c>
      <c r="C3349" t="s">
        <v>52</v>
      </c>
      <c r="D3349" t="s">
        <v>46</v>
      </c>
      <c r="E3349" t="s">
        <v>31</v>
      </c>
      <c r="F3349" s="9">
        <v>0.09</v>
      </c>
      <c r="G3349" s="10">
        <v>6760</v>
      </c>
      <c r="H3349">
        <v>2.46</v>
      </c>
      <c r="I3349" s="5">
        <f>ROUND(Marketing[[#This Row],[Clicks]]*Marketing[[#This Row],[Conversion_Rate]],0)</f>
        <v>82</v>
      </c>
      <c r="J3349" s="12">
        <f>Marketing[[#This Row],[Campaign_Cost]]/Marketing[[#This Row],[Customers]]</f>
        <v>82.439024390243901</v>
      </c>
      <c r="K3349" t="s">
        <v>19</v>
      </c>
      <c r="L3349" t="s">
        <v>26</v>
      </c>
      <c r="M3349">
        <v>914</v>
      </c>
      <c r="N3349">
        <v>2517</v>
      </c>
      <c r="O3349">
        <v>1</v>
      </c>
      <c r="P3349" t="s">
        <v>42</v>
      </c>
      <c r="Q3349" s="1">
        <v>44259</v>
      </c>
    </row>
    <row r="3350" spans="1:17" x14ac:dyDescent="0.3">
      <c r="A3350" t="s">
        <v>35</v>
      </c>
      <c r="B3350" t="s">
        <v>29</v>
      </c>
      <c r="C3350" t="s">
        <v>16</v>
      </c>
      <c r="D3350" t="s">
        <v>17</v>
      </c>
      <c r="E3350" t="s">
        <v>15</v>
      </c>
      <c r="F3350" s="9">
        <v>0.15</v>
      </c>
      <c r="G3350" s="10">
        <v>7792</v>
      </c>
      <c r="H3350">
        <v>2.0299999999999998</v>
      </c>
      <c r="I3350" s="5">
        <f>ROUND(Marketing[[#This Row],[Clicks]]*Marketing[[#This Row],[Conversion_Rate]],0)</f>
        <v>91</v>
      </c>
      <c r="J3350" s="12">
        <f>Marketing[[#This Row],[Campaign_Cost]]/Marketing[[#This Row],[Customers]]</f>
        <v>85.626373626373621</v>
      </c>
      <c r="K3350" t="s">
        <v>38</v>
      </c>
      <c r="L3350" t="s">
        <v>33</v>
      </c>
      <c r="M3350">
        <v>605</v>
      </c>
      <c r="N3350">
        <v>1005</v>
      </c>
      <c r="O3350">
        <v>10</v>
      </c>
      <c r="P3350" t="s">
        <v>42</v>
      </c>
      <c r="Q3350" s="1">
        <v>44260</v>
      </c>
    </row>
    <row r="3351" spans="1:17" x14ac:dyDescent="0.3">
      <c r="A3351" t="s">
        <v>14</v>
      </c>
      <c r="B3351" t="s">
        <v>29</v>
      </c>
      <c r="C3351" t="s">
        <v>23</v>
      </c>
      <c r="D3351" t="s">
        <v>40</v>
      </c>
      <c r="E3351" t="s">
        <v>31</v>
      </c>
      <c r="F3351" s="9">
        <v>0.14000000000000001</v>
      </c>
      <c r="G3351" s="10">
        <v>13203</v>
      </c>
      <c r="H3351">
        <v>7.36</v>
      </c>
      <c r="I3351" s="5">
        <f>ROUND(Marketing[[#This Row],[Clicks]]*Marketing[[#This Row],[Conversion_Rate]],0)</f>
        <v>66</v>
      </c>
      <c r="J3351" s="12">
        <f>Marketing[[#This Row],[Campaign_Cost]]/Marketing[[#This Row],[Customers]]</f>
        <v>200.04545454545453</v>
      </c>
      <c r="K3351" t="s">
        <v>51</v>
      </c>
      <c r="L3351" t="s">
        <v>50</v>
      </c>
      <c r="M3351">
        <v>474</v>
      </c>
      <c r="N3351">
        <v>6687</v>
      </c>
      <c r="O3351">
        <v>9</v>
      </c>
      <c r="P3351" t="s">
        <v>21</v>
      </c>
      <c r="Q3351" s="1">
        <v>44261</v>
      </c>
    </row>
    <row r="3352" spans="1:17" x14ac:dyDescent="0.3">
      <c r="A3352" t="s">
        <v>22</v>
      </c>
      <c r="B3352" t="s">
        <v>47</v>
      </c>
      <c r="C3352" t="s">
        <v>37</v>
      </c>
      <c r="D3352" t="s">
        <v>40</v>
      </c>
      <c r="E3352" t="s">
        <v>43</v>
      </c>
      <c r="F3352" s="9">
        <v>0.1</v>
      </c>
      <c r="G3352" s="10">
        <v>14520</v>
      </c>
      <c r="H3352">
        <v>2.64</v>
      </c>
      <c r="I3352" s="5">
        <f>ROUND(Marketing[[#This Row],[Clicks]]*Marketing[[#This Row],[Conversion_Rate]],0)</f>
        <v>56</v>
      </c>
      <c r="J3352" s="12">
        <f>Marketing[[#This Row],[Campaign_Cost]]/Marketing[[#This Row],[Customers]]</f>
        <v>259.28571428571428</v>
      </c>
      <c r="K3352" t="s">
        <v>51</v>
      </c>
      <c r="L3352" t="s">
        <v>33</v>
      </c>
      <c r="M3352">
        <v>557</v>
      </c>
      <c r="N3352">
        <v>8647</v>
      </c>
      <c r="O3352">
        <v>9</v>
      </c>
      <c r="P3352" t="s">
        <v>44</v>
      </c>
      <c r="Q3352" s="1">
        <v>44262</v>
      </c>
    </row>
    <row r="3353" spans="1:17" x14ac:dyDescent="0.3">
      <c r="A3353" t="s">
        <v>28</v>
      </c>
      <c r="B3353" t="s">
        <v>15</v>
      </c>
      <c r="C3353" t="s">
        <v>37</v>
      </c>
      <c r="D3353" t="s">
        <v>17</v>
      </c>
      <c r="E3353" t="s">
        <v>18</v>
      </c>
      <c r="F3353" s="9">
        <v>0.09</v>
      </c>
      <c r="G3353" s="10">
        <v>19486</v>
      </c>
      <c r="H3353">
        <v>6.73</v>
      </c>
      <c r="I3353" s="5">
        <f>ROUND(Marketing[[#This Row],[Clicks]]*Marketing[[#This Row],[Conversion_Rate]],0)</f>
        <v>31</v>
      </c>
      <c r="J3353" s="12">
        <f>Marketing[[#This Row],[Campaign_Cost]]/Marketing[[#This Row],[Customers]]</f>
        <v>628.58064516129036</v>
      </c>
      <c r="K3353" t="s">
        <v>19</v>
      </c>
      <c r="L3353" t="s">
        <v>26</v>
      </c>
      <c r="M3353">
        <v>343</v>
      </c>
      <c r="N3353">
        <v>2130</v>
      </c>
      <c r="O3353">
        <v>4</v>
      </c>
      <c r="P3353" t="s">
        <v>42</v>
      </c>
      <c r="Q3353" s="1">
        <v>44263</v>
      </c>
    </row>
    <row r="3354" spans="1:17" x14ac:dyDescent="0.3">
      <c r="A3354" t="s">
        <v>35</v>
      </c>
      <c r="B3354" t="s">
        <v>45</v>
      </c>
      <c r="C3354" t="s">
        <v>16</v>
      </c>
      <c r="D3354" t="s">
        <v>40</v>
      </c>
      <c r="E3354" t="s">
        <v>43</v>
      </c>
      <c r="F3354" s="9">
        <v>0.1</v>
      </c>
      <c r="G3354" s="10">
        <v>10561</v>
      </c>
      <c r="H3354">
        <v>5.86</v>
      </c>
      <c r="I3354" s="5">
        <f>ROUND(Marketing[[#This Row],[Clicks]]*Marketing[[#This Row],[Conversion_Rate]],0)</f>
        <v>57</v>
      </c>
      <c r="J3354" s="12">
        <f>Marketing[[#This Row],[Campaign_Cost]]/Marketing[[#This Row],[Customers]]</f>
        <v>185.28070175438597</v>
      </c>
      <c r="K3354" t="s">
        <v>32</v>
      </c>
      <c r="L3354" t="s">
        <v>33</v>
      </c>
      <c r="M3354">
        <v>565</v>
      </c>
      <c r="N3354">
        <v>1398</v>
      </c>
      <c r="O3354">
        <v>3</v>
      </c>
      <c r="P3354" t="s">
        <v>44</v>
      </c>
      <c r="Q3354" s="1">
        <v>44264</v>
      </c>
    </row>
    <row r="3355" spans="1:17" x14ac:dyDescent="0.3">
      <c r="A3355" t="s">
        <v>14</v>
      </c>
      <c r="B3355" t="s">
        <v>15</v>
      </c>
      <c r="C3355" t="s">
        <v>30</v>
      </c>
      <c r="D3355" t="s">
        <v>46</v>
      </c>
      <c r="E3355" t="s">
        <v>48</v>
      </c>
      <c r="F3355" s="9">
        <v>0.13</v>
      </c>
      <c r="G3355" s="10">
        <v>12935</v>
      </c>
      <c r="H3355">
        <v>6.62</v>
      </c>
      <c r="I3355" s="5">
        <f>ROUND(Marketing[[#This Row],[Clicks]]*Marketing[[#This Row],[Conversion_Rate]],0)</f>
        <v>86</v>
      </c>
      <c r="J3355" s="12">
        <f>Marketing[[#This Row],[Campaign_Cost]]/Marketing[[#This Row],[Customers]]</f>
        <v>150.40697674418604</v>
      </c>
      <c r="K3355" t="s">
        <v>25</v>
      </c>
      <c r="L3355" t="s">
        <v>26</v>
      </c>
      <c r="M3355">
        <v>665</v>
      </c>
      <c r="N3355">
        <v>9883</v>
      </c>
      <c r="O3355">
        <v>9</v>
      </c>
      <c r="P3355" t="s">
        <v>27</v>
      </c>
      <c r="Q3355" s="1">
        <v>44265</v>
      </c>
    </row>
    <row r="3356" spans="1:17" x14ac:dyDescent="0.3">
      <c r="A3356" t="s">
        <v>35</v>
      </c>
      <c r="B3356" t="s">
        <v>45</v>
      </c>
      <c r="C3356" t="s">
        <v>37</v>
      </c>
      <c r="D3356" t="s">
        <v>17</v>
      </c>
      <c r="E3356" t="s">
        <v>18</v>
      </c>
      <c r="F3356" s="9">
        <v>0.04</v>
      </c>
      <c r="G3356" s="10">
        <v>8728</v>
      </c>
      <c r="H3356">
        <v>2.41</v>
      </c>
      <c r="I3356" s="5">
        <f>ROUND(Marketing[[#This Row],[Clicks]]*Marketing[[#This Row],[Conversion_Rate]],0)</f>
        <v>26</v>
      </c>
      <c r="J3356" s="12">
        <f>Marketing[[#This Row],[Campaign_Cost]]/Marketing[[#This Row],[Customers]]</f>
        <v>335.69230769230768</v>
      </c>
      <c r="K3356" t="s">
        <v>25</v>
      </c>
      <c r="L3356" t="s">
        <v>39</v>
      </c>
      <c r="M3356">
        <v>639</v>
      </c>
      <c r="N3356">
        <v>1807</v>
      </c>
      <c r="O3356">
        <v>5</v>
      </c>
      <c r="P3356" t="s">
        <v>21</v>
      </c>
      <c r="Q3356" s="1">
        <v>44266</v>
      </c>
    </row>
    <row r="3357" spans="1:17" x14ac:dyDescent="0.3">
      <c r="A3357" t="s">
        <v>22</v>
      </c>
      <c r="B3357" t="s">
        <v>15</v>
      </c>
      <c r="C3357" t="s">
        <v>52</v>
      </c>
      <c r="D3357" t="s">
        <v>24</v>
      </c>
      <c r="E3357" t="s">
        <v>31</v>
      </c>
      <c r="F3357" s="9">
        <v>0.02</v>
      </c>
      <c r="G3357" s="10">
        <v>13771</v>
      </c>
      <c r="H3357">
        <v>6.94</v>
      </c>
      <c r="I3357" s="5">
        <f>ROUND(Marketing[[#This Row],[Clicks]]*Marketing[[#This Row],[Conversion_Rate]],0)</f>
        <v>11</v>
      </c>
      <c r="J3357" s="12">
        <f>Marketing[[#This Row],[Campaign_Cost]]/Marketing[[#This Row],[Customers]]</f>
        <v>1251.909090909091</v>
      </c>
      <c r="K3357" t="s">
        <v>51</v>
      </c>
      <c r="L3357" t="s">
        <v>50</v>
      </c>
      <c r="M3357">
        <v>565</v>
      </c>
      <c r="N3357">
        <v>1421</v>
      </c>
      <c r="O3357">
        <v>8</v>
      </c>
      <c r="P3357" t="s">
        <v>21</v>
      </c>
      <c r="Q3357" s="1">
        <v>44267</v>
      </c>
    </row>
    <row r="3358" spans="1:17" x14ac:dyDescent="0.3">
      <c r="A3358" t="s">
        <v>49</v>
      </c>
      <c r="B3358" t="s">
        <v>45</v>
      </c>
      <c r="C3358" t="s">
        <v>23</v>
      </c>
      <c r="D3358" t="s">
        <v>24</v>
      </c>
      <c r="E3358" t="s">
        <v>43</v>
      </c>
      <c r="F3358" s="9">
        <v>0.02</v>
      </c>
      <c r="G3358" s="10">
        <v>8932</v>
      </c>
      <c r="H3358">
        <v>6.17</v>
      </c>
      <c r="I3358" s="5">
        <f>ROUND(Marketing[[#This Row],[Clicks]]*Marketing[[#This Row],[Conversion_Rate]],0)</f>
        <v>13</v>
      </c>
      <c r="J3358" s="12">
        <f>Marketing[[#This Row],[Campaign_Cost]]/Marketing[[#This Row],[Customers]]</f>
        <v>687.07692307692309</v>
      </c>
      <c r="K3358" t="s">
        <v>19</v>
      </c>
      <c r="L3358" t="s">
        <v>39</v>
      </c>
      <c r="M3358">
        <v>654</v>
      </c>
      <c r="N3358">
        <v>6649</v>
      </c>
      <c r="O3358">
        <v>1</v>
      </c>
      <c r="P3358" t="s">
        <v>44</v>
      </c>
      <c r="Q3358" s="1">
        <v>44268</v>
      </c>
    </row>
    <row r="3359" spans="1:17" x14ac:dyDescent="0.3">
      <c r="A3359" t="s">
        <v>35</v>
      </c>
      <c r="B3359" t="s">
        <v>47</v>
      </c>
      <c r="C3359" t="s">
        <v>52</v>
      </c>
      <c r="D3359" t="s">
        <v>40</v>
      </c>
      <c r="E3359" t="s">
        <v>43</v>
      </c>
      <c r="F3359" s="9">
        <v>0.08</v>
      </c>
      <c r="G3359" s="10">
        <v>5245</v>
      </c>
      <c r="H3359">
        <v>4.6399999999999997</v>
      </c>
      <c r="I3359" s="5">
        <f>ROUND(Marketing[[#This Row],[Clicks]]*Marketing[[#This Row],[Conversion_Rate]],0)</f>
        <v>17</v>
      </c>
      <c r="J3359" s="12">
        <f>Marketing[[#This Row],[Campaign_Cost]]/Marketing[[#This Row],[Customers]]</f>
        <v>308.52941176470586</v>
      </c>
      <c r="K3359" t="s">
        <v>51</v>
      </c>
      <c r="L3359" t="s">
        <v>26</v>
      </c>
      <c r="M3359">
        <v>211</v>
      </c>
      <c r="N3359">
        <v>4774</v>
      </c>
      <c r="O3359">
        <v>2</v>
      </c>
      <c r="P3359" t="s">
        <v>42</v>
      </c>
      <c r="Q3359" s="1">
        <v>44269</v>
      </c>
    </row>
    <row r="3360" spans="1:17" x14ac:dyDescent="0.3">
      <c r="A3360" t="s">
        <v>35</v>
      </c>
      <c r="B3360" t="s">
        <v>36</v>
      </c>
      <c r="C3360" t="s">
        <v>23</v>
      </c>
      <c r="D3360" t="s">
        <v>24</v>
      </c>
      <c r="E3360" t="s">
        <v>31</v>
      </c>
      <c r="F3360" s="9">
        <v>0.09</v>
      </c>
      <c r="G3360" s="10">
        <v>19378</v>
      </c>
      <c r="H3360">
        <v>5.31</v>
      </c>
      <c r="I3360" s="5">
        <f>ROUND(Marketing[[#This Row],[Clicks]]*Marketing[[#This Row],[Conversion_Rate]],0)</f>
        <v>82</v>
      </c>
      <c r="J3360" s="12">
        <f>Marketing[[#This Row],[Campaign_Cost]]/Marketing[[#This Row],[Customers]]</f>
        <v>236.3170731707317</v>
      </c>
      <c r="K3360" t="s">
        <v>25</v>
      </c>
      <c r="L3360" t="s">
        <v>50</v>
      </c>
      <c r="M3360">
        <v>908</v>
      </c>
      <c r="N3360">
        <v>1071</v>
      </c>
      <c r="O3360">
        <v>2</v>
      </c>
      <c r="P3360" t="s">
        <v>42</v>
      </c>
      <c r="Q3360" s="1">
        <v>44270</v>
      </c>
    </row>
    <row r="3361" spans="1:17" x14ac:dyDescent="0.3">
      <c r="A3361" t="s">
        <v>14</v>
      </c>
      <c r="B3361" t="s">
        <v>45</v>
      </c>
      <c r="C3361" t="s">
        <v>16</v>
      </c>
      <c r="D3361" t="s">
        <v>17</v>
      </c>
      <c r="E3361" t="s">
        <v>48</v>
      </c>
      <c r="F3361" s="9">
        <v>0.04</v>
      </c>
      <c r="G3361" s="10">
        <v>6450</v>
      </c>
      <c r="H3361">
        <v>3.16</v>
      </c>
      <c r="I3361" s="5">
        <f>ROUND(Marketing[[#This Row],[Clicks]]*Marketing[[#This Row],[Conversion_Rate]],0)</f>
        <v>33</v>
      </c>
      <c r="J3361" s="12">
        <f>Marketing[[#This Row],[Campaign_Cost]]/Marketing[[#This Row],[Customers]]</f>
        <v>195.45454545454547</v>
      </c>
      <c r="K3361" t="s">
        <v>38</v>
      </c>
      <c r="L3361" t="s">
        <v>26</v>
      </c>
      <c r="M3361">
        <v>813</v>
      </c>
      <c r="N3361">
        <v>9261</v>
      </c>
      <c r="O3361">
        <v>4</v>
      </c>
      <c r="P3361" t="s">
        <v>21</v>
      </c>
      <c r="Q3361" s="1">
        <v>44271</v>
      </c>
    </row>
    <row r="3362" spans="1:17" x14ac:dyDescent="0.3">
      <c r="A3362" t="s">
        <v>49</v>
      </c>
      <c r="B3362" t="s">
        <v>47</v>
      </c>
      <c r="C3362" t="s">
        <v>52</v>
      </c>
      <c r="D3362" t="s">
        <v>24</v>
      </c>
      <c r="E3362" t="s">
        <v>41</v>
      </c>
      <c r="F3362" s="9">
        <v>0.1</v>
      </c>
      <c r="G3362" s="10">
        <v>10039</v>
      </c>
      <c r="H3362">
        <v>6.64</v>
      </c>
      <c r="I3362" s="5">
        <f>ROUND(Marketing[[#This Row],[Clicks]]*Marketing[[#This Row],[Conversion_Rate]],0)</f>
        <v>63</v>
      </c>
      <c r="J3362" s="12">
        <f>Marketing[[#This Row],[Campaign_Cost]]/Marketing[[#This Row],[Customers]]</f>
        <v>159.34920634920636</v>
      </c>
      <c r="K3362" t="s">
        <v>19</v>
      </c>
      <c r="L3362" t="s">
        <v>20</v>
      </c>
      <c r="M3362">
        <v>626</v>
      </c>
      <c r="N3362">
        <v>9332</v>
      </c>
      <c r="O3362">
        <v>5</v>
      </c>
      <c r="P3362" t="s">
        <v>44</v>
      </c>
      <c r="Q3362" s="1">
        <v>44272</v>
      </c>
    </row>
    <row r="3363" spans="1:17" x14ac:dyDescent="0.3">
      <c r="A3363" t="s">
        <v>14</v>
      </c>
      <c r="B3363" t="s">
        <v>15</v>
      </c>
      <c r="C3363" t="s">
        <v>23</v>
      </c>
      <c r="D3363" t="s">
        <v>24</v>
      </c>
      <c r="E3363" t="s">
        <v>31</v>
      </c>
      <c r="F3363" s="9">
        <v>0.03</v>
      </c>
      <c r="G3363" s="10">
        <v>18230</v>
      </c>
      <c r="H3363">
        <v>6.02</v>
      </c>
      <c r="I3363" s="5">
        <f>ROUND(Marketing[[#This Row],[Clicks]]*Marketing[[#This Row],[Conversion_Rate]],0)</f>
        <v>4</v>
      </c>
      <c r="J3363" s="12">
        <f>Marketing[[#This Row],[Campaign_Cost]]/Marketing[[#This Row],[Customers]]</f>
        <v>4557.5</v>
      </c>
      <c r="K3363" t="s">
        <v>19</v>
      </c>
      <c r="L3363" t="s">
        <v>26</v>
      </c>
      <c r="M3363">
        <v>149</v>
      </c>
      <c r="N3363">
        <v>8401</v>
      </c>
      <c r="O3363">
        <v>10</v>
      </c>
      <c r="P3363" t="s">
        <v>44</v>
      </c>
      <c r="Q3363" s="1">
        <v>44273</v>
      </c>
    </row>
    <row r="3364" spans="1:17" x14ac:dyDescent="0.3">
      <c r="A3364" t="s">
        <v>49</v>
      </c>
      <c r="B3364" t="s">
        <v>15</v>
      </c>
      <c r="C3364" t="s">
        <v>52</v>
      </c>
      <c r="D3364" t="s">
        <v>17</v>
      </c>
      <c r="E3364" t="s">
        <v>43</v>
      </c>
      <c r="F3364" s="9">
        <v>0.14000000000000001</v>
      </c>
      <c r="G3364" s="10">
        <v>10575</v>
      </c>
      <c r="H3364">
        <v>7.14</v>
      </c>
      <c r="I3364" s="5">
        <f>ROUND(Marketing[[#This Row],[Clicks]]*Marketing[[#This Row],[Conversion_Rate]],0)</f>
        <v>136</v>
      </c>
      <c r="J3364" s="12">
        <f>Marketing[[#This Row],[Campaign_Cost]]/Marketing[[#This Row],[Customers]]</f>
        <v>77.757352941176464</v>
      </c>
      <c r="K3364" t="s">
        <v>51</v>
      </c>
      <c r="L3364" t="s">
        <v>39</v>
      </c>
      <c r="M3364">
        <v>969</v>
      </c>
      <c r="N3364">
        <v>6755</v>
      </c>
      <c r="O3364">
        <v>9</v>
      </c>
      <c r="P3364" t="s">
        <v>42</v>
      </c>
      <c r="Q3364" s="1">
        <v>44274</v>
      </c>
    </row>
    <row r="3365" spans="1:17" x14ac:dyDescent="0.3">
      <c r="A3365" t="s">
        <v>28</v>
      </c>
      <c r="B3365" t="s">
        <v>29</v>
      </c>
      <c r="C3365" t="s">
        <v>52</v>
      </c>
      <c r="D3365" t="s">
        <v>46</v>
      </c>
      <c r="E3365" t="s">
        <v>43</v>
      </c>
      <c r="F3365" s="9">
        <v>0.01</v>
      </c>
      <c r="G3365" s="10">
        <v>13591</v>
      </c>
      <c r="H3365">
        <v>4.6900000000000004</v>
      </c>
      <c r="I3365" s="5">
        <f>ROUND(Marketing[[#This Row],[Clicks]]*Marketing[[#This Row],[Conversion_Rate]],0)</f>
        <v>2</v>
      </c>
      <c r="J3365" s="12">
        <f>Marketing[[#This Row],[Campaign_Cost]]/Marketing[[#This Row],[Customers]]</f>
        <v>6795.5</v>
      </c>
      <c r="K3365" t="s">
        <v>38</v>
      </c>
      <c r="L3365" t="s">
        <v>50</v>
      </c>
      <c r="M3365">
        <v>215</v>
      </c>
      <c r="N3365">
        <v>4760</v>
      </c>
      <c r="O3365">
        <v>9</v>
      </c>
      <c r="P3365" t="s">
        <v>44</v>
      </c>
      <c r="Q3365" s="1">
        <v>44275</v>
      </c>
    </row>
    <row r="3366" spans="1:17" x14ac:dyDescent="0.3">
      <c r="A3366" t="s">
        <v>49</v>
      </c>
      <c r="B3366" t="s">
        <v>36</v>
      </c>
      <c r="C3366" t="s">
        <v>16</v>
      </c>
      <c r="D3366" t="s">
        <v>46</v>
      </c>
      <c r="E3366" t="s">
        <v>48</v>
      </c>
      <c r="F3366" s="9">
        <v>0.08</v>
      </c>
      <c r="G3366" s="10">
        <v>19347</v>
      </c>
      <c r="H3366">
        <v>7.54</v>
      </c>
      <c r="I3366" s="5">
        <f>ROUND(Marketing[[#This Row],[Clicks]]*Marketing[[#This Row],[Conversion_Rate]],0)</f>
        <v>66</v>
      </c>
      <c r="J3366" s="12">
        <f>Marketing[[#This Row],[Campaign_Cost]]/Marketing[[#This Row],[Customers]]</f>
        <v>293.13636363636363</v>
      </c>
      <c r="K3366" t="s">
        <v>25</v>
      </c>
      <c r="L3366" t="s">
        <v>50</v>
      </c>
      <c r="M3366">
        <v>827</v>
      </c>
      <c r="N3366">
        <v>2318</v>
      </c>
      <c r="O3366">
        <v>10</v>
      </c>
      <c r="P3366" t="s">
        <v>27</v>
      </c>
      <c r="Q3366" s="1">
        <v>44276</v>
      </c>
    </row>
    <row r="3367" spans="1:17" x14ac:dyDescent="0.3">
      <c r="A3367" t="s">
        <v>14</v>
      </c>
      <c r="B3367" t="s">
        <v>29</v>
      </c>
      <c r="C3367" t="s">
        <v>37</v>
      </c>
      <c r="D3367" t="s">
        <v>46</v>
      </c>
      <c r="E3367" t="s">
        <v>18</v>
      </c>
      <c r="F3367" s="9">
        <v>0.04</v>
      </c>
      <c r="G3367" s="10">
        <v>10474</v>
      </c>
      <c r="H3367">
        <v>5.46</v>
      </c>
      <c r="I3367" s="5">
        <f>ROUND(Marketing[[#This Row],[Clicks]]*Marketing[[#This Row],[Conversion_Rate]],0)</f>
        <v>29</v>
      </c>
      <c r="J3367" s="12">
        <f>Marketing[[#This Row],[Campaign_Cost]]/Marketing[[#This Row],[Customers]]</f>
        <v>361.17241379310343</v>
      </c>
      <c r="K3367" t="s">
        <v>32</v>
      </c>
      <c r="L3367" t="s">
        <v>50</v>
      </c>
      <c r="M3367">
        <v>713</v>
      </c>
      <c r="N3367">
        <v>9379</v>
      </c>
      <c r="O3367">
        <v>7</v>
      </c>
      <c r="P3367" t="s">
        <v>42</v>
      </c>
      <c r="Q3367" s="1">
        <v>44277</v>
      </c>
    </row>
    <row r="3368" spans="1:17" x14ac:dyDescent="0.3">
      <c r="A3368" t="s">
        <v>22</v>
      </c>
      <c r="B3368" t="s">
        <v>29</v>
      </c>
      <c r="C3368" t="s">
        <v>37</v>
      </c>
      <c r="D3368" t="s">
        <v>17</v>
      </c>
      <c r="E3368" t="s">
        <v>18</v>
      </c>
      <c r="F3368" s="9">
        <v>7.0000000000000007E-2</v>
      </c>
      <c r="G3368" s="10">
        <v>11769</v>
      </c>
      <c r="H3368">
        <v>2.52</v>
      </c>
      <c r="I3368" s="5">
        <f>ROUND(Marketing[[#This Row],[Clicks]]*Marketing[[#This Row],[Conversion_Rate]],0)</f>
        <v>30</v>
      </c>
      <c r="J3368" s="12">
        <f>Marketing[[#This Row],[Campaign_Cost]]/Marketing[[#This Row],[Customers]]</f>
        <v>392.3</v>
      </c>
      <c r="K3368" t="s">
        <v>32</v>
      </c>
      <c r="L3368" t="s">
        <v>39</v>
      </c>
      <c r="M3368">
        <v>428</v>
      </c>
      <c r="N3368">
        <v>7650</v>
      </c>
      <c r="O3368">
        <v>8</v>
      </c>
      <c r="P3368" t="s">
        <v>34</v>
      </c>
      <c r="Q3368" s="1">
        <v>44278</v>
      </c>
    </row>
    <row r="3369" spans="1:17" x14ac:dyDescent="0.3">
      <c r="A3369" t="s">
        <v>49</v>
      </c>
      <c r="B3369" t="s">
        <v>29</v>
      </c>
      <c r="C3369" t="s">
        <v>16</v>
      </c>
      <c r="D3369" t="s">
        <v>40</v>
      </c>
      <c r="E3369" t="s">
        <v>41</v>
      </c>
      <c r="F3369" s="9">
        <v>0.03</v>
      </c>
      <c r="G3369" s="10">
        <v>17431</v>
      </c>
      <c r="H3369">
        <v>2.06</v>
      </c>
      <c r="I3369" s="5">
        <f>ROUND(Marketing[[#This Row],[Clicks]]*Marketing[[#This Row],[Conversion_Rate]],0)</f>
        <v>26</v>
      </c>
      <c r="J3369" s="12">
        <f>Marketing[[#This Row],[Campaign_Cost]]/Marketing[[#This Row],[Customers]]</f>
        <v>670.42307692307691</v>
      </c>
      <c r="K3369" t="s">
        <v>19</v>
      </c>
      <c r="L3369" t="s">
        <v>39</v>
      </c>
      <c r="M3369">
        <v>879</v>
      </c>
      <c r="N3369">
        <v>4981</v>
      </c>
      <c r="O3369">
        <v>2</v>
      </c>
      <c r="P3369" t="s">
        <v>42</v>
      </c>
      <c r="Q3369" s="1">
        <v>44279</v>
      </c>
    </row>
    <row r="3370" spans="1:17" x14ac:dyDescent="0.3">
      <c r="A3370" t="s">
        <v>28</v>
      </c>
      <c r="B3370" t="s">
        <v>45</v>
      </c>
      <c r="C3370" t="s">
        <v>30</v>
      </c>
      <c r="D3370" t="s">
        <v>17</v>
      </c>
      <c r="E3370" t="s">
        <v>48</v>
      </c>
      <c r="F3370" s="9">
        <v>0.13</v>
      </c>
      <c r="G3370" s="10">
        <v>12814</v>
      </c>
      <c r="H3370">
        <v>2.68</v>
      </c>
      <c r="I3370" s="5">
        <f>ROUND(Marketing[[#This Row],[Clicks]]*Marketing[[#This Row],[Conversion_Rate]],0)</f>
        <v>101</v>
      </c>
      <c r="J3370" s="12">
        <f>Marketing[[#This Row],[Campaign_Cost]]/Marketing[[#This Row],[Customers]]</f>
        <v>126.87128712871286</v>
      </c>
      <c r="K3370" t="s">
        <v>51</v>
      </c>
      <c r="L3370" t="s">
        <v>20</v>
      </c>
      <c r="M3370">
        <v>777</v>
      </c>
      <c r="N3370">
        <v>3336</v>
      </c>
      <c r="O3370">
        <v>8</v>
      </c>
      <c r="P3370" t="s">
        <v>44</v>
      </c>
      <c r="Q3370" s="1">
        <v>44280</v>
      </c>
    </row>
    <row r="3371" spans="1:17" x14ac:dyDescent="0.3">
      <c r="A3371" t="s">
        <v>22</v>
      </c>
      <c r="B3371" t="s">
        <v>45</v>
      </c>
      <c r="C3371" t="s">
        <v>30</v>
      </c>
      <c r="D3371" t="s">
        <v>46</v>
      </c>
      <c r="E3371" t="s">
        <v>48</v>
      </c>
      <c r="F3371" s="9">
        <v>0.02</v>
      </c>
      <c r="G3371" s="10">
        <v>12661</v>
      </c>
      <c r="H3371">
        <v>3.58</v>
      </c>
      <c r="I3371" s="5">
        <f>ROUND(Marketing[[#This Row],[Clicks]]*Marketing[[#This Row],[Conversion_Rate]],0)</f>
        <v>15</v>
      </c>
      <c r="J3371" s="12">
        <f>Marketing[[#This Row],[Campaign_Cost]]/Marketing[[#This Row],[Customers]]</f>
        <v>844.06666666666672</v>
      </c>
      <c r="K3371" t="s">
        <v>51</v>
      </c>
      <c r="L3371" t="s">
        <v>26</v>
      </c>
      <c r="M3371">
        <v>762</v>
      </c>
      <c r="N3371">
        <v>9260</v>
      </c>
      <c r="O3371">
        <v>1</v>
      </c>
      <c r="P3371" t="s">
        <v>27</v>
      </c>
      <c r="Q3371" s="1">
        <v>44281</v>
      </c>
    </row>
    <row r="3372" spans="1:17" x14ac:dyDescent="0.3">
      <c r="A3372" t="s">
        <v>49</v>
      </c>
      <c r="B3372" t="s">
        <v>36</v>
      </c>
      <c r="C3372" t="s">
        <v>23</v>
      </c>
      <c r="D3372" t="s">
        <v>17</v>
      </c>
      <c r="E3372" t="s">
        <v>15</v>
      </c>
      <c r="F3372" s="9">
        <v>0.09</v>
      </c>
      <c r="G3372" s="10">
        <v>17380</v>
      </c>
      <c r="H3372">
        <v>4.96</v>
      </c>
      <c r="I3372" s="5">
        <f>ROUND(Marketing[[#This Row],[Clicks]]*Marketing[[#This Row],[Conversion_Rate]],0)</f>
        <v>24</v>
      </c>
      <c r="J3372" s="12">
        <f>Marketing[[#This Row],[Campaign_Cost]]/Marketing[[#This Row],[Customers]]</f>
        <v>724.16666666666663</v>
      </c>
      <c r="K3372" t="s">
        <v>51</v>
      </c>
      <c r="L3372" t="s">
        <v>50</v>
      </c>
      <c r="M3372">
        <v>270</v>
      </c>
      <c r="N3372">
        <v>2682</v>
      </c>
      <c r="O3372">
        <v>5</v>
      </c>
      <c r="P3372" t="s">
        <v>34</v>
      </c>
      <c r="Q3372" s="1">
        <v>44282</v>
      </c>
    </row>
    <row r="3373" spans="1:17" x14ac:dyDescent="0.3">
      <c r="A3373" t="s">
        <v>22</v>
      </c>
      <c r="B3373" t="s">
        <v>36</v>
      </c>
      <c r="C3373" t="s">
        <v>16</v>
      </c>
      <c r="D3373" t="s">
        <v>46</v>
      </c>
      <c r="E3373" t="s">
        <v>18</v>
      </c>
      <c r="F3373" s="9">
        <v>0.08</v>
      </c>
      <c r="G3373" s="10">
        <v>14893</v>
      </c>
      <c r="H3373">
        <v>3.02</v>
      </c>
      <c r="I3373" s="5">
        <f>ROUND(Marketing[[#This Row],[Clicks]]*Marketing[[#This Row],[Conversion_Rate]],0)</f>
        <v>22</v>
      </c>
      <c r="J3373" s="12">
        <f>Marketing[[#This Row],[Campaign_Cost]]/Marketing[[#This Row],[Customers]]</f>
        <v>676.9545454545455</v>
      </c>
      <c r="K3373" t="s">
        <v>51</v>
      </c>
      <c r="L3373" t="s">
        <v>39</v>
      </c>
      <c r="M3373">
        <v>281</v>
      </c>
      <c r="N3373">
        <v>8044</v>
      </c>
      <c r="O3373">
        <v>8</v>
      </c>
      <c r="P3373" t="s">
        <v>27</v>
      </c>
      <c r="Q3373" s="1">
        <v>44283</v>
      </c>
    </row>
    <row r="3374" spans="1:17" x14ac:dyDescent="0.3">
      <c r="A3374" t="s">
        <v>14</v>
      </c>
      <c r="B3374" t="s">
        <v>29</v>
      </c>
      <c r="C3374" t="s">
        <v>30</v>
      </c>
      <c r="D3374" t="s">
        <v>46</v>
      </c>
      <c r="E3374" t="s">
        <v>31</v>
      </c>
      <c r="F3374" s="9">
        <v>0.13</v>
      </c>
      <c r="G3374" s="10">
        <v>5978</v>
      </c>
      <c r="H3374">
        <v>5.22</v>
      </c>
      <c r="I3374" s="5">
        <f>ROUND(Marketing[[#This Row],[Clicks]]*Marketing[[#This Row],[Conversion_Rate]],0)</f>
        <v>71</v>
      </c>
      <c r="J3374" s="12">
        <f>Marketing[[#This Row],[Campaign_Cost]]/Marketing[[#This Row],[Customers]]</f>
        <v>84.197183098591552</v>
      </c>
      <c r="K3374" t="s">
        <v>51</v>
      </c>
      <c r="L3374" t="s">
        <v>20</v>
      </c>
      <c r="M3374">
        <v>546</v>
      </c>
      <c r="N3374">
        <v>8673</v>
      </c>
      <c r="O3374">
        <v>10</v>
      </c>
      <c r="P3374" t="s">
        <v>34</v>
      </c>
      <c r="Q3374" s="1">
        <v>44284</v>
      </c>
    </row>
    <row r="3375" spans="1:17" x14ac:dyDescent="0.3">
      <c r="A3375" t="s">
        <v>28</v>
      </c>
      <c r="B3375" t="s">
        <v>36</v>
      </c>
      <c r="C3375" t="s">
        <v>23</v>
      </c>
      <c r="D3375" t="s">
        <v>24</v>
      </c>
      <c r="E3375" t="s">
        <v>48</v>
      </c>
      <c r="F3375" s="9">
        <v>0.06</v>
      </c>
      <c r="G3375" s="10">
        <v>8462</v>
      </c>
      <c r="H3375">
        <v>4.03</v>
      </c>
      <c r="I3375" s="5">
        <f>ROUND(Marketing[[#This Row],[Clicks]]*Marketing[[#This Row],[Conversion_Rate]],0)</f>
        <v>49</v>
      </c>
      <c r="J3375" s="12">
        <f>Marketing[[#This Row],[Campaign_Cost]]/Marketing[[#This Row],[Customers]]</f>
        <v>172.69387755102042</v>
      </c>
      <c r="K3375" t="s">
        <v>51</v>
      </c>
      <c r="L3375" t="s">
        <v>26</v>
      </c>
      <c r="M3375">
        <v>823</v>
      </c>
      <c r="N3375">
        <v>3895</v>
      </c>
      <c r="O3375">
        <v>5</v>
      </c>
      <c r="P3375" t="s">
        <v>44</v>
      </c>
      <c r="Q3375" s="1">
        <v>44285</v>
      </c>
    </row>
    <row r="3376" spans="1:17" x14ac:dyDescent="0.3">
      <c r="A3376" t="s">
        <v>14</v>
      </c>
      <c r="B3376" t="s">
        <v>47</v>
      </c>
      <c r="C3376" t="s">
        <v>37</v>
      </c>
      <c r="D3376" t="s">
        <v>17</v>
      </c>
      <c r="E3376" t="s">
        <v>41</v>
      </c>
      <c r="F3376" s="9">
        <v>0.13</v>
      </c>
      <c r="G3376" s="10">
        <v>5945</v>
      </c>
      <c r="H3376">
        <v>6.93</v>
      </c>
      <c r="I3376" s="5">
        <f>ROUND(Marketing[[#This Row],[Clicks]]*Marketing[[#This Row],[Conversion_Rate]],0)</f>
        <v>42</v>
      </c>
      <c r="J3376" s="12">
        <f>Marketing[[#This Row],[Campaign_Cost]]/Marketing[[#This Row],[Customers]]</f>
        <v>141.54761904761904</v>
      </c>
      <c r="K3376" t="s">
        <v>38</v>
      </c>
      <c r="L3376" t="s">
        <v>26</v>
      </c>
      <c r="M3376">
        <v>322</v>
      </c>
      <c r="N3376">
        <v>9633</v>
      </c>
      <c r="O3376">
        <v>7</v>
      </c>
      <c r="P3376" t="s">
        <v>27</v>
      </c>
      <c r="Q3376" s="1">
        <v>44286</v>
      </c>
    </row>
    <row r="3377" spans="1:17" x14ac:dyDescent="0.3">
      <c r="A3377" t="s">
        <v>35</v>
      </c>
      <c r="B3377" t="s">
        <v>29</v>
      </c>
      <c r="C3377" t="s">
        <v>23</v>
      </c>
      <c r="D3377" t="s">
        <v>40</v>
      </c>
      <c r="E3377" t="s">
        <v>15</v>
      </c>
      <c r="F3377" s="9">
        <v>0.1</v>
      </c>
      <c r="G3377" s="10">
        <v>13623</v>
      </c>
      <c r="H3377">
        <v>6.05</v>
      </c>
      <c r="I3377" s="5">
        <f>ROUND(Marketing[[#This Row],[Clicks]]*Marketing[[#This Row],[Conversion_Rate]],0)</f>
        <v>60</v>
      </c>
      <c r="J3377" s="12">
        <f>Marketing[[#This Row],[Campaign_Cost]]/Marketing[[#This Row],[Customers]]</f>
        <v>227.05</v>
      </c>
      <c r="K3377" t="s">
        <v>32</v>
      </c>
      <c r="L3377" t="s">
        <v>33</v>
      </c>
      <c r="M3377">
        <v>602</v>
      </c>
      <c r="N3377">
        <v>8739</v>
      </c>
      <c r="O3377">
        <v>6</v>
      </c>
      <c r="P3377" t="s">
        <v>27</v>
      </c>
      <c r="Q3377" s="1">
        <v>44287</v>
      </c>
    </row>
    <row r="3378" spans="1:17" x14ac:dyDescent="0.3">
      <c r="A3378" t="s">
        <v>28</v>
      </c>
      <c r="B3378" t="s">
        <v>47</v>
      </c>
      <c r="C3378" t="s">
        <v>23</v>
      </c>
      <c r="D3378" t="s">
        <v>24</v>
      </c>
      <c r="E3378" t="s">
        <v>43</v>
      </c>
      <c r="F3378" s="9">
        <v>0.05</v>
      </c>
      <c r="G3378" s="10">
        <v>12531</v>
      </c>
      <c r="H3378">
        <v>5.0999999999999996</v>
      </c>
      <c r="I3378" s="5">
        <f>ROUND(Marketing[[#This Row],[Clicks]]*Marketing[[#This Row],[Conversion_Rate]],0)</f>
        <v>43</v>
      </c>
      <c r="J3378" s="12">
        <f>Marketing[[#This Row],[Campaign_Cost]]/Marketing[[#This Row],[Customers]]</f>
        <v>291.41860465116281</v>
      </c>
      <c r="K3378" t="s">
        <v>51</v>
      </c>
      <c r="L3378" t="s">
        <v>33</v>
      </c>
      <c r="M3378">
        <v>856</v>
      </c>
      <c r="N3378">
        <v>1945</v>
      </c>
      <c r="O3378">
        <v>9</v>
      </c>
      <c r="P3378" t="s">
        <v>21</v>
      </c>
      <c r="Q3378" s="1">
        <v>44288</v>
      </c>
    </row>
    <row r="3379" spans="1:17" x14ac:dyDescent="0.3">
      <c r="A3379" t="s">
        <v>49</v>
      </c>
      <c r="B3379" t="s">
        <v>29</v>
      </c>
      <c r="C3379" t="s">
        <v>30</v>
      </c>
      <c r="D3379" t="s">
        <v>24</v>
      </c>
      <c r="E3379" t="s">
        <v>18</v>
      </c>
      <c r="F3379" s="9">
        <v>0.05</v>
      </c>
      <c r="G3379" s="10">
        <v>15501</v>
      </c>
      <c r="H3379">
        <v>6.49</v>
      </c>
      <c r="I3379" s="5">
        <f>ROUND(Marketing[[#This Row],[Clicks]]*Marketing[[#This Row],[Conversion_Rate]],0)</f>
        <v>25</v>
      </c>
      <c r="J3379" s="12">
        <f>Marketing[[#This Row],[Campaign_Cost]]/Marketing[[#This Row],[Customers]]</f>
        <v>620.04</v>
      </c>
      <c r="K3379" t="s">
        <v>32</v>
      </c>
      <c r="L3379" t="s">
        <v>26</v>
      </c>
      <c r="M3379">
        <v>497</v>
      </c>
      <c r="N3379">
        <v>7221</v>
      </c>
      <c r="O3379">
        <v>1</v>
      </c>
      <c r="P3379" t="s">
        <v>42</v>
      </c>
      <c r="Q3379" s="1">
        <v>44289</v>
      </c>
    </row>
    <row r="3380" spans="1:17" x14ac:dyDescent="0.3">
      <c r="A3380" t="s">
        <v>14</v>
      </c>
      <c r="B3380" t="s">
        <v>15</v>
      </c>
      <c r="C3380" t="s">
        <v>16</v>
      </c>
      <c r="D3380" t="s">
        <v>46</v>
      </c>
      <c r="E3380" t="s">
        <v>15</v>
      </c>
      <c r="F3380" s="9">
        <v>0.13</v>
      </c>
      <c r="G3380" s="10">
        <v>9355</v>
      </c>
      <c r="H3380">
        <v>2.87</v>
      </c>
      <c r="I3380" s="5">
        <f>ROUND(Marketing[[#This Row],[Clicks]]*Marketing[[#This Row],[Conversion_Rate]],0)</f>
        <v>56</v>
      </c>
      <c r="J3380" s="12">
        <f>Marketing[[#This Row],[Campaign_Cost]]/Marketing[[#This Row],[Customers]]</f>
        <v>167.05357142857142</v>
      </c>
      <c r="K3380" t="s">
        <v>25</v>
      </c>
      <c r="L3380" t="s">
        <v>39</v>
      </c>
      <c r="M3380">
        <v>428</v>
      </c>
      <c r="N3380">
        <v>8814</v>
      </c>
      <c r="O3380">
        <v>2</v>
      </c>
      <c r="P3380" t="s">
        <v>42</v>
      </c>
      <c r="Q3380" s="1">
        <v>44290</v>
      </c>
    </row>
    <row r="3381" spans="1:17" x14ac:dyDescent="0.3">
      <c r="A3381" t="s">
        <v>35</v>
      </c>
      <c r="B3381" t="s">
        <v>45</v>
      </c>
      <c r="C3381" t="s">
        <v>23</v>
      </c>
      <c r="D3381" t="s">
        <v>24</v>
      </c>
      <c r="E3381" t="s">
        <v>41</v>
      </c>
      <c r="F3381" s="9">
        <v>0.01</v>
      </c>
      <c r="G3381" s="10">
        <v>19958</v>
      </c>
      <c r="H3381">
        <v>4.1399999999999997</v>
      </c>
      <c r="I3381" s="5">
        <f>ROUND(Marketing[[#This Row],[Clicks]]*Marketing[[#This Row],[Conversion_Rate]],0)</f>
        <v>2</v>
      </c>
      <c r="J3381" s="12">
        <f>Marketing[[#This Row],[Campaign_Cost]]/Marketing[[#This Row],[Customers]]</f>
        <v>9979</v>
      </c>
      <c r="K3381" t="s">
        <v>19</v>
      </c>
      <c r="L3381" t="s">
        <v>26</v>
      </c>
      <c r="M3381">
        <v>233</v>
      </c>
      <c r="N3381">
        <v>5894</v>
      </c>
      <c r="O3381">
        <v>9</v>
      </c>
      <c r="P3381" t="s">
        <v>21</v>
      </c>
      <c r="Q3381" s="1">
        <v>44291</v>
      </c>
    </row>
    <row r="3382" spans="1:17" x14ac:dyDescent="0.3">
      <c r="A3382" t="s">
        <v>35</v>
      </c>
      <c r="B3382" t="s">
        <v>29</v>
      </c>
      <c r="C3382" t="s">
        <v>30</v>
      </c>
      <c r="D3382" t="s">
        <v>17</v>
      </c>
      <c r="E3382" t="s">
        <v>18</v>
      </c>
      <c r="F3382" s="9">
        <v>0.06</v>
      </c>
      <c r="G3382" s="10">
        <v>15598</v>
      </c>
      <c r="H3382">
        <v>3.91</v>
      </c>
      <c r="I3382" s="5">
        <f>ROUND(Marketing[[#This Row],[Clicks]]*Marketing[[#This Row],[Conversion_Rate]],0)</f>
        <v>29</v>
      </c>
      <c r="J3382" s="12">
        <f>Marketing[[#This Row],[Campaign_Cost]]/Marketing[[#This Row],[Customers]]</f>
        <v>537.86206896551721</v>
      </c>
      <c r="K3382" t="s">
        <v>32</v>
      </c>
      <c r="L3382" t="s">
        <v>26</v>
      </c>
      <c r="M3382">
        <v>480</v>
      </c>
      <c r="N3382">
        <v>2807</v>
      </c>
      <c r="O3382">
        <v>2</v>
      </c>
      <c r="P3382" t="s">
        <v>34</v>
      </c>
      <c r="Q3382" s="1">
        <v>44292</v>
      </c>
    </row>
    <row r="3383" spans="1:17" x14ac:dyDescent="0.3">
      <c r="A3383" t="s">
        <v>35</v>
      </c>
      <c r="B3383" t="s">
        <v>47</v>
      </c>
      <c r="C3383" t="s">
        <v>52</v>
      </c>
      <c r="D3383" t="s">
        <v>24</v>
      </c>
      <c r="E3383" t="s">
        <v>18</v>
      </c>
      <c r="F3383" s="9">
        <v>0.14000000000000001</v>
      </c>
      <c r="G3383" s="10">
        <v>12804</v>
      </c>
      <c r="H3383">
        <v>6.66</v>
      </c>
      <c r="I3383" s="5">
        <f>ROUND(Marketing[[#This Row],[Clicks]]*Marketing[[#This Row],[Conversion_Rate]],0)</f>
        <v>53</v>
      </c>
      <c r="J3383" s="12">
        <f>Marketing[[#This Row],[Campaign_Cost]]/Marketing[[#This Row],[Customers]]</f>
        <v>241.58490566037736</v>
      </c>
      <c r="K3383" t="s">
        <v>25</v>
      </c>
      <c r="L3383" t="s">
        <v>26</v>
      </c>
      <c r="M3383">
        <v>375</v>
      </c>
      <c r="N3383">
        <v>2873</v>
      </c>
      <c r="O3383">
        <v>4</v>
      </c>
      <c r="P3383" t="s">
        <v>27</v>
      </c>
      <c r="Q3383" s="1">
        <v>44293</v>
      </c>
    </row>
    <row r="3384" spans="1:17" x14ac:dyDescent="0.3">
      <c r="A3384" t="s">
        <v>49</v>
      </c>
      <c r="B3384" t="s">
        <v>29</v>
      </c>
      <c r="C3384" t="s">
        <v>30</v>
      </c>
      <c r="D3384" t="s">
        <v>40</v>
      </c>
      <c r="E3384" t="s">
        <v>43</v>
      </c>
      <c r="F3384" s="9">
        <v>0.12</v>
      </c>
      <c r="G3384" s="10">
        <v>12684</v>
      </c>
      <c r="H3384">
        <v>3.37</v>
      </c>
      <c r="I3384" s="5">
        <f>ROUND(Marketing[[#This Row],[Clicks]]*Marketing[[#This Row],[Conversion_Rate]],0)</f>
        <v>98</v>
      </c>
      <c r="J3384" s="12">
        <f>Marketing[[#This Row],[Campaign_Cost]]/Marketing[[#This Row],[Customers]]</f>
        <v>129.42857142857142</v>
      </c>
      <c r="K3384" t="s">
        <v>25</v>
      </c>
      <c r="L3384" t="s">
        <v>26</v>
      </c>
      <c r="M3384">
        <v>817</v>
      </c>
      <c r="N3384">
        <v>5743</v>
      </c>
      <c r="O3384">
        <v>10</v>
      </c>
      <c r="P3384" t="s">
        <v>42</v>
      </c>
      <c r="Q3384" s="1">
        <v>44294</v>
      </c>
    </row>
    <row r="3385" spans="1:17" x14ac:dyDescent="0.3">
      <c r="A3385" t="s">
        <v>14</v>
      </c>
      <c r="B3385" t="s">
        <v>15</v>
      </c>
      <c r="C3385" t="s">
        <v>16</v>
      </c>
      <c r="D3385" t="s">
        <v>24</v>
      </c>
      <c r="E3385" t="s">
        <v>48</v>
      </c>
      <c r="F3385" s="9">
        <v>0.03</v>
      </c>
      <c r="G3385" s="10">
        <v>7105</v>
      </c>
      <c r="H3385">
        <v>5.66</v>
      </c>
      <c r="I3385" s="5">
        <f>ROUND(Marketing[[#This Row],[Clicks]]*Marketing[[#This Row],[Conversion_Rate]],0)</f>
        <v>10</v>
      </c>
      <c r="J3385" s="12">
        <f>Marketing[[#This Row],[Campaign_Cost]]/Marketing[[#This Row],[Customers]]</f>
        <v>710.5</v>
      </c>
      <c r="K3385" t="s">
        <v>32</v>
      </c>
      <c r="L3385" t="s">
        <v>20</v>
      </c>
      <c r="M3385">
        <v>346</v>
      </c>
      <c r="N3385">
        <v>3438</v>
      </c>
      <c r="O3385">
        <v>2</v>
      </c>
      <c r="P3385" t="s">
        <v>44</v>
      </c>
      <c r="Q3385" s="1">
        <v>44295</v>
      </c>
    </row>
    <row r="3386" spans="1:17" x14ac:dyDescent="0.3">
      <c r="A3386" t="s">
        <v>49</v>
      </c>
      <c r="B3386" t="s">
        <v>36</v>
      </c>
      <c r="C3386" t="s">
        <v>52</v>
      </c>
      <c r="D3386" t="s">
        <v>17</v>
      </c>
      <c r="E3386" t="s">
        <v>18</v>
      </c>
      <c r="F3386" s="9">
        <v>0.1</v>
      </c>
      <c r="G3386" s="10">
        <v>10009</v>
      </c>
      <c r="H3386">
        <v>3.15</v>
      </c>
      <c r="I3386" s="5">
        <f>ROUND(Marketing[[#This Row],[Clicks]]*Marketing[[#This Row],[Conversion_Rate]],0)</f>
        <v>24</v>
      </c>
      <c r="J3386" s="12">
        <f>Marketing[[#This Row],[Campaign_Cost]]/Marketing[[#This Row],[Customers]]</f>
        <v>417.04166666666669</v>
      </c>
      <c r="K3386" t="s">
        <v>25</v>
      </c>
      <c r="L3386" t="s">
        <v>20</v>
      </c>
      <c r="M3386">
        <v>243</v>
      </c>
      <c r="N3386">
        <v>2733</v>
      </c>
      <c r="O3386">
        <v>7</v>
      </c>
      <c r="P3386" t="s">
        <v>27</v>
      </c>
      <c r="Q3386" s="1">
        <v>44296</v>
      </c>
    </row>
    <row r="3387" spans="1:17" x14ac:dyDescent="0.3">
      <c r="A3387" t="s">
        <v>22</v>
      </c>
      <c r="B3387" t="s">
        <v>36</v>
      </c>
      <c r="C3387" t="s">
        <v>30</v>
      </c>
      <c r="D3387" t="s">
        <v>24</v>
      </c>
      <c r="E3387" t="s">
        <v>41</v>
      </c>
      <c r="F3387" s="9">
        <v>0.02</v>
      </c>
      <c r="G3387" s="10">
        <v>9918</v>
      </c>
      <c r="H3387">
        <v>4.67</v>
      </c>
      <c r="I3387" s="5">
        <f>ROUND(Marketing[[#This Row],[Clicks]]*Marketing[[#This Row],[Conversion_Rate]],0)</f>
        <v>3</v>
      </c>
      <c r="J3387" s="12">
        <f>Marketing[[#This Row],[Campaign_Cost]]/Marketing[[#This Row],[Customers]]</f>
        <v>3306</v>
      </c>
      <c r="K3387" t="s">
        <v>19</v>
      </c>
      <c r="L3387" t="s">
        <v>39</v>
      </c>
      <c r="M3387">
        <v>148</v>
      </c>
      <c r="N3387">
        <v>8224</v>
      </c>
      <c r="O3387">
        <v>8</v>
      </c>
      <c r="P3387" t="s">
        <v>42</v>
      </c>
      <c r="Q3387" s="1">
        <v>44297</v>
      </c>
    </row>
    <row r="3388" spans="1:17" x14ac:dyDescent="0.3">
      <c r="A3388" t="s">
        <v>22</v>
      </c>
      <c r="B3388" t="s">
        <v>36</v>
      </c>
      <c r="C3388" t="s">
        <v>23</v>
      </c>
      <c r="D3388" t="s">
        <v>46</v>
      </c>
      <c r="E3388" t="s">
        <v>48</v>
      </c>
      <c r="F3388" s="9">
        <v>0.11</v>
      </c>
      <c r="G3388" s="10">
        <v>5566</v>
      </c>
      <c r="H3388">
        <v>5.36</v>
      </c>
      <c r="I3388" s="5">
        <f>ROUND(Marketing[[#This Row],[Clicks]]*Marketing[[#This Row],[Conversion_Rate]],0)</f>
        <v>102</v>
      </c>
      <c r="J3388" s="12">
        <f>Marketing[[#This Row],[Campaign_Cost]]/Marketing[[#This Row],[Customers]]</f>
        <v>54.568627450980394</v>
      </c>
      <c r="K3388" t="s">
        <v>19</v>
      </c>
      <c r="L3388" t="s">
        <v>50</v>
      </c>
      <c r="M3388">
        <v>923</v>
      </c>
      <c r="N3388">
        <v>9680</v>
      </c>
      <c r="O3388">
        <v>5</v>
      </c>
      <c r="P3388" t="s">
        <v>27</v>
      </c>
      <c r="Q3388" s="1">
        <v>44298</v>
      </c>
    </row>
    <row r="3389" spans="1:17" x14ac:dyDescent="0.3">
      <c r="A3389" t="s">
        <v>49</v>
      </c>
      <c r="B3389" t="s">
        <v>29</v>
      </c>
      <c r="C3389" t="s">
        <v>30</v>
      </c>
      <c r="D3389" t="s">
        <v>40</v>
      </c>
      <c r="E3389" t="s">
        <v>18</v>
      </c>
      <c r="F3389" s="9">
        <v>0.05</v>
      </c>
      <c r="G3389" s="10">
        <v>7724</v>
      </c>
      <c r="H3389">
        <v>2.5499999999999998</v>
      </c>
      <c r="I3389" s="5">
        <f>ROUND(Marketing[[#This Row],[Clicks]]*Marketing[[#This Row],[Conversion_Rate]],0)</f>
        <v>43</v>
      </c>
      <c r="J3389" s="12">
        <f>Marketing[[#This Row],[Campaign_Cost]]/Marketing[[#This Row],[Customers]]</f>
        <v>179.62790697674419</v>
      </c>
      <c r="K3389" t="s">
        <v>19</v>
      </c>
      <c r="L3389" t="s">
        <v>50</v>
      </c>
      <c r="M3389">
        <v>864</v>
      </c>
      <c r="N3389">
        <v>7507</v>
      </c>
      <c r="O3389">
        <v>5</v>
      </c>
      <c r="P3389" t="s">
        <v>44</v>
      </c>
      <c r="Q3389" s="1">
        <v>44299</v>
      </c>
    </row>
    <row r="3390" spans="1:17" x14ac:dyDescent="0.3">
      <c r="A3390" t="s">
        <v>22</v>
      </c>
      <c r="B3390" t="s">
        <v>45</v>
      </c>
      <c r="C3390" t="s">
        <v>16</v>
      </c>
      <c r="D3390" t="s">
        <v>40</v>
      </c>
      <c r="E3390" t="s">
        <v>15</v>
      </c>
      <c r="F3390" s="9">
        <v>0.04</v>
      </c>
      <c r="G3390" s="10">
        <v>14098</v>
      </c>
      <c r="H3390">
        <v>7.98</v>
      </c>
      <c r="I3390" s="5">
        <f>ROUND(Marketing[[#This Row],[Clicks]]*Marketing[[#This Row],[Conversion_Rate]],0)</f>
        <v>11</v>
      </c>
      <c r="J3390" s="12">
        <f>Marketing[[#This Row],[Campaign_Cost]]/Marketing[[#This Row],[Customers]]</f>
        <v>1281.6363636363637</v>
      </c>
      <c r="K3390" t="s">
        <v>51</v>
      </c>
      <c r="L3390" t="s">
        <v>50</v>
      </c>
      <c r="M3390">
        <v>264</v>
      </c>
      <c r="N3390">
        <v>6861</v>
      </c>
      <c r="O3390">
        <v>7</v>
      </c>
      <c r="P3390" t="s">
        <v>34</v>
      </c>
      <c r="Q3390" s="1">
        <v>44300</v>
      </c>
    </row>
    <row r="3391" spans="1:17" x14ac:dyDescent="0.3">
      <c r="A3391" t="s">
        <v>14</v>
      </c>
      <c r="B3391" t="s">
        <v>45</v>
      </c>
      <c r="C3391" t="s">
        <v>16</v>
      </c>
      <c r="D3391" t="s">
        <v>46</v>
      </c>
      <c r="E3391" t="s">
        <v>43</v>
      </c>
      <c r="F3391" s="9">
        <v>0.14000000000000001</v>
      </c>
      <c r="G3391" s="10">
        <v>12026</v>
      </c>
      <c r="H3391">
        <v>7.35</v>
      </c>
      <c r="I3391" s="5">
        <f>ROUND(Marketing[[#This Row],[Clicks]]*Marketing[[#This Row],[Conversion_Rate]],0)</f>
        <v>25</v>
      </c>
      <c r="J3391" s="12">
        <f>Marketing[[#This Row],[Campaign_Cost]]/Marketing[[#This Row],[Customers]]</f>
        <v>481.04</v>
      </c>
      <c r="K3391" t="s">
        <v>25</v>
      </c>
      <c r="L3391" t="s">
        <v>50</v>
      </c>
      <c r="M3391">
        <v>178</v>
      </c>
      <c r="N3391">
        <v>9376</v>
      </c>
      <c r="O3391">
        <v>10</v>
      </c>
      <c r="P3391" t="s">
        <v>21</v>
      </c>
      <c r="Q3391" s="1">
        <v>44301</v>
      </c>
    </row>
    <row r="3392" spans="1:17" x14ac:dyDescent="0.3">
      <c r="A3392" t="s">
        <v>35</v>
      </c>
      <c r="B3392" t="s">
        <v>47</v>
      </c>
      <c r="C3392" t="s">
        <v>23</v>
      </c>
      <c r="D3392" t="s">
        <v>40</v>
      </c>
      <c r="E3392" t="s">
        <v>43</v>
      </c>
      <c r="F3392" s="9">
        <v>0.06</v>
      </c>
      <c r="G3392" s="10">
        <v>7678</v>
      </c>
      <c r="H3392">
        <v>6.28</v>
      </c>
      <c r="I3392" s="5">
        <f>ROUND(Marketing[[#This Row],[Clicks]]*Marketing[[#This Row],[Conversion_Rate]],0)</f>
        <v>52</v>
      </c>
      <c r="J3392" s="12">
        <f>Marketing[[#This Row],[Campaign_Cost]]/Marketing[[#This Row],[Customers]]</f>
        <v>147.65384615384616</v>
      </c>
      <c r="K3392" t="s">
        <v>51</v>
      </c>
      <c r="L3392" t="s">
        <v>39</v>
      </c>
      <c r="M3392">
        <v>874</v>
      </c>
      <c r="N3392">
        <v>3906</v>
      </c>
      <c r="O3392">
        <v>9</v>
      </c>
      <c r="P3392" t="s">
        <v>27</v>
      </c>
      <c r="Q3392" s="1">
        <v>44302</v>
      </c>
    </row>
    <row r="3393" spans="1:17" x14ac:dyDescent="0.3">
      <c r="A3393" t="s">
        <v>35</v>
      </c>
      <c r="B3393" t="s">
        <v>45</v>
      </c>
      <c r="C3393" t="s">
        <v>30</v>
      </c>
      <c r="D3393" t="s">
        <v>24</v>
      </c>
      <c r="E3393" t="s">
        <v>48</v>
      </c>
      <c r="F3393" s="9">
        <v>0.02</v>
      </c>
      <c r="G3393" s="10">
        <v>11400</v>
      </c>
      <c r="H3393">
        <v>2.8</v>
      </c>
      <c r="I3393" s="5">
        <f>ROUND(Marketing[[#This Row],[Clicks]]*Marketing[[#This Row],[Conversion_Rate]],0)</f>
        <v>7</v>
      </c>
      <c r="J3393" s="12">
        <f>Marketing[[#This Row],[Campaign_Cost]]/Marketing[[#This Row],[Customers]]</f>
        <v>1628.5714285714287</v>
      </c>
      <c r="K3393" t="s">
        <v>38</v>
      </c>
      <c r="L3393" t="s">
        <v>50</v>
      </c>
      <c r="M3393">
        <v>329</v>
      </c>
      <c r="N3393">
        <v>8081</v>
      </c>
      <c r="O3393">
        <v>7</v>
      </c>
      <c r="P3393" t="s">
        <v>34</v>
      </c>
      <c r="Q3393" s="1">
        <v>44303</v>
      </c>
    </row>
    <row r="3394" spans="1:17" x14ac:dyDescent="0.3">
      <c r="A3394" t="s">
        <v>22</v>
      </c>
      <c r="B3394" t="s">
        <v>47</v>
      </c>
      <c r="C3394" t="s">
        <v>30</v>
      </c>
      <c r="D3394" t="s">
        <v>24</v>
      </c>
      <c r="E3394" t="s">
        <v>18</v>
      </c>
      <c r="F3394" s="9">
        <v>0.02</v>
      </c>
      <c r="G3394" s="10">
        <v>16645</v>
      </c>
      <c r="H3394">
        <v>3.96</v>
      </c>
      <c r="I3394" s="5">
        <f>ROUND(Marketing[[#This Row],[Clicks]]*Marketing[[#This Row],[Conversion_Rate]],0)</f>
        <v>5</v>
      </c>
      <c r="J3394" s="12">
        <f>Marketing[[#This Row],[Campaign_Cost]]/Marketing[[#This Row],[Customers]]</f>
        <v>3329</v>
      </c>
      <c r="K3394" t="s">
        <v>25</v>
      </c>
      <c r="L3394" t="s">
        <v>20</v>
      </c>
      <c r="M3394">
        <v>229</v>
      </c>
      <c r="N3394">
        <v>6916</v>
      </c>
      <c r="O3394">
        <v>1</v>
      </c>
      <c r="P3394" t="s">
        <v>21</v>
      </c>
      <c r="Q3394" s="1">
        <v>44304</v>
      </c>
    </row>
    <row r="3395" spans="1:17" x14ac:dyDescent="0.3">
      <c r="A3395" t="s">
        <v>22</v>
      </c>
      <c r="B3395" t="s">
        <v>29</v>
      </c>
      <c r="C3395" t="s">
        <v>30</v>
      </c>
      <c r="D3395" t="s">
        <v>24</v>
      </c>
      <c r="E3395" t="s">
        <v>18</v>
      </c>
      <c r="F3395" s="9">
        <v>0.13</v>
      </c>
      <c r="G3395" s="10">
        <v>16606</v>
      </c>
      <c r="H3395">
        <v>7.23</v>
      </c>
      <c r="I3395" s="5">
        <f>ROUND(Marketing[[#This Row],[Clicks]]*Marketing[[#This Row],[Conversion_Rate]],0)</f>
        <v>47</v>
      </c>
      <c r="J3395" s="12">
        <f>Marketing[[#This Row],[Campaign_Cost]]/Marketing[[#This Row],[Customers]]</f>
        <v>353.31914893617022</v>
      </c>
      <c r="K3395" t="s">
        <v>38</v>
      </c>
      <c r="L3395" t="s">
        <v>39</v>
      </c>
      <c r="M3395">
        <v>364</v>
      </c>
      <c r="N3395">
        <v>5972</v>
      </c>
      <c r="O3395">
        <v>7</v>
      </c>
      <c r="P3395" t="s">
        <v>44</v>
      </c>
      <c r="Q3395" s="1">
        <v>44305</v>
      </c>
    </row>
    <row r="3396" spans="1:17" x14ac:dyDescent="0.3">
      <c r="A3396" t="s">
        <v>35</v>
      </c>
      <c r="B3396" t="s">
        <v>36</v>
      </c>
      <c r="C3396" t="s">
        <v>16</v>
      </c>
      <c r="D3396" t="s">
        <v>24</v>
      </c>
      <c r="E3396" t="s">
        <v>15</v>
      </c>
      <c r="F3396" s="9">
        <v>0.02</v>
      </c>
      <c r="G3396" s="10">
        <v>9037</v>
      </c>
      <c r="H3396">
        <v>4.28</v>
      </c>
      <c r="I3396" s="5">
        <f>ROUND(Marketing[[#This Row],[Clicks]]*Marketing[[#This Row],[Conversion_Rate]],0)</f>
        <v>2</v>
      </c>
      <c r="J3396" s="12">
        <f>Marketing[[#This Row],[Campaign_Cost]]/Marketing[[#This Row],[Customers]]</f>
        <v>4518.5</v>
      </c>
      <c r="K3396" t="s">
        <v>51</v>
      </c>
      <c r="L3396" t="s">
        <v>26</v>
      </c>
      <c r="M3396">
        <v>119</v>
      </c>
      <c r="N3396">
        <v>9337</v>
      </c>
      <c r="O3396">
        <v>9</v>
      </c>
      <c r="P3396" t="s">
        <v>21</v>
      </c>
      <c r="Q3396" s="1">
        <v>44306</v>
      </c>
    </row>
    <row r="3397" spans="1:17" x14ac:dyDescent="0.3">
      <c r="A3397" t="s">
        <v>28</v>
      </c>
      <c r="B3397" t="s">
        <v>36</v>
      </c>
      <c r="C3397" t="s">
        <v>30</v>
      </c>
      <c r="D3397" t="s">
        <v>17</v>
      </c>
      <c r="E3397" t="s">
        <v>15</v>
      </c>
      <c r="F3397" s="9">
        <v>0.12</v>
      </c>
      <c r="G3397" s="10">
        <v>13587</v>
      </c>
      <c r="H3397">
        <v>7.45</v>
      </c>
      <c r="I3397" s="5">
        <f>ROUND(Marketing[[#This Row],[Clicks]]*Marketing[[#This Row],[Conversion_Rate]],0)</f>
        <v>42</v>
      </c>
      <c r="J3397" s="12">
        <f>Marketing[[#This Row],[Campaign_Cost]]/Marketing[[#This Row],[Customers]]</f>
        <v>323.5</v>
      </c>
      <c r="K3397" t="s">
        <v>19</v>
      </c>
      <c r="L3397" t="s">
        <v>26</v>
      </c>
      <c r="M3397">
        <v>351</v>
      </c>
      <c r="N3397">
        <v>3877</v>
      </c>
      <c r="O3397">
        <v>10</v>
      </c>
      <c r="P3397" t="s">
        <v>44</v>
      </c>
      <c r="Q3397" s="1">
        <v>44307</v>
      </c>
    </row>
    <row r="3398" spans="1:17" x14ac:dyDescent="0.3">
      <c r="A3398" t="s">
        <v>49</v>
      </c>
      <c r="B3398" t="s">
        <v>47</v>
      </c>
      <c r="C3398" t="s">
        <v>23</v>
      </c>
      <c r="D3398" t="s">
        <v>46</v>
      </c>
      <c r="E3398" t="s">
        <v>31</v>
      </c>
      <c r="F3398" s="9">
        <v>0.03</v>
      </c>
      <c r="G3398" s="10">
        <v>11865</v>
      </c>
      <c r="H3398">
        <v>2.36</v>
      </c>
      <c r="I3398" s="5">
        <f>ROUND(Marketing[[#This Row],[Clicks]]*Marketing[[#This Row],[Conversion_Rate]],0)</f>
        <v>8</v>
      </c>
      <c r="J3398" s="12">
        <f>Marketing[[#This Row],[Campaign_Cost]]/Marketing[[#This Row],[Customers]]</f>
        <v>1483.125</v>
      </c>
      <c r="K3398" t="s">
        <v>32</v>
      </c>
      <c r="L3398" t="s">
        <v>20</v>
      </c>
      <c r="M3398">
        <v>263</v>
      </c>
      <c r="N3398">
        <v>1864</v>
      </c>
      <c r="O3398">
        <v>6</v>
      </c>
      <c r="P3398" t="s">
        <v>42</v>
      </c>
      <c r="Q3398" s="1">
        <v>44308</v>
      </c>
    </row>
    <row r="3399" spans="1:17" x14ac:dyDescent="0.3">
      <c r="A3399" t="s">
        <v>49</v>
      </c>
      <c r="B3399" t="s">
        <v>45</v>
      </c>
      <c r="C3399" t="s">
        <v>30</v>
      </c>
      <c r="D3399" t="s">
        <v>17</v>
      </c>
      <c r="E3399" t="s">
        <v>41</v>
      </c>
      <c r="F3399" s="9">
        <v>0.11</v>
      </c>
      <c r="G3399" s="10">
        <v>19841</v>
      </c>
      <c r="H3399">
        <v>2.4700000000000002</v>
      </c>
      <c r="I3399" s="5">
        <f>ROUND(Marketing[[#This Row],[Clicks]]*Marketing[[#This Row],[Conversion_Rate]],0)</f>
        <v>70</v>
      </c>
      <c r="J3399" s="12">
        <f>Marketing[[#This Row],[Campaign_Cost]]/Marketing[[#This Row],[Customers]]</f>
        <v>283.44285714285712</v>
      </c>
      <c r="K3399" t="s">
        <v>51</v>
      </c>
      <c r="L3399" t="s">
        <v>33</v>
      </c>
      <c r="M3399">
        <v>632</v>
      </c>
      <c r="N3399">
        <v>7216</v>
      </c>
      <c r="O3399">
        <v>10</v>
      </c>
      <c r="P3399" t="s">
        <v>34</v>
      </c>
      <c r="Q3399" s="1">
        <v>44309</v>
      </c>
    </row>
    <row r="3400" spans="1:17" x14ac:dyDescent="0.3">
      <c r="A3400" t="s">
        <v>28</v>
      </c>
      <c r="B3400" t="s">
        <v>47</v>
      </c>
      <c r="C3400" t="s">
        <v>16</v>
      </c>
      <c r="D3400" t="s">
        <v>46</v>
      </c>
      <c r="E3400" t="s">
        <v>48</v>
      </c>
      <c r="F3400" s="9">
        <v>0.04</v>
      </c>
      <c r="G3400" s="10">
        <v>14964</v>
      </c>
      <c r="H3400">
        <v>3.39</v>
      </c>
      <c r="I3400" s="5">
        <f>ROUND(Marketing[[#This Row],[Clicks]]*Marketing[[#This Row],[Conversion_Rate]],0)</f>
        <v>38</v>
      </c>
      <c r="J3400" s="12">
        <f>Marketing[[#This Row],[Campaign_Cost]]/Marketing[[#This Row],[Customers]]</f>
        <v>393.78947368421052</v>
      </c>
      <c r="K3400" t="s">
        <v>32</v>
      </c>
      <c r="L3400" t="s">
        <v>26</v>
      </c>
      <c r="M3400">
        <v>952</v>
      </c>
      <c r="N3400">
        <v>2825</v>
      </c>
      <c r="O3400">
        <v>10</v>
      </c>
      <c r="P3400" t="s">
        <v>44</v>
      </c>
      <c r="Q3400" s="1">
        <v>44310</v>
      </c>
    </row>
    <row r="3401" spans="1:17" x14ac:dyDescent="0.3">
      <c r="A3401" t="s">
        <v>28</v>
      </c>
      <c r="B3401" t="s">
        <v>15</v>
      </c>
      <c r="C3401" t="s">
        <v>23</v>
      </c>
      <c r="D3401" t="s">
        <v>17</v>
      </c>
      <c r="E3401" t="s">
        <v>48</v>
      </c>
      <c r="F3401" s="9">
        <v>0.09</v>
      </c>
      <c r="G3401" s="10">
        <v>15684</v>
      </c>
      <c r="H3401">
        <v>5.0199999999999996</v>
      </c>
      <c r="I3401" s="5">
        <f>ROUND(Marketing[[#This Row],[Clicks]]*Marketing[[#This Row],[Conversion_Rate]],0)</f>
        <v>70</v>
      </c>
      <c r="J3401" s="12">
        <f>Marketing[[#This Row],[Campaign_Cost]]/Marketing[[#This Row],[Customers]]</f>
        <v>224.05714285714285</v>
      </c>
      <c r="K3401" t="s">
        <v>25</v>
      </c>
      <c r="L3401" t="s">
        <v>39</v>
      </c>
      <c r="M3401">
        <v>778</v>
      </c>
      <c r="N3401">
        <v>7772</v>
      </c>
      <c r="O3401">
        <v>1</v>
      </c>
      <c r="P3401" t="s">
        <v>27</v>
      </c>
      <c r="Q3401" s="1">
        <v>44311</v>
      </c>
    </row>
    <row r="3402" spans="1:17" x14ac:dyDescent="0.3">
      <c r="A3402" t="s">
        <v>35</v>
      </c>
      <c r="B3402" t="s">
        <v>45</v>
      </c>
      <c r="C3402" t="s">
        <v>37</v>
      </c>
      <c r="D3402" t="s">
        <v>46</v>
      </c>
      <c r="E3402" t="s">
        <v>48</v>
      </c>
      <c r="F3402" s="9">
        <v>0.05</v>
      </c>
      <c r="G3402" s="10">
        <v>15113</v>
      </c>
      <c r="H3402">
        <v>2.88</v>
      </c>
      <c r="I3402" s="5">
        <f>ROUND(Marketing[[#This Row],[Clicks]]*Marketing[[#This Row],[Conversion_Rate]],0)</f>
        <v>48</v>
      </c>
      <c r="J3402" s="12">
        <f>Marketing[[#This Row],[Campaign_Cost]]/Marketing[[#This Row],[Customers]]</f>
        <v>314.85416666666669</v>
      </c>
      <c r="K3402" t="s">
        <v>38</v>
      </c>
      <c r="L3402" t="s">
        <v>50</v>
      </c>
      <c r="M3402">
        <v>950</v>
      </c>
      <c r="N3402">
        <v>8471</v>
      </c>
      <c r="O3402">
        <v>1</v>
      </c>
      <c r="P3402" t="s">
        <v>44</v>
      </c>
      <c r="Q3402" s="1">
        <v>44312</v>
      </c>
    </row>
    <row r="3403" spans="1:17" x14ac:dyDescent="0.3">
      <c r="A3403" t="s">
        <v>14</v>
      </c>
      <c r="B3403" t="s">
        <v>47</v>
      </c>
      <c r="C3403" t="s">
        <v>23</v>
      </c>
      <c r="D3403" t="s">
        <v>17</v>
      </c>
      <c r="E3403" t="s">
        <v>48</v>
      </c>
      <c r="F3403" s="9">
        <v>0.06</v>
      </c>
      <c r="G3403" s="10">
        <v>7853</v>
      </c>
      <c r="H3403">
        <v>7.8</v>
      </c>
      <c r="I3403" s="5">
        <f>ROUND(Marketing[[#This Row],[Clicks]]*Marketing[[#This Row],[Conversion_Rate]],0)</f>
        <v>37</v>
      </c>
      <c r="J3403" s="12">
        <f>Marketing[[#This Row],[Campaign_Cost]]/Marketing[[#This Row],[Customers]]</f>
        <v>212.24324324324326</v>
      </c>
      <c r="K3403" t="s">
        <v>25</v>
      </c>
      <c r="L3403" t="s">
        <v>50</v>
      </c>
      <c r="M3403">
        <v>611</v>
      </c>
      <c r="N3403">
        <v>5856</v>
      </c>
      <c r="O3403">
        <v>7</v>
      </c>
      <c r="P3403" t="s">
        <v>34</v>
      </c>
      <c r="Q3403" s="1">
        <v>44313</v>
      </c>
    </row>
    <row r="3404" spans="1:17" x14ac:dyDescent="0.3">
      <c r="A3404" t="s">
        <v>28</v>
      </c>
      <c r="B3404" t="s">
        <v>45</v>
      </c>
      <c r="C3404" t="s">
        <v>23</v>
      </c>
      <c r="D3404" t="s">
        <v>40</v>
      </c>
      <c r="E3404" t="s">
        <v>43</v>
      </c>
      <c r="F3404" s="9">
        <v>0.13</v>
      </c>
      <c r="G3404" s="10">
        <v>15112</v>
      </c>
      <c r="H3404">
        <v>5.9</v>
      </c>
      <c r="I3404" s="5">
        <f>ROUND(Marketing[[#This Row],[Clicks]]*Marketing[[#This Row],[Conversion_Rate]],0)</f>
        <v>59</v>
      </c>
      <c r="J3404" s="12">
        <f>Marketing[[#This Row],[Campaign_Cost]]/Marketing[[#This Row],[Customers]]</f>
        <v>256.13559322033899</v>
      </c>
      <c r="K3404" t="s">
        <v>19</v>
      </c>
      <c r="L3404" t="s">
        <v>20</v>
      </c>
      <c r="M3404">
        <v>453</v>
      </c>
      <c r="N3404">
        <v>2205</v>
      </c>
      <c r="O3404">
        <v>2</v>
      </c>
      <c r="P3404" t="s">
        <v>42</v>
      </c>
      <c r="Q3404" s="1">
        <v>44314</v>
      </c>
    </row>
    <row r="3405" spans="1:17" x14ac:dyDescent="0.3">
      <c r="A3405" t="s">
        <v>22</v>
      </c>
      <c r="B3405" t="s">
        <v>45</v>
      </c>
      <c r="C3405" t="s">
        <v>23</v>
      </c>
      <c r="D3405" t="s">
        <v>46</v>
      </c>
      <c r="E3405" t="s">
        <v>41</v>
      </c>
      <c r="F3405" s="9">
        <v>0.15</v>
      </c>
      <c r="G3405" s="10">
        <v>11274</v>
      </c>
      <c r="H3405">
        <v>6.02</v>
      </c>
      <c r="I3405" s="5">
        <f>ROUND(Marketing[[#This Row],[Clicks]]*Marketing[[#This Row],[Conversion_Rate]],0)</f>
        <v>94</v>
      </c>
      <c r="J3405" s="12">
        <f>Marketing[[#This Row],[Campaign_Cost]]/Marketing[[#This Row],[Customers]]</f>
        <v>119.93617021276596</v>
      </c>
      <c r="K3405" t="s">
        <v>19</v>
      </c>
      <c r="L3405" t="s">
        <v>39</v>
      </c>
      <c r="M3405">
        <v>626</v>
      </c>
      <c r="N3405">
        <v>5094</v>
      </c>
      <c r="O3405">
        <v>5</v>
      </c>
      <c r="P3405" t="s">
        <v>42</v>
      </c>
      <c r="Q3405" s="1">
        <v>44315</v>
      </c>
    </row>
    <row r="3406" spans="1:17" x14ac:dyDescent="0.3">
      <c r="A3406" t="s">
        <v>14</v>
      </c>
      <c r="B3406" t="s">
        <v>47</v>
      </c>
      <c r="C3406" t="s">
        <v>30</v>
      </c>
      <c r="D3406" t="s">
        <v>24</v>
      </c>
      <c r="E3406" t="s">
        <v>43</v>
      </c>
      <c r="F3406" s="9">
        <v>7.0000000000000007E-2</v>
      </c>
      <c r="G3406" s="10">
        <v>14114</v>
      </c>
      <c r="H3406">
        <v>3.19</v>
      </c>
      <c r="I3406" s="5">
        <f>ROUND(Marketing[[#This Row],[Clicks]]*Marketing[[#This Row],[Conversion_Rate]],0)</f>
        <v>36</v>
      </c>
      <c r="J3406" s="12">
        <f>Marketing[[#This Row],[Campaign_Cost]]/Marketing[[#This Row],[Customers]]</f>
        <v>392.05555555555554</v>
      </c>
      <c r="K3406" t="s">
        <v>32</v>
      </c>
      <c r="L3406" t="s">
        <v>26</v>
      </c>
      <c r="M3406">
        <v>520</v>
      </c>
      <c r="N3406">
        <v>7275</v>
      </c>
      <c r="O3406">
        <v>8</v>
      </c>
      <c r="P3406" t="s">
        <v>34</v>
      </c>
      <c r="Q3406" s="1">
        <v>44316</v>
      </c>
    </row>
    <row r="3407" spans="1:17" x14ac:dyDescent="0.3">
      <c r="A3407" t="s">
        <v>14</v>
      </c>
      <c r="B3407" t="s">
        <v>47</v>
      </c>
      <c r="C3407" t="s">
        <v>30</v>
      </c>
      <c r="D3407" t="s">
        <v>24</v>
      </c>
      <c r="E3407" t="s">
        <v>48</v>
      </c>
      <c r="F3407" s="9">
        <v>0.01</v>
      </c>
      <c r="G3407" s="10">
        <v>14640</v>
      </c>
      <c r="H3407">
        <v>3.42</v>
      </c>
      <c r="I3407" s="5">
        <f>ROUND(Marketing[[#This Row],[Clicks]]*Marketing[[#This Row],[Conversion_Rate]],0)</f>
        <v>7</v>
      </c>
      <c r="J3407" s="12">
        <f>Marketing[[#This Row],[Campaign_Cost]]/Marketing[[#This Row],[Customers]]</f>
        <v>2091.4285714285716</v>
      </c>
      <c r="K3407" t="s">
        <v>19</v>
      </c>
      <c r="L3407" t="s">
        <v>20</v>
      </c>
      <c r="M3407">
        <v>680</v>
      </c>
      <c r="N3407">
        <v>3348</v>
      </c>
      <c r="O3407">
        <v>5</v>
      </c>
      <c r="P3407" t="s">
        <v>44</v>
      </c>
      <c r="Q3407" s="1">
        <v>44317</v>
      </c>
    </row>
    <row r="3408" spans="1:17" x14ac:dyDescent="0.3">
      <c r="A3408" t="s">
        <v>22</v>
      </c>
      <c r="B3408" t="s">
        <v>47</v>
      </c>
      <c r="C3408" t="s">
        <v>37</v>
      </c>
      <c r="D3408" t="s">
        <v>40</v>
      </c>
      <c r="E3408" t="s">
        <v>48</v>
      </c>
      <c r="F3408" s="9">
        <v>0.01</v>
      </c>
      <c r="G3408" s="10">
        <v>14066</v>
      </c>
      <c r="H3408">
        <v>3.12</v>
      </c>
      <c r="I3408" s="5">
        <f>ROUND(Marketing[[#This Row],[Clicks]]*Marketing[[#This Row],[Conversion_Rate]],0)</f>
        <v>7</v>
      </c>
      <c r="J3408" s="12">
        <f>Marketing[[#This Row],[Campaign_Cost]]/Marketing[[#This Row],[Customers]]</f>
        <v>2009.4285714285713</v>
      </c>
      <c r="K3408" t="s">
        <v>51</v>
      </c>
      <c r="L3408" t="s">
        <v>26</v>
      </c>
      <c r="M3408">
        <v>731</v>
      </c>
      <c r="N3408">
        <v>5778</v>
      </c>
      <c r="O3408">
        <v>2</v>
      </c>
      <c r="P3408" t="s">
        <v>27</v>
      </c>
      <c r="Q3408" s="1">
        <v>44318</v>
      </c>
    </row>
    <row r="3409" spans="1:17" x14ac:dyDescent="0.3">
      <c r="A3409" t="s">
        <v>22</v>
      </c>
      <c r="B3409" t="s">
        <v>45</v>
      </c>
      <c r="C3409" t="s">
        <v>52</v>
      </c>
      <c r="D3409" t="s">
        <v>46</v>
      </c>
      <c r="E3409" t="s">
        <v>41</v>
      </c>
      <c r="F3409" s="9">
        <v>0.09</v>
      </c>
      <c r="G3409" s="10">
        <v>12896</v>
      </c>
      <c r="H3409">
        <v>6.85</v>
      </c>
      <c r="I3409" s="5">
        <f>ROUND(Marketing[[#This Row],[Clicks]]*Marketing[[#This Row],[Conversion_Rate]],0)</f>
        <v>35</v>
      </c>
      <c r="J3409" s="12">
        <f>Marketing[[#This Row],[Campaign_Cost]]/Marketing[[#This Row],[Customers]]</f>
        <v>368.45714285714286</v>
      </c>
      <c r="K3409" t="s">
        <v>25</v>
      </c>
      <c r="L3409" t="s">
        <v>50</v>
      </c>
      <c r="M3409">
        <v>391</v>
      </c>
      <c r="N3409">
        <v>7843</v>
      </c>
      <c r="O3409">
        <v>9</v>
      </c>
      <c r="P3409" t="s">
        <v>44</v>
      </c>
      <c r="Q3409" s="1">
        <v>44319</v>
      </c>
    </row>
    <row r="3410" spans="1:17" x14ac:dyDescent="0.3">
      <c r="A3410" t="s">
        <v>49</v>
      </c>
      <c r="B3410" t="s">
        <v>15</v>
      </c>
      <c r="C3410" t="s">
        <v>52</v>
      </c>
      <c r="D3410" t="s">
        <v>17</v>
      </c>
      <c r="E3410" t="s">
        <v>41</v>
      </c>
      <c r="F3410" s="9">
        <v>0.11</v>
      </c>
      <c r="G3410" s="10">
        <v>19059</v>
      </c>
      <c r="H3410">
        <v>3.1</v>
      </c>
      <c r="I3410" s="5">
        <f>ROUND(Marketing[[#This Row],[Clicks]]*Marketing[[#This Row],[Conversion_Rate]],0)</f>
        <v>40</v>
      </c>
      <c r="J3410" s="12">
        <f>Marketing[[#This Row],[Campaign_Cost]]/Marketing[[#This Row],[Customers]]</f>
        <v>476.47500000000002</v>
      </c>
      <c r="K3410" t="s">
        <v>38</v>
      </c>
      <c r="L3410" t="s">
        <v>20</v>
      </c>
      <c r="M3410">
        <v>368</v>
      </c>
      <c r="N3410">
        <v>4199</v>
      </c>
      <c r="O3410">
        <v>4</v>
      </c>
      <c r="P3410" t="s">
        <v>21</v>
      </c>
      <c r="Q3410" s="1">
        <v>44320</v>
      </c>
    </row>
    <row r="3411" spans="1:17" x14ac:dyDescent="0.3">
      <c r="A3411" t="s">
        <v>35</v>
      </c>
      <c r="B3411" t="s">
        <v>29</v>
      </c>
      <c r="C3411" t="s">
        <v>30</v>
      </c>
      <c r="D3411" t="s">
        <v>40</v>
      </c>
      <c r="E3411" t="s">
        <v>48</v>
      </c>
      <c r="F3411" s="9">
        <v>0.05</v>
      </c>
      <c r="G3411" s="10">
        <v>12152</v>
      </c>
      <c r="H3411">
        <v>4.0999999999999996</v>
      </c>
      <c r="I3411" s="5">
        <f>ROUND(Marketing[[#This Row],[Clicks]]*Marketing[[#This Row],[Conversion_Rate]],0)</f>
        <v>38</v>
      </c>
      <c r="J3411" s="12">
        <f>Marketing[[#This Row],[Campaign_Cost]]/Marketing[[#This Row],[Customers]]</f>
        <v>319.78947368421052</v>
      </c>
      <c r="K3411" t="s">
        <v>38</v>
      </c>
      <c r="L3411" t="s">
        <v>39</v>
      </c>
      <c r="M3411">
        <v>753</v>
      </c>
      <c r="N3411">
        <v>4578</v>
      </c>
      <c r="O3411">
        <v>3</v>
      </c>
      <c r="P3411" t="s">
        <v>21</v>
      </c>
      <c r="Q3411" s="1">
        <v>44321</v>
      </c>
    </row>
    <row r="3412" spans="1:17" x14ac:dyDescent="0.3">
      <c r="A3412" t="s">
        <v>35</v>
      </c>
      <c r="B3412" t="s">
        <v>47</v>
      </c>
      <c r="C3412" t="s">
        <v>23</v>
      </c>
      <c r="D3412" t="s">
        <v>17</v>
      </c>
      <c r="E3412" t="s">
        <v>31</v>
      </c>
      <c r="F3412" s="9">
        <v>0.06</v>
      </c>
      <c r="G3412" s="10">
        <v>10703</v>
      </c>
      <c r="H3412">
        <v>6.64</v>
      </c>
      <c r="I3412" s="5">
        <f>ROUND(Marketing[[#This Row],[Clicks]]*Marketing[[#This Row],[Conversion_Rate]],0)</f>
        <v>26</v>
      </c>
      <c r="J3412" s="12">
        <f>Marketing[[#This Row],[Campaign_Cost]]/Marketing[[#This Row],[Customers]]</f>
        <v>411.65384615384613</v>
      </c>
      <c r="K3412" t="s">
        <v>51</v>
      </c>
      <c r="L3412" t="s">
        <v>26</v>
      </c>
      <c r="M3412">
        <v>432</v>
      </c>
      <c r="N3412">
        <v>2687</v>
      </c>
      <c r="O3412">
        <v>2</v>
      </c>
      <c r="P3412" t="s">
        <v>27</v>
      </c>
      <c r="Q3412" s="1">
        <v>44322</v>
      </c>
    </row>
    <row r="3413" spans="1:17" x14ac:dyDescent="0.3">
      <c r="A3413" t="s">
        <v>49</v>
      </c>
      <c r="B3413" t="s">
        <v>36</v>
      </c>
      <c r="C3413" t="s">
        <v>16</v>
      </c>
      <c r="D3413" t="s">
        <v>46</v>
      </c>
      <c r="E3413" t="s">
        <v>15</v>
      </c>
      <c r="F3413" s="9">
        <v>0.03</v>
      </c>
      <c r="G3413" s="10">
        <v>8897</v>
      </c>
      <c r="H3413">
        <v>6.41</v>
      </c>
      <c r="I3413" s="5">
        <f>ROUND(Marketing[[#This Row],[Clicks]]*Marketing[[#This Row],[Conversion_Rate]],0)</f>
        <v>28</v>
      </c>
      <c r="J3413" s="12">
        <f>Marketing[[#This Row],[Campaign_Cost]]/Marketing[[#This Row],[Customers]]</f>
        <v>317.75</v>
      </c>
      <c r="K3413" t="s">
        <v>51</v>
      </c>
      <c r="L3413" t="s">
        <v>50</v>
      </c>
      <c r="M3413">
        <v>936</v>
      </c>
      <c r="N3413">
        <v>9664</v>
      </c>
      <c r="O3413">
        <v>10</v>
      </c>
      <c r="P3413" t="s">
        <v>27</v>
      </c>
      <c r="Q3413" s="1">
        <v>44323</v>
      </c>
    </row>
    <row r="3414" spans="1:17" x14ac:dyDescent="0.3">
      <c r="A3414" t="s">
        <v>49</v>
      </c>
      <c r="B3414" t="s">
        <v>45</v>
      </c>
      <c r="C3414" t="s">
        <v>52</v>
      </c>
      <c r="D3414" t="s">
        <v>46</v>
      </c>
      <c r="E3414" t="s">
        <v>18</v>
      </c>
      <c r="F3414" s="9">
        <v>0.1</v>
      </c>
      <c r="G3414" s="10">
        <v>19902</v>
      </c>
      <c r="H3414">
        <v>4.32</v>
      </c>
      <c r="I3414" s="5">
        <f>ROUND(Marketing[[#This Row],[Clicks]]*Marketing[[#This Row],[Conversion_Rate]],0)</f>
        <v>76</v>
      </c>
      <c r="J3414" s="12">
        <f>Marketing[[#This Row],[Campaign_Cost]]/Marketing[[#This Row],[Customers]]</f>
        <v>261.86842105263156</v>
      </c>
      <c r="K3414" t="s">
        <v>19</v>
      </c>
      <c r="L3414" t="s">
        <v>33</v>
      </c>
      <c r="M3414">
        <v>762</v>
      </c>
      <c r="N3414">
        <v>4576</v>
      </c>
      <c r="O3414">
        <v>4</v>
      </c>
      <c r="P3414" t="s">
        <v>42</v>
      </c>
      <c r="Q3414" s="1">
        <v>44324</v>
      </c>
    </row>
    <row r="3415" spans="1:17" x14ac:dyDescent="0.3">
      <c r="A3415" t="s">
        <v>49</v>
      </c>
      <c r="B3415" t="s">
        <v>47</v>
      </c>
      <c r="C3415" t="s">
        <v>37</v>
      </c>
      <c r="D3415" t="s">
        <v>40</v>
      </c>
      <c r="E3415" t="s">
        <v>41</v>
      </c>
      <c r="F3415" s="9">
        <v>0.09</v>
      </c>
      <c r="G3415" s="10">
        <v>9139</v>
      </c>
      <c r="H3415">
        <v>6.73</v>
      </c>
      <c r="I3415" s="5">
        <f>ROUND(Marketing[[#This Row],[Clicks]]*Marketing[[#This Row],[Conversion_Rate]],0)</f>
        <v>45</v>
      </c>
      <c r="J3415" s="12">
        <f>Marketing[[#This Row],[Campaign_Cost]]/Marketing[[#This Row],[Customers]]</f>
        <v>203.0888888888889</v>
      </c>
      <c r="K3415" t="s">
        <v>19</v>
      </c>
      <c r="L3415" t="s">
        <v>39</v>
      </c>
      <c r="M3415">
        <v>497</v>
      </c>
      <c r="N3415">
        <v>3182</v>
      </c>
      <c r="O3415">
        <v>4</v>
      </c>
      <c r="P3415" t="s">
        <v>42</v>
      </c>
      <c r="Q3415" s="1">
        <v>44325</v>
      </c>
    </row>
    <row r="3416" spans="1:17" x14ac:dyDescent="0.3">
      <c r="A3416" t="s">
        <v>49</v>
      </c>
      <c r="B3416" t="s">
        <v>15</v>
      </c>
      <c r="C3416" t="s">
        <v>16</v>
      </c>
      <c r="D3416" t="s">
        <v>40</v>
      </c>
      <c r="E3416" t="s">
        <v>18</v>
      </c>
      <c r="F3416" s="9">
        <v>0.09</v>
      </c>
      <c r="G3416" s="10">
        <v>5344</v>
      </c>
      <c r="H3416">
        <v>4.32</v>
      </c>
      <c r="I3416" s="5">
        <f>ROUND(Marketing[[#This Row],[Clicks]]*Marketing[[#This Row],[Conversion_Rate]],0)</f>
        <v>14</v>
      </c>
      <c r="J3416" s="12">
        <f>Marketing[[#This Row],[Campaign_Cost]]/Marketing[[#This Row],[Customers]]</f>
        <v>381.71428571428572</v>
      </c>
      <c r="K3416" t="s">
        <v>25</v>
      </c>
      <c r="L3416" t="s">
        <v>26</v>
      </c>
      <c r="M3416">
        <v>158</v>
      </c>
      <c r="N3416">
        <v>7669</v>
      </c>
      <c r="O3416">
        <v>5</v>
      </c>
      <c r="P3416" t="s">
        <v>34</v>
      </c>
      <c r="Q3416" s="1">
        <v>44326</v>
      </c>
    </row>
    <row r="3417" spans="1:17" x14ac:dyDescent="0.3">
      <c r="A3417" t="s">
        <v>14</v>
      </c>
      <c r="B3417" t="s">
        <v>47</v>
      </c>
      <c r="C3417" t="s">
        <v>37</v>
      </c>
      <c r="D3417" t="s">
        <v>24</v>
      </c>
      <c r="E3417" t="s">
        <v>48</v>
      </c>
      <c r="F3417" s="9">
        <v>0.09</v>
      </c>
      <c r="G3417" s="10">
        <v>13120</v>
      </c>
      <c r="H3417">
        <v>6.65</v>
      </c>
      <c r="I3417" s="5">
        <f>ROUND(Marketing[[#This Row],[Clicks]]*Marketing[[#This Row],[Conversion_Rate]],0)</f>
        <v>53</v>
      </c>
      <c r="J3417" s="12">
        <f>Marketing[[#This Row],[Campaign_Cost]]/Marketing[[#This Row],[Customers]]</f>
        <v>247.54716981132074</v>
      </c>
      <c r="K3417" t="s">
        <v>19</v>
      </c>
      <c r="L3417" t="s">
        <v>39</v>
      </c>
      <c r="M3417">
        <v>584</v>
      </c>
      <c r="N3417">
        <v>8917</v>
      </c>
      <c r="O3417">
        <v>1</v>
      </c>
      <c r="P3417" t="s">
        <v>42</v>
      </c>
      <c r="Q3417" s="1">
        <v>44327</v>
      </c>
    </row>
    <row r="3418" spans="1:17" x14ac:dyDescent="0.3">
      <c r="A3418" t="s">
        <v>14</v>
      </c>
      <c r="B3418" t="s">
        <v>47</v>
      </c>
      <c r="C3418" t="s">
        <v>52</v>
      </c>
      <c r="D3418" t="s">
        <v>40</v>
      </c>
      <c r="E3418" t="s">
        <v>18</v>
      </c>
      <c r="F3418" s="9">
        <v>0.15</v>
      </c>
      <c r="G3418" s="10">
        <v>9805</v>
      </c>
      <c r="H3418">
        <v>6.32</v>
      </c>
      <c r="I3418" s="5">
        <f>ROUND(Marketing[[#This Row],[Clicks]]*Marketing[[#This Row],[Conversion_Rate]],0)</f>
        <v>35</v>
      </c>
      <c r="J3418" s="12">
        <f>Marketing[[#This Row],[Campaign_Cost]]/Marketing[[#This Row],[Customers]]</f>
        <v>280.14285714285717</v>
      </c>
      <c r="K3418" t="s">
        <v>19</v>
      </c>
      <c r="L3418" t="s">
        <v>26</v>
      </c>
      <c r="M3418">
        <v>231</v>
      </c>
      <c r="N3418">
        <v>1750</v>
      </c>
      <c r="O3418">
        <v>3</v>
      </c>
      <c r="P3418" t="s">
        <v>21</v>
      </c>
      <c r="Q3418" s="1">
        <v>44328</v>
      </c>
    </row>
    <row r="3419" spans="1:17" x14ac:dyDescent="0.3">
      <c r="A3419" t="s">
        <v>28</v>
      </c>
      <c r="B3419" t="s">
        <v>45</v>
      </c>
      <c r="C3419" t="s">
        <v>52</v>
      </c>
      <c r="D3419" t="s">
        <v>24</v>
      </c>
      <c r="E3419" t="s">
        <v>43</v>
      </c>
      <c r="F3419" s="9">
        <v>0.14000000000000001</v>
      </c>
      <c r="G3419" s="10">
        <v>13040</v>
      </c>
      <c r="H3419">
        <v>3.25</v>
      </c>
      <c r="I3419" s="5">
        <f>ROUND(Marketing[[#This Row],[Clicks]]*Marketing[[#This Row],[Conversion_Rate]],0)</f>
        <v>128</v>
      </c>
      <c r="J3419" s="12">
        <f>Marketing[[#This Row],[Campaign_Cost]]/Marketing[[#This Row],[Customers]]</f>
        <v>101.875</v>
      </c>
      <c r="K3419" t="s">
        <v>25</v>
      </c>
      <c r="L3419" t="s">
        <v>26</v>
      </c>
      <c r="M3419">
        <v>914</v>
      </c>
      <c r="N3419">
        <v>9569</v>
      </c>
      <c r="O3419">
        <v>5</v>
      </c>
      <c r="P3419" t="s">
        <v>42</v>
      </c>
      <c r="Q3419" s="1">
        <v>44329</v>
      </c>
    </row>
    <row r="3420" spans="1:17" x14ac:dyDescent="0.3">
      <c r="A3420" t="s">
        <v>22</v>
      </c>
      <c r="B3420" t="s">
        <v>36</v>
      </c>
      <c r="C3420" t="s">
        <v>52</v>
      </c>
      <c r="D3420" t="s">
        <v>40</v>
      </c>
      <c r="E3420" t="s">
        <v>15</v>
      </c>
      <c r="F3420" s="9">
        <v>0.09</v>
      </c>
      <c r="G3420" s="10">
        <v>9710</v>
      </c>
      <c r="H3420">
        <v>3.35</v>
      </c>
      <c r="I3420" s="5">
        <f>ROUND(Marketing[[#This Row],[Clicks]]*Marketing[[#This Row],[Conversion_Rate]],0)</f>
        <v>75</v>
      </c>
      <c r="J3420" s="12">
        <f>Marketing[[#This Row],[Campaign_Cost]]/Marketing[[#This Row],[Customers]]</f>
        <v>129.46666666666667</v>
      </c>
      <c r="K3420" t="s">
        <v>25</v>
      </c>
      <c r="L3420" t="s">
        <v>39</v>
      </c>
      <c r="M3420">
        <v>838</v>
      </c>
      <c r="N3420">
        <v>8715</v>
      </c>
      <c r="O3420">
        <v>10</v>
      </c>
      <c r="P3420" t="s">
        <v>27</v>
      </c>
      <c r="Q3420" s="1">
        <v>44330</v>
      </c>
    </row>
    <row r="3421" spans="1:17" x14ac:dyDescent="0.3">
      <c r="A3421" t="s">
        <v>49</v>
      </c>
      <c r="B3421" t="s">
        <v>47</v>
      </c>
      <c r="C3421" t="s">
        <v>23</v>
      </c>
      <c r="D3421" t="s">
        <v>17</v>
      </c>
      <c r="E3421" t="s">
        <v>48</v>
      </c>
      <c r="F3421" s="9">
        <v>0.02</v>
      </c>
      <c r="G3421" s="10">
        <v>12197</v>
      </c>
      <c r="H3421">
        <v>2.71</v>
      </c>
      <c r="I3421" s="5">
        <f>ROUND(Marketing[[#This Row],[Clicks]]*Marketing[[#This Row],[Conversion_Rate]],0)</f>
        <v>19</v>
      </c>
      <c r="J3421" s="12">
        <f>Marketing[[#This Row],[Campaign_Cost]]/Marketing[[#This Row],[Customers]]</f>
        <v>641.9473684210526</v>
      </c>
      <c r="K3421" t="s">
        <v>51</v>
      </c>
      <c r="L3421" t="s">
        <v>33</v>
      </c>
      <c r="M3421">
        <v>942</v>
      </c>
      <c r="N3421">
        <v>4394</v>
      </c>
      <c r="O3421">
        <v>2</v>
      </c>
      <c r="P3421" t="s">
        <v>27</v>
      </c>
      <c r="Q3421" s="1">
        <v>44331</v>
      </c>
    </row>
    <row r="3422" spans="1:17" x14ac:dyDescent="0.3">
      <c r="A3422" t="s">
        <v>14</v>
      </c>
      <c r="B3422" t="s">
        <v>45</v>
      </c>
      <c r="C3422" t="s">
        <v>37</v>
      </c>
      <c r="D3422" t="s">
        <v>46</v>
      </c>
      <c r="E3422" t="s">
        <v>18</v>
      </c>
      <c r="F3422" s="9">
        <v>0.15</v>
      </c>
      <c r="G3422" s="10">
        <v>17242</v>
      </c>
      <c r="H3422">
        <v>6.85</v>
      </c>
      <c r="I3422" s="5">
        <f>ROUND(Marketing[[#This Row],[Clicks]]*Marketing[[#This Row],[Conversion_Rate]],0)</f>
        <v>55</v>
      </c>
      <c r="J3422" s="12">
        <f>Marketing[[#This Row],[Campaign_Cost]]/Marketing[[#This Row],[Customers]]</f>
        <v>313.4909090909091</v>
      </c>
      <c r="K3422" t="s">
        <v>38</v>
      </c>
      <c r="L3422" t="s">
        <v>50</v>
      </c>
      <c r="M3422">
        <v>365</v>
      </c>
      <c r="N3422">
        <v>7393</v>
      </c>
      <c r="O3422">
        <v>4</v>
      </c>
      <c r="P3422" t="s">
        <v>42</v>
      </c>
      <c r="Q3422" s="1">
        <v>44332</v>
      </c>
    </row>
    <row r="3423" spans="1:17" x14ac:dyDescent="0.3">
      <c r="A3423" t="s">
        <v>28</v>
      </c>
      <c r="B3423" t="s">
        <v>36</v>
      </c>
      <c r="C3423" t="s">
        <v>52</v>
      </c>
      <c r="D3423" t="s">
        <v>17</v>
      </c>
      <c r="E3423" t="s">
        <v>31</v>
      </c>
      <c r="F3423" s="9">
        <v>0.04</v>
      </c>
      <c r="G3423" s="10">
        <v>19584</v>
      </c>
      <c r="H3423">
        <v>2.1</v>
      </c>
      <c r="I3423" s="5">
        <f>ROUND(Marketing[[#This Row],[Clicks]]*Marketing[[#This Row],[Conversion_Rate]],0)</f>
        <v>38</v>
      </c>
      <c r="J3423" s="12">
        <f>Marketing[[#This Row],[Campaign_Cost]]/Marketing[[#This Row],[Customers]]</f>
        <v>515.36842105263156</v>
      </c>
      <c r="K3423" t="s">
        <v>32</v>
      </c>
      <c r="L3423" t="s">
        <v>33</v>
      </c>
      <c r="M3423">
        <v>951</v>
      </c>
      <c r="N3423">
        <v>6771</v>
      </c>
      <c r="O3423">
        <v>5</v>
      </c>
      <c r="P3423" t="s">
        <v>44</v>
      </c>
      <c r="Q3423" s="1">
        <v>44333</v>
      </c>
    </row>
    <row r="3424" spans="1:17" x14ac:dyDescent="0.3">
      <c r="A3424" t="s">
        <v>22</v>
      </c>
      <c r="B3424" t="s">
        <v>29</v>
      </c>
      <c r="C3424" t="s">
        <v>30</v>
      </c>
      <c r="D3424" t="s">
        <v>17</v>
      </c>
      <c r="E3424" t="s">
        <v>43</v>
      </c>
      <c r="F3424" s="9">
        <v>0.14000000000000001</v>
      </c>
      <c r="G3424" s="10">
        <v>12774</v>
      </c>
      <c r="H3424">
        <v>4.97</v>
      </c>
      <c r="I3424" s="5">
        <f>ROUND(Marketing[[#This Row],[Clicks]]*Marketing[[#This Row],[Conversion_Rate]],0)</f>
        <v>102</v>
      </c>
      <c r="J3424" s="12">
        <f>Marketing[[#This Row],[Campaign_Cost]]/Marketing[[#This Row],[Customers]]</f>
        <v>125.23529411764706</v>
      </c>
      <c r="K3424" t="s">
        <v>51</v>
      </c>
      <c r="L3424" t="s">
        <v>50</v>
      </c>
      <c r="M3424">
        <v>727</v>
      </c>
      <c r="N3424">
        <v>2435</v>
      </c>
      <c r="O3424">
        <v>2</v>
      </c>
      <c r="P3424" t="s">
        <v>27</v>
      </c>
      <c r="Q3424" s="1">
        <v>44334</v>
      </c>
    </row>
    <row r="3425" spans="1:17" x14ac:dyDescent="0.3">
      <c r="A3425" t="s">
        <v>14</v>
      </c>
      <c r="B3425" t="s">
        <v>36</v>
      </c>
      <c r="C3425" t="s">
        <v>30</v>
      </c>
      <c r="D3425" t="s">
        <v>17</v>
      </c>
      <c r="E3425" t="s">
        <v>43</v>
      </c>
      <c r="F3425" s="9">
        <v>0.04</v>
      </c>
      <c r="G3425" s="10">
        <v>14314</v>
      </c>
      <c r="H3425">
        <v>5.54</v>
      </c>
      <c r="I3425" s="5">
        <f>ROUND(Marketing[[#This Row],[Clicks]]*Marketing[[#This Row],[Conversion_Rate]],0)</f>
        <v>8</v>
      </c>
      <c r="J3425" s="12">
        <f>Marketing[[#This Row],[Campaign_Cost]]/Marketing[[#This Row],[Customers]]</f>
        <v>1789.25</v>
      </c>
      <c r="K3425" t="s">
        <v>19</v>
      </c>
      <c r="L3425" t="s">
        <v>39</v>
      </c>
      <c r="M3425">
        <v>192</v>
      </c>
      <c r="N3425">
        <v>8387</v>
      </c>
      <c r="O3425">
        <v>9</v>
      </c>
      <c r="P3425" t="s">
        <v>34</v>
      </c>
      <c r="Q3425" s="1">
        <v>44335</v>
      </c>
    </row>
    <row r="3426" spans="1:17" x14ac:dyDescent="0.3">
      <c r="A3426" t="s">
        <v>14</v>
      </c>
      <c r="B3426" t="s">
        <v>29</v>
      </c>
      <c r="C3426" t="s">
        <v>30</v>
      </c>
      <c r="D3426" t="s">
        <v>24</v>
      </c>
      <c r="E3426" t="s">
        <v>41</v>
      </c>
      <c r="F3426" s="9">
        <v>7.0000000000000007E-2</v>
      </c>
      <c r="G3426" s="10">
        <v>19819</v>
      </c>
      <c r="H3426">
        <v>3.3</v>
      </c>
      <c r="I3426" s="5">
        <f>ROUND(Marketing[[#This Row],[Clicks]]*Marketing[[#This Row],[Conversion_Rate]],0)</f>
        <v>27</v>
      </c>
      <c r="J3426" s="12">
        <f>Marketing[[#This Row],[Campaign_Cost]]/Marketing[[#This Row],[Customers]]</f>
        <v>734.03703703703707</v>
      </c>
      <c r="K3426" t="s">
        <v>38</v>
      </c>
      <c r="L3426" t="s">
        <v>26</v>
      </c>
      <c r="M3426">
        <v>389</v>
      </c>
      <c r="N3426">
        <v>9175</v>
      </c>
      <c r="O3426">
        <v>6</v>
      </c>
      <c r="P3426" t="s">
        <v>27</v>
      </c>
      <c r="Q3426" s="1">
        <v>44336</v>
      </c>
    </row>
    <row r="3427" spans="1:17" x14ac:dyDescent="0.3">
      <c r="A3427" t="s">
        <v>35</v>
      </c>
      <c r="B3427" t="s">
        <v>15</v>
      </c>
      <c r="C3427" t="s">
        <v>23</v>
      </c>
      <c r="D3427" t="s">
        <v>46</v>
      </c>
      <c r="E3427" t="s">
        <v>31</v>
      </c>
      <c r="F3427" s="9">
        <v>0.02</v>
      </c>
      <c r="G3427" s="10">
        <v>14531</v>
      </c>
      <c r="H3427">
        <v>7.91</v>
      </c>
      <c r="I3427" s="5">
        <f>ROUND(Marketing[[#This Row],[Clicks]]*Marketing[[#This Row],[Conversion_Rate]],0)</f>
        <v>5</v>
      </c>
      <c r="J3427" s="12">
        <f>Marketing[[#This Row],[Campaign_Cost]]/Marketing[[#This Row],[Customers]]</f>
        <v>2906.2</v>
      </c>
      <c r="K3427" t="s">
        <v>25</v>
      </c>
      <c r="L3427" t="s">
        <v>50</v>
      </c>
      <c r="M3427">
        <v>245</v>
      </c>
      <c r="N3427">
        <v>1188</v>
      </c>
      <c r="O3427">
        <v>7</v>
      </c>
      <c r="P3427" t="s">
        <v>44</v>
      </c>
      <c r="Q3427" s="1">
        <v>44337</v>
      </c>
    </row>
    <row r="3428" spans="1:17" x14ac:dyDescent="0.3">
      <c r="A3428" t="s">
        <v>22</v>
      </c>
      <c r="B3428" t="s">
        <v>47</v>
      </c>
      <c r="C3428" t="s">
        <v>52</v>
      </c>
      <c r="D3428" t="s">
        <v>40</v>
      </c>
      <c r="E3428" t="s">
        <v>48</v>
      </c>
      <c r="F3428" s="9">
        <v>0.03</v>
      </c>
      <c r="G3428" s="10">
        <v>19304</v>
      </c>
      <c r="H3428">
        <v>7.67</v>
      </c>
      <c r="I3428" s="5">
        <f>ROUND(Marketing[[#This Row],[Clicks]]*Marketing[[#This Row],[Conversion_Rate]],0)</f>
        <v>7</v>
      </c>
      <c r="J3428" s="12">
        <f>Marketing[[#This Row],[Campaign_Cost]]/Marketing[[#This Row],[Customers]]</f>
        <v>2757.7142857142858</v>
      </c>
      <c r="K3428" t="s">
        <v>51</v>
      </c>
      <c r="L3428" t="s">
        <v>26</v>
      </c>
      <c r="M3428">
        <v>230</v>
      </c>
      <c r="N3428">
        <v>6281</v>
      </c>
      <c r="O3428">
        <v>7</v>
      </c>
      <c r="P3428" t="s">
        <v>21</v>
      </c>
      <c r="Q3428" s="1">
        <v>44338</v>
      </c>
    </row>
    <row r="3429" spans="1:17" x14ac:dyDescent="0.3">
      <c r="A3429" t="s">
        <v>14</v>
      </c>
      <c r="B3429" t="s">
        <v>45</v>
      </c>
      <c r="C3429" t="s">
        <v>30</v>
      </c>
      <c r="D3429" t="s">
        <v>46</v>
      </c>
      <c r="E3429" t="s">
        <v>41</v>
      </c>
      <c r="F3429" s="9">
        <v>0.1</v>
      </c>
      <c r="G3429" s="10">
        <v>11789</v>
      </c>
      <c r="H3429">
        <v>5.01</v>
      </c>
      <c r="I3429" s="5">
        <f>ROUND(Marketing[[#This Row],[Clicks]]*Marketing[[#This Row],[Conversion_Rate]],0)</f>
        <v>90</v>
      </c>
      <c r="J3429" s="12">
        <f>Marketing[[#This Row],[Campaign_Cost]]/Marketing[[#This Row],[Customers]]</f>
        <v>130.98888888888888</v>
      </c>
      <c r="K3429" t="s">
        <v>38</v>
      </c>
      <c r="L3429" t="s">
        <v>50</v>
      </c>
      <c r="M3429">
        <v>897</v>
      </c>
      <c r="N3429">
        <v>6566</v>
      </c>
      <c r="O3429">
        <v>7</v>
      </c>
      <c r="P3429" t="s">
        <v>44</v>
      </c>
      <c r="Q3429" s="1">
        <v>44339</v>
      </c>
    </row>
    <row r="3430" spans="1:17" x14ac:dyDescent="0.3">
      <c r="A3430" t="s">
        <v>22</v>
      </c>
      <c r="B3430" t="s">
        <v>47</v>
      </c>
      <c r="C3430" t="s">
        <v>23</v>
      </c>
      <c r="D3430" t="s">
        <v>17</v>
      </c>
      <c r="E3430" t="s">
        <v>43</v>
      </c>
      <c r="F3430" s="9">
        <v>7.0000000000000007E-2</v>
      </c>
      <c r="G3430" s="10">
        <v>14877</v>
      </c>
      <c r="H3430">
        <v>3.47</v>
      </c>
      <c r="I3430" s="5">
        <f>ROUND(Marketing[[#This Row],[Clicks]]*Marketing[[#This Row],[Conversion_Rate]],0)</f>
        <v>44</v>
      </c>
      <c r="J3430" s="12">
        <f>Marketing[[#This Row],[Campaign_Cost]]/Marketing[[#This Row],[Customers]]</f>
        <v>338.11363636363637</v>
      </c>
      <c r="K3430" t="s">
        <v>38</v>
      </c>
      <c r="L3430" t="s">
        <v>50</v>
      </c>
      <c r="M3430">
        <v>625</v>
      </c>
      <c r="N3430">
        <v>4723</v>
      </c>
      <c r="O3430">
        <v>10</v>
      </c>
      <c r="P3430" t="s">
        <v>21</v>
      </c>
      <c r="Q3430" s="1">
        <v>44340</v>
      </c>
    </row>
    <row r="3431" spans="1:17" x14ac:dyDescent="0.3">
      <c r="A3431" t="s">
        <v>14</v>
      </c>
      <c r="B3431" t="s">
        <v>47</v>
      </c>
      <c r="C3431" t="s">
        <v>37</v>
      </c>
      <c r="D3431" t="s">
        <v>17</v>
      </c>
      <c r="E3431" t="s">
        <v>48</v>
      </c>
      <c r="F3431" s="9">
        <v>0.09</v>
      </c>
      <c r="G3431" s="10">
        <v>5732</v>
      </c>
      <c r="H3431">
        <v>6.45</v>
      </c>
      <c r="I3431" s="5">
        <f>ROUND(Marketing[[#This Row],[Clicks]]*Marketing[[#This Row],[Conversion_Rate]],0)</f>
        <v>63</v>
      </c>
      <c r="J3431" s="12">
        <f>Marketing[[#This Row],[Campaign_Cost]]/Marketing[[#This Row],[Customers]]</f>
        <v>90.984126984126988</v>
      </c>
      <c r="K3431" t="s">
        <v>19</v>
      </c>
      <c r="L3431" t="s">
        <v>20</v>
      </c>
      <c r="M3431">
        <v>704</v>
      </c>
      <c r="N3431">
        <v>2289</v>
      </c>
      <c r="O3431">
        <v>7</v>
      </c>
      <c r="P3431" t="s">
        <v>21</v>
      </c>
      <c r="Q3431" s="1">
        <v>44341</v>
      </c>
    </row>
    <row r="3432" spans="1:17" x14ac:dyDescent="0.3">
      <c r="A3432" t="s">
        <v>14</v>
      </c>
      <c r="B3432" t="s">
        <v>47</v>
      </c>
      <c r="C3432" t="s">
        <v>37</v>
      </c>
      <c r="D3432" t="s">
        <v>17</v>
      </c>
      <c r="E3432" t="s">
        <v>31</v>
      </c>
      <c r="F3432" s="9">
        <v>0.04</v>
      </c>
      <c r="G3432" s="10">
        <v>13880</v>
      </c>
      <c r="H3432">
        <v>4.4000000000000004</v>
      </c>
      <c r="I3432" s="5">
        <f>ROUND(Marketing[[#This Row],[Clicks]]*Marketing[[#This Row],[Conversion_Rate]],0)</f>
        <v>39</v>
      </c>
      <c r="J3432" s="12">
        <f>Marketing[[#This Row],[Campaign_Cost]]/Marketing[[#This Row],[Customers]]</f>
        <v>355.89743589743591</v>
      </c>
      <c r="K3432" t="s">
        <v>19</v>
      </c>
      <c r="L3432" t="s">
        <v>26</v>
      </c>
      <c r="M3432">
        <v>964</v>
      </c>
      <c r="N3432">
        <v>1912</v>
      </c>
      <c r="O3432">
        <v>1</v>
      </c>
      <c r="P3432" t="s">
        <v>42</v>
      </c>
      <c r="Q3432" s="1">
        <v>44342</v>
      </c>
    </row>
    <row r="3433" spans="1:17" x14ac:dyDescent="0.3">
      <c r="A3433" t="s">
        <v>14</v>
      </c>
      <c r="B3433" t="s">
        <v>29</v>
      </c>
      <c r="C3433" t="s">
        <v>30</v>
      </c>
      <c r="D3433" t="s">
        <v>40</v>
      </c>
      <c r="E3433" t="s">
        <v>48</v>
      </c>
      <c r="F3433" s="9">
        <v>0.08</v>
      </c>
      <c r="G3433" s="10">
        <v>12837</v>
      </c>
      <c r="H3433">
        <v>6.6</v>
      </c>
      <c r="I3433" s="5">
        <f>ROUND(Marketing[[#This Row],[Clicks]]*Marketing[[#This Row],[Conversion_Rate]],0)</f>
        <v>18</v>
      </c>
      <c r="J3433" s="12">
        <f>Marketing[[#This Row],[Campaign_Cost]]/Marketing[[#This Row],[Customers]]</f>
        <v>713.16666666666663</v>
      </c>
      <c r="K3433" t="s">
        <v>19</v>
      </c>
      <c r="L3433" t="s">
        <v>39</v>
      </c>
      <c r="M3433">
        <v>231</v>
      </c>
      <c r="N3433">
        <v>5811</v>
      </c>
      <c r="O3433">
        <v>10</v>
      </c>
      <c r="P3433" t="s">
        <v>27</v>
      </c>
      <c r="Q3433" s="1">
        <v>44343</v>
      </c>
    </row>
    <row r="3434" spans="1:17" x14ac:dyDescent="0.3">
      <c r="A3434" t="s">
        <v>35</v>
      </c>
      <c r="B3434" t="s">
        <v>29</v>
      </c>
      <c r="C3434" t="s">
        <v>52</v>
      </c>
      <c r="D3434" t="s">
        <v>24</v>
      </c>
      <c r="E3434" t="s">
        <v>15</v>
      </c>
      <c r="F3434" s="9">
        <v>0.06</v>
      </c>
      <c r="G3434" s="10">
        <v>19787</v>
      </c>
      <c r="H3434">
        <v>3.68</v>
      </c>
      <c r="I3434" s="5">
        <f>ROUND(Marketing[[#This Row],[Clicks]]*Marketing[[#This Row],[Conversion_Rate]],0)</f>
        <v>33</v>
      </c>
      <c r="J3434" s="12">
        <f>Marketing[[#This Row],[Campaign_Cost]]/Marketing[[#This Row],[Customers]]</f>
        <v>599.60606060606062</v>
      </c>
      <c r="K3434" t="s">
        <v>38</v>
      </c>
      <c r="L3434" t="s">
        <v>39</v>
      </c>
      <c r="M3434">
        <v>554</v>
      </c>
      <c r="N3434">
        <v>1241</v>
      </c>
      <c r="O3434">
        <v>9</v>
      </c>
      <c r="P3434" t="s">
        <v>27</v>
      </c>
      <c r="Q3434" s="1">
        <v>44344</v>
      </c>
    </row>
    <row r="3435" spans="1:17" x14ac:dyDescent="0.3">
      <c r="A3435" t="s">
        <v>49</v>
      </c>
      <c r="B3435" t="s">
        <v>47</v>
      </c>
      <c r="C3435" t="s">
        <v>52</v>
      </c>
      <c r="D3435" t="s">
        <v>24</v>
      </c>
      <c r="E3435" t="s">
        <v>18</v>
      </c>
      <c r="F3435" s="9">
        <v>0.1</v>
      </c>
      <c r="G3435" s="10">
        <v>14249</v>
      </c>
      <c r="H3435">
        <v>2.3199999999999998</v>
      </c>
      <c r="I3435" s="5">
        <f>ROUND(Marketing[[#This Row],[Clicks]]*Marketing[[#This Row],[Conversion_Rate]],0)</f>
        <v>57</v>
      </c>
      <c r="J3435" s="12">
        <f>Marketing[[#This Row],[Campaign_Cost]]/Marketing[[#This Row],[Customers]]</f>
        <v>249.98245614035088</v>
      </c>
      <c r="K3435" t="s">
        <v>38</v>
      </c>
      <c r="L3435" t="s">
        <v>20</v>
      </c>
      <c r="M3435">
        <v>574</v>
      </c>
      <c r="N3435">
        <v>9870</v>
      </c>
      <c r="O3435">
        <v>6</v>
      </c>
      <c r="P3435" t="s">
        <v>34</v>
      </c>
      <c r="Q3435" s="1">
        <v>44345</v>
      </c>
    </row>
    <row r="3436" spans="1:17" x14ac:dyDescent="0.3">
      <c r="A3436" t="s">
        <v>28</v>
      </c>
      <c r="B3436" t="s">
        <v>15</v>
      </c>
      <c r="C3436" t="s">
        <v>37</v>
      </c>
      <c r="D3436" t="s">
        <v>46</v>
      </c>
      <c r="E3436" t="s">
        <v>43</v>
      </c>
      <c r="F3436" s="9">
        <v>0.11</v>
      </c>
      <c r="G3436" s="10">
        <v>18397</v>
      </c>
      <c r="H3436">
        <v>6.45</v>
      </c>
      <c r="I3436" s="5">
        <f>ROUND(Marketing[[#This Row],[Clicks]]*Marketing[[#This Row],[Conversion_Rate]],0)</f>
        <v>101</v>
      </c>
      <c r="J3436" s="12">
        <f>Marketing[[#This Row],[Campaign_Cost]]/Marketing[[#This Row],[Customers]]</f>
        <v>182.14851485148515</v>
      </c>
      <c r="K3436" t="s">
        <v>19</v>
      </c>
      <c r="L3436" t="s">
        <v>20</v>
      </c>
      <c r="M3436">
        <v>920</v>
      </c>
      <c r="N3436">
        <v>9530</v>
      </c>
      <c r="O3436">
        <v>5</v>
      </c>
      <c r="P3436" t="s">
        <v>44</v>
      </c>
      <c r="Q3436" s="1">
        <v>44346</v>
      </c>
    </row>
    <row r="3437" spans="1:17" x14ac:dyDescent="0.3">
      <c r="A3437" t="s">
        <v>35</v>
      </c>
      <c r="B3437" t="s">
        <v>36</v>
      </c>
      <c r="C3437" t="s">
        <v>16</v>
      </c>
      <c r="D3437" t="s">
        <v>46</v>
      </c>
      <c r="E3437" t="s">
        <v>15</v>
      </c>
      <c r="F3437" s="9">
        <v>0.13</v>
      </c>
      <c r="G3437" s="10">
        <v>13162</v>
      </c>
      <c r="H3437">
        <v>5.05</v>
      </c>
      <c r="I3437" s="5">
        <f>ROUND(Marketing[[#This Row],[Clicks]]*Marketing[[#This Row],[Conversion_Rate]],0)</f>
        <v>91</v>
      </c>
      <c r="J3437" s="12">
        <f>Marketing[[#This Row],[Campaign_Cost]]/Marketing[[#This Row],[Customers]]</f>
        <v>144.63736263736263</v>
      </c>
      <c r="K3437" t="s">
        <v>32</v>
      </c>
      <c r="L3437" t="s">
        <v>26</v>
      </c>
      <c r="M3437">
        <v>702</v>
      </c>
      <c r="N3437">
        <v>5834</v>
      </c>
      <c r="O3437">
        <v>9</v>
      </c>
      <c r="P3437" t="s">
        <v>27</v>
      </c>
      <c r="Q3437" s="1">
        <v>44347</v>
      </c>
    </row>
    <row r="3438" spans="1:17" x14ac:dyDescent="0.3">
      <c r="A3438" t="s">
        <v>35</v>
      </c>
      <c r="B3438" t="s">
        <v>45</v>
      </c>
      <c r="C3438" t="s">
        <v>16</v>
      </c>
      <c r="D3438" t="s">
        <v>17</v>
      </c>
      <c r="E3438" t="s">
        <v>48</v>
      </c>
      <c r="F3438" s="9">
        <v>0.11</v>
      </c>
      <c r="G3438" s="10">
        <v>19743</v>
      </c>
      <c r="H3438">
        <v>2.23</v>
      </c>
      <c r="I3438" s="5">
        <f>ROUND(Marketing[[#This Row],[Clicks]]*Marketing[[#This Row],[Conversion_Rate]],0)</f>
        <v>71</v>
      </c>
      <c r="J3438" s="12">
        <f>Marketing[[#This Row],[Campaign_Cost]]/Marketing[[#This Row],[Customers]]</f>
        <v>278.07042253521126</v>
      </c>
      <c r="K3438" t="s">
        <v>25</v>
      </c>
      <c r="L3438" t="s">
        <v>20</v>
      </c>
      <c r="M3438">
        <v>646</v>
      </c>
      <c r="N3438">
        <v>3361</v>
      </c>
      <c r="O3438">
        <v>3</v>
      </c>
      <c r="P3438" t="s">
        <v>42</v>
      </c>
      <c r="Q3438" s="1">
        <v>44348</v>
      </c>
    </row>
    <row r="3439" spans="1:17" x14ac:dyDescent="0.3">
      <c r="A3439" t="s">
        <v>49</v>
      </c>
      <c r="B3439" t="s">
        <v>29</v>
      </c>
      <c r="C3439" t="s">
        <v>37</v>
      </c>
      <c r="D3439" t="s">
        <v>24</v>
      </c>
      <c r="E3439" t="s">
        <v>41</v>
      </c>
      <c r="F3439" s="9">
        <v>0.11</v>
      </c>
      <c r="G3439" s="10">
        <v>16782</v>
      </c>
      <c r="H3439">
        <v>7.46</v>
      </c>
      <c r="I3439" s="5">
        <f>ROUND(Marketing[[#This Row],[Clicks]]*Marketing[[#This Row],[Conversion_Rate]],0)</f>
        <v>85</v>
      </c>
      <c r="J3439" s="12">
        <f>Marketing[[#This Row],[Campaign_Cost]]/Marketing[[#This Row],[Customers]]</f>
        <v>197.43529411764706</v>
      </c>
      <c r="K3439" t="s">
        <v>38</v>
      </c>
      <c r="L3439" t="s">
        <v>26</v>
      </c>
      <c r="M3439">
        <v>775</v>
      </c>
      <c r="N3439">
        <v>3476</v>
      </c>
      <c r="O3439">
        <v>8</v>
      </c>
      <c r="P3439" t="s">
        <v>34</v>
      </c>
      <c r="Q3439" s="1">
        <v>44349</v>
      </c>
    </row>
    <row r="3440" spans="1:17" x14ac:dyDescent="0.3">
      <c r="A3440" t="s">
        <v>28</v>
      </c>
      <c r="B3440" t="s">
        <v>47</v>
      </c>
      <c r="C3440" t="s">
        <v>23</v>
      </c>
      <c r="D3440" t="s">
        <v>24</v>
      </c>
      <c r="E3440" t="s">
        <v>31</v>
      </c>
      <c r="F3440" s="9">
        <v>0.13</v>
      </c>
      <c r="G3440" s="10">
        <v>19960</v>
      </c>
      <c r="H3440">
        <v>7.32</v>
      </c>
      <c r="I3440" s="5">
        <f>ROUND(Marketing[[#This Row],[Clicks]]*Marketing[[#This Row],[Conversion_Rate]],0)</f>
        <v>117</v>
      </c>
      <c r="J3440" s="12">
        <f>Marketing[[#This Row],[Campaign_Cost]]/Marketing[[#This Row],[Customers]]</f>
        <v>170.59829059829059</v>
      </c>
      <c r="K3440" t="s">
        <v>51</v>
      </c>
      <c r="L3440" t="s">
        <v>20</v>
      </c>
      <c r="M3440">
        <v>899</v>
      </c>
      <c r="N3440">
        <v>7048</v>
      </c>
      <c r="O3440">
        <v>10</v>
      </c>
      <c r="P3440" t="s">
        <v>42</v>
      </c>
      <c r="Q3440" s="1">
        <v>44350</v>
      </c>
    </row>
    <row r="3441" spans="1:17" x14ac:dyDescent="0.3">
      <c r="A3441" t="s">
        <v>35</v>
      </c>
      <c r="B3441" t="s">
        <v>36</v>
      </c>
      <c r="C3441" t="s">
        <v>30</v>
      </c>
      <c r="D3441" t="s">
        <v>17</v>
      </c>
      <c r="E3441" t="s">
        <v>18</v>
      </c>
      <c r="F3441" s="9">
        <v>0.12</v>
      </c>
      <c r="G3441" s="10">
        <v>7344</v>
      </c>
      <c r="H3441">
        <v>6.29</v>
      </c>
      <c r="I3441" s="5">
        <f>ROUND(Marketing[[#This Row],[Clicks]]*Marketing[[#This Row],[Conversion_Rate]],0)</f>
        <v>28</v>
      </c>
      <c r="J3441" s="12">
        <f>Marketing[[#This Row],[Campaign_Cost]]/Marketing[[#This Row],[Customers]]</f>
        <v>262.28571428571428</v>
      </c>
      <c r="K3441" t="s">
        <v>38</v>
      </c>
      <c r="L3441" t="s">
        <v>50</v>
      </c>
      <c r="M3441">
        <v>236</v>
      </c>
      <c r="N3441">
        <v>3442</v>
      </c>
      <c r="O3441">
        <v>2</v>
      </c>
      <c r="P3441" t="s">
        <v>42</v>
      </c>
      <c r="Q3441" s="1">
        <v>44351</v>
      </c>
    </row>
    <row r="3442" spans="1:17" x14ac:dyDescent="0.3">
      <c r="A3442" t="s">
        <v>49</v>
      </c>
      <c r="B3442" t="s">
        <v>15</v>
      </c>
      <c r="C3442" t="s">
        <v>52</v>
      </c>
      <c r="D3442" t="s">
        <v>40</v>
      </c>
      <c r="E3442" t="s">
        <v>43</v>
      </c>
      <c r="F3442" s="9">
        <v>0.09</v>
      </c>
      <c r="G3442" s="10">
        <v>8697</v>
      </c>
      <c r="H3442">
        <v>4.82</v>
      </c>
      <c r="I3442" s="5">
        <f>ROUND(Marketing[[#This Row],[Clicks]]*Marketing[[#This Row],[Conversion_Rate]],0)</f>
        <v>73</v>
      </c>
      <c r="J3442" s="12">
        <f>Marketing[[#This Row],[Campaign_Cost]]/Marketing[[#This Row],[Customers]]</f>
        <v>119.13698630136986</v>
      </c>
      <c r="K3442" t="s">
        <v>19</v>
      </c>
      <c r="L3442" t="s">
        <v>20</v>
      </c>
      <c r="M3442">
        <v>816</v>
      </c>
      <c r="N3442">
        <v>5571</v>
      </c>
      <c r="O3442">
        <v>4</v>
      </c>
      <c r="P3442" t="s">
        <v>21</v>
      </c>
      <c r="Q3442" s="1">
        <v>44352</v>
      </c>
    </row>
    <row r="3443" spans="1:17" x14ac:dyDescent="0.3">
      <c r="A3443" t="s">
        <v>28</v>
      </c>
      <c r="B3443" t="s">
        <v>36</v>
      </c>
      <c r="C3443" t="s">
        <v>16</v>
      </c>
      <c r="D3443" t="s">
        <v>24</v>
      </c>
      <c r="E3443" t="s">
        <v>41</v>
      </c>
      <c r="F3443" s="9">
        <v>7.0000000000000007E-2</v>
      </c>
      <c r="G3443" s="10">
        <v>19913</v>
      </c>
      <c r="H3443">
        <v>4.9800000000000004</v>
      </c>
      <c r="I3443" s="5">
        <f>ROUND(Marketing[[#This Row],[Clicks]]*Marketing[[#This Row],[Conversion_Rate]],0)</f>
        <v>48</v>
      </c>
      <c r="J3443" s="12">
        <f>Marketing[[#This Row],[Campaign_Cost]]/Marketing[[#This Row],[Customers]]</f>
        <v>414.85416666666669</v>
      </c>
      <c r="K3443" t="s">
        <v>38</v>
      </c>
      <c r="L3443" t="s">
        <v>50</v>
      </c>
      <c r="M3443">
        <v>691</v>
      </c>
      <c r="N3443">
        <v>6198</v>
      </c>
      <c r="O3443">
        <v>3</v>
      </c>
      <c r="P3443" t="s">
        <v>44</v>
      </c>
      <c r="Q3443" s="1">
        <v>44353</v>
      </c>
    </row>
    <row r="3444" spans="1:17" x14ac:dyDescent="0.3">
      <c r="A3444" t="s">
        <v>28</v>
      </c>
      <c r="B3444" t="s">
        <v>36</v>
      </c>
      <c r="C3444" t="s">
        <v>23</v>
      </c>
      <c r="D3444" t="s">
        <v>40</v>
      </c>
      <c r="E3444" t="s">
        <v>43</v>
      </c>
      <c r="F3444" s="9">
        <v>7.0000000000000007E-2</v>
      </c>
      <c r="G3444" s="10">
        <v>18585</v>
      </c>
      <c r="H3444">
        <v>6</v>
      </c>
      <c r="I3444" s="5">
        <f>ROUND(Marketing[[#This Row],[Clicks]]*Marketing[[#This Row],[Conversion_Rate]],0)</f>
        <v>16</v>
      </c>
      <c r="J3444" s="12">
        <f>Marketing[[#This Row],[Campaign_Cost]]/Marketing[[#This Row],[Customers]]</f>
        <v>1161.5625</v>
      </c>
      <c r="K3444" t="s">
        <v>38</v>
      </c>
      <c r="L3444" t="s">
        <v>50</v>
      </c>
      <c r="M3444">
        <v>229</v>
      </c>
      <c r="N3444">
        <v>5281</v>
      </c>
      <c r="O3444">
        <v>3</v>
      </c>
      <c r="P3444" t="s">
        <v>21</v>
      </c>
      <c r="Q3444" s="1">
        <v>44354</v>
      </c>
    </row>
    <row r="3445" spans="1:17" x14ac:dyDescent="0.3">
      <c r="A3445" t="s">
        <v>35</v>
      </c>
      <c r="B3445" t="s">
        <v>45</v>
      </c>
      <c r="C3445" t="s">
        <v>52</v>
      </c>
      <c r="D3445" t="s">
        <v>46</v>
      </c>
      <c r="E3445" t="s">
        <v>18</v>
      </c>
      <c r="F3445" s="9">
        <v>0.02</v>
      </c>
      <c r="G3445" s="10">
        <v>17270</v>
      </c>
      <c r="H3445">
        <v>4.29</v>
      </c>
      <c r="I3445" s="5">
        <f>ROUND(Marketing[[#This Row],[Clicks]]*Marketing[[#This Row],[Conversion_Rate]],0)</f>
        <v>9</v>
      </c>
      <c r="J3445" s="12">
        <f>Marketing[[#This Row],[Campaign_Cost]]/Marketing[[#This Row],[Customers]]</f>
        <v>1918.8888888888889</v>
      </c>
      <c r="K3445" t="s">
        <v>25</v>
      </c>
      <c r="L3445" t="s">
        <v>20</v>
      </c>
      <c r="M3445">
        <v>448</v>
      </c>
      <c r="N3445">
        <v>6818</v>
      </c>
      <c r="O3445">
        <v>10</v>
      </c>
      <c r="P3445" t="s">
        <v>21</v>
      </c>
      <c r="Q3445" s="1">
        <v>44355</v>
      </c>
    </row>
    <row r="3446" spans="1:17" x14ac:dyDescent="0.3">
      <c r="A3446" t="s">
        <v>22</v>
      </c>
      <c r="B3446" t="s">
        <v>36</v>
      </c>
      <c r="C3446" t="s">
        <v>52</v>
      </c>
      <c r="D3446" t="s">
        <v>40</v>
      </c>
      <c r="E3446" t="s">
        <v>48</v>
      </c>
      <c r="F3446" s="9">
        <v>0.06</v>
      </c>
      <c r="G3446" s="10">
        <v>10478</v>
      </c>
      <c r="H3446">
        <v>2.91</v>
      </c>
      <c r="I3446" s="5">
        <f>ROUND(Marketing[[#This Row],[Clicks]]*Marketing[[#This Row],[Conversion_Rate]],0)</f>
        <v>56</v>
      </c>
      <c r="J3446" s="12">
        <f>Marketing[[#This Row],[Campaign_Cost]]/Marketing[[#This Row],[Customers]]</f>
        <v>187.10714285714286</v>
      </c>
      <c r="K3446" t="s">
        <v>19</v>
      </c>
      <c r="L3446" t="s">
        <v>39</v>
      </c>
      <c r="M3446">
        <v>928</v>
      </c>
      <c r="N3446">
        <v>2474</v>
      </c>
      <c r="O3446">
        <v>10</v>
      </c>
      <c r="P3446" t="s">
        <v>27</v>
      </c>
      <c r="Q3446" s="1">
        <v>44356</v>
      </c>
    </row>
    <row r="3447" spans="1:17" x14ac:dyDescent="0.3">
      <c r="A3447" t="s">
        <v>49</v>
      </c>
      <c r="B3447" t="s">
        <v>15</v>
      </c>
      <c r="C3447" t="s">
        <v>30</v>
      </c>
      <c r="D3447" t="s">
        <v>40</v>
      </c>
      <c r="E3447" t="s">
        <v>48</v>
      </c>
      <c r="F3447" s="9">
        <v>0.06</v>
      </c>
      <c r="G3447" s="10">
        <v>19212</v>
      </c>
      <c r="H3447">
        <v>5.37</v>
      </c>
      <c r="I3447" s="5">
        <f>ROUND(Marketing[[#This Row],[Clicks]]*Marketing[[#This Row],[Conversion_Rate]],0)</f>
        <v>32</v>
      </c>
      <c r="J3447" s="12">
        <f>Marketing[[#This Row],[Campaign_Cost]]/Marketing[[#This Row],[Customers]]</f>
        <v>600.375</v>
      </c>
      <c r="K3447" t="s">
        <v>32</v>
      </c>
      <c r="L3447" t="s">
        <v>33</v>
      </c>
      <c r="M3447">
        <v>530</v>
      </c>
      <c r="N3447">
        <v>6280</v>
      </c>
      <c r="O3447">
        <v>6</v>
      </c>
      <c r="P3447" t="s">
        <v>27</v>
      </c>
      <c r="Q3447" s="1">
        <v>44357</v>
      </c>
    </row>
    <row r="3448" spans="1:17" x14ac:dyDescent="0.3">
      <c r="A3448" t="s">
        <v>22</v>
      </c>
      <c r="B3448" t="s">
        <v>36</v>
      </c>
      <c r="C3448" t="s">
        <v>37</v>
      </c>
      <c r="D3448" t="s">
        <v>17</v>
      </c>
      <c r="E3448" t="s">
        <v>43</v>
      </c>
      <c r="F3448" s="9">
        <v>0.12</v>
      </c>
      <c r="G3448" s="10">
        <v>12804</v>
      </c>
      <c r="H3448">
        <v>3.3</v>
      </c>
      <c r="I3448" s="5">
        <f>ROUND(Marketing[[#This Row],[Clicks]]*Marketing[[#This Row],[Conversion_Rate]],0)</f>
        <v>47</v>
      </c>
      <c r="J3448" s="12">
        <f>Marketing[[#This Row],[Campaign_Cost]]/Marketing[[#This Row],[Customers]]</f>
        <v>272.42553191489361</v>
      </c>
      <c r="K3448" t="s">
        <v>38</v>
      </c>
      <c r="L3448" t="s">
        <v>39</v>
      </c>
      <c r="M3448">
        <v>394</v>
      </c>
      <c r="N3448">
        <v>5195</v>
      </c>
      <c r="O3448">
        <v>2</v>
      </c>
      <c r="P3448" t="s">
        <v>42</v>
      </c>
      <c r="Q3448" s="1">
        <v>44358</v>
      </c>
    </row>
    <row r="3449" spans="1:17" x14ac:dyDescent="0.3">
      <c r="A3449" t="s">
        <v>35</v>
      </c>
      <c r="B3449" t="s">
        <v>47</v>
      </c>
      <c r="C3449" t="s">
        <v>52</v>
      </c>
      <c r="D3449" t="s">
        <v>46</v>
      </c>
      <c r="E3449" t="s">
        <v>31</v>
      </c>
      <c r="F3449" s="9">
        <v>0.08</v>
      </c>
      <c r="G3449" s="10">
        <v>17655</v>
      </c>
      <c r="H3449">
        <v>5.47</v>
      </c>
      <c r="I3449" s="5">
        <f>ROUND(Marketing[[#This Row],[Clicks]]*Marketing[[#This Row],[Conversion_Rate]],0)</f>
        <v>53</v>
      </c>
      <c r="J3449" s="12">
        <f>Marketing[[#This Row],[Campaign_Cost]]/Marketing[[#This Row],[Customers]]</f>
        <v>333.11320754716979</v>
      </c>
      <c r="K3449" t="s">
        <v>38</v>
      </c>
      <c r="L3449" t="s">
        <v>20</v>
      </c>
      <c r="M3449">
        <v>665</v>
      </c>
      <c r="N3449">
        <v>1742</v>
      </c>
      <c r="O3449">
        <v>4</v>
      </c>
      <c r="P3449" t="s">
        <v>21</v>
      </c>
      <c r="Q3449" s="1">
        <v>44359</v>
      </c>
    </row>
    <row r="3450" spans="1:17" x14ac:dyDescent="0.3">
      <c r="A3450" t="s">
        <v>14</v>
      </c>
      <c r="B3450" t="s">
        <v>36</v>
      </c>
      <c r="C3450" t="s">
        <v>16</v>
      </c>
      <c r="D3450" t="s">
        <v>17</v>
      </c>
      <c r="E3450" t="s">
        <v>31</v>
      </c>
      <c r="F3450" s="9">
        <v>0.14000000000000001</v>
      </c>
      <c r="G3450" s="10">
        <v>7573</v>
      </c>
      <c r="H3450">
        <v>5.54</v>
      </c>
      <c r="I3450" s="5">
        <f>ROUND(Marketing[[#This Row],[Clicks]]*Marketing[[#This Row],[Conversion_Rate]],0)</f>
        <v>109</v>
      </c>
      <c r="J3450" s="12">
        <f>Marketing[[#This Row],[Campaign_Cost]]/Marketing[[#This Row],[Customers]]</f>
        <v>69.477064220183493</v>
      </c>
      <c r="K3450" t="s">
        <v>19</v>
      </c>
      <c r="L3450" t="s">
        <v>50</v>
      </c>
      <c r="M3450">
        <v>777</v>
      </c>
      <c r="N3450">
        <v>2699</v>
      </c>
      <c r="O3450">
        <v>3</v>
      </c>
      <c r="P3450" t="s">
        <v>42</v>
      </c>
      <c r="Q3450" s="1">
        <v>44360</v>
      </c>
    </row>
    <row r="3451" spans="1:17" x14ac:dyDescent="0.3">
      <c r="A3451" t="s">
        <v>28</v>
      </c>
      <c r="B3451" t="s">
        <v>47</v>
      </c>
      <c r="C3451" t="s">
        <v>23</v>
      </c>
      <c r="D3451" t="s">
        <v>40</v>
      </c>
      <c r="E3451" t="s">
        <v>41</v>
      </c>
      <c r="F3451" s="9">
        <v>0.02</v>
      </c>
      <c r="G3451" s="10">
        <v>18021</v>
      </c>
      <c r="H3451">
        <v>2.71</v>
      </c>
      <c r="I3451" s="5">
        <f>ROUND(Marketing[[#This Row],[Clicks]]*Marketing[[#This Row],[Conversion_Rate]],0)</f>
        <v>18</v>
      </c>
      <c r="J3451" s="12">
        <f>Marketing[[#This Row],[Campaign_Cost]]/Marketing[[#This Row],[Customers]]</f>
        <v>1001.1666666666666</v>
      </c>
      <c r="K3451" t="s">
        <v>38</v>
      </c>
      <c r="L3451" t="s">
        <v>39</v>
      </c>
      <c r="M3451">
        <v>921</v>
      </c>
      <c r="N3451">
        <v>7618</v>
      </c>
      <c r="O3451">
        <v>7</v>
      </c>
      <c r="P3451" t="s">
        <v>27</v>
      </c>
      <c r="Q3451" s="1">
        <v>44361</v>
      </c>
    </row>
    <row r="3452" spans="1:17" x14ac:dyDescent="0.3">
      <c r="A3452" t="s">
        <v>28</v>
      </c>
      <c r="B3452" t="s">
        <v>29</v>
      </c>
      <c r="C3452" t="s">
        <v>23</v>
      </c>
      <c r="D3452" t="s">
        <v>46</v>
      </c>
      <c r="E3452" t="s">
        <v>18</v>
      </c>
      <c r="F3452" s="9">
        <v>0.14000000000000001</v>
      </c>
      <c r="G3452" s="10">
        <v>12217</v>
      </c>
      <c r="H3452">
        <v>7.87</v>
      </c>
      <c r="I3452" s="5">
        <f>ROUND(Marketing[[#This Row],[Clicks]]*Marketing[[#This Row],[Conversion_Rate]],0)</f>
        <v>52</v>
      </c>
      <c r="J3452" s="12">
        <f>Marketing[[#This Row],[Campaign_Cost]]/Marketing[[#This Row],[Customers]]</f>
        <v>234.94230769230768</v>
      </c>
      <c r="K3452" t="s">
        <v>38</v>
      </c>
      <c r="L3452" t="s">
        <v>50</v>
      </c>
      <c r="M3452">
        <v>369</v>
      </c>
      <c r="N3452">
        <v>2051</v>
      </c>
      <c r="O3452">
        <v>3</v>
      </c>
      <c r="P3452" t="s">
        <v>34</v>
      </c>
      <c r="Q3452" s="1">
        <v>44362</v>
      </c>
    </row>
    <row r="3453" spans="1:17" x14ac:dyDescent="0.3">
      <c r="A3453" t="s">
        <v>49</v>
      </c>
      <c r="B3453" t="s">
        <v>47</v>
      </c>
      <c r="C3453" t="s">
        <v>30</v>
      </c>
      <c r="D3453" t="s">
        <v>46</v>
      </c>
      <c r="E3453" t="s">
        <v>15</v>
      </c>
      <c r="F3453" s="9">
        <v>0.04</v>
      </c>
      <c r="G3453" s="10">
        <v>19798</v>
      </c>
      <c r="H3453">
        <v>2.5299999999999998</v>
      </c>
      <c r="I3453" s="5">
        <f>ROUND(Marketing[[#This Row],[Clicks]]*Marketing[[#This Row],[Conversion_Rate]],0)</f>
        <v>25</v>
      </c>
      <c r="J3453" s="12">
        <f>Marketing[[#This Row],[Campaign_Cost]]/Marketing[[#This Row],[Customers]]</f>
        <v>791.92</v>
      </c>
      <c r="K3453" t="s">
        <v>51</v>
      </c>
      <c r="L3453" t="s">
        <v>39</v>
      </c>
      <c r="M3453">
        <v>633</v>
      </c>
      <c r="N3453">
        <v>8068</v>
      </c>
      <c r="O3453">
        <v>1</v>
      </c>
      <c r="P3453" t="s">
        <v>34</v>
      </c>
      <c r="Q3453" s="1">
        <v>44363</v>
      </c>
    </row>
    <row r="3454" spans="1:17" x14ac:dyDescent="0.3">
      <c r="A3454" t="s">
        <v>49</v>
      </c>
      <c r="B3454" t="s">
        <v>15</v>
      </c>
      <c r="C3454" t="s">
        <v>16</v>
      </c>
      <c r="D3454" t="s">
        <v>24</v>
      </c>
      <c r="E3454" t="s">
        <v>43</v>
      </c>
      <c r="F3454" s="9">
        <v>0.04</v>
      </c>
      <c r="G3454" s="10">
        <v>10163</v>
      </c>
      <c r="H3454">
        <v>6.59</v>
      </c>
      <c r="I3454" s="5">
        <f>ROUND(Marketing[[#This Row],[Clicks]]*Marketing[[#This Row],[Conversion_Rate]],0)</f>
        <v>36</v>
      </c>
      <c r="J3454" s="12">
        <f>Marketing[[#This Row],[Campaign_Cost]]/Marketing[[#This Row],[Customers]]</f>
        <v>282.30555555555554</v>
      </c>
      <c r="K3454" t="s">
        <v>51</v>
      </c>
      <c r="L3454" t="s">
        <v>50</v>
      </c>
      <c r="M3454">
        <v>891</v>
      </c>
      <c r="N3454">
        <v>7707</v>
      </c>
      <c r="O3454">
        <v>7</v>
      </c>
      <c r="P3454" t="s">
        <v>21</v>
      </c>
      <c r="Q3454" s="1">
        <v>44364</v>
      </c>
    </row>
    <row r="3455" spans="1:17" x14ac:dyDescent="0.3">
      <c r="A3455" t="s">
        <v>22</v>
      </c>
      <c r="B3455" t="s">
        <v>47</v>
      </c>
      <c r="C3455" t="s">
        <v>16</v>
      </c>
      <c r="D3455" t="s">
        <v>24</v>
      </c>
      <c r="E3455" t="s">
        <v>48</v>
      </c>
      <c r="F3455" s="9">
        <v>0.05</v>
      </c>
      <c r="G3455" s="10">
        <v>7098</v>
      </c>
      <c r="H3455">
        <v>6.77</v>
      </c>
      <c r="I3455" s="5">
        <f>ROUND(Marketing[[#This Row],[Clicks]]*Marketing[[#This Row],[Conversion_Rate]],0)</f>
        <v>14</v>
      </c>
      <c r="J3455" s="12">
        <f>Marketing[[#This Row],[Campaign_Cost]]/Marketing[[#This Row],[Customers]]</f>
        <v>507</v>
      </c>
      <c r="K3455" t="s">
        <v>38</v>
      </c>
      <c r="L3455" t="s">
        <v>39</v>
      </c>
      <c r="M3455">
        <v>282</v>
      </c>
      <c r="N3455">
        <v>4323</v>
      </c>
      <c r="O3455">
        <v>9</v>
      </c>
      <c r="P3455" t="s">
        <v>21</v>
      </c>
      <c r="Q3455" s="1">
        <v>44365</v>
      </c>
    </row>
    <row r="3456" spans="1:17" x14ac:dyDescent="0.3">
      <c r="A3456" t="s">
        <v>28</v>
      </c>
      <c r="B3456" t="s">
        <v>29</v>
      </c>
      <c r="C3456" t="s">
        <v>23</v>
      </c>
      <c r="D3456" t="s">
        <v>17</v>
      </c>
      <c r="E3456" t="s">
        <v>43</v>
      </c>
      <c r="F3456" s="9">
        <v>0.05</v>
      </c>
      <c r="G3456" s="10">
        <v>13067</v>
      </c>
      <c r="H3456">
        <v>5.35</v>
      </c>
      <c r="I3456" s="5">
        <f>ROUND(Marketing[[#This Row],[Clicks]]*Marketing[[#This Row],[Conversion_Rate]],0)</f>
        <v>43</v>
      </c>
      <c r="J3456" s="12">
        <f>Marketing[[#This Row],[Campaign_Cost]]/Marketing[[#This Row],[Customers]]</f>
        <v>303.88372093023258</v>
      </c>
      <c r="K3456" t="s">
        <v>38</v>
      </c>
      <c r="L3456" t="s">
        <v>20</v>
      </c>
      <c r="M3456">
        <v>855</v>
      </c>
      <c r="N3456">
        <v>9813</v>
      </c>
      <c r="O3456">
        <v>2</v>
      </c>
      <c r="P3456" t="s">
        <v>42</v>
      </c>
      <c r="Q3456" s="1">
        <v>44366</v>
      </c>
    </row>
    <row r="3457" spans="1:17" x14ac:dyDescent="0.3">
      <c r="A3457" t="s">
        <v>22</v>
      </c>
      <c r="B3457" t="s">
        <v>36</v>
      </c>
      <c r="C3457" t="s">
        <v>37</v>
      </c>
      <c r="D3457" t="s">
        <v>24</v>
      </c>
      <c r="E3457" t="s">
        <v>41</v>
      </c>
      <c r="F3457" s="9">
        <v>0.1</v>
      </c>
      <c r="G3457" s="10">
        <v>10820</v>
      </c>
      <c r="H3457">
        <v>5.25</v>
      </c>
      <c r="I3457" s="5">
        <f>ROUND(Marketing[[#This Row],[Clicks]]*Marketing[[#This Row],[Conversion_Rate]],0)</f>
        <v>84</v>
      </c>
      <c r="J3457" s="12">
        <f>Marketing[[#This Row],[Campaign_Cost]]/Marketing[[#This Row],[Customers]]</f>
        <v>128.8095238095238</v>
      </c>
      <c r="K3457" t="s">
        <v>38</v>
      </c>
      <c r="L3457" t="s">
        <v>26</v>
      </c>
      <c r="M3457">
        <v>838</v>
      </c>
      <c r="N3457">
        <v>7857</v>
      </c>
      <c r="O3457">
        <v>7</v>
      </c>
      <c r="P3457" t="s">
        <v>44</v>
      </c>
      <c r="Q3457" s="1">
        <v>44367</v>
      </c>
    </row>
    <row r="3458" spans="1:17" x14ac:dyDescent="0.3">
      <c r="A3458" t="s">
        <v>22</v>
      </c>
      <c r="B3458" t="s">
        <v>45</v>
      </c>
      <c r="C3458" t="s">
        <v>16</v>
      </c>
      <c r="D3458" t="s">
        <v>46</v>
      </c>
      <c r="E3458" t="s">
        <v>48</v>
      </c>
      <c r="F3458" s="9">
        <v>0.15</v>
      </c>
      <c r="G3458" s="10">
        <v>7246</v>
      </c>
      <c r="H3458">
        <v>3.57</v>
      </c>
      <c r="I3458" s="5">
        <f>ROUND(Marketing[[#This Row],[Clicks]]*Marketing[[#This Row],[Conversion_Rate]],0)</f>
        <v>103</v>
      </c>
      <c r="J3458" s="12">
        <f>Marketing[[#This Row],[Campaign_Cost]]/Marketing[[#This Row],[Customers]]</f>
        <v>70.349514563106794</v>
      </c>
      <c r="K3458" t="s">
        <v>19</v>
      </c>
      <c r="L3458" t="s">
        <v>20</v>
      </c>
      <c r="M3458">
        <v>689</v>
      </c>
      <c r="N3458">
        <v>2874</v>
      </c>
      <c r="O3458">
        <v>4</v>
      </c>
      <c r="P3458" t="s">
        <v>34</v>
      </c>
      <c r="Q3458" s="1">
        <v>44368</v>
      </c>
    </row>
    <row r="3459" spans="1:17" x14ac:dyDescent="0.3">
      <c r="A3459" t="s">
        <v>22</v>
      </c>
      <c r="B3459" t="s">
        <v>15</v>
      </c>
      <c r="C3459" t="s">
        <v>30</v>
      </c>
      <c r="D3459" t="s">
        <v>40</v>
      </c>
      <c r="E3459" t="s">
        <v>31</v>
      </c>
      <c r="F3459" s="9">
        <v>0.06</v>
      </c>
      <c r="G3459" s="10">
        <v>9556</v>
      </c>
      <c r="H3459">
        <v>6.38</v>
      </c>
      <c r="I3459" s="5">
        <f>ROUND(Marketing[[#This Row],[Clicks]]*Marketing[[#This Row],[Conversion_Rate]],0)</f>
        <v>52</v>
      </c>
      <c r="J3459" s="12">
        <f>Marketing[[#This Row],[Campaign_Cost]]/Marketing[[#This Row],[Customers]]</f>
        <v>183.76923076923077</v>
      </c>
      <c r="K3459" t="s">
        <v>38</v>
      </c>
      <c r="L3459" t="s">
        <v>50</v>
      </c>
      <c r="M3459">
        <v>863</v>
      </c>
      <c r="N3459">
        <v>8181</v>
      </c>
      <c r="O3459">
        <v>5</v>
      </c>
      <c r="P3459" t="s">
        <v>21</v>
      </c>
      <c r="Q3459" s="1">
        <v>44369</v>
      </c>
    </row>
    <row r="3460" spans="1:17" x14ac:dyDescent="0.3">
      <c r="A3460" t="s">
        <v>49</v>
      </c>
      <c r="B3460" t="s">
        <v>36</v>
      </c>
      <c r="C3460" t="s">
        <v>16</v>
      </c>
      <c r="D3460" t="s">
        <v>46</v>
      </c>
      <c r="E3460" t="s">
        <v>48</v>
      </c>
      <c r="F3460" s="9">
        <v>0.13</v>
      </c>
      <c r="G3460" s="10">
        <v>15899</v>
      </c>
      <c r="H3460">
        <v>5.35</v>
      </c>
      <c r="I3460" s="5">
        <f>ROUND(Marketing[[#This Row],[Clicks]]*Marketing[[#This Row],[Conversion_Rate]],0)</f>
        <v>75</v>
      </c>
      <c r="J3460" s="12">
        <f>Marketing[[#This Row],[Campaign_Cost]]/Marketing[[#This Row],[Customers]]</f>
        <v>211.98666666666668</v>
      </c>
      <c r="K3460" t="s">
        <v>25</v>
      </c>
      <c r="L3460" t="s">
        <v>33</v>
      </c>
      <c r="M3460">
        <v>578</v>
      </c>
      <c r="N3460">
        <v>2352</v>
      </c>
      <c r="O3460">
        <v>8</v>
      </c>
      <c r="P3460" t="s">
        <v>34</v>
      </c>
      <c r="Q3460" s="1">
        <v>44370</v>
      </c>
    </row>
    <row r="3461" spans="1:17" x14ac:dyDescent="0.3">
      <c r="A3461" t="s">
        <v>49</v>
      </c>
      <c r="B3461" t="s">
        <v>29</v>
      </c>
      <c r="C3461" t="s">
        <v>23</v>
      </c>
      <c r="D3461" t="s">
        <v>24</v>
      </c>
      <c r="E3461" t="s">
        <v>18</v>
      </c>
      <c r="F3461" s="9">
        <v>7.0000000000000007E-2</v>
      </c>
      <c r="G3461" s="10">
        <v>19729</v>
      </c>
      <c r="H3461">
        <v>5.83</v>
      </c>
      <c r="I3461" s="5">
        <f>ROUND(Marketing[[#This Row],[Clicks]]*Marketing[[#This Row],[Conversion_Rate]],0)</f>
        <v>44</v>
      </c>
      <c r="J3461" s="12">
        <f>Marketing[[#This Row],[Campaign_Cost]]/Marketing[[#This Row],[Customers]]</f>
        <v>448.38636363636363</v>
      </c>
      <c r="K3461" t="s">
        <v>19</v>
      </c>
      <c r="L3461" t="s">
        <v>26</v>
      </c>
      <c r="M3461">
        <v>632</v>
      </c>
      <c r="N3461">
        <v>6474</v>
      </c>
      <c r="O3461">
        <v>1</v>
      </c>
      <c r="P3461" t="s">
        <v>34</v>
      </c>
      <c r="Q3461" s="1">
        <v>44371</v>
      </c>
    </row>
    <row r="3462" spans="1:17" x14ac:dyDescent="0.3">
      <c r="A3462" t="s">
        <v>35</v>
      </c>
      <c r="B3462" t="s">
        <v>15</v>
      </c>
      <c r="C3462" t="s">
        <v>16</v>
      </c>
      <c r="D3462" t="s">
        <v>40</v>
      </c>
      <c r="E3462" t="s">
        <v>43</v>
      </c>
      <c r="F3462" s="9">
        <v>0.12</v>
      </c>
      <c r="G3462" s="10">
        <v>8277</v>
      </c>
      <c r="H3462">
        <v>3.07</v>
      </c>
      <c r="I3462" s="5">
        <f>ROUND(Marketing[[#This Row],[Clicks]]*Marketing[[#This Row],[Conversion_Rate]],0)</f>
        <v>14</v>
      </c>
      <c r="J3462" s="12">
        <f>Marketing[[#This Row],[Campaign_Cost]]/Marketing[[#This Row],[Customers]]</f>
        <v>591.21428571428567</v>
      </c>
      <c r="K3462" t="s">
        <v>19</v>
      </c>
      <c r="L3462" t="s">
        <v>50</v>
      </c>
      <c r="M3462">
        <v>116</v>
      </c>
      <c r="N3462">
        <v>1619</v>
      </c>
      <c r="O3462">
        <v>1</v>
      </c>
      <c r="P3462" t="s">
        <v>21</v>
      </c>
      <c r="Q3462" s="1">
        <v>44372</v>
      </c>
    </row>
    <row r="3463" spans="1:17" x14ac:dyDescent="0.3">
      <c r="A3463" t="s">
        <v>35</v>
      </c>
      <c r="B3463" t="s">
        <v>45</v>
      </c>
      <c r="C3463" t="s">
        <v>37</v>
      </c>
      <c r="D3463" t="s">
        <v>40</v>
      </c>
      <c r="E3463" t="s">
        <v>15</v>
      </c>
      <c r="F3463" s="9">
        <v>0.11</v>
      </c>
      <c r="G3463" s="10">
        <v>19765</v>
      </c>
      <c r="H3463">
        <v>5.82</v>
      </c>
      <c r="I3463" s="5">
        <f>ROUND(Marketing[[#This Row],[Clicks]]*Marketing[[#This Row],[Conversion_Rate]],0)</f>
        <v>44</v>
      </c>
      <c r="J3463" s="12">
        <f>Marketing[[#This Row],[Campaign_Cost]]/Marketing[[#This Row],[Customers]]</f>
        <v>449.20454545454544</v>
      </c>
      <c r="K3463" t="s">
        <v>25</v>
      </c>
      <c r="L3463" t="s">
        <v>20</v>
      </c>
      <c r="M3463">
        <v>398</v>
      </c>
      <c r="N3463">
        <v>4619</v>
      </c>
      <c r="O3463">
        <v>3</v>
      </c>
      <c r="P3463" t="s">
        <v>44</v>
      </c>
      <c r="Q3463" s="1">
        <v>44373</v>
      </c>
    </row>
    <row r="3464" spans="1:17" x14ac:dyDescent="0.3">
      <c r="A3464" t="s">
        <v>22</v>
      </c>
      <c r="B3464" t="s">
        <v>29</v>
      </c>
      <c r="C3464" t="s">
        <v>30</v>
      </c>
      <c r="D3464" t="s">
        <v>46</v>
      </c>
      <c r="E3464" t="s">
        <v>41</v>
      </c>
      <c r="F3464" s="9">
        <v>0.02</v>
      </c>
      <c r="G3464" s="10">
        <v>12541</v>
      </c>
      <c r="H3464">
        <v>7.2</v>
      </c>
      <c r="I3464" s="5">
        <f>ROUND(Marketing[[#This Row],[Clicks]]*Marketing[[#This Row],[Conversion_Rate]],0)</f>
        <v>5</v>
      </c>
      <c r="J3464" s="12">
        <f>Marketing[[#This Row],[Campaign_Cost]]/Marketing[[#This Row],[Customers]]</f>
        <v>2508.1999999999998</v>
      </c>
      <c r="K3464" t="s">
        <v>19</v>
      </c>
      <c r="L3464" t="s">
        <v>26</v>
      </c>
      <c r="M3464">
        <v>233</v>
      </c>
      <c r="N3464">
        <v>8341</v>
      </c>
      <c r="O3464">
        <v>2</v>
      </c>
      <c r="P3464" t="s">
        <v>21</v>
      </c>
      <c r="Q3464" s="1">
        <v>44374</v>
      </c>
    </row>
    <row r="3465" spans="1:17" x14ac:dyDescent="0.3">
      <c r="A3465" t="s">
        <v>28</v>
      </c>
      <c r="B3465" t="s">
        <v>47</v>
      </c>
      <c r="C3465" t="s">
        <v>30</v>
      </c>
      <c r="D3465" t="s">
        <v>17</v>
      </c>
      <c r="E3465" t="s">
        <v>18</v>
      </c>
      <c r="F3465" s="9">
        <v>0.05</v>
      </c>
      <c r="G3465" s="10">
        <v>12346</v>
      </c>
      <c r="H3465">
        <v>3.99</v>
      </c>
      <c r="I3465" s="5">
        <f>ROUND(Marketing[[#This Row],[Clicks]]*Marketing[[#This Row],[Conversion_Rate]],0)</f>
        <v>38</v>
      </c>
      <c r="J3465" s="12">
        <f>Marketing[[#This Row],[Campaign_Cost]]/Marketing[[#This Row],[Customers]]</f>
        <v>324.89473684210526</v>
      </c>
      <c r="K3465" t="s">
        <v>51</v>
      </c>
      <c r="L3465" t="s">
        <v>50</v>
      </c>
      <c r="M3465">
        <v>768</v>
      </c>
      <c r="N3465">
        <v>1518</v>
      </c>
      <c r="O3465">
        <v>5</v>
      </c>
      <c r="P3465" t="s">
        <v>44</v>
      </c>
      <c r="Q3465" s="1">
        <v>44375</v>
      </c>
    </row>
    <row r="3466" spans="1:17" x14ac:dyDescent="0.3">
      <c r="A3466" t="s">
        <v>49</v>
      </c>
      <c r="B3466" t="s">
        <v>45</v>
      </c>
      <c r="C3466" t="s">
        <v>16</v>
      </c>
      <c r="D3466" t="s">
        <v>40</v>
      </c>
      <c r="E3466" t="s">
        <v>48</v>
      </c>
      <c r="F3466" s="9">
        <v>0.1</v>
      </c>
      <c r="G3466" s="10">
        <v>14027</v>
      </c>
      <c r="H3466">
        <v>2.95</v>
      </c>
      <c r="I3466" s="5">
        <f>ROUND(Marketing[[#This Row],[Clicks]]*Marketing[[#This Row],[Conversion_Rate]],0)</f>
        <v>33</v>
      </c>
      <c r="J3466" s="12">
        <f>Marketing[[#This Row],[Campaign_Cost]]/Marketing[[#This Row],[Customers]]</f>
        <v>425.06060606060606</v>
      </c>
      <c r="K3466" t="s">
        <v>32</v>
      </c>
      <c r="L3466" t="s">
        <v>39</v>
      </c>
      <c r="M3466">
        <v>328</v>
      </c>
      <c r="N3466">
        <v>8110</v>
      </c>
      <c r="O3466">
        <v>3</v>
      </c>
      <c r="P3466" t="s">
        <v>34</v>
      </c>
      <c r="Q3466" s="1">
        <v>44376</v>
      </c>
    </row>
    <row r="3467" spans="1:17" x14ac:dyDescent="0.3">
      <c r="A3467" t="s">
        <v>35</v>
      </c>
      <c r="B3467" t="s">
        <v>29</v>
      </c>
      <c r="C3467" t="s">
        <v>23</v>
      </c>
      <c r="D3467" t="s">
        <v>17</v>
      </c>
      <c r="E3467" t="s">
        <v>41</v>
      </c>
      <c r="F3467" s="9">
        <v>0.05</v>
      </c>
      <c r="G3467" s="10">
        <v>18575</v>
      </c>
      <c r="H3467">
        <v>4.29</v>
      </c>
      <c r="I3467" s="5">
        <f>ROUND(Marketing[[#This Row],[Clicks]]*Marketing[[#This Row],[Conversion_Rate]],0)</f>
        <v>28</v>
      </c>
      <c r="J3467" s="12">
        <f>Marketing[[#This Row],[Campaign_Cost]]/Marketing[[#This Row],[Customers]]</f>
        <v>663.39285714285711</v>
      </c>
      <c r="K3467" t="s">
        <v>25</v>
      </c>
      <c r="L3467" t="s">
        <v>20</v>
      </c>
      <c r="M3467">
        <v>558</v>
      </c>
      <c r="N3467">
        <v>4508</v>
      </c>
      <c r="O3467">
        <v>6</v>
      </c>
      <c r="P3467" t="s">
        <v>42</v>
      </c>
      <c r="Q3467" s="1">
        <v>44377</v>
      </c>
    </row>
    <row r="3468" spans="1:17" x14ac:dyDescent="0.3">
      <c r="A3468" t="s">
        <v>49</v>
      </c>
      <c r="B3468" t="s">
        <v>15</v>
      </c>
      <c r="C3468" t="s">
        <v>16</v>
      </c>
      <c r="D3468" t="s">
        <v>46</v>
      </c>
      <c r="E3468" t="s">
        <v>43</v>
      </c>
      <c r="F3468" s="9">
        <v>0.11</v>
      </c>
      <c r="G3468" s="10">
        <v>16295</v>
      </c>
      <c r="H3468">
        <v>5.65</v>
      </c>
      <c r="I3468" s="5">
        <f>ROUND(Marketing[[#This Row],[Clicks]]*Marketing[[#This Row],[Conversion_Rate]],0)</f>
        <v>23</v>
      </c>
      <c r="J3468" s="12">
        <f>Marketing[[#This Row],[Campaign_Cost]]/Marketing[[#This Row],[Customers]]</f>
        <v>708.47826086956525</v>
      </c>
      <c r="K3468" t="s">
        <v>25</v>
      </c>
      <c r="L3468" t="s">
        <v>50</v>
      </c>
      <c r="M3468">
        <v>208</v>
      </c>
      <c r="N3468">
        <v>6486</v>
      </c>
      <c r="O3468">
        <v>5</v>
      </c>
      <c r="P3468" t="s">
        <v>27</v>
      </c>
      <c r="Q3468" s="1">
        <v>44378</v>
      </c>
    </row>
    <row r="3469" spans="1:17" x14ac:dyDescent="0.3">
      <c r="A3469" t="s">
        <v>28</v>
      </c>
      <c r="B3469" t="s">
        <v>47</v>
      </c>
      <c r="C3469" t="s">
        <v>52</v>
      </c>
      <c r="D3469" t="s">
        <v>17</v>
      </c>
      <c r="E3469" t="s">
        <v>48</v>
      </c>
      <c r="F3469" s="9">
        <v>0.09</v>
      </c>
      <c r="G3469" s="10">
        <v>14564</v>
      </c>
      <c r="H3469">
        <v>6.68</v>
      </c>
      <c r="I3469" s="5">
        <f>ROUND(Marketing[[#This Row],[Clicks]]*Marketing[[#This Row],[Conversion_Rate]],0)</f>
        <v>27</v>
      </c>
      <c r="J3469" s="12">
        <f>Marketing[[#This Row],[Campaign_Cost]]/Marketing[[#This Row],[Customers]]</f>
        <v>539.40740740740739</v>
      </c>
      <c r="K3469" t="s">
        <v>32</v>
      </c>
      <c r="L3469" t="s">
        <v>39</v>
      </c>
      <c r="M3469">
        <v>301</v>
      </c>
      <c r="N3469">
        <v>6375</v>
      </c>
      <c r="O3469">
        <v>1</v>
      </c>
      <c r="P3469" t="s">
        <v>44</v>
      </c>
      <c r="Q3469" s="1">
        <v>44379</v>
      </c>
    </row>
    <row r="3470" spans="1:17" x14ac:dyDescent="0.3">
      <c r="A3470" t="s">
        <v>49</v>
      </c>
      <c r="B3470" t="s">
        <v>45</v>
      </c>
      <c r="C3470" t="s">
        <v>52</v>
      </c>
      <c r="D3470" t="s">
        <v>24</v>
      </c>
      <c r="E3470" t="s">
        <v>41</v>
      </c>
      <c r="F3470" s="9">
        <v>0.15</v>
      </c>
      <c r="G3470" s="10">
        <v>12758</v>
      </c>
      <c r="H3470">
        <v>7.22</v>
      </c>
      <c r="I3470" s="5">
        <f>ROUND(Marketing[[#This Row],[Clicks]]*Marketing[[#This Row],[Conversion_Rate]],0)</f>
        <v>36</v>
      </c>
      <c r="J3470" s="12">
        <f>Marketing[[#This Row],[Campaign_Cost]]/Marketing[[#This Row],[Customers]]</f>
        <v>354.38888888888891</v>
      </c>
      <c r="K3470" t="s">
        <v>19</v>
      </c>
      <c r="L3470" t="s">
        <v>50</v>
      </c>
      <c r="M3470">
        <v>240</v>
      </c>
      <c r="N3470">
        <v>3140</v>
      </c>
      <c r="O3470">
        <v>5</v>
      </c>
      <c r="P3470" t="s">
        <v>27</v>
      </c>
      <c r="Q3470" s="1">
        <v>44380</v>
      </c>
    </row>
    <row r="3471" spans="1:17" x14ac:dyDescent="0.3">
      <c r="A3471" t="s">
        <v>49</v>
      </c>
      <c r="B3471" t="s">
        <v>29</v>
      </c>
      <c r="C3471" t="s">
        <v>23</v>
      </c>
      <c r="D3471" t="s">
        <v>46</v>
      </c>
      <c r="E3471" t="s">
        <v>18</v>
      </c>
      <c r="F3471" s="9">
        <v>0.01</v>
      </c>
      <c r="G3471" s="10">
        <v>7581</v>
      </c>
      <c r="H3471">
        <v>7.97</v>
      </c>
      <c r="I3471" s="5">
        <f>ROUND(Marketing[[#This Row],[Clicks]]*Marketing[[#This Row],[Conversion_Rate]],0)</f>
        <v>8</v>
      </c>
      <c r="J3471" s="12">
        <f>Marketing[[#This Row],[Campaign_Cost]]/Marketing[[#This Row],[Customers]]</f>
        <v>947.625</v>
      </c>
      <c r="K3471" t="s">
        <v>38</v>
      </c>
      <c r="L3471" t="s">
        <v>50</v>
      </c>
      <c r="M3471">
        <v>845</v>
      </c>
      <c r="N3471">
        <v>3041</v>
      </c>
      <c r="O3471">
        <v>8</v>
      </c>
      <c r="P3471" t="s">
        <v>27</v>
      </c>
      <c r="Q3471" s="1">
        <v>44381</v>
      </c>
    </row>
    <row r="3472" spans="1:17" x14ac:dyDescent="0.3">
      <c r="A3472" t="s">
        <v>49</v>
      </c>
      <c r="B3472" t="s">
        <v>47</v>
      </c>
      <c r="C3472" t="s">
        <v>37</v>
      </c>
      <c r="D3472" t="s">
        <v>40</v>
      </c>
      <c r="E3472" t="s">
        <v>41</v>
      </c>
      <c r="F3472" s="9">
        <v>0.14000000000000001</v>
      </c>
      <c r="G3472" s="10">
        <v>19329</v>
      </c>
      <c r="H3472">
        <v>7.85</v>
      </c>
      <c r="I3472" s="5">
        <f>ROUND(Marketing[[#This Row],[Clicks]]*Marketing[[#This Row],[Conversion_Rate]],0)</f>
        <v>42</v>
      </c>
      <c r="J3472" s="12">
        <f>Marketing[[#This Row],[Campaign_Cost]]/Marketing[[#This Row],[Customers]]</f>
        <v>460.21428571428572</v>
      </c>
      <c r="K3472" t="s">
        <v>32</v>
      </c>
      <c r="L3472" t="s">
        <v>26</v>
      </c>
      <c r="M3472">
        <v>300</v>
      </c>
      <c r="N3472">
        <v>8519</v>
      </c>
      <c r="O3472">
        <v>1</v>
      </c>
      <c r="P3472" t="s">
        <v>44</v>
      </c>
      <c r="Q3472" s="1">
        <v>44382</v>
      </c>
    </row>
    <row r="3473" spans="1:17" x14ac:dyDescent="0.3">
      <c r="A3473" t="s">
        <v>28</v>
      </c>
      <c r="B3473" t="s">
        <v>47</v>
      </c>
      <c r="C3473" t="s">
        <v>37</v>
      </c>
      <c r="D3473" t="s">
        <v>17</v>
      </c>
      <c r="E3473" t="s">
        <v>18</v>
      </c>
      <c r="F3473" s="9">
        <v>0.12</v>
      </c>
      <c r="G3473" s="10">
        <v>8016</v>
      </c>
      <c r="H3473">
        <v>6.21</v>
      </c>
      <c r="I3473" s="5">
        <f>ROUND(Marketing[[#This Row],[Clicks]]*Marketing[[#This Row],[Conversion_Rate]],0)</f>
        <v>57</v>
      </c>
      <c r="J3473" s="12">
        <f>Marketing[[#This Row],[Campaign_Cost]]/Marketing[[#This Row],[Customers]]</f>
        <v>140.63157894736841</v>
      </c>
      <c r="K3473" t="s">
        <v>38</v>
      </c>
      <c r="L3473" t="s">
        <v>39</v>
      </c>
      <c r="M3473">
        <v>473</v>
      </c>
      <c r="N3473">
        <v>5835</v>
      </c>
      <c r="O3473">
        <v>7</v>
      </c>
      <c r="P3473" t="s">
        <v>21</v>
      </c>
      <c r="Q3473" s="1">
        <v>44383</v>
      </c>
    </row>
    <row r="3474" spans="1:17" x14ac:dyDescent="0.3">
      <c r="A3474" t="s">
        <v>49</v>
      </c>
      <c r="B3474" t="s">
        <v>47</v>
      </c>
      <c r="C3474" t="s">
        <v>30</v>
      </c>
      <c r="D3474" t="s">
        <v>24</v>
      </c>
      <c r="E3474" t="s">
        <v>48</v>
      </c>
      <c r="F3474" s="9">
        <v>0.1</v>
      </c>
      <c r="G3474" s="10">
        <v>11794</v>
      </c>
      <c r="H3474">
        <v>7.77</v>
      </c>
      <c r="I3474" s="5">
        <f>ROUND(Marketing[[#This Row],[Clicks]]*Marketing[[#This Row],[Conversion_Rate]],0)</f>
        <v>38</v>
      </c>
      <c r="J3474" s="12">
        <f>Marketing[[#This Row],[Campaign_Cost]]/Marketing[[#This Row],[Customers]]</f>
        <v>310.36842105263156</v>
      </c>
      <c r="K3474" t="s">
        <v>32</v>
      </c>
      <c r="L3474" t="s">
        <v>33</v>
      </c>
      <c r="M3474">
        <v>383</v>
      </c>
      <c r="N3474">
        <v>5176</v>
      </c>
      <c r="O3474">
        <v>9</v>
      </c>
      <c r="P3474" t="s">
        <v>27</v>
      </c>
      <c r="Q3474" s="1">
        <v>44384</v>
      </c>
    </row>
    <row r="3475" spans="1:17" x14ac:dyDescent="0.3">
      <c r="A3475" t="s">
        <v>14</v>
      </c>
      <c r="B3475" t="s">
        <v>36</v>
      </c>
      <c r="C3475" t="s">
        <v>23</v>
      </c>
      <c r="D3475" t="s">
        <v>24</v>
      </c>
      <c r="E3475" t="s">
        <v>48</v>
      </c>
      <c r="F3475" s="9">
        <v>0.15</v>
      </c>
      <c r="G3475" s="10">
        <v>15777</v>
      </c>
      <c r="H3475">
        <v>5.65</v>
      </c>
      <c r="I3475" s="5">
        <f>ROUND(Marketing[[#This Row],[Clicks]]*Marketing[[#This Row],[Conversion_Rate]],0)</f>
        <v>17</v>
      </c>
      <c r="J3475" s="12">
        <f>Marketing[[#This Row],[Campaign_Cost]]/Marketing[[#This Row],[Customers]]</f>
        <v>928.05882352941171</v>
      </c>
      <c r="K3475" t="s">
        <v>19</v>
      </c>
      <c r="L3475" t="s">
        <v>33</v>
      </c>
      <c r="M3475">
        <v>116</v>
      </c>
      <c r="N3475">
        <v>9229</v>
      </c>
      <c r="O3475">
        <v>9</v>
      </c>
      <c r="P3475" t="s">
        <v>42</v>
      </c>
      <c r="Q3475" s="1">
        <v>44385</v>
      </c>
    </row>
    <row r="3476" spans="1:17" x14ac:dyDescent="0.3">
      <c r="A3476" t="s">
        <v>49</v>
      </c>
      <c r="B3476" t="s">
        <v>47</v>
      </c>
      <c r="C3476" t="s">
        <v>30</v>
      </c>
      <c r="D3476" t="s">
        <v>40</v>
      </c>
      <c r="E3476" t="s">
        <v>41</v>
      </c>
      <c r="F3476" s="9">
        <v>0.01</v>
      </c>
      <c r="G3476" s="10">
        <v>13152</v>
      </c>
      <c r="H3476">
        <v>5.0599999999999996</v>
      </c>
      <c r="I3476" s="5">
        <f>ROUND(Marketing[[#This Row],[Clicks]]*Marketing[[#This Row],[Conversion_Rate]],0)</f>
        <v>5</v>
      </c>
      <c r="J3476" s="12">
        <f>Marketing[[#This Row],[Campaign_Cost]]/Marketing[[#This Row],[Customers]]</f>
        <v>2630.4</v>
      </c>
      <c r="K3476" t="s">
        <v>19</v>
      </c>
      <c r="L3476" t="s">
        <v>26</v>
      </c>
      <c r="M3476">
        <v>546</v>
      </c>
      <c r="N3476">
        <v>3746</v>
      </c>
      <c r="O3476">
        <v>4</v>
      </c>
      <c r="P3476" t="s">
        <v>27</v>
      </c>
      <c r="Q3476" s="1">
        <v>44386</v>
      </c>
    </row>
    <row r="3477" spans="1:17" x14ac:dyDescent="0.3">
      <c r="A3477" t="s">
        <v>22</v>
      </c>
      <c r="B3477" t="s">
        <v>15</v>
      </c>
      <c r="C3477" t="s">
        <v>30</v>
      </c>
      <c r="D3477" t="s">
        <v>46</v>
      </c>
      <c r="E3477" t="s">
        <v>31</v>
      </c>
      <c r="F3477" s="9">
        <v>0.01</v>
      </c>
      <c r="G3477" s="10">
        <v>17657</v>
      </c>
      <c r="H3477">
        <v>5.59</v>
      </c>
      <c r="I3477" s="5">
        <f>ROUND(Marketing[[#This Row],[Clicks]]*Marketing[[#This Row],[Conversion_Rate]],0)</f>
        <v>5</v>
      </c>
      <c r="J3477" s="12">
        <f>Marketing[[#This Row],[Campaign_Cost]]/Marketing[[#This Row],[Customers]]</f>
        <v>3531.4</v>
      </c>
      <c r="K3477" t="s">
        <v>32</v>
      </c>
      <c r="L3477" t="s">
        <v>39</v>
      </c>
      <c r="M3477">
        <v>479</v>
      </c>
      <c r="N3477">
        <v>5169</v>
      </c>
      <c r="O3477">
        <v>3</v>
      </c>
      <c r="P3477" t="s">
        <v>34</v>
      </c>
      <c r="Q3477" s="1">
        <v>44387</v>
      </c>
    </row>
    <row r="3478" spans="1:17" x14ac:dyDescent="0.3">
      <c r="A3478" t="s">
        <v>28</v>
      </c>
      <c r="B3478" t="s">
        <v>36</v>
      </c>
      <c r="C3478" t="s">
        <v>30</v>
      </c>
      <c r="D3478" t="s">
        <v>46</v>
      </c>
      <c r="E3478" t="s">
        <v>15</v>
      </c>
      <c r="F3478" s="9">
        <v>0.14000000000000001</v>
      </c>
      <c r="G3478" s="10">
        <v>13017</v>
      </c>
      <c r="H3478">
        <v>5.99</v>
      </c>
      <c r="I3478" s="5">
        <f>ROUND(Marketing[[#This Row],[Clicks]]*Marketing[[#This Row],[Conversion_Rate]],0)</f>
        <v>98</v>
      </c>
      <c r="J3478" s="12">
        <f>Marketing[[#This Row],[Campaign_Cost]]/Marketing[[#This Row],[Customers]]</f>
        <v>132.82653061224491</v>
      </c>
      <c r="K3478" t="s">
        <v>19</v>
      </c>
      <c r="L3478" t="s">
        <v>26</v>
      </c>
      <c r="M3478">
        <v>700</v>
      </c>
      <c r="N3478">
        <v>1640</v>
      </c>
      <c r="O3478">
        <v>9</v>
      </c>
      <c r="P3478" t="s">
        <v>34</v>
      </c>
      <c r="Q3478" s="1">
        <v>44388</v>
      </c>
    </row>
    <row r="3479" spans="1:17" x14ac:dyDescent="0.3">
      <c r="A3479" t="s">
        <v>14</v>
      </c>
      <c r="B3479" t="s">
        <v>15</v>
      </c>
      <c r="C3479" t="s">
        <v>23</v>
      </c>
      <c r="D3479" t="s">
        <v>17</v>
      </c>
      <c r="E3479" t="s">
        <v>43</v>
      </c>
      <c r="F3479" s="9">
        <v>0.1</v>
      </c>
      <c r="G3479" s="10">
        <v>8913</v>
      </c>
      <c r="H3479">
        <v>6.15</v>
      </c>
      <c r="I3479" s="5">
        <f>ROUND(Marketing[[#This Row],[Clicks]]*Marketing[[#This Row],[Conversion_Rate]],0)</f>
        <v>25</v>
      </c>
      <c r="J3479" s="12">
        <f>Marketing[[#This Row],[Campaign_Cost]]/Marketing[[#This Row],[Customers]]</f>
        <v>356.52</v>
      </c>
      <c r="K3479" t="s">
        <v>38</v>
      </c>
      <c r="L3479" t="s">
        <v>50</v>
      </c>
      <c r="M3479">
        <v>254</v>
      </c>
      <c r="N3479">
        <v>6718</v>
      </c>
      <c r="O3479">
        <v>3</v>
      </c>
      <c r="P3479" t="s">
        <v>27</v>
      </c>
      <c r="Q3479" s="1">
        <v>44389</v>
      </c>
    </row>
    <row r="3480" spans="1:17" x14ac:dyDescent="0.3">
      <c r="A3480" t="s">
        <v>49</v>
      </c>
      <c r="B3480" t="s">
        <v>29</v>
      </c>
      <c r="C3480" t="s">
        <v>30</v>
      </c>
      <c r="D3480" t="s">
        <v>46</v>
      </c>
      <c r="E3480" t="s">
        <v>43</v>
      </c>
      <c r="F3480" s="9">
        <v>0.06</v>
      </c>
      <c r="G3480" s="10">
        <v>17745</v>
      </c>
      <c r="H3480">
        <v>2.1</v>
      </c>
      <c r="I3480" s="5">
        <f>ROUND(Marketing[[#This Row],[Clicks]]*Marketing[[#This Row],[Conversion_Rate]],0)</f>
        <v>45</v>
      </c>
      <c r="J3480" s="12">
        <f>Marketing[[#This Row],[Campaign_Cost]]/Marketing[[#This Row],[Customers]]</f>
        <v>394.33333333333331</v>
      </c>
      <c r="K3480" t="s">
        <v>51</v>
      </c>
      <c r="L3480" t="s">
        <v>39</v>
      </c>
      <c r="M3480">
        <v>753</v>
      </c>
      <c r="N3480">
        <v>9893</v>
      </c>
      <c r="O3480">
        <v>10</v>
      </c>
      <c r="P3480" t="s">
        <v>44</v>
      </c>
      <c r="Q3480" s="1">
        <v>44390</v>
      </c>
    </row>
    <row r="3481" spans="1:17" x14ac:dyDescent="0.3">
      <c r="A3481" t="s">
        <v>35</v>
      </c>
      <c r="B3481" t="s">
        <v>29</v>
      </c>
      <c r="C3481" t="s">
        <v>37</v>
      </c>
      <c r="D3481" t="s">
        <v>24</v>
      </c>
      <c r="E3481" t="s">
        <v>41</v>
      </c>
      <c r="F3481" s="9">
        <v>0.04</v>
      </c>
      <c r="G3481" s="10">
        <v>13236</v>
      </c>
      <c r="H3481">
        <v>5.78</v>
      </c>
      <c r="I3481" s="5">
        <f>ROUND(Marketing[[#This Row],[Clicks]]*Marketing[[#This Row],[Conversion_Rate]],0)</f>
        <v>29</v>
      </c>
      <c r="J3481" s="12">
        <f>Marketing[[#This Row],[Campaign_Cost]]/Marketing[[#This Row],[Customers]]</f>
        <v>456.41379310344826</v>
      </c>
      <c r="K3481" t="s">
        <v>51</v>
      </c>
      <c r="L3481" t="s">
        <v>20</v>
      </c>
      <c r="M3481">
        <v>724</v>
      </c>
      <c r="N3481">
        <v>1458</v>
      </c>
      <c r="O3481">
        <v>7</v>
      </c>
      <c r="P3481" t="s">
        <v>34</v>
      </c>
      <c r="Q3481" s="1">
        <v>44391</v>
      </c>
    </row>
    <row r="3482" spans="1:17" x14ac:dyDescent="0.3">
      <c r="A3482" t="s">
        <v>35</v>
      </c>
      <c r="B3482" t="s">
        <v>29</v>
      </c>
      <c r="C3482" t="s">
        <v>37</v>
      </c>
      <c r="D3482" t="s">
        <v>17</v>
      </c>
      <c r="E3482" t="s">
        <v>18</v>
      </c>
      <c r="F3482" s="9">
        <v>0.15</v>
      </c>
      <c r="G3482" s="10">
        <v>13158</v>
      </c>
      <c r="H3482">
        <v>7.36</v>
      </c>
      <c r="I3482" s="5">
        <f>ROUND(Marketing[[#This Row],[Clicks]]*Marketing[[#This Row],[Conversion_Rate]],0)</f>
        <v>33</v>
      </c>
      <c r="J3482" s="12">
        <f>Marketing[[#This Row],[Campaign_Cost]]/Marketing[[#This Row],[Customers]]</f>
        <v>398.72727272727275</v>
      </c>
      <c r="K3482" t="s">
        <v>32</v>
      </c>
      <c r="L3482" t="s">
        <v>39</v>
      </c>
      <c r="M3482">
        <v>220</v>
      </c>
      <c r="N3482">
        <v>8714</v>
      </c>
      <c r="O3482">
        <v>10</v>
      </c>
      <c r="P3482" t="s">
        <v>27</v>
      </c>
      <c r="Q3482" s="1">
        <v>44392</v>
      </c>
    </row>
    <row r="3483" spans="1:17" x14ac:dyDescent="0.3">
      <c r="A3483" t="s">
        <v>35</v>
      </c>
      <c r="B3483" t="s">
        <v>36</v>
      </c>
      <c r="C3483" t="s">
        <v>30</v>
      </c>
      <c r="D3483" t="s">
        <v>24</v>
      </c>
      <c r="E3483" t="s">
        <v>41</v>
      </c>
      <c r="F3483" s="9">
        <v>7.0000000000000007E-2</v>
      </c>
      <c r="G3483" s="10">
        <v>6139</v>
      </c>
      <c r="H3483">
        <v>2.04</v>
      </c>
      <c r="I3483" s="5">
        <f>ROUND(Marketing[[#This Row],[Clicks]]*Marketing[[#This Row],[Conversion_Rate]],0)</f>
        <v>46</v>
      </c>
      <c r="J3483" s="12">
        <f>Marketing[[#This Row],[Campaign_Cost]]/Marketing[[#This Row],[Customers]]</f>
        <v>133.45652173913044</v>
      </c>
      <c r="K3483" t="s">
        <v>19</v>
      </c>
      <c r="L3483" t="s">
        <v>39</v>
      </c>
      <c r="M3483">
        <v>650</v>
      </c>
      <c r="N3483">
        <v>2452</v>
      </c>
      <c r="O3483">
        <v>4</v>
      </c>
      <c r="P3483" t="s">
        <v>21</v>
      </c>
      <c r="Q3483" s="1">
        <v>44393</v>
      </c>
    </row>
    <row r="3484" spans="1:17" x14ac:dyDescent="0.3">
      <c r="A3484" t="s">
        <v>49</v>
      </c>
      <c r="B3484" t="s">
        <v>47</v>
      </c>
      <c r="C3484" t="s">
        <v>16</v>
      </c>
      <c r="D3484" t="s">
        <v>17</v>
      </c>
      <c r="E3484" t="s">
        <v>31</v>
      </c>
      <c r="F3484" s="9">
        <v>0.1</v>
      </c>
      <c r="G3484" s="10">
        <v>17435</v>
      </c>
      <c r="H3484">
        <v>7.7</v>
      </c>
      <c r="I3484" s="5">
        <f>ROUND(Marketing[[#This Row],[Clicks]]*Marketing[[#This Row],[Conversion_Rate]],0)</f>
        <v>35</v>
      </c>
      <c r="J3484" s="12">
        <f>Marketing[[#This Row],[Campaign_Cost]]/Marketing[[#This Row],[Customers]]</f>
        <v>498.14285714285717</v>
      </c>
      <c r="K3484" t="s">
        <v>51</v>
      </c>
      <c r="L3484" t="s">
        <v>50</v>
      </c>
      <c r="M3484">
        <v>354</v>
      </c>
      <c r="N3484">
        <v>3271</v>
      </c>
      <c r="O3484">
        <v>2</v>
      </c>
      <c r="P3484" t="s">
        <v>27</v>
      </c>
      <c r="Q3484" s="1">
        <v>44394</v>
      </c>
    </row>
    <row r="3485" spans="1:17" x14ac:dyDescent="0.3">
      <c r="A3485" t="s">
        <v>28</v>
      </c>
      <c r="B3485" t="s">
        <v>45</v>
      </c>
      <c r="C3485" t="s">
        <v>16</v>
      </c>
      <c r="D3485" t="s">
        <v>17</v>
      </c>
      <c r="E3485" t="s">
        <v>48</v>
      </c>
      <c r="F3485" s="9">
        <v>0.02</v>
      </c>
      <c r="G3485" s="10">
        <v>10383</v>
      </c>
      <c r="H3485">
        <v>7.76</v>
      </c>
      <c r="I3485" s="5">
        <f>ROUND(Marketing[[#This Row],[Clicks]]*Marketing[[#This Row],[Conversion_Rate]],0)</f>
        <v>14</v>
      </c>
      <c r="J3485" s="12">
        <f>Marketing[[#This Row],[Campaign_Cost]]/Marketing[[#This Row],[Customers]]</f>
        <v>741.64285714285711</v>
      </c>
      <c r="K3485" t="s">
        <v>32</v>
      </c>
      <c r="L3485" t="s">
        <v>33</v>
      </c>
      <c r="M3485">
        <v>711</v>
      </c>
      <c r="N3485">
        <v>9490</v>
      </c>
      <c r="O3485">
        <v>9</v>
      </c>
      <c r="P3485" t="s">
        <v>27</v>
      </c>
      <c r="Q3485" s="1">
        <v>44395</v>
      </c>
    </row>
    <row r="3486" spans="1:17" x14ac:dyDescent="0.3">
      <c r="A3486" t="s">
        <v>35</v>
      </c>
      <c r="B3486" t="s">
        <v>45</v>
      </c>
      <c r="C3486" t="s">
        <v>30</v>
      </c>
      <c r="D3486" t="s">
        <v>40</v>
      </c>
      <c r="E3486" t="s">
        <v>18</v>
      </c>
      <c r="F3486" s="9">
        <v>7.0000000000000007E-2</v>
      </c>
      <c r="G3486" s="10">
        <v>12742</v>
      </c>
      <c r="H3486">
        <v>2.5499999999999998</v>
      </c>
      <c r="I3486" s="5">
        <f>ROUND(Marketing[[#This Row],[Clicks]]*Marketing[[#This Row],[Conversion_Rate]],0)</f>
        <v>32</v>
      </c>
      <c r="J3486" s="12">
        <f>Marketing[[#This Row],[Campaign_Cost]]/Marketing[[#This Row],[Customers]]</f>
        <v>398.1875</v>
      </c>
      <c r="K3486" t="s">
        <v>25</v>
      </c>
      <c r="L3486" t="s">
        <v>26</v>
      </c>
      <c r="M3486">
        <v>453</v>
      </c>
      <c r="N3486">
        <v>2024</v>
      </c>
      <c r="O3486">
        <v>9</v>
      </c>
      <c r="P3486" t="s">
        <v>44</v>
      </c>
      <c r="Q3486" s="1">
        <v>44396</v>
      </c>
    </row>
    <row r="3487" spans="1:17" x14ac:dyDescent="0.3">
      <c r="A3487" t="s">
        <v>22</v>
      </c>
      <c r="B3487" t="s">
        <v>36</v>
      </c>
      <c r="C3487" t="s">
        <v>30</v>
      </c>
      <c r="D3487" t="s">
        <v>46</v>
      </c>
      <c r="E3487" t="s">
        <v>31</v>
      </c>
      <c r="F3487" s="9">
        <v>7.0000000000000007E-2</v>
      </c>
      <c r="G3487" s="10">
        <v>17154</v>
      </c>
      <c r="H3487">
        <v>5.98</v>
      </c>
      <c r="I3487" s="5">
        <f>ROUND(Marketing[[#This Row],[Clicks]]*Marketing[[#This Row],[Conversion_Rate]],0)</f>
        <v>48</v>
      </c>
      <c r="J3487" s="12">
        <f>Marketing[[#This Row],[Campaign_Cost]]/Marketing[[#This Row],[Customers]]</f>
        <v>357.375</v>
      </c>
      <c r="K3487" t="s">
        <v>38</v>
      </c>
      <c r="L3487" t="s">
        <v>26</v>
      </c>
      <c r="M3487">
        <v>682</v>
      </c>
      <c r="N3487">
        <v>8716</v>
      </c>
      <c r="O3487">
        <v>8</v>
      </c>
      <c r="P3487" t="s">
        <v>27</v>
      </c>
      <c r="Q3487" s="1">
        <v>44397</v>
      </c>
    </row>
    <row r="3488" spans="1:17" x14ac:dyDescent="0.3">
      <c r="A3488" t="s">
        <v>49</v>
      </c>
      <c r="B3488" t="s">
        <v>36</v>
      </c>
      <c r="C3488" t="s">
        <v>30</v>
      </c>
      <c r="D3488" t="s">
        <v>40</v>
      </c>
      <c r="E3488" t="s">
        <v>31</v>
      </c>
      <c r="F3488" s="9">
        <v>0.06</v>
      </c>
      <c r="G3488" s="10">
        <v>10258</v>
      </c>
      <c r="H3488">
        <v>6.98</v>
      </c>
      <c r="I3488" s="5">
        <f>ROUND(Marketing[[#This Row],[Clicks]]*Marketing[[#This Row],[Conversion_Rate]],0)</f>
        <v>57</v>
      </c>
      <c r="J3488" s="12">
        <f>Marketing[[#This Row],[Campaign_Cost]]/Marketing[[#This Row],[Customers]]</f>
        <v>179.96491228070175</v>
      </c>
      <c r="K3488" t="s">
        <v>19</v>
      </c>
      <c r="L3488" t="s">
        <v>33</v>
      </c>
      <c r="M3488">
        <v>947</v>
      </c>
      <c r="N3488">
        <v>5879</v>
      </c>
      <c r="O3488">
        <v>2</v>
      </c>
      <c r="P3488" t="s">
        <v>27</v>
      </c>
      <c r="Q3488" s="1">
        <v>44398</v>
      </c>
    </row>
    <row r="3489" spans="1:17" x14ac:dyDescent="0.3">
      <c r="A3489" t="s">
        <v>35</v>
      </c>
      <c r="B3489" t="s">
        <v>47</v>
      </c>
      <c r="C3489" t="s">
        <v>37</v>
      </c>
      <c r="D3489" t="s">
        <v>24</v>
      </c>
      <c r="E3489" t="s">
        <v>43</v>
      </c>
      <c r="F3489" s="9">
        <v>0.02</v>
      </c>
      <c r="G3489" s="10">
        <v>18158</v>
      </c>
      <c r="H3489">
        <v>2.13</v>
      </c>
      <c r="I3489" s="5">
        <f>ROUND(Marketing[[#This Row],[Clicks]]*Marketing[[#This Row],[Conversion_Rate]],0)</f>
        <v>9</v>
      </c>
      <c r="J3489" s="12">
        <f>Marketing[[#This Row],[Campaign_Cost]]/Marketing[[#This Row],[Customers]]</f>
        <v>2017.5555555555557</v>
      </c>
      <c r="K3489" t="s">
        <v>38</v>
      </c>
      <c r="L3489" t="s">
        <v>26</v>
      </c>
      <c r="M3489">
        <v>445</v>
      </c>
      <c r="N3489">
        <v>4287</v>
      </c>
      <c r="O3489">
        <v>3</v>
      </c>
      <c r="P3489" t="s">
        <v>21</v>
      </c>
      <c r="Q3489" s="1">
        <v>44399</v>
      </c>
    </row>
    <row r="3490" spans="1:17" x14ac:dyDescent="0.3">
      <c r="A3490" t="s">
        <v>28</v>
      </c>
      <c r="B3490" t="s">
        <v>47</v>
      </c>
      <c r="C3490" t="s">
        <v>30</v>
      </c>
      <c r="D3490" t="s">
        <v>40</v>
      </c>
      <c r="E3490" t="s">
        <v>15</v>
      </c>
      <c r="F3490" s="9">
        <v>0.06</v>
      </c>
      <c r="G3490" s="10">
        <v>11359</v>
      </c>
      <c r="H3490">
        <v>4.76</v>
      </c>
      <c r="I3490" s="5">
        <f>ROUND(Marketing[[#This Row],[Clicks]]*Marketing[[#This Row],[Conversion_Rate]],0)</f>
        <v>46</v>
      </c>
      <c r="J3490" s="12">
        <f>Marketing[[#This Row],[Campaign_Cost]]/Marketing[[#This Row],[Customers]]</f>
        <v>246.93478260869566</v>
      </c>
      <c r="K3490" t="s">
        <v>51</v>
      </c>
      <c r="L3490" t="s">
        <v>39</v>
      </c>
      <c r="M3490">
        <v>770</v>
      </c>
      <c r="N3490">
        <v>5846</v>
      </c>
      <c r="O3490">
        <v>1</v>
      </c>
      <c r="P3490" t="s">
        <v>44</v>
      </c>
      <c r="Q3490" s="1">
        <v>44400</v>
      </c>
    </row>
    <row r="3491" spans="1:17" x14ac:dyDescent="0.3">
      <c r="A3491" t="s">
        <v>49</v>
      </c>
      <c r="B3491" t="s">
        <v>47</v>
      </c>
      <c r="C3491" t="s">
        <v>37</v>
      </c>
      <c r="D3491" t="s">
        <v>17</v>
      </c>
      <c r="E3491" t="s">
        <v>43</v>
      </c>
      <c r="F3491" s="9">
        <v>0.01</v>
      </c>
      <c r="G3491" s="10">
        <v>15889</v>
      </c>
      <c r="H3491">
        <v>2.4</v>
      </c>
      <c r="I3491" s="5">
        <f>ROUND(Marketing[[#This Row],[Clicks]]*Marketing[[#This Row],[Conversion_Rate]],0)</f>
        <v>6</v>
      </c>
      <c r="J3491" s="12">
        <f>Marketing[[#This Row],[Campaign_Cost]]/Marketing[[#This Row],[Customers]]</f>
        <v>2648.1666666666665</v>
      </c>
      <c r="K3491" t="s">
        <v>32</v>
      </c>
      <c r="L3491" t="s">
        <v>39</v>
      </c>
      <c r="M3491">
        <v>557</v>
      </c>
      <c r="N3491">
        <v>9375</v>
      </c>
      <c r="O3491">
        <v>9</v>
      </c>
      <c r="P3491" t="s">
        <v>21</v>
      </c>
      <c r="Q3491" s="1">
        <v>44401</v>
      </c>
    </row>
    <row r="3492" spans="1:17" x14ac:dyDescent="0.3">
      <c r="A3492" t="s">
        <v>14</v>
      </c>
      <c r="B3492" t="s">
        <v>29</v>
      </c>
      <c r="C3492" t="s">
        <v>30</v>
      </c>
      <c r="D3492" t="s">
        <v>40</v>
      </c>
      <c r="E3492" t="s">
        <v>15</v>
      </c>
      <c r="F3492" s="9">
        <v>0.02</v>
      </c>
      <c r="G3492" s="10">
        <v>7028</v>
      </c>
      <c r="H3492">
        <v>6.59</v>
      </c>
      <c r="I3492" s="5">
        <f>ROUND(Marketing[[#This Row],[Clicks]]*Marketing[[#This Row],[Conversion_Rate]],0)</f>
        <v>16</v>
      </c>
      <c r="J3492" s="12">
        <f>Marketing[[#This Row],[Campaign_Cost]]/Marketing[[#This Row],[Customers]]</f>
        <v>439.25</v>
      </c>
      <c r="K3492" t="s">
        <v>38</v>
      </c>
      <c r="L3492" t="s">
        <v>20</v>
      </c>
      <c r="M3492">
        <v>802</v>
      </c>
      <c r="N3492">
        <v>8768</v>
      </c>
      <c r="O3492">
        <v>7</v>
      </c>
      <c r="P3492" t="s">
        <v>42</v>
      </c>
      <c r="Q3492" s="1">
        <v>44402</v>
      </c>
    </row>
    <row r="3493" spans="1:17" x14ac:dyDescent="0.3">
      <c r="A3493" t="s">
        <v>49</v>
      </c>
      <c r="B3493" t="s">
        <v>15</v>
      </c>
      <c r="C3493" t="s">
        <v>16</v>
      </c>
      <c r="D3493" t="s">
        <v>40</v>
      </c>
      <c r="E3493" t="s">
        <v>41</v>
      </c>
      <c r="F3493" s="9">
        <v>0.08</v>
      </c>
      <c r="G3493" s="10">
        <v>15089</v>
      </c>
      <c r="H3493">
        <v>7.9</v>
      </c>
      <c r="I3493" s="5">
        <f>ROUND(Marketing[[#This Row],[Clicks]]*Marketing[[#This Row],[Conversion_Rate]],0)</f>
        <v>67</v>
      </c>
      <c r="J3493" s="12">
        <f>Marketing[[#This Row],[Campaign_Cost]]/Marketing[[#This Row],[Customers]]</f>
        <v>225.20895522388059</v>
      </c>
      <c r="K3493" t="s">
        <v>19</v>
      </c>
      <c r="L3493" t="s">
        <v>33</v>
      </c>
      <c r="M3493">
        <v>833</v>
      </c>
      <c r="N3493">
        <v>8262</v>
      </c>
      <c r="O3493">
        <v>6</v>
      </c>
      <c r="P3493" t="s">
        <v>42</v>
      </c>
      <c r="Q3493" s="1">
        <v>44403</v>
      </c>
    </row>
    <row r="3494" spans="1:17" x14ac:dyDescent="0.3">
      <c r="A3494" t="s">
        <v>22</v>
      </c>
      <c r="B3494" t="s">
        <v>29</v>
      </c>
      <c r="C3494" t="s">
        <v>23</v>
      </c>
      <c r="D3494" t="s">
        <v>46</v>
      </c>
      <c r="E3494" t="s">
        <v>48</v>
      </c>
      <c r="F3494" s="9">
        <v>0.04</v>
      </c>
      <c r="G3494" s="10">
        <v>6085</v>
      </c>
      <c r="H3494">
        <v>2.59</v>
      </c>
      <c r="I3494" s="5">
        <f>ROUND(Marketing[[#This Row],[Clicks]]*Marketing[[#This Row],[Conversion_Rate]],0)</f>
        <v>25</v>
      </c>
      <c r="J3494" s="12">
        <f>Marketing[[#This Row],[Campaign_Cost]]/Marketing[[#This Row],[Customers]]</f>
        <v>243.4</v>
      </c>
      <c r="K3494" t="s">
        <v>51</v>
      </c>
      <c r="L3494" t="s">
        <v>39</v>
      </c>
      <c r="M3494">
        <v>613</v>
      </c>
      <c r="N3494">
        <v>1525</v>
      </c>
      <c r="O3494">
        <v>7</v>
      </c>
      <c r="P3494" t="s">
        <v>27</v>
      </c>
      <c r="Q3494" s="1">
        <v>44404</v>
      </c>
    </row>
    <row r="3495" spans="1:17" x14ac:dyDescent="0.3">
      <c r="A3495" t="s">
        <v>28</v>
      </c>
      <c r="B3495" t="s">
        <v>15</v>
      </c>
      <c r="C3495" t="s">
        <v>37</v>
      </c>
      <c r="D3495" t="s">
        <v>46</v>
      </c>
      <c r="E3495" t="s">
        <v>48</v>
      </c>
      <c r="F3495" s="9">
        <v>0.02</v>
      </c>
      <c r="G3495" s="10">
        <v>10907</v>
      </c>
      <c r="H3495">
        <v>4.12</v>
      </c>
      <c r="I3495" s="5">
        <f>ROUND(Marketing[[#This Row],[Clicks]]*Marketing[[#This Row],[Conversion_Rate]],0)</f>
        <v>18</v>
      </c>
      <c r="J3495" s="12">
        <f>Marketing[[#This Row],[Campaign_Cost]]/Marketing[[#This Row],[Customers]]</f>
        <v>605.94444444444446</v>
      </c>
      <c r="K3495" t="s">
        <v>19</v>
      </c>
      <c r="L3495" t="s">
        <v>33</v>
      </c>
      <c r="M3495">
        <v>883</v>
      </c>
      <c r="N3495">
        <v>6481</v>
      </c>
      <c r="O3495">
        <v>8</v>
      </c>
      <c r="P3495" t="s">
        <v>27</v>
      </c>
      <c r="Q3495" s="1">
        <v>44405</v>
      </c>
    </row>
    <row r="3496" spans="1:17" x14ac:dyDescent="0.3">
      <c r="A3496" t="s">
        <v>22</v>
      </c>
      <c r="B3496" t="s">
        <v>47</v>
      </c>
      <c r="C3496" t="s">
        <v>52</v>
      </c>
      <c r="D3496" t="s">
        <v>46</v>
      </c>
      <c r="E3496" t="s">
        <v>18</v>
      </c>
      <c r="F3496" s="9">
        <v>0.04</v>
      </c>
      <c r="G3496" s="10">
        <v>9862</v>
      </c>
      <c r="H3496">
        <v>3.45</v>
      </c>
      <c r="I3496" s="5">
        <f>ROUND(Marketing[[#This Row],[Clicks]]*Marketing[[#This Row],[Conversion_Rate]],0)</f>
        <v>8</v>
      </c>
      <c r="J3496" s="12">
        <f>Marketing[[#This Row],[Campaign_Cost]]/Marketing[[#This Row],[Customers]]</f>
        <v>1232.75</v>
      </c>
      <c r="K3496" t="s">
        <v>38</v>
      </c>
      <c r="L3496" t="s">
        <v>33</v>
      </c>
      <c r="M3496">
        <v>190</v>
      </c>
      <c r="N3496">
        <v>4700</v>
      </c>
      <c r="O3496">
        <v>1</v>
      </c>
      <c r="P3496" t="s">
        <v>34</v>
      </c>
      <c r="Q3496" s="1">
        <v>44406</v>
      </c>
    </row>
    <row r="3497" spans="1:17" x14ac:dyDescent="0.3">
      <c r="A3497" t="s">
        <v>35</v>
      </c>
      <c r="B3497" t="s">
        <v>36</v>
      </c>
      <c r="C3497" t="s">
        <v>30</v>
      </c>
      <c r="D3497" t="s">
        <v>24</v>
      </c>
      <c r="E3497" t="s">
        <v>43</v>
      </c>
      <c r="F3497" s="9">
        <v>0.08</v>
      </c>
      <c r="G3497" s="10">
        <v>10918</v>
      </c>
      <c r="H3497">
        <v>6.19</v>
      </c>
      <c r="I3497" s="5">
        <f>ROUND(Marketing[[#This Row],[Clicks]]*Marketing[[#This Row],[Conversion_Rate]],0)</f>
        <v>26</v>
      </c>
      <c r="J3497" s="12">
        <f>Marketing[[#This Row],[Campaign_Cost]]/Marketing[[#This Row],[Customers]]</f>
        <v>419.92307692307691</v>
      </c>
      <c r="K3497" t="s">
        <v>32</v>
      </c>
      <c r="L3497" t="s">
        <v>26</v>
      </c>
      <c r="M3497">
        <v>325</v>
      </c>
      <c r="N3497">
        <v>2307</v>
      </c>
      <c r="O3497">
        <v>8</v>
      </c>
      <c r="P3497" t="s">
        <v>42</v>
      </c>
      <c r="Q3497" s="1">
        <v>44407</v>
      </c>
    </row>
    <row r="3498" spans="1:17" x14ac:dyDescent="0.3">
      <c r="A3498" t="s">
        <v>28</v>
      </c>
      <c r="B3498" t="s">
        <v>15</v>
      </c>
      <c r="C3498" t="s">
        <v>37</v>
      </c>
      <c r="D3498" t="s">
        <v>46</v>
      </c>
      <c r="E3498" t="s">
        <v>15</v>
      </c>
      <c r="F3498" s="9">
        <v>0.02</v>
      </c>
      <c r="G3498" s="10">
        <v>7083</v>
      </c>
      <c r="H3498">
        <v>2.46</v>
      </c>
      <c r="I3498" s="5">
        <f>ROUND(Marketing[[#This Row],[Clicks]]*Marketing[[#This Row],[Conversion_Rate]],0)</f>
        <v>17</v>
      </c>
      <c r="J3498" s="12">
        <f>Marketing[[#This Row],[Campaign_Cost]]/Marketing[[#This Row],[Customers]]</f>
        <v>416.64705882352939</v>
      </c>
      <c r="K3498" t="s">
        <v>19</v>
      </c>
      <c r="L3498" t="s">
        <v>39</v>
      </c>
      <c r="M3498">
        <v>864</v>
      </c>
      <c r="N3498">
        <v>6767</v>
      </c>
      <c r="O3498">
        <v>6</v>
      </c>
      <c r="P3498" t="s">
        <v>42</v>
      </c>
      <c r="Q3498" s="1">
        <v>44408</v>
      </c>
    </row>
    <row r="3499" spans="1:17" x14ac:dyDescent="0.3">
      <c r="A3499" t="s">
        <v>49</v>
      </c>
      <c r="B3499" t="s">
        <v>15</v>
      </c>
      <c r="C3499" t="s">
        <v>23</v>
      </c>
      <c r="D3499" t="s">
        <v>24</v>
      </c>
      <c r="E3499" t="s">
        <v>41</v>
      </c>
      <c r="F3499" s="9">
        <v>0.01</v>
      </c>
      <c r="G3499" s="10">
        <v>5641</v>
      </c>
      <c r="H3499">
        <v>4.74</v>
      </c>
      <c r="I3499" s="5">
        <f>ROUND(Marketing[[#This Row],[Clicks]]*Marketing[[#This Row],[Conversion_Rate]],0)</f>
        <v>6</v>
      </c>
      <c r="J3499" s="12">
        <f>Marketing[[#This Row],[Campaign_Cost]]/Marketing[[#This Row],[Customers]]</f>
        <v>940.16666666666663</v>
      </c>
      <c r="K3499" t="s">
        <v>32</v>
      </c>
      <c r="L3499" t="s">
        <v>39</v>
      </c>
      <c r="M3499">
        <v>629</v>
      </c>
      <c r="N3499">
        <v>8721</v>
      </c>
      <c r="O3499">
        <v>7</v>
      </c>
      <c r="P3499" t="s">
        <v>21</v>
      </c>
      <c r="Q3499" s="1">
        <v>44409</v>
      </c>
    </row>
    <row r="3500" spans="1:17" x14ac:dyDescent="0.3">
      <c r="A3500" t="s">
        <v>28</v>
      </c>
      <c r="B3500" t="s">
        <v>45</v>
      </c>
      <c r="C3500" t="s">
        <v>30</v>
      </c>
      <c r="D3500" t="s">
        <v>17</v>
      </c>
      <c r="E3500" t="s">
        <v>31</v>
      </c>
      <c r="F3500" s="9">
        <v>0.03</v>
      </c>
      <c r="G3500" s="10">
        <v>16072</v>
      </c>
      <c r="H3500">
        <v>4.67</v>
      </c>
      <c r="I3500" s="5">
        <f>ROUND(Marketing[[#This Row],[Clicks]]*Marketing[[#This Row],[Conversion_Rate]],0)</f>
        <v>21</v>
      </c>
      <c r="J3500" s="12">
        <f>Marketing[[#This Row],[Campaign_Cost]]/Marketing[[#This Row],[Customers]]</f>
        <v>765.33333333333337</v>
      </c>
      <c r="K3500" t="s">
        <v>25</v>
      </c>
      <c r="L3500" t="s">
        <v>20</v>
      </c>
      <c r="M3500">
        <v>686</v>
      </c>
      <c r="N3500">
        <v>2877</v>
      </c>
      <c r="O3500">
        <v>6</v>
      </c>
      <c r="P3500" t="s">
        <v>42</v>
      </c>
      <c r="Q3500" s="1">
        <v>44410</v>
      </c>
    </row>
    <row r="3501" spans="1:17" x14ac:dyDescent="0.3">
      <c r="A3501" t="s">
        <v>49</v>
      </c>
      <c r="B3501" t="s">
        <v>15</v>
      </c>
      <c r="C3501" t="s">
        <v>23</v>
      </c>
      <c r="D3501" t="s">
        <v>24</v>
      </c>
      <c r="E3501" t="s">
        <v>18</v>
      </c>
      <c r="F3501" s="9">
        <v>0.03</v>
      </c>
      <c r="G3501" s="10">
        <v>13893</v>
      </c>
      <c r="H3501">
        <v>3.2</v>
      </c>
      <c r="I3501" s="5">
        <f>ROUND(Marketing[[#This Row],[Clicks]]*Marketing[[#This Row],[Conversion_Rate]],0)</f>
        <v>22</v>
      </c>
      <c r="J3501" s="12">
        <f>Marketing[[#This Row],[Campaign_Cost]]/Marketing[[#This Row],[Customers]]</f>
        <v>631.5</v>
      </c>
      <c r="K3501" t="s">
        <v>25</v>
      </c>
      <c r="L3501" t="s">
        <v>50</v>
      </c>
      <c r="M3501">
        <v>747</v>
      </c>
      <c r="N3501">
        <v>9147</v>
      </c>
      <c r="O3501">
        <v>7</v>
      </c>
      <c r="P3501" t="s">
        <v>21</v>
      </c>
      <c r="Q3501" s="1">
        <v>44411</v>
      </c>
    </row>
    <row r="3502" spans="1:17" x14ac:dyDescent="0.3">
      <c r="A3502" t="s">
        <v>22</v>
      </c>
      <c r="B3502" t="s">
        <v>36</v>
      </c>
      <c r="C3502" t="s">
        <v>52</v>
      </c>
      <c r="D3502" t="s">
        <v>46</v>
      </c>
      <c r="E3502" t="s">
        <v>43</v>
      </c>
      <c r="F3502" s="9">
        <v>0.08</v>
      </c>
      <c r="G3502" s="10">
        <v>12271</v>
      </c>
      <c r="H3502">
        <v>7.9</v>
      </c>
      <c r="I3502" s="5">
        <f>ROUND(Marketing[[#This Row],[Clicks]]*Marketing[[#This Row],[Conversion_Rate]],0)</f>
        <v>79</v>
      </c>
      <c r="J3502" s="12">
        <f>Marketing[[#This Row],[Campaign_Cost]]/Marketing[[#This Row],[Customers]]</f>
        <v>155.32911392405063</v>
      </c>
      <c r="K3502" t="s">
        <v>19</v>
      </c>
      <c r="L3502" t="s">
        <v>39</v>
      </c>
      <c r="M3502">
        <v>988</v>
      </c>
      <c r="N3502">
        <v>3459</v>
      </c>
      <c r="O3502">
        <v>8</v>
      </c>
      <c r="P3502" t="s">
        <v>27</v>
      </c>
      <c r="Q3502" s="1">
        <v>44412</v>
      </c>
    </row>
    <row r="3503" spans="1:17" x14ac:dyDescent="0.3">
      <c r="A3503" t="s">
        <v>14</v>
      </c>
      <c r="B3503" t="s">
        <v>47</v>
      </c>
      <c r="C3503" t="s">
        <v>52</v>
      </c>
      <c r="D3503" t="s">
        <v>46</v>
      </c>
      <c r="E3503" t="s">
        <v>43</v>
      </c>
      <c r="F3503" s="9">
        <v>0.12</v>
      </c>
      <c r="G3503" s="10">
        <v>11399</v>
      </c>
      <c r="H3503">
        <v>3.24</v>
      </c>
      <c r="I3503" s="5">
        <f>ROUND(Marketing[[#This Row],[Clicks]]*Marketing[[#This Row],[Conversion_Rate]],0)</f>
        <v>106</v>
      </c>
      <c r="J3503" s="12">
        <f>Marketing[[#This Row],[Campaign_Cost]]/Marketing[[#This Row],[Customers]]</f>
        <v>107.5377358490566</v>
      </c>
      <c r="K3503" t="s">
        <v>25</v>
      </c>
      <c r="L3503" t="s">
        <v>20</v>
      </c>
      <c r="M3503">
        <v>880</v>
      </c>
      <c r="N3503">
        <v>2777</v>
      </c>
      <c r="O3503">
        <v>2</v>
      </c>
      <c r="P3503" t="s">
        <v>34</v>
      </c>
      <c r="Q3503" s="1">
        <v>44413</v>
      </c>
    </row>
    <row r="3504" spans="1:17" x14ac:dyDescent="0.3">
      <c r="A3504" t="s">
        <v>35</v>
      </c>
      <c r="B3504" t="s">
        <v>45</v>
      </c>
      <c r="C3504" t="s">
        <v>37</v>
      </c>
      <c r="D3504" t="s">
        <v>46</v>
      </c>
      <c r="E3504" t="s">
        <v>31</v>
      </c>
      <c r="F3504" s="9">
        <v>0.1</v>
      </c>
      <c r="G3504" s="10">
        <v>6529</v>
      </c>
      <c r="H3504">
        <v>5.31</v>
      </c>
      <c r="I3504" s="5">
        <f>ROUND(Marketing[[#This Row],[Clicks]]*Marketing[[#This Row],[Conversion_Rate]],0)</f>
        <v>26</v>
      </c>
      <c r="J3504" s="12">
        <f>Marketing[[#This Row],[Campaign_Cost]]/Marketing[[#This Row],[Customers]]</f>
        <v>251.11538461538461</v>
      </c>
      <c r="K3504" t="s">
        <v>51</v>
      </c>
      <c r="L3504" t="s">
        <v>39</v>
      </c>
      <c r="M3504">
        <v>261</v>
      </c>
      <c r="N3504">
        <v>3446</v>
      </c>
      <c r="O3504">
        <v>3</v>
      </c>
      <c r="P3504" t="s">
        <v>34</v>
      </c>
      <c r="Q3504" s="1">
        <v>44414</v>
      </c>
    </row>
    <row r="3505" spans="1:17" x14ac:dyDescent="0.3">
      <c r="A3505" t="s">
        <v>14</v>
      </c>
      <c r="B3505" t="s">
        <v>15</v>
      </c>
      <c r="C3505" t="s">
        <v>16</v>
      </c>
      <c r="D3505" t="s">
        <v>17</v>
      </c>
      <c r="E3505" t="s">
        <v>43</v>
      </c>
      <c r="F3505" s="9">
        <v>0.08</v>
      </c>
      <c r="G3505" s="10">
        <v>9747</v>
      </c>
      <c r="H3505">
        <v>6.36</v>
      </c>
      <c r="I3505" s="5">
        <f>ROUND(Marketing[[#This Row],[Clicks]]*Marketing[[#This Row],[Conversion_Rate]],0)</f>
        <v>39</v>
      </c>
      <c r="J3505" s="12">
        <f>Marketing[[#This Row],[Campaign_Cost]]/Marketing[[#This Row],[Customers]]</f>
        <v>249.92307692307693</v>
      </c>
      <c r="K3505" t="s">
        <v>38</v>
      </c>
      <c r="L3505" t="s">
        <v>33</v>
      </c>
      <c r="M3505">
        <v>482</v>
      </c>
      <c r="N3505">
        <v>9844</v>
      </c>
      <c r="O3505">
        <v>9</v>
      </c>
      <c r="P3505" t="s">
        <v>42</v>
      </c>
      <c r="Q3505" s="1">
        <v>44415</v>
      </c>
    </row>
    <row r="3506" spans="1:17" x14ac:dyDescent="0.3">
      <c r="A3506" t="s">
        <v>28</v>
      </c>
      <c r="B3506" t="s">
        <v>47</v>
      </c>
      <c r="C3506" t="s">
        <v>16</v>
      </c>
      <c r="D3506" t="s">
        <v>24</v>
      </c>
      <c r="E3506" t="s">
        <v>48</v>
      </c>
      <c r="F3506" s="9">
        <v>0.05</v>
      </c>
      <c r="G3506" s="10">
        <v>15211</v>
      </c>
      <c r="H3506">
        <v>7.99</v>
      </c>
      <c r="I3506" s="5">
        <f>ROUND(Marketing[[#This Row],[Clicks]]*Marketing[[#This Row],[Conversion_Rate]],0)</f>
        <v>16</v>
      </c>
      <c r="J3506" s="12">
        <f>Marketing[[#This Row],[Campaign_Cost]]/Marketing[[#This Row],[Customers]]</f>
        <v>950.6875</v>
      </c>
      <c r="K3506" t="s">
        <v>25</v>
      </c>
      <c r="L3506" t="s">
        <v>26</v>
      </c>
      <c r="M3506">
        <v>318</v>
      </c>
      <c r="N3506">
        <v>6045</v>
      </c>
      <c r="O3506">
        <v>8</v>
      </c>
      <c r="P3506" t="s">
        <v>44</v>
      </c>
      <c r="Q3506" s="1">
        <v>44416</v>
      </c>
    </row>
    <row r="3507" spans="1:17" x14ac:dyDescent="0.3">
      <c r="A3507" t="s">
        <v>14</v>
      </c>
      <c r="B3507" t="s">
        <v>36</v>
      </c>
      <c r="C3507" t="s">
        <v>16</v>
      </c>
      <c r="D3507" t="s">
        <v>24</v>
      </c>
      <c r="E3507" t="s">
        <v>48</v>
      </c>
      <c r="F3507" s="9">
        <v>0.01</v>
      </c>
      <c r="G3507" s="10">
        <v>16578</v>
      </c>
      <c r="H3507">
        <v>5.95</v>
      </c>
      <c r="I3507" s="5">
        <f>ROUND(Marketing[[#This Row],[Clicks]]*Marketing[[#This Row],[Conversion_Rate]],0)</f>
        <v>6</v>
      </c>
      <c r="J3507" s="12">
        <f>Marketing[[#This Row],[Campaign_Cost]]/Marketing[[#This Row],[Customers]]</f>
        <v>2763</v>
      </c>
      <c r="K3507" t="s">
        <v>19</v>
      </c>
      <c r="L3507" t="s">
        <v>20</v>
      </c>
      <c r="M3507">
        <v>559</v>
      </c>
      <c r="N3507">
        <v>4793</v>
      </c>
      <c r="O3507">
        <v>7</v>
      </c>
      <c r="P3507" t="s">
        <v>44</v>
      </c>
      <c r="Q3507" s="1">
        <v>44417</v>
      </c>
    </row>
    <row r="3508" spans="1:17" x14ac:dyDescent="0.3">
      <c r="A3508" t="s">
        <v>28</v>
      </c>
      <c r="B3508" t="s">
        <v>47</v>
      </c>
      <c r="C3508" t="s">
        <v>52</v>
      </c>
      <c r="D3508" t="s">
        <v>46</v>
      </c>
      <c r="E3508" t="s">
        <v>43</v>
      </c>
      <c r="F3508" s="9">
        <v>0.11</v>
      </c>
      <c r="G3508" s="10">
        <v>6923</v>
      </c>
      <c r="H3508">
        <v>2.2000000000000002</v>
      </c>
      <c r="I3508" s="5">
        <f>ROUND(Marketing[[#This Row],[Clicks]]*Marketing[[#This Row],[Conversion_Rate]],0)</f>
        <v>91</v>
      </c>
      <c r="J3508" s="12">
        <f>Marketing[[#This Row],[Campaign_Cost]]/Marketing[[#This Row],[Customers]]</f>
        <v>76.07692307692308</v>
      </c>
      <c r="K3508" t="s">
        <v>51</v>
      </c>
      <c r="L3508" t="s">
        <v>33</v>
      </c>
      <c r="M3508">
        <v>827</v>
      </c>
      <c r="N3508">
        <v>8751</v>
      </c>
      <c r="O3508">
        <v>7</v>
      </c>
      <c r="P3508" t="s">
        <v>27</v>
      </c>
      <c r="Q3508" s="1">
        <v>44418</v>
      </c>
    </row>
    <row r="3509" spans="1:17" x14ac:dyDescent="0.3">
      <c r="A3509" t="s">
        <v>28</v>
      </c>
      <c r="B3509" t="s">
        <v>47</v>
      </c>
      <c r="C3509" t="s">
        <v>37</v>
      </c>
      <c r="D3509" t="s">
        <v>40</v>
      </c>
      <c r="E3509" t="s">
        <v>43</v>
      </c>
      <c r="F3509" s="9">
        <v>7.0000000000000007E-2</v>
      </c>
      <c r="G3509" s="10">
        <v>7972</v>
      </c>
      <c r="H3509">
        <v>7.71</v>
      </c>
      <c r="I3509" s="5">
        <f>ROUND(Marketing[[#This Row],[Clicks]]*Marketing[[#This Row],[Conversion_Rate]],0)</f>
        <v>63</v>
      </c>
      <c r="J3509" s="12">
        <f>Marketing[[#This Row],[Campaign_Cost]]/Marketing[[#This Row],[Customers]]</f>
        <v>126.53968253968254</v>
      </c>
      <c r="K3509" t="s">
        <v>32</v>
      </c>
      <c r="L3509" t="s">
        <v>26</v>
      </c>
      <c r="M3509">
        <v>896</v>
      </c>
      <c r="N3509">
        <v>7942</v>
      </c>
      <c r="O3509">
        <v>1</v>
      </c>
      <c r="P3509" t="s">
        <v>21</v>
      </c>
      <c r="Q3509" s="1">
        <v>44419</v>
      </c>
    </row>
    <row r="3510" spans="1:17" x14ac:dyDescent="0.3">
      <c r="A3510" t="s">
        <v>35</v>
      </c>
      <c r="B3510" t="s">
        <v>29</v>
      </c>
      <c r="C3510" t="s">
        <v>30</v>
      </c>
      <c r="D3510" t="s">
        <v>46</v>
      </c>
      <c r="E3510" t="s">
        <v>48</v>
      </c>
      <c r="F3510" s="9">
        <v>0.04</v>
      </c>
      <c r="G3510" s="10">
        <v>6258</v>
      </c>
      <c r="H3510">
        <v>2.15</v>
      </c>
      <c r="I3510" s="5">
        <f>ROUND(Marketing[[#This Row],[Clicks]]*Marketing[[#This Row],[Conversion_Rate]],0)</f>
        <v>14</v>
      </c>
      <c r="J3510" s="12">
        <f>Marketing[[#This Row],[Campaign_Cost]]/Marketing[[#This Row],[Customers]]</f>
        <v>447</v>
      </c>
      <c r="K3510" t="s">
        <v>19</v>
      </c>
      <c r="L3510" t="s">
        <v>26</v>
      </c>
      <c r="M3510">
        <v>340</v>
      </c>
      <c r="N3510">
        <v>3280</v>
      </c>
      <c r="O3510">
        <v>7</v>
      </c>
      <c r="P3510" t="s">
        <v>44</v>
      </c>
      <c r="Q3510" s="1">
        <v>44420</v>
      </c>
    </row>
    <row r="3511" spans="1:17" x14ac:dyDescent="0.3">
      <c r="A3511" t="s">
        <v>35</v>
      </c>
      <c r="B3511" t="s">
        <v>47</v>
      </c>
      <c r="C3511" t="s">
        <v>37</v>
      </c>
      <c r="D3511" t="s">
        <v>17</v>
      </c>
      <c r="E3511" t="s">
        <v>48</v>
      </c>
      <c r="F3511" s="9">
        <v>0.03</v>
      </c>
      <c r="G3511" s="10">
        <v>9500</v>
      </c>
      <c r="H3511">
        <v>5.85</v>
      </c>
      <c r="I3511" s="5">
        <f>ROUND(Marketing[[#This Row],[Clicks]]*Marketing[[#This Row],[Conversion_Rate]],0)</f>
        <v>13</v>
      </c>
      <c r="J3511" s="12">
        <f>Marketing[[#This Row],[Campaign_Cost]]/Marketing[[#This Row],[Customers]]</f>
        <v>730.76923076923072</v>
      </c>
      <c r="K3511" t="s">
        <v>19</v>
      </c>
      <c r="L3511" t="s">
        <v>33</v>
      </c>
      <c r="M3511">
        <v>424</v>
      </c>
      <c r="N3511">
        <v>4414</v>
      </c>
      <c r="O3511">
        <v>1</v>
      </c>
      <c r="P3511" t="s">
        <v>21</v>
      </c>
      <c r="Q3511" s="1">
        <v>44421</v>
      </c>
    </row>
    <row r="3512" spans="1:17" x14ac:dyDescent="0.3">
      <c r="A3512" t="s">
        <v>49</v>
      </c>
      <c r="B3512" t="s">
        <v>47</v>
      </c>
      <c r="C3512" t="s">
        <v>37</v>
      </c>
      <c r="D3512" t="s">
        <v>40</v>
      </c>
      <c r="E3512" t="s">
        <v>15</v>
      </c>
      <c r="F3512" s="9">
        <v>0.1</v>
      </c>
      <c r="G3512" s="10">
        <v>18701</v>
      </c>
      <c r="H3512">
        <v>5.01</v>
      </c>
      <c r="I3512" s="5">
        <f>ROUND(Marketing[[#This Row],[Clicks]]*Marketing[[#This Row],[Conversion_Rate]],0)</f>
        <v>17</v>
      </c>
      <c r="J3512" s="12">
        <f>Marketing[[#This Row],[Campaign_Cost]]/Marketing[[#This Row],[Customers]]</f>
        <v>1100.0588235294117</v>
      </c>
      <c r="K3512" t="s">
        <v>32</v>
      </c>
      <c r="L3512" t="s">
        <v>50</v>
      </c>
      <c r="M3512">
        <v>169</v>
      </c>
      <c r="N3512">
        <v>2847</v>
      </c>
      <c r="O3512">
        <v>8</v>
      </c>
      <c r="P3512" t="s">
        <v>27</v>
      </c>
      <c r="Q3512" s="1">
        <v>44422</v>
      </c>
    </row>
    <row r="3513" spans="1:17" x14ac:dyDescent="0.3">
      <c r="A3513" t="s">
        <v>22</v>
      </c>
      <c r="B3513" t="s">
        <v>36</v>
      </c>
      <c r="C3513" t="s">
        <v>16</v>
      </c>
      <c r="D3513" t="s">
        <v>24</v>
      </c>
      <c r="E3513" t="s">
        <v>41</v>
      </c>
      <c r="F3513" s="9">
        <v>0.13</v>
      </c>
      <c r="G3513" s="10">
        <v>9259</v>
      </c>
      <c r="H3513">
        <v>2.68</v>
      </c>
      <c r="I3513" s="5">
        <f>ROUND(Marketing[[#This Row],[Clicks]]*Marketing[[#This Row],[Conversion_Rate]],0)</f>
        <v>50</v>
      </c>
      <c r="J3513" s="12">
        <f>Marketing[[#This Row],[Campaign_Cost]]/Marketing[[#This Row],[Customers]]</f>
        <v>185.18</v>
      </c>
      <c r="K3513" t="s">
        <v>38</v>
      </c>
      <c r="L3513" t="s">
        <v>26</v>
      </c>
      <c r="M3513">
        <v>383</v>
      </c>
      <c r="N3513">
        <v>1145</v>
      </c>
      <c r="O3513">
        <v>5</v>
      </c>
      <c r="P3513" t="s">
        <v>34</v>
      </c>
      <c r="Q3513" s="1">
        <v>44423</v>
      </c>
    </row>
    <row r="3514" spans="1:17" x14ac:dyDescent="0.3">
      <c r="A3514" t="s">
        <v>49</v>
      </c>
      <c r="B3514" t="s">
        <v>45</v>
      </c>
      <c r="C3514" t="s">
        <v>30</v>
      </c>
      <c r="D3514" t="s">
        <v>40</v>
      </c>
      <c r="E3514" t="s">
        <v>48</v>
      </c>
      <c r="F3514" s="9">
        <v>7.0000000000000007E-2</v>
      </c>
      <c r="G3514" s="10">
        <v>11829</v>
      </c>
      <c r="H3514">
        <v>3.3</v>
      </c>
      <c r="I3514" s="5">
        <f>ROUND(Marketing[[#This Row],[Clicks]]*Marketing[[#This Row],[Conversion_Rate]],0)</f>
        <v>27</v>
      </c>
      <c r="J3514" s="12">
        <f>Marketing[[#This Row],[Campaign_Cost]]/Marketing[[#This Row],[Customers]]</f>
        <v>438.11111111111109</v>
      </c>
      <c r="K3514" t="s">
        <v>32</v>
      </c>
      <c r="L3514" t="s">
        <v>50</v>
      </c>
      <c r="M3514">
        <v>389</v>
      </c>
      <c r="N3514">
        <v>3921</v>
      </c>
      <c r="O3514">
        <v>6</v>
      </c>
      <c r="P3514" t="s">
        <v>21</v>
      </c>
      <c r="Q3514" s="1">
        <v>44424</v>
      </c>
    </row>
    <row r="3515" spans="1:17" x14ac:dyDescent="0.3">
      <c r="A3515" t="s">
        <v>49</v>
      </c>
      <c r="B3515" t="s">
        <v>15</v>
      </c>
      <c r="C3515" t="s">
        <v>16</v>
      </c>
      <c r="D3515" t="s">
        <v>46</v>
      </c>
      <c r="E3515" t="s">
        <v>43</v>
      </c>
      <c r="F3515" s="9">
        <v>0.03</v>
      </c>
      <c r="G3515" s="10">
        <v>11961</v>
      </c>
      <c r="H3515">
        <v>4.26</v>
      </c>
      <c r="I3515" s="5">
        <f>ROUND(Marketing[[#This Row],[Clicks]]*Marketing[[#This Row],[Conversion_Rate]],0)</f>
        <v>8</v>
      </c>
      <c r="J3515" s="12">
        <f>Marketing[[#This Row],[Campaign_Cost]]/Marketing[[#This Row],[Customers]]</f>
        <v>1495.125</v>
      </c>
      <c r="K3515" t="s">
        <v>19</v>
      </c>
      <c r="L3515" t="s">
        <v>50</v>
      </c>
      <c r="M3515">
        <v>269</v>
      </c>
      <c r="N3515">
        <v>1055</v>
      </c>
      <c r="O3515">
        <v>1</v>
      </c>
      <c r="P3515" t="s">
        <v>21</v>
      </c>
      <c r="Q3515" s="1">
        <v>44425</v>
      </c>
    </row>
    <row r="3516" spans="1:17" x14ac:dyDescent="0.3">
      <c r="A3516" t="s">
        <v>28</v>
      </c>
      <c r="B3516" t="s">
        <v>36</v>
      </c>
      <c r="C3516" t="s">
        <v>16</v>
      </c>
      <c r="D3516" t="s">
        <v>46</v>
      </c>
      <c r="E3516" t="s">
        <v>31</v>
      </c>
      <c r="F3516" s="9">
        <v>0.05</v>
      </c>
      <c r="G3516" s="10">
        <v>7174</v>
      </c>
      <c r="H3516">
        <v>6.7</v>
      </c>
      <c r="I3516" s="5">
        <f>ROUND(Marketing[[#This Row],[Clicks]]*Marketing[[#This Row],[Conversion_Rate]],0)</f>
        <v>40</v>
      </c>
      <c r="J3516" s="12">
        <f>Marketing[[#This Row],[Campaign_Cost]]/Marketing[[#This Row],[Customers]]</f>
        <v>179.35</v>
      </c>
      <c r="K3516" t="s">
        <v>25</v>
      </c>
      <c r="L3516" t="s">
        <v>50</v>
      </c>
      <c r="M3516">
        <v>797</v>
      </c>
      <c r="N3516">
        <v>2365</v>
      </c>
      <c r="O3516">
        <v>1</v>
      </c>
      <c r="P3516" t="s">
        <v>42</v>
      </c>
      <c r="Q3516" s="1">
        <v>44426</v>
      </c>
    </row>
    <row r="3517" spans="1:17" x14ac:dyDescent="0.3">
      <c r="A3517" t="s">
        <v>22</v>
      </c>
      <c r="B3517" t="s">
        <v>47</v>
      </c>
      <c r="C3517" t="s">
        <v>52</v>
      </c>
      <c r="D3517" t="s">
        <v>40</v>
      </c>
      <c r="E3517" t="s">
        <v>15</v>
      </c>
      <c r="F3517" s="9">
        <v>0.11</v>
      </c>
      <c r="G3517" s="10">
        <v>15119</v>
      </c>
      <c r="H3517">
        <v>4.12</v>
      </c>
      <c r="I3517" s="5">
        <f>ROUND(Marketing[[#This Row],[Clicks]]*Marketing[[#This Row],[Conversion_Rate]],0)</f>
        <v>48</v>
      </c>
      <c r="J3517" s="12">
        <f>Marketing[[#This Row],[Campaign_Cost]]/Marketing[[#This Row],[Customers]]</f>
        <v>314.97916666666669</v>
      </c>
      <c r="K3517" t="s">
        <v>19</v>
      </c>
      <c r="L3517" t="s">
        <v>20</v>
      </c>
      <c r="M3517">
        <v>435</v>
      </c>
      <c r="N3517">
        <v>5824</v>
      </c>
      <c r="O3517">
        <v>1</v>
      </c>
      <c r="P3517" t="s">
        <v>42</v>
      </c>
      <c r="Q3517" s="1">
        <v>44427</v>
      </c>
    </row>
    <row r="3518" spans="1:17" x14ac:dyDescent="0.3">
      <c r="A3518" t="s">
        <v>14</v>
      </c>
      <c r="B3518" t="s">
        <v>47</v>
      </c>
      <c r="C3518" t="s">
        <v>30</v>
      </c>
      <c r="D3518" t="s">
        <v>17</v>
      </c>
      <c r="E3518" t="s">
        <v>15</v>
      </c>
      <c r="F3518" s="9">
        <v>0.09</v>
      </c>
      <c r="G3518" s="10">
        <v>8433</v>
      </c>
      <c r="H3518">
        <v>5.46</v>
      </c>
      <c r="I3518" s="5">
        <f>ROUND(Marketing[[#This Row],[Clicks]]*Marketing[[#This Row],[Conversion_Rate]],0)</f>
        <v>42</v>
      </c>
      <c r="J3518" s="12">
        <f>Marketing[[#This Row],[Campaign_Cost]]/Marketing[[#This Row],[Customers]]</f>
        <v>200.78571428571428</v>
      </c>
      <c r="K3518" t="s">
        <v>19</v>
      </c>
      <c r="L3518" t="s">
        <v>20</v>
      </c>
      <c r="M3518">
        <v>471</v>
      </c>
      <c r="N3518">
        <v>1810</v>
      </c>
      <c r="O3518">
        <v>2</v>
      </c>
      <c r="P3518" t="s">
        <v>44</v>
      </c>
      <c r="Q3518" s="1">
        <v>44428</v>
      </c>
    </row>
    <row r="3519" spans="1:17" x14ac:dyDescent="0.3">
      <c r="A3519" t="s">
        <v>22</v>
      </c>
      <c r="B3519" t="s">
        <v>45</v>
      </c>
      <c r="C3519" t="s">
        <v>30</v>
      </c>
      <c r="D3519" t="s">
        <v>24</v>
      </c>
      <c r="E3519" t="s">
        <v>48</v>
      </c>
      <c r="F3519" s="9">
        <v>0.03</v>
      </c>
      <c r="G3519" s="10">
        <v>18071</v>
      </c>
      <c r="H3519">
        <v>2.33</v>
      </c>
      <c r="I3519" s="5">
        <f>ROUND(Marketing[[#This Row],[Clicks]]*Marketing[[#This Row],[Conversion_Rate]],0)</f>
        <v>18</v>
      </c>
      <c r="J3519" s="12">
        <f>Marketing[[#This Row],[Campaign_Cost]]/Marketing[[#This Row],[Customers]]</f>
        <v>1003.9444444444445</v>
      </c>
      <c r="K3519" t="s">
        <v>25</v>
      </c>
      <c r="L3519" t="s">
        <v>20</v>
      </c>
      <c r="M3519">
        <v>607</v>
      </c>
      <c r="N3519">
        <v>4500</v>
      </c>
      <c r="O3519">
        <v>4</v>
      </c>
      <c r="P3519" t="s">
        <v>42</v>
      </c>
      <c r="Q3519" s="1">
        <v>44429</v>
      </c>
    </row>
    <row r="3520" spans="1:17" x14ac:dyDescent="0.3">
      <c r="A3520" t="s">
        <v>35</v>
      </c>
      <c r="B3520" t="s">
        <v>15</v>
      </c>
      <c r="C3520" t="s">
        <v>52</v>
      </c>
      <c r="D3520" t="s">
        <v>17</v>
      </c>
      <c r="E3520" t="s">
        <v>18</v>
      </c>
      <c r="F3520" s="9">
        <v>0.15</v>
      </c>
      <c r="G3520" s="10">
        <v>10199</v>
      </c>
      <c r="H3520">
        <v>5.04</v>
      </c>
      <c r="I3520" s="5">
        <f>ROUND(Marketing[[#This Row],[Clicks]]*Marketing[[#This Row],[Conversion_Rate]],0)</f>
        <v>113</v>
      </c>
      <c r="J3520" s="12">
        <f>Marketing[[#This Row],[Campaign_Cost]]/Marketing[[#This Row],[Customers]]</f>
        <v>90.256637168141594</v>
      </c>
      <c r="K3520" t="s">
        <v>51</v>
      </c>
      <c r="L3520" t="s">
        <v>39</v>
      </c>
      <c r="M3520">
        <v>751</v>
      </c>
      <c r="N3520">
        <v>5971</v>
      </c>
      <c r="O3520">
        <v>2</v>
      </c>
      <c r="P3520" t="s">
        <v>44</v>
      </c>
      <c r="Q3520" s="1">
        <v>44430</v>
      </c>
    </row>
    <row r="3521" spans="1:17" x14ac:dyDescent="0.3">
      <c r="A3521" t="s">
        <v>49</v>
      </c>
      <c r="B3521" t="s">
        <v>29</v>
      </c>
      <c r="C3521" t="s">
        <v>23</v>
      </c>
      <c r="D3521" t="s">
        <v>24</v>
      </c>
      <c r="E3521" t="s">
        <v>15</v>
      </c>
      <c r="F3521" s="9">
        <v>0.05</v>
      </c>
      <c r="G3521" s="10">
        <v>10850</v>
      </c>
      <c r="H3521">
        <v>4.5999999999999996</v>
      </c>
      <c r="I3521" s="5">
        <f>ROUND(Marketing[[#This Row],[Clicks]]*Marketing[[#This Row],[Conversion_Rate]],0)</f>
        <v>46</v>
      </c>
      <c r="J3521" s="12">
        <f>Marketing[[#This Row],[Campaign_Cost]]/Marketing[[#This Row],[Customers]]</f>
        <v>235.86956521739131</v>
      </c>
      <c r="K3521" t="s">
        <v>19</v>
      </c>
      <c r="L3521" t="s">
        <v>39</v>
      </c>
      <c r="M3521">
        <v>926</v>
      </c>
      <c r="N3521">
        <v>7762</v>
      </c>
      <c r="O3521">
        <v>9</v>
      </c>
      <c r="P3521" t="s">
        <v>27</v>
      </c>
      <c r="Q3521" s="1">
        <v>44431</v>
      </c>
    </row>
    <row r="3522" spans="1:17" x14ac:dyDescent="0.3">
      <c r="A3522" t="s">
        <v>35</v>
      </c>
      <c r="B3522" t="s">
        <v>36</v>
      </c>
      <c r="C3522" t="s">
        <v>52</v>
      </c>
      <c r="D3522" t="s">
        <v>40</v>
      </c>
      <c r="E3522" t="s">
        <v>48</v>
      </c>
      <c r="F3522" s="9">
        <v>0.06</v>
      </c>
      <c r="G3522" s="10">
        <v>19505</v>
      </c>
      <c r="H3522">
        <v>7.74</v>
      </c>
      <c r="I3522" s="5">
        <f>ROUND(Marketing[[#This Row],[Clicks]]*Marketing[[#This Row],[Conversion_Rate]],0)</f>
        <v>32</v>
      </c>
      <c r="J3522" s="12">
        <f>Marketing[[#This Row],[Campaign_Cost]]/Marketing[[#This Row],[Customers]]</f>
        <v>609.53125</v>
      </c>
      <c r="K3522" t="s">
        <v>25</v>
      </c>
      <c r="L3522" t="s">
        <v>39</v>
      </c>
      <c r="M3522">
        <v>537</v>
      </c>
      <c r="N3522">
        <v>8422</v>
      </c>
      <c r="O3522">
        <v>7</v>
      </c>
      <c r="P3522" t="s">
        <v>34</v>
      </c>
      <c r="Q3522" s="1">
        <v>44432</v>
      </c>
    </row>
    <row r="3523" spans="1:17" x14ac:dyDescent="0.3">
      <c r="A3523" t="s">
        <v>28</v>
      </c>
      <c r="B3523" t="s">
        <v>29</v>
      </c>
      <c r="C3523" t="s">
        <v>37</v>
      </c>
      <c r="D3523" t="s">
        <v>24</v>
      </c>
      <c r="E3523" t="s">
        <v>43</v>
      </c>
      <c r="F3523" s="9">
        <v>0.06</v>
      </c>
      <c r="G3523" s="10">
        <v>7183</v>
      </c>
      <c r="H3523">
        <v>2.65</v>
      </c>
      <c r="I3523" s="5">
        <f>ROUND(Marketing[[#This Row],[Clicks]]*Marketing[[#This Row],[Conversion_Rate]],0)</f>
        <v>52</v>
      </c>
      <c r="J3523" s="12">
        <f>Marketing[[#This Row],[Campaign_Cost]]/Marketing[[#This Row],[Customers]]</f>
        <v>138.13461538461539</v>
      </c>
      <c r="K3523" t="s">
        <v>32</v>
      </c>
      <c r="L3523" t="s">
        <v>33</v>
      </c>
      <c r="M3523">
        <v>863</v>
      </c>
      <c r="N3523">
        <v>8950</v>
      </c>
      <c r="O3523">
        <v>6</v>
      </c>
      <c r="P3523" t="s">
        <v>27</v>
      </c>
      <c r="Q3523" s="1">
        <v>44433</v>
      </c>
    </row>
    <row r="3524" spans="1:17" x14ac:dyDescent="0.3">
      <c r="A3524" t="s">
        <v>49</v>
      </c>
      <c r="B3524" t="s">
        <v>36</v>
      </c>
      <c r="C3524" t="s">
        <v>23</v>
      </c>
      <c r="D3524" t="s">
        <v>40</v>
      </c>
      <c r="E3524" t="s">
        <v>15</v>
      </c>
      <c r="F3524" s="9">
        <v>0.02</v>
      </c>
      <c r="G3524" s="10">
        <v>5964</v>
      </c>
      <c r="H3524">
        <v>5.15</v>
      </c>
      <c r="I3524" s="5">
        <f>ROUND(Marketing[[#This Row],[Clicks]]*Marketing[[#This Row],[Conversion_Rate]],0)</f>
        <v>18</v>
      </c>
      <c r="J3524" s="12">
        <f>Marketing[[#This Row],[Campaign_Cost]]/Marketing[[#This Row],[Customers]]</f>
        <v>331.33333333333331</v>
      </c>
      <c r="K3524" t="s">
        <v>38</v>
      </c>
      <c r="L3524" t="s">
        <v>26</v>
      </c>
      <c r="M3524">
        <v>919</v>
      </c>
      <c r="N3524">
        <v>5144</v>
      </c>
      <c r="O3524">
        <v>7</v>
      </c>
      <c r="P3524" t="s">
        <v>34</v>
      </c>
      <c r="Q3524" s="1">
        <v>44434</v>
      </c>
    </row>
    <row r="3525" spans="1:17" x14ac:dyDescent="0.3">
      <c r="A3525" t="s">
        <v>49</v>
      </c>
      <c r="B3525" t="s">
        <v>47</v>
      </c>
      <c r="C3525" t="s">
        <v>16</v>
      </c>
      <c r="D3525" t="s">
        <v>24</v>
      </c>
      <c r="E3525" t="s">
        <v>41</v>
      </c>
      <c r="F3525" s="9">
        <v>0.01</v>
      </c>
      <c r="G3525" s="10">
        <v>19646</v>
      </c>
      <c r="H3525">
        <v>6.17</v>
      </c>
      <c r="I3525" s="5">
        <f>ROUND(Marketing[[#This Row],[Clicks]]*Marketing[[#This Row],[Conversion_Rate]],0)</f>
        <v>3</v>
      </c>
      <c r="J3525" s="12">
        <f>Marketing[[#This Row],[Campaign_Cost]]/Marketing[[#This Row],[Customers]]</f>
        <v>6548.666666666667</v>
      </c>
      <c r="K3525" t="s">
        <v>19</v>
      </c>
      <c r="L3525" t="s">
        <v>50</v>
      </c>
      <c r="M3525">
        <v>283</v>
      </c>
      <c r="N3525">
        <v>8489</v>
      </c>
      <c r="O3525">
        <v>2</v>
      </c>
      <c r="P3525" t="s">
        <v>27</v>
      </c>
      <c r="Q3525" s="1">
        <v>44435</v>
      </c>
    </row>
    <row r="3526" spans="1:17" x14ac:dyDescent="0.3">
      <c r="A3526" t="s">
        <v>22</v>
      </c>
      <c r="B3526" t="s">
        <v>29</v>
      </c>
      <c r="C3526" t="s">
        <v>23</v>
      </c>
      <c r="D3526" t="s">
        <v>46</v>
      </c>
      <c r="E3526" t="s">
        <v>15</v>
      </c>
      <c r="F3526" s="9">
        <v>0.11</v>
      </c>
      <c r="G3526" s="10">
        <v>9827</v>
      </c>
      <c r="H3526">
        <v>3.26</v>
      </c>
      <c r="I3526" s="5">
        <f>ROUND(Marketing[[#This Row],[Clicks]]*Marketing[[#This Row],[Conversion_Rate]],0)</f>
        <v>63</v>
      </c>
      <c r="J3526" s="12">
        <f>Marketing[[#This Row],[Campaign_Cost]]/Marketing[[#This Row],[Customers]]</f>
        <v>155.98412698412699</v>
      </c>
      <c r="K3526" t="s">
        <v>51</v>
      </c>
      <c r="L3526" t="s">
        <v>50</v>
      </c>
      <c r="M3526">
        <v>576</v>
      </c>
      <c r="N3526">
        <v>3009</v>
      </c>
      <c r="O3526">
        <v>6</v>
      </c>
      <c r="P3526" t="s">
        <v>42</v>
      </c>
      <c r="Q3526" s="1">
        <v>44436</v>
      </c>
    </row>
    <row r="3527" spans="1:17" x14ac:dyDescent="0.3">
      <c r="A3527" t="s">
        <v>49</v>
      </c>
      <c r="B3527" t="s">
        <v>36</v>
      </c>
      <c r="C3527" t="s">
        <v>52</v>
      </c>
      <c r="D3527" t="s">
        <v>24</v>
      </c>
      <c r="E3527" t="s">
        <v>48</v>
      </c>
      <c r="F3527" s="9">
        <v>0.09</v>
      </c>
      <c r="G3527" s="10">
        <v>12965</v>
      </c>
      <c r="H3527">
        <v>2.0699999999999998</v>
      </c>
      <c r="I3527" s="5">
        <f>ROUND(Marketing[[#This Row],[Clicks]]*Marketing[[#This Row],[Conversion_Rate]],0)</f>
        <v>17</v>
      </c>
      <c r="J3527" s="12">
        <f>Marketing[[#This Row],[Campaign_Cost]]/Marketing[[#This Row],[Customers]]</f>
        <v>762.64705882352939</v>
      </c>
      <c r="K3527" t="s">
        <v>32</v>
      </c>
      <c r="L3527" t="s">
        <v>26</v>
      </c>
      <c r="M3527">
        <v>186</v>
      </c>
      <c r="N3527">
        <v>6375</v>
      </c>
      <c r="O3527">
        <v>9</v>
      </c>
      <c r="P3527" t="s">
        <v>27</v>
      </c>
      <c r="Q3527" s="1">
        <v>44437</v>
      </c>
    </row>
    <row r="3528" spans="1:17" x14ac:dyDescent="0.3">
      <c r="A3528" t="s">
        <v>35</v>
      </c>
      <c r="B3528" t="s">
        <v>15</v>
      </c>
      <c r="C3528" t="s">
        <v>23</v>
      </c>
      <c r="D3528" t="s">
        <v>40</v>
      </c>
      <c r="E3528" t="s">
        <v>15</v>
      </c>
      <c r="F3528" s="9">
        <v>7.0000000000000007E-2</v>
      </c>
      <c r="G3528" s="10">
        <v>11787</v>
      </c>
      <c r="H3528">
        <v>3.71</v>
      </c>
      <c r="I3528" s="5">
        <f>ROUND(Marketing[[#This Row],[Clicks]]*Marketing[[#This Row],[Conversion_Rate]],0)</f>
        <v>20</v>
      </c>
      <c r="J3528" s="12">
        <f>Marketing[[#This Row],[Campaign_Cost]]/Marketing[[#This Row],[Customers]]</f>
        <v>589.35</v>
      </c>
      <c r="K3528" t="s">
        <v>19</v>
      </c>
      <c r="L3528" t="s">
        <v>50</v>
      </c>
      <c r="M3528">
        <v>289</v>
      </c>
      <c r="N3528">
        <v>8699</v>
      </c>
      <c r="O3528">
        <v>6</v>
      </c>
      <c r="P3528" t="s">
        <v>34</v>
      </c>
      <c r="Q3528" s="1">
        <v>44438</v>
      </c>
    </row>
    <row r="3529" spans="1:17" x14ac:dyDescent="0.3">
      <c r="A3529" t="s">
        <v>28</v>
      </c>
      <c r="B3529" t="s">
        <v>47</v>
      </c>
      <c r="C3529" t="s">
        <v>52</v>
      </c>
      <c r="D3529" t="s">
        <v>40</v>
      </c>
      <c r="E3529" t="s">
        <v>31</v>
      </c>
      <c r="F3529" s="9">
        <v>0.09</v>
      </c>
      <c r="G3529" s="10">
        <v>18187</v>
      </c>
      <c r="H3529">
        <v>4.3099999999999996</v>
      </c>
      <c r="I3529" s="5">
        <f>ROUND(Marketing[[#This Row],[Clicks]]*Marketing[[#This Row],[Conversion_Rate]],0)</f>
        <v>32</v>
      </c>
      <c r="J3529" s="12">
        <f>Marketing[[#This Row],[Campaign_Cost]]/Marketing[[#This Row],[Customers]]</f>
        <v>568.34375</v>
      </c>
      <c r="K3529" t="s">
        <v>38</v>
      </c>
      <c r="L3529" t="s">
        <v>39</v>
      </c>
      <c r="M3529">
        <v>358</v>
      </c>
      <c r="N3529">
        <v>1939</v>
      </c>
      <c r="O3529">
        <v>6</v>
      </c>
      <c r="P3529" t="s">
        <v>21</v>
      </c>
      <c r="Q3529" s="1">
        <v>44439</v>
      </c>
    </row>
    <row r="3530" spans="1:17" x14ac:dyDescent="0.3">
      <c r="A3530" t="s">
        <v>22</v>
      </c>
      <c r="B3530" t="s">
        <v>15</v>
      </c>
      <c r="C3530" t="s">
        <v>23</v>
      </c>
      <c r="D3530" t="s">
        <v>46</v>
      </c>
      <c r="E3530" t="s">
        <v>15</v>
      </c>
      <c r="F3530" s="9">
        <v>0.14000000000000001</v>
      </c>
      <c r="G3530" s="10">
        <v>13057</v>
      </c>
      <c r="H3530">
        <v>2.96</v>
      </c>
      <c r="I3530" s="5">
        <f>ROUND(Marketing[[#This Row],[Clicks]]*Marketing[[#This Row],[Conversion_Rate]],0)</f>
        <v>49</v>
      </c>
      <c r="J3530" s="12">
        <f>Marketing[[#This Row],[Campaign_Cost]]/Marketing[[#This Row],[Customers]]</f>
        <v>266.46938775510205</v>
      </c>
      <c r="K3530" t="s">
        <v>51</v>
      </c>
      <c r="L3530" t="s">
        <v>50</v>
      </c>
      <c r="M3530">
        <v>353</v>
      </c>
      <c r="N3530">
        <v>8421</v>
      </c>
      <c r="O3530">
        <v>4</v>
      </c>
      <c r="P3530" t="s">
        <v>42</v>
      </c>
      <c r="Q3530" s="1">
        <v>44440</v>
      </c>
    </row>
    <row r="3531" spans="1:17" x14ac:dyDescent="0.3">
      <c r="A3531" t="s">
        <v>22</v>
      </c>
      <c r="B3531" t="s">
        <v>15</v>
      </c>
      <c r="C3531" t="s">
        <v>30</v>
      </c>
      <c r="D3531" t="s">
        <v>40</v>
      </c>
      <c r="E3531" t="s">
        <v>48</v>
      </c>
      <c r="F3531" s="9">
        <v>0.12</v>
      </c>
      <c r="G3531" s="10">
        <v>17382</v>
      </c>
      <c r="H3531">
        <v>7.56</v>
      </c>
      <c r="I3531" s="5">
        <f>ROUND(Marketing[[#This Row],[Clicks]]*Marketing[[#This Row],[Conversion_Rate]],0)</f>
        <v>75</v>
      </c>
      <c r="J3531" s="12">
        <f>Marketing[[#This Row],[Campaign_Cost]]/Marketing[[#This Row],[Customers]]</f>
        <v>231.76</v>
      </c>
      <c r="K3531" t="s">
        <v>38</v>
      </c>
      <c r="L3531" t="s">
        <v>33</v>
      </c>
      <c r="M3531">
        <v>622</v>
      </c>
      <c r="N3531">
        <v>8917</v>
      </c>
      <c r="O3531">
        <v>6</v>
      </c>
      <c r="P3531" t="s">
        <v>34</v>
      </c>
      <c r="Q3531" s="1">
        <v>44441</v>
      </c>
    </row>
    <row r="3532" spans="1:17" x14ac:dyDescent="0.3">
      <c r="A3532" t="s">
        <v>22</v>
      </c>
      <c r="B3532" t="s">
        <v>47</v>
      </c>
      <c r="C3532" t="s">
        <v>23</v>
      </c>
      <c r="D3532" t="s">
        <v>17</v>
      </c>
      <c r="E3532" t="s">
        <v>18</v>
      </c>
      <c r="F3532" s="9">
        <v>0.04</v>
      </c>
      <c r="G3532" s="10">
        <v>18222</v>
      </c>
      <c r="H3532">
        <v>5.41</v>
      </c>
      <c r="I3532" s="5">
        <f>ROUND(Marketing[[#This Row],[Clicks]]*Marketing[[#This Row],[Conversion_Rate]],0)</f>
        <v>13</v>
      </c>
      <c r="J3532" s="12">
        <f>Marketing[[#This Row],[Campaign_Cost]]/Marketing[[#This Row],[Customers]]</f>
        <v>1401.6923076923076</v>
      </c>
      <c r="K3532" t="s">
        <v>51</v>
      </c>
      <c r="L3532" t="s">
        <v>39</v>
      </c>
      <c r="M3532">
        <v>328</v>
      </c>
      <c r="N3532">
        <v>7497</v>
      </c>
      <c r="O3532">
        <v>2</v>
      </c>
      <c r="P3532" t="s">
        <v>42</v>
      </c>
      <c r="Q3532" s="1">
        <v>44442</v>
      </c>
    </row>
    <row r="3533" spans="1:17" x14ac:dyDescent="0.3">
      <c r="A3533" t="s">
        <v>49</v>
      </c>
      <c r="B3533" t="s">
        <v>36</v>
      </c>
      <c r="C3533" t="s">
        <v>37</v>
      </c>
      <c r="D3533" t="s">
        <v>17</v>
      </c>
      <c r="E3533" t="s">
        <v>15</v>
      </c>
      <c r="F3533" s="9">
        <v>0.11</v>
      </c>
      <c r="G3533" s="10">
        <v>16827</v>
      </c>
      <c r="H3533">
        <v>4.7699999999999996</v>
      </c>
      <c r="I3533" s="5">
        <f>ROUND(Marketing[[#This Row],[Clicks]]*Marketing[[#This Row],[Conversion_Rate]],0)</f>
        <v>34</v>
      </c>
      <c r="J3533" s="12">
        <f>Marketing[[#This Row],[Campaign_Cost]]/Marketing[[#This Row],[Customers]]</f>
        <v>494.91176470588238</v>
      </c>
      <c r="K3533" t="s">
        <v>32</v>
      </c>
      <c r="L3533" t="s">
        <v>50</v>
      </c>
      <c r="M3533">
        <v>310</v>
      </c>
      <c r="N3533">
        <v>1968</v>
      </c>
      <c r="O3533">
        <v>2</v>
      </c>
      <c r="P3533" t="s">
        <v>42</v>
      </c>
      <c r="Q3533" s="1">
        <v>44443</v>
      </c>
    </row>
    <row r="3534" spans="1:17" x14ac:dyDescent="0.3">
      <c r="A3534" t="s">
        <v>22</v>
      </c>
      <c r="B3534" t="s">
        <v>36</v>
      </c>
      <c r="C3534" t="s">
        <v>16</v>
      </c>
      <c r="D3534" t="s">
        <v>24</v>
      </c>
      <c r="E3534" t="s">
        <v>31</v>
      </c>
      <c r="F3534" s="9">
        <v>0.15</v>
      </c>
      <c r="G3534" s="10">
        <v>18596</v>
      </c>
      <c r="H3534">
        <v>7</v>
      </c>
      <c r="I3534" s="5">
        <f>ROUND(Marketing[[#This Row],[Clicks]]*Marketing[[#This Row],[Conversion_Rate]],0)</f>
        <v>57</v>
      </c>
      <c r="J3534" s="12">
        <f>Marketing[[#This Row],[Campaign_Cost]]/Marketing[[#This Row],[Customers]]</f>
        <v>326.24561403508773</v>
      </c>
      <c r="K3534" t="s">
        <v>25</v>
      </c>
      <c r="L3534" t="s">
        <v>50</v>
      </c>
      <c r="M3534">
        <v>382</v>
      </c>
      <c r="N3534">
        <v>1877</v>
      </c>
      <c r="O3534">
        <v>9</v>
      </c>
      <c r="P3534" t="s">
        <v>44</v>
      </c>
      <c r="Q3534" s="1">
        <v>44444</v>
      </c>
    </row>
    <row r="3535" spans="1:17" x14ac:dyDescent="0.3">
      <c r="A3535" t="s">
        <v>14</v>
      </c>
      <c r="B3535" t="s">
        <v>29</v>
      </c>
      <c r="C3535" t="s">
        <v>16</v>
      </c>
      <c r="D3535" t="s">
        <v>46</v>
      </c>
      <c r="E3535" t="s">
        <v>15</v>
      </c>
      <c r="F3535" s="9">
        <v>0.11</v>
      </c>
      <c r="G3535" s="10">
        <v>14612</v>
      </c>
      <c r="H3535">
        <v>2.82</v>
      </c>
      <c r="I3535" s="5">
        <f>ROUND(Marketing[[#This Row],[Clicks]]*Marketing[[#This Row],[Conversion_Rate]],0)</f>
        <v>19</v>
      </c>
      <c r="J3535" s="12">
        <f>Marketing[[#This Row],[Campaign_Cost]]/Marketing[[#This Row],[Customers]]</f>
        <v>769.0526315789474</v>
      </c>
      <c r="K3535" t="s">
        <v>38</v>
      </c>
      <c r="L3535" t="s">
        <v>50</v>
      </c>
      <c r="M3535">
        <v>172</v>
      </c>
      <c r="N3535">
        <v>4288</v>
      </c>
      <c r="O3535">
        <v>7</v>
      </c>
      <c r="P3535" t="s">
        <v>34</v>
      </c>
      <c r="Q3535" s="1">
        <v>44445</v>
      </c>
    </row>
    <row r="3536" spans="1:17" x14ac:dyDescent="0.3">
      <c r="A3536" t="s">
        <v>28</v>
      </c>
      <c r="B3536" t="s">
        <v>47</v>
      </c>
      <c r="C3536" t="s">
        <v>16</v>
      </c>
      <c r="D3536" t="s">
        <v>46</v>
      </c>
      <c r="E3536" t="s">
        <v>41</v>
      </c>
      <c r="F3536" s="9">
        <v>0.06</v>
      </c>
      <c r="G3536" s="10">
        <v>9248</v>
      </c>
      <c r="H3536">
        <v>2.5299999999999998</v>
      </c>
      <c r="I3536" s="5">
        <f>ROUND(Marketing[[#This Row],[Clicks]]*Marketing[[#This Row],[Conversion_Rate]],0)</f>
        <v>49</v>
      </c>
      <c r="J3536" s="12">
        <f>Marketing[[#This Row],[Campaign_Cost]]/Marketing[[#This Row],[Customers]]</f>
        <v>188.73469387755102</v>
      </c>
      <c r="K3536" t="s">
        <v>25</v>
      </c>
      <c r="L3536" t="s">
        <v>20</v>
      </c>
      <c r="M3536">
        <v>812</v>
      </c>
      <c r="N3536">
        <v>7723</v>
      </c>
      <c r="O3536">
        <v>10</v>
      </c>
      <c r="P3536" t="s">
        <v>42</v>
      </c>
      <c r="Q3536" s="1">
        <v>44446</v>
      </c>
    </row>
    <row r="3537" spans="1:17" x14ac:dyDescent="0.3">
      <c r="A3537" t="s">
        <v>28</v>
      </c>
      <c r="B3537" t="s">
        <v>47</v>
      </c>
      <c r="C3537" t="s">
        <v>16</v>
      </c>
      <c r="D3537" t="s">
        <v>17</v>
      </c>
      <c r="E3537" t="s">
        <v>48</v>
      </c>
      <c r="F3537" s="9">
        <v>0.08</v>
      </c>
      <c r="G3537" s="10">
        <v>9243</v>
      </c>
      <c r="H3537">
        <v>3.98</v>
      </c>
      <c r="I3537" s="5">
        <f>ROUND(Marketing[[#This Row],[Clicks]]*Marketing[[#This Row],[Conversion_Rate]],0)</f>
        <v>67</v>
      </c>
      <c r="J3537" s="12">
        <f>Marketing[[#This Row],[Campaign_Cost]]/Marketing[[#This Row],[Customers]]</f>
        <v>137.955223880597</v>
      </c>
      <c r="K3537" t="s">
        <v>25</v>
      </c>
      <c r="L3537" t="s">
        <v>33</v>
      </c>
      <c r="M3537">
        <v>835</v>
      </c>
      <c r="N3537">
        <v>6040</v>
      </c>
      <c r="O3537">
        <v>8</v>
      </c>
      <c r="P3537" t="s">
        <v>42</v>
      </c>
      <c r="Q3537" s="1">
        <v>44447</v>
      </c>
    </row>
    <row r="3538" spans="1:17" x14ac:dyDescent="0.3">
      <c r="A3538" t="s">
        <v>28</v>
      </c>
      <c r="B3538" t="s">
        <v>15</v>
      </c>
      <c r="C3538" t="s">
        <v>30</v>
      </c>
      <c r="D3538" t="s">
        <v>17</v>
      </c>
      <c r="E3538" t="s">
        <v>15</v>
      </c>
      <c r="F3538" s="9">
        <v>0.11</v>
      </c>
      <c r="G3538" s="10">
        <v>8996</v>
      </c>
      <c r="H3538">
        <v>5.0999999999999996</v>
      </c>
      <c r="I3538" s="5">
        <f>ROUND(Marketing[[#This Row],[Clicks]]*Marketing[[#This Row],[Conversion_Rate]],0)</f>
        <v>93</v>
      </c>
      <c r="J3538" s="12">
        <f>Marketing[[#This Row],[Campaign_Cost]]/Marketing[[#This Row],[Customers]]</f>
        <v>96.731182795698928</v>
      </c>
      <c r="K3538" t="s">
        <v>32</v>
      </c>
      <c r="L3538" t="s">
        <v>39</v>
      </c>
      <c r="M3538">
        <v>845</v>
      </c>
      <c r="N3538">
        <v>2047</v>
      </c>
      <c r="O3538">
        <v>9</v>
      </c>
      <c r="P3538" t="s">
        <v>42</v>
      </c>
      <c r="Q3538" s="1">
        <v>44448</v>
      </c>
    </row>
    <row r="3539" spans="1:17" x14ac:dyDescent="0.3">
      <c r="A3539" t="s">
        <v>28</v>
      </c>
      <c r="B3539" t="s">
        <v>45</v>
      </c>
      <c r="C3539" t="s">
        <v>37</v>
      </c>
      <c r="D3539" t="s">
        <v>46</v>
      </c>
      <c r="E3539" t="s">
        <v>18</v>
      </c>
      <c r="F3539" s="9">
        <v>0.08</v>
      </c>
      <c r="G3539" s="10">
        <v>16904</v>
      </c>
      <c r="H3539">
        <v>6.03</v>
      </c>
      <c r="I3539" s="5">
        <f>ROUND(Marketing[[#This Row],[Clicks]]*Marketing[[#This Row],[Conversion_Rate]],0)</f>
        <v>17</v>
      </c>
      <c r="J3539" s="12">
        <f>Marketing[[#This Row],[Campaign_Cost]]/Marketing[[#This Row],[Customers]]</f>
        <v>994.35294117647061</v>
      </c>
      <c r="K3539" t="s">
        <v>51</v>
      </c>
      <c r="L3539" t="s">
        <v>39</v>
      </c>
      <c r="M3539">
        <v>208</v>
      </c>
      <c r="N3539">
        <v>8509</v>
      </c>
      <c r="O3539">
        <v>9</v>
      </c>
      <c r="P3539" t="s">
        <v>21</v>
      </c>
      <c r="Q3539" s="1">
        <v>44449</v>
      </c>
    </row>
    <row r="3540" spans="1:17" x14ac:dyDescent="0.3">
      <c r="A3540" t="s">
        <v>35</v>
      </c>
      <c r="B3540" t="s">
        <v>29</v>
      </c>
      <c r="C3540" t="s">
        <v>37</v>
      </c>
      <c r="D3540" t="s">
        <v>40</v>
      </c>
      <c r="E3540" t="s">
        <v>48</v>
      </c>
      <c r="F3540" s="9">
        <v>0.1</v>
      </c>
      <c r="G3540" s="10">
        <v>18464</v>
      </c>
      <c r="H3540">
        <v>3.69</v>
      </c>
      <c r="I3540" s="5">
        <f>ROUND(Marketing[[#This Row],[Clicks]]*Marketing[[#This Row],[Conversion_Rate]],0)</f>
        <v>93</v>
      </c>
      <c r="J3540" s="12">
        <f>Marketing[[#This Row],[Campaign_Cost]]/Marketing[[#This Row],[Customers]]</f>
        <v>198.53763440860214</v>
      </c>
      <c r="K3540" t="s">
        <v>32</v>
      </c>
      <c r="L3540" t="s">
        <v>20</v>
      </c>
      <c r="M3540">
        <v>927</v>
      </c>
      <c r="N3540">
        <v>5818</v>
      </c>
      <c r="O3540">
        <v>3</v>
      </c>
      <c r="P3540" t="s">
        <v>34</v>
      </c>
      <c r="Q3540" s="1">
        <v>44450</v>
      </c>
    </row>
    <row r="3541" spans="1:17" x14ac:dyDescent="0.3">
      <c r="A3541" t="s">
        <v>14</v>
      </c>
      <c r="B3541" t="s">
        <v>15</v>
      </c>
      <c r="C3541" t="s">
        <v>23</v>
      </c>
      <c r="D3541" t="s">
        <v>17</v>
      </c>
      <c r="E3541" t="s">
        <v>48</v>
      </c>
      <c r="F3541" s="9">
        <v>0.1</v>
      </c>
      <c r="G3541" s="10">
        <v>10153</v>
      </c>
      <c r="H3541">
        <v>3.26</v>
      </c>
      <c r="I3541" s="5">
        <f>ROUND(Marketing[[#This Row],[Clicks]]*Marketing[[#This Row],[Conversion_Rate]],0)</f>
        <v>39</v>
      </c>
      <c r="J3541" s="12">
        <f>Marketing[[#This Row],[Campaign_Cost]]/Marketing[[#This Row],[Customers]]</f>
        <v>260.33333333333331</v>
      </c>
      <c r="K3541" t="s">
        <v>38</v>
      </c>
      <c r="L3541" t="s">
        <v>20</v>
      </c>
      <c r="M3541">
        <v>390</v>
      </c>
      <c r="N3541">
        <v>4219</v>
      </c>
      <c r="O3541">
        <v>6</v>
      </c>
      <c r="P3541" t="s">
        <v>34</v>
      </c>
      <c r="Q3541" s="1">
        <v>44451</v>
      </c>
    </row>
    <row r="3542" spans="1:17" x14ac:dyDescent="0.3">
      <c r="A3542" t="s">
        <v>49</v>
      </c>
      <c r="B3542" t="s">
        <v>45</v>
      </c>
      <c r="C3542" t="s">
        <v>37</v>
      </c>
      <c r="D3542" t="s">
        <v>17</v>
      </c>
      <c r="E3542" t="s">
        <v>43</v>
      </c>
      <c r="F3542" s="9">
        <v>0.13</v>
      </c>
      <c r="G3542" s="10">
        <v>18015</v>
      </c>
      <c r="H3542">
        <v>7.86</v>
      </c>
      <c r="I3542" s="5">
        <f>ROUND(Marketing[[#This Row],[Clicks]]*Marketing[[#This Row],[Conversion_Rate]],0)</f>
        <v>90</v>
      </c>
      <c r="J3542" s="12">
        <f>Marketing[[#This Row],[Campaign_Cost]]/Marketing[[#This Row],[Customers]]</f>
        <v>200.16666666666666</v>
      </c>
      <c r="K3542" t="s">
        <v>25</v>
      </c>
      <c r="L3542" t="s">
        <v>20</v>
      </c>
      <c r="M3542">
        <v>690</v>
      </c>
      <c r="N3542">
        <v>2875</v>
      </c>
      <c r="O3542">
        <v>10</v>
      </c>
      <c r="P3542" t="s">
        <v>44</v>
      </c>
      <c r="Q3542" s="1">
        <v>44452</v>
      </c>
    </row>
    <row r="3543" spans="1:17" x14ac:dyDescent="0.3">
      <c r="A3543" t="s">
        <v>49</v>
      </c>
      <c r="B3543" t="s">
        <v>45</v>
      </c>
      <c r="C3543" t="s">
        <v>52</v>
      </c>
      <c r="D3543" t="s">
        <v>24</v>
      </c>
      <c r="E3543" t="s">
        <v>41</v>
      </c>
      <c r="F3543" s="9">
        <v>0.13</v>
      </c>
      <c r="G3543" s="10">
        <v>18304</v>
      </c>
      <c r="H3543">
        <v>7.25</v>
      </c>
      <c r="I3543" s="5">
        <f>ROUND(Marketing[[#This Row],[Clicks]]*Marketing[[#This Row],[Conversion_Rate]],0)</f>
        <v>61</v>
      </c>
      <c r="J3543" s="12">
        <f>Marketing[[#This Row],[Campaign_Cost]]/Marketing[[#This Row],[Customers]]</f>
        <v>300.06557377049182</v>
      </c>
      <c r="K3543" t="s">
        <v>25</v>
      </c>
      <c r="L3543" t="s">
        <v>20</v>
      </c>
      <c r="M3543">
        <v>469</v>
      </c>
      <c r="N3543">
        <v>7084</v>
      </c>
      <c r="O3543">
        <v>7</v>
      </c>
      <c r="P3543" t="s">
        <v>27</v>
      </c>
      <c r="Q3543" s="1">
        <v>44453</v>
      </c>
    </row>
    <row r="3544" spans="1:17" x14ac:dyDescent="0.3">
      <c r="A3544" t="s">
        <v>28</v>
      </c>
      <c r="B3544" t="s">
        <v>15</v>
      </c>
      <c r="C3544" t="s">
        <v>30</v>
      </c>
      <c r="D3544" t="s">
        <v>46</v>
      </c>
      <c r="E3544" t="s">
        <v>15</v>
      </c>
      <c r="F3544" s="9">
        <v>7.0000000000000007E-2</v>
      </c>
      <c r="G3544" s="10">
        <v>18282</v>
      </c>
      <c r="H3544">
        <v>4.43</v>
      </c>
      <c r="I3544" s="5">
        <f>ROUND(Marketing[[#This Row],[Clicks]]*Marketing[[#This Row],[Conversion_Rate]],0)</f>
        <v>47</v>
      </c>
      <c r="J3544" s="12">
        <f>Marketing[[#This Row],[Campaign_Cost]]/Marketing[[#This Row],[Customers]]</f>
        <v>388.97872340425533</v>
      </c>
      <c r="K3544" t="s">
        <v>25</v>
      </c>
      <c r="L3544" t="s">
        <v>39</v>
      </c>
      <c r="M3544">
        <v>668</v>
      </c>
      <c r="N3544">
        <v>5657</v>
      </c>
      <c r="O3544">
        <v>10</v>
      </c>
      <c r="P3544" t="s">
        <v>44</v>
      </c>
      <c r="Q3544" s="1">
        <v>44454</v>
      </c>
    </row>
    <row r="3545" spans="1:17" x14ac:dyDescent="0.3">
      <c r="A3545" t="s">
        <v>22</v>
      </c>
      <c r="B3545" t="s">
        <v>45</v>
      </c>
      <c r="C3545" t="s">
        <v>30</v>
      </c>
      <c r="D3545" t="s">
        <v>17</v>
      </c>
      <c r="E3545" t="s">
        <v>43</v>
      </c>
      <c r="F3545" s="9">
        <v>7.0000000000000007E-2</v>
      </c>
      <c r="G3545" s="10">
        <v>19914</v>
      </c>
      <c r="H3545">
        <v>3.16</v>
      </c>
      <c r="I3545" s="5">
        <f>ROUND(Marketing[[#This Row],[Clicks]]*Marketing[[#This Row],[Conversion_Rate]],0)</f>
        <v>40</v>
      </c>
      <c r="J3545" s="12">
        <f>Marketing[[#This Row],[Campaign_Cost]]/Marketing[[#This Row],[Customers]]</f>
        <v>497.85</v>
      </c>
      <c r="K3545" t="s">
        <v>38</v>
      </c>
      <c r="L3545" t="s">
        <v>26</v>
      </c>
      <c r="M3545">
        <v>570</v>
      </c>
      <c r="N3545">
        <v>2029</v>
      </c>
      <c r="O3545">
        <v>7</v>
      </c>
      <c r="P3545" t="s">
        <v>44</v>
      </c>
      <c r="Q3545" s="1">
        <v>44455</v>
      </c>
    </row>
    <row r="3546" spans="1:17" x14ac:dyDescent="0.3">
      <c r="A3546" t="s">
        <v>28</v>
      </c>
      <c r="B3546" t="s">
        <v>36</v>
      </c>
      <c r="C3546" t="s">
        <v>23</v>
      </c>
      <c r="D3546" t="s">
        <v>40</v>
      </c>
      <c r="E3546" t="s">
        <v>41</v>
      </c>
      <c r="F3546" s="9">
        <v>0.05</v>
      </c>
      <c r="G3546" s="10">
        <v>12382</v>
      </c>
      <c r="H3546">
        <v>7.02</v>
      </c>
      <c r="I3546" s="5">
        <f>ROUND(Marketing[[#This Row],[Clicks]]*Marketing[[#This Row],[Conversion_Rate]],0)</f>
        <v>7</v>
      </c>
      <c r="J3546" s="12">
        <f>Marketing[[#This Row],[Campaign_Cost]]/Marketing[[#This Row],[Customers]]</f>
        <v>1768.8571428571429</v>
      </c>
      <c r="K3546" t="s">
        <v>25</v>
      </c>
      <c r="L3546" t="s">
        <v>26</v>
      </c>
      <c r="M3546">
        <v>146</v>
      </c>
      <c r="N3546">
        <v>1252</v>
      </c>
      <c r="O3546">
        <v>7</v>
      </c>
      <c r="P3546" t="s">
        <v>27</v>
      </c>
      <c r="Q3546" s="1">
        <v>44456</v>
      </c>
    </row>
    <row r="3547" spans="1:17" x14ac:dyDescent="0.3">
      <c r="A3547" t="s">
        <v>14</v>
      </c>
      <c r="B3547" t="s">
        <v>47</v>
      </c>
      <c r="C3547" t="s">
        <v>30</v>
      </c>
      <c r="D3547" t="s">
        <v>24</v>
      </c>
      <c r="E3547" t="s">
        <v>41</v>
      </c>
      <c r="F3547" s="9">
        <v>0.14000000000000001</v>
      </c>
      <c r="G3547" s="10">
        <v>5716</v>
      </c>
      <c r="H3547">
        <v>4.4400000000000004</v>
      </c>
      <c r="I3547" s="5">
        <f>ROUND(Marketing[[#This Row],[Clicks]]*Marketing[[#This Row],[Conversion_Rate]],0)</f>
        <v>128</v>
      </c>
      <c r="J3547" s="12">
        <f>Marketing[[#This Row],[Campaign_Cost]]/Marketing[[#This Row],[Customers]]</f>
        <v>44.65625</v>
      </c>
      <c r="K3547" t="s">
        <v>38</v>
      </c>
      <c r="L3547" t="s">
        <v>20</v>
      </c>
      <c r="M3547">
        <v>916</v>
      </c>
      <c r="N3547">
        <v>8745</v>
      </c>
      <c r="O3547">
        <v>6</v>
      </c>
      <c r="P3547" t="s">
        <v>34</v>
      </c>
      <c r="Q3547" s="1">
        <v>44457</v>
      </c>
    </row>
    <row r="3548" spans="1:17" x14ac:dyDescent="0.3">
      <c r="A3548" t="s">
        <v>35</v>
      </c>
      <c r="B3548" t="s">
        <v>29</v>
      </c>
      <c r="C3548" t="s">
        <v>52</v>
      </c>
      <c r="D3548" t="s">
        <v>40</v>
      </c>
      <c r="E3548" t="s">
        <v>43</v>
      </c>
      <c r="F3548" s="9">
        <v>0.02</v>
      </c>
      <c r="G3548" s="10">
        <v>13086</v>
      </c>
      <c r="H3548">
        <v>2.71</v>
      </c>
      <c r="I3548" s="5">
        <f>ROUND(Marketing[[#This Row],[Clicks]]*Marketing[[#This Row],[Conversion_Rate]],0)</f>
        <v>11</v>
      </c>
      <c r="J3548" s="12">
        <f>Marketing[[#This Row],[Campaign_Cost]]/Marketing[[#This Row],[Customers]]</f>
        <v>1189.6363636363637</v>
      </c>
      <c r="K3548" t="s">
        <v>25</v>
      </c>
      <c r="L3548" t="s">
        <v>26</v>
      </c>
      <c r="M3548">
        <v>565</v>
      </c>
      <c r="N3548">
        <v>8161</v>
      </c>
      <c r="O3548">
        <v>4</v>
      </c>
      <c r="P3548" t="s">
        <v>34</v>
      </c>
      <c r="Q3548" s="1">
        <v>44458</v>
      </c>
    </row>
    <row r="3549" spans="1:17" x14ac:dyDescent="0.3">
      <c r="A3549" t="s">
        <v>49</v>
      </c>
      <c r="B3549" t="s">
        <v>36</v>
      </c>
      <c r="C3549" t="s">
        <v>52</v>
      </c>
      <c r="D3549" t="s">
        <v>40</v>
      </c>
      <c r="E3549" t="s">
        <v>43</v>
      </c>
      <c r="F3549" s="9">
        <v>7.0000000000000007E-2</v>
      </c>
      <c r="G3549" s="10">
        <v>6092</v>
      </c>
      <c r="H3549">
        <v>5.49</v>
      </c>
      <c r="I3549" s="5">
        <f>ROUND(Marketing[[#This Row],[Clicks]]*Marketing[[#This Row],[Conversion_Rate]],0)</f>
        <v>29</v>
      </c>
      <c r="J3549" s="12">
        <f>Marketing[[#This Row],[Campaign_Cost]]/Marketing[[#This Row],[Customers]]</f>
        <v>210.06896551724137</v>
      </c>
      <c r="K3549" t="s">
        <v>19</v>
      </c>
      <c r="L3549" t="s">
        <v>50</v>
      </c>
      <c r="M3549">
        <v>408</v>
      </c>
      <c r="N3549">
        <v>2577</v>
      </c>
      <c r="O3549">
        <v>4</v>
      </c>
      <c r="P3549" t="s">
        <v>42</v>
      </c>
      <c r="Q3549" s="1">
        <v>44459</v>
      </c>
    </row>
    <row r="3550" spans="1:17" x14ac:dyDescent="0.3">
      <c r="A3550" t="s">
        <v>22</v>
      </c>
      <c r="B3550" t="s">
        <v>29</v>
      </c>
      <c r="C3550" t="s">
        <v>16</v>
      </c>
      <c r="D3550" t="s">
        <v>24</v>
      </c>
      <c r="E3550" t="s">
        <v>43</v>
      </c>
      <c r="F3550" s="9">
        <v>7.0000000000000007E-2</v>
      </c>
      <c r="G3550" s="10">
        <v>9078</v>
      </c>
      <c r="H3550">
        <v>5.71</v>
      </c>
      <c r="I3550" s="5">
        <f>ROUND(Marketing[[#This Row],[Clicks]]*Marketing[[#This Row],[Conversion_Rate]],0)</f>
        <v>17</v>
      </c>
      <c r="J3550" s="12">
        <f>Marketing[[#This Row],[Campaign_Cost]]/Marketing[[#This Row],[Customers]]</f>
        <v>534</v>
      </c>
      <c r="K3550" t="s">
        <v>19</v>
      </c>
      <c r="L3550" t="s">
        <v>39</v>
      </c>
      <c r="M3550">
        <v>237</v>
      </c>
      <c r="N3550">
        <v>3108</v>
      </c>
      <c r="O3550">
        <v>5</v>
      </c>
      <c r="P3550" t="s">
        <v>21</v>
      </c>
      <c r="Q3550" s="1">
        <v>44460</v>
      </c>
    </row>
    <row r="3551" spans="1:17" x14ac:dyDescent="0.3">
      <c r="A3551" t="s">
        <v>14</v>
      </c>
      <c r="B3551" t="s">
        <v>29</v>
      </c>
      <c r="C3551" t="s">
        <v>30</v>
      </c>
      <c r="D3551" t="s">
        <v>40</v>
      </c>
      <c r="E3551" t="s">
        <v>41</v>
      </c>
      <c r="F3551" s="9">
        <v>0.04</v>
      </c>
      <c r="G3551" s="10">
        <v>14124</v>
      </c>
      <c r="H3551">
        <v>5.52</v>
      </c>
      <c r="I3551" s="5">
        <f>ROUND(Marketing[[#This Row],[Clicks]]*Marketing[[#This Row],[Conversion_Rate]],0)</f>
        <v>36</v>
      </c>
      <c r="J3551" s="12">
        <f>Marketing[[#This Row],[Campaign_Cost]]/Marketing[[#This Row],[Customers]]</f>
        <v>392.33333333333331</v>
      </c>
      <c r="K3551" t="s">
        <v>19</v>
      </c>
      <c r="L3551" t="s">
        <v>39</v>
      </c>
      <c r="M3551">
        <v>894</v>
      </c>
      <c r="N3551">
        <v>8222</v>
      </c>
      <c r="O3551">
        <v>10</v>
      </c>
      <c r="P3551" t="s">
        <v>34</v>
      </c>
      <c r="Q3551" s="1">
        <v>44461</v>
      </c>
    </row>
    <row r="3552" spans="1:17" x14ac:dyDescent="0.3">
      <c r="A3552" t="s">
        <v>28</v>
      </c>
      <c r="B3552" t="s">
        <v>15</v>
      </c>
      <c r="C3552" t="s">
        <v>30</v>
      </c>
      <c r="D3552" t="s">
        <v>24</v>
      </c>
      <c r="E3552" t="s">
        <v>41</v>
      </c>
      <c r="F3552" s="9">
        <v>0.14000000000000001</v>
      </c>
      <c r="G3552" s="10">
        <v>10461</v>
      </c>
      <c r="H3552">
        <v>5.04</v>
      </c>
      <c r="I3552" s="5">
        <f>ROUND(Marketing[[#This Row],[Clicks]]*Marketing[[#This Row],[Conversion_Rate]],0)</f>
        <v>119</v>
      </c>
      <c r="J3552" s="12">
        <f>Marketing[[#This Row],[Campaign_Cost]]/Marketing[[#This Row],[Customers]]</f>
        <v>87.907563025210081</v>
      </c>
      <c r="K3552" t="s">
        <v>32</v>
      </c>
      <c r="L3552" t="s">
        <v>39</v>
      </c>
      <c r="M3552">
        <v>852</v>
      </c>
      <c r="N3552">
        <v>1199</v>
      </c>
      <c r="O3552">
        <v>9</v>
      </c>
      <c r="P3552" t="s">
        <v>42</v>
      </c>
      <c r="Q3552" s="1">
        <v>44462</v>
      </c>
    </row>
    <row r="3553" spans="1:17" x14ac:dyDescent="0.3">
      <c r="A3553" t="s">
        <v>35</v>
      </c>
      <c r="B3553" t="s">
        <v>15</v>
      </c>
      <c r="C3553" t="s">
        <v>16</v>
      </c>
      <c r="D3553" t="s">
        <v>46</v>
      </c>
      <c r="E3553" t="s">
        <v>31</v>
      </c>
      <c r="F3553" s="9">
        <v>0.02</v>
      </c>
      <c r="G3553" s="10">
        <v>8319</v>
      </c>
      <c r="H3553">
        <v>2.31</v>
      </c>
      <c r="I3553" s="5">
        <f>ROUND(Marketing[[#This Row],[Clicks]]*Marketing[[#This Row],[Conversion_Rate]],0)</f>
        <v>5</v>
      </c>
      <c r="J3553" s="12">
        <f>Marketing[[#This Row],[Campaign_Cost]]/Marketing[[#This Row],[Customers]]</f>
        <v>1663.8</v>
      </c>
      <c r="K3553" t="s">
        <v>51</v>
      </c>
      <c r="L3553" t="s">
        <v>26</v>
      </c>
      <c r="M3553">
        <v>262</v>
      </c>
      <c r="N3553">
        <v>1760</v>
      </c>
      <c r="O3553">
        <v>9</v>
      </c>
      <c r="P3553" t="s">
        <v>34</v>
      </c>
      <c r="Q3553" s="1">
        <v>44463</v>
      </c>
    </row>
    <row r="3554" spans="1:17" x14ac:dyDescent="0.3">
      <c r="A3554" t="s">
        <v>14</v>
      </c>
      <c r="B3554" t="s">
        <v>15</v>
      </c>
      <c r="C3554" t="s">
        <v>52</v>
      </c>
      <c r="D3554" t="s">
        <v>17</v>
      </c>
      <c r="E3554" t="s">
        <v>31</v>
      </c>
      <c r="F3554" s="9">
        <v>0.12</v>
      </c>
      <c r="G3554" s="10">
        <v>12734</v>
      </c>
      <c r="H3554">
        <v>5.7</v>
      </c>
      <c r="I3554" s="5">
        <f>ROUND(Marketing[[#This Row],[Clicks]]*Marketing[[#This Row],[Conversion_Rate]],0)</f>
        <v>20</v>
      </c>
      <c r="J3554" s="12">
        <f>Marketing[[#This Row],[Campaign_Cost]]/Marketing[[#This Row],[Customers]]</f>
        <v>636.70000000000005</v>
      </c>
      <c r="K3554" t="s">
        <v>51</v>
      </c>
      <c r="L3554" t="s">
        <v>20</v>
      </c>
      <c r="M3554">
        <v>164</v>
      </c>
      <c r="N3554">
        <v>1481</v>
      </c>
      <c r="O3554">
        <v>10</v>
      </c>
      <c r="P3554" t="s">
        <v>44</v>
      </c>
      <c r="Q3554" s="1">
        <v>44464</v>
      </c>
    </row>
    <row r="3555" spans="1:17" x14ac:dyDescent="0.3">
      <c r="A3555" t="s">
        <v>14</v>
      </c>
      <c r="B3555" t="s">
        <v>47</v>
      </c>
      <c r="C3555" t="s">
        <v>52</v>
      </c>
      <c r="D3555" t="s">
        <v>40</v>
      </c>
      <c r="E3555" t="s">
        <v>41</v>
      </c>
      <c r="F3555" s="9">
        <v>0.14000000000000001</v>
      </c>
      <c r="G3555" s="10">
        <v>15315</v>
      </c>
      <c r="H3555">
        <v>3.62</v>
      </c>
      <c r="I3555" s="5">
        <f>ROUND(Marketing[[#This Row],[Clicks]]*Marketing[[#This Row],[Conversion_Rate]],0)</f>
        <v>119</v>
      </c>
      <c r="J3555" s="12">
        <f>Marketing[[#This Row],[Campaign_Cost]]/Marketing[[#This Row],[Customers]]</f>
        <v>128.69747899159663</v>
      </c>
      <c r="K3555" t="s">
        <v>19</v>
      </c>
      <c r="L3555" t="s">
        <v>33</v>
      </c>
      <c r="M3555">
        <v>852</v>
      </c>
      <c r="N3555">
        <v>1058</v>
      </c>
      <c r="O3555">
        <v>9</v>
      </c>
      <c r="P3555" t="s">
        <v>44</v>
      </c>
      <c r="Q3555" s="1">
        <v>44465</v>
      </c>
    </row>
    <row r="3556" spans="1:17" x14ac:dyDescent="0.3">
      <c r="A3556" t="s">
        <v>14</v>
      </c>
      <c r="B3556" t="s">
        <v>36</v>
      </c>
      <c r="C3556" t="s">
        <v>52</v>
      </c>
      <c r="D3556" t="s">
        <v>46</v>
      </c>
      <c r="E3556" t="s">
        <v>48</v>
      </c>
      <c r="F3556" s="9">
        <v>0.05</v>
      </c>
      <c r="G3556" s="10">
        <v>5869</v>
      </c>
      <c r="H3556">
        <v>6.02</v>
      </c>
      <c r="I3556" s="5">
        <f>ROUND(Marketing[[#This Row],[Clicks]]*Marketing[[#This Row],[Conversion_Rate]],0)</f>
        <v>46</v>
      </c>
      <c r="J3556" s="12">
        <f>Marketing[[#This Row],[Campaign_Cost]]/Marketing[[#This Row],[Customers]]</f>
        <v>127.58695652173913</v>
      </c>
      <c r="K3556" t="s">
        <v>19</v>
      </c>
      <c r="L3556" t="s">
        <v>50</v>
      </c>
      <c r="M3556">
        <v>925</v>
      </c>
      <c r="N3556">
        <v>7382</v>
      </c>
      <c r="O3556">
        <v>5</v>
      </c>
      <c r="P3556" t="s">
        <v>27</v>
      </c>
      <c r="Q3556" s="1">
        <v>44466</v>
      </c>
    </row>
    <row r="3557" spans="1:17" x14ac:dyDescent="0.3">
      <c r="A3557" t="s">
        <v>35</v>
      </c>
      <c r="B3557" t="s">
        <v>47</v>
      </c>
      <c r="C3557" t="s">
        <v>37</v>
      </c>
      <c r="D3557" t="s">
        <v>46</v>
      </c>
      <c r="E3557" t="s">
        <v>18</v>
      </c>
      <c r="F3557" s="9">
        <v>0.14000000000000001</v>
      </c>
      <c r="G3557" s="10">
        <v>5691</v>
      </c>
      <c r="H3557">
        <v>6.05</v>
      </c>
      <c r="I3557" s="5">
        <f>ROUND(Marketing[[#This Row],[Clicks]]*Marketing[[#This Row],[Conversion_Rate]],0)</f>
        <v>21</v>
      </c>
      <c r="J3557" s="12">
        <f>Marketing[[#This Row],[Campaign_Cost]]/Marketing[[#This Row],[Customers]]</f>
        <v>271</v>
      </c>
      <c r="K3557" t="s">
        <v>38</v>
      </c>
      <c r="L3557" t="s">
        <v>26</v>
      </c>
      <c r="M3557">
        <v>148</v>
      </c>
      <c r="N3557">
        <v>6746</v>
      </c>
      <c r="O3557">
        <v>9</v>
      </c>
      <c r="P3557" t="s">
        <v>44</v>
      </c>
      <c r="Q3557" s="1">
        <v>44467</v>
      </c>
    </row>
    <row r="3558" spans="1:17" x14ac:dyDescent="0.3">
      <c r="A3558" t="s">
        <v>35</v>
      </c>
      <c r="B3558" t="s">
        <v>15</v>
      </c>
      <c r="C3558" t="s">
        <v>52</v>
      </c>
      <c r="D3558" t="s">
        <v>17</v>
      </c>
      <c r="E3558" t="s">
        <v>18</v>
      </c>
      <c r="F3558" s="9">
        <v>0.08</v>
      </c>
      <c r="G3558" s="10">
        <v>13917</v>
      </c>
      <c r="H3558">
        <v>6.55</v>
      </c>
      <c r="I3558" s="5">
        <f>ROUND(Marketing[[#This Row],[Clicks]]*Marketing[[#This Row],[Conversion_Rate]],0)</f>
        <v>10</v>
      </c>
      <c r="J3558" s="12">
        <f>Marketing[[#This Row],[Campaign_Cost]]/Marketing[[#This Row],[Customers]]</f>
        <v>1391.7</v>
      </c>
      <c r="K3558" t="s">
        <v>51</v>
      </c>
      <c r="L3558" t="s">
        <v>50</v>
      </c>
      <c r="M3558">
        <v>121</v>
      </c>
      <c r="N3558">
        <v>2838</v>
      </c>
      <c r="O3558">
        <v>4</v>
      </c>
      <c r="P3558" t="s">
        <v>34</v>
      </c>
      <c r="Q3558" s="1">
        <v>44468</v>
      </c>
    </row>
    <row r="3559" spans="1:17" x14ac:dyDescent="0.3">
      <c r="A3559" t="s">
        <v>35</v>
      </c>
      <c r="B3559" t="s">
        <v>29</v>
      </c>
      <c r="C3559" t="s">
        <v>16</v>
      </c>
      <c r="D3559" t="s">
        <v>40</v>
      </c>
      <c r="E3559" t="s">
        <v>15</v>
      </c>
      <c r="F3559" s="9">
        <v>0.05</v>
      </c>
      <c r="G3559" s="10">
        <v>10265</v>
      </c>
      <c r="H3559">
        <v>6.29</v>
      </c>
      <c r="I3559" s="5">
        <f>ROUND(Marketing[[#This Row],[Clicks]]*Marketing[[#This Row],[Conversion_Rate]],0)</f>
        <v>39</v>
      </c>
      <c r="J3559" s="12">
        <f>Marketing[[#This Row],[Campaign_Cost]]/Marketing[[#This Row],[Customers]]</f>
        <v>263.20512820512823</v>
      </c>
      <c r="K3559" t="s">
        <v>51</v>
      </c>
      <c r="L3559" t="s">
        <v>50</v>
      </c>
      <c r="M3559">
        <v>772</v>
      </c>
      <c r="N3559">
        <v>9017</v>
      </c>
      <c r="O3559">
        <v>10</v>
      </c>
      <c r="P3559" t="s">
        <v>21</v>
      </c>
      <c r="Q3559" s="1">
        <v>44469</v>
      </c>
    </row>
    <row r="3560" spans="1:17" x14ac:dyDescent="0.3">
      <c r="A3560" t="s">
        <v>28</v>
      </c>
      <c r="B3560" t="s">
        <v>29</v>
      </c>
      <c r="C3560" t="s">
        <v>30</v>
      </c>
      <c r="D3560" t="s">
        <v>24</v>
      </c>
      <c r="E3560" t="s">
        <v>15</v>
      </c>
      <c r="F3560" s="9">
        <v>0.11</v>
      </c>
      <c r="G3560" s="10">
        <v>19358</v>
      </c>
      <c r="H3560">
        <v>7.83</v>
      </c>
      <c r="I3560" s="5">
        <f>ROUND(Marketing[[#This Row],[Clicks]]*Marketing[[#This Row],[Conversion_Rate]],0)</f>
        <v>54</v>
      </c>
      <c r="J3560" s="12">
        <f>Marketing[[#This Row],[Campaign_Cost]]/Marketing[[#This Row],[Customers]]</f>
        <v>358.48148148148147</v>
      </c>
      <c r="K3560" t="s">
        <v>38</v>
      </c>
      <c r="L3560" t="s">
        <v>26</v>
      </c>
      <c r="M3560">
        <v>488</v>
      </c>
      <c r="N3560">
        <v>5501</v>
      </c>
      <c r="O3560">
        <v>8</v>
      </c>
      <c r="P3560" t="s">
        <v>21</v>
      </c>
      <c r="Q3560" s="1">
        <v>44470</v>
      </c>
    </row>
    <row r="3561" spans="1:17" x14ac:dyDescent="0.3">
      <c r="A3561" t="s">
        <v>49</v>
      </c>
      <c r="B3561" t="s">
        <v>45</v>
      </c>
      <c r="C3561" t="s">
        <v>30</v>
      </c>
      <c r="D3561" t="s">
        <v>40</v>
      </c>
      <c r="E3561" t="s">
        <v>18</v>
      </c>
      <c r="F3561" s="9">
        <v>0.06</v>
      </c>
      <c r="G3561" s="10">
        <v>6360</v>
      </c>
      <c r="H3561">
        <v>4.42</v>
      </c>
      <c r="I3561" s="5">
        <f>ROUND(Marketing[[#This Row],[Clicks]]*Marketing[[#This Row],[Conversion_Rate]],0)</f>
        <v>39</v>
      </c>
      <c r="J3561" s="12">
        <f>Marketing[[#This Row],[Campaign_Cost]]/Marketing[[#This Row],[Customers]]</f>
        <v>163.07692307692307</v>
      </c>
      <c r="K3561" t="s">
        <v>25</v>
      </c>
      <c r="L3561" t="s">
        <v>39</v>
      </c>
      <c r="M3561">
        <v>650</v>
      </c>
      <c r="N3561">
        <v>9704</v>
      </c>
      <c r="O3561">
        <v>8</v>
      </c>
      <c r="P3561" t="s">
        <v>44</v>
      </c>
      <c r="Q3561" s="1">
        <v>44471</v>
      </c>
    </row>
    <row r="3562" spans="1:17" x14ac:dyDescent="0.3">
      <c r="A3562" t="s">
        <v>28</v>
      </c>
      <c r="B3562" t="s">
        <v>47</v>
      </c>
      <c r="C3562" t="s">
        <v>16</v>
      </c>
      <c r="D3562" t="s">
        <v>40</v>
      </c>
      <c r="E3562" t="s">
        <v>15</v>
      </c>
      <c r="F3562" s="9">
        <v>0.05</v>
      </c>
      <c r="G3562" s="10">
        <v>9578</v>
      </c>
      <c r="H3562">
        <v>6.4</v>
      </c>
      <c r="I3562" s="5">
        <f>ROUND(Marketing[[#This Row],[Clicks]]*Marketing[[#This Row],[Conversion_Rate]],0)</f>
        <v>43</v>
      </c>
      <c r="J3562" s="12">
        <f>Marketing[[#This Row],[Campaign_Cost]]/Marketing[[#This Row],[Customers]]</f>
        <v>222.74418604651163</v>
      </c>
      <c r="K3562" t="s">
        <v>19</v>
      </c>
      <c r="L3562" t="s">
        <v>39</v>
      </c>
      <c r="M3562">
        <v>866</v>
      </c>
      <c r="N3562">
        <v>5011</v>
      </c>
      <c r="O3562">
        <v>5</v>
      </c>
      <c r="P3562" t="s">
        <v>42</v>
      </c>
      <c r="Q3562" s="1">
        <v>44472</v>
      </c>
    </row>
    <row r="3563" spans="1:17" x14ac:dyDescent="0.3">
      <c r="A3563" t="s">
        <v>28</v>
      </c>
      <c r="B3563" t="s">
        <v>45</v>
      </c>
      <c r="C3563" t="s">
        <v>52</v>
      </c>
      <c r="D3563" t="s">
        <v>24</v>
      </c>
      <c r="E3563" t="s">
        <v>31</v>
      </c>
      <c r="F3563" s="9">
        <v>0.04</v>
      </c>
      <c r="G3563" s="10">
        <v>7745</v>
      </c>
      <c r="H3563">
        <v>3.78</v>
      </c>
      <c r="I3563" s="5">
        <f>ROUND(Marketing[[#This Row],[Clicks]]*Marketing[[#This Row],[Conversion_Rate]],0)</f>
        <v>30</v>
      </c>
      <c r="J3563" s="12">
        <f>Marketing[[#This Row],[Campaign_Cost]]/Marketing[[#This Row],[Customers]]</f>
        <v>258.16666666666669</v>
      </c>
      <c r="K3563" t="s">
        <v>38</v>
      </c>
      <c r="L3563" t="s">
        <v>39</v>
      </c>
      <c r="M3563">
        <v>757</v>
      </c>
      <c r="N3563">
        <v>9147</v>
      </c>
      <c r="O3563">
        <v>10</v>
      </c>
      <c r="P3563" t="s">
        <v>27</v>
      </c>
      <c r="Q3563" s="1">
        <v>44473</v>
      </c>
    </row>
    <row r="3564" spans="1:17" x14ac:dyDescent="0.3">
      <c r="A3564" t="s">
        <v>49</v>
      </c>
      <c r="B3564" t="s">
        <v>45</v>
      </c>
      <c r="C3564" t="s">
        <v>30</v>
      </c>
      <c r="D3564" t="s">
        <v>46</v>
      </c>
      <c r="E3564" t="s">
        <v>41</v>
      </c>
      <c r="F3564" s="9">
        <v>0.12</v>
      </c>
      <c r="G3564" s="10">
        <v>7172</v>
      </c>
      <c r="H3564">
        <v>5.82</v>
      </c>
      <c r="I3564" s="5">
        <f>ROUND(Marketing[[#This Row],[Clicks]]*Marketing[[#This Row],[Conversion_Rate]],0)</f>
        <v>57</v>
      </c>
      <c r="J3564" s="12">
        <f>Marketing[[#This Row],[Campaign_Cost]]/Marketing[[#This Row],[Customers]]</f>
        <v>125.82456140350877</v>
      </c>
      <c r="K3564" t="s">
        <v>19</v>
      </c>
      <c r="L3564" t="s">
        <v>20</v>
      </c>
      <c r="M3564">
        <v>476</v>
      </c>
      <c r="N3564">
        <v>5529</v>
      </c>
      <c r="O3564">
        <v>8</v>
      </c>
      <c r="P3564" t="s">
        <v>34</v>
      </c>
      <c r="Q3564" s="1">
        <v>44474</v>
      </c>
    </row>
    <row r="3565" spans="1:17" x14ac:dyDescent="0.3">
      <c r="A3565" t="s">
        <v>49</v>
      </c>
      <c r="B3565" t="s">
        <v>15</v>
      </c>
      <c r="C3565" t="s">
        <v>16</v>
      </c>
      <c r="D3565" t="s">
        <v>40</v>
      </c>
      <c r="E3565" t="s">
        <v>31</v>
      </c>
      <c r="F3565" s="9">
        <v>0.06</v>
      </c>
      <c r="G3565" s="10">
        <v>19965</v>
      </c>
      <c r="H3565">
        <v>6.66</v>
      </c>
      <c r="I3565" s="5">
        <f>ROUND(Marketing[[#This Row],[Clicks]]*Marketing[[#This Row],[Conversion_Rate]],0)</f>
        <v>53</v>
      </c>
      <c r="J3565" s="12">
        <f>Marketing[[#This Row],[Campaign_Cost]]/Marketing[[#This Row],[Customers]]</f>
        <v>376.69811320754718</v>
      </c>
      <c r="K3565" t="s">
        <v>25</v>
      </c>
      <c r="L3565" t="s">
        <v>50</v>
      </c>
      <c r="M3565">
        <v>875</v>
      </c>
      <c r="N3565">
        <v>3720</v>
      </c>
      <c r="O3565">
        <v>9</v>
      </c>
      <c r="P3565" t="s">
        <v>27</v>
      </c>
      <c r="Q3565" s="1">
        <v>44475</v>
      </c>
    </row>
    <row r="3566" spans="1:17" x14ac:dyDescent="0.3">
      <c r="A3566" t="s">
        <v>35</v>
      </c>
      <c r="B3566" t="s">
        <v>36</v>
      </c>
      <c r="C3566" t="s">
        <v>23</v>
      </c>
      <c r="D3566" t="s">
        <v>17</v>
      </c>
      <c r="E3566" t="s">
        <v>18</v>
      </c>
      <c r="F3566" s="9">
        <v>0.06</v>
      </c>
      <c r="G3566" s="10">
        <v>5223</v>
      </c>
      <c r="H3566">
        <v>4.26</v>
      </c>
      <c r="I3566" s="5">
        <f>ROUND(Marketing[[#This Row],[Clicks]]*Marketing[[#This Row],[Conversion_Rate]],0)</f>
        <v>16</v>
      </c>
      <c r="J3566" s="12">
        <f>Marketing[[#This Row],[Campaign_Cost]]/Marketing[[#This Row],[Customers]]</f>
        <v>326.4375</v>
      </c>
      <c r="K3566" t="s">
        <v>32</v>
      </c>
      <c r="L3566" t="s">
        <v>39</v>
      </c>
      <c r="M3566">
        <v>261</v>
      </c>
      <c r="N3566">
        <v>8140</v>
      </c>
      <c r="O3566">
        <v>9</v>
      </c>
      <c r="P3566" t="s">
        <v>34</v>
      </c>
      <c r="Q3566" s="1">
        <v>44476</v>
      </c>
    </row>
    <row r="3567" spans="1:17" x14ac:dyDescent="0.3">
      <c r="A3567" t="s">
        <v>35</v>
      </c>
      <c r="B3567" t="s">
        <v>45</v>
      </c>
      <c r="C3567" t="s">
        <v>52</v>
      </c>
      <c r="D3567" t="s">
        <v>46</v>
      </c>
      <c r="E3567" t="s">
        <v>31</v>
      </c>
      <c r="F3567" s="9">
        <v>0.08</v>
      </c>
      <c r="G3567" s="10">
        <v>7782</v>
      </c>
      <c r="H3567">
        <v>3.14</v>
      </c>
      <c r="I3567" s="5">
        <f>ROUND(Marketing[[#This Row],[Clicks]]*Marketing[[#This Row],[Conversion_Rate]],0)</f>
        <v>9</v>
      </c>
      <c r="J3567" s="12">
        <f>Marketing[[#This Row],[Campaign_Cost]]/Marketing[[#This Row],[Customers]]</f>
        <v>864.66666666666663</v>
      </c>
      <c r="K3567" t="s">
        <v>51</v>
      </c>
      <c r="L3567" t="s">
        <v>50</v>
      </c>
      <c r="M3567">
        <v>114</v>
      </c>
      <c r="N3567">
        <v>6843</v>
      </c>
      <c r="O3567">
        <v>10</v>
      </c>
      <c r="P3567" t="s">
        <v>44</v>
      </c>
      <c r="Q3567" s="1">
        <v>44477</v>
      </c>
    </row>
    <row r="3568" spans="1:17" x14ac:dyDescent="0.3">
      <c r="A3568" t="s">
        <v>28</v>
      </c>
      <c r="B3568" t="s">
        <v>47</v>
      </c>
      <c r="C3568" t="s">
        <v>23</v>
      </c>
      <c r="D3568" t="s">
        <v>46</v>
      </c>
      <c r="E3568" t="s">
        <v>41</v>
      </c>
      <c r="F3568" s="9">
        <v>0.02</v>
      </c>
      <c r="G3568" s="10">
        <v>7672</v>
      </c>
      <c r="H3568">
        <v>2.06</v>
      </c>
      <c r="I3568" s="5">
        <f>ROUND(Marketing[[#This Row],[Clicks]]*Marketing[[#This Row],[Conversion_Rate]],0)</f>
        <v>5</v>
      </c>
      <c r="J3568" s="12">
        <f>Marketing[[#This Row],[Campaign_Cost]]/Marketing[[#This Row],[Customers]]</f>
        <v>1534.4</v>
      </c>
      <c r="K3568" t="s">
        <v>32</v>
      </c>
      <c r="L3568" t="s">
        <v>26</v>
      </c>
      <c r="M3568">
        <v>236</v>
      </c>
      <c r="N3568">
        <v>3656</v>
      </c>
      <c r="O3568">
        <v>10</v>
      </c>
      <c r="P3568" t="s">
        <v>21</v>
      </c>
      <c r="Q3568" s="1">
        <v>44478</v>
      </c>
    </row>
    <row r="3569" spans="1:17" x14ac:dyDescent="0.3">
      <c r="A3569" t="s">
        <v>49</v>
      </c>
      <c r="B3569" t="s">
        <v>29</v>
      </c>
      <c r="C3569" t="s">
        <v>23</v>
      </c>
      <c r="D3569" t="s">
        <v>24</v>
      </c>
      <c r="E3569" t="s">
        <v>41</v>
      </c>
      <c r="F3569" s="9">
        <v>0.13</v>
      </c>
      <c r="G3569" s="10">
        <v>8488</v>
      </c>
      <c r="H3569">
        <v>2.84</v>
      </c>
      <c r="I3569" s="5">
        <f>ROUND(Marketing[[#This Row],[Clicks]]*Marketing[[#This Row],[Conversion_Rate]],0)</f>
        <v>33</v>
      </c>
      <c r="J3569" s="12">
        <f>Marketing[[#This Row],[Campaign_Cost]]/Marketing[[#This Row],[Customers]]</f>
        <v>257.21212121212119</v>
      </c>
      <c r="K3569" t="s">
        <v>19</v>
      </c>
      <c r="L3569" t="s">
        <v>39</v>
      </c>
      <c r="M3569">
        <v>254</v>
      </c>
      <c r="N3569">
        <v>5805</v>
      </c>
      <c r="O3569">
        <v>7</v>
      </c>
      <c r="P3569" t="s">
        <v>44</v>
      </c>
      <c r="Q3569" s="1">
        <v>44479</v>
      </c>
    </row>
    <row r="3570" spans="1:17" x14ac:dyDescent="0.3">
      <c r="A3570" t="s">
        <v>35</v>
      </c>
      <c r="B3570" t="s">
        <v>15</v>
      </c>
      <c r="C3570" t="s">
        <v>37</v>
      </c>
      <c r="D3570" t="s">
        <v>17</v>
      </c>
      <c r="E3570" t="s">
        <v>48</v>
      </c>
      <c r="F3570" s="9">
        <v>7.0000000000000007E-2</v>
      </c>
      <c r="G3570" s="10">
        <v>7438</v>
      </c>
      <c r="H3570">
        <v>6.65</v>
      </c>
      <c r="I3570" s="5">
        <f>ROUND(Marketing[[#This Row],[Clicks]]*Marketing[[#This Row],[Conversion_Rate]],0)</f>
        <v>38</v>
      </c>
      <c r="J3570" s="12">
        <f>Marketing[[#This Row],[Campaign_Cost]]/Marketing[[#This Row],[Customers]]</f>
        <v>195.73684210526315</v>
      </c>
      <c r="K3570" t="s">
        <v>25</v>
      </c>
      <c r="L3570" t="s">
        <v>33</v>
      </c>
      <c r="M3570">
        <v>539</v>
      </c>
      <c r="N3570">
        <v>9586</v>
      </c>
      <c r="O3570">
        <v>6</v>
      </c>
      <c r="P3570" t="s">
        <v>34</v>
      </c>
      <c r="Q3570" s="1">
        <v>44480</v>
      </c>
    </row>
    <row r="3571" spans="1:17" x14ac:dyDescent="0.3">
      <c r="A3571" t="s">
        <v>22</v>
      </c>
      <c r="B3571" t="s">
        <v>45</v>
      </c>
      <c r="C3571" t="s">
        <v>23</v>
      </c>
      <c r="D3571" t="s">
        <v>17</v>
      </c>
      <c r="E3571" t="s">
        <v>15</v>
      </c>
      <c r="F3571" s="9">
        <v>0.14000000000000001</v>
      </c>
      <c r="G3571" s="10">
        <v>8255</v>
      </c>
      <c r="H3571">
        <v>4.9800000000000004</v>
      </c>
      <c r="I3571" s="5">
        <f>ROUND(Marketing[[#This Row],[Clicks]]*Marketing[[#This Row],[Conversion_Rate]],0)</f>
        <v>88</v>
      </c>
      <c r="J3571" s="12">
        <f>Marketing[[#This Row],[Campaign_Cost]]/Marketing[[#This Row],[Customers]]</f>
        <v>93.806818181818187</v>
      </c>
      <c r="K3571" t="s">
        <v>25</v>
      </c>
      <c r="L3571" t="s">
        <v>39</v>
      </c>
      <c r="M3571">
        <v>632</v>
      </c>
      <c r="N3571">
        <v>5051</v>
      </c>
      <c r="O3571">
        <v>8</v>
      </c>
      <c r="P3571" t="s">
        <v>21</v>
      </c>
      <c r="Q3571" s="1">
        <v>44481</v>
      </c>
    </row>
    <row r="3572" spans="1:17" x14ac:dyDescent="0.3">
      <c r="A3572" t="s">
        <v>49</v>
      </c>
      <c r="B3572" t="s">
        <v>45</v>
      </c>
      <c r="C3572" t="s">
        <v>52</v>
      </c>
      <c r="D3572" t="s">
        <v>40</v>
      </c>
      <c r="E3572" t="s">
        <v>15</v>
      </c>
      <c r="F3572" s="9">
        <v>0.05</v>
      </c>
      <c r="G3572" s="10">
        <v>7004</v>
      </c>
      <c r="H3572">
        <v>3.93</v>
      </c>
      <c r="I3572" s="5">
        <f>ROUND(Marketing[[#This Row],[Clicks]]*Marketing[[#This Row],[Conversion_Rate]],0)</f>
        <v>43</v>
      </c>
      <c r="J3572" s="12">
        <f>Marketing[[#This Row],[Campaign_Cost]]/Marketing[[#This Row],[Customers]]</f>
        <v>162.88372093023256</v>
      </c>
      <c r="K3572" t="s">
        <v>25</v>
      </c>
      <c r="L3572" t="s">
        <v>39</v>
      </c>
      <c r="M3572">
        <v>856</v>
      </c>
      <c r="N3572">
        <v>3008</v>
      </c>
      <c r="O3572">
        <v>9</v>
      </c>
      <c r="P3572" t="s">
        <v>27</v>
      </c>
      <c r="Q3572" s="1">
        <v>44482</v>
      </c>
    </row>
    <row r="3573" spans="1:17" x14ac:dyDescent="0.3">
      <c r="A3573" t="s">
        <v>35</v>
      </c>
      <c r="B3573" t="s">
        <v>29</v>
      </c>
      <c r="C3573" t="s">
        <v>23</v>
      </c>
      <c r="D3573" t="s">
        <v>17</v>
      </c>
      <c r="E3573" t="s">
        <v>31</v>
      </c>
      <c r="F3573" s="9">
        <v>0.03</v>
      </c>
      <c r="G3573" s="10">
        <v>16368</v>
      </c>
      <c r="H3573">
        <v>2.0299999999999998</v>
      </c>
      <c r="I3573" s="5">
        <f>ROUND(Marketing[[#This Row],[Clicks]]*Marketing[[#This Row],[Conversion_Rate]],0)</f>
        <v>17</v>
      </c>
      <c r="J3573" s="12">
        <f>Marketing[[#This Row],[Campaign_Cost]]/Marketing[[#This Row],[Customers]]</f>
        <v>962.82352941176475</v>
      </c>
      <c r="K3573" t="s">
        <v>32</v>
      </c>
      <c r="L3573" t="s">
        <v>33</v>
      </c>
      <c r="M3573">
        <v>564</v>
      </c>
      <c r="N3573">
        <v>4996</v>
      </c>
      <c r="O3573">
        <v>8</v>
      </c>
      <c r="P3573" t="s">
        <v>34</v>
      </c>
      <c r="Q3573" s="1">
        <v>44483</v>
      </c>
    </row>
    <row r="3574" spans="1:17" x14ac:dyDescent="0.3">
      <c r="A3574" t="s">
        <v>49</v>
      </c>
      <c r="B3574" t="s">
        <v>36</v>
      </c>
      <c r="C3574" t="s">
        <v>52</v>
      </c>
      <c r="D3574" t="s">
        <v>40</v>
      </c>
      <c r="E3574" t="s">
        <v>41</v>
      </c>
      <c r="F3574" s="9">
        <v>0.08</v>
      </c>
      <c r="G3574" s="10">
        <v>13979</v>
      </c>
      <c r="H3574">
        <v>6.89</v>
      </c>
      <c r="I3574" s="5">
        <f>ROUND(Marketing[[#This Row],[Clicks]]*Marketing[[#This Row],[Conversion_Rate]],0)</f>
        <v>52</v>
      </c>
      <c r="J3574" s="12">
        <f>Marketing[[#This Row],[Campaign_Cost]]/Marketing[[#This Row],[Customers]]</f>
        <v>268.82692307692309</v>
      </c>
      <c r="K3574" t="s">
        <v>19</v>
      </c>
      <c r="L3574" t="s">
        <v>39</v>
      </c>
      <c r="M3574">
        <v>655</v>
      </c>
      <c r="N3574">
        <v>1457</v>
      </c>
      <c r="O3574">
        <v>3</v>
      </c>
      <c r="P3574" t="s">
        <v>21</v>
      </c>
      <c r="Q3574" s="1">
        <v>44484</v>
      </c>
    </row>
    <row r="3575" spans="1:17" x14ac:dyDescent="0.3">
      <c r="A3575" t="s">
        <v>14</v>
      </c>
      <c r="B3575" t="s">
        <v>36</v>
      </c>
      <c r="C3575" t="s">
        <v>23</v>
      </c>
      <c r="D3575" t="s">
        <v>17</v>
      </c>
      <c r="E3575" t="s">
        <v>15</v>
      </c>
      <c r="F3575" s="9">
        <v>0.09</v>
      </c>
      <c r="G3575" s="10">
        <v>6188</v>
      </c>
      <c r="H3575">
        <v>4.51</v>
      </c>
      <c r="I3575" s="5">
        <f>ROUND(Marketing[[#This Row],[Clicks]]*Marketing[[#This Row],[Conversion_Rate]],0)</f>
        <v>75</v>
      </c>
      <c r="J3575" s="12">
        <f>Marketing[[#This Row],[Campaign_Cost]]/Marketing[[#This Row],[Customers]]</f>
        <v>82.506666666666661</v>
      </c>
      <c r="K3575" t="s">
        <v>25</v>
      </c>
      <c r="L3575" t="s">
        <v>39</v>
      </c>
      <c r="M3575">
        <v>830</v>
      </c>
      <c r="N3575">
        <v>7091</v>
      </c>
      <c r="O3575">
        <v>9</v>
      </c>
      <c r="P3575" t="s">
        <v>42</v>
      </c>
      <c r="Q3575" s="1">
        <v>44485</v>
      </c>
    </row>
    <row r="3576" spans="1:17" x14ac:dyDescent="0.3">
      <c r="A3576" t="s">
        <v>49</v>
      </c>
      <c r="B3576" t="s">
        <v>45</v>
      </c>
      <c r="C3576" t="s">
        <v>37</v>
      </c>
      <c r="D3576" t="s">
        <v>46</v>
      </c>
      <c r="E3576" t="s">
        <v>18</v>
      </c>
      <c r="F3576" s="9">
        <v>0.06</v>
      </c>
      <c r="G3576" s="10">
        <v>19453</v>
      </c>
      <c r="H3576">
        <v>3.58</v>
      </c>
      <c r="I3576" s="5">
        <f>ROUND(Marketing[[#This Row],[Clicks]]*Marketing[[#This Row],[Conversion_Rate]],0)</f>
        <v>18</v>
      </c>
      <c r="J3576" s="12">
        <f>Marketing[[#This Row],[Campaign_Cost]]/Marketing[[#This Row],[Customers]]</f>
        <v>1080.7222222222222</v>
      </c>
      <c r="K3576" t="s">
        <v>25</v>
      </c>
      <c r="L3576" t="s">
        <v>20</v>
      </c>
      <c r="M3576">
        <v>306</v>
      </c>
      <c r="N3576">
        <v>7708</v>
      </c>
      <c r="O3576">
        <v>10</v>
      </c>
      <c r="P3576" t="s">
        <v>27</v>
      </c>
      <c r="Q3576" s="1">
        <v>44486</v>
      </c>
    </row>
    <row r="3577" spans="1:17" x14ac:dyDescent="0.3">
      <c r="A3577" t="s">
        <v>49</v>
      </c>
      <c r="B3577" t="s">
        <v>36</v>
      </c>
      <c r="C3577" t="s">
        <v>23</v>
      </c>
      <c r="D3577" t="s">
        <v>24</v>
      </c>
      <c r="E3577" t="s">
        <v>41</v>
      </c>
      <c r="F3577" s="9">
        <v>0.03</v>
      </c>
      <c r="G3577" s="10">
        <v>8972</v>
      </c>
      <c r="H3577">
        <v>3.54</v>
      </c>
      <c r="I3577" s="5">
        <f>ROUND(Marketing[[#This Row],[Clicks]]*Marketing[[#This Row],[Conversion_Rate]],0)</f>
        <v>7</v>
      </c>
      <c r="J3577" s="12">
        <f>Marketing[[#This Row],[Campaign_Cost]]/Marketing[[#This Row],[Customers]]</f>
        <v>1281.7142857142858</v>
      </c>
      <c r="K3577" t="s">
        <v>51</v>
      </c>
      <c r="L3577" t="s">
        <v>50</v>
      </c>
      <c r="M3577">
        <v>241</v>
      </c>
      <c r="N3577">
        <v>6767</v>
      </c>
      <c r="O3577">
        <v>1</v>
      </c>
      <c r="P3577" t="s">
        <v>34</v>
      </c>
      <c r="Q3577" s="1">
        <v>44487</v>
      </c>
    </row>
    <row r="3578" spans="1:17" x14ac:dyDescent="0.3">
      <c r="A3578" t="s">
        <v>35</v>
      </c>
      <c r="B3578" t="s">
        <v>45</v>
      </c>
      <c r="C3578" t="s">
        <v>23</v>
      </c>
      <c r="D3578" t="s">
        <v>24</v>
      </c>
      <c r="E3578" t="s">
        <v>15</v>
      </c>
      <c r="F3578" s="9">
        <v>0.06</v>
      </c>
      <c r="G3578" s="10">
        <v>18093</v>
      </c>
      <c r="H3578">
        <v>4.54</v>
      </c>
      <c r="I3578" s="5">
        <f>ROUND(Marketing[[#This Row],[Clicks]]*Marketing[[#This Row],[Conversion_Rate]],0)</f>
        <v>40</v>
      </c>
      <c r="J3578" s="12">
        <f>Marketing[[#This Row],[Campaign_Cost]]/Marketing[[#This Row],[Customers]]</f>
        <v>452.32499999999999</v>
      </c>
      <c r="K3578" t="s">
        <v>32</v>
      </c>
      <c r="L3578" t="s">
        <v>39</v>
      </c>
      <c r="M3578">
        <v>671</v>
      </c>
      <c r="N3578">
        <v>5141</v>
      </c>
      <c r="O3578">
        <v>8</v>
      </c>
      <c r="P3578" t="s">
        <v>44</v>
      </c>
      <c r="Q3578" s="1">
        <v>44488</v>
      </c>
    </row>
    <row r="3579" spans="1:17" x14ac:dyDescent="0.3">
      <c r="A3579" t="s">
        <v>28</v>
      </c>
      <c r="B3579" t="s">
        <v>15</v>
      </c>
      <c r="C3579" t="s">
        <v>30</v>
      </c>
      <c r="D3579" t="s">
        <v>24</v>
      </c>
      <c r="E3579" t="s">
        <v>43</v>
      </c>
      <c r="F3579" s="9">
        <v>7.0000000000000007E-2</v>
      </c>
      <c r="G3579" s="10">
        <v>15119</v>
      </c>
      <c r="H3579">
        <v>3.58</v>
      </c>
      <c r="I3579" s="5">
        <f>ROUND(Marketing[[#This Row],[Clicks]]*Marketing[[#This Row],[Conversion_Rate]],0)</f>
        <v>68</v>
      </c>
      <c r="J3579" s="12">
        <f>Marketing[[#This Row],[Campaign_Cost]]/Marketing[[#This Row],[Customers]]</f>
        <v>222.33823529411765</v>
      </c>
      <c r="K3579" t="s">
        <v>25</v>
      </c>
      <c r="L3579" t="s">
        <v>26</v>
      </c>
      <c r="M3579">
        <v>967</v>
      </c>
      <c r="N3579">
        <v>2310</v>
      </c>
      <c r="O3579">
        <v>7</v>
      </c>
      <c r="P3579" t="s">
        <v>44</v>
      </c>
      <c r="Q3579" s="1">
        <v>44489</v>
      </c>
    </row>
    <row r="3580" spans="1:17" x14ac:dyDescent="0.3">
      <c r="A3580" t="s">
        <v>35</v>
      </c>
      <c r="B3580" t="s">
        <v>36</v>
      </c>
      <c r="C3580" t="s">
        <v>16</v>
      </c>
      <c r="D3580" t="s">
        <v>24</v>
      </c>
      <c r="E3580" t="s">
        <v>48</v>
      </c>
      <c r="F3580" s="9">
        <v>0.02</v>
      </c>
      <c r="G3580" s="10">
        <v>7005</v>
      </c>
      <c r="H3580">
        <v>5.94</v>
      </c>
      <c r="I3580" s="5">
        <f>ROUND(Marketing[[#This Row],[Clicks]]*Marketing[[#This Row],[Conversion_Rate]],0)</f>
        <v>15</v>
      </c>
      <c r="J3580" s="12">
        <f>Marketing[[#This Row],[Campaign_Cost]]/Marketing[[#This Row],[Customers]]</f>
        <v>467</v>
      </c>
      <c r="K3580" t="s">
        <v>25</v>
      </c>
      <c r="L3580" t="s">
        <v>39</v>
      </c>
      <c r="M3580">
        <v>773</v>
      </c>
      <c r="N3580">
        <v>5178</v>
      </c>
      <c r="O3580">
        <v>5</v>
      </c>
      <c r="P3580" t="s">
        <v>27</v>
      </c>
      <c r="Q3580" s="1">
        <v>44490</v>
      </c>
    </row>
    <row r="3581" spans="1:17" x14ac:dyDescent="0.3">
      <c r="A3581" t="s">
        <v>28</v>
      </c>
      <c r="B3581" t="s">
        <v>47</v>
      </c>
      <c r="C3581" t="s">
        <v>30</v>
      </c>
      <c r="D3581" t="s">
        <v>24</v>
      </c>
      <c r="E3581" t="s">
        <v>43</v>
      </c>
      <c r="F3581" s="9">
        <v>0.12</v>
      </c>
      <c r="G3581" s="10">
        <v>7310</v>
      </c>
      <c r="H3581">
        <v>5.89</v>
      </c>
      <c r="I3581" s="5">
        <f>ROUND(Marketing[[#This Row],[Clicks]]*Marketing[[#This Row],[Conversion_Rate]],0)</f>
        <v>52</v>
      </c>
      <c r="J3581" s="12">
        <f>Marketing[[#This Row],[Campaign_Cost]]/Marketing[[#This Row],[Customers]]</f>
        <v>140.57692307692307</v>
      </c>
      <c r="K3581" t="s">
        <v>32</v>
      </c>
      <c r="L3581" t="s">
        <v>39</v>
      </c>
      <c r="M3581">
        <v>430</v>
      </c>
      <c r="N3581">
        <v>6302</v>
      </c>
      <c r="O3581">
        <v>1</v>
      </c>
      <c r="P3581" t="s">
        <v>44</v>
      </c>
      <c r="Q3581" s="1">
        <v>44491</v>
      </c>
    </row>
    <row r="3582" spans="1:17" x14ac:dyDescent="0.3">
      <c r="A3582" t="s">
        <v>35</v>
      </c>
      <c r="B3582" t="s">
        <v>45</v>
      </c>
      <c r="C3582" t="s">
        <v>16</v>
      </c>
      <c r="D3582" t="s">
        <v>40</v>
      </c>
      <c r="E3582" t="s">
        <v>43</v>
      </c>
      <c r="F3582" s="9">
        <v>0.02</v>
      </c>
      <c r="G3582" s="10">
        <v>14394</v>
      </c>
      <c r="H3582">
        <v>6.34</v>
      </c>
      <c r="I3582" s="5">
        <f>ROUND(Marketing[[#This Row],[Clicks]]*Marketing[[#This Row],[Conversion_Rate]],0)</f>
        <v>8</v>
      </c>
      <c r="J3582" s="12">
        <f>Marketing[[#This Row],[Campaign_Cost]]/Marketing[[#This Row],[Customers]]</f>
        <v>1799.25</v>
      </c>
      <c r="K3582" t="s">
        <v>32</v>
      </c>
      <c r="L3582" t="s">
        <v>26</v>
      </c>
      <c r="M3582">
        <v>375</v>
      </c>
      <c r="N3582">
        <v>3351</v>
      </c>
      <c r="O3582">
        <v>9</v>
      </c>
      <c r="P3582" t="s">
        <v>27</v>
      </c>
      <c r="Q3582" s="1">
        <v>44492</v>
      </c>
    </row>
    <row r="3583" spans="1:17" x14ac:dyDescent="0.3">
      <c r="A3583" t="s">
        <v>14</v>
      </c>
      <c r="B3583" t="s">
        <v>36</v>
      </c>
      <c r="C3583" t="s">
        <v>52</v>
      </c>
      <c r="D3583" t="s">
        <v>24</v>
      </c>
      <c r="E3583" t="s">
        <v>48</v>
      </c>
      <c r="F3583" s="9">
        <v>0.02</v>
      </c>
      <c r="G3583" s="10">
        <v>14556</v>
      </c>
      <c r="H3583">
        <v>3.87</v>
      </c>
      <c r="I3583" s="5">
        <f>ROUND(Marketing[[#This Row],[Clicks]]*Marketing[[#This Row],[Conversion_Rate]],0)</f>
        <v>10</v>
      </c>
      <c r="J3583" s="12">
        <f>Marketing[[#This Row],[Campaign_Cost]]/Marketing[[#This Row],[Customers]]</f>
        <v>1455.6</v>
      </c>
      <c r="K3583" t="s">
        <v>25</v>
      </c>
      <c r="L3583" t="s">
        <v>33</v>
      </c>
      <c r="M3583">
        <v>489</v>
      </c>
      <c r="N3583">
        <v>1374</v>
      </c>
      <c r="O3583">
        <v>3</v>
      </c>
      <c r="P3583" t="s">
        <v>44</v>
      </c>
      <c r="Q3583" s="1">
        <v>44493</v>
      </c>
    </row>
    <row r="3584" spans="1:17" x14ac:dyDescent="0.3">
      <c r="A3584" t="s">
        <v>49</v>
      </c>
      <c r="B3584" t="s">
        <v>29</v>
      </c>
      <c r="C3584" t="s">
        <v>30</v>
      </c>
      <c r="D3584" t="s">
        <v>40</v>
      </c>
      <c r="E3584" t="s">
        <v>31</v>
      </c>
      <c r="F3584" s="9">
        <v>0.06</v>
      </c>
      <c r="G3584" s="10">
        <v>19495</v>
      </c>
      <c r="H3584">
        <v>4.82</v>
      </c>
      <c r="I3584" s="5">
        <f>ROUND(Marketing[[#This Row],[Clicks]]*Marketing[[#This Row],[Conversion_Rate]],0)</f>
        <v>38</v>
      </c>
      <c r="J3584" s="12">
        <f>Marketing[[#This Row],[Campaign_Cost]]/Marketing[[#This Row],[Customers]]</f>
        <v>513.02631578947364</v>
      </c>
      <c r="K3584" t="s">
        <v>19</v>
      </c>
      <c r="L3584" t="s">
        <v>39</v>
      </c>
      <c r="M3584">
        <v>632</v>
      </c>
      <c r="N3584">
        <v>9014</v>
      </c>
      <c r="O3584">
        <v>4</v>
      </c>
      <c r="P3584" t="s">
        <v>21</v>
      </c>
      <c r="Q3584" s="1">
        <v>44494</v>
      </c>
    </row>
    <row r="3585" spans="1:17" x14ac:dyDescent="0.3">
      <c r="A3585" t="s">
        <v>22</v>
      </c>
      <c r="B3585" t="s">
        <v>15</v>
      </c>
      <c r="C3585" t="s">
        <v>37</v>
      </c>
      <c r="D3585" t="s">
        <v>46</v>
      </c>
      <c r="E3585" t="s">
        <v>31</v>
      </c>
      <c r="F3585" s="9">
        <v>0.12</v>
      </c>
      <c r="G3585" s="10">
        <v>17421</v>
      </c>
      <c r="H3585">
        <v>3.8</v>
      </c>
      <c r="I3585" s="5">
        <f>ROUND(Marketing[[#This Row],[Clicks]]*Marketing[[#This Row],[Conversion_Rate]],0)</f>
        <v>41</v>
      </c>
      <c r="J3585" s="12">
        <f>Marketing[[#This Row],[Campaign_Cost]]/Marketing[[#This Row],[Customers]]</f>
        <v>424.90243902439022</v>
      </c>
      <c r="K3585" t="s">
        <v>38</v>
      </c>
      <c r="L3585" t="s">
        <v>20</v>
      </c>
      <c r="M3585">
        <v>340</v>
      </c>
      <c r="N3585">
        <v>4348</v>
      </c>
      <c r="O3585">
        <v>8</v>
      </c>
      <c r="P3585" t="s">
        <v>44</v>
      </c>
      <c r="Q3585" s="1">
        <v>44495</v>
      </c>
    </row>
    <row r="3586" spans="1:17" x14ac:dyDescent="0.3">
      <c r="A3586" t="s">
        <v>49</v>
      </c>
      <c r="B3586" t="s">
        <v>47</v>
      </c>
      <c r="C3586" t="s">
        <v>16</v>
      </c>
      <c r="D3586" t="s">
        <v>40</v>
      </c>
      <c r="E3586" t="s">
        <v>31</v>
      </c>
      <c r="F3586" s="9">
        <v>0.13</v>
      </c>
      <c r="G3586" s="10">
        <v>7506</v>
      </c>
      <c r="H3586">
        <v>6.82</v>
      </c>
      <c r="I3586" s="5">
        <f>ROUND(Marketing[[#This Row],[Clicks]]*Marketing[[#This Row],[Conversion_Rate]],0)</f>
        <v>18</v>
      </c>
      <c r="J3586" s="12">
        <f>Marketing[[#This Row],[Campaign_Cost]]/Marketing[[#This Row],[Customers]]</f>
        <v>417</v>
      </c>
      <c r="K3586" t="s">
        <v>38</v>
      </c>
      <c r="L3586" t="s">
        <v>39</v>
      </c>
      <c r="M3586">
        <v>142</v>
      </c>
      <c r="N3586">
        <v>9094</v>
      </c>
      <c r="O3586">
        <v>5</v>
      </c>
      <c r="P3586" t="s">
        <v>27</v>
      </c>
      <c r="Q3586" s="1">
        <v>44496</v>
      </c>
    </row>
    <row r="3587" spans="1:17" x14ac:dyDescent="0.3">
      <c r="A3587" t="s">
        <v>14</v>
      </c>
      <c r="B3587" t="s">
        <v>36</v>
      </c>
      <c r="C3587" t="s">
        <v>30</v>
      </c>
      <c r="D3587" t="s">
        <v>40</v>
      </c>
      <c r="E3587" t="s">
        <v>48</v>
      </c>
      <c r="F3587" s="9">
        <v>0.11</v>
      </c>
      <c r="G3587" s="10">
        <v>17842</v>
      </c>
      <c r="H3587">
        <v>2.1</v>
      </c>
      <c r="I3587" s="5">
        <f>ROUND(Marketing[[#This Row],[Clicks]]*Marketing[[#This Row],[Conversion_Rate]],0)</f>
        <v>46</v>
      </c>
      <c r="J3587" s="12">
        <f>Marketing[[#This Row],[Campaign_Cost]]/Marketing[[#This Row],[Customers]]</f>
        <v>387.86956521739131</v>
      </c>
      <c r="K3587" t="s">
        <v>38</v>
      </c>
      <c r="L3587" t="s">
        <v>26</v>
      </c>
      <c r="M3587">
        <v>415</v>
      </c>
      <c r="N3587">
        <v>4005</v>
      </c>
      <c r="O3587">
        <v>8</v>
      </c>
      <c r="P3587" t="s">
        <v>42</v>
      </c>
      <c r="Q3587" s="1">
        <v>44497</v>
      </c>
    </row>
    <row r="3588" spans="1:17" x14ac:dyDescent="0.3">
      <c r="A3588" t="s">
        <v>28</v>
      </c>
      <c r="B3588" t="s">
        <v>15</v>
      </c>
      <c r="C3588" t="s">
        <v>37</v>
      </c>
      <c r="D3588" t="s">
        <v>17</v>
      </c>
      <c r="E3588" t="s">
        <v>15</v>
      </c>
      <c r="F3588" s="9">
        <v>0.06</v>
      </c>
      <c r="G3588" s="10">
        <v>19192</v>
      </c>
      <c r="H3588">
        <v>5.28</v>
      </c>
      <c r="I3588" s="5">
        <f>ROUND(Marketing[[#This Row],[Clicks]]*Marketing[[#This Row],[Conversion_Rate]],0)</f>
        <v>26</v>
      </c>
      <c r="J3588" s="12">
        <f>Marketing[[#This Row],[Campaign_Cost]]/Marketing[[#This Row],[Customers]]</f>
        <v>738.15384615384619</v>
      </c>
      <c r="K3588" t="s">
        <v>25</v>
      </c>
      <c r="L3588" t="s">
        <v>50</v>
      </c>
      <c r="M3588">
        <v>428</v>
      </c>
      <c r="N3588">
        <v>4857</v>
      </c>
      <c r="O3588">
        <v>6</v>
      </c>
      <c r="P3588" t="s">
        <v>34</v>
      </c>
      <c r="Q3588" s="1">
        <v>44498</v>
      </c>
    </row>
    <row r="3589" spans="1:17" x14ac:dyDescent="0.3">
      <c r="A3589" t="s">
        <v>14</v>
      </c>
      <c r="B3589" t="s">
        <v>15</v>
      </c>
      <c r="C3589" t="s">
        <v>52</v>
      </c>
      <c r="D3589" t="s">
        <v>17</v>
      </c>
      <c r="E3589" t="s">
        <v>43</v>
      </c>
      <c r="F3589" s="9">
        <v>0.01</v>
      </c>
      <c r="G3589" s="10">
        <v>16317</v>
      </c>
      <c r="H3589">
        <v>6.46</v>
      </c>
      <c r="I3589" s="5">
        <f>ROUND(Marketing[[#This Row],[Clicks]]*Marketing[[#This Row],[Conversion_Rate]],0)</f>
        <v>9</v>
      </c>
      <c r="J3589" s="12">
        <f>Marketing[[#This Row],[Campaign_Cost]]/Marketing[[#This Row],[Customers]]</f>
        <v>1813</v>
      </c>
      <c r="K3589" t="s">
        <v>51</v>
      </c>
      <c r="L3589" t="s">
        <v>39</v>
      </c>
      <c r="M3589">
        <v>862</v>
      </c>
      <c r="N3589">
        <v>9147</v>
      </c>
      <c r="O3589">
        <v>2</v>
      </c>
      <c r="P3589" t="s">
        <v>34</v>
      </c>
      <c r="Q3589" s="1">
        <v>44499</v>
      </c>
    </row>
    <row r="3590" spans="1:17" x14ac:dyDescent="0.3">
      <c r="A3590" t="s">
        <v>49</v>
      </c>
      <c r="B3590" t="s">
        <v>47</v>
      </c>
      <c r="C3590" t="s">
        <v>30</v>
      </c>
      <c r="D3590" t="s">
        <v>17</v>
      </c>
      <c r="E3590" t="s">
        <v>31</v>
      </c>
      <c r="F3590" s="9">
        <v>0.1</v>
      </c>
      <c r="G3590" s="10">
        <v>9105</v>
      </c>
      <c r="H3590">
        <v>2.61</v>
      </c>
      <c r="I3590" s="5">
        <f>ROUND(Marketing[[#This Row],[Clicks]]*Marketing[[#This Row],[Conversion_Rate]],0)</f>
        <v>80</v>
      </c>
      <c r="J3590" s="12">
        <f>Marketing[[#This Row],[Campaign_Cost]]/Marketing[[#This Row],[Customers]]</f>
        <v>113.8125</v>
      </c>
      <c r="K3590" t="s">
        <v>19</v>
      </c>
      <c r="L3590" t="s">
        <v>26</v>
      </c>
      <c r="M3590">
        <v>800</v>
      </c>
      <c r="N3590">
        <v>9188</v>
      </c>
      <c r="O3590">
        <v>10</v>
      </c>
      <c r="P3590" t="s">
        <v>27</v>
      </c>
      <c r="Q3590" s="1">
        <v>44500</v>
      </c>
    </row>
    <row r="3591" spans="1:17" x14ac:dyDescent="0.3">
      <c r="A3591" t="s">
        <v>49</v>
      </c>
      <c r="B3591" t="s">
        <v>29</v>
      </c>
      <c r="C3591" t="s">
        <v>52</v>
      </c>
      <c r="D3591" t="s">
        <v>40</v>
      </c>
      <c r="E3591" t="s">
        <v>48</v>
      </c>
      <c r="F3591" s="9">
        <v>0.02</v>
      </c>
      <c r="G3591" s="10">
        <v>13405</v>
      </c>
      <c r="H3591">
        <v>3.83</v>
      </c>
      <c r="I3591" s="5">
        <f>ROUND(Marketing[[#This Row],[Clicks]]*Marketing[[#This Row],[Conversion_Rate]],0)</f>
        <v>7</v>
      </c>
      <c r="J3591" s="12">
        <f>Marketing[[#This Row],[Campaign_Cost]]/Marketing[[#This Row],[Customers]]</f>
        <v>1915</v>
      </c>
      <c r="K3591" t="s">
        <v>19</v>
      </c>
      <c r="L3591" t="s">
        <v>50</v>
      </c>
      <c r="M3591">
        <v>353</v>
      </c>
      <c r="N3591">
        <v>5907</v>
      </c>
      <c r="O3591">
        <v>8</v>
      </c>
      <c r="P3591" t="s">
        <v>34</v>
      </c>
      <c r="Q3591" s="1">
        <v>44501</v>
      </c>
    </row>
    <row r="3592" spans="1:17" x14ac:dyDescent="0.3">
      <c r="A3592" t="s">
        <v>35</v>
      </c>
      <c r="B3592" t="s">
        <v>45</v>
      </c>
      <c r="C3592" t="s">
        <v>52</v>
      </c>
      <c r="D3592" t="s">
        <v>17</v>
      </c>
      <c r="E3592" t="s">
        <v>43</v>
      </c>
      <c r="F3592" s="9">
        <v>0.09</v>
      </c>
      <c r="G3592" s="10">
        <v>8034</v>
      </c>
      <c r="H3592">
        <v>6.36</v>
      </c>
      <c r="I3592" s="5">
        <f>ROUND(Marketing[[#This Row],[Clicks]]*Marketing[[#This Row],[Conversion_Rate]],0)</f>
        <v>44</v>
      </c>
      <c r="J3592" s="12">
        <f>Marketing[[#This Row],[Campaign_Cost]]/Marketing[[#This Row],[Customers]]</f>
        <v>182.59090909090909</v>
      </c>
      <c r="K3592" t="s">
        <v>25</v>
      </c>
      <c r="L3592" t="s">
        <v>50</v>
      </c>
      <c r="M3592">
        <v>494</v>
      </c>
      <c r="N3592">
        <v>7644</v>
      </c>
      <c r="O3592">
        <v>10</v>
      </c>
      <c r="P3592" t="s">
        <v>42</v>
      </c>
      <c r="Q3592" s="1">
        <v>44502</v>
      </c>
    </row>
    <row r="3593" spans="1:17" x14ac:dyDescent="0.3">
      <c r="A3593" t="s">
        <v>49</v>
      </c>
      <c r="B3593" t="s">
        <v>45</v>
      </c>
      <c r="C3593" t="s">
        <v>30</v>
      </c>
      <c r="D3593" t="s">
        <v>40</v>
      </c>
      <c r="E3593" t="s">
        <v>41</v>
      </c>
      <c r="F3593" s="9">
        <v>0.08</v>
      </c>
      <c r="G3593" s="10">
        <v>10855</v>
      </c>
      <c r="H3593">
        <v>2.74</v>
      </c>
      <c r="I3593" s="5">
        <f>ROUND(Marketing[[#This Row],[Clicks]]*Marketing[[#This Row],[Conversion_Rate]],0)</f>
        <v>42</v>
      </c>
      <c r="J3593" s="12">
        <f>Marketing[[#This Row],[Campaign_Cost]]/Marketing[[#This Row],[Customers]]</f>
        <v>258.45238095238096</v>
      </c>
      <c r="K3593" t="s">
        <v>19</v>
      </c>
      <c r="L3593" t="s">
        <v>39</v>
      </c>
      <c r="M3593">
        <v>527</v>
      </c>
      <c r="N3593">
        <v>7317</v>
      </c>
      <c r="O3593">
        <v>5</v>
      </c>
      <c r="P3593" t="s">
        <v>44</v>
      </c>
      <c r="Q3593" s="1">
        <v>44503</v>
      </c>
    </row>
    <row r="3594" spans="1:17" x14ac:dyDescent="0.3">
      <c r="A3594" t="s">
        <v>22</v>
      </c>
      <c r="B3594" t="s">
        <v>45</v>
      </c>
      <c r="C3594" t="s">
        <v>37</v>
      </c>
      <c r="D3594" t="s">
        <v>46</v>
      </c>
      <c r="E3594" t="s">
        <v>43</v>
      </c>
      <c r="F3594" s="9">
        <v>0.08</v>
      </c>
      <c r="G3594" s="10">
        <v>19777</v>
      </c>
      <c r="H3594">
        <v>4.5999999999999996</v>
      </c>
      <c r="I3594" s="5">
        <f>ROUND(Marketing[[#This Row],[Clicks]]*Marketing[[#This Row],[Conversion_Rate]],0)</f>
        <v>68</v>
      </c>
      <c r="J3594" s="12">
        <f>Marketing[[#This Row],[Campaign_Cost]]/Marketing[[#This Row],[Customers]]</f>
        <v>290.83823529411762</v>
      </c>
      <c r="K3594" t="s">
        <v>25</v>
      </c>
      <c r="L3594" t="s">
        <v>50</v>
      </c>
      <c r="M3594">
        <v>847</v>
      </c>
      <c r="N3594">
        <v>8495</v>
      </c>
      <c r="O3594">
        <v>5</v>
      </c>
      <c r="P3594" t="s">
        <v>42</v>
      </c>
      <c r="Q3594" s="1">
        <v>44504</v>
      </c>
    </row>
    <row r="3595" spans="1:17" x14ac:dyDescent="0.3">
      <c r="A3595" t="s">
        <v>28</v>
      </c>
      <c r="B3595" t="s">
        <v>36</v>
      </c>
      <c r="C3595" t="s">
        <v>37</v>
      </c>
      <c r="D3595" t="s">
        <v>46</v>
      </c>
      <c r="E3595" t="s">
        <v>43</v>
      </c>
      <c r="F3595" s="9">
        <v>7.0000000000000007E-2</v>
      </c>
      <c r="G3595" s="10">
        <v>19286</v>
      </c>
      <c r="H3595">
        <v>5.07</v>
      </c>
      <c r="I3595" s="5">
        <f>ROUND(Marketing[[#This Row],[Clicks]]*Marketing[[#This Row],[Conversion_Rate]],0)</f>
        <v>40</v>
      </c>
      <c r="J3595" s="12">
        <f>Marketing[[#This Row],[Campaign_Cost]]/Marketing[[#This Row],[Customers]]</f>
        <v>482.15</v>
      </c>
      <c r="K3595" t="s">
        <v>25</v>
      </c>
      <c r="L3595" t="s">
        <v>50</v>
      </c>
      <c r="M3595">
        <v>578</v>
      </c>
      <c r="N3595">
        <v>3386</v>
      </c>
      <c r="O3595">
        <v>6</v>
      </c>
      <c r="P3595" t="s">
        <v>42</v>
      </c>
      <c r="Q3595" s="1">
        <v>44505</v>
      </c>
    </row>
    <row r="3596" spans="1:17" x14ac:dyDescent="0.3">
      <c r="A3596" t="s">
        <v>35</v>
      </c>
      <c r="B3596" t="s">
        <v>15</v>
      </c>
      <c r="C3596" t="s">
        <v>16</v>
      </c>
      <c r="D3596" t="s">
        <v>46</v>
      </c>
      <c r="E3596" t="s">
        <v>48</v>
      </c>
      <c r="F3596" s="9">
        <v>0.11</v>
      </c>
      <c r="G3596" s="10">
        <v>18172</v>
      </c>
      <c r="H3596">
        <v>3.43</v>
      </c>
      <c r="I3596" s="5">
        <f>ROUND(Marketing[[#This Row],[Clicks]]*Marketing[[#This Row],[Conversion_Rate]],0)</f>
        <v>13</v>
      </c>
      <c r="J3596" s="12">
        <f>Marketing[[#This Row],[Campaign_Cost]]/Marketing[[#This Row],[Customers]]</f>
        <v>1397.8461538461538</v>
      </c>
      <c r="K3596" t="s">
        <v>38</v>
      </c>
      <c r="L3596" t="s">
        <v>26</v>
      </c>
      <c r="M3596">
        <v>114</v>
      </c>
      <c r="N3596">
        <v>5779</v>
      </c>
      <c r="O3596">
        <v>3</v>
      </c>
      <c r="P3596" t="s">
        <v>44</v>
      </c>
      <c r="Q3596" s="1">
        <v>44506</v>
      </c>
    </row>
    <row r="3597" spans="1:17" x14ac:dyDescent="0.3">
      <c r="A3597" t="s">
        <v>22</v>
      </c>
      <c r="B3597" t="s">
        <v>29</v>
      </c>
      <c r="C3597" t="s">
        <v>23</v>
      </c>
      <c r="D3597" t="s">
        <v>46</v>
      </c>
      <c r="E3597" t="s">
        <v>48</v>
      </c>
      <c r="F3597" s="9">
        <v>0.14000000000000001</v>
      </c>
      <c r="G3597" s="10">
        <v>7249</v>
      </c>
      <c r="H3597">
        <v>2.71</v>
      </c>
      <c r="I3597" s="5">
        <f>ROUND(Marketing[[#This Row],[Clicks]]*Marketing[[#This Row],[Conversion_Rate]],0)</f>
        <v>63</v>
      </c>
      <c r="J3597" s="12">
        <f>Marketing[[#This Row],[Campaign_Cost]]/Marketing[[#This Row],[Customers]]</f>
        <v>115.06349206349206</v>
      </c>
      <c r="K3597" t="s">
        <v>51</v>
      </c>
      <c r="L3597" t="s">
        <v>26</v>
      </c>
      <c r="M3597">
        <v>450</v>
      </c>
      <c r="N3597">
        <v>1258</v>
      </c>
      <c r="O3597">
        <v>7</v>
      </c>
      <c r="P3597" t="s">
        <v>42</v>
      </c>
      <c r="Q3597" s="1">
        <v>44507</v>
      </c>
    </row>
    <row r="3598" spans="1:17" x14ac:dyDescent="0.3">
      <c r="A3598" t="s">
        <v>49</v>
      </c>
      <c r="B3598" t="s">
        <v>45</v>
      </c>
      <c r="C3598" t="s">
        <v>30</v>
      </c>
      <c r="D3598" t="s">
        <v>40</v>
      </c>
      <c r="E3598" t="s">
        <v>15</v>
      </c>
      <c r="F3598" s="9">
        <v>0.12</v>
      </c>
      <c r="G3598" s="10">
        <v>10043</v>
      </c>
      <c r="H3598">
        <v>4.1900000000000004</v>
      </c>
      <c r="I3598" s="5">
        <f>ROUND(Marketing[[#This Row],[Clicks]]*Marketing[[#This Row],[Conversion_Rate]],0)</f>
        <v>15</v>
      </c>
      <c r="J3598" s="12">
        <f>Marketing[[#This Row],[Campaign_Cost]]/Marketing[[#This Row],[Customers]]</f>
        <v>669.5333333333333</v>
      </c>
      <c r="K3598" t="s">
        <v>25</v>
      </c>
      <c r="L3598" t="s">
        <v>39</v>
      </c>
      <c r="M3598">
        <v>129</v>
      </c>
      <c r="N3598">
        <v>4390</v>
      </c>
      <c r="O3598">
        <v>1</v>
      </c>
      <c r="P3598" t="s">
        <v>21</v>
      </c>
      <c r="Q3598" s="1">
        <v>44508</v>
      </c>
    </row>
    <row r="3599" spans="1:17" x14ac:dyDescent="0.3">
      <c r="A3599" t="s">
        <v>28</v>
      </c>
      <c r="B3599" t="s">
        <v>29</v>
      </c>
      <c r="C3599" t="s">
        <v>30</v>
      </c>
      <c r="D3599" t="s">
        <v>24</v>
      </c>
      <c r="E3599" t="s">
        <v>31</v>
      </c>
      <c r="F3599" s="9">
        <v>0.04</v>
      </c>
      <c r="G3599" s="10">
        <v>5616</v>
      </c>
      <c r="H3599">
        <v>5.8</v>
      </c>
      <c r="I3599" s="5">
        <f>ROUND(Marketing[[#This Row],[Clicks]]*Marketing[[#This Row],[Conversion_Rate]],0)</f>
        <v>13</v>
      </c>
      <c r="J3599" s="12">
        <f>Marketing[[#This Row],[Campaign_Cost]]/Marketing[[#This Row],[Customers]]</f>
        <v>432</v>
      </c>
      <c r="K3599" t="s">
        <v>38</v>
      </c>
      <c r="L3599" t="s">
        <v>50</v>
      </c>
      <c r="M3599">
        <v>317</v>
      </c>
      <c r="N3599">
        <v>3993</v>
      </c>
      <c r="O3599">
        <v>9</v>
      </c>
      <c r="P3599" t="s">
        <v>44</v>
      </c>
      <c r="Q3599" s="1">
        <v>44509</v>
      </c>
    </row>
    <row r="3600" spans="1:17" x14ac:dyDescent="0.3">
      <c r="A3600" t="s">
        <v>35</v>
      </c>
      <c r="B3600" t="s">
        <v>15</v>
      </c>
      <c r="C3600" t="s">
        <v>37</v>
      </c>
      <c r="D3600" t="s">
        <v>24</v>
      </c>
      <c r="E3600" t="s">
        <v>48</v>
      </c>
      <c r="F3600" s="9">
        <v>0.06</v>
      </c>
      <c r="G3600" s="10">
        <v>10462</v>
      </c>
      <c r="H3600">
        <v>2.2400000000000002</v>
      </c>
      <c r="I3600" s="5">
        <f>ROUND(Marketing[[#This Row],[Clicks]]*Marketing[[#This Row],[Conversion_Rate]],0)</f>
        <v>45</v>
      </c>
      <c r="J3600" s="12">
        <f>Marketing[[#This Row],[Campaign_Cost]]/Marketing[[#This Row],[Customers]]</f>
        <v>232.48888888888888</v>
      </c>
      <c r="K3600" t="s">
        <v>51</v>
      </c>
      <c r="L3600" t="s">
        <v>50</v>
      </c>
      <c r="M3600">
        <v>744</v>
      </c>
      <c r="N3600">
        <v>1152</v>
      </c>
      <c r="O3600">
        <v>10</v>
      </c>
      <c r="P3600" t="s">
        <v>21</v>
      </c>
      <c r="Q3600" s="1">
        <v>44510</v>
      </c>
    </row>
    <row r="3601" spans="1:17" x14ac:dyDescent="0.3">
      <c r="A3601" t="s">
        <v>35</v>
      </c>
      <c r="B3601" t="s">
        <v>15</v>
      </c>
      <c r="C3601" t="s">
        <v>37</v>
      </c>
      <c r="D3601" t="s">
        <v>24</v>
      </c>
      <c r="E3601" t="s">
        <v>31</v>
      </c>
      <c r="F3601" s="9">
        <v>0.11</v>
      </c>
      <c r="G3601" s="10">
        <v>6987</v>
      </c>
      <c r="H3601">
        <v>6.43</v>
      </c>
      <c r="I3601" s="5">
        <f>ROUND(Marketing[[#This Row],[Clicks]]*Marketing[[#This Row],[Conversion_Rate]],0)</f>
        <v>88</v>
      </c>
      <c r="J3601" s="12">
        <f>Marketing[[#This Row],[Campaign_Cost]]/Marketing[[#This Row],[Customers]]</f>
        <v>79.397727272727266</v>
      </c>
      <c r="K3601" t="s">
        <v>51</v>
      </c>
      <c r="L3601" t="s">
        <v>26</v>
      </c>
      <c r="M3601">
        <v>796</v>
      </c>
      <c r="N3601">
        <v>1013</v>
      </c>
      <c r="O3601">
        <v>4</v>
      </c>
      <c r="P3601" t="s">
        <v>34</v>
      </c>
      <c r="Q3601" s="1">
        <v>44511</v>
      </c>
    </row>
    <row r="3602" spans="1:17" x14ac:dyDescent="0.3">
      <c r="A3602" t="s">
        <v>28</v>
      </c>
      <c r="B3602" t="s">
        <v>45</v>
      </c>
      <c r="C3602" t="s">
        <v>52</v>
      </c>
      <c r="D3602" t="s">
        <v>40</v>
      </c>
      <c r="E3602" t="s">
        <v>43</v>
      </c>
      <c r="F3602" s="9">
        <v>0.11</v>
      </c>
      <c r="G3602" s="10">
        <v>7511</v>
      </c>
      <c r="H3602">
        <v>5.0999999999999996</v>
      </c>
      <c r="I3602" s="5">
        <f>ROUND(Marketing[[#This Row],[Clicks]]*Marketing[[#This Row],[Conversion_Rate]],0)</f>
        <v>16</v>
      </c>
      <c r="J3602" s="12">
        <f>Marketing[[#This Row],[Campaign_Cost]]/Marketing[[#This Row],[Customers]]</f>
        <v>469.4375</v>
      </c>
      <c r="K3602" t="s">
        <v>32</v>
      </c>
      <c r="L3602" t="s">
        <v>26</v>
      </c>
      <c r="M3602">
        <v>144</v>
      </c>
      <c r="N3602">
        <v>1005</v>
      </c>
      <c r="O3602">
        <v>6</v>
      </c>
      <c r="P3602" t="s">
        <v>27</v>
      </c>
      <c r="Q3602" s="1">
        <v>44512</v>
      </c>
    </row>
    <row r="3603" spans="1:17" x14ac:dyDescent="0.3">
      <c r="A3603" t="s">
        <v>14</v>
      </c>
      <c r="B3603" t="s">
        <v>36</v>
      </c>
      <c r="C3603" t="s">
        <v>30</v>
      </c>
      <c r="D3603" t="s">
        <v>40</v>
      </c>
      <c r="E3603" t="s">
        <v>43</v>
      </c>
      <c r="F3603" s="9">
        <v>0.06</v>
      </c>
      <c r="G3603" s="10">
        <v>14586</v>
      </c>
      <c r="H3603">
        <v>6.8</v>
      </c>
      <c r="I3603" s="5">
        <f>ROUND(Marketing[[#This Row],[Clicks]]*Marketing[[#This Row],[Conversion_Rate]],0)</f>
        <v>53</v>
      </c>
      <c r="J3603" s="12">
        <f>Marketing[[#This Row],[Campaign_Cost]]/Marketing[[#This Row],[Customers]]</f>
        <v>275.20754716981133</v>
      </c>
      <c r="K3603" t="s">
        <v>38</v>
      </c>
      <c r="L3603" t="s">
        <v>20</v>
      </c>
      <c r="M3603">
        <v>882</v>
      </c>
      <c r="N3603">
        <v>4941</v>
      </c>
      <c r="O3603">
        <v>10</v>
      </c>
      <c r="P3603" t="s">
        <v>42</v>
      </c>
      <c r="Q3603" s="1">
        <v>44513</v>
      </c>
    </row>
    <row r="3604" spans="1:17" x14ac:dyDescent="0.3">
      <c r="A3604" t="s">
        <v>28</v>
      </c>
      <c r="B3604" t="s">
        <v>15</v>
      </c>
      <c r="C3604" t="s">
        <v>52</v>
      </c>
      <c r="D3604" t="s">
        <v>24</v>
      </c>
      <c r="E3604" t="s">
        <v>43</v>
      </c>
      <c r="F3604" s="9">
        <v>0.08</v>
      </c>
      <c r="G3604" s="10">
        <v>13041</v>
      </c>
      <c r="H3604">
        <v>4.55</v>
      </c>
      <c r="I3604" s="5">
        <f>ROUND(Marketing[[#This Row],[Clicks]]*Marketing[[#This Row],[Conversion_Rate]],0)</f>
        <v>21</v>
      </c>
      <c r="J3604" s="12">
        <f>Marketing[[#This Row],[Campaign_Cost]]/Marketing[[#This Row],[Customers]]</f>
        <v>621</v>
      </c>
      <c r="K3604" t="s">
        <v>25</v>
      </c>
      <c r="L3604" t="s">
        <v>26</v>
      </c>
      <c r="M3604">
        <v>268</v>
      </c>
      <c r="N3604">
        <v>8467</v>
      </c>
      <c r="O3604">
        <v>5</v>
      </c>
      <c r="P3604" t="s">
        <v>44</v>
      </c>
      <c r="Q3604" s="1">
        <v>44514</v>
      </c>
    </row>
    <row r="3605" spans="1:17" x14ac:dyDescent="0.3">
      <c r="A3605" t="s">
        <v>14</v>
      </c>
      <c r="B3605" t="s">
        <v>47</v>
      </c>
      <c r="C3605" t="s">
        <v>16</v>
      </c>
      <c r="D3605" t="s">
        <v>17</v>
      </c>
      <c r="E3605" t="s">
        <v>48</v>
      </c>
      <c r="F3605" s="9">
        <v>0.06</v>
      </c>
      <c r="G3605" s="10">
        <v>19692</v>
      </c>
      <c r="H3605">
        <v>7.7</v>
      </c>
      <c r="I3605" s="5">
        <f>ROUND(Marketing[[#This Row],[Clicks]]*Marketing[[#This Row],[Conversion_Rate]],0)</f>
        <v>22</v>
      </c>
      <c r="J3605" s="12">
        <f>Marketing[[#This Row],[Campaign_Cost]]/Marketing[[#This Row],[Customers]]</f>
        <v>895.09090909090912</v>
      </c>
      <c r="K3605" t="s">
        <v>25</v>
      </c>
      <c r="L3605" t="s">
        <v>20</v>
      </c>
      <c r="M3605">
        <v>359</v>
      </c>
      <c r="N3605">
        <v>8600</v>
      </c>
      <c r="O3605">
        <v>1</v>
      </c>
      <c r="P3605" t="s">
        <v>42</v>
      </c>
      <c r="Q3605" s="1">
        <v>44515</v>
      </c>
    </row>
    <row r="3606" spans="1:17" x14ac:dyDescent="0.3">
      <c r="A3606" t="s">
        <v>49</v>
      </c>
      <c r="B3606" t="s">
        <v>15</v>
      </c>
      <c r="C3606" t="s">
        <v>16</v>
      </c>
      <c r="D3606" t="s">
        <v>17</v>
      </c>
      <c r="E3606" t="s">
        <v>15</v>
      </c>
      <c r="F3606" s="9">
        <v>0.04</v>
      </c>
      <c r="G3606" s="10">
        <v>8852</v>
      </c>
      <c r="H3606">
        <v>5.22</v>
      </c>
      <c r="I3606" s="5">
        <f>ROUND(Marketing[[#This Row],[Clicks]]*Marketing[[#This Row],[Conversion_Rate]],0)</f>
        <v>23</v>
      </c>
      <c r="J3606" s="12">
        <f>Marketing[[#This Row],[Campaign_Cost]]/Marketing[[#This Row],[Customers]]</f>
        <v>384.86956521739131</v>
      </c>
      <c r="K3606" t="s">
        <v>25</v>
      </c>
      <c r="L3606" t="s">
        <v>50</v>
      </c>
      <c r="M3606">
        <v>578</v>
      </c>
      <c r="N3606">
        <v>4804</v>
      </c>
      <c r="O3606">
        <v>2</v>
      </c>
      <c r="P3606" t="s">
        <v>34</v>
      </c>
      <c r="Q3606" s="1">
        <v>44516</v>
      </c>
    </row>
    <row r="3607" spans="1:17" x14ac:dyDescent="0.3">
      <c r="A3607" t="s">
        <v>14</v>
      </c>
      <c r="B3607" t="s">
        <v>15</v>
      </c>
      <c r="C3607" t="s">
        <v>52</v>
      </c>
      <c r="D3607" t="s">
        <v>46</v>
      </c>
      <c r="E3607" t="s">
        <v>15</v>
      </c>
      <c r="F3607" s="9">
        <v>0.15</v>
      </c>
      <c r="G3607" s="10">
        <v>10217</v>
      </c>
      <c r="H3607">
        <v>4.76</v>
      </c>
      <c r="I3607" s="5">
        <f>ROUND(Marketing[[#This Row],[Clicks]]*Marketing[[#This Row],[Conversion_Rate]],0)</f>
        <v>127</v>
      </c>
      <c r="J3607" s="12">
        <f>Marketing[[#This Row],[Campaign_Cost]]/Marketing[[#This Row],[Customers]]</f>
        <v>80.448818897637793</v>
      </c>
      <c r="K3607" t="s">
        <v>25</v>
      </c>
      <c r="L3607" t="s">
        <v>33</v>
      </c>
      <c r="M3607">
        <v>847</v>
      </c>
      <c r="N3607">
        <v>7604</v>
      </c>
      <c r="O3607">
        <v>3</v>
      </c>
      <c r="P3607" t="s">
        <v>34</v>
      </c>
      <c r="Q3607" s="1">
        <v>44517</v>
      </c>
    </row>
    <row r="3608" spans="1:17" x14ac:dyDescent="0.3">
      <c r="A3608" t="s">
        <v>22</v>
      </c>
      <c r="B3608" t="s">
        <v>29</v>
      </c>
      <c r="C3608" t="s">
        <v>52</v>
      </c>
      <c r="D3608" t="s">
        <v>46</v>
      </c>
      <c r="E3608" t="s">
        <v>43</v>
      </c>
      <c r="F3608" s="9">
        <v>0.08</v>
      </c>
      <c r="G3608" s="10">
        <v>9149</v>
      </c>
      <c r="H3608">
        <v>6.35</v>
      </c>
      <c r="I3608" s="5">
        <f>ROUND(Marketing[[#This Row],[Clicks]]*Marketing[[#This Row],[Conversion_Rate]],0)</f>
        <v>27</v>
      </c>
      <c r="J3608" s="12">
        <f>Marketing[[#This Row],[Campaign_Cost]]/Marketing[[#This Row],[Customers]]</f>
        <v>338.85185185185185</v>
      </c>
      <c r="K3608" t="s">
        <v>32</v>
      </c>
      <c r="L3608" t="s">
        <v>39</v>
      </c>
      <c r="M3608">
        <v>342</v>
      </c>
      <c r="N3608">
        <v>5538</v>
      </c>
      <c r="O3608">
        <v>10</v>
      </c>
      <c r="P3608" t="s">
        <v>34</v>
      </c>
      <c r="Q3608" s="1">
        <v>44518</v>
      </c>
    </row>
    <row r="3609" spans="1:17" x14ac:dyDescent="0.3">
      <c r="A3609" t="s">
        <v>28</v>
      </c>
      <c r="B3609" t="s">
        <v>47</v>
      </c>
      <c r="C3609" t="s">
        <v>37</v>
      </c>
      <c r="D3609" t="s">
        <v>40</v>
      </c>
      <c r="E3609" t="s">
        <v>15</v>
      </c>
      <c r="F3609" s="9">
        <v>0.09</v>
      </c>
      <c r="G3609" s="10">
        <v>12956</v>
      </c>
      <c r="H3609">
        <v>3.04</v>
      </c>
      <c r="I3609" s="5">
        <f>ROUND(Marketing[[#This Row],[Clicks]]*Marketing[[#This Row],[Conversion_Rate]],0)</f>
        <v>23</v>
      </c>
      <c r="J3609" s="12">
        <f>Marketing[[#This Row],[Campaign_Cost]]/Marketing[[#This Row],[Customers]]</f>
        <v>563.304347826087</v>
      </c>
      <c r="K3609" t="s">
        <v>38</v>
      </c>
      <c r="L3609" t="s">
        <v>20</v>
      </c>
      <c r="M3609">
        <v>258</v>
      </c>
      <c r="N3609">
        <v>3862</v>
      </c>
      <c r="O3609">
        <v>4</v>
      </c>
      <c r="P3609" t="s">
        <v>44</v>
      </c>
      <c r="Q3609" s="1">
        <v>44519</v>
      </c>
    </row>
    <row r="3610" spans="1:17" x14ac:dyDescent="0.3">
      <c r="A3610" t="s">
        <v>35</v>
      </c>
      <c r="B3610" t="s">
        <v>45</v>
      </c>
      <c r="C3610" t="s">
        <v>23</v>
      </c>
      <c r="D3610" t="s">
        <v>17</v>
      </c>
      <c r="E3610" t="s">
        <v>15</v>
      </c>
      <c r="F3610" s="9">
        <v>0.08</v>
      </c>
      <c r="G3610" s="10">
        <v>14864</v>
      </c>
      <c r="H3610">
        <v>7.36</v>
      </c>
      <c r="I3610" s="5">
        <f>ROUND(Marketing[[#This Row],[Clicks]]*Marketing[[#This Row],[Conversion_Rate]],0)</f>
        <v>19</v>
      </c>
      <c r="J3610" s="12">
        <f>Marketing[[#This Row],[Campaign_Cost]]/Marketing[[#This Row],[Customers]]</f>
        <v>782.31578947368416</v>
      </c>
      <c r="K3610" t="s">
        <v>25</v>
      </c>
      <c r="L3610" t="s">
        <v>50</v>
      </c>
      <c r="M3610">
        <v>237</v>
      </c>
      <c r="N3610">
        <v>4080</v>
      </c>
      <c r="O3610">
        <v>8</v>
      </c>
      <c r="P3610" t="s">
        <v>34</v>
      </c>
      <c r="Q3610" s="1">
        <v>44520</v>
      </c>
    </row>
    <row r="3611" spans="1:17" x14ac:dyDescent="0.3">
      <c r="A3611" t="s">
        <v>49</v>
      </c>
      <c r="B3611" t="s">
        <v>45</v>
      </c>
      <c r="C3611" t="s">
        <v>52</v>
      </c>
      <c r="D3611" t="s">
        <v>40</v>
      </c>
      <c r="E3611" t="s">
        <v>43</v>
      </c>
      <c r="F3611" s="9">
        <v>0.1</v>
      </c>
      <c r="G3611" s="10">
        <v>9885</v>
      </c>
      <c r="H3611">
        <v>5.98</v>
      </c>
      <c r="I3611" s="5">
        <f>ROUND(Marketing[[#This Row],[Clicks]]*Marketing[[#This Row],[Conversion_Rate]],0)</f>
        <v>71</v>
      </c>
      <c r="J3611" s="12">
        <f>Marketing[[#This Row],[Campaign_Cost]]/Marketing[[#This Row],[Customers]]</f>
        <v>139.22535211267606</v>
      </c>
      <c r="K3611" t="s">
        <v>51</v>
      </c>
      <c r="L3611" t="s">
        <v>20</v>
      </c>
      <c r="M3611">
        <v>707</v>
      </c>
      <c r="N3611">
        <v>1084</v>
      </c>
      <c r="O3611">
        <v>1</v>
      </c>
      <c r="P3611" t="s">
        <v>42</v>
      </c>
      <c r="Q3611" s="1">
        <v>44521</v>
      </c>
    </row>
    <row r="3612" spans="1:17" x14ac:dyDescent="0.3">
      <c r="A3612" t="s">
        <v>22</v>
      </c>
      <c r="B3612" t="s">
        <v>36</v>
      </c>
      <c r="C3612" t="s">
        <v>30</v>
      </c>
      <c r="D3612" t="s">
        <v>24</v>
      </c>
      <c r="E3612" t="s">
        <v>15</v>
      </c>
      <c r="F3612" s="9">
        <v>0.04</v>
      </c>
      <c r="G3612" s="10">
        <v>6760</v>
      </c>
      <c r="H3612">
        <v>7.56</v>
      </c>
      <c r="I3612" s="5">
        <f>ROUND(Marketing[[#This Row],[Clicks]]*Marketing[[#This Row],[Conversion_Rate]],0)</f>
        <v>31</v>
      </c>
      <c r="J3612" s="12">
        <f>Marketing[[#This Row],[Campaign_Cost]]/Marketing[[#This Row],[Customers]]</f>
        <v>218.06451612903226</v>
      </c>
      <c r="K3612" t="s">
        <v>19</v>
      </c>
      <c r="L3612" t="s">
        <v>39</v>
      </c>
      <c r="M3612">
        <v>763</v>
      </c>
      <c r="N3612">
        <v>1148</v>
      </c>
      <c r="O3612">
        <v>6</v>
      </c>
      <c r="P3612" t="s">
        <v>34</v>
      </c>
      <c r="Q3612" s="1">
        <v>44522</v>
      </c>
    </row>
    <row r="3613" spans="1:17" x14ac:dyDescent="0.3">
      <c r="A3613" t="s">
        <v>14</v>
      </c>
      <c r="B3613" t="s">
        <v>45</v>
      </c>
      <c r="C3613" t="s">
        <v>37</v>
      </c>
      <c r="D3613" t="s">
        <v>24</v>
      </c>
      <c r="E3613" t="s">
        <v>31</v>
      </c>
      <c r="F3613" s="9">
        <v>0.14000000000000001</v>
      </c>
      <c r="G3613" s="10">
        <v>13755</v>
      </c>
      <c r="H3613">
        <v>7.92</v>
      </c>
      <c r="I3613" s="5">
        <f>ROUND(Marketing[[#This Row],[Clicks]]*Marketing[[#This Row],[Conversion_Rate]],0)</f>
        <v>72</v>
      </c>
      <c r="J3613" s="12">
        <f>Marketing[[#This Row],[Campaign_Cost]]/Marketing[[#This Row],[Customers]]</f>
        <v>191.04166666666666</v>
      </c>
      <c r="K3613" t="s">
        <v>38</v>
      </c>
      <c r="L3613" t="s">
        <v>50</v>
      </c>
      <c r="M3613">
        <v>517</v>
      </c>
      <c r="N3613">
        <v>3702</v>
      </c>
      <c r="O3613">
        <v>10</v>
      </c>
      <c r="P3613" t="s">
        <v>21</v>
      </c>
      <c r="Q3613" s="1">
        <v>44523</v>
      </c>
    </row>
    <row r="3614" spans="1:17" x14ac:dyDescent="0.3">
      <c r="A3614" t="s">
        <v>22</v>
      </c>
      <c r="B3614" t="s">
        <v>15</v>
      </c>
      <c r="C3614" t="s">
        <v>37</v>
      </c>
      <c r="D3614" t="s">
        <v>40</v>
      </c>
      <c r="E3614" t="s">
        <v>41</v>
      </c>
      <c r="F3614" s="9">
        <v>0.14000000000000001</v>
      </c>
      <c r="G3614" s="10">
        <v>6729</v>
      </c>
      <c r="H3614">
        <v>2.25</v>
      </c>
      <c r="I3614" s="5">
        <f>ROUND(Marketing[[#This Row],[Clicks]]*Marketing[[#This Row],[Conversion_Rate]],0)</f>
        <v>76</v>
      </c>
      <c r="J3614" s="12">
        <f>Marketing[[#This Row],[Campaign_Cost]]/Marketing[[#This Row],[Customers]]</f>
        <v>88.53947368421052</v>
      </c>
      <c r="K3614" t="s">
        <v>38</v>
      </c>
      <c r="L3614" t="s">
        <v>26</v>
      </c>
      <c r="M3614">
        <v>546</v>
      </c>
      <c r="N3614">
        <v>8767</v>
      </c>
      <c r="O3614">
        <v>8</v>
      </c>
      <c r="P3614" t="s">
        <v>21</v>
      </c>
      <c r="Q3614" s="1">
        <v>44524</v>
      </c>
    </row>
    <row r="3615" spans="1:17" x14ac:dyDescent="0.3">
      <c r="A3615" t="s">
        <v>28</v>
      </c>
      <c r="B3615" t="s">
        <v>29</v>
      </c>
      <c r="C3615" t="s">
        <v>37</v>
      </c>
      <c r="D3615" t="s">
        <v>46</v>
      </c>
      <c r="E3615" t="s">
        <v>31</v>
      </c>
      <c r="F3615" s="9">
        <v>0.04</v>
      </c>
      <c r="G3615" s="10">
        <v>16844</v>
      </c>
      <c r="H3615">
        <v>4.5999999999999996</v>
      </c>
      <c r="I3615" s="5">
        <f>ROUND(Marketing[[#This Row],[Clicks]]*Marketing[[#This Row],[Conversion_Rate]],0)</f>
        <v>16</v>
      </c>
      <c r="J3615" s="12">
        <f>Marketing[[#This Row],[Campaign_Cost]]/Marketing[[#This Row],[Customers]]</f>
        <v>1052.75</v>
      </c>
      <c r="K3615" t="s">
        <v>25</v>
      </c>
      <c r="L3615" t="s">
        <v>20</v>
      </c>
      <c r="M3615">
        <v>395</v>
      </c>
      <c r="N3615">
        <v>2694</v>
      </c>
      <c r="O3615">
        <v>6</v>
      </c>
      <c r="P3615" t="s">
        <v>21</v>
      </c>
      <c r="Q3615" s="1">
        <v>44525</v>
      </c>
    </row>
    <row r="3616" spans="1:17" x14ac:dyDescent="0.3">
      <c r="A3616" t="s">
        <v>49</v>
      </c>
      <c r="B3616" t="s">
        <v>29</v>
      </c>
      <c r="C3616" t="s">
        <v>37</v>
      </c>
      <c r="D3616" t="s">
        <v>17</v>
      </c>
      <c r="E3616" t="s">
        <v>48</v>
      </c>
      <c r="F3616" s="9">
        <v>0.09</v>
      </c>
      <c r="G3616" s="10">
        <v>17296</v>
      </c>
      <c r="H3616">
        <v>3.68</v>
      </c>
      <c r="I3616" s="5">
        <f>ROUND(Marketing[[#This Row],[Clicks]]*Marketing[[#This Row],[Conversion_Rate]],0)</f>
        <v>50</v>
      </c>
      <c r="J3616" s="12">
        <f>Marketing[[#This Row],[Campaign_Cost]]/Marketing[[#This Row],[Customers]]</f>
        <v>345.92</v>
      </c>
      <c r="K3616" t="s">
        <v>32</v>
      </c>
      <c r="L3616" t="s">
        <v>26</v>
      </c>
      <c r="M3616">
        <v>553</v>
      </c>
      <c r="N3616">
        <v>7969</v>
      </c>
      <c r="O3616">
        <v>6</v>
      </c>
      <c r="P3616" t="s">
        <v>27</v>
      </c>
      <c r="Q3616" s="1">
        <v>44526</v>
      </c>
    </row>
    <row r="3617" spans="1:17" x14ac:dyDescent="0.3">
      <c r="A3617" t="s">
        <v>35</v>
      </c>
      <c r="B3617" t="s">
        <v>29</v>
      </c>
      <c r="C3617" t="s">
        <v>23</v>
      </c>
      <c r="D3617" t="s">
        <v>40</v>
      </c>
      <c r="E3617" t="s">
        <v>31</v>
      </c>
      <c r="F3617" s="9">
        <v>0.08</v>
      </c>
      <c r="G3617" s="10">
        <v>17225</v>
      </c>
      <c r="H3617">
        <v>4.99</v>
      </c>
      <c r="I3617" s="5">
        <f>ROUND(Marketing[[#This Row],[Clicks]]*Marketing[[#This Row],[Conversion_Rate]],0)</f>
        <v>27</v>
      </c>
      <c r="J3617" s="12">
        <f>Marketing[[#This Row],[Campaign_Cost]]/Marketing[[#This Row],[Customers]]</f>
        <v>637.96296296296293</v>
      </c>
      <c r="K3617" t="s">
        <v>38</v>
      </c>
      <c r="L3617" t="s">
        <v>33</v>
      </c>
      <c r="M3617">
        <v>341</v>
      </c>
      <c r="N3617">
        <v>3812</v>
      </c>
      <c r="O3617">
        <v>3</v>
      </c>
      <c r="P3617" t="s">
        <v>27</v>
      </c>
      <c r="Q3617" s="1">
        <v>44527</v>
      </c>
    </row>
    <row r="3618" spans="1:17" x14ac:dyDescent="0.3">
      <c r="A3618" t="s">
        <v>49</v>
      </c>
      <c r="B3618" t="s">
        <v>29</v>
      </c>
      <c r="C3618" t="s">
        <v>23</v>
      </c>
      <c r="D3618" t="s">
        <v>17</v>
      </c>
      <c r="E3618" t="s">
        <v>31</v>
      </c>
      <c r="F3618" s="9">
        <v>0.13</v>
      </c>
      <c r="G3618" s="10">
        <v>19744</v>
      </c>
      <c r="H3618">
        <v>5.22</v>
      </c>
      <c r="I3618" s="5">
        <f>ROUND(Marketing[[#This Row],[Clicks]]*Marketing[[#This Row],[Conversion_Rate]],0)</f>
        <v>34</v>
      </c>
      <c r="J3618" s="12">
        <f>Marketing[[#This Row],[Campaign_Cost]]/Marketing[[#This Row],[Customers]]</f>
        <v>580.70588235294122</v>
      </c>
      <c r="K3618" t="s">
        <v>38</v>
      </c>
      <c r="L3618" t="s">
        <v>33</v>
      </c>
      <c r="M3618">
        <v>263</v>
      </c>
      <c r="N3618">
        <v>1896</v>
      </c>
      <c r="O3618">
        <v>4</v>
      </c>
      <c r="P3618" t="s">
        <v>34</v>
      </c>
      <c r="Q3618" s="1">
        <v>44528</v>
      </c>
    </row>
    <row r="3619" spans="1:17" x14ac:dyDescent="0.3">
      <c r="A3619" t="s">
        <v>14</v>
      </c>
      <c r="B3619" t="s">
        <v>47</v>
      </c>
      <c r="C3619" t="s">
        <v>30</v>
      </c>
      <c r="D3619" t="s">
        <v>24</v>
      </c>
      <c r="E3619" t="s">
        <v>43</v>
      </c>
      <c r="F3619" s="9">
        <v>0.06</v>
      </c>
      <c r="G3619" s="10">
        <v>5759</v>
      </c>
      <c r="H3619">
        <v>6.77</v>
      </c>
      <c r="I3619" s="5">
        <f>ROUND(Marketing[[#This Row],[Clicks]]*Marketing[[#This Row],[Conversion_Rate]],0)</f>
        <v>17</v>
      </c>
      <c r="J3619" s="12">
        <f>Marketing[[#This Row],[Campaign_Cost]]/Marketing[[#This Row],[Customers]]</f>
        <v>338.76470588235293</v>
      </c>
      <c r="K3619" t="s">
        <v>19</v>
      </c>
      <c r="L3619" t="s">
        <v>50</v>
      </c>
      <c r="M3619">
        <v>290</v>
      </c>
      <c r="N3619">
        <v>6211</v>
      </c>
      <c r="O3619">
        <v>6</v>
      </c>
      <c r="P3619" t="s">
        <v>21</v>
      </c>
      <c r="Q3619" s="1">
        <v>44529</v>
      </c>
    </row>
    <row r="3620" spans="1:17" x14ac:dyDescent="0.3">
      <c r="A3620" t="s">
        <v>49</v>
      </c>
      <c r="B3620" t="s">
        <v>36</v>
      </c>
      <c r="C3620" t="s">
        <v>52</v>
      </c>
      <c r="D3620" t="s">
        <v>40</v>
      </c>
      <c r="E3620" t="s">
        <v>48</v>
      </c>
      <c r="F3620" s="9">
        <v>0.08</v>
      </c>
      <c r="G3620" s="10">
        <v>10596</v>
      </c>
      <c r="H3620">
        <v>4.63</v>
      </c>
      <c r="I3620" s="5">
        <f>ROUND(Marketing[[#This Row],[Clicks]]*Marketing[[#This Row],[Conversion_Rate]],0)</f>
        <v>9</v>
      </c>
      <c r="J3620" s="12">
        <f>Marketing[[#This Row],[Campaign_Cost]]/Marketing[[#This Row],[Customers]]</f>
        <v>1177.3333333333333</v>
      </c>
      <c r="K3620" t="s">
        <v>25</v>
      </c>
      <c r="L3620" t="s">
        <v>33</v>
      </c>
      <c r="M3620">
        <v>107</v>
      </c>
      <c r="N3620">
        <v>7271</v>
      </c>
      <c r="O3620">
        <v>4</v>
      </c>
      <c r="P3620" t="s">
        <v>42</v>
      </c>
      <c r="Q3620" s="1">
        <v>44530</v>
      </c>
    </row>
    <row r="3621" spans="1:17" x14ac:dyDescent="0.3">
      <c r="A3621" t="s">
        <v>22</v>
      </c>
      <c r="B3621" t="s">
        <v>47</v>
      </c>
      <c r="C3621" t="s">
        <v>30</v>
      </c>
      <c r="D3621" t="s">
        <v>40</v>
      </c>
      <c r="E3621" t="s">
        <v>31</v>
      </c>
      <c r="F3621" s="9">
        <v>0.13</v>
      </c>
      <c r="G3621" s="10">
        <v>17705</v>
      </c>
      <c r="H3621">
        <v>5.85</v>
      </c>
      <c r="I3621" s="5">
        <f>ROUND(Marketing[[#This Row],[Clicks]]*Marketing[[#This Row],[Conversion_Rate]],0)</f>
        <v>125</v>
      </c>
      <c r="J3621" s="12">
        <f>Marketing[[#This Row],[Campaign_Cost]]/Marketing[[#This Row],[Customers]]</f>
        <v>141.63999999999999</v>
      </c>
      <c r="K3621" t="s">
        <v>32</v>
      </c>
      <c r="L3621" t="s">
        <v>33</v>
      </c>
      <c r="M3621">
        <v>965</v>
      </c>
      <c r="N3621">
        <v>9254</v>
      </c>
      <c r="O3621">
        <v>6</v>
      </c>
      <c r="P3621" t="s">
        <v>34</v>
      </c>
      <c r="Q3621" s="1">
        <v>44531</v>
      </c>
    </row>
    <row r="3622" spans="1:17" x14ac:dyDescent="0.3">
      <c r="A3622" t="s">
        <v>28</v>
      </c>
      <c r="B3622" t="s">
        <v>36</v>
      </c>
      <c r="C3622" t="s">
        <v>23</v>
      </c>
      <c r="D3622" t="s">
        <v>40</v>
      </c>
      <c r="E3622" t="s">
        <v>18</v>
      </c>
      <c r="F3622" s="9">
        <v>0.05</v>
      </c>
      <c r="G3622" s="10">
        <v>9840</v>
      </c>
      <c r="H3622">
        <v>7.13</v>
      </c>
      <c r="I3622" s="5">
        <f>ROUND(Marketing[[#This Row],[Clicks]]*Marketing[[#This Row],[Conversion_Rate]],0)</f>
        <v>25</v>
      </c>
      <c r="J3622" s="12">
        <f>Marketing[[#This Row],[Campaign_Cost]]/Marketing[[#This Row],[Customers]]</f>
        <v>393.6</v>
      </c>
      <c r="K3622" t="s">
        <v>51</v>
      </c>
      <c r="L3622" t="s">
        <v>20</v>
      </c>
      <c r="M3622">
        <v>500</v>
      </c>
      <c r="N3622">
        <v>4354</v>
      </c>
      <c r="O3622">
        <v>4</v>
      </c>
      <c r="P3622" t="s">
        <v>42</v>
      </c>
      <c r="Q3622" s="1">
        <v>44532</v>
      </c>
    </row>
    <row r="3623" spans="1:17" x14ac:dyDescent="0.3">
      <c r="A3623" t="s">
        <v>35</v>
      </c>
      <c r="B3623" t="s">
        <v>29</v>
      </c>
      <c r="C3623" t="s">
        <v>52</v>
      </c>
      <c r="D3623" t="s">
        <v>40</v>
      </c>
      <c r="E3623" t="s">
        <v>18</v>
      </c>
      <c r="F3623" s="9">
        <v>0.12</v>
      </c>
      <c r="G3623" s="10">
        <v>5860</v>
      </c>
      <c r="H3623">
        <v>4.37</v>
      </c>
      <c r="I3623" s="5">
        <f>ROUND(Marketing[[#This Row],[Clicks]]*Marketing[[#This Row],[Conversion_Rate]],0)</f>
        <v>78</v>
      </c>
      <c r="J3623" s="12">
        <f>Marketing[[#This Row],[Campaign_Cost]]/Marketing[[#This Row],[Customers]]</f>
        <v>75.128205128205124</v>
      </c>
      <c r="K3623" t="s">
        <v>25</v>
      </c>
      <c r="L3623" t="s">
        <v>39</v>
      </c>
      <c r="M3623">
        <v>651</v>
      </c>
      <c r="N3623">
        <v>7765</v>
      </c>
      <c r="O3623">
        <v>2</v>
      </c>
      <c r="P3623" t="s">
        <v>27</v>
      </c>
      <c r="Q3623" s="1">
        <v>44533</v>
      </c>
    </row>
    <row r="3624" spans="1:17" x14ac:dyDescent="0.3">
      <c r="A3624" t="s">
        <v>49</v>
      </c>
      <c r="B3624" t="s">
        <v>15</v>
      </c>
      <c r="C3624" t="s">
        <v>52</v>
      </c>
      <c r="D3624" t="s">
        <v>46</v>
      </c>
      <c r="E3624" t="s">
        <v>41</v>
      </c>
      <c r="F3624" s="9">
        <v>0.09</v>
      </c>
      <c r="G3624" s="10">
        <v>18627</v>
      </c>
      <c r="H3624">
        <v>5.54</v>
      </c>
      <c r="I3624" s="5">
        <f>ROUND(Marketing[[#This Row],[Clicks]]*Marketing[[#This Row],[Conversion_Rate]],0)</f>
        <v>88</v>
      </c>
      <c r="J3624" s="12">
        <f>Marketing[[#This Row],[Campaign_Cost]]/Marketing[[#This Row],[Customers]]</f>
        <v>211.67045454545453</v>
      </c>
      <c r="K3624" t="s">
        <v>38</v>
      </c>
      <c r="L3624" t="s">
        <v>26</v>
      </c>
      <c r="M3624">
        <v>981</v>
      </c>
      <c r="N3624">
        <v>7701</v>
      </c>
      <c r="O3624">
        <v>2</v>
      </c>
      <c r="P3624" t="s">
        <v>42</v>
      </c>
      <c r="Q3624" s="1">
        <v>44534</v>
      </c>
    </row>
    <row r="3625" spans="1:17" x14ac:dyDescent="0.3">
      <c r="A3625" t="s">
        <v>14</v>
      </c>
      <c r="B3625" t="s">
        <v>36</v>
      </c>
      <c r="C3625" t="s">
        <v>16</v>
      </c>
      <c r="D3625" t="s">
        <v>17</v>
      </c>
      <c r="E3625" t="s">
        <v>15</v>
      </c>
      <c r="F3625" s="9">
        <v>0.01</v>
      </c>
      <c r="G3625" s="10">
        <v>13250</v>
      </c>
      <c r="H3625">
        <v>6.59</v>
      </c>
      <c r="I3625" s="5">
        <f>ROUND(Marketing[[#This Row],[Clicks]]*Marketing[[#This Row],[Conversion_Rate]],0)</f>
        <v>9</v>
      </c>
      <c r="J3625" s="12">
        <f>Marketing[[#This Row],[Campaign_Cost]]/Marketing[[#This Row],[Customers]]</f>
        <v>1472.2222222222222</v>
      </c>
      <c r="K3625" t="s">
        <v>38</v>
      </c>
      <c r="L3625" t="s">
        <v>26</v>
      </c>
      <c r="M3625">
        <v>937</v>
      </c>
      <c r="N3625">
        <v>4089</v>
      </c>
      <c r="O3625">
        <v>8</v>
      </c>
      <c r="P3625" t="s">
        <v>27</v>
      </c>
      <c r="Q3625" s="1">
        <v>44535</v>
      </c>
    </row>
    <row r="3626" spans="1:17" x14ac:dyDescent="0.3">
      <c r="A3626" t="s">
        <v>14</v>
      </c>
      <c r="B3626" t="s">
        <v>29</v>
      </c>
      <c r="C3626" t="s">
        <v>52</v>
      </c>
      <c r="D3626" t="s">
        <v>24</v>
      </c>
      <c r="E3626" t="s">
        <v>43</v>
      </c>
      <c r="F3626" s="9">
        <v>0.05</v>
      </c>
      <c r="G3626" s="10">
        <v>7594</v>
      </c>
      <c r="H3626">
        <v>7.07</v>
      </c>
      <c r="I3626" s="5">
        <f>ROUND(Marketing[[#This Row],[Clicks]]*Marketing[[#This Row],[Conversion_Rate]],0)</f>
        <v>22</v>
      </c>
      <c r="J3626" s="12">
        <f>Marketing[[#This Row],[Campaign_Cost]]/Marketing[[#This Row],[Customers]]</f>
        <v>345.18181818181819</v>
      </c>
      <c r="K3626" t="s">
        <v>19</v>
      </c>
      <c r="L3626" t="s">
        <v>39</v>
      </c>
      <c r="M3626">
        <v>437</v>
      </c>
      <c r="N3626">
        <v>2629</v>
      </c>
      <c r="O3626">
        <v>4</v>
      </c>
      <c r="P3626" t="s">
        <v>42</v>
      </c>
      <c r="Q3626" s="1">
        <v>44536</v>
      </c>
    </row>
    <row r="3627" spans="1:17" x14ac:dyDescent="0.3">
      <c r="A3627" t="s">
        <v>35</v>
      </c>
      <c r="B3627" t="s">
        <v>36</v>
      </c>
      <c r="C3627" t="s">
        <v>23</v>
      </c>
      <c r="D3627" t="s">
        <v>46</v>
      </c>
      <c r="E3627" t="s">
        <v>15</v>
      </c>
      <c r="F3627" s="9">
        <v>0.02</v>
      </c>
      <c r="G3627" s="10">
        <v>19474</v>
      </c>
      <c r="H3627">
        <v>3.27</v>
      </c>
      <c r="I3627" s="5">
        <f>ROUND(Marketing[[#This Row],[Clicks]]*Marketing[[#This Row],[Conversion_Rate]],0)</f>
        <v>12</v>
      </c>
      <c r="J3627" s="12">
        <f>Marketing[[#This Row],[Campaign_Cost]]/Marketing[[#This Row],[Customers]]</f>
        <v>1622.8333333333333</v>
      </c>
      <c r="K3627" t="s">
        <v>25</v>
      </c>
      <c r="L3627" t="s">
        <v>50</v>
      </c>
      <c r="M3627">
        <v>605</v>
      </c>
      <c r="N3627">
        <v>1513</v>
      </c>
      <c r="O3627">
        <v>9</v>
      </c>
      <c r="P3627" t="s">
        <v>44</v>
      </c>
      <c r="Q3627" s="1">
        <v>44537</v>
      </c>
    </row>
    <row r="3628" spans="1:17" x14ac:dyDescent="0.3">
      <c r="A3628" t="s">
        <v>22</v>
      </c>
      <c r="B3628" t="s">
        <v>36</v>
      </c>
      <c r="C3628" t="s">
        <v>37</v>
      </c>
      <c r="D3628" t="s">
        <v>24</v>
      </c>
      <c r="E3628" t="s">
        <v>15</v>
      </c>
      <c r="F3628" s="9">
        <v>0.06</v>
      </c>
      <c r="G3628" s="10">
        <v>17704</v>
      </c>
      <c r="H3628">
        <v>3.88</v>
      </c>
      <c r="I3628" s="5">
        <f>ROUND(Marketing[[#This Row],[Clicks]]*Marketing[[#This Row],[Conversion_Rate]],0)</f>
        <v>21</v>
      </c>
      <c r="J3628" s="12">
        <f>Marketing[[#This Row],[Campaign_Cost]]/Marketing[[#This Row],[Customers]]</f>
        <v>843.04761904761904</v>
      </c>
      <c r="K3628" t="s">
        <v>38</v>
      </c>
      <c r="L3628" t="s">
        <v>33</v>
      </c>
      <c r="M3628">
        <v>356</v>
      </c>
      <c r="N3628">
        <v>8640</v>
      </c>
      <c r="O3628">
        <v>2</v>
      </c>
      <c r="P3628" t="s">
        <v>27</v>
      </c>
      <c r="Q3628" s="1">
        <v>44538</v>
      </c>
    </row>
    <row r="3629" spans="1:17" x14ac:dyDescent="0.3">
      <c r="A3629" t="s">
        <v>14</v>
      </c>
      <c r="B3629" t="s">
        <v>15</v>
      </c>
      <c r="C3629" t="s">
        <v>23</v>
      </c>
      <c r="D3629" t="s">
        <v>40</v>
      </c>
      <c r="E3629" t="s">
        <v>18</v>
      </c>
      <c r="F3629" s="9">
        <v>0.11</v>
      </c>
      <c r="G3629" s="10">
        <v>16862</v>
      </c>
      <c r="H3629">
        <v>7.19</v>
      </c>
      <c r="I3629" s="5">
        <f>ROUND(Marketing[[#This Row],[Clicks]]*Marketing[[#This Row],[Conversion_Rate]],0)</f>
        <v>28</v>
      </c>
      <c r="J3629" s="12">
        <f>Marketing[[#This Row],[Campaign_Cost]]/Marketing[[#This Row],[Customers]]</f>
        <v>602.21428571428567</v>
      </c>
      <c r="K3629" t="s">
        <v>51</v>
      </c>
      <c r="L3629" t="s">
        <v>33</v>
      </c>
      <c r="M3629">
        <v>254</v>
      </c>
      <c r="N3629">
        <v>7106</v>
      </c>
      <c r="O3629">
        <v>10</v>
      </c>
      <c r="P3629" t="s">
        <v>34</v>
      </c>
      <c r="Q3629" s="1">
        <v>44539</v>
      </c>
    </row>
    <row r="3630" spans="1:17" x14ac:dyDescent="0.3">
      <c r="A3630" t="s">
        <v>14</v>
      </c>
      <c r="B3630" t="s">
        <v>45</v>
      </c>
      <c r="C3630" t="s">
        <v>52</v>
      </c>
      <c r="D3630" t="s">
        <v>46</v>
      </c>
      <c r="E3630" t="s">
        <v>41</v>
      </c>
      <c r="F3630" s="9">
        <v>0.11</v>
      </c>
      <c r="G3630" s="10">
        <v>17313</v>
      </c>
      <c r="H3630">
        <v>2.59</v>
      </c>
      <c r="I3630" s="5">
        <f>ROUND(Marketing[[#This Row],[Clicks]]*Marketing[[#This Row],[Conversion_Rate]],0)</f>
        <v>94</v>
      </c>
      <c r="J3630" s="12">
        <f>Marketing[[#This Row],[Campaign_Cost]]/Marketing[[#This Row],[Customers]]</f>
        <v>184.18085106382978</v>
      </c>
      <c r="K3630" t="s">
        <v>38</v>
      </c>
      <c r="L3630" t="s">
        <v>33</v>
      </c>
      <c r="M3630">
        <v>859</v>
      </c>
      <c r="N3630">
        <v>8682</v>
      </c>
      <c r="O3630">
        <v>3</v>
      </c>
      <c r="P3630" t="s">
        <v>21</v>
      </c>
      <c r="Q3630" s="1">
        <v>44540</v>
      </c>
    </row>
    <row r="3631" spans="1:17" x14ac:dyDescent="0.3">
      <c r="A3631" t="s">
        <v>49</v>
      </c>
      <c r="B3631" t="s">
        <v>47</v>
      </c>
      <c r="C3631" t="s">
        <v>23</v>
      </c>
      <c r="D3631" t="s">
        <v>40</v>
      </c>
      <c r="E3631" t="s">
        <v>18</v>
      </c>
      <c r="F3631" s="9">
        <v>0.08</v>
      </c>
      <c r="G3631" s="10">
        <v>12924</v>
      </c>
      <c r="H3631">
        <v>3.89</v>
      </c>
      <c r="I3631" s="5">
        <f>ROUND(Marketing[[#This Row],[Clicks]]*Marketing[[#This Row],[Conversion_Rate]],0)</f>
        <v>34</v>
      </c>
      <c r="J3631" s="12">
        <f>Marketing[[#This Row],[Campaign_Cost]]/Marketing[[#This Row],[Customers]]</f>
        <v>380.11764705882354</v>
      </c>
      <c r="K3631" t="s">
        <v>25</v>
      </c>
      <c r="L3631" t="s">
        <v>26</v>
      </c>
      <c r="M3631">
        <v>422</v>
      </c>
      <c r="N3631">
        <v>7028</v>
      </c>
      <c r="O3631">
        <v>3</v>
      </c>
      <c r="P3631" t="s">
        <v>42</v>
      </c>
      <c r="Q3631" s="1">
        <v>44541</v>
      </c>
    </row>
    <row r="3632" spans="1:17" x14ac:dyDescent="0.3">
      <c r="A3632" t="s">
        <v>35</v>
      </c>
      <c r="B3632" t="s">
        <v>45</v>
      </c>
      <c r="C3632" t="s">
        <v>52</v>
      </c>
      <c r="D3632" t="s">
        <v>17</v>
      </c>
      <c r="E3632" t="s">
        <v>31</v>
      </c>
      <c r="F3632" s="9">
        <v>0.11</v>
      </c>
      <c r="G3632" s="10">
        <v>15776</v>
      </c>
      <c r="H3632">
        <v>3.59</v>
      </c>
      <c r="I3632" s="5">
        <f>ROUND(Marketing[[#This Row],[Clicks]]*Marketing[[#This Row],[Conversion_Rate]],0)</f>
        <v>17</v>
      </c>
      <c r="J3632" s="12">
        <f>Marketing[[#This Row],[Campaign_Cost]]/Marketing[[#This Row],[Customers]]</f>
        <v>928</v>
      </c>
      <c r="K3632" t="s">
        <v>25</v>
      </c>
      <c r="L3632" t="s">
        <v>39</v>
      </c>
      <c r="M3632">
        <v>152</v>
      </c>
      <c r="N3632">
        <v>6015</v>
      </c>
      <c r="O3632">
        <v>9</v>
      </c>
      <c r="P3632" t="s">
        <v>27</v>
      </c>
      <c r="Q3632" s="1">
        <v>44542</v>
      </c>
    </row>
    <row r="3633" spans="1:17" x14ac:dyDescent="0.3">
      <c r="A3633" t="s">
        <v>22</v>
      </c>
      <c r="B3633" t="s">
        <v>15</v>
      </c>
      <c r="C3633" t="s">
        <v>52</v>
      </c>
      <c r="D3633" t="s">
        <v>46</v>
      </c>
      <c r="E3633" t="s">
        <v>15</v>
      </c>
      <c r="F3633" s="9">
        <v>7.0000000000000007E-2</v>
      </c>
      <c r="G3633" s="10">
        <v>10091</v>
      </c>
      <c r="H3633">
        <v>4.0599999999999996</v>
      </c>
      <c r="I3633" s="5">
        <f>ROUND(Marketing[[#This Row],[Clicks]]*Marketing[[#This Row],[Conversion_Rate]],0)</f>
        <v>59</v>
      </c>
      <c r="J3633" s="12">
        <f>Marketing[[#This Row],[Campaign_Cost]]/Marketing[[#This Row],[Customers]]</f>
        <v>171.03389830508473</v>
      </c>
      <c r="K3633" t="s">
        <v>32</v>
      </c>
      <c r="L3633" t="s">
        <v>20</v>
      </c>
      <c r="M3633">
        <v>843</v>
      </c>
      <c r="N3633">
        <v>2846</v>
      </c>
      <c r="O3633">
        <v>3</v>
      </c>
      <c r="P3633" t="s">
        <v>27</v>
      </c>
      <c r="Q3633" s="1">
        <v>44543</v>
      </c>
    </row>
    <row r="3634" spans="1:17" x14ac:dyDescent="0.3">
      <c r="A3634" t="s">
        <v>14</v>
      </c>
      <c r="B3634" t="s">
        <v>29</v>
      </c>
      <c r="C3634" t="s">
        <v>23</v>
      </c>
      <c r="D3634" t="s">
        <v>17</v>
      </c>
      <c r="E3634" t="s">
        <v>43</v>
      </c>
      <c r="F3634" s="9">
        <v>0.15</v>
      </c>
      <c r="G3634" s="10">
        <v>9904</v>
      </c>
      <c r="H3634">
        <v>2.91</v>
      </c>
      <c r="I3634" s="5">
        <f>ROUND(Marketing[[#This Row],[Clicks]]*Marketing[[#This Row],[Conversion_Rate]],0)</f>
        <v>114</v>
      </c>
      <c r="J3634" s="12">
        <f>Marketing[[#This Row],[Campaign_Cost]]/Marketing[[#This Row],[Customers]]</f>
        <v>86.877192982456137</v>
      </c>
      <c r="K3634" t="s">
        <v>32</v>
      </c>
      <c r="L3634" t="s">
        <v>26</v>
      </c>
      <c r="M3634">
        <v>763</v>
      </c>
      <c r="N3634">
        <v>5453</v>
      </c>
      <c r="O3634">
        <v>10</v>
      </c>
      <c r="P3634" t="s">
        <v>42</v>
      </c>
      <c r="Q3634" s="1">
        <v>44544</v>
      </c>
    </row>
    <row r="3635" spans="1:17" x14ac:dyDescent="0.3">
      <c r="A3635" t="s">
        <v>35</v>
      </c>
      <c r="B3635" t="s">
        <v>47</v>
      </c>
      <c r="C3635" t="s">
        <v>30</v>
      </c>
      <c r="D3635" t="s">
        <v>17</v>
      </c>
      <c r="E3635" t="s">
        <v>48</v>
      </c>
      <c r="F3635" s="9">
        <v>0.14000000000000001</v>
      </c>
      <c r="G3635" s="10">
        <v>12532</v>
      </c>
      <c r="H3635">
        <v>6.45</v>
      </c>
      <c r="I3635" s="5">
        <f>ROUND(Marketing[[#This Row],[Clicks]]*Marketing[[#This Row],[Conversion_Rate]],0)</f>
        <v>65</v>
      </c>
      <c r="J3635" s="12">
        <f>Marketing[[#This Row],[Campaign_Cost]]/Marketing[[#This Row],[Customers]]</f>
        <v>192.8</v>
      </c>
      <c r="K3635" t="s">
        <v>19</v>
      </c>
      <c r="L3635" t="s">
        <v>26</v>
      </c>
      <c r="M3635">
        <v>464</v>
      </c>
      <c r="N3635">
        <v>8781</v>
      </c>
      <c r="O3635">
        <v>4</v>
      </c>
      <c r="P3635" t="s">
        <v>42</v>
      </c>
      <c r="Q3635" s="1">
        <v>44545</v>
      </c>
    </row>
    <row r="3636" spans="1:17" x14ac:dyDescent="0.3">
      <c r="A3636" t="s">
        <v>49</v>
      </c>
      <c r="B3636" t="s">
        <v>36</v>
      </c>
      <c r="C3636" t="s">
        <v>16</v>
      </c>
      <c r="D3636" t="s">
        <v>40</v>
      </c>
      <c r="E3636" t="s">
        <v>15</v>
      </c>
      <c r="F3636" s="9">
        <v>0.02</v>
      </c>
      <c r="G3636" s="10">
        <v>17502</v>
      </c>
      <c r="H3636">
        <v>6.81</v>
      </c>
      <c r="I3636" s="5">
        <f>ROUND(Marketing[[#This Row],[Clicks]]*Marketing[[#This Row],[Conversion_Rate]],0)</f>
        <v>16</v>
      </c>
      <c r="J3636" s="12">
        <f>Marketing[[#This Row],[Campaign_Cost]]/Marketing[[#This Row],[Customers]]</f>
        <v>1093.875</v>
      </c>
      <c r="K3636" t="s">
        <v>38</v>
      </c>
      <c r="L3636" t="s">
        <v>50</v>
      </c>
      <c r="M3636">
        <v>822</v>
      </c>
      <c r="N3636">
        <v>7740</v>
      </c>
      <c r="O3636">
        <v>6</v>
      </c>
      <c r="P3636" t="s">
        <v>44</v>
      </c>
      <c r="Q3636" s="1">
        <v>44546</v>
      </c>
    </row>
    <row r="3637" spans="1:17" x14ac:dyDescent="0.3">
      <c r="A3637" t="s">
        <v>22</v>
      </c>
      <c r="B3637" t="s">
        <v>15</v>
      </c>
      <c r="C3637" t="s">
        <v>52</v>
      </c>
      <c r="D3637" t="s">
        <v>17</v>
      </c>
      <c r="E3637" t="s">
        <v>48</v>
      </c>
      <c r="F3637" s="9">
        <v>0.14000000000000001</v>
      </c>
      <c r="G3637" s="10">
        <v>8642</v>
      </c>
      <c r="H3637">
        <v>4.88</v>
      </c>
      <c r="I3637" s="5">
        <f>ROUND(Marketing[[#This Row],[Clicks]]*Marketing[[#This Row],[Conversion_Rate]],0)</f>
        <v>124</v>
      </c>
      <c r="J3637" s="12">
        <f>Marketing[[#This Row],[Campaign_Cost]]/Marketing[[#This Row],[Customers]]</f>
        <v>69.693548387096769</v>
      </c>
      <c r="K3637" t="s">
        <v>38</v>
      </c>
      <c r="L3637" t="s">
        <v>33</v>
      </c>
      <c r="M3637">
        <v>887</v>
      </c>
      <c r="N3637">
        <v>2401</v>
      </c>
      <c r="O3637">
        <v>2</v>
      </c>
      <c r="P3637" t="s">
        <v>21</v>
      </c>
      <c r="Q3637" s="1">
        <v>44547</v>
      </c>
    </row>
    <row r="3638" spans="1:17" x14ac:dyDescent="0.3">
      <c r="A3638" t="s">
        <v>49</v>
      </c>
      <c r="B3638" t="s">
        <v>36</v>
      </c>
      <c r="C3638" t="s">
        <v>52</v>
      </c>
      <c r="D3638" t="s">
        <v>17</v>
      </c>
      <c r="E3638" t="s">
        <v>48</v>
      </c>
      <c r="F3638" s="9">
        <v>0.02</v>
      </c>
      <c r="G3638" s="10">
        <v>12380</v>
      </c>
      <c r="H3638">
        <v>5.2</v>
      </c>
      <c r="I3638" s="5">
        <f>ROUND(Marketing[[#This Row],[Clicks]]*Marketing[[#This Row],[Conversion_Rate]],0)</f>
        <v>18</v>
      </c>
      <c r="J3638" s="12">
        <f>Marketing[[#This Row],[Campaign_Cost]]/Marketing[[#This Row],[Customers]]</f>
        <v>687.77777777777783</v>
      </c>
      <c r="K3638" t="s">
        <v>19</v>
      </c>
      <c r="L3638" t="s">
        <v>33</v>
      </c>
      <c r="M3638">
        <v>921</v>
      </c>
      <c r="N3638">
        <v>9411</v>
      </c>
      <c r="O3638">
        <v>8</v>
      </c>
      <c r="P3638" t="s">
        <v>44</v>
      </c>
      <c r="Q3638" s="1">
        <v>44548</v>
      </c>
    </row>
    <row r="3639" spans="1:17" x14ac:dyDescent="0.3">
      <c r="A3639" t="s">
        <v>22</v>
      </c>
      <c r="B3639" t="s">
        <v>47</v>
      </c>
      <c r="C3639" t="s">
        <v>23</v>
      </c>
      <c r="D3639" t="s">
        <v>40</v>
      </c>
      <c r="E3639" t="s">
        <v>41</v>
      </c>
      <c r="F3639" s="9">
        <v>0.03</v>
      </c>
      <c r="G3639" s="10">
        <v>16999</v>
      </c>
      <c r="H3639">
        <v>3.6</v>
      </c>
      <c r="I3639" s="5">
        <f>ROUND(Marketing[[#This Row],[Clicks]]*Marketing[[#This Row],[Conversion_Rate]],0)</f>
        <v>13</v>
      </c>
      <c r="J3639" s="12">
        <f>Marketing[[#This Row],[Campaign_Cost]]/Marketing[[#This Row],[Customers]]</f>
        <v>1307.6153846153845</v>
      </c>
      <c r="K3639" t="s">
        <v>32</v>
      </c>
      <c r="L3639" t="s">
        <v>20</v>
      </c>
      <c r="M3639">
        <v>423</v>
      </c>
      <c r="N3639">
        <v>8225</v>
      </c>
      <c r="O3639">
        <v>7</v>
      </c>
      <c r="P3639" t="s">
        <v>21</v>
      </c>
      <c r="Q3639" s="1">
        <v>44549</v>
      </c>
    </row>
    <row r="3640" spans="1:17" x14ac:dyDescent="0.3">
      <c r="A3640" t="s">
        <v>49</v>
      </c>
      <c r="B3640" t="s">
        <v>45</v>
      </c>
      <c r="C3640" t="s">
        <v>23</v>
      </c>
      <c r="D3640" t="s">
        <v>40</v>
      </c>
      <c r="E3640" t="s">
        <v>41</v>
      </c>
      <c r="F3640" s="9">
        <v>0.02</v>
      </c>
      <c r="G3640" s="10">
        <v>14824</v>
      </c>
      <c r="H3640">
        <v>4.0599999999999996</v>
      </c>
      <c r="I3640" s="5">
        <f>ROUND(Marketing[[#This Row],[Clicks]]*Marketing[[#This Row],[Conversion_Rate]],0)</f>
        <v>13</v>
      </c>
      <c r="J3640" s="12">
        <f>Marketing[[#This Row],[Campaign_Cost]]/Marketing[[#This Row],[Customers]]</f>
        <v>1140.3076923076924</v>
      </c>
      <c r="K3640" t="s">
        <v>19</v>
      </c>
      <c r="L3640" t="s">
        <v>39</v>
      </c>
      <c r="M3640">
        <v>626</v>
      </c>
      <c r="N3640">
        <v>3224</v>
      </c>
      <c r="O3640">
        <v>2</v>
      </c>
      <c r="P3640" t="s">
        <v>21</v>
      </c>
      <c r="Q3640" s="1">
        <v>44550</v>
      </c>
    </row>
    <row r="3641" spans="1:17" x14ac:dyDescent="0.3">
      <c r="A3641" t="s">
        <v>14</v>
      </c>
      <c r="B3641" t="s">
        <v>29</v>
      </c>
      <c r="C3641" t="s">
        <v>37</v>
      </c>
      <c r="D3641" t="s">
        <v>17</v>
      </c>
      <c r="E3641" t="s">
        <v>31</v>
      </c>
      <c r="F3641" s="9">
        <v>0.12</v>
      </c>
      <c r="G3641" s="10">
        <v>5982</v>
      </c>
      <c r="H3641">
        <v>4.71</v>
      </c>
      <c r="I3641" s="5">
        <f>ROUND(Marketing[[#This Row],[Clicks]]*Marketing[[#This Row],[Conversion_Rate]],0)</f>
        <v>100</v>
      </c>
      <c r="J3641" s="12">
        <f>Marketing[[#This Row],[Campaign_Cost]]/Marketing[[#This Row],[Customers]]</f>
        <v>59.82</v>
      </c>
      <c r="K3641" t="s">
        <v>51</v>
      </c>
      <c r="L3641" t="s">
        <v>20</v>
      </c>
      <c r="M3641">
        <v>830</v>
      </c>
      <c r="N3641">
        <v>6893</v>
      </c>
      <c r="O3641">
        <v>8</v>
      </c>
      <c r="P3641" t="s">
        <v>21</v>
      </c>
      <c r="Q3641" s="1">
        <v>44551</v>
      </c>
    </row>
    <row r="3642" spans="1:17" x14ac:dyDescent="0.3">
      <c r="A3642" t="s">
        <v>28</v>
      </c>
      <c r="B3642" t="s">
        <v>36</v>
      </c>
      <c r="C3642" t="s">
        <v>30</v>
      </c>
      <c r="D3642" t="s">
        <v>24</v>
      </c>
      <c r="E3642" t="s">
        <v>31</v>
      </c>
      <c r="F3642" s="9">
        <v>0.06</v>
      </c>
      <c r="G3642" s="10">
        <v>10565</v>
      </c>
      <c r="H3642">
        <v>7.11</v>
      </c>
      <c r="I3642" s="5">
        <f>ROUND(Marketing[[#This Row],[Clicks]]*Marketing[[#This Row],[Conversion_Rate]],0)</f>
        <v>11</v>
      </c>
      <c r="J3642" s="12">
        <f>Marketing[[#This Row],[Campaign_Cost]]/Marketing[[#This Row],[Customers]]</f>
        <v>960.4545454545455</v>
      </c>
      <c r="K3642" t="s">
        <v>19</v>
      </c>
      <c r="L3642" t="s">
        <v>39</v>
      </c>
      <c r="M3642">
        <v>185</v>
      </c>
      <c r="N3642">
        <v>9307</v>
      </c>
      <c r="O3642">
        <v>7</v>
      </c>
      <c r="P3642" t="s">
        <v>21</v>
      </c>
      <c r="Q3642" s="1">
        <v>44552</v>
      </c>
    </row>
    <row r="3643" spans="1:17" x14ac:dyDescent="0.3">
      <c r="A3643" t="s">
        <v>35</v>
      </c>
      <c r="B3643" t="s">
        <v>29</v>
      </c>
      <c r="C3643" t="s">
        <v>23</v>
      </c>
      <c r="D3643" t="s">
        <v>24</v>
      </c>
      <c r="E3643" t="s">
        <v>48</v>
      </c>
      <c r="F3643" s="9">
        <v>0.03</v>
      </c>
      <c r="G3643" s="10">
        <v>11741</v>
      </c>
      <c r="H3643">
        <v>6.99</v>
      </c>
      <c r="I3643" s="5">
        <f>ROUND(Marketing[[#This Row],[Clicks]]*Marketing[[#This Row],[Conversion_Rate]],0)</f>
        <v>29</v>
      </c>
      <c r="J3643" s="12">
        <f>Marketing[[#This Row],[Campaign_Cost]]/Marketing[[#This Row],[Customers]]</f>
        <v>404.86206896551727</v>
      </c>
      <c r="K3643" t="s">
        <v>25</v>
      </c>
      <c r="L3643" t="s">
        <v>39</v>
      </c>
      <c r="M3643">
        <v>974</v>
      </c>
      <c r="N3643">
        <v>2798</v>
      </c>
      <c r="O3643">
        <v>3</v>
      </c>
      <c r="P3643" t="s">
        <v>34</v>
      </c>
      <c r="Q3643" s="1">
        <v>44553</v>
      </c>
    </row>
    <row r="3644" spans="1:17" x14ac:dyDescent="0.3">
      <c r="A3644" t="s">
        <v>49</v>
      </c>
      <c r="B3644" t="s">
        <v>15</v>
      </c>
      <c r="C3644" t="s">
        <v>23</v>
      </c>
      <c r="D3644" t="s">
        <v>17</v>
      </c>
      <c r="E3644" t="s">
        <v>18</v>
      </c>
      <c r="F3644" s="9">
        <v>0.11</v>
      </c>
      <c r="G3644" s="10">
        <v>6625</v>
      </c>
      <c r="H3644">
        <v>4.88</v>
      </c>
      <c r="I3644" s="5">
        <f>ROUND(Marketing[[#This Row],[Clicks]]*Marketing[[#This Row],[Conversion_Rate]],0)</f>
        <v>33</v>
      </c>
      <c r="J3644" s="12">
        <f>Marketing[[#This Row],[Campaign_Cost]]/Marketing[[#This Row],[Customers]]</f>
        <v>200.75757575757575</v>
      </c>
      <c r="K3644" t="s">
        <v>38</v>
      </c>
      <c r="L3644" t="s">
        <v>39</v>
      </c>
      <c r="M3644">
        <v>298</v>
      </c>
      <c r="N3644">
        <v>5863</v>
      </c>
      <c r="O3644">
        <v>10</v>
      </c>
      <c r="P3644" t="s">
        <v>34</v>
      </c>
      <c r="Q3644" s="1">
        <v>44554</v>
      </c>
    </row>
    <row r="3645" spans="1:17" x14ac:dyDescent="0.3">
      <c r="A3645" t="s">
        <v>49</v>
      </c>
      <c r="B3645" t="s">
        <v>29</v>
      </c>
      <c r="C3645" t="s">
        <v>30</v>
      </c>
      <c r="D3645" t="s">
        <v>24</v>
      </c>
      <c r="E3645" t="s">
        <v>48</v>
      </c>
      <c r="F3645" s="9">
        <v>0.05</v>
      </c>
      <c r="G3645" s="10">
        <v>10008</v>
      </c>
      <c r="H3645">
        <v>2.69</v>
      </c>
      <c r="I3645" s="5">
        <f>ROUND(Marketing[[#This Row],[Clicks]]*Marketing[[#This Row],[Conversion_Rate]],0)</f>
        <v>29</v>
      </c>
      <c r="J3645" s="12">
        <f>Marketing[[#This Row],[Campaign_Cost]]/Marketing[[#This Row],[Customers]]</f>
        <v>345.10344827586209</v>
      </c>
      <c r="K3645" t="s">
        <v>38</v>
      </c>
      <c r="L3645" t="s">
        <v>20</v>
      </c>
      <c r="M3645">
        <v>576</v>
      </c>
      <c r="N3645">
        <v>1096</v>
      </c>
      <c r="O3645">
        <v>10</v>
      </c>
      <c r="P3645" t="s">
        <v>27</v>
      </c>
      <c r="Q3645" s="1">
        <v>44555</v>
      </c>
    </row>
    <row r="3646" spans="1:17" x14ac:dyDescent="0.3">
      <c r="A3646" t="s">
        <v>35</v>
      </c>
      <c r="B3646" t="s">
        <v>29</v>
      </c>
      <c r="C3646" t="s">
        <v>30</v>
      </c>
      <c r="D3646" t="s">
        <v>46</v>
      </c>
      <c r="E3646" t="s">
        <v>41</v>
      </c>
      <c r="F3646" s="9">
        <v>0.05</v>
      </c>
      <c r="G3646" s="10">
        <v>7499</v>
      </c>
      <c r="H3646">
        <v>7.62</v>
      </c>
      <c r="I3646" s="5">
        <f>ROUND(Marketing[[#This Row],[Clicks]]*Marketing[[#This Row],[Conversion_Rate]],0)</f>
        <v>24</v>
      </c>
      <c r="J3646" s="12">
        <f>Marketing[[#This Row],[Campaign_Cost]]/Marketing[[#This Row],[Customers]]</f>
        <v>312.45833333333331</v>
      </c>
      <c r="K3646" t="s">
        <v>38</v>
      </c>
      <c r="L3646" t="s">
        <v>33</v>
      </c>
      <c r="M3646">
        <v>478</v>
      </c>
      <c r="N3646">
        <v>9193</v>
      </c>
      <c r="O3646">
        <v>9</v>
      </c>
      <c r="P3646" t="s">
        <v>34</v>
      </c>
      <c r="Q3646" s="1">
        <v>44556</v>
      </c>
    </row>
    <row r="3647" spans="1:17" x14ac:dyDescent="0.3">
      <c r="A3647" t="s">
        <v>35</v>
      </c>
      <c r="B3647" t="s">
        <v>29</v>
      </c>
      <c r="C3647" t="s">
        <v>30</v>
      </c>
      <c r="D3647" t="s">
        <v>40</v>
      </c>
      <c r="E3647" t="s">
        <v>48</v>
      </c>
      <c r="F3647" s="9">
        <v>0.05</v>
      </c>
      <c r="G3647" s="10">
        <v>8456</v>
      </c>
      <c r="H3647">
        <v>2.13</v>
      </c>
      <c r="I3647" s="5">
        <f>ROUND(Marketing[[#This Row],[Clicks]]*Marketing[[#This Row],[Conversion_Rate]],0)</f>
        <v>25</v>
      </c>
      <c r="J3647" s="12">
        <f>Marketing[[#This Row],[Campaign_Cost]]/Marketing[[#This Row],[Customers]]</f>
        <v>338.24</v>
      </c>
      <c r="K3647" t="s">
        <v>25</v>
      </c>
      <c r="L3647" t="s">
        <v>26</v>
      </c>
      <c r="M3647">
        <v>504</v>
      </c>
      <c r="N3647">
        <v>7241</v>
      </c>
      <c r="O3647">
        <v>7</v>
      </c>
      <c r="P3647" t="s">
        <v>34</v>
      </c>
      <c r="Q3647" s="1">
        <v>44557</v>
      </c>
    </row>
    <row r="3648" spans="1:17" x14ac:dyDescent="0.3">
      <c r="A3648" t="s">
        <v>22</v>
      </c>
      <c r="B3648" t="s">
        <v>29</v>
      </c>
      <c r="C3648" t="s">
        <v>23</v>
      </c>
      <c r="D3648" t="s">
        <v>17</v>
      </c>
      <c r="E3648" t="s">
        <v>43</v>
      </c>
      <c r="F3648" s="9">
        <v>0.12</v>
      </c>
      <c r="G3648" s="10">
        <v>12831</v>
      </c>
      <c r="H3648">
        <v>7.83</v>
      </c>
      <c r="I3648" s="5">
        <f>ROUND(Marketing[[#This Row],[Clicks]]*Marketing[[#This Row],[Conversion_Rate]],0)</f>
        <v>100</v>
      </c>
      <c r="J3648" s="12">
        <f>Marketing[[#This Row],[Campaign_Cost]]/Marketing[[#This Row],[Customers]]</f>
        <v>128.31</v>
      </c>
      <c r="K3648" t="s">
        <v>38</v>
      </c>
      <c r="L3648" t="s">
        <v>33</v>
      </c>
      <c r="M3648">
        <v>832</v>
      </c>
      <c r="N3648">
        <v>9651</v>
      </c>
      <c r="O3648">
        <v>10</v>
      </c>
      <c r="P3648" t="s">
        <v>44</v>
      </c>
      <c r="Q3648" s="1">
        <v>44558</v>
      </c>
    </row>
    <row r="3649" spans="1:17" x14ac:dyDescent="0.3">
      <c r="A3649" t="s">
        <v>49</v>
      </c>
      <c r="B3649" t="s">
        <v>47</v>
      </c>
      <c r="C3649" t="s">
        <v>30</v>
      </c>
      <c r="D3649" t="s">
        <v>40</v>
      </c>
      <c r="E3649" t="s">
        <v>18</v>
      </c>
      <c r="F3649" s="9">
        <v>0.14000000000000001</v>
      </c>
      <c r="G3649" s="10">
        <v>7154</v>
      </c>
      <c r="H3649">
        <v>6.7</v>
      </c>
      <c r="I3649" s="5">
        <f>ROUND(Marketing[[#This Row],[Clicks]]*Marketing[[#This Row],[Conversion_Rate]],0)</f>
        <v>83</v>
      </c>
      <c r="J3649" s="12">
        <f>Marketing[[#This Row],[Campaign_Cost]]/Marketing[[#This Row],[Customers]]</f>
        <v>86.192771084337352</v>
      </c>
      <c r="K3649" t="s">
        <v>38</v>
      </c>
      <c r="L3649" t="s">
        <v>50</v>
      </c>
      <c r="M3649">
        <v>592</v>
      </c>
      <c r="N3649">
        <v>1296</v>
      </c>
      <c r="O3649">
        <v>2</v>
      </c>
      <c r="P3649" t="s">
        <v>21</v>
      </c>
      <c r="Q3649" s="1">
        <v>44559</v>
      </c>
    </row>
    <row r="3650" spans="1:17" x14ac:dyDescent="0.3">
      <c r="A3650" t="s">
        <v>35</v>
      </c>
      <c r="B3650" t="s">
        <v>45</v>
      </c>
      <c r="C3650" t="s">
        <v>16</v>
      </c>
      <c r="D3650" t="s">
        <v>24</v>
      </c>
      <c r="E3650" t="s">
        <v>41</v>
      </c>
      <c r="F3650" s="9">
        <v>0.01</v>
      </c>
      <c r="G3650" s="10">
        <v>9446</v>
      </c>
      <c r="H3650">
        <v>4.2</v>
      </c>
      <c r="I3650" s="5">
        <f>ROUND(Marketing[[#This Row],[Clicks]]*Marketing[[#This Row],[Conversion_Rate]],0)</f>
        <v>2</v>
      </c>
      <c r="J3650" s="12">
        <f>Marketing[[#This Row],[Campaign_Cost]]/Marketing[[#This Row],[Customers]]</f>
        <v>4723</v>
      </c>
      <c r="K3650" t="s">
        <v>25</v>
      </c>
      <c r="L3650" t="s">
        <v>50</v>
      </c>
      <c r="M3650">
        <v>156</v>
      </c>
      <c r="N3650">
        <v>5176</v>
      </c>
      <c r="O3650">
        <v>10</v>
      </c>
      <c r="P3650" t="s">
        <v>27</v>
      </c>
      <c r="Q3650" s="1">
        <v>44560</v>
      </c>
    </row>
    <row r="3651" spans="1:17" x14ac:dyDescent="0.3">
      <c r="A3651" t="s">
        <v>14</v>
      </c>
      <c r="B3651" t="s">
        <v>29</v>
      </c>
      <c r="C3651" t="s">
        <v>30</v>
      </c>
      <c r="D3651" t="s">
        <v>40</v>
      </c>
      <c r="E3651" t="s">
        <v>48</v>
      </c>
      <c r="F3651" s="9">
        <v>0.13</v>
      </c>
      <c r="G3651" s="10">
        <v>15681</v>
      </c>
      <c r="H3651">
        <v>2.14</v>
      </c>
      <c r="I3651" s="5">
        <f>ROUND(Marketing[[#This Row],[Clicks]]*Marketing[[#This Row],[Conversion_Rate]],0)</f>
        <v>17</v>
      </c>
      <c r="J3651" s="12">
        <f>Marketing[[#This Row],[Campaign_Cost]]/Marketing[[#This Row],[Customers]]</f>
        <v>922.41176470588232</v>
      </c>
      <c r="K3651" t="s">
        <v>25</v>
      </c>
      <c r="L3651" t="s">
        <v>50</v>
      </c>
      <c r="M3651">
        <v>134</v>
      </c>
      <c r="N3651">
        <v>5899</v>
      </c>
      <c r="O3651">
        <v>2</v>
      </c>
      <c r="P3651" t="s">
        <v>27</v>
      </c>
      <c r="Q3651" s="1">
        <v>44561</v>
      </c>
    </row>
    <row r="3652" spans="1:17" x14ac:dyDescent="0.3">
      <c r="A3652" t="s">
        <v>28</v>
      </c>
      <c r="B3652" t="s">
        <v>15</v>
      </c>
      <c r="C3652" t="s">
        <v>52</v>
      </c>
      <c r="D3652" t="s">
        <v>17</v>
      </c>
      <c r="E3652" t="s">
        <v>15</v>
      </c>
      <c r="F3652" s="9">
        <v>0.14000000000000001</v>
      </c>
      <c r="G3652" s="10">
        <v>11787</v>
      </c>
      <c r="H3652">
        <v>4.83</v>
      </c>
      <c r="I3652" s="5">
        <f>ROUND(Marketing[[#This Row],[Clicks]]*Marketing[[#This Row],[Conversion_Rate]],0)</f>
        <v>75</v>
      </c>
      <c r="J3652" s="12">
        <f>Marketing[[#This Row],[Campaign_Cost]]/Marketing[[#This Row],[Customers]]</f>
        <v>157.16</v>
      </c>
      <c r="K3652" t="s">
        <v>19</v>
      </c>
      <c r="L3652" t="s">
        <v>26</v>
      </c>
      <c r="M3652">
        <v>534</v>
      </c>
      <c r="N3652">
        <v>4244</v>
      </c>
      <c r="O3652">
        <v>8</v>
      </c>
      <c r="P3652" t="s">
        <v>42</v>
      </c>
      <c r="Q3652" s="1">
        <v>44197</v>
      </c>
    </row>
    <row r="3653" spans="1:17" x14ac:dyDescent="0.3">
      <c r="A3653" t="s">
        <v>14</v>
      </c>
      <c r="B3653" t="s">
        <v>47</v>
      </c>
      <c r="C3653" t="s">
        <v>52</v>
      </c>
      <c r="D3653" t="s">
        <v>24</v>
      </c>
      <c r="E3653" t="s">
        <v>15</v>
      </c>
      <c r="F3653" s="9">
        <v>0.04</v>
      </c>
      <c r="G3653" s="10">
        <v>16579</v>
      </c>
      <c r="H3653">
        <v>7.45</v>
      </c>
      <c r="I3653" s="5">
        <f>ROUND(Marketing[[#This Row],[Clicks]]*Marketing[[#This Row],[Conversion_Rate]],0)</f>
        <v>34</v>
      </c>
      <c r="J3653" s="12">
        <f>Marketing[[#This Row],[Campaign_Cost]]/Marketing[[#This Row],[Customers]]</f>
        <v>487.61764705882354</v>
      </c>
      <c r="K3653" t="s">
        <v>19</v>
      </c>
      <c r="L3653" t="s">
        <v>50</v>
      </c>
      <c r="M3653">
        <v>854</v>
      </c>
      <c r="N3653">
        <v>2749</v>
      </c>
      <c r="O3653">
        <v>8</v>
      </c>
      <c r="P3653" t="s">
        <v>27</v>
      </c>
      <c r="Q3653" s="1">
        <v>44198</v>
      </c>
    </row>
    <row r="3654" spans="1:17" x14ac:dyDescent="0.3">
      <c r="A3654" t="s">
        <v>35</v>
      </c>
      <c r="B3654" t="s">
        <v>47</v>
      </c>
      <c r="C3654" t="s">
        <v>52</v>
      </c>
      <c r="D3654" t="s">
        <v>40</v>
      </c>
      <c r="E3654" t="s">
        <v>43</v>
      </c>
      <c r="F3654" s="9">
        <v>0.04</v>
      </c>
      <c r="G3654" s="10">
        <v>11508</v>
      </c>
      <c r="H3654">
        <v>4.24</v>
      </c>
      <c r="I3654" s="5">
        <f>ROUND(Marketing[[#This Row],[Clicks]]*Marketing[[#This Row],[Conversion_Rate]],0)</f>
        <v>19</v>
      </c>
      <c r="J3654" s="12">
        <f>Marketing[[#This Row],[Campaign_Cost]]/Marketing[[#This Row],[Customers]]</f>
        <v>605.68421052631584</v>
      </c>
      <c r="K3654" t="s">
        <v>25</v>
      </c>
      <c r="L3654" t="s">
        <v>50</v>
      </c>
      <c r="M3654">
        <v>476</v>
      </c>
      <c r="N3654">
        <v>9574</v>
      </c>
      <c r="O3654">
        <v>6</v>
      </c>
      <c r="P3654" t="s">
        <v>44</v>
      </c>
      <c r="Q3654" s="1">
        <v>44199</v>
      </c>
    </row>
    <row r="3655" spans="1:17" x14ac:dyDescent="0.3">
      <c r="A3655" t="s">
        <v>28</v>
      </c>
      <c r="B3655" t="s">
        <v>36</v>
      </c>
      <c r="C3655" t="s">
        <v>16</v>
      </c>
      <c r="D3655" t="s">
        <v>24</v>
      </c>
      <c r="E3655" t="s">
        <v>18</v>
      </c>
      <c r="F3655" s="9">
        <v>0.09</v>
      </c>
      <c r="G3655" s="10">
        <v>11853</v>
      </c>
      <c r="H3655">
        <v>2.5499999999999998</v>
      </c>
      <c r="I3655" s="5">
        <f>ROUND(Marketing[[#This Row],[Clicks]]*Marketing[[#This Row],[Conversion_Rate]],0)</f>
        <v>22</v>
      </c>
      <c r="J3655" s="12">
        <f>Marketing[[#This Row],[Campaign_Cost]]/Marketing[[#This Row],[Customers]]</f>
        <v>538.77272727272725</v>
      </c>
      <c r="K3655" t="s">
        <v>19</v>
      </c>
      <c r="L3655" t="s">
        <v>33</v>
      </c>
      <c r="M3655">
        <v>240</v>
      </c>
      <c r="N3655">
        <v>2146</v>
      </c>
      <c r="O3655">
        <v>7</v>
      </c>
      <c r="P3655" t="s">
        <v>27</v>
      </c>
      <c r="Q3655" s="1">
        <v>44200</v>
      </c>
    </row>
    <row r="3656" spans="1:17" x14ac:dyDescent="0.3">
      <c r="A3656" t="s">
        <v>28</v>
      </c>
      <c r="B3656" t="s">
        <v>47</v>
      </c>
      <c r="C3656" t="s">
        <v>16</v>
      </c>
      <c r="D3656" t="s">
        <v>24</v>
      </c>
      <c r="E3656" t="s">
        <v>31</v>
      </c>
      <c r="F3656" s="9">
        <v>0.04</v>
      </c>
      <c r="G3656" s="10">
        <v>9458</v>
      </c>
      <c r="H3656">
        <v>7.95</v>
      </c>
      <c r="I3656" s="5">
        <f>ROUND(Marketing[[#This Row],[Clicks]]*Marketing[[#This Row],[Conversion_Rate]],0)</f>
        <v>19</v>
      </c>
      <c r="J3656" s="12">
        <f>Marketing[[#This Row],[Campaign_Cost]]/Marketing[[#This Row],[Customers]]</f>
        <v>497.78947368421052</v>
      </c>
      <c r="K3656" t="s">
        <v>38</v>
      </c>
      <c r="L3656" t="s">
        <v>50</v>
      </c>
      <c r="M3656">
        <v>477</v>
      </c>
      <c r="N3656">
        <v>2062</v>
      </c>
      <c r="O3656">
        <v>9</v>
      </c>
      <c r="P3656" t="s">
        <v>42</v>
      </c>
      <c r="Q3656" s="1">
        <v>44201</v>
      </c>
    </row>
    <row r="3657" spans="1:17" x14ac:dyDescent="0.3">
      <c r="A3657" t="s">
        <v>49</v>
      </c>
      <c r="B3657" t="s">
        <v>45</v>
      </c>
      <c r="C3657" t="s">
        <v>37</v>
      </c>
      <c r="D3657" t="s">
        <v>46</v>
      </c>
      <c r="E3657" t="s">
        <v>48</v>
      </c>
      <c r="F3657" s="9">
        <v>0.08</v>
      </c>
      <c r="G3657" s="10">
        <v>5058</v>
      </c>
      <c r="H3657">
        <v>6.28</v>
      </c>
      <c r="I3657" s="5">
        <f>ROUND(Marketing[[#This Row],[Clicks]]*Marketing[[#This Row],[Conversion_Rate]],0)</f>
        <v>70</v>
      </c>
      <c r="J3657" s="12">
        <f>Marketing[[#This Row],[Campaign_Cost]]/Marketing[[#This Row],[Customers]]</f>
        <v>72.257142857142853</v>
      </c>
      <c r="K3657" t="s">
        <v>38</v>
      </c>
      <c r="L3657" t="s">
        <v>39</v>
      </c>
      <c r="M3657">
        <v>877</v>
      </c>
      <c r="N3657">
        <v>7217</v>
      </c>
      <c r="O3657">
        <v>5</v>
      </c>
      <c r="P3657" t="s">
        <v>21</v>
      </c>
      <c r="Q3657" s="1">
        <v>44202</v>
      </c>
    </row>
    <row r="3658" spans="1:17" x14ac:dyDescent="0.3">
      <c r="A3658" t="s">
        <v>49</v>
      </c>
      <c r="B3658" t="s">
        <v>36</v>
      </c>
      <c r="C3658" t="s">
        <v>37</v>
      </c>
      <c r="D3658" t="s">
        <v>40</v>
      </c>
      <c r="E3658" t="s">
        <v>43</v>
      </c>
      <c r="F3658" s="9">
        <v>0.02</v>
      </c>
      <c r="G3658" s="10">
        <v>18479</v>
      </c>
      <c r="H3658">
        <v>4.5999999999999996</v>
      </c>
      <c r="I3658" s="5">
        <f>ROUND(Marketing[[#This Row],[Clicks]]*Marketing[[#This Row],[Conversion_Rate]],0)</f>
        <v>18</v>
      </c>
      <c r="J3658" s="12">
        <f>Marketing[[#This Row],[Campaign_Cost]]/Marketing[[#This Row],[Customers]]</f>
        <v>1026.6111111111111</v>
      </c>
      <c r="K3658" t="s">
        <v>19</v>
      </c>
      <c r="L3658" t="s">
        <v>20</v>
      </c>
      <c r="M3658">
        <v>879</v>
      </c>
      <c r="N3658">
        <v>8344</v>
      </c>
      <c r="O3658">
        <v>3</v>
      </c>
      <c r="P3658" t="s">
        <v>21</v>
      </c>
      <c r="Q3658" s="1">
        <v>44203</v>
      </c>
    </row>
    <row r="3659" spans="1:17" x14ac:dyDescent="0.3">
      <c r="A3659" t="s">
        <v>14</v>
      </c>
      <c r="B3659" t="s">
        <v>47</v>
      </c>
      <c r="C3659" t="s">
        <v>23</v>
      </c>
      <c r="D3659" t="s">
        <v>46</v>
      </c>
      <c r="E3659" t="s">
        <v>43</v>
      </c>
      <c r="F3659" s="9">
        <v>0.09</v>
      </c>
      <c r="G3659" s="10">
        <v>15319</v>
      </c>
      <c r="H3659">
        <v>5.05</v>
      </c>
      <c r="I3659" s="5">
        <f>ROUND(Marketing[[#This Row],[Clicks]]*Marketing[[#This Row],[Conversion_Rate]],0)</f>
        <v>26</v>
      </c>
      <c r="J3659" s="12">
        <f>Marketing[[#This Row],[Campaign_Cost]]/Marketing[[#This Row],[Customers]]</f>
        <v>589.19230769230774</v>
      </c>
      <c r="K3659" t="s">
        <v>25</v>
      </c>
      <c r="L3659" t="s">
        <v>50</v>
      </c>
      <c r="M3659">
        <v>292</v>
      </c>
      <c r="N3659">
        <v>8656</v>
      </c>
      <c r="O3659">
        <v>5</v>
      </c>
      <c r="P3659" t="s">
        <v>34</v>
      </c>
      <c r="Q3659" s="1">
        <v>44204</v>
      </c>
    </row>
    <row r="3660" spans="1:17" x14ac:dyDescent="0.3">
      <c r="A3660" t="s">
        <v>28</v>
      </c>
      <c r="B3660" t="s">
        <v>15</v>
      </c>
      <c r="C3660" t="s">
        <v>37</v>
      </c>
      <c r="D3660" t="s">
        <v>17</v>
      </c>
      <c r="E3660" t="s">
        <v>43</v>
      </c>
      <c r="F3660" s="9">
        <v>0.08</v>
      </c>
      <c r="G3660" s="10">
        <v>14773</v>
      </c>
      <c r="H3660">
        <v>2.66</v>
      </c>
      <c r="I3660" s="5">
        <f>ROUND(Marketing[[#This Row],[Clicks]]*Marketing[[#This Row],[Conversion_Rate]],0)</f>
        <v>68</v>
      </c>
      <c r="J3660" s="12">
        <f>Marketing[[#This Row],[Campaign_Cost]]/Marketing[[#This Row],[Customers]]</f>
        <v>217.25</v>
      </c>
      <c r="K3660" t="s">
        <v>38</v>
      </c>
      <c r="L3660" t="s">
        <v>20</v>
      </c>
      <c r="M3660">
        <v>845</v>
      </c>
      <c r="N3660">
        <v>5530</v>
      </c>
      <c r="O3660">
        <v>9</v>
      </c>
      <c r="P3660" t="s">
        <v>21</v>
      </c>
      <c r="Q3660" s="1">
        <v>44205</v>
      </c>
    </row>
    <row r="3661" spans="1:17" x14ac:dyDescent="0.3">
      <c r="A3661" t="s">
        <v>28</v>
      </c>
      <c r="B3661" t="s">
        <v>45</v>
      </c>
      <c r="C3661" t="s">
        <v>37</v>
      </c>
      <c r="D3661" t="s">
        <v>24</v>
      </c>
      <c r="E3661" t="s">
        <v>15</v>
      </c>
      <c r="F3661" s="9">
        <v>0.05</v>
      </c>
      <c r="G3661" s="10">
        <v>19842</v>
      </c>
      <c r="H3661">
        <v>6.14</v>
      </c>
      <c r="I3661" s="5">
        <f>ROUND(Marketing[[#This Row],[Clicks]]*Marketing[[#This Row],[Conversion_Rate]],0)</f>
        <v>41</v>
      </c>
      <c r="J3661" s="12">
        <f>Marketing[[#This Row],[Campaign_Cost]]/Marketing[[#This Row],[Customers]]</f>
        <v>483.95121951219511</v>
      </c>
      <c r="K3661" t="s">
        <v>19</v>
      </c>
      <c r="L3661" t="s">
        <v>26</v>
      </c>
      <c r="M3661">
        <v>811</v>
      </c>
      <c r="N3661">
        <v>4578</v>
      </c>
      <c r="O3661">
        <v>7</v>
      </c>
      <c r="P3661" t="s">
        <v>21</v>
      </c>
      <c r="Q3661" s="1">
        <v>44206</v>
      </c>
    </row>
    <row r="3662" spans="1:17" x14ac:dyDescent="0.3">
      <c r="A3662" t="s">
        <v>49</v>
      </c>
      <c r="B3662" t="s">
        <v>45</v>
      </c>
      <c r="C3662" t="s">
        <v>23</v>
      </c>
      <c r="D3662" t="s">
        <v>46</v>
      </c>
      <c r="E3662" t="s">
        <v>48</v>
      </c>
      <c r="F3662" s="9">
        <v>0.15</v>
      </c>
      <c r="G3662" s="10">
        <v>17448</v>
      </c>
      <c r="H3662">
        <v>3.38</v>
      </c>
      <c r="I3662" s="5">
        <f>ROUND(Marketing[[#This Row],[Clicks]]*Marketing[[#This Row],[Conversion_Rate]],0)</f>
        <v>115</v>
      </c>
      <c r="J3662" s="12">
        <f>Marketing[[#This Row],[Campaign_Cost]]/Marketing[[#This Row],[Customers]]</f>
        <v>151.72173913043477</v>
      </c>
      <c r="K3662" t="s">
        <v>51</v>
      </c>
      <c r="L3662" t="s">
        <v>50</v>
      </c>
      <c r="M3662">
        <v>768</v>
      </c>
      <c r="N3662">
        <v>4758</v>
      </c>
      <c r="O3662">
        <v>6</v>
      </c>
      <c r="P3662" t="s">
        <v>34</v>
      </c>
      <c r="Q3662" s="1">
        <v>44207</v>
      </c>
    </row>
    <row r="3663" spans="1:17" x14ac:dyDescent="0.3">
      <c r="A3663" t="s">
        <v>14</v>
      </c>
      <c r="B3663" t="s">
        <v>36</v>
      </c>
      <c r="C3663" t="s">
        <v>16</v>
      </c>
      <c r="D3663" t="s">
        <v>24</v>
      </c>
      <c r="E3663" t="s">
        <v>48</v>
      </c>
      <c r="F3663" s="9">
        <v>0.13</v>
      </c>
      <c r="G3663" s="10">
        <v>13488</v>
      </c>
      <c r="H3663">
        <v>3.46</v>
      </c>
      <c r="I3663" s="5">
        <f>ROUND(Marketing[[#This Row],[Clicks]]*Marketing[[#This Row],[Conversion_Rate]],0)</f>
        <v>113</v>
      </c>
      <c r="J3663" s="12">
        <f>Marketing[[#This Row],[Campaign_Cost]]/Marketing[[#This Row],[Customers]]</f>
        <v>119.36283185840708</v>
      </c>
      <c r="K3663" t="s">
        <v>32</v>
      </c>
      <c r="L3663" t="s">
        <v>26</v>
      </c>
      <c r="M3663">
        <v>872</v>
      </c>
      <c r="N3663">
        <v>6605</v>
      </c>
      <c r="O3663">
        <v>9</v>
      </c>
      <c r="P3663" t="s">
        <v>42</v>
      </c>
      <c r="Q3663" s="1">
        <v>44208</v>
      </c>
    </row>
    <row r="3664" spans="1:17" x14ac:dyDescent="0.3">
      <c r="A3664" t="s">
        <v>28</v>
      </c>
      <c r="B3664" t="s">
        <v>45</v>
      </c>
      <c r="C3664" t="s">
        <v>23</v>
      </c>
      <c r="D3664" t="s">
        <v>46</v>
      </c>
      <c r="E3664" t="s">
        <v>48</v>
      </c>
      <c r="F3664" s="9">
        <v>0.13</v>
      </c>
      <c r="G3664" s="10">
        <v>14679</v>
      </c>
      <c r="H3664">
        <v>6.78</v>
      </c>
      <c r="I3664" s="5">
        <f>ROUND(Marketing[[#This Row],[Clicks]]*Marketing[[#This Row],[Conversion_Rate]],0)</f>
        <v>126</v>
      </c>
      <c r="J3664" s="12">
        <f>Marketing[[#This Row],[Campaign_Cost]]/Marketing[[#This Row],[Customers]]</f>
        <v>116.5</v>
      </c>
      <c r="K3664" t="s">
        <v>19</v>
      </c>
      <c r="L3664" t="s">
        <v>33</v>
      </c>
      <c r="M3664">
        <v>973</v>
      </c>
      <c r="N3664">
        <v>7800</v>
      </c>
      <c r="O3664">
        <v>1</v>
      </c>
      <c r="P3664" t="s">
        <v>42</v>
      </c>
      <c r="Q3664" s="1">
        <v>44209</v>
      </c>
    </row>
    <row r="3665" spans="1:17" x14ac:dyDescent="0.3">
      <c r="A3665" t="s">
        <v>14</v>
      </c>
      <c r="B3665" t="s">
        <v>47</v>
      </c>
      <c r="C3665" t="s">
        <v>37</v>
      </c>
      <c r="D3665" t="s">
        <v>40</v>
      </c>
      <c r="E3665" t="s">
        <v>48</v>
      </c>
      <c r="F3665" s="9">
        <v>0.03</v>
      </c>
      <c r="G3665" s="10">
        <v>14117</v>
      </c>
      <c r="H3665">
        <v>4.7</v>
      </c>
      <c r="I3665" s="5">
        <f>ROUND(Marketing[[#This Row],[Clicks]]*Marketing[[#This Row],[Conversion_Rate]],0)</f>
        <v>29</v>
      </c>
      <c r="J3665" s="12">
        <f>Marketing[[#This Row],[Campaign_Cost]]/Marketing[[#This Row],[Customers]]</f>
        <v>486.79310344827587</v>
      </c>
      <c r="K3665" t="s">
        <v>19</v>
      </c>
      <c r="L3665" t="s">
        <v>26</v>
      </c>
      <c r="M3665">
        <v>954</v>
      </c>
      <c r="N3665">
        <v>7267</v>
      </c>
      <c r="O3665">
        <v>5</v>
      </c>
      <c r="P3665" t="s">
        <v>42</v>
      </c>
      <c r="Q3665" s="1">
        <v>44210</v>
      </c>
    </row>
    <row r="3666" spans="1:17" x14ac:dyDescent="0.3">
      <c r="A3666" t="s">
        <v>22</v>
      </c>
      <c r="B3666" t="s">
        <v>29</v>
      </c>
      <c r="C3666" t="s">
        <v>30</v>
      </c>
      <c r="D3666" t="s">
        <v>46</v>
      </c>
      <c r="E3666" t="s">
        <v>18</v>
      </c>
      <c r="F3666" s="9">
        <v>0.13</v>
      </c>
      <c r="G3666" s="10">
        <v>10761</v>
      </c>
      <c r="H3666">
        <v>6.07</v>
      </c>
      <c r="I3666" s="5">
        <f>ROUND(Marketing[[#This Row],[Clicks]]*Marketing[[#This Row],[Conversion_Rate]],0)</f>
        <v>18</v>
      </c>
      <c r="J3666" s="12">
        <f>Marketing[[#This Row],[Campaign_Cost]]/Marketing[[#This Row],[Customers]]</f>
        <v>597.83333333333337</v>
      </c>
      <c r="K3666" t="s">
        <v>25</v>
      </c>
      <c r="L3666" t="s">
        <v>26</v>
      </c>
      <c r="M3666">
        <v>139</v>
      </c>
      <c r="N3666">
        <v>6407</v>
      </c>
      <c r="O3666">
        <v>10</v>
      </c>
      <c r="P3666" t="s">
        <v>42</v>
      </c>
      <c r="Q3666" s="1">
        <v>44211</v>
      </c>
    </row>
    <row r="3667" spans="1:17" x14ac:dyDescent="0.3">
      <c r="A3667" t="s">
        <v>28</v>
      </c>
      <c r="B3667" t="s">
        <v>15</v>
      </c>
      <c r="C3667" t="s">
        <v>16</v>
      </c>
      <c r="D3667" t="s">
        <v>17</v>
      </c>
      <c r="E3667" t="s">
        <v>15</v>
      </c>
      <c r="F3667" s="9">
        <v>0.1</v>
      </c>
      <c r="G3667" s="10">
        <v>12533</v>
      </c>
      <c r="H3667">
        <v>7.88</v>
      </c>
      <c r="I3667" s="5">
        <f>ROUND(Marketing[[#This Row],[Clicks]]*Marketing[[#This Row],[Conversion_Rate]],0)</f>
        <v>94</v>
      </c>
      <c r="J3667" s="12">
        <f>Marketing[[#This Row],[Campaign_Cost]]/Marketing[[#This Row],[Customers]]</f>
        <v>133.32978723404256</v>
      </c>
      <c r="K3667" t="s">
        <v>38</v>
      </c>
      <c r="L3667" t="s">
        <v>33</v>
      </c>
      <c r="M3667">
        <v>940</v>
      </c>
      <c r="N3667">
        <v>1192</v>
      </c>
      <c r="O3667">
        <v>5</v>
      </c>
      <c r="P3667" t="s">
        <v>42</v>
      </c>
      <c r="Q3667" s="1">
        <v>44212</v>
      </c>
    </row>
    <row r="3668" spans="1:17" x14ac:dyDescent="0.3">
      <c r="A3668" t="s">
        <v>22</v>
      </c>
      <c r="B3668" t="s">
        <v>47</v>
      </c>
      <c r="C3668" t="s">
        <v>16</v>
      </c>
      <c r="D3668" t="s">
        <v>46</v>
      </c>
      <c r="E3668" t="s">
        <v>43</v>
      </c>
      <c r="F3668" s="9">
        <v>0.11</v>
      </c>
      <c r="G3668" s="10">
        <v>15841</v>
      </c>
      <c r="H3668">
        <v>4.3</v>
      </c>
      <c r="I3668" s="5">
        <f>ROUND(Marketing[[#This Row],[Clicks]]*Marketing[[#This Row],[Conversion_Rate]],0)</f>
        <v>60</v>
      </c>
      <c r="J3668" s="12">
        <f>Marketing[[#This Row],[Campaign_Cost]]/Marketing[[#This Row],[Customers]]</f>
        <v>264.01666666666665</v>
      </c>
      <c r="K3668" t="s">
        <v>25</v>
      </c>
      <c r="L3668" t="s">
        <v>33</v>
      </c>
      <c r="M3668">
        <v>549</v>
      </c>
      <c r="N3668">
        <v>8882</v>
      </c>
      <c r="O3668">
        <v>2</v>
      </c>
      <c r="P3668" t="s">
        <v>42</v>
      </c>
      <c r="Q3668" s="1">
        <v>44213</v>
      </c>
    </row>
    <row r="3669" spans="1:17" x14ac:dyDescent="0.3">
      <c r="A3669" t="s">
        <v>14</v>
      </c>
      <c r="B3669" t="s">
        <v>45</v>
      </c>
      <c r="C3669" t="s">
        <v>37</v>
      </c>
      <c r="D3669" t="s">
        <v>17</v>
      </c>
      <c r="E3669" t="s">
        <v>15</v>
      </c>
      <c r="F3669" s="9">
        <v>0.05</v>
      </c>
      <c r="G3669" s="10">
        <v>11929</v>
      </c>
      <c r="H3669">
        <v>4.5</v>
      </c>
      <c r="I3669" s="5">
        <f>ROUND(Marketing[[#This Row],[Clicks]]*Marketing[[#This Row],[Conversion_Rate]],0)</f>
        <v>47</v>
      </c>
      <c r="J3669" s="12">
        <f>Marketing[[#This Row],[Campaign_Cost]]/Marketing[[#This Row],[Customers]]</f>
        <v>253.80851063829786</v>
      </c>
      <c r="K3669" t="s">
        <v>51</v>
      </c>
      <c r="L3669" t="s">
        <v>33</v>
      </c>
      <c r="M3669">
        <v>947</v>
      </c>
      <c r="N3669">
        <v>6709</v>
      </c>
      <c r="O3669">
        <v>9</v>
      </c>
      <c r="P3669" t="s">
        <v>34</v>
      </c>
      <c r="Q3669" s="1">
        <v>44214</v>
      </c>
    </row>
    <row r="3670" spans="1:17" x14ac:dyDescent="0.3">
      <c r="A3670" t="s">
        <v>28</v>
      </c>
      <c r="B3670" t="s">
        <v>45</v>
      </c>
      <c r="C3670" t="s">
        <v>37</v>
      </c>
      <c r="D3670" t="s">
        <v>24</v>
      </c>
      <c r="E3670" t="s">
        <v>15</v>
      </c>
      <c r="F3670" s="9">
        <v>0.02</v>
      </c>
      <c r="G3670" s="10">
        <v>5086</v>
      </c>
      <c r="H3670">
        <v>7.37</v>
      </c>
      <c r="I3670" s="5">
        <f>ROUND(Marketing[[#This Row],[Clicks]]*Marketing[[#This Row],[Conversion_Rate]],0)</f>
        <v>3</v>
      </c>
      <c r="J3670" s="12">
        <f>Marketing[[#This Row],[Campaign_Cost]]/Marketing[[#This Row],[Customers]]</f>
        <v>1695.3333333333333</v>
      </c>
      <c r="K3670" t="s">
        <v>19</v>
      </c>
      <c r="L3670" t="s">
        <v>39</v>
      </c>
      <c r="M3670">
        <v>144</v>
      </c>
      <c r="N3670">
        <v>5185</v>
      </c>
      <c r="O3670">
        <v>3</v>
      </c>
      <c r="P3670" t="s">
        <v>21</v>
      </c>
      <c r="Q3670" s="1">
        <v>44215</v>
      </c>
    </row>
    <row r="3671" spans="1:17" x14ac:dyDescent="0.3">
      <c r="A3671" t="s">
        <v>22</v>
      </c>
      <c r="B3671" t="s">
        <v>29</v>
      </c>
      <c r="C3671" t="s">
        <v>30</v>
      </c>
      <c r="D3671" t="s">
        <v>46</v>
      </c>
      <c r="E3671" t="s">
        <v>15</v>
      </c>
      <c r="F3671" s="9">
        <v>0.06</v>
      </c>
      <c r="G3671" s="10">
        <v>17085</v>
      </c>
      <c r="H3671">
        <v>6.76</v>
      </c>
      <c r="I3671" s="5">
        <f>ROUND(Marketing[[#This Row],[Clicks]]*Marketing[[#This Row],[Conversion_Rate]],0)</f>
        <v>18</v>
      </c>
      <c r="J3671" s="12">
        <f>Marketing[[#This Row],[Campaign_Cost]]/Marketing[[#This Row],[Customers]]</f>
        <v>949.16666666666663</v>
      </c>
      <c r="K3671" t="s">
        <v>25</v>
      </c>
      <c r="L3671" t="s">
        <v>26</v>
      </c>
      <c r="M3671">
        <v>302</v>
      </c>
      <c r="N3671">
        <v>2489</v>
      </c>
      <c r="O3671">
        <v>8</v>
      </c>
      <c r="P3671" t="s">
        <v>42</v>
      </c>
      <c r="Q3671" s="1">
        <v>44216</v>
      </c>
    </row>
    <row r="3672" spans="1:17" x14ac:dyDescent="0.3">
      <c r="A3672" t="s">
        <v>49</v>
      </c>
      <c r="B3672" t="s">
        <v>29</v>
      </c>
      <c r="C3672" t="s">
        <v>16</v>
      </c>
      <c r="D3672" t="s">
        <v>17</v>
      </c>
      <c r="E3672" t="s">
        <v>18</v>
      </c>
      <c r="F3672" s="9">
        <v>0.03</v>
      </c>
      <c r="G3672" s="10">
        <v>12802</v>
      </c>
      <c r="H3672">
        <v>5.07</v>
      </c>
      <c r="I3672" s="5">
        <f>ROUND(Marketing[[#This Row],[Clicks]]*Marketing[[#This Row],[Conversion_Rate]],0)</f>
        <v>10</v>
      </c>
      <c r="J3672" s="12">
        <f>Marketing[[#This Row],[Campaign_Cost]]/Marketing[[#This Row],[Customers]]</f>
        <v>1280.2</v>
      </c>
      <c r="K3672" t="s">
        <v>32</v>
      </c>
      <c r="L3672" t="s">
        <v>26</v>
      </c>
      <c r="M3672">
        <v>336</v>
      </c>
      <c r="N3672">
        <v>9185</v>
      </c>
      <c r="O3672">
        <v>1</v>
      </c>
      <c r="P3672" t="s">
        <v>27</v>
      </c>
      <c r="Q3672" s="1">
        <v>44217</v>
      </c>
    </row>
    <row r="3673" spans="1:17" x14ac:dyDescent="0.3">
      <c r="A3673" t="s">
        <v>28</v>
      </c>
      <c r="B3673" t="s">
        <v>15</v>
      </c>
      <c r="C3673" t="s">
        <v>52</v>
      </c>
      <c r="D3673" t="s">
        <v>24</v>
      </c>
      <c r="E3673" t="s">
        <v>15</v>
      </c>
      <c r="F3673" s="9">
        <v>0.04</v>
      </c>
      <c r="G3673" s="10">
        <v>15349</v>
      </c>
      <c r="H3673">
        <v>2.09</v>
      </c>
      <c r="I3673" s="5">
        <f>ROUND(Marketing[[#This Row],[Clicks]]*Marketing[[#This Row],[Conversion_Rate]],0)</f>
        <v>20</v>
      </c>
      <c r="J3673" s="12">
        <f>Marketing[[#This Row],[Campaign_Cost]]/Marketing[[#This Row],[Customers]]</f>
        <v>767.45</v>
      </c>
      <c r="K3673" t="s">
        <v>51</v>
      </c>
      <c r="L3673" t="s">
        <v>20</v>
      </c>
      <c r="M3673">
        <v>497</v>
      </c>
      <c r="N3673">
        <v>4179</v>
      </c>
      <c r="O3673">
        <v>5</v>
      </c>
      <c r="P3673" t="s">
        <v>27</v>
      </c>
      <c r="Q3673" s="1">
        <v>44218</v>
      </c>
    </row>
    <row r="3674" spans="1:17" x14ac:dyDescent="0.3">
      <c r="A3674" t="s">
        <v>49</v>
      </c>
      <c r="B3674" t="s">
        <v>15</v>
      </c>
      <c r="C3674" t="s">
        <v>23</v>
      </c>
      <c r="D3674" t="s">
        <v>40</v>
      </c>
      <c r="E3674" t="s">
        <v>43</v>
      </c>
      <c r="F3674" s="9">
        <v>0.09</v>
      </c>
      <c r="G3674" s="10">
        <v>16985</v>
      </c>
      <c r="H3674">
        <v>5.69</v>
      </c>
      <c r="I3674" s="5">
        <f>ROUND(Marketing[[#This Row],[Clicks]]*Marketing[[#This Row],[Conversion_Rate]],0)</f>
        <v>52</v>
      </c>
      <c r="J3674" s="12">
        <f>Marketing[[#This Row],[Campaign_Cost]]/Marketing[[#This Row],[Customers]]</f>
        <v>326.63461538461536</v>
      </c>
      <c r="K3674" t="s">
        <v>38</v>
      </c>
      <c r="L3674" t="s">
        <v>39</v>
      </c>
      <c r="M3674">
        <v>574</v>
      </c>
      <c r="N3674">
        <v>1912</v>
      </c>
      <c r="O3674">
        <v>9</v>
      </c>
      <c r="P3674" t="s">
        <v>44</v>
      </c>
      <c r="Q3674" s="1">
        <v>44219</v>
      </c>
    </row>
    <row r="3675" spans="1:17" x14ac:dyDescent="0.3">
      <c r="A3675" t="s">
        <v>14</v>
      </c>
      <c r="B3675" t="s">
        <v>45</v>
      </c>
      <c r="C3675" t="s">
        <v>16</v>
      </c>
      <c r="D3675" t="s">
        <v>24</v>
      </c>
      <c r="E3675" t="s">
        <v>15</v>
      </c>
      <c r="F3675" s="9">
        <v>0.08</v>
      </c>
      <c r="G3675" s="10">
        <v>15265</v>
      </c>
      <c r="H3675">
        <v>2.3199999999999998</v>
      </c>
      <c r="I3675" s="5">
        <f>ROUND(Marketing[[#This Row],[Clicks]]*Marketing[[#This Row],[Conversion_Rate]],0)</f>
        <v>60</v>
      </c>
      <c r="J3675" s="12">
        <f>Marketing[[#This Row],[Campaign_Cost]]/Marketing[[#This Row],[Customers]]</f>
        <v>254.41666666666666</v>
      </c>
      <c r="K3675" t="s">
        <v>32</v>
      </c>
      <c r="L3675" t="s">
        <v>26</v>
      </c>
      <c r="M3675">
        <v>745</v>
      </c>
      <c r="N3675">
        <v>9339</v>
      </c>
      <c r="O3675">
        <v>9</v>
      </c>
      <c r="P3675" t="s">
        <v>21</v>
      </c>
      <c r="Q3675" s="1">
        <v>44220</v>
      </c>
    </row>
    <row r="3676" spans="1:17" x14ac:dyDescent="0.3">
      <c r="A3676" t="s">
        <v>49</v>
      </c>
      <c r="B3676" t="s">
        <v>29</v>
      </c>
      <c r="C3676" t="s">
        <v>23</v>
      </c>
      <c r="D3676" t="s">
        <v>24</v>
      </c>
      <c r="E3676" t="s">
        <v>48</v>
      </c>
      <c r="F3676" s="9">
        <v>0.08</v>
      </c>
      <c r="G3676" s="10">
        <v>7887</v>
      </c>
      <c r="H3676">
        <v>6.7</v>
      </c>
      <c r="I3676" s="5">
        <f>ROUND(Marketing[[#This Row],[Clicks]]*Marketing[[#This Row],[Conversion_Rate]],0)</f>
        <v>59</v>
      </c>
      <c r="J3676" s="12">
        <f>Marketing[[#This Row],[Campaign_Cost]]/Marketing[[#This Row],[Customers]]</f>
        <v>133.67796610169492</v>
      </c>
      <c r="K3676" t="s">
        <v>38</v>
      </c>
      <c r="L3676" t="s">
        <v>20</v>
      </c>
      <c r="M3676">
        <v>736</v>
      </c>
      <c r="N3676">
        <v>3041</v>
      </c>
      <c r="O3676">
        <v>9</v>
      </c>
      <c r="P3676" t="s">
        <v>27</v>
      </c>
      <c r="Q3676" s="1">
        <v>44221</v>
      </c>
    </row>
    <row r="3677" spans="1:17" x14ac:dyDescent="0.3">
      <c r="A3677" t="s">
        <v>35</v>
      </c>
      <c r="B3677" t="s">
        <v>45</v>
      </c>
      <c r="C3677" t="s">
        <v>16</v>
      </c>
      <c r="D3677" t="s">
        <v>17</v>
      </c>
      <c r="E3677" t="s">
        <v>43</v>
      </c>
      <c r="F3677" s="9">
        <v>0.12</v>
      </c>
      <c r="G3677" s="10">
        <v>19575</v>
      </c>
      <c r="H3677">
        <v>3.26</v>
      </c>
      <c r="I3677" s="5">
        <f>ROUND(Marketing[[#This Row],[Clicks]]*Marketing[[#This Row],[Conversion_Rate]],0)</f>
        <v>50</v>
      </c>
      <c r="J3677" s="12">
        <f>Marketing[[#This Row],[Campaign_Cost]]/Marketing[[#This Row],[Customers]]</f>
        <v>391.5</v>
      </c>
      <c r="K3677" t="s">
        <v>51</v>
      </c>
      <c r="L3677" t="s">
        <v>33</v>
      </c>
      <c r="M3677">
        <v>420</v>
      </c>
      <c r="N3677">
        <v>7760</v>
      </c>
      <c r="O3677">
        <v>9</v>
      </c>
      <c r="P3677" t="s">
        <v>42</v>
      </c>
      <c r="Q3677" s="1">
        <v>44222</v>
      </c>
    </row>
    <row r="3678" spans="1:17" x14ac:dyDescent="0.3">
      <c r="A3678" t="s">
        <v>28</v>
      </c>
      <c r="B3678" t="s">
        <v>15</v>
      </c>
      <c r="C3678" t="s">
        <v>37</v>
      </c>
      <c r="D3678" t="s">
        <v>17</v>
      </c>
      <c r="E3678" t="s">
        <v>31</v>
      </c>
      <c r="F3678" s="9">
        <v>0.06</v>
      </c>
      <c r="G3678" s="10">
        <v>10998</v>
      </c>
      <c r="H3678">
        <v>3.38</v>
      </c>
      <c r="I3678" s="5">
        <f>ROUND(Marketing[[#This Row],[Clicks]]*Marketing[[#This Row],[Conversion_Rate]],0)</f>
        <v>28</v>
      </c>
      <c r="J3678" s="12">
        <f>Marketing[[#This Row],[Campaign_Cost]]/Marketing[[#This Row],[Customers]]</f>
        <v>392.78571428571428</v>
      </c>
      <c r="K3678" t="s">
        <v>25</v>
      </c>
      <c r="L3678" t="s">
        <v>39</v>
      </c>
      <c r="M3678">
        <v>460</v>
      </c>
      <c r="N3678">
        <v>4327</v>
      </c>
      <c r="O3678">
        <v>9</v>
      </c>
      <c r="P3678" t="s">
        <v>34</v>
      </c>
      <c r="Q3678" s="1">
        <v>44223</v>
      </c>
    </row>
    <row r="3679" spans="1:17" x14ac:dyDescent="0.3">
      <c r="A3679" t="s">
        <v>28</v>
      </c>
      <c r="B3679" t="s">
        <v>47</v>
      </c>
      <c r="C3679" t="s">
        <v>16</v>
      </c>
      <c r="D3679" t="s">
        <v>24</v>
      </c>
      <c r="E3679" t="s">
        <v>31</v>
      </c>
      <c r="F3679" s="9">
        <v>0.02</v>
      </c>
      <c r="G3679" s="10">
        <v>16117</v>
      </c>
      <c r="H3679">
        <v>3.14</v>
      </c>
      <c r="I3679" s="5">
        <f>ROUND(Marketing[[#This Row],[Clicks]]*Marketing[[#This Row],[Conversion_Rate]],0)</f>
        <v>15</v>
      </c>
      <c r="J3679" s="12">
        <f>Marketing[[#This Row],[Campaign_Cost]]/Marketing[[#This Row],[Customers]]</f>
        <v>1074.4666666666667</v>
      </c>
      <c r="K3679" t="s">
        <v>38</v>
      </c>
      <c r="L3679" t="s">
        <v>20</v>
      </c>
      <c r="M3679">
        <v>733</v>
      </c>
      <c r="N3679">
        <v>3259</v>
      </c>
      <c r="O3679">
        <v>7</v>
      </c>
      <c r="P3679" t="s">
        <v>44</v>
      </c>
      <c r="Q3679" s="1">
        <v>44224</v>
      </c>
    </row>
    <row r="3680" spans="1:17" x14ac:dyDescent="0.3">
      <c r="A3680" t="s">
        <v>35</v>
      </c>
      <c r="B3680" t="s">
        <v>15</v>
      </c>
      <c r="C3680" t="s">
        <v>52</v>
      </c>
      <c r="D3680" t="s">
        <v>40</v>
      </c>
      <c r="E3680" t="s">
        <v>43</v>
      </c>
      <c r="F3680" s="9">
        <v>0.03</v>
      </c>
      <c r="G3680" s="10">
        <v>11733</v>
      </c>
      <c r="H3680">
        <v>4.87</v>
      </c>
      <c r="I3680" s="5">
        <f>ROUND(Marketing[[#This Row],[Clicks]]*Marketing[[#This Row],[Conversion_Rate]],0)</f>
        <v>20</v>
      </c>
      <c r="J3680" s="12">
        <f>Marketing[[#This Row],[Campaign_Cost]]/Marketing[[#This Row],[Customers]]</f>
        <v>586.65</v>
      </c>
      <c r="K3680" t="s">
        <v>32</v>
      </c>
      <c r="L3680" t="s">
        <v>50</v>
      </c>
      <c r="M3680">
        <v>656</v>
      </c>
      <c r="N3680">
        <v>2253</v>
      </c>
      <c r="O3680">
        <v>5</v>
      </c>
      <c r="P3680" t="s">
        <v>34</v>
      </c>
      <c r="Q3680" s="1">
        <v>44225</v>
      </c>
    </row>
    <row r="3681" spans="1:17" x14ac:dyDescent="0.3">
      <c r="A3681" t="s">
        <v>14</v>
      </c>
      <c r="B3681" t="s">
        <v>29</v>
      </c>
      <c r="C3681" t="s">
        <v>30</v>
      </c>
      <c r="D3681" t="s">
        <v>24</v>
      </c>
      <c r="E3681" t="s">
        <v>15</v>
      </c>
      <c r="F3681" s="9">
        <v>0.05</v>
      </c>
      <c r="G3681" s="10">
        <v>14682</v>
      </c>
      <c r="H3681">
        <v>7.14</v>
      </c>
      <c r="I3681" s="5">
        <f>ROUND(Marketing[[#This Row],[Clicks]]*Marketing[[#This Row],[Conversion_Rate]],0)</f>
        <v>24</v>
      </c>
      <c r="J3681" s="12">
        <f>Marketing[[#This Row],[Campaign_Cost]]/Marketing[[#This Row],[Customers]]</f>
        <v>611.75</v>
      </c>
      <c r="K3681" t="s">
        <v>38</v>
      </c>
      <c r="L3681" t="s">
        <v>20</v>
      </c>
      <c r="M3681">
        <v>479</v>
      </c>
      <c r="N3681">
        <v>7616</v>
      </c>
      <c r="O3681">
        <v>6</v>
      </c>
      <c r="P3681" t="s">
        <v>27</v>
      </c>
      <c r="Q3681" s="1">
        <v>44226</v>
      </c>
    </row>
    <row r="3682" spans="1:17" x14ac:dyDescent="0.3">
      <c r="A3682" t="s">
        <v>49</v>
      </c>
      <c r="B3682" t="s">
        <v>29</v>
      </c>
      <c r="C3682" t="s">
        <v>37</v>
      </c>
      <c r="D3682" t="s">
        <v>46</v>
      </c>
      <c r="E3682" t="s">
        <v>48</v>
      </c>
      <c r="F3682" s="9">
        <v>7.0000000000000007E-2</v>
      </c>
      <c r="G3682" s="10">
        <v>10793</v>
      </c>
      <c r="H3682">
        <v>7.44</v>
      </c>
      <c r="I3682" s="5">
        <f>ROUND(Marketing[[#This Row],[Clicks]]*Marketing[[#This Row],[Conversion_Rate]],0)</f>
        <v>64</v>
      </c>
      <c r="J3682" s="12">
        <f>Marketing[[#This Row],[Campaign_Cost]]/Marketing[[#This Row],[Customers]]</f>
        <v>168.640625</v>
      </c>
      <c r="K3682" t="s">
        <v>51</v>
      </c>
      <c r="L3682" t="s">
        <v>20</v>
      </c>
      <c r="M3682">
        <v>912</v>
      </c>
      <c r="N3682">
        <v>2091</v>
      </c>
      <c r="O3682">
        <v>6</v>
      </c>
      <c r="P3682" t="s">
        <v>44</v>
      </c>
      <c r="Q3682" s="1">
        <v>44227</v>
      </c>
    </row>
    <row r="3683" spans="1:17" x14ac:dyDescent="0.3">
      <c r="A3683" t="s">
        <v>22</v>
      </c>
      <c r="B3683" t="s">
        <v>15</v>
      </c>
      <c r="C3683" t="s">
        <v>52</v>
      </c>
      <c r="D3683" t="s">
        <v>40</v>
      </c>
      <c r="E3683" t="s">
        <v>31</v>
      </c>
      <c r="F3683" s="9">
        <v>0.02</v>
      </c>
      <c r="G3683" s="10">
        <v>15892</v>
      </c>
      <c r="H3683">
        <v>2.25</v>
      </c>
      <c r="I3683" s="5">
        <f>ROUND(Marketing[[#This Row],[Clicks]]*Marketing[[#This Row],[Conversion_Rate]],0)</f>
        <v>20</v>
      </c>
      <c r="J3683" s="12">
        <f>Marketing[[#This Row],[Campaign_Cost]]/Marketing[[#This Row],[Customers]]</f>
        <v>794.6</v>
      </c>
      <c r="K3683" t="s">
        <v>38</v>
      </c>
      <c r="L3683" t="s">
        <v>20</v>
      </c>
      <c r="M3683">
        <v>990</v>
      </c>
      <c r="N3683">
        <v>3017</v>
      </c>
      <c r="O3683">
        <v>1</v>
      </c>
      <c r="P3683" t="s">
        <v>21</v>
      </c>
      <c r="Q3683" s="1">
        <v>44228</v>
      </c>
    </row>
    <row r="3684" spans="1:17" x14ac:dyDescent="0.3">
      <c r="A3684" t="s">
        <v>28</v>
      </c>
      <c r="B3684" t="s">
        <v>15</v>
      </c>
      <c r="C3684" t="s">
        <v>30</v>
      </c>
      <c r="D3684" t="s">
        <v>40</v>
      </c>
      <c r="E3684" t="s">
        <v>15</v>
      </c>
      <c r="F3684" s="9">
        <v>0.06</v>
      </c>
      <c r="G3684" s="10">
        <v>13111</v>
      </c>
      <c r="H3684">
        <v>3.88</v>
      </c>
      <c r="I3684" s="5">
        <f>ROUND(Marketing[[#This Row],[Clicks]]*Marketing[[#This Row],[Conversion_Rate]],0)</f>
        <v>41</v>
      </c>
      <c r="J3684" s="12">
        <f>Marketing[[#This Row],[Campaign_Cost]]/Marketing[[#This Row],[Customers]]</f>
        <v>319.78048780487802</v>
      </c>
      <c r="K3684" t="s">
        <v>25</v>
      </c>
      <c r="L3684" t="s">
        <v>50</v>
      </c>
      <c r="M3684">
        <v>690</v>
      </c>
      <c r="N3684">
        <v>9664</v>
      </c>
      <c r="O3684">
        <v>7</v>
      </c>
      <c r="P3684" t="s">
        <v>44</v>
      </c>
      <c r="Q3684" s="1">
        <v>44229</v>
      </c>
    </row>
    <row r="3685" spans="1:17" x14ac:dyDescent="0.3">
      <c r="A3685" t="s">
        <v>28</v>
      </c>
      <c r="B3685" t="s">
        <v>45</v>
      </c>
      <c r="C3685" t="s">
        <v>52</v>
      </c>
      <c r="D3685" t="s">
        <v>46</v>
      </c>
      <c r="E3685" t="s">
        <v>41</v>
      </c>
      <c r="F3685" s="9">
        <v>0.1</v>
      </c>
      <c r="G3685" s="10">
        <v>17914</v>
      </c>
      <c r="H3685">
        <v>5.66</v>
      </c>
      <c r="I3685" s="5">
        <f>ROUND(Marketing[[#This Row],[Clicks]]*Marketing[[#This Row],[Conversion_Rate]],0)</f>
        <v>89</v>
      </c>
      <c r="J3685" s="12">
        <f>Marketing[[#This Row],[Campaign_Cost]]/Marketing[[#This Row],[Customers]]</f>
        <v>201.28089887640451</v>
      </c>
      <c r="K3685" t="s">
        <v>25</v>
      </c>
      <c r="L3685" t="s">
        <v>39</v>
      </c>
      <c r="M3685">
        <v>892</v>
      </c>
      <c r="N3685">
        <v>9177</v>
      </c>
      <c r="O3685">
        <v>1</v>
      </c>
      <c r="P3685" t="s">
        <v>44</v>
      </c>
      <c r="Q3685" s="1">
        <v>44230</v>
      </c>
    </row>
    <row r="3686" spans="1:17" x14ac:dyDescent="0.3">
      <c r="A3686" t="s">
        <v>14</v>
      </c>
      <c r="B3686" t="s">
        <v>29</v>
      </c>
      <c r="C3686" t="s">
        <v>37</v>
      </c>
      <c r="D3686" t="s">
        <v>46</v>
      </c>
      <c r="E3686" t="s">
        <v>43</v>
      </c>
      <c r="F3686" s="9">
        <v>0.03</v>
      </c>
      <c r="G3686" s="10">
        <v>8137</v>
      </c>
      <c r="H3686">
        <v>3.64</v>
      </c>
      <c r="I3686" s="5">
        <f>ROUND(Marketing[[#This Row],[Clicks]]*Marketing[[#This Row],[Conversion_Rate]],0)</f>
        <v>11</v>
      </c>
      <c r="J3686" s="12">
        <f>Marketing[[#This Row],[Campaign_Cost]]/Marketing[[#This Row],[Customers]]</f>
        <v>739.72727272727275</v>
      </c>
      <c r="K3686" t="s">
        <v>25</v>
      </c>
      <c r="L3686" t="s">
        <v>33</v>
      </c>
      <c r="M3686">
        <v>383</v>
      </c>
      <c r="N3686">
        <v>2321</v>
      </c>
      <c r="O3686">
        <v>7</v>
      </c>
      <c r="P3686" t="s">
        <v>27</v>
      </c>
      <c r="Q3686" s="1">
        <v>44231</v>
      </c>
    </row>
    <row r="3687" spans="1:17" x14ac:dyDescent="0.3">
      <c r="A3687" t="s">
        <v>35</v>
      </c>
      <c r="B3687" t="s">
        <v>47</v>
      </c>
      <c r="C3687" t="s">
        <v>37</v>
      </c>
      <c r="D3687" t="s">
        <v>40</v>
      </c>
      <c r="E3687" t="s">
        <v>15</v>
      </c>
      <c r="F3687" s="9">
        <v>0.1</v>
      </c>
      <c r="G3687" s="10">
        <v>9908</v>
      </c>
      <c r="H3687">
        <v>6.62</v>
      </c>
      <c r="I3687" s="5">
        <f>ROUND(Marketing[[#This Row],[Clicks]]*Marketing[[#This Row],[Conversion_Rate]],0)</f>
        <v>40</v>
      </c>
      <c r="J3687" s="12">
        <f>Marketing[[#This Row],[Campaign_Cost]]/Marketing[[#This Row],[Customers]]</f>
        <v>247.7</v>
      </c>
      <c r="K3687" t="s">
        <v>19</v>
      </c>
      <c r="L3687" t="s">
        <v>50</v>
      </c>
      <c r="M3687">
        <v>401</v>
      </c>
      <c r="N3687">
        <v>1857</v>
      </c>
      <c r="O3687">
        <v>7</v>
      </c>
      <c r="P3687" t="s">
        <v>21</v>
      </c>
      <c r="Q3687" s="1">
        <v>44232</v>
      </c>
    </row>
    <row r="3688" spans="1:17" x14ac:dyDescent="0.3">
      <c r="A3688" t="s">
        <v>35</v>
      </c>
      <c r="B3688" t="s">
        <v>47</v>
      </c>
      <c r="C3688" t="s">
        <v>37</v>
      </c>
      <c r="D3688" t="s">
        <v>46</v>
      </c>
      <c r="E3688" t="s">
        <v>41</v>
      </c>
      <c r="F3688" s="9">
        <v>0.1</v>
      </c>
      <c r="G3688" s="10">
        <v>15829</v>
      </c>
      <c r="H3688">
        <v>6.37</v>
      </c>
      <c r="I3688" s="5">
        <f>ROUND(Marketing[[#This Row],[Clicks]]*Marketing[[#This Row],[Conversion_Rate]],0)</f>
        <v>39</v>
      </c>
      <c r="J3688" s="12">
        <f>Marketing[[#This Row],[Campaign_Cost]]/Marketing[[#This Row],[Customers]]</f>
        <v>405.87179487179486</v>
      </c>
      <c r="K3688" t="s">
        <v>32</v>
      </c>
      <c r="L3688" t="s">
        <v>39</v>
      </c>
      <c r="M3688">
        <v>394</v>
      </c>
      <c r="N3688">
        <v>2261</v>
      </c>
      <c r="O3688">
        <v>8</v>
      </c>
      <c r="P3688" t="s">
        <v>34</v>
      </c>
      <c r="Q3688" s="1">
        <v>44233</v>
      </c>
    </row>
    <row r="3689" spans="1:17" x14ac:dyDescent="0.3">
      <c r="A3689" t="s">
        <v>28</v>
      </c>
      <c r="B3689" t="s">
        <v>29</v>
      </c>
      <c r="C3689" t="s">
        <v>37</v>
      </c>
      <c r="D3689" t="s">
        <v>17</v>
      </c>
      <c r="E3689" t="s">
        <v>43</v>
      </c>
      <c r="F3689" s="9">
        <v>0.14000000000000001</v>
      </c>
      <c r="G3689" s="10">
        <v>5884</v>
      </c>
      <c r="H3689">
        <v>5.2</v>
      </c>
      <c r="I3689" s="5">
        <f>ROUND(Marketing[[#This Row],[Clicks]]*Marketing[[#This Row],[Conversion_Rate]],0)</f>
        <v>72</v>
      </c>
      <c r="J3689" s="12">
        <f>Marketing[[#This Row],[Campaign_Cost]]/Marketing[[#This Row],[Customers]]</f>
        <v>81.722222222222229</v>
      </c>
      <c r="K3689" t="s">
        <v>32</v>
      </c>
      <c r="L3689" t="s">
        <v>20</v>
      </c>
      <c r="M3689">
        <v>511</v>
      </c>
      <c r="N3689">
        <v>2403</v>
      </c>
      <c r="O3689">
        <v>3</v>
      </c>
      <c r="P3689" t="s">
        <v>44</v>
      </c>
      <c r="Q3689" s="1">
        <v>44234</v>
      </c>
    </row>
    <row r="3690" spans="1:17" x14ac:dyDescent="0.3">
      <c r="A3690" t="s">
        <v>28</v>
      </c>
      <c r="B3690" t="s">
        <v>29</v>
      </c>
      <c r="C3690" t="s">
        <v>37</v>
      </c>
      <c r="D3690" t="s">
        <v>24</v>
      </c>
      <c r="E3690" t="s">
        <v>18</v>
      </c>
      <c r="F3690" s="9">
        <v>0.01</v>
      </c>
      <c r="G3690" s="10">
        <v>5030</v>
      </c>
      <c r="H3690">
        <v>2.69</v>
      </c>
      <c r="I3690" s="5">
        <f>ROUND(Marketing[[#This Row],[Clicks]]*Marketing[[#This Row],[Conversion_Rate]],0)</f>
        <v>3</v>
      </c>
      <c r="J3690" s="12">
        <f>Marketing[[#This Row],[Campaign_Cost]]/Marketing[[#This Row],[Customers]]</f>
        <v>1676.6666666666667</v>
      </c>
      <c r="K3690" t="s">
        <v>51</v>
      </c>
      <c r="L3690" t="s">
        <v>50</v>
      </c>
      <c r="M3690">
        <v>253</v>
      </c>
      <c r="N3690">
        <v>9776</v>
      </c>
      <c r="O3690">
        <v>4</v>
      </c>
      <c r="P3690" t="s">
        <v>21</v>
      </c>
      <c r="Q3690" s="1">
        <v>44235</v>
      </c>
    </row>
    <row r="3691" spans="1:17" x14ac:dyDescent="0.3">
      <c r="A3691" t="s">
        <v>49</v>
      </c>
      <c r="B3691" t="s">
        <v>15</v>
      </c>
      <c r="C3691" t="s">
        <v>52</v>
      </c>
      <c r="D3691" t="s">
        <v>40</v>
      </c>
      <c r="E3691" t="s">
        <v>43</v>
      </c>
      <c r="F3691" s="9">
        <v>0.02</v>
      </c>
      <c r="G3691" s="10">
        <v>16294</v>
      </c>
      <c r="H3691">
        <v>6.29</v>
      </c>
      <c r="I3691" s="5">
        <f>ROUND(Marketing[[#This Row],[Clicks]]*Marketing[[#This Row],[Conversion_Rate]],0)</f>
        <v>16</v>
      </c>
      <c r="J3691" s="12">
        <f>Marketing[[#This Row],[Campaign_Cost]]/Marketing[[#This Row],[Customers]]</f>
        <v>1018.375</v>
      </c>
      <c r="K3691" t="s">
        <v>32</v>
      </c>
      <c r="L3691" t="s">
        <v>39</v>
      </c>
      <c r="M3691">
        <v>824</v>
      </c>
      <c r="N3691">
        <v>9481</v>
      </c>
      <c r="O3691">
        <v>8</v>
      </c>
      <c r="P3691" t="s">
        <v>42</v>
      </c>
      <c r="Q3691" s="1">
        <v>44236</v>
      </c>
    </row>
    <row r="3692" spans="1:17" x14ac:dyDescent="0.3">
      <c r="A3692" t="s">
        <v>49</v>
      </c>
      <c r="B3692" t="s">
        <v>29</v>
      </c>
      <c r="C3692" t="s">
        <v>23</v>
      </c>
      <c r="D3692" t="s">
        <v>24</v>
      </c>
      <c r="E3692" t="s">
        <v>31</v>
      </c>
      <c r="F3692" s="9">
        <v>0.13</v>
      </c>
      <c r="G3692" s="10">
        <v>12482</v>
      </c>
      <c r="H3692">
        <v>7.3</v>
      </c>
      <c r="I3692" s="5">
        <f>ROUND(Marketing[[#This Row],[Clicks]]*Marketing[[#This Row],[Conversion_Rate]],0)</f>
        <v>20</v>
      </c>
      <c r="J3692" s="12">
        <f>Marketing[[#This Row],[Campaign_Cost]]/Marketing[[#This Row],[Customers]]</f>
        <v>624.1</v>
      </c>
      <c r="K3692" t="s">
        <v>51</v>
      </c>
      <c r="L3692" t="s">
        <v>39</v>
      </c>
      <c r="M3692">
        <v>155</v>
      </c>
      <c r="N3692">
        <v>2746</v>
      </c>
      <c r="O3692">
        <v>7</v>
      </c>
      <c r="P3692" t="s">
        <v>44</v>
      </c>
      <c r="Q3692" s="1">
        <v>44237</v>
      </c>
    </row>
    <row r="3693" spans="1:17" x14ac:dyDescent="0.3">
      <c r="A3693" t="s">
        <v>28</v>
      </c>
      <c r="B3693" t="s">
        <v>36</v>
      </c>
      <c r="C3693" t="s">
        <v>52</v>
      </c>
      <c r="D3693" t="s">
        <v>17</v>
      </c>
      <c r="E3693" t="s">
        <v>31</v>
      </c>
      <c r="F3693" s="9">
        <v>0.09</v>
      </c>
      <c r="G3693" s="10">
        <v>14834</v>
      </c>
      <c r="H3693">
        <v>7.09</v>
      </c>
      <c r="I3693" s="5">
        <f>ROUND(Marketing[[#This Row],[Clicks]]*Marketing[[#This Row],[Conversion_Rate]],0)</f>
        <v>42</v>
      </c>
      <c r="J3693" s="12">
        <f>Marketing[[#This Row],[Campaign_Cost]]/Marketing[[#This Row],[Customers]]</f>
        <v>353.1904761904762</v>
      </c>
      <c r="K3693" t="s">
        <v>25</v>
      </c>
      <c r="L3693" t="s">
        <v>26</v>
      </c>
      <c r="M3693">
        <v>464</v>
      </c>
      <c r="N3693">
        <v>7437</v>
      </c>
      <c r="O3693">
        <v>5</v>
      </c>
      <c r="P3693" t="s">
        <v>44</v>
      </c>
      <c r="Q3693" s="1">
        <v>44238</v>
      </c>
    </row>
    <row r="3694" spans="1:17" x14ac:dyDescent="0.3">
      <c r="A3694" t="s">
        <v>14</v>
      </c>
      <c r="B3694" t="s">
        <v>29</v>
      </c>
      <c r="C3694" t="s">
        <v>30</v>
      </c>
      <c r="D3694" t="s">
        <v>46</v>
      </c>
      <c r="E3694" t="s">
        <v>18</v>
      </c>
      <c r="F3694" s="9">
        <v>0.01</v>
      </c>
      <c r="G3694" s="10">
        <v>17962</v>
      </c>
      <c r="H3694">
        <v>7.99</v>
      </c>
      <c r="I3694" s="5">
        <f>ROUND(Marketing[[#This Row],[Clicks]]*Marketing[[#This Row],[Conversion_Rate]],0)</f>
        <v>2</v>
      </c>
      <c r="J3694" s="12">
        <f>Marketing[[#This Row],[Campaign_Cost]]/Marketing[[#This Row],[Customers]]</f>
        <v>8981</v>
      </c>
      <c r="K3694" t="s">
        <v>25</v>
      </c>
      <c r="L3694" t="s">
        <v>50</v>
      </c>
      <c r="M3694">
        <v>170</v>
      </c>
      <c r="N3694">
        <v>7212</v>
      </c>
      <c r="O3694">
        <v>10</v>
      </c>
      <c r="P3694" t="s">
        <v>42</v>
      </c>
      <c r="Q3694" s="1">
        <v>44239</v>
      </c>
    </row>
    <row r="3695" spans="1:17" x14ac:dyDescent="0.3">
      <c r="A3695" t="s">
        <v>35</v>
      </c>
      <c r="B3695" t="s">
        <v>45</v>
      </c>
      <c r="C3695" t="s">
        <v>23</v>
      </c>
      <c r="D3695" t="s">
        <v>40</v>
      </c>
      <c r="E3695" t="s">
        <v>43</v>
      </c>
      <c r="F3695" s="9">
        <v>0.11</v>
      </c>
      <c r="G3695" s="10">
        <v>11445</v>
      </c>
      <c r="H3695">
        <v>6.2</v>
      </c>
      <c r="I3695" s="5">
        <f>ROUND(Marketing[[#This Row],[Clicks]]*Marketing[[#This Row],[Conversion_Rate]],0)</f>
        <v>49</v>
      </c>
      <c r="J3695" s="12">
        <f>Marketing[[#This Row],[Campaign_Cost]]/Marketing[[#This Row],[Customers]]</f>
        <v>233.57142857142858</v>
      </c>
      <c r="K3695" t="s">
        <v>38</v>
      </c>
      <c r="L3695" t="s">
        <v>26</v>
      </c>
      <c r="M3695">
        <v>447</v>
      </c>
      <c r="N3695">
        <v>8290</v>
      </c>
      <c r="O3695">
        <v>7</v>
      </c>
      <c r="P3695" t="s">
        <v>42</v>
      </c>
      <c r="Q3695" s="1">
        <v>44240</v>
      </c>
    </row>
    <row r="3696" spans="1:17" x14ac:dyDescent="0.3">
      <c r="A3696" t="s">
        <v>22</v>
      </c>
      <c r="B3696" t="s">
        <v>36</v>
      </c>
      <c r="C3696" t="s">
        <v>30</v>
      </c>
      <c r="D3696" t="s">
        <v>40</v>
      </c>
      <c r="E3696" t="s">
        <v>31</v>
      </c>
      <c r="F3696" s="9">
        <v>0.12</v>
      </c>
      <c r="G3696" s="10">
        <v>11394</v>
      </c>
      <c r="H3696">
        <v>2.21</v>
      </c>
      <c r="I3696" s="5">
        <f>ROUND(Marketing[[#This Row],[Clicks]]*Marketing[[#This Row],[Conversion_Rate]],0)</f>
        <v>28</v>
      </c>
      <c r="J3696" s="12">
        <f>Marketing[[#This Row],[Campaign_Cost]]/Marketing[[#This Row],[Customers]]</f>
        <v>406.92857142857144</v>
      </c>
      <c r="K3696" t="s">
        <v>19</v>
      </c>
      <c r="L3696" t="s">
        <v>20</v>
      </c>
      <c r="M3696">
        <v>235</v>
      </c>
      <c r="N3696">
        <v>5872</v>
      </c>
      <c r="O3696">
        <v>4</v>
      </c>
      <c r="P3696" t="s">
        <v>44</v>
      </c>
      <c r="Q3696" s="1">
        <v>44241</v>
      </c>
    </row>
    <row r="3697" spans="1:17" x14ac:dyDescent="0.3">
      <c r="A3697" t="s">
        <v>49</v>
      </c>
      <c r="B3697" t="s">
        <v>36</v>
      </c>
      <c r="C3697" t="s">
        <v>23</v>
      </c>
      <c r="D3697" t="s">
        <v>17</v>
      </c>
      <c r="E3697" t="s">
        <v>18</v>
      </c>
      <c r="F3697" s="9">
        <v>7.0000000000000007E-2</v>
      </c>
      <c r="G3697" s="10">
        <v>8693</v>
      </c>
      <c r="H3697">
        <v>6.57</v>
      </c>
      <c r="I3697" s="5">
        <f>ROUND(Marketing[[#This Row],[Clicks]]*Marketing[[#This Row],[Conversion_Rate]],0)</f>
        <v>30</v>
      </c>
      <c r="J3697" s="12">
        <f>Marketing[[#This Row],[Campaign_Cost]]/Marketing[[#This Row],[Customers]]</f>
        <v>289.76666666666665</v>
      </c>
      <c r="K3697" t="s">
        <v>51</v>
      </c>
      <c r="L3697" t="s">
        <v>26</v>
      </c>
      <c r="M3697">
        <v>429</v>
      </c>
      <c r="N3697">
        <v>7581</v>
      </c>
      <c r="O3697">
        <v>2</v>
      </c>
      <c r="P3697" t="s">
        <v>44</v>
      </c>
      <c r="Q3697" s="1">
        <v>44242</v>
      </c>
    </row>
    <row r="3698" spans="1:17" x14ac:dyDescent="0.3">
      <c r="A3698" t="s">
        <v>22</v>
      </c>
      <c r="B3698" t="s">
        <v>47</v>
      </c>
      <c r="C3698" t="s">
        <v>23</v>
      </c>
      <c r="D3698" t="s">
        <v>40</v>
      </c>
      <c r="E3698" t="s">
        <v>15</v>
      </c>
      <c r="F3698" s="9">
        <v>0.04</v>
      </c>
      <c r="G3698" s="10">
        <v>14034</v>
      </c>
      <c r="H3698">
        <v>6.57</v>
      </c>
      <c r="I3698" s="5">
        <f>ROUND(Marketing[[#This Row],[Clicks]]*Marketing[[#This Row],[Conversion_Rate]],0)</f>
        <v>38</v>
      </c>
      <c r="J3698" s="12">
        <f>Marketing[[#This Row],[Campaign_Cost]]/Marketing[[#This Row],[Customers]]</f>
        <v>369.31578947368422</v>
      </c>
      <c r="K3698" t="s">
        <v>51</v>
      </c>
      <c r="L3698" t="s">
        <v>20</v>
      </c>
      <c r="M3698">
        <v>949</v>
      </c>
      <c r="N3698">
        <v>7870</v>
      </c>
      <c r="O3698">
        <v>8</v>
      </c>
      <c r="P3698" t="s">
        <v>34</v>
      </c>
      <c r="Q3698" s="1">
        <v>44243</v>
      </c>
    </row>
    <row r="3699" spans="1:17" x14ac:dyDescent="0.3">
      <c r="A3699" t="s">
        <v>28</v>
      </c>
      <c r="B3699" t="s">
        <v>15</v>
      </c>
      <c r="C3699" t="s">
        <v>30</v>
      </c>
      <c r="D3699" t="s">
        <v>46</v>
      </c>
      <c r="E3699" t="s">
        <v>48</v>
      </c>
      <c r="F3699" s="9">
        <v>0.13</v>
      </c>
      <c r="G3699" s="10">
        <v>6184</v>
      </c>
      <c r="H3699">
        <v>6.17</v>
      </c>
      <c r="I3699" s="5">
        <f>ROUND(Marketing[[#This Row],[Clicks]]*Marketing[[#This Row],[Conversion_Rate]],0)</f>
        <v>18</v>
      </c>
      <c r="J3699" s="12">
        <f>Marketing[[#This Row],[Campaign_Cost]]/Marketing[[#This Row],[Customers]]</f>
        <v>343.55555555555554</v>
      </c>
      <c r="K3699" t="s">
        <v>38</v>
      </c>
      <c r="L3699" t="s">
        <v>39</v>
      </c>
      <c r="M3699">
        <v>135</v>
      </c>
      <c r="N3699">
        <v>7325</v>
      </c>
      <c r="O3699">
        <v>4</v>
      </c>
      <c r="P3699" t="s">
        <v>34</v>
      </c>
      <c r="Q3699" s="1">
        <v>44244</v>
      </c>
    </row>
    <row r="3700" spans="1:17" x14ac:dyDescent="0.3">
      <c r="A3700" t="s">
        <v>28</v>
      </c>
      <c r="B3700" t="s">
        <v>47</v>
      </c>
      <c r="C3700" t="s">
        <v>30</v>
      </c>
      <c r="D3700" t="s">
        <v>17</v>
      </c>
      <c r="E3700" t="s">
        <v>31</v>
      </c>
      <c r="F3700" s="9">
        <v>0.13</v>
      </c>
      <c r="G3700" s="10">
        <v>5921</v>
      </c>
      <c r="H3700">
        <v>5.29</v>
      </c>
      <c r="I3700" s="5">
        <f>ROUND(Marketing[[#This Row],[Clicks]]*Marketing[[#This Row],[Conversion_Rate]],0)</f>
        <v>66</v>
      </c>
      <c r="J3700" s="12">
        <f>Marketing[[#This Row],[Campaign_Cost]]/Marketing[[#This Row],[Customers]]</f>
        <v>89.712121212121218</v>
      </c>
      <c r="K3700" t="s">
        <v>32</v>
      </c>
      <c r="L3700" t="s">
        <v>26</v>
      </c>
      <c r="M3700">
        <v>511</v>
      </c>
      <c r="N3700">
        <v>4147</v>
      </c>
      <c r="O3700">
        <v>5</v>
      </c>
      <c r="P3700" t="s">
        <v>21</v>
      </c>
      <c r="Q3700" s="1">
        <v>44245</v>
      </c>
    </row>
    <row r="3701" spans="1:17" x14ac:dyDescent="0.3">
      <c r="A3701" t="s">
        <v>49</v>
      </c>
      <c r="B3701" t="s">
        <v>45</v>
      </c>
      <c r="C3701" t="s">
        <v>52</v>
      </c>
      <c r="D3701" t="s">
        <v>40</v>
      </c>
      <c r="E3701" t="s">
        <v>48</v>
      </c>
      <c r="F3701" s="9">
        <v>0.13</v>
      </c>
      <c r="G3701" s="10">
        <v>11649</v>
      </c>
      <c r="H3701">
        <v>6.15</v>
      </c>
      <c r="I3701" s="5">
        <f>ROUND(Marketing[[#This Row],[Clicks]]*Marketing[[#This Row],[Conversion_Rate]],0)</f>
        <v>54</v>
      </c>
      <c r="J3701" s="12">
        <f>Marketing[[#This Row],[Campaign_Cost]]/Marketing[[#This Row],[Customers]]</f>
        <v>215.72222222222223</v>
      </c>
      <c r="K3701" t="s">
        <v>51</v>
      </c>
      <c r="L3701" t="s">
        <v>33</v>
      </c>
      <c r="M3701">
        <v>415</v>
      </c>
      <c r="N3701">
        <v>2219</v>
      </c>
      <c r="O3701">
        <v>8</v>
      </c>
      <c r="P3701" t="s">
        <v>42</v>
      </c>
      <c r="Q3701" s="1">
        <v>44246</v>
      </c>
    </row>
    <row r="3702" spans="1:17" x14ac:dyDescent="0.3">
      <c r="A3702" t="s">
        <v>22</v>
      </c>
      <c r="B3702" t="s">
        <v>29</v>
      </c>
      <c r="C3702" t="s">
        <v>23</v>
      </c>
      <c r="D3702" t="s">
        <v>17</v>
      </c>
      <c r="E3702" t="s">
        <v>48</v>
      </c>
      <c r="F3702" s="9">
        <v>0.04</v>
      </c>
      <c r="G3702" s="10">
        <v>16411</v>
      </c>
      <c r="H3702">
        <v>7.8</v>
      </c>
      <c r="I3702" s="5">
        <f>ROUND(Marketing[[#This Row],[Clicks]]*Marketing[[#This Row],[Conversion_Rate]],0)</f>
        <v>38</v>
      </c>
      <c r="J3702" s="12">
        <f>Marketing[[#This Row],[Campaign_Cost]]/Marketing[[#This Row],[Customers]]</f>
        <v>431.86842105263156</v>
      </c>
      <c r="K3702" t="s">
        <v>32</v>
      </c>
      <c r="L3702" t="s">
        <v>39</v>
      </c>
      <c r="M3702">
        <v>954</v>
      </c>
      <c r="N3702">
        <v>4083</v>
      </c>
      <c r="O3702">
        <v>1</v>
      </c>
      <c r="P3702" t="s">
        <v>42</v>
      </c>
      <c r="Q3702" s="1">
        <v>44247</v>
      </c>
    </row>
    <row r="3703" spans="1:17" x14ac:dyDescent="0.3">
      <c r="A3703" t="s">
        <v>14</v>
      </c>
      <c r="B3703" t="s">
        <v>45</v>
      </c>
      <c r="C3703" t="s">
        <v>16</v>
      </c>
      <c r="D3703" t="s">
        <v>24</v>
      </c>
      <c r="E3703" t="s">
        <v>41</v>
      </c>
      <c r="F3703" s="9">
        <v>0.04</v>
      </c>
      <c r="G3703" s="10">
        <v>12248</v>
      </c>
      <c r="H3703">
        <v>3.96</v>
      </c>
      <c r="I3703" s="5">
        <f>ROUND(Marketing[[#This Row],[Clicks]]*Marketing[[#This Row],[Conversion_Rate]],0)</f>
        <v>29</v>
      </c>
      <c r="J3703" s="12">
        <f>Marketing[[#This Row],[Campaign_Cost]]/Marketing[[#This Row],[Customers]]</f>
        <v>422.34482758620692</v>
      </c>
      <c r="K3703" t="s">
        <v>51</v>
      </c>
      <c r="L3703" t="s">
        <v>50</v>
      </c>
      <c r="M3703">
        <v>731</v>
      </c>
      <c r="N3703">
        <v>6517</v>
      </c>
      <c r="O3703">
        <v>1</v>
      </c>
      <c r="P3703" t="s">
        <v>21</v>
      </c>
      <c r="Q3703" s="1">
        <v>44248</v>
      </c>
    </row>
    <row r="3704" spans="1:17" x14ac:dyDescent="0.3">
      <c r="A3704" t="s">
        <v>22</v>
      </c>
      <c r="B3704" t="s">
        <v>47</v>
      </c>
      <c r="C3704" t="s">
        <v>23</v>
      </c>
      <c r="D3704" t="s">
        <v>24</v>
      </c>
      <c r="E3704" t="s">
        <v>31</v>
      </c>
      <c r="F3704" s="9">
        <v>0.15</v>
      </c>
      <c r="G3704" s="10">
        <v>14415</v>
      </c>
      <c r="H3704">
        <v>7.84</v>
      </c>
      <c r="I3704" s="5">
        <f>ROUND(Marketing[[#This Row],[Clicks]]*Marketing[[#This Row],[Conversion_Rate]],0)</f>
        <v>49</v>
      </c>
      <c r="J3704" s="12">
        <f>Marketing[[#This Row],[Campaign_Cost]]/Marketing[[#This Row],[Customers]]</f>
        <v>294.18367346938777</v>
      </c>
      <c r="K3704" t="s">
        <v>25</v>
      </c>
      <c r="L3704" t="s">
        <v>26</v>
      </c>
      <c r="M3704">
        <v>324</v>
      </c>
      <c r="N3704">
        <v>7711</v>
      </c>
      <c r="O3704">
        <v>6</v>
      </c>
      <c r="P3704" t="s">
        <v>42</v>
      </c>
      <c r="Q3704" s="1">
        <v>44249</v>
      </c>
    </row>
    <row r="3705" spans="1:17" x14ac:dyDescent="0.3">
      <c r="A3705" t="s">
        <v>22</v>
      </c>
      <c r="B3705" t="s">
        <v>36</v>
      </c>
      <c r="C3705" t="s">
        <v>30</v>
      </c>
      <c r="D3705" t="s">
        <v>46</v>
      </c>
      <c r="E3705" t="s">
        <v>31</v>
      </c>
      <c r="F3705" s="9">
        <v>0.06</v>
      </c>
      <c r="G3705" s="10">
        <v>12156</v>
      </c>
      <c r="H3705">
        <v>7.31</v>
      </c>
      <c r="I3705" s="5">
        <f>ROUND(Marketing[[#This Row],[Clicks]]*Marketing[[#This Row],[Conversion_Rate]],0)</f>
        <v>20</v>
      </c>
      <c r="J3705" s="12">
        <f>Marketing[[#This Row],[Campaign_Cost]]/Marketing[[#This Row],[Customers]]</f>
        <v>607.79999999999995</v>
      </c>
      <c r="K3705" t="s">
        <v>19</v>
      </c>
      <c r="L3705" t="s">
        <v>26</v>
      </c>
      <c r="M3705">
        <v>336</v>
      </c>
      <c r="N3705">
        <v>9246</v>
      </c>
      <c r="O3705">
        <v>9</v>
      </c>
      <c r="P3705" t="s">
        <v>42</v>
      </c>
      <c r="Q3705" s="1">
        <v>44250</v>
      </c>
    </row>
    <row r="3706" spans="1:17" x14ac:dyDescent="0.3">
      <c r="A3706" t="s">
        <v>35</v>
      </c>
      <c r="B3706" t="s">
        <v>29</v>
      </c>
      <c r="C3706" t="s">
        <v>30</v>
      </c>
      <c r="D3706" t="s">
        <v>17</v>
      </c>
      <c r="E3706" t="s">
        <v>48</v>
      </c>
      <c r="F3706" s="9">
        <v>0.13</v>
      </c>
      <c r="G3706" s="10">
        <v>19442</v>
      </c>
      <c r="H3706">
        <v>7.06</v>
      </c>
      <c r="I3706" s="5">
        <f>ROUND(Marketing[[#This Row],[Clicks]]*Marketing[[#This Row],[Conversion_Rate]],0)</f>
        <v>73</v>
      </c>
      <c r="J3706" s="12">
        <f>Marketing[[#This Row],[Campaign_Cost]]/Marketing[[#This Row],[Customers]]</f>
        <v>266.32876712328766</v>
      </c>
      <c r="K3706" t="s">
        <v>19</v>
      </c>
      <c r="L3706" t="s">
        <v>33</v>
      </c>
      <c r="M3706">
        <v>558</v>
      </c>
      <c r="N3706">
        <v>8483</v>
      </c>
      <c r="O3706">
        <v>2</v>
      </c>
      <c r="P3706" t="s">
        <v>34</v>
      </c>
      <c r="Q3706" s="1">
        <v>44251</v>
      </c>
    </row>
    <row r="3707" spans="1:17" x14ac:dyDescent="0.3">
      <c r="A3707" t="s">
        <v>28</v>
      </c>
      <c r="B3707" t="s">
        <v>36</v>
      </c>
      <c r="C3707" t="s">
        <v>23</v>
      </c>
      <c r="D3707" t="s">
        <v>24</v>
      </c>
      <c r="E3707" t="s">
        <v>31</v>
      </c>
      <c r="F3707" s="9">
        <v>0.04</v>
      </c>
      <c r="G3707" s="10">
        <v>19559</v>
      </c>
      <c r="H3707">
        <v>6.77</v>
      </c>
      <c r="I3707" s="5">
        <f>ROUND(Marketing[[#This Row],[Clicks]]*Marketing[[#This Row],[Conversion_Rate]],0)</f>
        <v>7</v>
      </c>
      <c r="J3707" s="12">
        <f>Marketing[[#This Row],[Campaign_Cost]]/Marketing[[#This Row],[Customers]]</f>
        <v>2794.1428571428573</v>
      </c>
      <c r="K3707" t="s">
        <v>38</v>
      </c>
      <c r="L3707" t="s">
        <v>33</v>
      </c>
      <c r="M3707">
        <v>184</v>
      </c>
      <c r="N3707">
        <v>9945</v>
      </c>
      <c r="O3707">
        <v>4</v>
      </c>
      <c r="P3707" t="s">
        <v>34</v>
      </c>
      <c r="Q3707" s="1">
        <v>44252</v>
      </c>
    </row>
    <row r="3708" spans="1:17" x14ac:dyDescent="0.3">
      <c r="A3708" t="s">
        <v>49</v>
      </c>
      <c r="B3708" t="s">
        <v>15</v>
      </c>
      <c r="C3708" t="s">
        <v>16</v>
      </c>
      <c r="D3708" t="s">
        <v>17</v>
      </c>
      <c r="E3708" t="s">
        <v>43</v>
      </c>
      <c r="F3708" s="9">
        <v>0.11</v>
      </c>
      <c r="G3708" s="10">
        <v>19237</v>
      </c>
      <c r="H3708">
        <v>4.8499999999999996</v>
      </c>
      <c r="I3708" s="5">
        <f>ROUND(Marketing[[#This Row],[Clicks]]*Marketing[[#This Row],[Conversion_Rate]],0)</f>
        <v>28</v>
      </c>
      <c r="J3708" s="12">
        <f>Marketing[[#This Row],[Campaign_Cost]]/Marketing[[#This Row],[Customers]]</f>
        <v>687.03571428571433</v>
      </c>
      <c r="K3708" t="s">
        <v>25</v>
      </c>
      <c r="L3708" t="s">
        <v>39</v>
      </c>
      <c r="M3708">
        <v>252</v>
      </c>
      <c r="N3708">
        <v>3790</v>
      </c>
      <c r="O3708">
        <v>5</v>
      </c>
      <c r="P3708" t="s">
        <v>42</v>
      </c>
      <c r="Q3708" s="1">
        <v>44253</v>
      </c>
    </row>
    <row r="3709" spans="1:17" x14ac:dyDescent="0.3">
      <c r="A3709" t="s">
        <v>35</v>
      </c>
      <c r="B3709" t="s">
        <v>47</v>
      </c>
      <c r="C3709" t="s">
        <v>37</v>
      </c>
      <c r="D3709" t="s">
        <v>24</v>
      </c>
      <c r="E3709" t="s">
        <v>48</v>
      </c>
      <c r="F3709" s="9">
        <v>0.11</v>
      </c>
      <c r="G3709" s="10">
        <v>13027</v>
      </c>
      <c r="H3709">
        <v>5.18</v>
      </c>
      <c r="I3709" s="5">
        <f>ROUND(Marketing[[#This Row],[Clicks]]*Marketing[[#This Row],[Conversion_Rate]],0)</f>
        <v>57</v>
      </c>
      <c r="J3709" s="12">
        <f>Marketing[[#This Row],[Campaign_Cost]]/Marketing[[#This Row],[Customers]]</f>
        <v>228.54385964912279</v>
      </c>
      <c r="K3709" t="s">
        <v>32</v>
      </c>
      <c r="L3709" t="s">
        <v>50</v>
      </c>
      <c r="M3709">
        <v>516</v>
      </c>
      <c r="N3709">
        <v>4474</v>
      </c>
      <c r="O3709">
        <v>2</v>
      </c>
      <c r="P3709" t="s">
        <v>27</v>
      </c>
      <c r="Q3709" s="1">
        <v>44254</v>
      </c>
    </row>
    <row r="3710" spans="1:17" x14ac:dyDescent="0.3">
      <c r="A3710" t="s">
        <v>14</v>
      </c>
      <c r="B3710" t="s">
        <v>47</v>
      </c>
      <c r="C3710" t="s">
        <v>37</v>
      </c>
      <c r="D3710" t="s">
        <v>17</v>
      </c>
      <c r="E3710" t="s">
        <v>15</v>
      </c>
      <c r="F3710" s="9">
        <v>0.12</v>
      </c>
      <c r="G3710" s="10">
        <v>11760</v>
      </c>
      <c r="H3710">
        <v>5.85</v>
      </c>
      <c r="I3710" s="5">
        <f>ROUND(Marketing[[#This Row],[Clicks]]*Marketing[[#This Row],[Conversion_Rate]],0)</f>
        <v>86</v>
      </c>
      <c r="J3710" s="12">
        <f>Marketing[[#This Row],[Campaign_Cost]]/Marketing[[#This Row],[Customers]]</f>
        <v>136.74418604651163</v>
      </c>
      <c r="K3710" t="s">
        <v>19</v>
      </c>
      <c r="L3710" t="s">
        <v>33</v>
      </c>
      <c r="M3710">
        <v>720</v>
      </c>
      <c r="N3710">
        <v>2797</v>
      </c>
      <c r="O3710">
        <v>2</v>
      </c>
      <c r="P3710" t="s">
        <v>21</v>
      </c>
      <c r="Q3710" s="1">
        <v>44255</v>
      </c>
    </row>
    <row r="3711" spans="1:17" x14ac:dyDescent="0.3">
      <c r="A3711" t="s">
        <v>28</v>
      </c>
      <c r="B3711" t="s">
        <v>29</v>
      </c>
      <c r="C3711" t="s">
        <v>30</v>
      </c>
      <c r="D3711" t="s">
        <v>40</v>
      </c>
      <c r="E3711" t="s">
        <v>41</v>
      </c>
      <c r="F3711" s="9">
        <v>0.03</v>
      </c>
      <c r="G3711" s="10">
        <v>17970</v>
      </c>
      <c r="H3711">
        <v>4.0999999999999996</v>
      </c>
      <c r="I3711" s="5">
        <f>ROUND(Marketing[[#This Row],[Clicks]]*Marketing[[#This Row],[Conversion_Rate]],0)</f>
        <v>13</v>
      </c>
      <c r="J3711" s="12">
        <f>Marketing[[#This Row],[Campaign_Cost]]/Marketing[[#This Row],[Customers]]</f>
        <v>1382.3076923076924</v>
      </c>
      <c r="K3711" t="s">
        <v>51</v>
      </c>
      <c r="L3711" t="s">
        <v>39</v>
      </c>
      <c r="M3711">
        <v>431</v>
      </c>
      <c r="N3711">
        <v>5787</v>
      </c>
      <c r="O3711">
        <v>2</v>
      </c>
      <c r="P3711" t="s">
        <v>42</v>
      </c>
      <c r="Q3711" s="1">
        <v>44256</v>
      </c>
    </row>
    <row r="3712" spans="1:17" x14ac:dyDescent="0.3">
      <c r="A3712" t="s">
        <v>22</v>
      </c>
      <c r="B3712" t="s">
        <v>36</v>
      </c>
      <c r="C3712" t="s">
        <v>23</v>
      </c>
      <c r="D3712" t="s">
        <v>46</v>
      </c>
      <c r="E3712" t="s">
        <v>15</v>
      </c>
      <c r="F3712" s="9">
        <v>7.0000000000000007E-2</v>
      </c>
      <c r="G3712" s="10">
        <v>5116</v>
      </c>
      <c r="H3712">
        <v>4.08</v>
      </c>
      <c r="I3712" s="5">
        <f>ROUND(Marketing[[#This Row],[Clicks]]*Marketing[[#This Row],[Conversion_Rate]],0)</f>
        <v>21</v>
      </c>
      <c r="J3712" s="12">
        <f>Marketing[[#This Row],[Campaign_Cost]]/Marketing[[#This Row],[Customers]]</f>
        <v>243.61904761904762</v>
      </c>
      <c r="K3712" t="s">
        <v>32</v>
      </c>
      <c r="L3712" t="s">
        <v>20</v>
      </c>
      <c r="M3712">
        <v>307</v>
      </c>
      <c r="N3712">
        <v>2449</v>
      </c>
      <c r="O3712">
        <v>6</v>
      </c>
      <c r="P3712" t="s">
        <v>44</v>
      </c>
      <c r="Q3712" s="1">
        <v>44257</v>
      </c>
    </row>
    <row r="3713" spans="1:17" x14ac:dyDescent="0.3">
      <c r="A3713" t="s">
        <v>49</v>
      </c>
      <c r="B3713" t="s">
        <v>45</v>
      </c>
      <c r="C3713" t="s">
        <v>37</v>
      </c>
      <c r="D3713" t="s">
        <v>46</v>
      </c>
      <c r="E3713" t="s">
        <v>31</v>
      </c>
      <c r="F3713" s="9">
        <v>0.04</v>
      </c>
      <c r="G3713" s="10">
        <v>9338</v>
      </c>
      <c r="H3713">
        <v>2.93</v>
      </c>
      <c r="I3713" s="5">
        <f>ROUND(Marketing[[#This Row],[Clicks]]*Marketing[[#This Row],[Conversion_Rate]],0)</f>
        <v>35</v>
      </c>
      <c r="J3713" s="12">
        <f>Marketing[[#This Row],[Campaign_Cost]]/Marketing[[#This Row],[Customers]]</f>
        <v>266.8</v>
      </c>
      <c r="K3713" t="s">
        <v>32</v>
      </c>
      <c r="L3713" t="s">
        <v>20</v>
      </c>
      <c r="M3713">
        <v>877</v>
      </c>
      <c r="N3713">
        <v>6516</v>
      </c>
      <c r="O3713">
        <v>4</v>
      </c>
      <c r="P3713" t="s">
        <v>21</v>
      </c>
      <c r="Q3713" s="1">
        <v>44258</v>
      </c>
    </row>
    <row r="3714" spans="1:17" x14ac:dyDescent="0.3">
      <c r="A3714" t="s">
        <v>35</v>
      </c>
      <c r="B3714" t="s">
        <v>15</v>
      </c>
      <c r="C3714" t="s">
        <v>52</v>
      </c>
      <c r="D3714" t="s">
        <v>40</v>
      </c>
      <c r="E3714" t="s">
        <v>41</v>
      </c>
      <c r="F3714" s="9">
        <v>0.13</v>
      </c>
      <c r="G3714" s="10">
        <v>9448</v>
      </c>
      <c r="H3714">
        <v>4.9800000000000004</v>
      </c>
      <c r="I3714" s="5">
        <f>ROUND(Marketing[[#This Row],[Clicks]]*Marketing[[#This Row],[Conversion_Rate]],0)</f>
        <v>109</v>
      </c>
      <c r="J3714" s="12">
        <f>Marketing[[#This Row],[Campaign_Cost]]/Marketing[[#This Row],[Customers]]</f>
        <v>86.678899082568805</v>
      </c>
      <c r="K3714" t="s">
        <v>25</v>
      </c>
      <c r="L3714" t="s">
        <v>20</v>
      </c>
      <c r="M3714">
        <v>838</v>
      </c>
      <c r="N3714">
        <v>6336</v>
      </c>
      <c r="O3714">
        <v>8</v>
      </c>
      <c r="P3714" t="s">
        <v>34</v>
      </c>
      <c r="Q3714" s="1">
        <v>44259</v>
      </c>
    </row>
    <row r="3715" spans="1:17" x14ac:dyDescent="0.3">
      <c r="A3715" t="s">
        <v>22</v>
      </c>
      <c r="B3715" t="s">
        <v>45</v>
      </c>
      <c r="C3715" t="s">
        <v>52</v>
      </c>
      <c r="D3715" t="s">
        <v>17</v>
      </c>
      <c r="E3715" t="s">
        <v>43</v>
      </c>
      <c r="F3715" s="9">
        <v>0.02</v>
      </c>
      <c r="G3715" s="10">
        <v>13093</v>
      </c>
      <c r="H3715">
        <v>5.64</v>
      </c>
      <c r="I3715" s="5">
        <f>ROUND(Marketing[[#This Row],[Clicks]]*Marketing[[#This Row],[Conversion_Rate]],0)</f>
        <v>19</v>
      </c>
      <c r="J3715" s="12">
        <f>Marketing[[#This Row],[Campaign_Cost]]/Marketing[[#This Row],[Customers]]</f>
        <v>689.10526315789468</v>
      </c>
      <c r="K3715" t="s">
        <v>19</v>
      </c>
      <c r="L3715" t="s">
        <v>33</v>
      </c>
      <c r="M3715">
        <v>944</v>
      </c>
      <c r="N3715">
        <v>7266</v>
      </c>
      <c r="O3715">
        <v>2</v>
      </c>
      <c r="P3715" t="s">
        <v>27</v>
      </c>
      <c r="Q3715" s="1">
        <v>44260</v>
      </c>
    </row>
    <row r="3716" spans="1:17" x14ac:dyDescent="0.3">
      <c r="A3716" t="s">
        <v>28</v>
      </c>
      <c r="B3716" t="s">
        <v>36</v>
      </c>
      <c r="C3716" t="s">
        <v>30</v>
      </c>
      <c r="D3716" t="s">
        <v>17</v>
      </c>
      <c r="E3716" t="s">
        <v>15</v>
      </c>
      <c r="F3716" s="9">
        <v>0.03</v>
      </c>
      <c r="G3716" s="10">
        <v>14652</v>
      </c>
      <c r="H3716">
        <v>4.2699999999999996</v>
      </c>
      <c r="I3716" s="5">
        <f>ROUND(Marketing[[#This Row],[Clicks]]*Marketing[[#This Row],[Conversion_Rate]],0)</f>
        <v>13</v>
      </c>
      <c r="J3716" s="12">
        <f>Marketing[[#This Row],[Campaign_Cost]]/Marketing[[#This Row],[Customers]]</f>
        <v>1127.0769230769231</v>
      </c>
      <c r="K3716" t="s">
        <v>51</v>
      </c>
      <c r="L3716" t="s">
        <v>33</v>
      </c>
      <c r="M3716">
        <v>438</v>
      </c>
      <c r="N3716">
        <v>8574</v>
      </c>
      <c r="O3716">
        <v>8</v>
      </c>
      <c r="P3716" t="s">
        <v>42</v>
      </c>
      <c r="Q3716" s="1">
        <v>44261</v>
      </c>
    </row>
    <row r="3717" spans="1:17" x14ac:dyDescent="0.3">
      <c r="A3717" t="s">
        <v>35</v>
      </c>
      <c r="B3717" t="s">
        <v>36</v>
      </c>
      <c r="C3717" t="s">
        <v>52</v>
      </c>
      <c r="D3717" t="s">
        <v>40</v>
      </c>
      <c r="E3717" t="s">
        <v>31</v>
      </c>
      <c r="F3717" s="9">
        <v>0.02</v>
      </c>
      <c r="G3717" s="10">
        <v>18054</v>
      </c>
      <c r="H3717">
        <v>6.47</v>
      </c>
      <c r="I3717" s="5">
        <f>ROUND(Marketing[[#This Row],[Clicks]]*Marketing[[#This Row],[Conversion_Rate]],0)</f>
        <v>15</v>
      </c>
      <c r="J3717" s="12">
        <f>Marketing[[#This Row],[Campaign_Cost]]/Marketing[[#This Row],[Customers]]</f>
        <v>1203.5999999999999</v>
      </c>
      <c r="K3717" t="s">
        <v>51</v>
      </c>
      <c r="L3717" t="s">
        <v>50</v>
      </c>
      <c r="M3717">
        <v>745</v>
      </c>
      <c r="N3717">
        <v>6522</v>
      </c>
      <c r="O3717">
        <v>1</v>
      </c>
      <c r="P3717" t="s">
        <v>44</v>
      </c>
      <c r="Q3717" s="1">
        <v>44262</v>
      </c>
    </row>
    <row r="3718" spans="1:17" x14ac:dyDescent="0.3">
      <c r="A3718" t="s">
        <v>49</v>
      </c>
      <c r="B3718" t="s">
        <v>15</v>
      </c>
      <c r="C3718" t="s">
        <v>37</v>
      </c>
      <c r="D3718" t="s">
        <v>46</v>
      </c>
      <c r="E3718" t="s">
        <v>41</v>
      </c>
      <c r="F3718" s="9">
        <v>0.02</v>
      </c>
      <c r="G3718" s="10">
        <v>15836</v>
      </c>
      <c r="H3718">
        <v>3.49</v>
      </c>
      <c r="I3718" s="5">
        <f>ROUND(Marketing[[#This Row],[Clicks]]*Marketing[[#This Row],[Conversion_Rate]],0)</f>
        <v>19</v>
      </c>
      <c r="J3718" s="12">
        <f>Marketing[[#This Row],[Campaign_Cost]]/Marketing[[#This Row],[Customers]]</f>
        <v>833.47368421052636</v>
      </c>
      <c r="K3718" t="s">
        <v>25</v>
      </c>
      <c r="L3718" t="s">
        <v>26</v>
      </c>
      <c r="M3718">
        <v>957</v>
      </c>
      <c r="N3718">
        <v>5953</v>
      </c>
      <c r="O3718">
        <v>1</v>
      </c>
      <c r="P3718" t="s">
        <v>34</v>
      </c>
      <c r="Q3718" s="1">
        <v>44263</v>
      </c>
    </row>
    <row r="3719" spans="1:17" x14ac:dyDescent="0.3">
      <c r="A3719" t="s">
        <v>28</v>
      </c>
      <c r="B3719" t="s">
        <v>36</v>
      </c>
      <c r="C3719" t="s">
        <v>30</v>
      </c>
      <c r="D3719" t="s">
        <v>40</v>
      </c>
      <c r="E3719" t="s">
        <v>41</v>
      </c>
      <c r="F3719" s="9">
        <v>0.15</v>
      </c>
      <c r="G3719" s="10">
        <v>9935</v>
      </c>
      <c r="H3719">
        <v>2.0499999999999998</v>
      </c>
      <c r="I3719" s="5">
        <f>ROUND(Marketing[[#This Row],[Clicks]]*Marketing[[#This Row],[Conversion_Rate]],0)</f>
        <v>18</v>
      </c>
      <c r="J3719" s="12">
        <f>Marketing[[#This Row],[Campaign_Cost]]/Marketing[[#This Row],[Customers]]</f>
        <v>551.94444444444446</v>
      </c>
      <c r="K3719" t="s">
        <v>38</v>
      </c>
      <c r="L3719" t="s">
        <v>26</v>
      </c>
      <c r="M3719">
        <v>120</v>
      </c>
      <c r="N3719">
        <v>6667</v>
      </c>
      <c r="O3719">
        <v>8</v>
      </c>
      <c r="P3719" t="s">
        <v>34</v>
      </c>
      <c r="Q3719" s="1">
        <v>44264</v>
      </c>
    </row>
    <row r="3720" spans="1:17" x14ac:dyDescent="0.3">
      <c r="A3720" t="s">
        <v>22</v>
      </c>
      <c r="B3720" t="s">
        <v>47</v>
      </c>
      <c r="C3720" t="s">
        <v>16</v>
      </c>
      <c r="D3720" t="s">
        <v>24</v>
      </c>
      <c r="E3720" t="s">
        <v>41</v>
      </c>
      <c r="F3720" s="9">
        <v>0.03</v>
      </c>
      <c r="G3720" s="10">
        <v>14149</v>
      </c>
      <c r="H3720">
        <v>3.36</v>
      </c>
      <c r="I3720" s="5">
        <f>ROUND(Marketing[[#This Row],[Clicks]]*Marketing[[#This Row],[Conversion_Rate]],0)</f>
        <v>6</v>
      </c>
      <c r="J3720" s="12">
        <f>Marketing[[#This Row],[Campaign_Cost]]/Marketing[[#This Row],[Customers]]</f>
        <v>2358.1666666666665</v>
      </c>
      <c r="K3720" t="s">
        <v>32</v>
      </c>
      <c r="L3720" t="s">
        <v>50</v>
      </c>
      <c r="M3720">
        <v>214</v>
      </c>
      <c r="N3720">
        <v>7718</v>
      </c>
      <c r="O3720">
        <v>6</v>
      </c>
      <c r="P3720" t="s">
        <v>44</v>
      </c>
      <c r="Q3720" s="1">
        <v>44265</v>
      </c>
    </row>
    <row r="3721" spans="1:17" x14ac:dyDescent="0.3">
      <c r="A3721" t="s">
        <v>49</v>
      </c>
      <c r="B3721" t="s">
        <v>29</v>
      </c>
      <c r="C3721" t="s">
        <v>37</v>
      </c>
      <c r="D3721" t="s">
        <v>17</v>
      </c>
      <c r="E3721" t="s">
        <v>41</v>
      </c>
      <c r="F3721" s="9">
        <v>0.14000000000000001</v>
      </c>
      <c r="G3721" s="10">
        <v>6962</v>
      </c>
      <c r="H3721">
        <v>2.08</v>
      </c>
      <c r="I3721" s="5">
        <f>ROUND(Marketing[[#This Row],[Clicks]]*Marketing[[#This Row],[Conversion_Rate]],0)</f>
        <v>50</v>
      </c>
      <c r="J3721" s="12">
        <f>Marketing[[#This Row],[Campaign_Cost]]/Marketing[[#This Row],[Customers]]</f>
        <v>139.24</v>
      </c>
      <c r="K3721" t="s">
        <v>38</v>
      </c>
      <c r="L3721" t="s">
        <v>50</v>
      </c>
      <c r="M3721">
        <v>356</v>
      </c>
      <c r="N3721">
        <v>9913</v>
      </c>
      <c r="O3721">
        <v>1</v>
      </c>
      <c r="P3721" t="s">
        <v>42</v>
      </c>
      <c r="Q3721" s="1">
        <v>44266</v>
      </c>
    </row>
    <row r="3722" spans="1:17" x14ac:dyDescent="0.3">
      <c r="A3722" t="s">
        <v>49</v>
      </c>
      <c r="B3722" t="s">
        <v>15</v>
      </c>
      <c r="C3722" t="s">
        <v>30</v>
      </c>
      <c r="D3722" t="s">
        <v>17</v>
      </c>
      <c r="E3722" t="s">
        <v>48</v>
      </c>
      <c r="F3722" s="9">
        <v>0.12</v>
      </c>
      <c r="G3722" s="10">
        <v>17619</v>
      </c>
      <c r="H3722">
        <v>7.09</v>
      </c>
      <c r="I3722" s="5">
        <f>ROUND(Marketing[[#This Row],[Clicks]]*Marketing[[#This Row],[Conversion_Rate]],0)</f>
        <v>88</v>
      </c>
      <c r="J3722" s="12">
        <f>Marketing[[#This Row],[Campaign_Cost]]/Marketing[[#This Row],[Customers]]</f>
        <v>200.21590909090909</v>
      </c>
      <c r="K3722" t="s">
        <v>19</v>
      </c>
      <c r="L3722" t="s">
        <v>39</v>
      </c>
      <c r="M3722">
        <v>737</v>
      </c>
      <c r="N3722">
        <v>1825</v>
      </c>
      <c r="O3722">
        <v>3</v>
      </c>
      <c r="P3722" t="s">
        <v>21</v>
      </c>
      <c r="Q3722" s="1">
        <v>44267</v>
      </c>
    </row>
    <row r="3723" spans="1:17" x14ac:dyDescent="0.3">
      <c r="A3723" t="s">
        <v>22</v>
      </c>
      <c r="B3723" t="s">
        <v>47</v>
      </c>
      <c r="C3723" t="s">
        <v>52</v>
      </c>
      <c r="D3723" t="s">
        <v>17</v>
      </c>
      <c r="E3723" t="s">
        <v>41</v>
      </c>
      <c r="F3723" s="9">
        <v>0.1</v>
      </c>
      <c r="G3723" s="10">
        <v>15826</v>
      </c>
      <c r="H3723">
        <v>6.55</v>
      </c>
      <c r="I3723" s="5">
        <f>ROUND(Marketing[[#This Row],[Clicks]]*Marketing[[#This Row],[Conversion_Rate]],0)</f>
        <v>64</v>
      </c>
      <c r="J3723" s="12">
        <f>Marketing[[#This Row],[Campaign_Cost]]/Marketing[[#This Row],[Customers]]</f>
        <v>247.28125</v>
      </c>
      <c r="K3723" t="s">
        <v>32</v>
      </c>
      <c r="L3723" t="s">
        <v>33</v>
      </c>
      <c r="M3723">
        <v>640</v>
      </c>
      <c r="N3723">
        <v>6124</v>
      </c>
      <c r="O3723">
        <v>2</v>
      </c>
      <c r="P3723" t="s">
        <v>34</v>
      </c>
      <c r="Q3723" s="1">
        <v>44268</v>
      </c>
    </row>
    <row r="3724" spans="1:17" x14ac:dyDescent="0.3">
      <c r="A3724" t="s">
        <v>22</v>
      </c>
      <c r="B3724" t="s">
        <v>36</v>
      </c>
      <c r="C3724" t="s">
        <v>52</v>
      </c>
      <c r="D3724" t="s">
        <v>17</v>
      </c>
      <c r="E3724" t="s">
        <v>31</v>
      </c>
      <c r="F3724" s="9">
        <v>0.1</v>
      </c>
      <c r="G3724" s="10">
        <v>14808</v>
      </c>
      <c r="H3724">
        <v>2.25</v>
      </c>
      <c r="I3724" s="5">
        <f>ROUND(Marketing[[#This Row],[Clicks]]*Marketing[[#This Row],[Conversion_Rate]],0)</f>
        <v>15</v>
      </c>
      <c r="J3724" s="12">
        <f>Marketing[[#This Row],[Campaign_Cost]]/Marketing[[#This Row],[Customers]]</f>
        <v>987.2</v>
      </c>
      <c r="K3724" t="s">
        <v>32</v>
      </c>
      <c r="L3724" t="s">
        <v>33</v>
      </c>
      <c r="M3724">
        <v>154</v>
      </c>
      <c r="N3724">
        <v>3430</v>
      </c>
      <c r="O3724">
        <v>7</v>
      </c>
      <c r="P3724" t="s">
        <v>21</v>
      </c>
      <c r="Q3724" s="1">
        <v>44269</v>
      </c>
    </row>
    <row r="3725" spans="1:17" x14ac:dyDescent="0.3">
      <c r="A3725" t="s">
        <v>14</v>
      </c>
      <c r="B3725" t="s">
        <v>45</v>
      </c>
      <c r="C3725" t="s">
        <v>23</v>
      </c>
      <c r="D3725" t="s">
        <v>24</v>
      </c>
      <c r="E3725" t="s">
        <v>48</v>
      </c>
      <c r="F3725" s="9">
        <v>0.09</v>
      </c>
      <c r="G3725" s="10">
        <v>11021</v>
      </c>
      <c r="H3725">
        <v>4.92</v>
      </c>
      <c r="I3725" s="5">
        <f>ROUND(Marketing[[#This Row],[Clicks]]*Marketing[[#This Row],[Conversion_Rate]],0)</f>
        <v>69</v>
      </c>
      <c r="J3725" s="12">
        <f>Marketing[[#This Row],[Campaign_Cost]]/Marketing[[#This Row],[Customers]]</f>
        <v>159.72463768115941</v>
      </c>
      <c r="K3725" t="s">
        <v>38</v>
      </c>
      <c r="L3725" t="s">
        <v>20</v>
      </c>
      <c r="M3725">
        <v>767</v>
      </c>
      <c r="N3725">
        <v>3479</v>
      </c>
      <c r="O3725">
        <v>7</v>
      </c>
      <c r="P3725" t="s">
        <v>27</v>
      </c>
      <c r="Q3725" s="1">
        <v>44270</v>
      </c>
    </row>
    <row r="3726" spans="1:17" x14ac:dyDescent="0.3">
      <c r="A3726" t="s">
        <v>28</v>
      </c>
      <c r="B3726" t="s">
        <v>29</v>
      </c>
      <c r="C3726" t="s">
        <v>30</v>
      </c>
      <c r="D3726" t="s">
        <v>24</v>
      </c>
      <c r="E3726" t="s">
        <v>18</v>
      </c>
      <c r="F3726" s="9">
        <v>0.04</v>
      </c>
      <c r="G3726" s="10">
        <v>18092</v>
      </c>
      <c r="H3726">
        <v>5.33</v>
      </c>
      <c r="I3726" s="5">
        <f>ROUND(Marketing[[#This Row],[Clicks]]*Marketing[[#This Row],[Conversion_Rate]],0)</f>
        <v>38</v>
      </c>
      <c r="J3726" s="12">
        <f>Marketing[[#This Row],[Campaign_Cost]]/Marketing[[#This Row],[Customers]]</f>
        <v>476.10526315789474</v>
      </c>
      <c r="K3726" t="s">
        <v>51</v>
      </c>
      <c r="L3726" t="s">
        <v>39</v>
      </c>
      <c r="M3726">
        <v>960</v>
      </c>
      <c r="N3726">
        <v>9844</v>
      </c>
      <c r="O3726">
        <v>7</v>
      </c>
      <c r="P3726" t="s">
        <v>42</v>
      </c>
      <c r="Q3726" s="1">
        <v>44271</v>
      </c>
    </row>
    <row r="3727" spans="1:17" x14ac:dyDescent="0.3">
      <c r="A3727" t="s">
        <v>35</v>
      </c>
      <c r="B3727" t="s">
        <v>29</v>
      </c>
      <c r="C3727" t="s">
        <v>30</v>
      </c>
      <c r="D3727" t="s">
        <v>40</v>
      </c>
      <c r="E3727" t="s">
        <v>31</v>
      </c>
      <c r="F3727" s="9">
        <v>0.14000000000000001</v>
      </c>
      <c r="G3727" s="10">
        <v>15480</v>
      </c>
      <c r="H3727">
        <v>2.5299999999999998</v>
      </c>
      <c r="I3727" s="5">
        <f>ROUND(Marketing[[#This Row],[Clicks]]*Marketing[[#This Row],[Conversion_Rate]],0)</f>
        <v>122</v>
      </c>
      <c r="J3727" s="12">
        <f>Marketing[[#This Row],[Campaign_Cost]]/Marketing[[#This Row],[Customers]]</f>
        <v>126.88524590163935</v>
      </c>
      <c r="K3727" t="s">
        <v>25</v>
      </c>
      <c r="L3727" t="s">
        <v>50</v>
      </c>
      <c r="M3727">
        <v>870</v>
      </c>
      <c r="N3727">
        <v>7588</v>
      </c>
      <c r="O3727">
        <v>8</v>
      </c>
      <c r="P3727" t="s">
        <v>44</v>
      </c>
      <c r="Q3727" s="1">
        <v>44272</v>
      </c>
    </row>
    <row r="3728" spans="1:17" x14ac:dyDescent="0.3">
      <c r="A3728" t="s">
        <v>28</v>
      </c>
      <c r="B3728" t="s">
        <v>15</v>
      </c>
      <c r="C3728" t="s">
        <v>52</v>
      </c>
      <c r="D3728" t="s">
        <v>46</v>
      </c>
      <c r="E3728" t="s">
        <v>43</v>
      </c>
      <c r="F3728" s="9">
        <v>0.02</v>
      </c>
      <c r="G3728" s="10">
        <v>8650</v>
      </c>
      <c r="H3728">
        <v>5.69</v>
      </c>
      <c r="I3728" s="5">
        <f>ROUND(Marketing[[#This Row],[Clicks]]*Marketing[[#This Row],[Conversion_Rate]],0)</f>
        <v>15</v>
      </c>
      <c r="J3728" s="12">
        <f>Marketing[[#This Row],[Campaign_Cost]]/Marketing[[#This Row],[Customers]]</f>
        <v>576.66666666666663</v>
      </c>
      <c r="K3728" t="s">
        <v>32</v>
      </c>
      <c r="L3728" t="s">
        <v>20</v>
      </c>
      <c r="M3728">
        <v>729</v>
      </c>
      <c r="N3728">
        <v>9706</v>
      </c>
      <c r="O3728">
        <v>1</v>
      </c>
      <c r="P3728" t="s">
        <v>44</v>
      </c>
      <c r="Q3728" s="1">
        <v>44273</v>
      </c>
    </row>
    <row r="3729" spans="1:17" x14ac:dyDescent="0.3">
      <c r="A3729" t="s">
        <v>14</v>
      </c>
      <c r="B3729" t="s">
        <v>45</v>
      </c>
      <c r="C3729" t="s">
        <v>52</v>
      </c>
      <c r="D3729" t="s">
        <v>17</v>
      </c>
      <c r="E3729" t="s">
        <v>31</v>
      </c>
      <c r="F3729" s="9">
        <v>0.09</v>
      </c>
      <c r="G3729" s="10">
        <v>5366</v>
      </c>
      <c r="H3729">
        <v>3.14</v>
      </c>
      <c r="I3729" s="5">
        <f>ROUND(Marketing[[#This Row],[Clicks]]*Marketing[[#This Row],[Conversion_Rate]],0)</f>
        <v>28</v>
      </c>
      <c r="J3729" s="12">
        <f>Marketing[[#This Row],[Campaign_Cost]]/Marketing[[#This Row],[Customers]]</f>
        <v>191.64285714285714</v>
      </c>
      <c r="K3729" t="s">
        <v>25</v>
      </c>
      <c r="L3729" t="s">
        <v>50</v>
      </c>
      <c r="M3729">
        <v>315</v>
      </c>
      <c r="N3729">
        <v>9927</v>
      </c>
      <c r="O3729">
        <v>10</v>
      </c>
      <c r="P3729" t="s">
        <v>44</v>
      </c>
      <c r="Q3729" s="1">
        <v>44274</v>
      </c>
    </row>
    <row r="3730" spans="1:17" x14ac:dyDescent="0.3">
      <c r="A3730" t="s">
        <v>14</v>
      </c>
      <c r="B3730" t="s">
        <v>29</v>
      </c>
      <c r="C3730" t="s">
        <v>37</v>
      </c>
      <c r="D3730" t="s">
        <v>46</v>
      </c>
      <c r="E3730" t="s">
        <v>31</v>
      </c>
      <c r="F3730" s="9">
        <v>0.03</v>
      </c>
      <c r="G3730" s="10">
        <v>13598</v>
      </c>
      <c r="H3730">
        <v>7.19</v>
      </c>
      <c r="I3730" s="5">
        <f>ROUND(Marketing[[#This Row],[Clicks]]*Marketing[[#This Row],[Conversion_Rate]],0)</f>
        <v>3</v>
      </c>
      <c r="J3730" s="12">
        <f>Marketing[[#This Row],[Campaign_Cost]]/Marketing[[#This Row],[Customers]]</f>
        <v>4532.666666666667</v>
      </c>
      <c r="K3730" t="s">
        <v>38</v>
      </c>
      <c r="L3730" t="s">
        <v>20</v>
      </c>
      <c r="M3730">
        <v>100</v>
      </c>
      <c r="N3730">
        <v>2689</v>
      </c>
      <c r="O3730">
        <v>6</v>
      </c>
      <c r="P3730" t="s">
        <v>34</v>
      </c>
      <c r="Q3730" s="1">
        <v>44275</v>
      </c>
    </row>
    <row r="3731" spans="1:17" x14ac:dyDescent="0.3">
      <c r="A3731" t="s">
        <v>28</v>
      </c>
      <c r="B3731" t="s">
        <v>29</v>
      </c>
      <c r="C3731" t="s">
        <v>23</v>
      </c>
      <c r="D3731" t="s">
        <v>24</v>
      </c>
      <c r="E3731" t="s">
        <v>15</v>
      </c>
      <c r="F3731" s="9">
        <v>0.13</v>
      </c>
      <c r="G3731" s="10">
        <v>14838</v>
      </c>
      <c r="H3731">
        <v>5.8</v>
      </c>
      <c r="I3731" s="5">
        <f>ROUND(Marketing[[#This Row],[Clicks]]*Marketing[[#This Row],[Conversion_Rate]],0)</f>
        <v>67</v>
      </c>
      <c r="J3731" s="12">
        <f>Marketing[[#This Row],[Campaign_Cost]]/Marketing[[#This Row],[Customers]]</f>
        <v>221.46268656716418</v>
      </c>
      <c r="K3731" t="s">
        <v>51</v>
      </c>
      <c r="L3731" t="s">
        <v>39</v>
      </c>
      <c r="M3731">
        <v>516</v>
      </c>
      <c r="N3731">
        <v>3097</v>
      </c>
      <c r="O3731">
        <v>7</v>
      </c>
      <c r="P3731" t="s">
        <v>34</v>
      </c>
      <c r="Q3731" s="1">
        <v>44276</v>
      </c>
    </row>
    <row r="3732" spans="1:17" x14ac:dyDescent="0.3">
      <c r="A3732" t="s">
        <v>35</v>
      </c>
      <c r="B3732" t="s">
        <v>36</v>
      </c>
      <c r="C3732" t="s">
        <v>30</v>
      </c>
      <c r="D3732" t="s">
        <v>40</v>
      </c>
      <c r="E3732" t="s">
        <v>48</v>
      </c>
      <c r="F3732" s="9">
        <v>0.03</v>
      </c>
      <c r="G3732" s="10">
        <v>18932</v>
      </c>
      <c r="H3732">
        <v>7.16</v>
      </c>
      <c r="I3732" s="5">
        <f>ROUND(Marketing[[#This Row],[Clicks]]*Marketing[[#This Row],[Conversion_Rate]],0)</f>
        <v>21</v>
      </c>
      <c r="J3732" s="12">
        <f>Marketing[[#This Row],[Campaign_Cost]]/Marketing[[#This Row],[Customers]]</f>
        <v>901.52380952380952</v>
      </c>
      <c r="K3732" t="s">
        <v>25</v>
      </c>
      <c r="L3732" t="s">
        <v>20</v>
      </c>
      <c r="M3732">
        <v>691</v>
      </c>
      <c r="N3732">
        <v>8255</v>
      </c>
      <c r="O3732">
        <v>6</v>
      </c>
      <c r="P3732" t="s">
        <v>21</v>
      </c>
      <c r="Q3732" s="1">
        <v>44277</v>
      </c>
    </row>
    <row r="3733" spans="1:17" x14ac:dyDescent="0.3">
      <c r="A3733" t="s">
        <v>35</v>
      </c>
      <c r="B3733" t="s">
        <v>36</v>
      </c>
      <c r="C3733" t="s">
        <v>37</v>
      </c>
      <c r="D3733" t="s">
        <v>24</v>
      </c>
      <c r="E3733" t="s">
        <v>15</v>
      </c>
      <c r="F3733" s="9">
        <v>0.03</v>
      </c>
      <c r="G3733" s="10">
        <v>15573</v>
      </c>
      <c r="H3733">
        <v>3.39</v>
      </c>
      <c r="I3733" s="5">
        <f>ROUND(Marketing[[#This Row],[Clicks]]*Marketing[[#This Row],[Conversion_Rate]],0)</f>
        <v>14</v>
      </c>
      <c r="J3733" s="12">
        <f>Marketing[[#This Row],[Campaign_Cost]]/Marketing[[#This Row],[Customers]]</f>
        <v>1112.3571428571429</v>
      </c>
      <c r="K3733" t="s">
        <v>38</v>
      </c>
      <c r="L3733" t="s">
        <v>33</v>
      </c>
      <c r="M3733">
        <v>483</v>
      </c>
      <c r="N3733">
        <v>6956</v>
      </c>
      <c r="O3733">
        <v>10</v>
      </c>
      <c r="P3733" t="s">
        <v>34</v>
      </c>
      <c r="Q3733" s="1">
        <v>44278</v>
      </c>
    </row>
    <row r="3734" spans="1:17" x14ac:dyDescent="0.3">
      <c r="A3734" t="s">
        <v>49</v>
      </c>
      <c r="B3734" t="s">
        <v>45</v>
      </c>
      <c r="C3734" t="s">
        <v>37</v>
      </c>
      <c r="D3734" t="s">
        <v>40</v>
      </c>
      <c r="E3734" t="s">
        <v>48</v>
      </c>
      <c r="F3734" s="9">
        <v>0.11</v>
      </c>
      <c r="G3734" s="10">
        <v>11446</v>
      </c>
      <c r="H3734">
        <v>3.82</v>
      </c>
      <c r="I3734" s="5">
        <f>ROUND(Marketing[[#This Row],[Clicks]]*Marketing[[#This Row],[Conversion_Rate]],0)</f>
        <v>71</v>
      </c>
      <c r="J3734" s="12">
        <f>Marketing[[#This Row],[Campaign_Cost]]/Marketing[[#This Row],[Customers]]</f>
        <v>161.21126760563379</v>
      </c>
      <c r="K3734" t="s">
        <v>32</v>
      </c>
      <c r="L3734" t="s">
        <v>50</v>
      </c>
      <c r="M3734">
        <v>641</v>
      </c>
      <c r="N3734">
        <v>5705</v>
      </c>
      <c r="O3734">
        <v>5</v>
      </c>
      <c r="P3734" t="s">
        <v>42</v>
      </c>
      <c r="Q3734" s="1">
        <v>44279</v>
      </c>
    </row>
    <row r="3735" spans="1:17" x14ac:dyDescent="0.3">
      <c r="A3735" t="s">
        <v>28</v>
      </c>
      <c r="B3735" t="s">
        <v>36</v>
      </c>
      <c r="C3735" t="s">
        <v>52</v>
      </c>
      <c r="D3735" t="s">
        <v>24</v>
      </c>
      <c r="E3735" t="s">
        <v>31</v>
      </c>
      <c r="F3735" s="9">
        <v>0.11</v>
      </c>
      <c r="G3735" s="10">
        <v>8282</v>
      </c>
      <c r="H3735">
        <v>6.35</v>
      </c>
      <c r="I3735" s="5">
        <f>ROUND(Marketing[[#This Row],[Clicks]]*Marketing[[#This Row],[Conversion_Rate]],0)</f>
        <v>105</v>
      </c>
      <c r="J3735" s="12">
        <f>Marketing[[#This Row],[Campaign_Cost]]/Marketing[[#This Row],[Customers]]</f>
        <v>78.876190476190473</v>
      </c>
      <c r="K3735" t="s">
        <v>25</v>
      </c>
      <c r="L3735" t="s">
        <v>39</v>
      </c>
      <c r="M3735">
        <v>950</v>
      </c>
      <c r="N3735">
        <v>6803</v>
      </c>
      <c r="O3735">
        <v>9</v>
      </c>
      <c r="P3735" t="s">
        <v>44</v>
      </c>
      <c r="Q3735" s="1">
        <v>44280</v>
      </c>
    </row>
    <row r="3736" spans="1:17" x14ac:dyDescent="0.3">
      <c r="A3736" t="s">
        <v>14</v>
      </c>
      <c r="B3736" t="s">
        <v>45</v>
      </c>
      <c r="C3736" t="s">
        <v>52</v>
      </c>
      <c r="D3736" t="s">
        <v>17</v>
      </c>
      <c r="E3736" t="s">
        <v>48</v>
      </c>
      <c r="F3736" s="9">
        <v>0.06</v>
      </c>
      <c r="G3736" s="10">
        <v>10258</v>
      </c>
      <c r="H3736">
        <v>2.1</v>
      </c>
      <c r="I3736" s="5">
        <f>ROUND(Marketing[[#This Row],[Clicks]]*Marketing[[#This Row],[Conversion_Rate]],0)</f>
        <v>18</v>
      </c>
      <c r="J3736" s="12">
        <f>Marketing[[#This Row],[Campaign_Cost]]/Marketing[[#This Row],[Customers]]</f>
        <v>569.88888888888891</v>
      </c>
      <c r="K3736" t="s">
        <v>38</v>
      </c>
      <c r="L3736" t="s">
        <v>26</v>
      </c>
      <c r="M3736">
        <v>300</v>
      </c>
      <c r="N3736">
        <v>9156</v>
      </c>
      <c r="O3736">
        <v>8</v>
      </c>
      <c r="P3736" t="s">
        <v>42</v>
      </c>
      <c r="Q3736" s="1">
        <v>44281</v>
      </c>
    </row>
    <row r="3737" spans="1:17" x14ac:dyDescent="0.3">
      <c r="A3737" t="s">
        <v>28</v>
      </c>
      <c r="B3737" t="s">
        <v>45</v>
      </c>
      <c r="C3737" t="s">
        <v>23</v>
      </c>
      <c r="D3737" t="s">
        <v>17</v>
      </c>
      <c r="E3737" t="s">
        <v>41</v>
      </c>
      <c r="F3737" s="9">
        <v>0.06</v>
      </c>
      <c r="G3737" s="10">
        <v>8782</v>
      </c>
      <c r="H3737">
        <v>2.23</v>
      </c>
      <c r="I3737" s="5">
        <f>ROUND(Marketing[[#This Row],[Clicks]]*Marketing[[#This Row],[Conversion_Rate]],0)</f>
        <v>38</v>
      </c>
      <c r="J3737" s="12">
        <f>Marketing[[#This Row],[Campaign_Cost]]/Marketing[[#This Row],[Customers]]</f>
        <v>231.10526315789474</v>
      </c>
      <c r="K3737" t="s">
        <v>32</v>
      </c>
      <c r="L3737" t="s">
        <v>33</v>
      </c>
      <c r="M3737">
        <v>640</v>
      </c>
      <c r="N3737">
        <v>4248</v>
      </c>
      <c r="O3737">
        <v>1</v>
      </c>
      <c r="P3737" t="s">
        <v>44</v>
      </c>
      <c r="Q3737" s="1">
        <v>44282</v>
      </c>
    </row>
    <row r="3738" spans="1:17" x14ac:dyDescent="0.3">
      <c r="A3738" t="s">
        <v>35</v>
      </c>
      <c r="B3738" t="s">
        <v>45</v>
      </c>
      <c r="C3738" t="s">
        <v>37</v>
      </c>
      <c r="D3738" t="s">
        <v>24</v>
      </c>
      <c r="E3738" t="s">
        <v>41</v>
      </c>
      <c r="F3738" s="9">
        <v>0.02</v>
      </c>
      <c r="G3738" s="10">
        <v>6056</v>
      </c>
      <c r="H3738">
        <v>4.96</v>
      </c>
      <c r="I3738" s="5">
        <f>ROUND(Marketing[[#This Row],[Clicks]]*Marketing[[#This Row],[Conversion_Rate]],0)</f>
        <v>6</v>
      </c>
      <c r="J3738" s="12">
        <f>Marketing[[#This Row],[Campaign_Cost]]/Marketing[[#This Row],[Customers]]</f>
        <v>1009.3333333333334</v>
      </c>
      <c r="K3738" t="s">
        <v>32</v>
      </c>
      <c r="L3738" t="s">
        <v>33</v>
      </c>
      <c r="M3738">
        <v>278</v>
      </c>
      <c r="N3738">
        <v>6928</v>
      </c>
      <c r="O3738">
        <v>1</v>
      </c>
      <c r="P3738" t="s">
        <v>44</v>
      </c>
      <c r="Q3738" s="1">
        <v>44283</v>
      </c>
    </row>
    <row r="3739" spans="1:17" x14ac:dyDescent="0.3">
      <c r="A3739" t="s">
        <v>14</v>
      </c>
      <c r="B3739" t="s">
        <v>36</v>
      </c>
      <c r="C3739" t="s">
        <v>30</v>
      </c>
      <c r="D3739" t="s">
        <v>17</v>
      </c>
      <c r="E3739" t="s">
        <v>18</v>
      </c>
      <c r="F3739" s="9">
        <v>0.06</v>
      </c>
      <c r="G3739" s="10">
        <v>18572</v>
      </c>
      <c r="H3739">
        <v>5.19</v>
      </c>
      <c r="I3739" s="5">
        <f>ROUND(Marketing[[#This Row],[Clicks]]*Marketing[[#This Row],[Conversion_Rate]],0)</f>
        <v>24</v>
      </c>
      <c r="J3739" s="12">
        <f>Marketing[[#This Row],[Campaign_Cost]]/Marketing[[#This Row],[Customers]]</f>
        <v>773.83333333333337</v>
      </c>
      <c r="K3739" t="s">
        <v>19</v>
      </c>
      <c r="L3739" t="s">
        <v>20</v>
      </c>
      <c r="M3739">
        <v>401</v>
      </c>
      <c r="N3739">
        <v>5277</v>
      </c>
      <c r="O3739">
        <v>2</v>
      </c>
      <c r="P3739" t="s">
        <v>42</v>
      </c>
      <c r="Q3739" s="1">
        <v>44284</v>
      </c>
    </row>
    <row r="3740" spans="1:17" x14ac:dyDescent="0.3">
      <c r="A3740" t="s">
        <v>49</v>
      </c>
      <c r="B3740" t="s">
        <v>45</v>
      </c>
      <c r="C3740" t="s">
        <v>52</v>
      </c>
      <c r="D3740" t="s">
        <v>46</v>
      </c>
      <c r="E3740" t="s">
        <v>43</v>
      </c>
      <c r="F3740" s="9">
        <v>0.06</v>
      </c>
      <c r="G3740" s="10">
        <v>16061</v>
      </c>
      <c r="H3740">
        <v>6.93</v>
      </c>
      <c r="I3740" s="5">
        <f>ROUND(Marketing[[#This Row],[Clicks]]*Marketing[[#This Row],[Conversion_Rate]],0)</f>
        <v>40</v>
      </c>
      <c r="J3740" s="12">
        <f>Marketing[[#This Row],[Campaign_Cost]]/Marketing[[#This Row],[Customers]]</f>
        <v>401.52499999999998</v>
      </c>
      <c r="K3740" t="s">
        <v>32</v>
      </c>
      <c r="L3740" t="s">
        <v>39</v>
      </c>
      <c r="M3740">
        <v>674</v>
      </c>
      <c r="N3740">
        <v>4751</v>
      </c>
      <c r="O3740">
        <v>7</v>
      </c>
      <c r="P3740" t="s">
        <v>21</v>
      </c>
      <c r="Q3740" s="1">
        <v>44285</v>
      </c>
    </row>
    <row r="3741" spans="1:17" x14ac:dyDescent="0.3">
      <c r="A3741" t="s">
        <v>28</v>
      </c>
      <c r="B3741" t="s">
        <v>29</v>
      </c>
      <c r="C3741" t="s">
        <v>30</v>
      </c>
      <c r="D3741" t="s">
        <v>17</v>
      </c>
      <c r="E3741" t="s">
        <v>18</v>
      </c>
      <c r="F3741" s="9">
        <v>0.02</v>
      </c>
      <c r="G3741" s="10">
        <v>19978</v>
      </c>
      <c r="H3741">
        <v>7.5</v>
      </c>
      <c r="I3741" s="5">
        <f>ROUND(Marketing[[#This Row],[Clicks]]*Marketing[[#This Row],[Conversion_Rate]],0)</f>
        <v>17</v>
      </c>
      <c r="J3741" s="12">
        <f>Marketing[[#This Row],[Campaign_Cost]]/Marketing[[#This Row],[Customers]]</f>
        <v>1175.1764705882354</v>
      </c>
      <c r="K3741" t="s">
        <v>25</v>
      </c>
      <c r="L3741" t="s">
        <v>26</v>
      </c>
      <c r="M3741">
        <v>856</v>
      </c>
      <c r="N3741">
        <v>8306</v>
      </c>
      <c r="O3741">
        <v>7</v>
      </c>
      <c r="P3741" t="s">
        <v>42</v>
      </c>
      <c r="Q3741" s="1">
        <v>44286</v>
      </c>
    </row>
    <row r="3742" spans="1:17" x14ac:dyDescent="0.3">
      <c r="A3742" t="s">
        <v>35</v>
      </c>
      <c r="B3742" t="s">
        <v>36</v>
      </c>
      <c r="C3742" t="s">
        <v>52</v>
      </c>
      <c r="D3742" t="s">
        <v>40</v>
      </c>
      <c r="E3742" t="s">
        <v>15</v>
      </c>
      <c r="F3742" s="9">
        <v>0.12</v>
      </c>
      <c r="G3742" s="10">
        <v>15572</v>
      </c>
      <c r="H3742">
        <v>4.7699999999999996</v>
      </c>
      <c r="I3742" s="5">
        <f>ROUND(Marketing[[#This Row],[Clicks]]*Marketing[[#This Row],[Conversion_Rate]],0)</f>
        <v>70</v>
      </c>
      <c r="J3742" s="12">
        <f>Marketing[[#This Row],[Campaign_Cost]]/Marketing[[#This Row],[Customers]]</f>
        <v>222.45714285714286</v>
      </c>
      <c r="K3742" t="s">
        <v>32</v>
      </c>
      <c r="L3742" t="s">
        <v>33</v>
      </c>
      <c r="M3742">
        <v>580</v>
      </c>
      <c r="N3742">
        <v>2180</v>
      </c>
      <c r="O3742">
        <v>2</v>
      </c>
      <c r="P3742" t="s">
        <v>21</v>
      </c>
      <c r="Q3742" s="1">
        <v>44287</v>
      </c>
    </row>
    <row r="3743" spans="1:17" x14ac:dyDescent="0.3">
      <c r="A3743" t="s">
        <v>14</v>
      </c>
      <c r="B3743" t="s">
        <v>29</v>
      </c>
      <c r="C3743" t="s">
        <v>30</v>
      </c>
      <c r="D3743" t="s">
        <v>24</v>
      </c>
      <c r="E3743" t="s">
        <v>41</v>
      </c>
      <c r="F3743" s="9">
        <v>0.11</v>
      </c>
      <c r="G3743" s="10">
        <v>5874</v>
      </c>
      <c r="H3743">
        <v>2.2599999999999998</v>
      </c>
      <c r="I3743" s="5">
        <f>ROUND(Marketing[[#This Row],[Clicks]]*Marketing[[#This Row],[Conversion_Rate]],0)</f>
        <v>97</v>
      </c>
      <c r="J3743" s="12">
        <f>Marketing[[#This Row],[Campaign_Cost]]/Marketing[[#This Row],[Customers]]</f>
        <v>60.556701030927833</v>
      </c>
      <c r="K3743" t="s">
        <v>32</v>
      </c>
      <c r="L3743" t="s">
        <v>26</v>
      </c>
      <c r="M3743">
        <v>884</v>
      </c>
      <c r="N3743">
        <v>1734</v>
      </c>
      <c r="O3743">
        <v>6</v>
      </c>
      <c r="P3743" t="s">
        <v>27</v>
      </c>
      <c r="Q3743" s="1">
        <v>44288</v>
      </c>
    </row>
    <row r="3744" spans="1:17" x14ac:dyDescent="0.3">
      <c r="A3744" t="s">
        <v>35</v>
      </c>
      <c r="B3744" t="s">
        <v>29</v>
      </c>
      <c r="C3744" t="s">
        <v>52</v>
      </c>
      <c r="D3744" t="s">
        <v>24</v>
      </c>
      <c r="E3744" t="s">
        <v>43</v>
      </c>
      <c r="F3744" s="9">
        <v>0.12</v>
      </c>
      <c r="G3744" s="10">
        <v>7064</v>
      </c>
      <c r="H3744">
        <v>7.76</v>
      </c>
      <c r="I3744" s="5">
        <f>ROUND(Marketing[[#This Row],[Clicks]]*Marketing[[#This Row],[Conversion_Rate]],0)</f>
        <v>111</v>
      </c>
      <c r="J3744" s="12">
        <f>Marketing[[#This Row],[Campaign_Cost]]/Marketing[[#This Row],[Customers]]</f>
        <v>63.63963963963964</v>
      </c>
      <c r="K3744" t="s">
        <v>25</v>
      </c>
      <c r="L3744" t="s">
        <v>26</v>
      </c>
      <c r="M3744">
        <v>922</v>
      </c>
      <c r="N3744">
        <v>8692</v>
      </c>
      <c r="O3744">
        <v>4</v>
      </c>
      <c r="P3744" t="s">
        <v>21</v>
      </c>
      <c r="Q3744" s="1">
        <v>44289</v>
      </c>
    </row>
    <row r="3745" spans="1:17" x14ac:dyDescent="0.3">
      <c r="A3745" t="s">
        <v>14</v>
      </c>
      <c r="B3745" t="s">
        <v>47</v>
      </c>
      <c r="C3745" t="s">
        <v>52</v>
      </c>
      <c r="D3745" t="s">
        <v>17</v>
      </c>
      <c r="E3745" t="s">
        <v>18</v>
      </c>
      <c r="F3745" s="9">
        <v>0.04</v>
      </c>
      <c r="G3745" s="10">
        <v>5477</v>
      </c>
      <c r="H3745">
        <v>7.49</v>
      </c>
      <c r="I3745" s="5">
        <f>ROUND(Marketing[[#This Row],[Clicks]]*Marketing[[#This Row],[Conversion_Rate]],0)</f>
        <v>23</v>
      </c>
      <c r="J3745" s="12">
        <f>Marketing[[#This Row],[Campaign_Cost]]/Marketing[[#This Row],[Customers]]</f>
        <v>238.13043478260869</v>
      </c>
      <c r="K3745" t="s">
        <v>51</v>
      </c>
      <c r="L3745" t="s">
        <v>26</v>
      </c>
      <c r="M3745">
        <v>583</v>
      </c>
      <c r="N3745">
        <v>3106</v>
      </c>
      <c r="O3745">
        <v>5</v>
      </c>
      <c r="P3745" t="s">
        <v>21</v>
      </c>
      <c r="Q3745" s="1">
        <v>44290</v>
      </c>
    </row>
    <row r="3746" spans="1:17" x14ac:dyDescent="0.3">
      <c r="A3746" t="s">
        <v>14</v>
      </c>
      <c r="B3746" t="s">
        <v>15</v>
      </c>
      <c r="C3746" t="s">
        <v>37</v>
      </c>
      <c r="D3746" t="s">
        <v>40</v>
      </c>
      <c r="E3746" t="s">
        <v>31</v>
      </c>
      <c r="F3746" s="9">
        <v>0.11</v>
      </c>
      <c r="G3746" s="10">
        <v>19481</v>
      </c>
      <c r="H3746">
        <v>5.77</v>
      </c>
      <c r="I3746" s="5">
        <f>ROUND(Marketing[[#This Row],[Clicks]]*Marketing[[#This Row],[Conversion_Rate]],0)</f>
        <v>45</v>
      </c>
      <c r="J3746" s="12">
        <f>Marketing[[#This Row],[Campaign_Cost]]/Marketing[[#This Row],[Customers]]</f>
        <v>432.9111111111111</v>
      </c>
      <c r="K3746" t="s">
        <v>19</v>
      </c>
      <c r="L3746" t="s">
        <v>39</v>
      </c>
      <c r="M3746">
        <v>408</v>
      </c>
      <c r="N3746">
        <v>4345</v>
      </c>
      <c r="O3746">
        <v>6</v>
      </c>
      <c r="P3746" t="s">
        <v>27</v>
      </c>
      <c r="Q3746" s="1">
        <v>44291</v>
      </c>
    </row>
    <row r="3747" spans="1:17" x14ac:dyDescent="0.3">
      <c r="A3747" t="s">
        <v>49</v>
      </c>
      <c r="B3747" t="s">
        <v>29</v>
      </c>
      <c r="C3747" t="s">
        <v>23</v>
      </c>
      <c r="D3747" t="s">
        <v>46</v>
      </c>
      <c r="E3747" t="s">
        <v>41</v>
      </c>
      <c r="F3747" s="9">
        <v>0.15</v>
      </c>
      <c r="G3747" s="10">
        <v>8685</v>
      </c>
      <c r="H3747">
        <v>6.74</v>
      </c>
      <c r="I3747" s="5">
        <f>ROUND(Marketing[[#This Row],[Clicks]]*Marketing[[#This Row],[Conversion_Rate]],0)</f>
        <v>102</v>
      </c>
      <c r="J3747" s="12">
        <f>Marketing[[#This Row],[Campaign_Cost]]/Marketing[[#This Row],[Customers]]</f>
        <v>85.147058823529406</v>
      </c>
      <c r="K3747" t="s">
        <v>25</v>
      </c>
      <c r="L3747" t="s">
        <v>39</v>
      </c>
      <c r="M3747">
        <v>683</v>
      </c>
      <c r="N3747">
        <v>5134</v>
      </c>
      <c r="O3747">
        <v>7</v>
      </c>
      <c r="P3747" t="s">
        <v>42</v>
      </c>
      <c r="Q3747" s="1">
        <v>44292</v>
      </c>
    </row>
    <row r="3748" spans="1:17" x14ac:dyDescent="0.3">
      <c r="A3748" t="s">
        <v>28</v>
      </c>
      <c r="B3748" t="s">
        <v>29</v>
      </c>
      <c r="C3748" t="s">
        <v>37</v>
      </c>
      <c r="D3748" t="s">
        <v>40</v>
      </c>
      <c r="E3748" t="s">
        <v>41</v>
      </c>
      <c r="F3748" s="9">
        <v>0.13</v>
      </c>
      <c r="G3748" s="10">
        <v>12942</v>
      </c>
      <c r="H3748">
        <v>6.65</v>
      </c>
      <c r="I3748" s="5">
        <f>ROUND(Marketing[[#This Row],[Clicks]]*Marketing[[#This Row],[Conversion_Rate]],0)</f>
        <v>37</v>
      </c>
      <c r="J3748" s="12">
        <f>Marketing[[#This Row],[Campaign_Cost]]/Marketing[[#This Row],[Customers]]</f>
        <v>349.7837837837838</v>
      </c>
      <c r="K3748" t="s">
        <v>51</v>
      </c>
      <c r="L3748" t="s">
        <v>50</v>
      </c>
      <c r="M3748">
        <v>286</v>
      </c>
      <c r="N3748">
        <v>2073</v>
      </c>
      <c r="O3748">
        <v>6</v>
      </c>
      <c r="P3748" t="s">
        <v>21</v>
      </c>
      <c r="Q3748" s="1">
        <v>44293</v>
      </c>
    </row>
    <row r="3749" spans="1:17" x14ac:dyDescent="0.3">
      <c r="A3749" t="s">
        <v>28</v>
      </c>
      <c r="B3749" t="s">
        <v>47</v>
      </c>
      <c r="C3749" t="s">
        <v>16</v>
      </c>
      <c r="D3749" t="s">
        <v>17</v>
      </c>
      <c r="E3749" t="s">
        <v>48</v>
      </c>
      <c r="F3749" s="9">
        <v>0.03</v>
      </c>
      <c r="G3749" s="10">
        <v>12322</v>
      </c>
      <c r="H3749">
        <v>2.06</v>
      </c>
      <c r="I3749" s="5">
        <f>ROUND(Marketing[[#This Row],[Clicks]]*Marketing[[#This Row],[Conversion_Rate]],0)</f>
        <v>15</v>
      </c>
      <c r="J3749" s="12">
        <f>Marketing[[#This Row],[Campaign_Cost]]/Marketing[[#This Row],[Customers]]</f>
        <v>821.4666666666667</v>
      </c>
      <c r="K3749" t="s">
        <v>25</v>
      </c>
      <c r="L3749" t="s">
        <v>33</v>
      </c>
      <c r="M3749">
        <v>492</v>
      </c>
      <c r="N3749">
        <v>1724</v>
      </c>
      <c r="O3749">
        <v>9</v>
      </c>
      <c r="P3749" t="s">
        <v>21</v>
      </c>
      <c r="Q3749" s="1">
        <v>44294</v>
      </c>
    </row>
    <row r="3750" spans="1:17" x14ac:dyDescent="0.3">
      <c r="A3750" t="s">
        <v>49</v>
      </c>
      <c r="B3750" t="s">
        <v>36</v>
      </c>
      <c r="C3750" t="s">
        <v>52</v>
      </c>
      <c r="D3750" t="s">
        <v>17</v>
      </c>
      <c r="E3750" t="s">
        <v>18</v>
      </c>
      <c r="F3750" s="9">
        <v>0.13</v>
      </c>
      <c r="G3750" s="10">
        <v>13293</v>
      </c>
      <c r="H3750">
        <v>5.57</v>
      </c>
      <c r="I3750" s="5">
        <f>ROUND(Marketing[[#This Row],[Clicks]]*Marketing[[#This Row],[Conversion_Rate]],0)</f>
        <v>60</v>
      </c>
      <c r="J3750" s="12">
        <f>Marketing[[#This Row],[Campaign_Cost]]/Marketing[[#This Row],[Customers]]</f>
        <v>221.55</v>
      </c>
      <c r="K3750" t="s">
        <v>32</v>
      </c>
      <c r="L3750" t="s">
        <v>20</v>
      </c>
      <c r="M3750">
        <v>459</v>
      </c>
      <c r="N3750">
        <v>7932</v>
      </c>
      <c r="O3750">
        <v>1</v>
      </c>
      <c r="P3750" t="s">
        <v>34</v>
      </c>
      <c r="Q3750" s="1">
        <v>44295</v>
      </c>
    </row>
    <row r="3751" spans="1:17" x14ac:dyDescent="0.3">
      <c r="A3751" t="s">
        <v>22</v>
      </c>
      <c r="B3751" t="s">
        <v>36</v>
      </c>
      <c r="C3751" t="s">
        <v>37</v>
      </c>
      <c r="D3751" t="s">
        <v>46</v>
      </c>
      <c r="E3751" t="s">
        <v>41</v>
      </c>
      <c r="F3751" s="9">
        <v>0.14000000000000001</v>
      </c>
      <c r="G3751" s="10">
        <v>18815</v>
      </c>
      <c r="H3751">
        <v>5.24</v>
      </c>
      <c r="I3751" s="5">
        <f>ROUND(Marketing[[#This Row],[Clicks]]*Marketing[[#This Row],[Conversion_Rate]],0)</f>
        <v>34</v>
      </c>
      <c r="J3751" s="12">
        <f>Marketing[[#This Row],[Campaign_Cost]]/Marketing[[#This Row],[Customers]]</f>
        <v>553.38235294117646</v>
      </c>
      <c r="K3751" t="s">
        <v>38</v>
      </c>
      <c r="L3751" t="s">
        <v>20</v>
      </c>
      <c r="M3751">
        <v>244</v>
      </c>
      <c r="N3751">
        <v>8541</v>
      </c>
      <c r="O3751">
        <v>4</v>
      </c>
      <c r="P3751" t="s">
        <v>42</v>
      </c>
      <c r="Q3751" s="1">
        <v>44296</v>
      </c>
    </row>
    <row r="3752" spans="1:17" x14ac:dyDescent="0.3">
      <c r="A3752" t="s">
        <v>22</v>
      </c>
      <c r="B3752" t="s">
        <v>36</v>
      </c>
      <c r="C3752" t="s">
        <v>52</v>
      </c>
      <c r="D3752" t="s">
        <v>24</v>
      </c>
      <c r="E3752" t="s">
        <v>48</v>
      </c>
      <c r="F3752" s="9">
        <v>0.14000000000000001</v>
      </c>
      <c r="G3752" s="10">
        <v>7588</v>
      </c>
      <c r="H3752">
        <v>6.32</v>
      </c>
      <c r="I3752" s="5">
        <f>ROUND(Marketing[[#This Row],[Clicks]]*Marketing[[#This Row],[Conversion_Rate]],0)</f>
        <v>129</v>
      </c>
      <c r="J3752" s="12">
        <f>Marketing[[#This Row],[Campaign_Cost]]/Marketing[[#This Row],[Customers]]</f>
        <v>58.821705426356587</v>
      </c>
      <c r="K3752" t="s">
        <v>38</v>
      </c>
      <c r="L3752" t="s">
        <v>20</v>
      </c>
      <c r="M3752">
        <v>923</v>
      </c>
      <c r="N3752">
        <v>8935</v>
      </c>
      <c r="O3752">
        <v>9</v>
      </c>
      <c r="P3752" t="s">
        <v>27</v>
      </c>
      <c r="Q3752" s="1">
        <v>44297</v>
      </c>
    </row>
    <row r="3753" spans="1:17" x14ac:dyDescent="0.3">
      <c r="A3753" t="s">
        <v>28</v>
      </c>
      <c r="B3753" t="s">
        <v>29</v>
      </c>
      <c r="C3753" t="s">
        <v>23</v>
      </c>
      <c r="D3753" t="s">
        <v>24</v>
      </c>
      <c r="E3753" t="s">
        <v>43</v>
      </c>
      <c r="F3753" s="9">
        <v>0.09</v>
      </c>
      <c r="G3753" s="10">
        <v>18688</v>
      </c>
      <c r="H3753">
        <v>2.0299999999999998</v>
      </c>
      <c r="I3753" s="5">
        <f>ROUND(Marketing[[#This Row],[Clicks]]*Marketing[[#This Row],[Conversion_Rate]],0)</f>
        <v>76</v>
      </c>
      <c r="J3753" s="12">
        <f>Marketing[[#This Row],[Campaign_Cost]]/Marketing[[#This Row],[Customers]]</f>
        <v>245.89473684210526</v>
      </c>
      <c r="K3753" t="s">
        <v>32</v>
      </c>
      <c r="L3753" t="s">
        <v>33</v>
      </c>
      <c r="M3753">
        <v>846</v>
      </c>
      <c r="N3753">
        <v>5127</v>
      </c>
      <c r="O3753">
        <v>4</v>
      </c>
      <c r="P3753" t="s">
        <v>21</v>
      </c>
      <c r="Q3753" s="1">
        <v>44298</v>
      </c>
    </row>
    <row r="3754" spans="1:17" x14ac:dyDescent="0.3">
      <c r="A3754" t="s">
        <v>49</v>
      </c>
      <c r="B3754" t="s">
        <v>45</v>
      </c>
      <c r="C3754" t="s">
        <v>30</v>
      </c>
      <c r="D3754" t="s">
        <v>40</v>
      </c>
      <c r="E3754" t="s">
        <v>18</v>
      </c>
      <c r="F3754" s="9">
        <v>0.09</v>
      </c>
      <c r="G3754" s="10">
        <v>5933</v>
      </c>
      <c r="H3754">
        <v>7.13</v>
      </c>
      <c r="I3754" s="5">
        <f>ROUND(Marketing[[#This Row],[Clicks]]*Marketing[[#This Row],[Conversion_Rate]],0)</f>
        <v>15</v>
      </c>
      <c r="J3754" s="12">
        <f>Marketing[[#This Row],[Campaign_Cost]]/Marketing[[#This Row],[Customers]]</f>
        <v>395.53333333333336</v>
      </c>
      <c r="K3754" t="s">
        <v>32</v>
      </c>
      <c r="L3754" t="s">
        <v>33</v>
      </c>
      <c r="M3754">
        <v>164</v>
      </c>
      <c r="N3754">
        <v>4187</v>
      </c>
      <c r="O3754">
        <v>2</v>
      </c>
      <c r="P3754" t="s">
        <v>21</v>
      </c>
      <c r="Q3754" s="1">
        <v>44299</v>
      </c>
    </row>
    <row r="3755" spans="1:17" x14ac:dyDescent="0.3">
      <c r="A3755" t="s">
        <v>14</v>
      </c>
      <c r="B3755" t="s">
        <v>36</v>
      </c>
      <c r="C3755" t="s">
        <v>52</v>
      </c>
      <c r="D3755" t="s">
        <v>40</v>
      </c>
      <c r="E3755" t="s">
        <v>31</v>
      </c>
      <c r="F3755" s="9">
        <v>0.11</v>
      </c>
      <c r="G3755" s="10">
        <v>12343</v>
      </c>
      <c r="H3755">
        <v>5.07</v>
      </c>
      <c r="I3755" s="5">
        <f>ROUND(Marketing[[#This Row],[Clicks]]*Marketing[[#This Row],[Conversion_Rate]],0)</f>
        <v>40</v>
      </c>
      <c r="J3755" s="12">
        <f>Marketing[[#This Row],[Campaign_Cost]]/Marketing[[#This Row],[Customers]]</f>
        <v>308.57499999999999</v>
      </c>
      <c r="K3755" t="s">
        <v>19</v>
      </c>
      <c r="L3755" t="s">
        <v>39</v>
      </c>
      <c r="M3755">
        <v>364</v>
      </c>
      <c r="N3755">
        <v>9456</v>
      </c>
      <c r="O3755">
        <v>10</v>
      </c>
      <c r="P3755" t="s">
        <v>21</v>
      </c>
      <c r="Q3755" s="1">
        <v>44300</v>
      </c>
    </row>
    <row r="3756" spans="1:17" x14ac:dyDescent="0.3">
      <c r="A3756" t="s">
        <v>28</v>
      </c>
      <c r="B3756" t="s">
        <v>15</v>
      </c>
      <c r="C3756" t="s">
        <v>52</v>
      </c>
      <c r="D3756" t="s">
        <v>17</v>
      </c>
      <c r="E3756" t="s">
        <v>48</v>
      </c>
      <c r="F3756" s="9">
        <v>0.14000000000000001</v>
      </c>
      <c r="G3756" s="10">
        <v>5671</v>
      </c>
      <c r="H3756">
        <v>5.79</v>
      </c>
      <c r="I3756" s="5">
        <f>ROUND(Marketing[[#This Row],[Clicks]]*Marketing[[#This Row],[Conversion_Rate]],0)</f>
        <v>123</v>
      </c>
      <c r="J3756" s="12">
        <f>Marketing[[#This Row],[Campaign_Cost]]/Marketing[[#This Row],[Customers]]</f>
        <v>46.105691056910572</v>
      </c>
      <c r="K3756" t="s">
        <v>25</v>
      </c>
      <c r="L3756" t="s">
        <v>39</v>
      </c>
      <c r="M3756">
        <v>875</v>
      </c>
      <c r="N3756">
        <v>3091</v>
      </c>
      <c r="O3756">
        <v>5</v>
      </c>
      <c r="P3756" t="s">
        <v>34</v>
      </c>
      <c r="Q3756" s="1">
        <v>44301</v>
      </c>
    </row>
    <row r="3757" spans="1:17" x14ac:dyDescent="0.3">
      <c r="A3757" t="s">
        <v>14</v>
      </c>
      <c r="B3757" t="s">
        <v>29</v>
      </c>
      <c r="C3757" t="s">
        <v>37</v>
      </c>
      <c r="D3757" t="s">
        <v>24</v>
      </c>
      <c r="E3757" t="s">
        <v>31</v>
      </c>
      <c r="F3757" s="9">
        <v>0.12</v>
      </c>
      <c r="G3757" s="10">
        <v>16441</v>
      </c>
      <c r="H3757">
        <v>6.07</v>
      </c>
      <c r="I3757" s="5">
        <f>ROUND(Marketing[[#This Row],[Clicks]]*Marketing[[#This Row],[Conversion_Rate]],0)</f>
        <v>18</v>
      </c>
      <c r="J3757" s="12">
        <f>Marketing[[#This Row],[Campaign_Cost]]/Marketing[[#This Row],[Customers]]</f>
        <v>913.38888888888891</v>
      </c>
      <c r="K3757" t="s">
        <v>51</v>
      </c>
      <c r="L3757" t="s">
        <v>50</v>
      </c>
      <c r="M3757">
        <v>149</v>
      </c>
      <c r="N3757">
        <v>8058</v>
      </c>
      <c r="O3757">
        <v>6</v>
      </c>
      <c r="P3757" t="s">
        <v>44</v>
      </c>
      <c r="Q3757" s="1">
        <v>44302</v>
      </c>
    </row>
    <row r="3758" spans="1:17" x14ac:dyDescent="0.3">
      <c r="A3758" t="s">
        <v>28</v>
      </c>
      <c r="B3758" t="s">
        <v>15</v>
      </c>
      <c r="C3758" t="s">
        <v>23</v>
      </c>
      <c r="D3758" t="s">
        <v>46</v>
      </c>
      <c r="E3758" t="s">
        <v>48</v>
      </c>
      <c r="F3758" s="9">
        <v>0.1</v>
      </c>
      <c r="G3758" s="10">
        <v>17854</v>
      </c>
      <c r="H3758">
        <v>2.0299999999999998</v>
      </c>
      <c r="I3758" s="5">
        <f>ROUND(Marketing[[#This Row],[Clicks]]*Marketing[[#This Row],[Conversion_Rate]],0)</f>
        <v>37</v>
      </c>
      <c r="J3758" s="12">
        <f>Marketing[[#This Row],[Campaign_Cost]]/Marketing[[#This Row],[Customers]]</f>
        <v>482.54054054054052</v>
      </c>
      <c r="K3758" t="s">
        <v>38</v>
      </c>
      <c r="L3758" t="s">
        <v>20</v>
      </c>
      <c r="M3758">
        <v>371</v>
      </c>
      <c r="N3758">
        <v>2953</v>
      </c>
      <c r="O3758">
        <v>4</v>
      </c>
      <c r="P3758" t="s">
        <v>27</v>
      </c>
      <c r="Q3758" s="1">
        <v>44303</v>
      </c>
    </row>
    <row r="3759" spans="1:17" x14ac:dyDescent="0.3">
      <c r="A3759" t="s">
        <v>22</v>
      </c>
      <c r="B3759" t="s">
        <v>29</v>
      </c>
      <c r="C3759" t="s">
        <v>52</v>
      </c>
      <c r="D3759" t="s">
        <v>40</v>
      </c>
      <c r="E3759" t="s">
        <v>31</v>
      </c>
      <c r="F3759" s="9">
        <v>0.06</v>
      </c>
      <c r="G3759" s="10">
        <v>5177</v>
      </c>
      <c r="H3759">
        <v>7.51</v>
      </c>
      <c r="I3759" s="5">
        <f>ROUND(Marketing[[#This Row],[Clicks]]*Marketing[[#This Row],[Conversion_Rate]],0)</f>
        <v>18</v>
      </c>
      <c r="J3759" s="12">
        <f>Marketing[[#This Row],[Campaign_Cost]]/Marketing[[#This Row],[Customers]]</f>
        <v>287.61111111111109</v>
      </c>
      <c r="K3759" t="s">
        <v>25</v>
      </c>
      <c r="L3759" t="s">
        <v>33</v>
      </c>
      <c r="M3759">
        <v>292</v>
      </c>
      <c r="N3759">
        <v>2603</v>
      </c>
      <c r="O3759">
        <v>1</v>
      </c>
      <c r="P3759" t="s">
        <v>44</v>
      </c>
      <c r="Q3759" s="1">
        <v>44304</v>
      </c>
    </row>
    <row r="3760" spans="1:17" x14ac:dyDescent="0.3">
      <c r="A3760" t="s">
        <v>14</v>
      </c>
      <c r="B3760" t="s">
        <v>47</v>
      </c>
      <c r="C3760" t="s">
        <v>23</v>
      </c>
      <c r="D3760" t="s">
        <v>40</v>
      </c>
      <c r="E3760" t="s">
        <v>18</v>
      </c>
      <c r="F3760" s="9">
        <v>0.01</v>
      </c>
      <c r="G3760" s="10">
        <v>18085</v>
      </c>
      <c r="H3760">
        <v>6.13</v>
      </c>
      <c r="I3760" s="5">
        <f>ROUND(Marketing[[#This Row],[Clicks]]*Marketing[[#This Row],[Conversion_Rate]],0)</f>
        <v>3</v>
      </c>
      <c r="J3760" s="12">
        <f>Marketing[[#This Row],[Campaign_Cost]]/Marketing[[#This Row],[Customers]]</f>
        <v>6028.333333333333</v>
      </c>
      <c r="K3760" t="s">
        <v>51</v>
      </c>
      <c r="L3760" t="s">
        <v>26</v>
      </c>
      <c r="M3760">
        <v>276</v>
      </c>
      <c r="N3760">
        <v>9017</v>
      </c>
      <c r="O3760">
        <v>7</v>
      </c>
      <c r="P3760" t="s">
        <v>42</v>
      </c>
      <c r="Q3760" s="1">
        <v>44305</v>
      </c>
    </row>
    <row r="3761" spans="1:17" x14ac:dyDescent="0.3">
      <c r="A3761" t="s">
        <v>49</v>
      </c>
      <c r="B3761" t="s">
        <v>47</v>
      </c>
      <c r="C3761" t="s">
        <v>52</v>
      </c>
      <c r="D3761" t="s">
        <v>24</v>
      </c>
      <c r="E3761" t="s">
        <v>48</v>
      </c>
      <c r="F3761" s="9">
        <v>0.09</v>
      </c>
      <c r="G3761" s="10">
        <v>8372</v>
      </c>
      <c r="H3761">
        <v>6.7</v>
      </c>
      <c r="I3761" s="5">
        <f>ROUND(Marketing[[#This Row],[Clicks]]*Marketing[[#This Row],[Conversion_Rate]],0)</f>
        <v>77</v>
      </c>
      <c r="J3761" s="12">
        <f>Marketing[[#This Row],[Campaign_Cost]]/Marketing[[#This Row],[Customers]]</f>
        <v>108.72727272727273</v>
      </c>
      <c r="K3761" t="s">
        <v>51</v>
      </c>
      <c r="L3761" t="s">
        <v>39</v>
      </c>
      <c r="M3761">
        <v>853</v>
      </c>
      <c r="N3761">
        <v>4666</v>
      </c>
      <c r="O3761">
        <v>8</v>
      </c>
      <c r="P3761" t="s">
        <v>21</v>
      </c>
      <c r="Q3761" s="1">
        <v>44306</v>
      </c>
    </row>
    <row r="3762" spans="1:17" x14ac:dyDescent="0.3">
      <c r="A3762" t="s">
        <v>49</v>
      </c>
      <c r="B3762" t="s">
        <v>15</v>
      </c>
      <c r="C3762" t="s">
        <v>23</v>
      </c>
      <c r="D3762" t="s">
        <v>17</v>
      </c>
      <c r="E3762" t="s">
        <v>31</v>
      </c>
      <c r="F3762" s="9">
        <v>0.05</v>
      </c>
      <c r="G3762" s="10">
        <v>11970</v>
      </c>
      <c r="H3762">
        <v>3.54</v>
      </c>
      <c r="I3762" s="5">
        <f>ROUND(Marketing[[#This Row],[Clicks]]*Marketing[[#This Row],[Conversion_Rate]],0)</f>
        <v>36</v>
      </c>
      <c r="J3762" s="12">
        <f>Marketing[[#This Row],[Campaign_Cost]]/Marketing[[#This Row],[Customers]]</f>
        <v>332.5</v>
      </c>
      <c r="K3762" t="s">
        <v>38</v>
      </c>
      <c r="L3762" t="s">
        <v>50</v>
      </c>
      <c r="M3762">
        <v>718</v>
      </c>
      <c r="N3762">
        <v>3559</v>
      </c>
      <c r="O3762">
        <v>8</v>
      </c>
      <c r="P3762" t="s">
        <v>34</v>
      </c>
      <c r="Q3762" s="1">
        <v>44307</v>
      </c>
    </row>
    <row r="3763" spans="1:17" x14ac:dyDescent="0.3">
      <c r="A3763" t="s">
        <v>49</v>
      </c>
      <c r="B3763" t="s">
        <v>45</v>
      </c>
      <c r="C3763" t="s">
        <v>23</v>
      </c>
      <c r="D3763" t="s">
        <v>17</v>
      </c>
      <c r="E3763" t="s">
        <v>41</v>
      </c>
      <c r="F3763" s="9">
        <v>0.08</v>
      </c>
      <c r="G3763" s="10">
        <v>19501</v>
      </c>
      <c r="H3763">
        <v>5.68</v>
      </c>
      <c r="I3763" s="5">
        <f>ROUND(Marketing[[#This Row],[Clicks]]*Marketing[[#This Row],[Conversion_Rate]],0)</f>
        <v>48</v>
      </c>
      <c r="J3763" s="12">
        <f>Marketing[[#This Row],[Campaign_Cost]]/Marketing[[#This Row],[Customers]]</f>
        <v>406.27083333333331</v>
      </c>
      <c r="K3763" t="s">
        <v>19</v>
      </c>
      <c r="L3763" t="s">
        <v>26</v>
      </c>
      <c r="M3763">
        <v>601</v>
      </c>
      <c r="N3763">
        <v>5485</v>
      </c>
      <c r="O3763">
        <v>5</v>
      </c>
      <c r="P3763" t="s">
        <v>21</v>
      </c>
      <c r="Q3763" s="1">
        <v>44308</v>
      </c>
    </row>
    <row r="3764" spans="1:17" x14ac:dyDescent="0.3">
      <c r="A3764" t="s">
        <v>22</v>
      </c>
      <c r="B3764" t="s">
        <v>15</v>
      </c>
      <c r="C3764" t="s">
        <v>16</v>
      </c>
      <c r="D3764" t="s">
        <v>40</v>
      </c>
      <c r="E3764" t="s">
        <v>43</v>
      </c>
      <c r="F3764" s="9">
        <v>7.0000000000000007E-2</v>
      </c>
      <c r="G3764" s="10">
        <v>13206</v>
      </c>
      <c r="H3764">
        <v>6.37</v>
      </c>
      <c r="I3764" s="5">
        <f>ROUND(Marketing[[#This Row],[Clicks]]*Marketing[[#This Row],[Conversion_Rate]],0)</f>
        <v>11</v>
      </c>
      <c r="J3764" s="12">
        <f>Marketing[[#This Row],[Campaign_Cost]]/Marketing[[#This Row],[Customers]]</f>
        <v>1200.5454545454545</v>
      </c>
      <c r="K3764" t="s">
        <v>19</v>
      </c>
      <c r="L3764" t="s">
        <v>20</v>
      </c>
      <c r="M3764">
        <v>153</v>
      </c>
      <c r="N3764">
        <v>8272</v>
      </c>
      <c r="O3764">
        <v>2</v>
      </c>
      <c r="P3764" t="s">
        <v>44</v>
      </c>
      <c r="Q3764" s="1">
        <v>44309</v>
      </c>
    </row>
    <row r="3765" spans="1:17" x14ac:dyDescent="0.3">
      <c r="A3765" t="s">
        <v>49</v>
      </c>
      <c r="B3765" t="s">
        <v>15</v>
      </c>
      <c r="C3765" t="s">
        <v>23</v>
      </c>
      <c r="D3765" t="s">
        <v>17</v>
      </c>
      <c r="E3765" t="s">
        <v>43</v>
      </c>
      <c r="F3765" s="9">
        <v>0.13</v>
      </c>
      <c r="G3765" s="10">
        <v>15729</v>
      </c>
      <c r="H3765">
        <v>3.86</v>
      </c>
      <c r="I3765" s="5">
        <f>ROUND(Marketing[[#This Row],[Clicks]]*Marketing[[#This Row],[Conversion_Rate]],0)</f>
        <v>46</v>
      </c>
      <c r="J3765" s="12">
        <f>Marketing[[#This Row],[Campaign_Cost]]/Marketing[[#This Row],[Customers]]</f>
        <v>341.93478260869563</v>
      </c>
      <c r="K3765" t="s">
        <v>32</v>
      </c>
      <c r="L3765" t="s">
        <v>20</v>
      </c>
      <c r="M3765">
        <v>352</v>
      </c>
      <c r="N3765">
        <v>9857</v>
      </c>
      <c r="O3765">
        <v>4</v>
      </c>
      <c r="P3765" t="s">
        <v>42</v>
      </c>
      <c r="Q3765" s="1">
        <v>44310</v>
      </c>
    </row>
    <row r="3766" spans="1:17" x14ac:dyDescent="0.3">
      <c r="A3766" t="s">
        <v>35</v>
      </c>
      <c r="B3766" t="s">
        <v>36</v>
      </c>
      <c r="C3766" t="s">
        <v>23</v>
      </c>
      <c r="D3766" t="s">
        <v>24</v>
      </c>
      <c r="E3766" t="s">
        <v>48</v>
      </c>
      <c r="F3766" s="9">
        <v>0.13</v>
      </c>
      <c r="G3766" s="10">
        <v>7778</v>
      </c>
      <c r="H3766">
        <v>3.87</v>
      </c>
      <c r="I3766" s="5">
        <f>ROUND(Marketing[[#This Row],[Clicks]]*Marketing[[#This Row],[Conversion_Rate]],0)</f>
        <v>49</v>
      </c>
      <c r="J3766" s="12">
        <f>Marketing[[#This Row],[Campaign_Cost]]/Marketing[[#This Row],[Customers]]</f>
        <v>158.73469387755102</v>
      </c>
      <c r="K3766" t="s">
        <v>38</v>
      </c>
      <c r="L3766" t="s">
        <v>50</v>
      </c>
      <c r="M3766">
        <v>380</v>
      </c>
      <c r="N3766">
        <v>6603</v>
      </c>
      <c r="O3766">
        <v>4</v>
      </c>
      <c r="P3766" t="s">
        <v>44</v>
      </c>
      <c r="Q3766" s="1">
        <v>44311</v>
      </c>
    </row>
    <row r="3767" spans="1:17" x14ac:dyDescent="0.3">
      <c r="A3767" t="s">
        <v>22</v>
      </c>
      <c r="B3767" t="s">
        <v>15</v>
      </c>
      <c r="C3767" t="s">
        <v>37</v>
      </c>
      <c r="D3767" t="s">
        <v>40</v>
      </c>
      <c r="E3767" t="s">
        <v>41</v>
      </c>
      <c r="F3767" s="9">
        <v>0.11</v>
      </c>
      <c r="G3767" s="10">
        <v>7280</v>
      </c>
      <c r="H3767">
        <v>3.82</v>
      </c>
      <c r="I3767" s="5">
        <f>ROUND(Marketing[[#This Row],[Clicks]]*Marketing[[#This Row],[Conversion_Rate]],0)</f>
        <v>72</v>
      </c>
      <c r="J3767" s="12">
        <f>Marketing[[#This Row],[Campaign_Cost]]/Marketing[[#This Row],[Customers]]</f>
        <v>101.11111111111111</v>
      </c>
      <c r="K3767" t="s">
        <v>32</v>
      </c>
      <c r="L3767" t="s">
        <v>39</v>
      </c>
      <c r="M3767">
        <v>650</v>
      </c>
      <c r="N3767">
        <v>9150</v>
      </c>
      <c r="O3767">
        <v>8</v>
      </c>
      <c r="P3767" t="s">
        <v>42</v>
      </c>
      <c r="Q3767" s="1">
        <v>44312</v>
      </c>
    </row>
    <row r="3768" spans="1:17" x14ac:dyDescent="0.3">
      <c r="A3768" t="s">
        <v>22</v>
      </c>
      <c r="B3768" t="s">
        <v>45</v>
      </c>
      <c r="C3768" t="s">
        <v>52</v>
      </c>
      <c r="D3768" t="s">
        <v>46</v>
      </c>
      <c r="E3768" t="s">
        <v>43</v>
      </c>
      <c r="F3768" s="9">
        <v>0.02</v>
      </c>
      <c r="G3768" s="10">
        <v>11359</v>
      </c>
      <c r="H3768">
        <v>5.94</v>
      </c>
      <c r="I3768" s="5">
        <f>ROUND(Marketing[[#This Row],[Clicks]]*Marketing[[#This Row],[Conversion_Rate]],0)</f>
        <v>19</v>
      </c>
      <c r="J3768" s="12">
        <f>Marketing[[#This Row],[Campaign_Cost]]/Marketing[[#This Row],[Customers]]</f>
        <v>597.84210526315792</v>
      </c>
      <c r="K3768" t="s">
        <v>51</v>
      </c>
      <c r="L3768" t="s">
        <v>39</v>
      </c>
      <c r="M3768">
        <v>940</v>
      </c>
      <c r="N3768">
        <v>3890</v>
      </c>
      <c r="O3768">
        <v>4</v>
      </c>
      <c r="P3768" t="s">
        <v>34</v>
      </c>
      <c r="Q3768" s="1">
        <v>44313</v>
      </c>
    </row>
    <row r="3769" spans="1:17" x14ac:dyDescent="0.3">
      <c r="A3769" t="s">
        <v>22</v>
      </c>
      <c r="B3769" t="s">
        <v>29</v>
      </c>
      <c r="C3769" t="s">
        <v>37</v>
      </c>
      <c r="D3769" t="s">
        <v>17</v>
      </c>
      <c r="E3769" t="s">
        <v>18</v>
      </c>
      <c r="F3769" s="9">
        <v>0.02</v>
      </c>
      <c r="G3769" s="10">
        <v>5106</v>
      </c>
      <c r="H3769">
        <v>3.53</v>
      </c>
      <c r="I3769" s="5">
        <f>ROUND(Marketing[[#This Row],[Clicks]]*Marketing[[#This Row],[Conversion_Rate]],0)</f>
        <v>4</v>
      </c>
      <c r="J3769" s="12">
        <f>Marketing[[#This Row],[Campaign_Cost]]/Marketing[[#This Row],[Customers]]</f>
        <v>1276.5</v>
      </c>
      <c r="K3769" t="s">
        <v>19</v>
      </c>
      <c r="L3769" t="s">
        <v>50</v>
      </c>
      <c r="M3769">
        <v>199</v>
      </c>
      <c r="N3769">
        <v>1794</v>
      </c>
      <c r="O3769">
        <v>2</v>
      </c>
      <c r="P3769" t="s">
        <v>34</v>
      </c>
      <c r="Q3769" s="1">
        <v>44314</v>
      </c>
    </row>
    <row r="3770" spans="1:17" x14ac:dyDescent="0.3">
      <c r="A3770" t="s">
        <v>14</v>
      </c>
      <c r="B3770" t="s">
        <v>36</v>
      </c>
      <c r="C3770" t="s">
        <v>37</v>
      </c>
      <c r="D3770" t="s">
        <v>40</v>
      </c>
      <c r="E3770" t="s">
        <v>41</v>
      </c>
      <c r="F3770" s="9">
        <v>0.02</v>
      </c>
      <c r="G3770" s="10">
        <v>13778</v>
      </c>
      <c r="H3770">
        <v>7.06</v>
      </c>
      <c r="I3770" s="5">
        <f>ROUND(Marketing[[#This Row],[Clicks]]*Marketing[[#This Row],[Conversion_Rate]],0)</f>
        <v>13</v>
      </c>
      <c r="J3770" s="12">
        <f>Marketing[[#This Row],[Campaign_Cost]]/Marketing[[#This Row],[Customers]]</f>
        <v>1059.8461538461538</v>
      </c>
      <c r="K3770" t="s">
        <v>38</v>
      </c>
      <c r="L3770" t="s">
        <v>50</v>
      </c>
      <c r="M3770">
        <v>659</v>
      </c>
      <c r="N3770">
        <v>6605</v>
      </c>
      <c r="O3770">
        <v>3</v>
      </c>
      <c r="P3770" t="s">
        <v>44</v>
      </c>
      <c r="Q3770" s="1">
        <v>44315</v>
      </c>
    </row>
    <row r="3771" spans="1:17" x14ac:dyDescent="0.3">
      <c r="A3771" t="s">
        <v>22</v>
      </c>
      <c r="B3771" t="s">
        <v>45</v>
      </c>
      <c r="C3771" t="s">
        <v>37</v>
      </c>
      <c r="D3771" t="s">
        <v>46</v>
      </c>
      <c r="E3771" t="s">
        <v>48</v>
      </c>
      <c r="F3771" s="9">
        <v>0.06</v>
      </c>
      <c r="G3771" s="10">
        <v>18551</v>
      </c>
      <c r="H3771">
        <v>5.69</v>
      </c>
      <c r="I3771" s="5">
        <f>ROUND(Marketing[[#This Row],[Clicks]]*Marketing[[#This Row],[Conversion_Rate]],0)</f>
        <v>22</v>
      </c>
      <c r="J3771" s="12">
        <f>Marketing[[#This Row],[Campaign_Cost]]/Marketing[[#This Row],[Customers]]</f>
        <v>843.22727272727275</v>
      </c>
      <c r="K3771" t="s">
        <v>19</v>
      </c>
      <c r="L3771" t="s">
        <v>26</v>
      </c>
      <c r="M3771">
        <v>370</v>
      </c>
      <c r="N3771">
        <v>8647</v>
      </c>
      <c r="O3771">
        <v>5</v>
      </c>
      <c r="P3771" t="s">
        <v>34</v>
      </c>
      <c r="Q3771" s="1">
        <v>44316</v>
      </c>
    </row>
    <row r="3772" spans="1:17" x14ac:dyDescent="0.3">
      <c r="A3772" t="s">
        <v>22</v>
      </c>
      <c r="B3772" t="s">
        <v>29</v>
      </c>
      <c r="C3772" t="s">
        <v>52</v>
      </c>
      <c r="D3772" t="s">
        <v>17</v>
      </c>
      <c r="E3772" t="s">
        <v>31</v>
      </c>
      <c r="F3772" s="9">
        <v>0.03</v>
      </c>
      <c r="G3772" s="10">
        <v>14615</v>
      </c>
      <c r="H3772">
        <v>2.36</v>
      </c>
      <c r="I3772" s="5">
        <f>ROUND(Marketing[[#This Row],[Clicks]]*Marketing[[#This Row],[Conversion_Rate]],0)</f>
        <v>12</v>
      </c>
      <c r="J3772" s="12">
        <f>Marketing[[#This Row],[Campaign_Cost]]/Marketing[[#This Row],[Customers]]</f>
        <v>1217.9166666666667</v>
      </c>
      <c r="K3772" t="s">
        <v>25</v>
      </c>
      <c r="L3772" t="s">
        <v>26</v>
      </c>
      <c r="M3772">
        <v>399</v>
      </c>
      <c r="N3772">
        <v>3099</v>
      </c>
      <c r="O3772">
        <v>9</v>
      </c>
      <c r="P3772" t="s">
        <v>27</v>
      </c>
      <c r="Q3772" s="1">
        <v>44317</v>
      </c>
    </row>
    <row r="3773" spans="1:17" x14ac:dyDescent="0.3">
      <c r="A3773" t="s">
        <v>14</v>
      </c>
      <c r="B3773" t="s">
        <v>36</v>
      </c>
      <c r="C3773" t="s">
        <v>37</v>
      </c>
      <c r="D3773" t="s">
        <v>40</v>
      </c>
      <c r="E3773" t="s">
        <v>43</v>
      </c>
      <c r="F3773" s="9">
        <v>0.06</v>
      </c>
      <c r="G3773" s="10">
        <v>5641</v>
      </c>
      <c r="H3773">
        <v>6.19</v>
      </c>
      <c r="I3773" s="5">
        <f>ROUND(Marketing[[#This Row],[Clicks]]*Marketing[[#This Row],[Conversion_Rate]],0)</f>
        <v>25</v>
      </c>
      <c r="J3773" s="12">
        <f>Marketing[[#This Row],[Campaign_Cost]]/Marketing[[#This Row],[Customers]]</f>
        <v>225.64</v>
      </c>
      <c r="K3773" t="s">
        <v>38</v>
      </c>
      <c r="L3773" t="s">
        <v>33</v>
      </c>
      <c r="M3773">
        <v>411</v>
      </c>
      <c r="N3773">
        <v>2260</v>
      </c>
      <c r="O3773">
        <v>6</v>
      </c>
      <c r="P3773" t="s">
        <v>34</v>
      </c>
      <c r="Q3773" s="1">
        <v>44318</v>
      </c>
    </row>
    <row r="3774" spans="1:17" x14ac:dyDescent="0.3">
      <c r="A3774" t="s">
        <v>35</v>
      </c>
      <c r="B3774" t="s">
        <v>15</v>
      </c>
      <c r="C3774" t="s">
        <v>37</v>
      </c>
      <c r="D3774" t="s">
        <v>46</v>
      </c>
      <c r="E3774" t="s">
        <v>41</v>
      </c>
      <c r="F3774" s="9">
        <v>0.13</v>
      </c>
      <c r="G3774" s="10">
        <v>7674</v>
      </c>
      <c r="H3774">
        <v>3.17</v>
      </c>
      <c r="I3774" s="5">
        <f>ROUND(Marketing[[#This Row],[Clicks]]*Marketing[[#This Row],[Conversion_Rate]],0)</f>
        <v>94</v>
      </c>
      <c r="J3774" s="12">
        <f>Marketing[[#This Row],[Campaign_Cost]]/Marketing[[#This Row],[Customers]]</f>
        <v>81.638297872340431</v>
      </c>
      <c r="K3774" t="s">
        <v>32</v>
      </c>
      <c r="L3774" t="s">
        <v>50</v>
      </c>
      <c r="M3774">
        <v>721</v>
      </c>
      <c r="N3774">
        <v>6344</v>
      </c>
      <c r="O3774">
        <v>8</v>
      </c>
      <c r="P3774" t="s">
        <v>42</v>
      </c>
      <c r="Q3774" s="1">
        <v>44319</v>
      </c>
    </row>
    <row r="3775" spans="1:17" x14ac:dyDescent="0.3">
      <c r="A3775" t="s">
        <v>14</v>
      </c>
      <c r="B3775" t="s">
        <v>47</v>
      </c>
      <c r="C3775" t="s">
        <v>52</v>
      </c>
      <c r="D3775" t="s">
        <v>40</v>
      </c>
      <c r="E3775" t="s">
        <v>48</v>
      </c>
      <c r="F3775" s="9">
        <v>0.05</v>
      </c>
      <c r="G3775" s="10">
        <v>12889</v>
      </c>
      <c r="H3775">
        <v>4.22</v>
      </c>
      <c r="I3775" s="5">
        <f>ROUND(Marketing[[#This Row],[Clicks]]*Marketing[[#This Row],[Conversion_Rate]],0)</f>
        <v>49</v>
      </c>
      <c r="J3775" s="12">
        <f>Marketing[[#This Row],[Campaign_Cost]]/Marketing[[#This Row],[Customers]]</f>
        <v>263.0408163265306</v>
      </c>
      <c r="K3775" t="s">
        <v>25</v>
      </c>
      <c r="L3775" t="s">
        <v>33</v>
      </c>
      <c r="M3775">
        <v>981</v>
      </c>
      <c r="N3775">
        <v>6060</v>
      </c>
      <c r="O3775">
        <v>7</v>
      </c>
      <c r="P3775" t="s">
        <v>27</v>
      </c>
      <c r="Q3775" s="1">
        <v>44320</v>
      </c>
    </row>
    <row r="3776" spans="1:17" x14ac:dyDescent="0.3">
      <c r="A3776" t="s">
        <v>22</v>
      </c>
      <c r="B3776" t="s">
        <v>36</v>
      </c>
      <c r="C3776" t="s">
        <v>37</v>
      </c>
      <c r="D3776" t="s">
        <v>24</v>
      </c>
      <c r="E3776" t="s">
        <v>41</v>
      </c>
      <c r="F3776" s="9">
        <v>0.08</v>
      </c>
      <c r="G3776" s="10">
        <v>18783</v>
      </c>
      <c r="H3776">
        <v>6.97</v>
      </c>
      <c r="I3776" s="5">
        <f>ROUND(Marketing[[#This Row],[Clicks]]*Marketing[[#This Row],[Conversion_Rate]],0)</f>
        <v>9</v>
      </c>
      <c r="J3776" s="12">
        <f>Marketing[[#This Row],[Campaign_Cost]]/Marketing[[#This Row],[Customers]]</f>
        <v>2087</v>
      </c>
      <c r="K3776" t="s">
        <v>38</v>
      </c>
      <c r="L3776" t="s">
        <v>26</v>
      </c>
      <c r="M3776">
        <v>111</v>
      </c>
      <c r="N3776">
        <v>7258</v>
      </c>
      <c r="O3776">
        <v>10</v>
      </c>
      <c r="P3776" t="s">
        <v>34</v>
      </c>
      <c r="Q3776" s="1">
        <v>44321</v>
      </c>
    </row>
    <row r="3777" spans="1:17" x14ac:dyDescent="0.3">
      <c r="A3777" t="s">
        <v>22</v>
      </c>
      <c r="B3777" t="s">
        <v>47</v>
      </c>
      <c r="C3777" t="s">
        <v>23</v>
      </c>
      <c r="D3777" t="s">
        <v>24</v>
      </c>
      <c r="E3777" t="s">
        <v>31</v>
      </c>
      <c r="F3777" s="9">
        <v>0.05</v>
      </c>
      <c r="G3777" s="10">
        <v>15503</v>
      </c>
      <c r="H3777">
        <v>2.02</v>
      </c>
      <c r="I3777" s="5">
        <f>ROUND(Marketing[[#This Row],[Clicks]]*Marketing[[#This Row],[Conversion_Rate]],0)</f>
        <v>22</v>
      </c>
      <c r="J3777" s="12">
        <f>Marketing[[#This Row],[Campaign_Cost]]/Marketing[[#This Row],[Customers]]</f>
        <v>704.68181818181813</v>
      </c>
      <c r="K3777" t="s">
        <v>25</v>
      </c>
      <c r="L3777" t="s">
        <v>39</v>
      </c>
      <c r="M3777">
        <v>447</v>
      </c>
      <c r="N3777">
        <v>5673</v>
      </c>
      <c r="O3777">
        <v>4</v>
      </c>
      <c r="P3777" t="s">
        <v>44</v>
      </c>
      <c r="Q3777" s="1">
        <v>44322</v>
      </c>
    </row>
    <row r="3778" spans="1:17" x14ac:dyDescent="0.3">
      <c r="A3778" t="s">
        <v>14</v>
      </c>
      <c r="B3778" t="s">
        <v>15</v>
      </c>
      <c r="C3778" t="s">
        <v>23</v>
      </c>
      <c r="D3778" t="s">
        <v>46</v>
      </c>
      <c r="E3778" t="s">
        <v>31</v>
      </c>
      <c r="F3778" s="9">
        <v>0.01</v>
      </c>
      <c r="G3778" s="10">
        <v>9990</v>
      </c>
      <c r="H3778">
        <v>3.87</v>
      </c>
      <c r="I3778" s="5">
        <f>ROUND(Marketing[[#This Row],[Clicks]]*Marketing[[#This Row],[Conversion_Rate]],0)</f>
        <v>5</v>
      </c>
      <c r="J3778" s="12">
        <f>Marketing[[#This Row],[Campaign_Cost]]/Marketing[[#This Row],[Customers]]</f>
        <v>1998</v>
      </c>
      <c r="K3778" t="s">
        <v>51</v>
      </c>
      <c r="L3778" t="s">
        <v>33</v>
      </c>
      <c r="M3778">
        <v>454</v>
      </c>
      <c r="N3778">
        <v>2999</v>
      </c>
      <c r="O3778">
        <v>9</v>
      </c>
      <c r="P3778" t="s">
        <v>21</v>
      </c>
      <c r="Q3778" s="1">
        <v>44323</v>
      </c>
    </row>
    <row r="3779" spans="1:17" x14ac:dyDescent="0.3">
      <c r="A3779" t="s">
        <v>35</v>
      </c>
      <c r="B3779" t="s">
        <v>15</v>
      </c>
      <c r="C3779" t="s">
        <v>30</v>
      </c>
      <c r="D3779" t="s">
        <v>40</v>
      </c>
      <c r="E3779" t="s">
        <v>41</v>
      </c>
      <c r="F3779" s="9">
        <v>0.06</v>
      </c>
      <c r="G3779" s="10">
        <v>6148</v>
      </c>
      <c r="H3779">
        <v>7.26</v>
      </c>
      <c r="I3779" s="5">
        <f>ROUND(Marketing[[#This Row],[Clicks]]*Marketing[[#This Row],[Conversion_Rate]],0)</f>
        <v>16</v>
      </c>
      <c r="J3779" s="12">
        <f>Marketing[[#This Row],[Campaign_Cost]]/Marketing[[#This Row],[Customers]]</f>
        <v>384.25</v>
      </c>
      <c r="K3779" t="s">
        <v>51</v>
      </c>
      <c r="L3779" t="s">
        <v>26</v>
      </c>
      <c r="M3779">
        <v>260</v>
      </c>
      <c r="N3779">
        <v>1133</v>
      </c>
      <c r="O3779">
        <v>3</v>
      </c>
      <c r="P3779" t="s">
        <v>34</v>
      </c>
      <c r="Q3779" s="1">
        <v>44324</v>
      </c>
    </row>
    <row r="3780" spans="1:17" x14ac:dyDescent="0.3">
      <c r="A3780" t="s">
        <v>49</v>
      </c>
      <c r="B3780" t="s">
        <v>47</v>
      </c>
      <c r="C3780" t="s">
        <v>52</v>
      </c>
      <c r="D3780" t="s">
        <v>46</v>
      </c>
      <c r="E3780" t="s">
        <v>31</v>
      </c>
      <c r="F3780" s="9">
        <v>0.06</v>
      </c>
      <c r="G3780" s="10">
        <v>8323</v>
      </c>
      <c r="H3780">
        <v>4.21</v>
      </c>
      <c r="I3780" s="5">
        <f>ROUND(Marketing[[#This Row],[Clicks]]*Marketing[[#This Row],[Conversion_Rate]],0)</f>
        <v>51</v>
      </c>
      <c r="J3780" s="12">
        <f>Marketing[[#This Row],[Campaign_Cost]]/Marketing[[#This Row],[Customers]]</f>
        <v>163.19607843137254</v>
      </c>
      <c r="K3780" t="s">
        <v>32</v>
      </c>
      <c r="L3780" t="s">
        <v>33</v>
      </c>
      <c r="M3780">
        <v>856</v>
      </c>
      <c r="N3780">
        <v>7693</v>
      </c>
      <c r="O3780">
        <v>6</v>
      </c>
      <c r="P3780" t="s">
        <v>21</v>
      </c>
      <c r="Q3780" s="1">
        <v>44325</v>
      </c>
    </row>
    <row r="3781" spans="1:17" x14ac:dyDescent="0.3">
      <c r="A3781" t="s">
        <v>49</v>
      </c>
      <c r="B3781" t="s">
        <v>36</v>
      </c>
      <c r="C3781" t="s">
        <v>37</v>
      </c>
      <c r="D3781" t="s">
        <v>24</v>
      </c>
      <c r="E3781" t="s">
        <v>43</v>
      </c>
      <c r="F3781" s="9">
        <v>0.13</v>
      </c>
      <c r="G3781" s="10">
        <v>8233</v>
      </c>
      <c r="H3781">
        <v>6.5</v>
      </c>
      <c r="I3781" s="5">
        <f>ROUND(Marketing[[#This Row],[Clicks]]*Marketing[[#This Row],[Conversion_Rate]],0)</f>
        <v>51</v>
      </c>
      <c r="J3781" s="12">
        <f>Marketing[[#This Row],[Campaign_Cost]]/Marketing[[#This Row],[Customers]]</f>
        <v>161.43137254901961</v>
      </c>
      <c r="K3781" t="s">
        <v>32</v>
      </c>
      <c r="L3781" t="s">
        <v>20</v>
      </c>
      <c r="M3781">
        <v>396</v>
      </c>
      <c r="N3781">
        <v>8361</v>
      </c>
      <c r="O3781">
        <v>1</v>
      </c>
      <c r="P3781" t="s">
        <v>21</v>
      </c>
      <c r="Q3781" s="1">
        <v>44326</v>
      </c>
    </row>
    <row r="3782" spans="1:17" x14ac:dyDescent="0.3">
      <c r="A3782" t="s">
        <v>14</v>
      </c>
      <c r="B3782" t="s">
        <v>29</v>
      </c>
      <c r="C3782" t="s">
        <v>37</v>
      </c>
      <c r="D3782" t="s">
        <v>17</v>
      </c>
      <c r="E3782" t="s">
        <v>18</v>
      </c>
      <c r="F3782" s="9">
        <v>0.02</v>
      </c>
      <c r="G3782" s="10">
        <v>17328</v>
      </c>
      <c r="H3782">
        <v>6.14</v>
      </c>
      <c r="I3782" s="5">
        <f>ROUND(Marketing[[#This Row],[Clicks]]*Marketing[[#This Row],[Conversion_Rate]],0)</f>
        <v>18</v>
      </c>
      <c r="J3782" s="12">
        <f>Marketing[[#This Row],[Campaign_Cost]]/Marketing[[#This Row],[Customers]]</f>
        <v>962.66666666666663</v>
      </c>
      <c r="K3782" t="s">
        <v>25</v>
      </c>
      <c r="L3782" t="s">
        <v>39</v>
      </c>
      <c r="M3782">
        <v>913</v>
      </c>
      <c r="N3782">
        <v>1552</v>
      </c>
      <c r="O3782">
        <v>6</v>
      </c>
      <c r="P3782" t="s">
        <v>44</v>
      </c>
      <c r="Q3782" s="1">
        <v>44327</v>
      </c>
    </row>
    <row r="3783" spans="1:17" x14ac:dyDescent="0.3">
      <c r="A3783" t="s">
        <v>22</v>
      </c>
      <c r="B3783" t="s">
        <v>36</v>
      </c>
      <c r="C3783" t="s">
        <v>23</v>
      </c>
      <c r="D3783" t="s">
        <v>46</v>
      </c>
      <c r="E3783" t="s">
        <v>48</v>
      </c>
      <c r="F3783" s="9">
        <v>0.06</v>
      </c>
      <c r="G3783" s="10">
        <v>18621</v>
      </c>
      <c r="H3783">
        <v>3.48</v>
      </c>
      <c r="I3783" s="5">
        <f>ROUND(Marketing[[#This Row],[Clicks]]*Marketing[[#This Row],[Conversion_Rate]],0)</f>
        <v>59</v>
      </c>
      <c r="J3783" s="12">
        <f>Marketing[[#This Row],[Campaign_Cost]]/Marketing[[#This Row],[Customers]]</f>
        <v>315.61016949152543</v>
      </c>
      <c r="K3783" t="s">
        <v>32</v>
      </c>
      <c r="L3783" t="s">
        <v>50</v>
      </c>
      <c r="M3783">
        <v>978</v>
      </c>
      <c r="N3783">
        <v>2119</v>
      </c>
      <c r="O3783">
        <v>6</v>
      </c>
      <c r="P3783" t="s">
        <v>44</v>
      </c>
      <c r="Q3783" s="1">
        <v>44328</v>
      </c>
    </row>
    <row r="3784" spans="1:17" x14ac:dyDescent="0.3">
      <c r="A3784" t="s">
        <v>22</v>
      </c>
      <c r="B3784" t="s">
        <v>47</v>
      </c>
      <c r="C3784" t="s">
        <v>37</v>
      </c>
      <c r="D3784" t="s">
        <v>46</v>
      </c>
      <c r="E3784" t="s">
        <v>18</v>
      </c>
      <c r="F3784" s="9">
        <v>0.05</v>
      </c>
      <c r="G3784" s="10">
        <v>12636</v>
      </c>
      <c r="H3784">
        <v>3.14</v>
      </c>
      <c r="I3784" s="5">
        <f>ROUND(Marketing[[#This Row],[Clicks]]*Marketing[[#This Row],[Conversion_Rate]],0)</f>
        <v>25</v>
      </c>
      <c r="J3784" s="12">
        <f>Marketing[[#This Row],[Campaign_Cost]]/Marketing[[#This Row],[Customers]]</f>
        <v>505.44</v>
      </c>
      <c r="K3784" t="s">
        <v>19</v>
      </c>
      <c r="L3784" t="s">
        <v>33</v>
      </c>
      <c r="M3784">
        <v>505</v>
      </c>
      <c r="N3784">
        <v>1676</v>
      </c>
      <c r="O3784">
        <v>9</v>
      </c>
      <c r="P3784" t="s">
        <v>44</v>
      </c>
      <c r="Q3784" s="1">
        <v>44329</v>
      </c>
    </row>
    <row r="3785" spans="1:17" x14ac:dyDescent="0.3">
      <c r="A3785" t="s">
        <v>49</v>
      </c>
      <c r="B3785" t="s">
        <v>45</v>
      </c>
      <c r="C3785" t="s">
        <v>30</v>
      </c>
      <c r="D3785" t="s">
        <v>40</v>
      </c>
      <c r="E3785" t="s">
        <v>43</v>
      </c>
      <c r="F3785" s="9">
        <v>0.13</v>
      </c>
      <c r="G3785" s="10">
        <v>8486</v>
      </c>
      <c r="H3785">
        <v>2.54</v>
      </c>
      <c r="I3785" s="5">
        <f>ROUND(Marketing[[#This Row],[Clicks]]*Marketing[[#This Row],[Conversion_Rate]],0)</f>
        <v>125</v>
      </c>
      <c r="J3785" s="12">
        <f>Marketing[[#This Row],[Campaign_Cost]]/Marketing[[#This Row],[Customers]]</f>
        <v>67.888000000000005</v>
      </c>
      <c r="K3785" t="s">
        <v>25</v>
      </c>
      <c r="L3785" t="s">
        <v>39</v>
      </c>
      <c r="M3785">
        <v>961</v>
      </c>
      <c r="N3785">
        <v>4894</v>
      </c>
      <c r="O3785">
        <v>5</v>
      </c>
      <c r="P3785" t="s">
        <v>34</v>
      </c>
      <c r="Q3785" s="1">
        <v>44330</v>
      </c>
    </row>
    <row r="3786" spans="1:17" x14ac:dyDescent="0.3">
      <c r="A3786" t="s">
        <v>28</v>
      </c>
      <c r="B3786" t="s">
        <v>29</v>
      </c>
      <c r="C3786" t="s">
        <v>16</v>
      </c>
      <c r="D3786" t="s">
        <v>46</v>
      </c>
      <c r="E3786" t="s">
        <v>15</v>
      </c>
      <c r="F3786" s="9">
        <v>0.1</v>
      </c>
      <c r="G3786" s="10">
        <v>19277</v>
      </c>
      <c r="H3786">
        <v>5.45</v>
      </c>
      <c r="I3786" s="5">
        <f>ROUND(Marketing[[#This Row],[Clicks]]*Marketing[[#This Row],[Conversion_Rate]],0)</f>
        <v>79</v>
      </c>
      <c r="J3786" s="12">
        <f>Marketing[[#This Row],[Campaign_Cost]]/Marketing[[#This Row],[Customers]]</f>
        <v>244.01265822784811</v>
      </c>
      <c r="K3786" t="s">
        <v>19</v>
      </c>
      <c r="L3786" t="s">
        <v>33</v>
      </c>
      <c r="M3786">
        <v>787</v>
      </c>
      <c r="N3786">
        <v>7111</v>
      </c>
      <c r="O3786">
        <v>10</v>
      </c>
      <c r="P3786" t="s">
        <v>27</v>
      </c>
      <c r="Q3786" s="1">
        <v>44331</v>
      </c>
    </row>
    <row r="3787" spans="1:17" x14ac:dyDescent="0.3">
      <c r="A3787" t="s">
        <v>14</v>
      </c>
      <c r="B3787" t="s">
        <v>45</v>
      </c>
      <c r="C3787" t="s">
        <v>52</v>
      </c>
      <c r="D3787" t="s">
        <v>17</v>
      </c>
      <c r="E3787" t="s">
        <v>15</v>
      </c>
      <c r="F3787" s="9">
        <v>0.14000000000000001</v>
      </c>
      <c r="G3787" s="10">
        <v>13229</v>
      </c>
      <c r="H3787">
        <v>3.17</v>
      </c>
      <c r="I3787" s="5">
        <f>ROUND(Marketing[[#This Row],[Clicks]]*Marketing[[#This Row],[Conversion_Rate]],0)</f>
        <v>72</v>
      </c>
      <c r="J3787" s="12">
        <f>Marketing[[#This Row],[Campaign_Cost]]/Marketing[[#This Row],[Customers]]</f>
        <v>183.73611111111111</v>
      </c>
      <c r="K3787" t="s">
        <v>25</v>
      </c>
      <c r="L3787" t="s">
        <v>33</v>
      </c>
      <c r="M3787">
        <v>511</v>
      </c>
      <c r="N3787">
        <v>3698</v>
      </c>
      <c r="O3787">
        <v>8</v>
      </c>
      <c r="P3787" t="s">
        <v>27</v>
      </c>
      <c r="Q3787" s="1">
        <v>44332</v>
      </c>
    </row>
    <row r="3788" spans="1:17" x14ac:dyDescent="0.3">
      <c r="A3788" t="s">
        <v>28</v>
      </c>
      <c r="B3788" t="s">
        <v>15</v>
      </c>
      <c r="C3788" t="s">
        <v>37</v>
      </c>
      <c r="D3788" t="s">
        <v>46</v>
      </c>
      <c r="E3788" t="s">
        <v>48</v>
      </c>
      <c r="F3788" s="9">
        <v>0.02</v>
      </c>
      <c r="G3788" s="10">
        <v>15875</v>
      </c>
      <c r="H3788">
        <v>3.31</v>
      </c>
      <c r="I3788" s="5">
        <f>ROUND(Marketing[[#This Row],[Clicks]]*Marketing[[#This Row],[Conversion_Rate]],0)</f>
        <v>18</v>
      </c>
      <c r="J3788" s="12">
        <f>Marketing[[#This Row],[Campaign_Cost]]/Marketing[[#This Row],[Customers]]</f>
        <v>881.94444444444446</v>
      </c>
      <c r="K3788" t="s">
        <v>51</v>
      </c>
      <c r="L3788" t="s">
        <v>50</v>
      </c>
      <c r="M3788">
        <v>890</v>
      </c>
      <c r="N3788">
        <v>7703</v>
      </c>
      <c r="O3788">
        <v>1</v>
      </c>
      <c r="P3788" t="s">
        <v>42</v>
      </c>
      <c r="Q3788" s="1">
        <v>44333</v>
      </c>
    </row>
    <row r="3789" spans="1:17" x14ac:dyDescent="0.3">
      <c r="A3789" t="s">
        <v>22</v>
      </c>
      <c r="B3789" t="s">
        <v>15</v>
      </c>
      <c r="C3789" t="s">
        <v>16</v>
      </c>
      <c r="D3789" t="s">
        <v>24</v>
      </c>
      <c r="E3789" t="s">
        <v>43</v>
      </c>
      <c r="F3789" s="9">
        <v>0.14000000000000001</v>
      </c>
      <c r="G3789" s="10">
        <v>6189</v>
      </c>
      <c r="H3789">
        <v>2.82</v>
      </c>
      <c r="I3789" s="5">
        <f>ROUND(Marketing[[#This Row],[Clicks]]*Marketing[[#This Row],[Conversion_Rate]],0)</f>
        <v>27</v>
      </c>
      <c r="J3789" s="12">
        <f>Marketing[[#This Row],[Campaign_Cost]]/Marketing[[#This Row],[Customers]]</f>
        <v>229.22222222222223</v>
      </c>
      <c r="K3789" t="s">
        <v>38</v>
      </c>
      <c r="L3789" t="s">
        <v>33</v>
      </c>
      <c r="M3789">
        <v>195</v>
      </c>
      <c r="N3789">
        <v>8406</v>
      </c>
      <c r="O3789">
        <v>1</v>
      </c>
      <c r="P3789" t="s">
        <v>42</v>
      </c>
      <c r="Q3789" s="1">
        <v>44334</v>
      </c>
    </row>
    <row r="3790" spans="1:17" x14ac:dyDescent="0.3">
      <c r="A3790" t="s">
        <v>49</v>
      </c>
      <c r="B3790" t="s">
        <v>45</v>
      </c>
      <c r="C3790" t="s">
        <v>30</v>
      </c>
      <c r="D3790" t="s">
        <v>40</v>
      </c>
      <c r="E3790" t="s">
        <v>43</v>
      </c>
      <c r="F3790" s="9">
        <v>0.04</v>
      </c>
      <c r="G3790" s="10">
        <v>7810</v>
      </c>
      <c r="H3790">
        <v>7.72</v>
      </c>
      <c r="I3790" s="5">
        <f>ROUND(Marketing[[#This Row],[Clicks]]*Marketing[[#This Row],[Conversion_Rate]],0)</f>
        <v>14</v>
      </c>
      <c r="J3790" s="12">
        <f>Marketing[[#This Row],[Campaign_Cost]]/Marketing[[#This Row],[Customers]]</f>
        <v>557.85714285714289</v>
      </c>
      <c r="K3790" t="s">
        <v>25</v>
      </c>
      <c r="L3790" t="s">
        <v>26</v>
      </c>
      <c r="M3790">
        <v>360</v>
      </c>
      <c r="N3790">
        <v>1695</v>
      </c>
      <c r="O3790">
        <v>9</v>
      </c>
      <c r="P3790" t="s">
        <v>44</v>
      </c>
      <c r="Q3790" s="1">
        <v>44335</v>
      </c>
    </row>
    <row r="3791" spans="1:17" x14ac:dyDescent="0.3">
      <c r="A3791" t="s">
        <v>35</v>
      </c>
      <c r="B3791" t="s">
        <v>29</v>
      </c>
      <c r="C3791" t="s">
        <v>37</v>
      </c>
      <c r="D3791" t="s">
        <v>40</v>
      </c>
      <c r="E3791" t="s">
        <v>43</v>
      </c>
      <c r="F3791" s="9">
        <v>0.09</v>
      </c>
      <c r="G3791" s="10">
        <v>12158</v>
      </c>
      <c r="H3791">
        <v>7.91</v>
      </c>
      <c r="I3791" s="5">
        <f>ROUND(Marketing[[#This Row],[Clicks]]*Marketing[[#This Row],[Conversion_Rate]],0)</f>
        <v>70</v>
      </c>
      <c r="J3791" s="12">
        <f>Marketing[[#This Row],[Campaign_Cost]]/Marketing[[#This Row],[Customers]]</f>
        <v>173.68571428571428</v>
      </c>
      <c r="K3791" t="s">
        <v>32</v>
      </c>
      <c r="L3791" t="s">
        <v>39</v>
      </c>
      <c r="M3791">
        <v>773</v>
      </c>
      <c r="N3791">
        <v>2232</v>
      </c>
      <c r="O3791">
        <v>8</v>
      </c>
      <c r="P3791" t="s">
        <v>44</v>
      </c>
      <c r="Q3791" s="1">
        <v>44336</v>
      </c>
    </row>
    <row r="3792" spans="1:17" x14ac:dyDescent="0.3">
      <c r="A3792" t="s">
        <v>35</v>
      </c>
      <c r="B3792" t="s">
        <v>36</v>
      </c>
      <c r="C3792" t="s">
        <v>52</v>
      </c>
      <c r="D3792" t="s">
        <v>24</v>
      </c>
      <c r="E3792" t="s">
        <v>41</v>
      </c>
      <c r="F3792" s="9">
        <v>0.11</v>
      </c>
      <c r="G3792" s="10">
        <v>7137</v>
      </c>
      <c r="H3792">
        <v>5.44</v>
      </c>
      <c r="I3792" s="5">
        <f>ROUND(Marketing[[#This Row],[Clicks]]*Marketing[[#This Row],[Conversion_Rate]],0)</f>
        <v>59</v>
      </c>
      <c r="J3792" s="12">
        <f>Marketing[[#This Row],[Campaign_Cost]]/Marketing[[#This Row],[Customers]]</f>
        <v>120.96610169491525</v>
      </c>
      <c r="K3792" t="s">
        <v>25</v>
      </c>
      <c r="L3792" t="s">
        <v>26</v>
      </c>
      <c r="M3792">
        <v>534</v>
      </c>
      <c r="N3792">
        <v>7115</v>
      </c>
      <c r="O3792">
        <v>6</v>
      </c>
      <c r="P3792" t="s">
        <v>34</v>
      </c>
      <c r="Q3792" s="1">
        <v>44337</v>
      </c>
    </row>
    <row r="3793" spans="1:17" x14ac:dyDescent="0.3">
      <c r="A3793" t="s">
        <v>35</v>
      </c>
      <c r="B3793" t="s">
        <v>47</v>
      </c>
      <c r="C3793" t="s">
        <v>30</v>
      </c>
      <c r="D3793" t="s">
        <v>46</v>
      </c>
      <c r="E3793" t="s">
        <v>31</v>
      </c>
      <c r="F3793" s="9">
        <v>0.09</v>
      </c>
      <c r="G3793" s="10">
        <v>5655</v>
      </c>
      <c r="H3793">
        <v>2.52</v>
      </c>
      <c r="I3793" s="5">
        <f>ROUND(Marketing[[#This Row],[Clicks]]*Marketing[[#This Row],[Conversion_Rate]],0)</f>
        <v>42</v>
      </c>
      <c r="J3793" s="12">
        <f>Marketing[[#This Row],[Campaign_Cost]]/Marketing[[#This Row],[Customers]]</f>
        <v>134.64285714285714</v>
      </c>
      <c r="K3793" t="s">
        <v>38</v>
      </c>
      <c r="L3793" t="s">
        <v>39</v>
      </c>
      <c r="M3793">
        <v>470</v>
      </c>
      <c r="N3793">
        <v>7445</v>
      </c>
      <c r="O3793">
        <v>7</v>
      </c>
      <c r="P3793" t="s">
        <v>42</v>
      </c>
      <c r="Q3793" s="1">
        <v>44338</v>
      </c>
    </row>
    <row r="3794" spans="1:17" x14ac:dyDescent="0.3">
      <c r="A3794" t="s">
        <v>49</v>
      </c>
      <c r="B3794" t="s">
        <v>15</v>
      </c>
      <c r="C3794" t="s">
        <v>23</v>
      </c>
      <c r="D3794" t="s">
        <v>40</v>
      </c>
      <c r="E3794" t="s">
        <v>43</v>
      </c>
      <c r="F3794" s="9">
        <v>0.09</v>
      </c>
      <c r="G3794" s="10">
        <v>9705</v>
      </c>
      <c r="H3794">
        <v>6.32</v>
      </c>
      <c r="I3794" s="5">
        <f>ROUND(Marketing[[#This Row],[Clicks]]*Marketing[[#This Row],[Conversion_Rate]],0)</f>
        <v>77</v>
      </c>
      <c r="J3794" s="12">
        <f>Marketing[[#This Row],[Campaign_Cost]]/Marketing[[#This Row],[Customers]]</f>
        <v>126.03896103896103</v>
      </c>
      <c r="K3794" t="s">
        <v>38</v>
      </c>
      <c r="L3794" t="s">
        <v>50</v>
      </c>
      <c r="M3794">
        <v>850</v>
      </c>
      <c r="N3794">
        <v>9190</v>
      </c>
      <c r="O3794">
        <v>3</v>
      </c>
      <c r="P3794" t="s">
        <v>44</v>
      </c>
      <c r="Q3794" s="1">
        <v>44339</v>
      </c>
    </row>
    <row r="3795" spans="1:17" x14ac:dyDescent="0.3">
      <c r="A3795" t="s">
        <v>22</v>
      </c>
      <c r="B3795" t="s">
        <v>36</v>
      </c>
      <c r="C3795" t="s">
        <v>30</v>
      </c>
      <c r="D3795" t="s">
        <v>17</v>
      </c>
      <c r="E3795" t="s">
        <v>18</v>
      </c>
      <c r="F3795" s="9">
        <v>0.06</v>
      </c>
      <c r="G3795" s="10">
        <v>12107</v>
      </c>
      <c r="H3795">
        <v>5.72</v>
      </c>
      <c r="I3795" s="5">
        <f>ROUND(Marketing[[#This Row],[Clicks]]*Marketing[[#This Row],[Conversion_Rate]],0)</f>
        <v>30</v>
      </c>
      <c r="J3795" s="12">
        <f>Marketing[[#This Row],[Campaign_Cost]]/Marketing[[#This Row],[Customers]]</f>
        <v>403.56666666666666</v>
      </c>
      <c r="K3795" t="s">
        <v>32</v>
      </c>
      <c r="L3795" t="s">
        <v>33</v>
      </c>
      <c r="M3795">
        <v>497</v>
      </c>
      <c r="N3795">
        <v>2495</v>
      </c>
      <c r="O3795">
        <v>1</v>
      </c>
      <c r="P3795" t="s">
        <v>42</v>
      </c>
      <c r="Q3795" s="1">
        <v>44340</v>
      </c>
    </row>
    <row r="3796" spans="1:17" x14ac:dyDescent="0.3">
      <c r="A3796" t="s">
        <v>28</v>
      </c>
      <c r="B3796" t="s">
        <v>29</v>
      </c>
      <c r="C3796" t="s">
        <v>30</v>
      </c>
      <c r="D3796" t="s">
        <v>46</v>
      </c>
      <c r="E3796" t="s">
        <v>31</v>
      </c>
      <c r="F3796" s="9">
        <v>0.03</v>
      </c>
      <c r="G3796" s="10">
        <v>12396</v>
      </c>
      <c r="H3796">
        <v>6.53</v>
      </c>
      <c r="I3796" s="5">
        <f>ROUND(Marketing[[#This Row],[Clicks]]*Marketing[[#This Row],[Conversion_Rate]],0)</f>
        <v>28</v>
      </c>
      <c r="J3796" s="12">
        <f>Marketing[[#This Row],[Campaign_Cost]]/Marketing[[#This Row],[Customers]]</f>
        <v>442.71428571428572</v>
      </c>
      <c r="K3796" t="s">
        <v>32</v>
      </c>
      <c r="L3796" t="s">
        <v>20</v>
      </c>
      <c r="M3796">
        <v>919</v>
      </c>
      <c r="N3796">
        <v>9801</v>
      </c>
      <c r="O3796">
        <v>7</v>
      </c>
      <c r="P3796" t="s">
        <v>44</v>
      </c>
      <c r="Q3796" s="1">
        <v>44341</v>
      </c>
    </row>
    <row r="3797" spans="1:17" x14ac:dyDescent="0.3">
      <c r="A3797" t="s">
        <v>28</v>
      </c>
      <c r="B3797" t="s">
        <v>47</v>
      </c>
      <c r="C3797" t="s">
        <v>30</v>
      </c>
      <c r="D3797" t="s">
        <v>24</v>
      </c>
      <c r="E3797" t="s">
        <v>18</v>
      </c>
      <c r="F3797" s="9">
        <v>0.04</v>
      </c>
      <c r="G3797" s="10">
        <v>7790</v>
      </c>
      <c r="H3797">
        <v>5.43</v>
      </c>
      <c r="I3797" s="5">
        <f>ROUND(Marketing[[#This Row],[Clicks]]*Marketing[[#This Row],[Conversion_Rate]],0)</f>
        <v>18</v>
      </c>
      <c r="J3797" s="12">
        <f>Marketing[[#This Row],[Campaign_Cost]]/Marketing[[#This Row],[Customers]]</f>
        <v>432.77777777777777</v>
      </c>
      <c r="K3797" t="s">
        <v>25</v>
      </c>
      <c r="L3797" t="s">
        <v>20</v>
      </c>
      <c r="M3797">
        <v>440</v>
      </c>
      <c r="N3797">
        <v>4463</v>
      </c>
      <c r="O3797">
        <v>5</v>
      </c>
      <c r="P3797" t="s">
        <v>42</v>
      </c>
      <c r="Q3797" s="1">
        <v>44342</v>
      </c>
    </row>
    <row r="3798" spans="1:17" x14ac:dyDescent="0.3">
      <c r="A3798" t="s">
        <v>49</v>
      </c>
      <c r="B3798" t="s">
        <v>15</v>
      </c>
      <c r="C3798" t="s">
        <v>16</v>
      </c>
      <c r="D3798" t="s">
        <v>40</v>
      </c>
      <c r="E3798" t="s">
        <v>48</v>
      </c>
      <c r="F3798" s="9">
        <v>0.09</v>
      </c>
      <c r="G3798" s="10">
        <v>17104</v>
      </c>
      <c r="H3798">
        <v>6.23</v>
      </c>
      <c r="I3798" s="5">
        <f>ROUND(Marketing[[#This Row],[Clicks]]*Marketing[[#This Row],[Conversion_Rate]],0)</f>
        <v>14</v>
      </c>
      <c r="J3798" s="12">
        <f>Marketing[[#This Row],[Campaign_Cost]]/Marketing[[#This Row],[Customers]]</f>
        <v>1221.7142857142858</v>
      </c>
      <c r="K3798" t="s">
        <v>19</v>
      </c>
      <c r="L3798" t="s">
        <v>50</v>
      </c>
      <c r="M3798">
        <v>152</v>
      </c>
      <c r="N3798">
        <v>6529</v>
      </c>
      <c r="O3798">
        <v>8</v>
      </c>
      <c r="P3798" t="s">
        <v>27</v>
      </c>
      <c r="Q3798" s="1">
        <v>44343</v>
      </c>
    </row>
    <row r="3799" spans="1:17" x14ac:dyDescent="0.3">
      <c r="A3799" t="s">
        <v>28</v>
      </c>
      <c r="B3799" t="s">
        <v>45</v>
      </c>
      <c r="C3799" t="s">
        <v>23</v>
      </c>
      <c r="D3799" t="s">
        <v>24</v>
      </c>
      <c r="E3799" t="s">
        <v>43</v>
      </c>
      <c r="F3799" s="9">
        <v>0.12</v>
      </c>
      <c r="G3799" s="10">
        <v>6722</v>
      </c>
      <c r="H3799">
        <v>3.37</v>
      </c>
      <c r="I3799" s="5">
        <f>ROUND(Marketing[[#This Row],[Clicks]]*Marketing[[#This Row],[Conversion_Rate]],0)</f>
        <v>63</v>
      </c>
      <c r="J3799" s="12">
        <f>Marketing[[#This Row],[Campaign_Cost]]/Marketing[[#This Row],[Customers]]</f>
        <v>106.6984126984127</v>
      </c>
      <c r="K3799" t="s">
        <v>32</v>
      </c>
      <c r="L3799" t="s">
        <v>33</v>
      </c>
      <c r="M3799">
        <v>522</v>
      </c>
      <c r="N3799">
        <v>3102</v>
      </c>
      <c r="O3799">
        <v>2</v>
      </c>
      <c r="P3799" t="s">
        <v>44</v>
      </c>
      <c r="Q3799" s="1">
        <v>44344</v>
      </c>
    </row>
    <row r="3800" spans="1:17" x14ac:dyDescent="0.3">
      <c r="A3800" t="s">
        <v>14</v>
      </c>
      <c r="B3800" t="s">
        <v>47</v>
      </c>
      <c r="C3800" t="s">
        <v>23</v>
      </c>
      <c r="D3800" t="s">
        <v>17</v>
      </c>
      <c r="E3800" t="s">
        <v>43</v>
      </c>
      <c r="F3800" s="9">
        <v>0.08</v>
      </c>
      <c r="G3800" s="10">
        <v>5250</v>
      </c>
      <c r="H3800">
        <v>3.51</v>
      </c>
      <c r="I3800" s="5">
        <f>ROUND(Marketing[[#This Row],[Clicks]]*Marketing[[#This Row],[Conversion_Rate]],0)</f>
        <v>29</v>
      </c>
      <c r="J3800" s="12">
        <f>Marketing[[#This Row],[Campaign_Cost]]/Marketing[[#This Row],[Customers]]</f>
        <v>181.0344827586207</v>
      </c>
      <c r="K3800" t="s">
        <v>32</v>
      </c>
      <c r="L3800" t="s">
        <v>39</v>
      </c>
      <c r="M3800">
        <v>364</v>
      </c>
      <c r="N3800">
        <v>6235</v>
      </c>
      <c r="O3800">
        <v>9</v>
      </c>
      <c r="P3800" t="s">
        <v>34</v>
      </c>
      <c r="Q3800" s="1">
        <v>44345</v>
      </c>
    </row>
    <row r="3801" spans="1:17" x14ac:dyDescent="0.3">
      <c r="A3801" t="s">
        <v>49</v>
      </c>
      <c r="B3801" t="s">
        <v>47</v>
      </c>
      <c r="C3801" t="s">
        <v>30</v>
      </c>
      <c r="D3801" t="s">
        <v>24</v>
      </c>
      <c r="E3801" t="s">
        <v>31</v>
      </c>
      <c r="F3801" s="9">
        <v>0.11</v>
      </c>
      <c r="G3801" s="10">
        <v>12673</v>
      </c>
      <c r="H3801">
        <v>4.95</v>
      </c>
      <c r="I3801" s="5">
        <f>ROUND(Marketing[[#This Row],[Clicks]]*Marketing[[#This Row],[Conversion_Rate]],0)</f>
        <v>109</v>
      </c>
      <c r="J3801" s="12">
        <f>Marketing[[#This Row],[Campaign_Cost]]/Marketing[[#This Row],[Customers]]</f>
        <v>116.26605504587155</v>
      </c>
      <c r="K3801" t="s">
        <v>38</v>
      </c>
      <c r="L3801" t="s">
        <v>20</v>
      </c>
      <c r="M3801">
        <v>988</v>
      </c>
      <c r="N3801">
        <v>9770</v>
      </c>
      <c r="O3801">
        <v>3</v>
      </c>
      <c r="P3801" t="s">
        <v>21</v>
      </c>
      <c r="Q3801" s="1">
        <v>44346</v>
      </c>
    </row>
    <row r="3802" spans="1:17" x14ac:dyDescent="0.3">
      <c r="A3802" t="s">
        <v>22</v>
      </c>
      <c r="B3802" t="s">
        <v>15</v>
      </c>
      <c r="C3802" t="s">
        <v>23</v>
      </c>
      <c r="D3802" t="s">
        <v>40</v>
      </c>
      <c r="E3802" t="s">
        <v>15</v>
      </c>
      <c r="F3802" s="9">
        <v>0.03</v>
      </c>
      <c r="G3802" s="10">
        <v>15337</v>
      </c>
      <c r="H3802">
        <v>3.75</v>
      </c>
      <c r="I3802" s="5">
        <f>ROUND(Marketing[[#This Row],[Clicks]]*Marketing[[#This Row],[Conversion_Rate]],0)</f>
        <v>13</v>
      </c>
      <c r="J3802" s="12">
        <f>Marketing[[#This Row],[Campaign_Cost]]/Marketing[[#This Row],[Customers]]</f>
        <v>1179.7692307692307</v>
      </c>
      <c r="K3802" t="s">
        <v>32</v>
      </c>
      <c r="L3802" t="s">
        <v>33</v>
      </c>
      <c r="M3802">
        <v>449</v>
      </c>
      <c r="N3802">
        <v>2082</v>
      </c>
      <c r="O3802">
        <v>8</v>
      </c>
      <c r="P3802" t="s">
        <v>21</v>
      </c>
      <c r="Q3802" s="1">
        <v>44347</v>
      </c>
    </row>
    <row r="3803" spans="1:17" x14ac:dyDescent="0.3">
      <c r="A3803" t="s">
        <v>14</v>
      </c>
      <c r="B3803" t="s">
        <v>47</v>
      </c>
      <c r="C3803" t="s">
        <v>52</v>
      </c>
      <c r="D3803" t="s">
        <v>46</v>
      </c>
      <c r="E3803" t="s">
        <v>43</v>
      </c>
      <c r="F3803" s="9">
        <v>0.1</v>
      </c>
      <c r="G3803" s="10">
        <v>14924</v>
      </c>
      <c r="H3803">
        <v>7.65</v>
      </c>
      <c r="I3803" s="5">
        <f>ROUND(Marketing[[#This Row],[Clicks]]*Marketing[[#This Row],[Conversion_Rate]],0)</f>
        <v>91</v>
      </c>
      <c r="J3803" s="12">
        <f>Marketing[[#This Row],[Campaign_Cost]]/Marketing[[#This Row],[Customers]]</f>
        <v>164</v>
      </c>
      <c r="K3803" t="s">
        <v>38</v>
      </c>
      <c r="L3803" t="s">
        <v>20</v>
      </c>
      <c r="M3803">
        <v>905</v>
      </c>
      <c r="N3803">
        <v>4083</v>
      </c>
      <c r="O3803">
        <v>9</v>
      </c>
      <c r="P3803" t="s">
        <v>42</v>
      </c>
      <c r="Q3803" s="1">
        <v>44348</v>
      </c>
    </row>
    <row r="3804" spans="1:17" x14ac:dyDescent="0.3">
      <c r="A3804" t="s">
        <v>28</v>
      </c>
      <c r="B3804" t="s">
        <v>15</v>
      </c>
      <c r="C3804" t="s">
        <v>30</v>
      </c>
      <c r="D3804" t="s">
        <v>46</v>
      </c>
      <c r="E3804" t="s">
        <v>48</v>
      </c>
      <c r="F3804" s="9">
        <v>0.06</v>
      </c>
      <c r="G3804" s="10">
        <v>9639</v>
      </c>
      <c r="H3804">
        <v>2.0699999999999998</v>
      </c>
      <c r="I3804" s="5">
        <f>ROUND(Marketing[[#This Row],[Clicks]]*Marketing[[#This Row],[Conversion_Rate]],0)</f>
        <v>47</v>
      </c>
      <c r="J3804" s="12">
        <f>Marketing[[#This Row],[Campaign_Cost]]/Marketing[[#This Row],[Customers]]</f>
        <v>205.08510638297872</v>
      </c>
      <c r="K3804" t="s">
        <v>19</v>
      </c>
      <c r="L3804" t="s">
        <v>33</v>
      </c>
      <c r="M3804">
        <v>790</v>
      </c>
      <c r="N3804">
        <v>5696</v>
      </c>
      <c r="O3804">
        <v>3</v>
      </c>
      <c r="P3804" t="s">
        <v>21</v>
      </c>
      <c r="Q3804" s="1">
        <v>44349</v>
      </c>
    </row>
    <row r="3805" spans="1:17" x14ac:dyDescent="0.3">
      <c r="A3805" t="s">
        <v>14</v>
      </c>
      <c r="B3805" t="s">
        <v>36</v>
      </c>
      <c r="C3805" t="s">
        <v>23</v>
      </c>
      <c r="D3805" t="s">
        <v>17</v>
      </c>
      <c r="E3805" t="s">
        <v>31</v>
      </c>
      <c r="F3805" s="9">
        <v>0.14000000000000001</v>
      </c>
      <c r="G3805" s="10">
        <v>18075</v>
      </c>
      <c r="H3805">
        <v>3.7</v>
      </c>
      <c r="I3805" s="5">
        <f>ROUND(Marketing[[#This Row],[Clicks]]*Marketing[[#This Row],[Conversion_Rate]],0)</f>
        <v>30</v>
      </c>
      <c r="J3805" s="12">
        <f>Marketing[[#This Row],[Campaign_Cost]]/Marketing[[#This Row],[Customers]]</f>
        <v>602.5</v>
      </c>
      <c r="K3805" t="s">
        <v>32</v>
      </c>
      <c r="L3805" t="s">
        <v>33</v>
      </c>
      <c r="M3805">
        <v>214</v>
      </c>
      <c r="N3805">
        <v>3511</v>
      </c>
      <c r="O3805">
        <v>6</v>
      </c>
      <c r="P3805" t="s">
        <v>21</v>
      </c>
      <c r="Q3805" s="1">
        <v>44350</v>
      </c>
    </row>
    <row r="3806" spans="1:17" x14ac:dyDescent="0.3">
      <c r="A3806" t="s">
        <v>14</v>
      </c>
      <c r="B3806" t="s">
        <v>29</v>
      </c>
      <c r="C3806" t="s">
        <v>16</v>
      </c>
      <c r="D3806" t="s">
        <v>46</v>
      </c>
      <c r="E3806" t="s">
        <v>48</v>
      </c>
      <c r="F3806" s="9">
        <v>0.1</v>
      </c>
      <c r="G3806" s="10">
        <v>19293</v>
      </c>
      <c r="H3806">
        <v>7.76</v>
      </c>
      <c r="I3806" s="5">
        <f>ROUND(Marketing[[#This Row],[Clicks]]*Marketing[[#This Row],[Conversion_Rate]],0)</f>
        <v>95</v>
      </c>
      <c r="J3806" s="12">
        <f>Marketing[[#This Row],[Campaign_Cost]]/Marketing[[#This Row],[Customers]]</f>
        <v>203.08421052631579</v>
      </c>
      <c r="K3806" t="s">
        <v>38</v>
      </c>
      <c r="L3806" t="s">
        <v>39</v>
      </c>
      <c r="M3806">
        <v>946</v>
      </c>
      <c r="N3806">
        <v>6590</v>
      </c>
      <c r="O3806">
        <v>1</v>
      </c>
      <c r="P3806" t="s">
        <v>21</v>
      </c>
      <c r="Q3806" s="1">
        <v>44351</v>
      </c>
    </row>
    <row r="3807" spans="1:17" x14ac:dyDescent="0.3">
      <c r="A3807" t="s">
        <v>14</v>
      </c>
      <c r="B3807" t="s">
        <v>47</v>
      </c>
      <c r="C3807" t="s">
        <v>37</v>
      </c>
      <c r="D3807" t="s">
        <v>17</v>
      </c>
      <c r="E3807" t="s">
        <v>15</v>
      </c>
      <c r="F3807" s="9">
        <v>7.0000000000000007E-2</v>
      </c>
      <c r="G3807" s="10">
        <v>5883</v>
      </c>
      <c r="H3807">
        <v>7.63</v>
      </c>
      <c r="I3807" s="5">
        <f>ROUND(Marketing[[#This Row],[Clicks]]*Marketing[[#This Row],[Conversion_Rate]],0)</f>
        <v>10</v>
      </c>
      <c r="J3807" s="12">
        <f>Marketing[[#This Row],[Campaign_Cost]]/Marketing[[#This Row],[Customers]]</f>
        <v>588.29999999999995</v>
      </c>
      <c r="K3807" t="s">
        <v>32</v>
      </c>
      <c r="L3807" t="s">
        <v>26</v>
      </c>
      <c r="M3807">
        <v>138</v>
      </c>
      <c r="N3807">
        <v>5669</v>
      </c>
      <c r="O3807">
        <v>2</v>
      </c>
      <c r="P3807" t="s">
        <v>27</v>
      </c>
      <c r="Q3807" s="1">
        <v>44352</v>
      </c>
    </row>
    <row r="3808" spans="1:17" x14ac:dyDescent="0.3">
      <c r="A3808" t="s">
        <v>35</v>
      </c>
      <c r="B3808" t="s">
        <v>47</v>
      </c>
      <c r="C3808" t="s">
        <v>37</v>
      </c>
      <c r="D3808" t="s">
        <v>24</v>
      </c>
      <c r="E3808" t="s">
        <v>31</v>
      </c>
      <c r="F3808" s="9">
        <v>0.05</v>
      </c>
      <c r="G3808" s="10">
        <v>18183</v>
      </c>
      <c r="H3808">
        <v>6.47</v>
      </c>
      <c r="I3808" s="5">
        <f>ROUND(Marketing[[#This Row],[Clicks]]*Marketing[[#This Row],[Conversion_Rate]],0)</f>
        <v>47</v>
      </c>
      <c r="J3808" s="12">
        <f>Marketing[[#This Row],[Campaign_Cost]]/Marketing[[#This Row],[Customers]]</f>
        <v>386.87234042553189</v>
      </c>
      <c r="K3808" t="s">
        <v>32</v>
      </c>
      <c r="L3808" t="s">
        <v>26</v>
      </c>
      <c r="M3808">
        <v>942</v>
      </c>
      <c r="N3808">
        <v>2169</v>
      </c>
      <c r="O3808">
        <v>4</v>
      </c>
      <c r="P3808" t="s">
        <v>21</v>
      </c>
      <c r="Q3808" s="1">
        <v>44353</v>
      </c>
    </row>
    <row r="3809" spans="1:17" x14ac:dyDescent="0.3">
      <c r="A3809" t="s">
        <v>35</v>
      </c>
      <c r="B3809" t="s">
        <v>15</v>
      </c>
      <c r="C3809" t="s">
        <v>23</v>
      </c>
      <c r="D3809" t="s">
        <v>46</v>
      </c>
      <c r="E3809" t="s">
        <v>41</v>
      </c>
      <c r="F3809" s="9">
        <v>0.03</v>
      </c>
      <c r="G3809" s="10">
        <v>8831</v>
      </c>
      <c r="H3809">
        <v>7.6</v>
      </c>
      <c r="I3809" s="5">
        <f>ROUND(Marketing[[#This Row],[Clicks]]*Marketing[[#This Row],[Conversion_Rate]],0)</f>
        <v>12</v>
      </c>
      <c r="J3809" s="12">
        <f>Marketing[[#This Row],[Campaign_Cost]]/Marketing[[#This Row],[Customers]]</f>
        <v>735.91666666666663</v>
      </c>
      <c r="K3809" t="s">
        <v>25</v>
      </c>
      <c r="L3809" t="s">
        <v>33</v>
      </c>
      <c r="M3809">
        <v>412</v>
      </c>
      <c r="N3809">
        <v>7144</v>
      </c>
      <c r="O3809">
        <v>1</v>
      </c>
      <c r="P3809" t="s">
        <v>34</v>
      </c>
      <c r="Q3809" s="1">
        <v>44354</v>
      </c>
    </row>
    <row r="3810" spans="1:17" x14ac:dyDescent="0.3">
      <c r="A3810" t="s">
        <v>22</v>
      </c>
      <c r="B3810" t="s">
        <v>45</v>
      </c>
      <c r="C3810" t="s">
        <v>30</v>
      </c>
      <c r="D3810" t="s">
        <v>40</v>
      </c>
      <c r="E3810" t="s">
        <v>41</v>
      </c>
      <c r="F3810" s="9">
        <v>0.12</v>
      </c>
      <c r="G3810" s="10">
        <v>15614</v>
      </c>
      <c r="H3810">
        <v>3.05</v>
      </c>
      <c r="I3810" s="5">
        <f>ROUND(Marketing[[#This Row],[Clicks]]*Marketing[[#This Row],[Conversion_Rate]],0)</f>
        <v>42</v>
      </c>
      <c r="J3810" s="12">
        <f>Marketing[[#This Row],[Campaign_Cost]]/Marketing[[#This Row],[Customers]]</f>
        <v>371.76190476190476</v>
      </c>
      <c r="K3810" t="s">
        <v>19</v>
      </c>
      <c r="L3810" t="s">
        <v>50</v>
      </c>
      <c r="M3810">
        <v>352</v>
      </c>
      <c r="N3810">
        <v>8707</v>
      </c>
      <c r="O3810">
        <v>7</v>
      </c>
      <c r="P3810" t="s">
        <v>34</v>
      </c>
      <c r="Q3810" s="1">
        <v>44355</v>
      </c>
    </row>
    <row r="3811" spans="1:17" x14ac:dyDescent="0.3">
      <c r="A3811" t="s">
        <v>49</v>
      </c>
      <c r="B3811" t="s">
        <v>47</v>
      </c>
      <c r="C3811" t="s">
        <v>30</v>
      </c>
      <c r="D3811" t="s">
        <v>24</v>
      </c>
      <c r="E3811" t="s">
        <v>18</v>
      </c>
      <c r="F3811" s="9">
        <v>7.0000000000000007E-2</v>
      </c>
      <c r="G3811" s="10">
        <v>16928</v>
      </c>
      <c r="H3811">
        <v>6.41</v>
      </c>
      <c r="I3811" s="5">
        <f>ROUND(Marketing[[#This Row],[Clicks]]*Marketing[[#This Row],[Conversion_Rate]],0)</f>
        <v>33</v>
      </c>
      <c r="J3811" s="12">
        <f>Marketing[[#This Row],[Campaign_Cost]]/Marketing[[#This Row],[Customers]]</f>
        <v>512.969696969697</v>
      </c>
      <c r="K3811" t="s">
        <v>19</v>
      </c>
      <c r="L3811" t="s">
        <v>26</v>
      </c>
      <c r="M3811">
        <v>469</v>
      </c>
      <c r="N3811">
        <v>5173</v>
      </c>
      <c r="O3811">
        <v>4</v>
      </c>
      <c r="P3811" t="s">
        <v>27</v>
      </c>
      <c r="Q3811" s="1">
        <v>44356</v>
      </c>
    </row>
    <row r="3812" spans="1:17" x14ac:dyDescent="0.3">
      <c r="A3812" t="s">
        <v>14</v>
      </c>
      <c r="B3812" t="s">
        <v>29</v>
      </c>
      <c r="C3812" t="s">
        <v>23</v>
      </c>
      <c r="D3812" t="s">
        <v>40</v>
      </c>
      <c r="E3812" t="s">
        <v>41</v>
      </c>
      <c r="F3812" s="9">
        <v>0.02</v>
      </c>
      <c r="G3812" s="10">
        <v>10526</v>
      </c>
      <c r="H3812">
        <v>5.05</v>
      </c>
      <c r="I3812" s="5">
        <f>ROUND(Marketing[[#This Row],[Clicks]]*Marketing[[#This Row],[Conversion_Rate]],0)</f>
        <v>13</v>
      </c>
      <c r="J3812" s="12">
        <f>Marketing[[#This Row],[Campaign_Cost]]/Marketing[[#This Row],[Customers]]</f>
        <v>809.69230769230774</v>
      </c>
      <c r="K3812" t="s">
        <v>32</v>
      </c>
      <c r="L3812" t="s">
        <v>39</v>
      </c>
      <c r="M3812">
        <v>654</v>
      </c>
      <c r="N3812">
        <v>1721</v>
      </c>
      <c r="O3812">
        <v>8</v>
      </c>
      <c r="P3812" t="s">
        <v>42</v>
      </c>
      <c r="Q3812" s="1">
        <v>44357</v>
      </c>
    </row>
    <row r="3813" spans="1:17" x14ac:dyDescent="0.3">
      <c r="A3813" t="s">
        <v>35</v>
      </c>
      <c r="B3813" t="s">
        <v>47</v>
      </c>
      <c r="C3813" t="s">
        <v>37</v>
      </c>
      <c r="D3813" t="s">
        <v>17</v>
      </c>
      <c r="E3813" t="s">
        <v>15</v>
      </c>
      <c r="F3813" s="9">
        <v>0.05</v>
      </c>
      <c r="G3813" s="10">
        <v>16520</v>
      </c>
      <c r="H3813">
        <v>4.68</v>
      </c>
      <c r="I3813" s="5">
        <f>ROUND(Marketing[[#This Row],[Clicks]]*Marketing[[#This Row],[Conversion_Rate]],0)</f>
        <v>49</v>
      </c>
      <c r="J3813" s="12">
        <f>Marketing[[#This Row],[Campaign_Cost]]/Marketing[[#This Row],[Customers]]</f>
        <v>337.14285714285717</v>
      </c>
      <c r="K3813" t="s">
        <v>19</v>
      </c>
      <c r="L3813" t="s">
        <v>26</v>
      </c>
      <c r="M3813">
        <v>981</v>
      </c>
      <c r="N3813">
        <v>3672</v>
      </c>
      <c r="O3813">
        <v>3</v>
      </c>
      <c r="P3813" t="s">
        <v>34</v>
      </c>
      <c r="Q3813" s="1">
        <v>44358</v>
      </c>
    </row>
    <row r="3814" spans="1:17" x14ac:dyDescent="0.3">
      <c r="A3814" t="s">
        <v>14</v>
      </c>
      <c r="B3814" t="s">
        <v>36</v>
      </c>
      <c r="C3814" t="s">
        <v>30</v>
      </c>
      <c r="D3814" t="s">
        <v>40</v>
      </c>
      <c r="E3814" t="s">
        <v>41</v>
      </c>
      <c r="F3814" s="9">
        <v>0.09</v>
      </c>
      <c r="G3814" s="10">
        <v>18730</v>
      </c>
      <c r="H3814">
        <v>4.49</v>
      </c>
      <c r="I3814" s="5">
        <f>ROUND(Marketing[[#This Row],[Clicks]]*Marketing[[#This Row],[Conversion_Rate]],0)</f>
        <v>73</v>
      </c>
      <c r="J3814" s="12">
        <f>Marketing[[#This Row],[Campaign_Cost]]/Marketing[[#This Row],[Customers]]</f>
        <v>256.57534246575341</v>
      </c>
      <c r="K3814" t="s">
        <v>32</v>
      </c>
      <c r="L3814" t="s">
        <v>50</v>
      </c>
      <c r="M3814">
        <v>810</v>
      </c>
      <c r="N3814">
        <v>7855</v>
      </c>
      <c r="O3814">
        <v>9</v>
      </c>
      <c r="P3814" t="s">
        <v>42</v>
      </c>
      <c r="Q3814" s="1">
        <v>44359</v>
      </c>
    </row>
    <row r="3815" spans="1:17" x14ac:dyDescent="0.3">
      <c r="A3815" t="s">
        <v>14</v>
      </c>
      <c r="B3815" t="s">
        <v>15</v>
      </c>
      <c r="C3815" t="s">
        <v>37</v>
      </c>
      <c r="D3815" t="s">
        <v>40</v>
      </c>
      <c r="E3815" t="s">
        <v>48</v>
      </c>
      <c r="F3815" s="9">
        <v>0.12</v>
      </c>
      <c r="G3815" s="10">
        <v>6497</v>
      </c>
      <c r="H3815">
        <v>3.1</v>
      </c>
      <c r="I3815" s="5">
        <f>ROUND(Marketing[[#This Row],[Clicks]]*Marketing[[#This Row],[Conversion_Rate]],0)</f>
        <v>49</v>
      </c>
      <c r="J3815" s="12">
        <f>Marketing[[#This Row],[Campaign_Cost]]/Marketing[[#This Row],[Customers]]</f>
        <v>132.59183673469389</v>
      </c>
      <c r="K3815" t="s">
        <v>25</v>
      </c>
      <c r="L3815" t="s">
        <v>20</v>
      </c>
      <c r="M3815">
        <v>405</v>
      </c>
      <c r="N3815">
        <v>7080</v>
      </c>
      <c r="O3815">
        <v>9</v>
      </c>
      <c r="P3815" t="s">
        <v>27</v>
      </c>
      <c r="Q3815" s="1">
        <v>44360</v>
      </c>
    </row>
    <row r="3816" spans="1:17" x14ac:dyDescent="0.3">
      <c r="A3816" t="s">
        <v>49</v>
      </c>
      <c r="B3816" t="s">
        <v>47</v>
      </c>
      <c r="C3816" t="s">
        <v>52</v>
      </c>
      <c r="D3816" t="s">
        <v>24</v>
      </c>
      <c r="E3816" t="s">
        <v>18</v>
      </c>
      <c r="F3816" s="9">
        <v>0.06</v>
      </c>
      <c r="G3816" s="10">
        <v>19490</v>
      </c>
      <c r="H3816">
        <v>2.94</v>
      </c>
      <c r="I3816" s="5">
        <f>ROUND(Marketing[[#This Row],[Clicks]]*Marketing[[#This Row],[Conversion_Rate]],0)</f>
        <v>16</v>
      </c>
      <c r="J3816" s="12">
        <f>Marketing[[#This Row],[Campaign_Cost]]/Marketing[[#This Row],[Customers]]</f>
        <v>1218.125</v>
      </c>
      <c r="K3816" t="s">
        <v>51</v>
      </c>
      <c r="L3816" t="s">
        <v>39</v>
      </c>
      <c r="M3816">
        <v>266</v>
      </c>
      <c r="N3816">
        <v>2251</v>
      </c>
      <c r="O3816">
        <v>5</v>
      </c>
      <c r="P3816" t="s">
        <v>27</v>
      </c>
      <c r="Q3816" s="1">
        <v>44361</v>
      </c>
    </row>
    <row r="3817" spans="1:17" x14ac:dyDescent="0.3">
      <c r="A3817" t="s">
        <v>14</v>
      </c>
      <c r="B3817" t="s">
        <v>45</v>
      </c>
      <c r="C3817" t="s">
        <v>52</v>
      </c>
      <c r="D3817" t="s">
        <v>46</v>
      </c>
      <c r="E3817" t="s">
        <v>43</v>
      </c>
      <c r="F3817" s="9">
        <v>0.09</v>
      </c>
      <c r="G3817" s="10">
        <v>11585</v>
      </c>
      <c r="H3817">
        <v>7.81</v>
      </c>
      <c r="I3817" s="5">
        <f>ROUND(Marketing[[#This Row],[Clicks]]*Marketing[[#This Row],[Conversion_Rate]],0)</f>
        <v>64</v>
      </c>
      <c r="J3817" s="12">
        <f>Marketing[[#This Row],[Campaign_Cost]]/Marketing[[#This Row],[Customers]]</f>
        <v>181.015625</v>
      </c>
      <c r="K3817" t="s">
        <v>19</v>
      </c>
      <c r="L3817" t="s">
        <v>26</v>
      </c>
      <c r="M3817">
        <v>707</v>
      </c>
      <c r="N3817">
        <v>9447</v>
      </c>
      <c r="O3817">
        <v>7</v>
      </c>
      <c r="P3817" t="s">
        <v>21</v>
      </c>
      <c r="Q3817" s="1">
        <v>44362</v>
      </c>
    </row>
    <row r="3818" spans="1:17" x14ac:dyDescent="0.3">
      <c r="A3818" t="s">
        <v>35</v>
      </c>
      <c r="B3818" t="s">
        <v>47</v>
      </c>
      <c r="C3818" t="s">
        <v>16</v>
      </c>
      <c r="D3818" t="s">
        <v>46</v>
      </c>
      <c r="E3818" t="s">
        <v>18</v>
      </c>
      <c r="F3818" s="9">
        <v>0.14000000000000001</v>
      </c>
      <c r="G3818" s="10">
        <v>12272</v>
      </c>
      <c r="H3818">
        <v>5.07</v>
      </c>
      <c r="I3818" s="5">
        <f>ROUND(Marketing[[#This Row],[Clicks]]*Marketing[[#This Row],[Conversion_Rate]],0)</f>
        <v>91</v>
      </c>
      <c r="J3818" s="12">
        <f>Marketing[[#This Row],[Campaign_Cost]]/Marketing[[#This Row],[Customers]]</f>
        <v>134.85714285714286</v>
      </c>
      <c r="K3818" t="s">
        <v>32</v>
      </c>
      <c r="L3818" t="s">
        <v>39</v>
      </c>
      <c r="M3818">
        <v>648</v>
      </c>
      <c r="N3818">
        <v>8251</v>
      </c>
      <c r="O3818">
        <v>2</v>
      </c>
      <c r="P3818" t="s">
        <v>27</v>
      </c>
      <c r="Q3818" s="1">
        <v>44363</v>
      </c>
    </row>
    <row r="3819" spans="1:17" x14ac:dyDescent="0.3">
      <c r="A3819" t="s">
        <v>22</v>
      </c>
      <c r="B3819" t="s">
        <v>29</v>
      </c>
      <c r="C3819" t="s">
        <v>52</v>
      </c>
      <c r="D3819" t="s">
        <v>17</v>
      </c>
      <c r="E3819" t="s">
        <v>43</v>
      </c>
      <c r="F3819" s="9">
        <v>0.13</v>
      </c>
      <c r="G3819" s="10">
        <v>19264</v>
      </c>
      <c r="H3819">
        <v>2.61</v>
      </c>
      <c r="I3819" s="5">
        <f>ROUND(Marketing[[#This Row],[Clicks]]*Marketing[[#This Row],[Conversion_Rate]],0)</f>
        <v>72</v>
      </c>
      <c r="J3819" s="12">
        <f>Marketing[[#This Row],[Campaign_Cost]]/Marketing[[#This Row],[Customers]]</f>
        <v>267.55555555555554</v>
      </c>
      <c r="K3819" t="s">
        <v>32</v>
      </c>
      <c r="L3819" t="s">
        <v>33</v>
      </c>
      <c r="M3819">
        <v>553</v>
      </c>
      <c r="N3819">
        <v>3896</v>
      </c>
      <c r="O3819">
        <v>6</v>
      </c>
      <c r="P3819" t="s">
        <v>42</v>
      </c>
      <c r="Q3819" s="1">
        <v>44364</v>
      </c>
    </row>
    <row r="3820" spans="1:17" x14ac:dyDescent="0.3">
      <c r="A3820" t="s">
        <v>28</v>
      </c>
      <c r="B3820" t="s">
        <v>15</v>
      </c>
      <c r="C3820" t="s">
        <v>37</v>
      </c>
      <c r="D3820" t="s">
        <v>17</v>
      </c>
      <c r="E3820" t="s">
        <v>15</v>
      </c>
      <c r="F3820" s="9">
        <v>0.06</v>
      </c>
      <c r="G3820" s="10">
        <v>8597</v>
      </c>
      <c r="H3820">
        <v>6.46</v>
      </c>
      <c r="I3820" s="5">
        <f>ROUND(Marketing[[#This Row],[Clicks]]*Marketing[[#This Row],[Conversion_Rate]],0)</f>
        <v>53</v>
      </c>
      <c r="J3820" s="12">
        <f>Marketing[[#This Row],[Campaign_Cost]]/Marketing[[#This Row],[Customers]]</f>
        <v>162.20754716981133</v>
      </c>
      <c r="K3820" t="s">
        <v>32</v>
      </c>
      <c r="L3820" t="s">
        <v>20</v>
      </c>
      <c r="M3820">
        <v>882</v>
      </c>
      <c r="N3820">
        <v>4229</v>
      </c>
      <c r="O3820">
        <v>5</v>
      </c>
      <c r="P3820" t="s">
        <v>34</v>
      </c>
      <c r="Q3820" s="1">
        <v>44365</v>
      </c>
    </row>
    <row r="3821" spans="1:17" x14ac:dyDescent="0.3">
      <c r="A3821" t="s">
        <v>14</v>
      </c>
      <c r="B3821" t="s">
        <v>15</v>
      </c>
      <c r="C3821" t="s">
        <v>30</v>
      </c>
      <c r="D3821" t="s">
        <v>46</v>
      </c>
      <c r="E3821" t="s">
        <v>43</v>
      </c>
      <c r="F3821" s="9">
        <v>0.12</v>
      </c>
      <c r="G3821" s="10">
        <v>11129</v>
      </c>
      <c r="H3821">
        <v>7.31</v>
      </c>
      <c r="I3821" s="5">
        <f>ROUND(Marketing[[#This Row],[Clicks]]*Marketing[[#This Row],[Conversion_Rate]],0)</f>
        <v>28</v>
      </c>
      <c r="J3821" s="12">
        <f>Marketing[[#This Row],[Campaign_Cost]]/Marketing[[#This Row],[Customers]]</f>
        <v>397.46428571428572</v>
      </c>
      <c r="K3821" t="s">
        <v>19</v>
      </c>
      <c r="L3821" t="s">
        <v>20</v>
      </c>
      <c r="M3821">
        <v>232</v>
      </c>
      <c r="N3821">
        <v>3024</v>
      </c>
      <c r="O3821">
        <v>4</v>
      </c>
      <c r="P3821" t="s">
        <v>42</v>
      </c>
      <c r="Q3821" s="1">
        <v>44366</v>
      </c>
    </row>
    <row r="3822" spans="1:17" x14ac:dyDescent="0.3">
      <c r="A3822" t="s">
        <v>14</v>
      </c>
      <c r="B3822" t="s">
        <v>45</v>
      </c>
      <c r="C3822" t="s">
        <v>23</v>
      </c>
      <c r="D3822" t="s">
        <v>17</v>
      </c>
      <c r="E3822" t="s">
        <v>43</v>
      </c>
      <c r="F3822" s="9">
        <v>7.0000000000000007E-2</v>
      </c>
      <c r="G3822" s="10">
        <v>8904</v>
      </c>
      <c r="H3822">
        <v>4.5199999999999996</v>
      </c>
      <c r="I3822" s="5">
        <f>ROUND(Marketing[[#This Row],[Clicks]]*Marketing[[#This Row],[Conversion_Rate]],0)</f>
        <v>24</v>
      </c>
      <c r="J3822" s="12">
        <f>Marketing[[#This Row],[Campaign_Cost]]/Marketing[[#This Row],[Customers]]</f>
        <v>371</v>
      </c>
      <c r="K3822" t="s">
        <v>38</v>
      </c>
      <c r="L3822" t="s">
        <v>33</v>
      </c>
      <c r="M3822">
        <v>341</v>
      </c>
      <c r="N3822">
        <v>7810</v>
      </c>
      <c r="O3822">
        <v>5</v>
      </c>
      <c r="P3822" t="s">
        <v>27</v>
      </c>
      <c r="Q3822" s="1">
        <v>44367</v>
      </c>
    </row>
    <row r="3823" spans="1:17" x14ac:dyDescent="0.3">
      <c r="A3823" t="s">
        <v>35</v>
      </c>
      <c r="B3823" t="s">
        <v>45</v>
      </c>
      <c r="C3823" t="s">
        <v>52</v>
      </c>
      <c r="D3823" t="s">
        <v>40</v>
      </c>
      <c r="E3823" t="s">
        <v>15</v>
      </c>
      <c r="F3823" s="9">
        <v>0.04</v>
      </c>
      <c r="G3823" s="10">
        <v>7029</v>
      </c>
      <c r="H3823">
        <v>4.46</v>
      </c>
      <c r="I3823" s="5">
        <f>ROUND(Marketing[[#This Row],[Clicks]]*Marketing[[#This Row],[Conversion_Rate]],0)</f>
        <v>7</v>
      </c>
      <c r="J3823" s="12">
        <f>Marketing[[#This Row],[Campaign_Cost]]/Marketing[[#This Row],[Customers]]</f>
        <v>1004.1428571428571</v>
      </c>
      <c r="K3823" t="s">
        <v>25</v>
      </c>
      <c r="L3823" t="s">
        <v>50</v>
      </c>
      <c r="M3823">
        <v>174</v>
      </c>
      <c r="N3823">
        <v>3834</v>
      </c>
      <c r="O3823">
        <v>5</v>
      </c>
      <c r="P3823" t="s">
        <v>21</v>
      </c>
      <c r="Q3823" s="1">
        <v>44368</v>
      </c>
    </row>
    <row r="3824" spans="1:17" x14ac:dyDescent="0.3">
      <c r="A3824" t="s">
        <v>28</v>
      </c>
      <c r="B3824" t="s">
        <v>47</v>
      </c>
      <c r="C3824" t="s">
        <v>16</v>
      </c>
      <c r="D3824" t="s">
        <v>17</v>
      </c>
      <c r="E3824" t="s">
        <v>41</v>
      </c>
      <c r="F3824" s="9">
        <v>0.12</v>
      </c>
      <c r="G3824" s="10">
        <v>17144</v>
      </c>
      <c r="H3824">
        <v>6.88</v>
      </c>
      <c r="I3824" s="5">
        <f>ROUND(Marketing[[#This Row],[Clicks]]*Marketing[[#This Row],[Conversion_Rate]],0)</f>
        <v>34</v>
      </c>
      <c r="J3824" s="12">
        <f>Marketing[[#This Row],[Campaign_Cost]]/Marketing[[#This Row],[Customers]]</f>
        <v>504.23529411764707</v>
      </c>
      <c r="K3824" t="s">
        <v>38</v>
      </c>
      <c r="L3824" t="s">
        <v>20</v>
      </c>
      <c r="M3824">
        <v>280</v>
      </c>
      <c r="N3824">
        <v>9557</v>
      </c>
      <c r="O3824">
        <v>8</v>
      </c>
      <c r="P3824" t="s">
        <v>44</v>
      </c>
      <c r="Q3824" s="1">
        <v>44369</v>
      </c>
    </row>
    <row r="3825" spans="1:17" x14ac:dyDescent="0.3">
      <c r="A3825" t="s">
        <v>49</v>
      </c>
      <c r="B3825" t="s">
        <v>36</v>
      </c>
      <c r="C3825" t="s">
        <v>30</v>
      </c>
      <c r="D3825" t="s">
        <v>24</v>
      </c>
      <c r="E3825" t="s">
        <v>18</v>
      </c>
      <c r="F3825" s="9">
        <v>0.08</v>
      </c>
      <c r="G3825" s="10">
        <v>10172</v>
      </c>
      <c r="H3825">
        <v>7.44</v>
      </c>
      <c r="I3825" s="5">
        <f>ROUND(Marketing[[#This Row],[Clicks]]*Marketing[[#This Row],[Conversion_Rate]],0)</f>
        <v>37</v>
      </c>
      <c r="J3825" s="12">
        <f>Marketing[[#This Row],[Campaign_Cost]]/Marketing[[#This Row],[Customers]]</f>
        <v>274.91891891891891</v>
      </c>
      <c r="K3825" t="s">
        <v>38</v>
      </c>
      <c r="L3825" t="s">
        <v>20</v>
      </c>
      <c r="M3825">
        <v>465</v>
      </c>
      <c r="N3825">
        <v>1199</v>
      </c>
      <c r="O3825">
        <v>9</v>
      </c>
      <c r="P3825" t="s">
        <v>21</v>
      </c>
      <c r="Q3825" s="1">
        <v>44370</v>
      </c>
    </row>
    <row r="3826" spans="1:17" x14ac:dyDescent="0.3">
      <c r="A3826" t="s">
        <v>14</v>
      </c>
      <c r="B3826" t="s">
        <v>45</v>
      </c>
      <c r="C3826" t="s">
        <v>30</v>
      </c>
      <c r="D3826" t="s">
        <v>17</v>
      </c>
      <c r="E3826" t="s">
        <v>41</v>
      </c>
      <c r="F3826" s="9">
        <v>0.13</v>
      </c>
      <c r="G3826" s="10">
        <v>12914</v>
      </c>
      <c r="H3826">
        <v>5.96</v>
      </c>
      <c r="I3826" s="5">
        <f>ROUND(Marketing[[#This Row],[Clicks]]*Marketing[[#This Row],[Conversion_Rate]],0)</f>
        <v>65</v>
      </c>
      <c r="J3826" s="12">
        <f>Marketing[[#This Row],[Campaign_Cost]]/Marketing[[#This Row],[Customers]]</f>
        <v>198.67692307692309</v>
      </c>
      <c r="K3826" t="s">
        <v>38</v>
      </c>
      <c r="L3826" t="s">
        <v>33</v>
      </c>
      <c r="M3826">
        <v>499</v>
      </c>
      <c r="N3826">
        <v>1757</v>
      </c>
      <c r="O3826">
        <v>4</v>
      </c>
      <c r="P3826" t="s">
        <v>27</v>
      </c>
      <c r="Q3826" s="1">
        <v>44371</v>
      </c>
    </row>
    <row r="3827" spans="1:17" x14ac:dyDescent="0.3">
      <c r="A3827" t="s">
        <v>28</v>
      </c>
      <c r="B3827" t="s">
        <v>47</v>
      </c>
      <c r="C3827" t="s">
        <v>30</v>
      </c>
      <c r="D3827" t="s">
        <v>40</v>
      </c>
      <c r="E3827" t="s">
        <v>43</v>
      </c>
      <c r="F3827" s="9">
        <v>0.03</v>
      </c>
      <c r="G3827" s="10">
        <v>18001</v>
      </c>
      <c r="H3827">
        <v>3.42</v>
      </c>
      <c r="I3827" s="5">
        <f>ROUND(Marketing[[#This Row],[Clicks]]*Marketing[[#This Row],[Conversion_Rate]],0)</f>
        <v>10</v>
      </c>
      <c r="J3827" s="12">
        <f>Marketing[[#This Row],[Campaign_Cost]]/Marketing[[#This Row],[Customers]]</f>
        <v>1800.1</v>
      </c>
      <c r="K3827" t="s">
        <v>38</v>
      </c>
      <c r="L3827" t="s">
        <v>39</v>
      </c>
      <c r="M3827">
        <v>320</v>
      </c>
      <c r="N3827">
        <v>2952</v>
      </c>
      <c r="O3827">
        <v>1</v>
      </c>
      <c r="P3827" t="s">
        <v>27</v>
      </c>
      <c r="Q3827" s="1">
        <v>44372</v>
      </c>
    </row>
    <row r="3828" spans="1:17" x14ac:dyDescent="0.3">
      <c r="A3828" t="s">
        <v>28</v>
      </c>
      <c r="B3828" t="s">
        <v>45</v>
      </c>
      <c r="C3828" t="s">
        <v>16</v>
      </c>
      <c r="D3828" t="s">
        <v>24</v>
      </c>
      <c r="E3828" t="s">
        <v>48</v>
      </c>
      <c r="F3828" s="9">
        <v>0.12</v>
      </c>
      <c r="G3828" s="10">
        <v>8436</v>
      </c>
      <c r="H3828">
        <v>3.75</v>
      </c>
      <c r="I3828" s="5">
        <f>ROUND(Marketing[[#This Row],[Clicks]]*Marketing[[#This Row],[Conversion_Rate]],0)</f>
        <v>26</v>
      </c>
      <c r="J3828" s="12">
        <f>Marketing[[#This Row],[Campaign_Cost]]/Marketing[[#This Row],[Customers]]</f>
        <v>324.46153846153845</v>
      </c>
      <c r="K3828" t="s">
        <v>19</v>
      </c>
      <c r="L3828" t="s">
        <v>50</v>
      </c>
      <c r="M3828">
        <v>214</v>
      </c>
      <c r="N3828">
        <v>3483</v>
      </c>
      <c r="O3828">
        <v>8</v>
      </c>
      <c r="P3828" t="s">
        <v>27</v>
      </c>
      <c r="Q3828" s="1">
        <v>44373</v>
      </c>
    </row>
    <row r="3829" spans="1:17" x14ac:dyDescent="0.3">
      <c r="A3829" t="s">
        <v>14</v>
      </c>
      <c r="B3829" t="s">
        <v>47</v>
      </c>
      <c r="C3829" t="s">
        <v>23</v>
      </c>
      <c r="D3829" t="s">
        <v>24</v>
      </c>
      <c r="E3829" t="s">
        <v>31</v>
      </c>
      <c r="F3829" s="9">
        <v>0.08</v>
      </c>
      <c r="G3829" s="10">
        <v>16485</v>
      </c>
      <c r="H3829">
        <v>5.52</v>
      </c>
      <c r="I3829" s="5">
        <f>ROUND(Marketing[[#This Row],[Clicks]]*Marketing[[#This Row],[Conversion_Rate]],0)</f>
        <v>48</v>
      </c>
      <c r="J3829" s="12">
        <f>Marketing[[#This Row],[Campaign_Cost]]/Marketing[[#This Row],[Customers]]</f>
        <v>343.4375</v>
      </c>
      <c r="K3829" t="s">
        <v>19</v>
      </c>
      <c r="L3829" t="s">
        <v>33</v>
      </c>
      <c r="M3829">
        <v>605</v>
      </c>
      <c r="N3829">
        <v>5404</v>
      </c>
      <c r="O3829">
        <v>9</v>
      </c>
      <c r="P3829" t="s">
        <v>34</v>
      </c>
      <c r="Q3829" s="1">
        <v>44374</v>
      </c>
    </row>
    <row r="3830" spans="1:17" x14ac:dyDescent="0.3">
      <c r="A3830" t="s">
        <v>22</v>
      </c>
      <c r="B3830" t="s">
        <v>15</v>
      </c>
      <c r="C3830" t="s">
        <v>30</v>
      </c>
      <c r="D3830" t="s">
        <v>17</v>
      </c>
      <c r="E3830" t="s">
        <v>15</v>
      </c>
      <c r="F3830" s="9">
        <v>0.15</v>
      </c>
      <c r="G3830" s="10">
        <v>17574</v>
      </c>
      <c r="H3830">
        <v>4.83</v>
      </c>
      <c r="I3830" s="5">
        <f>ROUND(Marketing[[#This Row],[Clicks]]*Marketing[[#This Row],[Conversion_Rate]],0)</f>
        <v>134</v>
      </c>
      <c r="J3830" s="12">
        <f>Marketing[[#This Row],[Campaign_Cost]]/Marketing[[#This Row],[Customers]]</f>
        <v>131.14925373134329</v>
      </c>
      <c r="K3830" t="s">
        <v>19</v>
      </c>
      <c r="L3830" t="s">
        <v>20</v>
      </c>
      <c r="M3830">
        <v>895</v>
      </c>
      <c r="N3830">
        <v>2448</v>
      </c>
      <c r="O3830">
        <v>1</v>
      </c>
      <c r="P3830" t="s">
        <v>34</v>
      </c>
      <c r="Q3830" s="1">
        <v>44375</v>
      </c>
    </row>
    <row r="3831" spans="1:17" x14ac:dyDescent="0.3">
      <c r="A3831" t="s">
        <v>49</v>
      </c>
      <c r="B3831" t="s">
        <v>36</v>
      </c>
      <c r="C3831" t="s">
        <v>52</v>
      </c>
      <c r="D3831" t="s">
        <v>40</v>
      </c>
      <c r="E3831" t="s">
        <v>41</v>
      </c>
      <c r="F3831" s="9">
        <v>0.14000000000000001</v>
      </c>
      <c r="G3831" s="10">
        <v>7967</v>
      </c>
      <c r="H3831">
        <v>3.94</v>
      </c>
      <c r="I3831" s="5">
        <f>ROUND(Marketing[[#This Row],[Clicks]]*Marketing[[#This Row],[Conversion_Rate]],0)</f>
        <v>100</v>
      </c>
      <c r="J3831" s="12">
        <f>Marketing[[#This Row],[Campaign_Cost]]/Marketing[[#This Row],[Customers]]</f>
        <v>79.67</v>
      </c>
      <c r="K3831" t="s">
        <v>51</v>
      </c>
      <c r="L3831" t="s">
        <v>33</v>
      </c>
      <c r="M3831">
        <v>712</v>
      </c>
      <c r="N3831">
        <v>6218</v>
      </c>
      <c r="O3831">
        <v>6</v>
      </c>
      <c r="P3831" t="s">
        <v>44</v>
      </c>
      <c r="Q3831" s="1">
        <v>44376</v>
      </c>
    </row>
    <row r="3832" spans="1:17" x14ac:dyDescent="0.3">
      <c r="A3832" t="s">
        <v>49</v>
      </c>
      <c r="B3832" t="s">
        <v>45</v>
      </c>
      <c r="C3832" t="s">
        <v>30</v>
      </c>
      <c r="D3832" t="s">
        <v>24</v>
      </c>
      <c r="E3832" t="s">
        <v>43</v>
      </c>
      <c r="F3832" s="9">
        <v>0.09</v>
      </c>
      <c r="G3832" s="10">
        <v>9124</v>
      </c>
      <c r="H3832">
        <v>5.32</v>
      </c>
      <c r="I3832" s="5">
        <f>ROUND(Marketing[[#This Row],[Clicks]]*Marketing[[#This Row],[Conversion_Rate]],0)</f>
        <v>77</v>
      </c>
      <c r="J3832" s="12">
        <f>Marketing[[#This Row],[Campaign_Cost]]/Marketing[[#This Row],[Customers]]</f>
        <v>118.49350649350649</v>
      </c>
      <c r="K3832" t="s">
        <v>51</v>
      </c>
      <c r="L3832" t="s">
        <v>39</v>
      </c>
      <c r="M3832">
        <v>854</v>
      </c>
      <c r="N3832">
        <v>4924</v>
      </c>
      <c r="O3832">
        <v>2</v>
      </c>
      <c r="P3832" t="s">
        <v>44</v>
      </c>
      <c r="Q3832" s="1">
        <v>44377</v>
      </c>
    </row>
    <row r="3833" spans="1:17" x14ac:dyDescent="0.3">
      <c r="A3833" t="s">
        <v>49</v>
      </c>
      <c r="B3833" t="s">
        <v>29</v>
      </c>
      <c r="C3833" t="s">
        <v>37</v>
      </c>
      <c r="D3833" t="s">
        <v>17</v>
      </c>
      <c r="E3833" t="s">
        <v>41</v>
      </c>
      <c r="F3833" s="9">
        <v>0.06</v>
      </c>
      <c r="G3833" s="10">
        <v>13130</v>
      </c>
      <c r="H3833">
        <v>7.39</v>
      </c>
      <c r="I3833" s="5">
        <f>ROUND(Marketing[[#This Row],[Clicks]]*Marketing[[#This Row],[Conversion_Rate]],0)</f>
        <v>27</v>
      </c>
      <c r="J3833" s="12">
        <f>Marketing[[#This Row],[Campaign_Cost]]/Marketing[[#This Row],[Customers]]</f>
        <v>486.2962962962963</v>
      </c>
      <c r="K3833" t="s">
        <v>51</v>
      </c>
      <c r="L3833" t="s">
        <v>20</v>
      </c>
      <c r="M3833">
        <v>450</v>
      </c>
      <c r="N3833">
        <v>6604</v>
      </c>
      <c r="O3833">
        <v>2</v>
      </c>
      <c r="P3833" t="s">
        <v>21</v>
      </c>
      <c r="Q3833" s="1">
        <v>44378</v>
      </c>
    </row>
    <row r="3834" spans="1:17" x14ac:dyDescent="0.3">
      <c r="A3834" t="s">
        <v>49</v>
      </c>
      <c r="B3834" t="s">
        <v>15</v>
      </c>
      <c r="C3834" t="s">
        <v>37</v>
      </c>
      <c r="D3834" t="s">
        <v>46</v>
      </c>
      <c r="E3834" t="s">
        <v>31</v>
      </c>
      <c r="F3834" s="9">
        <v>0.14000000000000001</v>
      </c>
      <c r="G3834" s="10">
        <v>15135</v>
      </c>
      <c r="H3834">
        <v>4.01</v>
      </c>
      <c r="I3834" s="5">
        <f>ROUND(Marketing[[#This Row],[Clicks]]*Marketing[[#This Row],[Conversion_Rate]],0)</f>
        <v>60</v>
      </c>
      <c r="J3834" s="12">
        <f>Marketing[[#This Row],[Campaign_Cost]]/Marketing[[#This Row],[Customers]]</f>
        <v>252.25</v>
      </c>
      <c r="K3834" t="s">
        <v>25</v>
      </c>
      <c r="L3834" t="s">
        <v>50</v>
      </c>
      <c r="M3834">
        <v>428</v>
      </c>
      <c r="N3834">
        <v>2957</v>
      </c>
      <c r="O3834">
        <v>8</v>
      </c>
      <c r="P3834" t="s">
        <v>42</v>
      </c>
      <c r="Q3834" s="1">
        <v>44379</v>
      </c>
    </row>
    <row r="3835" spans="1:17" x14ac:dyDescent="0.3">
      <c r="A3835" t="s">
        <v>22</v>
      </c>
      <c r="B3835" t="s">
        <v>29</v>
      </c>
      <c r="C3835" t="s">
        <v>23</v>
      </c>
      <c r="D3835" t="s">
        <v>40</v>
      </c>
      <c r="E3835" t="s">
        <v>15</v>
      </c>
      <c r="F3835" s="9">
        <v>0.13</v>
      </c>
      <c r="G3835" s="10">
        <v>18220</v>
      </c>
      <c r="H3835">
        <v>2.81</v>
      </c>
      <c r="I3835" s="5">
        <f>ROUND(Marketing[[#This Row],[Clicks]]*Marketing[[#This Row],[Conversion_Rate]],0)</f>
        <v>28</v>
      </c>
      <c r="J3835" s="12">
        <f>Marketing[[#This Row],[Campaign_Cost]]/Marketing[[#This Row],[Customers]]</f>
        <v>650.71428571428567</v>
      </c>
      <c r="K3835" t="s">
        <v>51</v>
      </c>
      <c r="L3835" t="s">
        <v>20</v>
      </c>
      <c r="M3835">
        <v>213</v>
      </c>
      <c r="N3835">
        <v>6275</v>
      </c>
      <c r="O3835">
        <v>3</v>
      </c>
      <c r="P3835" t="s">
        <v>21</v>
      </c>
      <c r="Q3835" s="1">
        <v>44380</v>
      </c>
    </row>
    <row r="3836" spans="1:17" x14ac:dyDescent="0.3">
      <c r="A3836" t="s">
        <v>49</v>
      </c>
      <c r="B3836" t="s">
        <v>15</v>
      </c>
      <c r="C3836" t="s">
        <v>23</v>
      </c>
      <c r="D3836" t="s">
        <v>40</v>
      </c>
      <c r="E3836" t="s">
        <v>15</v>
      </c>
      <c r="F3836" s="9">
        <v>0.02</v>
      </c>
      <c r="G3836" s="10">
        <v>9600</v>
      </c>
      <c r="H3836">
        <v>3.65</v>
      </c>
      <c r="I3836" s="5">
        <f>ROUND(Marketing[[#This Row],[Clicks]]*Marketing[[#This Row],[Conversion_Rate]],0)</f>
        <v>5</v>
      </c>
      <c r="J3836" s="12">
        <f>Marketing[[#This Row],[Campaign_Cost]]/Marketing[[#This Row],[Customers]]</f>
        <v>1920</v>
      </c>
      <c r="K3836" t="s">
        <v>25</v>
      </c>
      <c r="L3836" t="s">
        <v>39</v>
      </c>
      <c r="M3836">
        <v>251</v>
      </c>
      <c r="N3836">
        <v>1045</v>
      </c>
      <c r="O3836">
        <v>9</v>
      </c>
      <c r="P3836" t="s">
        <v>44</v>
      </c>
      <c r="Q3836" s="1">
        <v>44381</v>
      </c>
    </row>
    <row r="3837" spans="1:17" x14ac:dyDescent="0.3">
      <c r="A3837" t="s">
        <v>28</v>
      </c>
      <c r="B3837" t="s">
        <v>47</v>
      </c>
      <c r="C3837" t="s">
        <v>30</v>
      </c>
      <c r="D3837" t="s">
        <v>24</v>
      </c>
      <c r="E3837" t="s">
        <v>48</v>
      </c>
      <c r="F3837" s="9">
        <v>0.14000000000000001</v>
      </c>
      <c r="G3837" s="10">
        <v>16026</v>
      </c>
      <c r="H3837">
        <v>7.95</v>
      </c>
      <c r="I3837" s="5">
        <f>ROUND(Marketing[[#This Row],[Clicks]]*Marketing[[#This Row],[Conversion_Rate]],0)</f>
        <v>111</v>
      </c>
      <c r="J3837" s="12">
        <f>Marketing[[#This Row],[Campaign_Cost]]/Marketing[[#This Row],[Customers]]</f>
        <v>144.37837837837839</v>
      </c>
      <c r="K3837" t="s">
        <v>25</v>
      </c>
      <c r="L3837" t="s">
        <v>33</v>
      </c>
      <c r="M3837">
        <v>793</v>
      </c>
      <c r="N3837">
        <v>6998</v>
      </c>
      <c r="O3837">
        <v>2</v>
      </c>
      <c r="P3837" t="s">
        <v>21</v>
      </c>
      <c r="Q3837" s="1">
        <v>44382</v>
      </c>
    </row>
    <row r="3838" spans="1:17" x14ac:dyDescent="0.3">
      <c r="A3838" t="s">
        <v>28</v>
      </c>
      <c r="B3838" t="s">
        <v>45</v>
      </c>
      <c r="C3838" t="s">
        <v>37</v>
      </c>
      <c r="D3838" t="s">
        <v>40</v>
      </c>
      <c r="E3838" t="s">
        <v>18</v>
      </c>
      <c r="F3838" s="9">
        <v>0.03</v>
      </c>
      <c r="G3838" s="10">
        <v>11880</v>
      </c>
      <c r="H3838">
        <v>4.5999999999999996</v>
      </c>
      <c r="I3838" s="5">
        <f>ROUND(Marketing[[#This Row],[Clicks]]*Marketing[[#This Row],[Conversion_Rate]],0)</f>
        <v>14</v>
      </c>
      <c r="J3838" s="12">
        <f>Marketing[[#This Row],[Campaign_Cost]]/Marketing[[#This Row],[Customers]]</f>
        <v>848.57142857142856</v>
      </c>
      <c r="K3838" t="s">
        <v>25</v>
      </c>
      <c r="L3838" t="s">
        <v>26</v>
      </c>
      <c r="M3838">
        <v>477</v>
      </c>
      <c r="N3838">
        <v>9014</v>
      </c>
      <c r="O3838">
        <v>2</v>
      </c>
      <c r="P3838" t="s">
        <v>27</v>
      </c>
      <c r="Q3838" s="1">
        <v>44383</v>
      </c>
    </row>
    <row r="3839" spans="1:17" x14ac:dyDescent="0.3">
      <c r="A3839" t="s">
        <v>28</v>
      </c>
      <c r="B3839" t="s">
        <v>45</v>
      </c>
      <c r="C3839" t="s">
        <v>16</v>
      </c>
      <c r="D3839" t="s">
        <v>17</v>
      </c>
      <c r="E3839" t="s">
        <v>43</v>
      </c>
      <c r="F3839" s="9">
        <v>0.05</v>
      </c>
      <c r="G3839" s="10">
        <v>15491</v>
      </c>
      <c r="H3839">
        <v>6.09</v>
      </c>
      <c r="I3839" s="5">
        <f>ROUND(Marketing[[#This Row],[Clicks]]*Marketing[[#This Row],[Conversion_Rate]],0)</f>
        <v>15</v>
      </c>
      <c r="J3839" s="12">
        <f>Marketing[[#This Row],[Campaign_Cost]]/Marketing[[#This Row],[Customers]]</f>
        <v>1032.7333333333333</v>
      </c>
      <c r="K3839" t="s">
        <v>32</v>
      </c>
      <c r="L3839" t="s">
        <v>39</v>
      </c>
      <c r="M3839">
        <v>294</v>
      </c>
      <c r="N3839">
        <v>6424</v>
      </c>
      <c r="O3839">
        <v>9</v>
      </c>
      <c r="P3839" t="s">
        <v>42</v>
      </c>
      <c r="Q3839" s="1">
        <v>44384</v>
      </c>
    </row>
    <row r="3840" spans="1:17" x14ac:dyDescent="0.3">
      <c r="A3840" t="s">
        <v>28</v>
      </c>
      <c r="B3840" t="s">
        <v>36</v>
      </c>
      <c r="C3840" t="s">
        <v>16</v>
      </c>
      <c r="D3840" t="s">
        <v>24</v>
      </c>
      <c r="E3840" t="s">
        <v>43</v>
      </c>
      <c r="F3840" s="9">
        <v>0.08</v>
      </c>
      <c r="G3840" s="10">
        <v>13278</v>
      </c>
      <c r="H3840">
        <v>2.65</v>
      </c>
      <c r="I3840" s="5">
        <f>ROUND(Marketing[[#This Row],[Clicks]]*Marketing[[#This Row],[Conversion_Rate]],0)</f>
        <v>58</v>
      </c>
      <c r="J3840" s="12">
        <f>Marketing[[#This Row],[Campaign_Cost]]/Marketing[[#This Row],[Customers]]</f>
        <v>228.93103448275863</v>
      </c>
      <c r="K3840" t="s">
        <v>32</v>
      </c>
      <c r="L3840" t="s">
        <v>50</v>
      </c>
      <c r="M3840">
        <v>723</v>
      </c>
      <c r="N3840">
        <v>9056</v>
      </c>
      <c r="O3840">
        <v>5</v>
      </c>
      <c r="P3840" t="s">
        <v>42</v>
      </c>
      <c r="Q3840" s="1">
        <v>44385</v>
      </c>
    </row>
    <row r="3841" spans="1:17" x14ac:dyDescent="0.3">
      <c r="A3841" t="s">
        <v>35</v>
      </c>
      <c r="B3841" t="s">
        <v>45</v>
      </c>
      <c r="C3841" t="s">
        <v>30</v>
      </c>
      <c r="D3841" t="s">
        <v>24</v>
      </c>
      <c r="E3841" t="s">
        <v>18</v>
      </c>
      <c r="F3841" s="9">
        <v>0.12</v>
      </c>
      <c r="G3841" s="10">
        <v>12991</v>
      </c>
      <c r="H3841">
        <v>7.68</v>
      </c>
      <c r="I3841" s="5">
        <f>ROUND(Marketing[[#This Row],[Clicks]]*Marketing[[#This Row],[Conversion_Rate]],0)</f>
        <v>98</v>
      </c>
      <c r="J3841" s="12">
        <f>Marketing[[#This Row],[Campaign_Cost]]/Marketing[[#This Row],[Customers]]</f>
        <v>132.5612244897959</v>
      </c>
      <c r="K3841" t="s">
        <v>19</v>
      </c>
      <c r="L3841" t="s">
        <v>50</v>
      </c>
      <c r="M3841">
        <v>817</v>
      </c>
      <c r="N3841">
        <v>8323</v>
      </c>
      <c r="O3841">
        <v>9</v>
      </c>
      <c r="P3841" t="s">
        <v>42</v>
      </c>
      <c r="Q3841" s="1">
        <v>44386</v>
      </c>
    </row>
    <row r="3842" spans="1:17" x14ac:dyDescent="0.3">
      <c r="A3842" t="s">
        <v>22</v>
      </c>
      <c r="B3842" t="s">
        <v>45</v>
      </c>
      <c r="C3842" t="s">
        <v>23</v>
      </c>
      <c r="D3842" t="s">
        <v>24</v>
      </c>
      <c r="E3842" t="s">
        <v>15</v>
      </c>
      <c r="F3842" s="9">
        <v>0.1</v>
      </c>
      <c r="G3842" s="10">
        <v>14743</v>
      </c>
      <c r="H3842">
        <v>3.94</v>
      </c>
      <c r="I3842" s="5">
        <f>ROUND(Marketing[[#This Row],[Clicks]]*Marketing[[#This Row],[Conversion_Rate]],0)</f>
        <v>69</v>
      </c>
      <c r="J3842" s="12">
        <f>Marketing[[#This Row],[Campaign_Cost]]/Marketing[[#This Row],[Customers]]</f>
        <v>213.66666666666666</v>
      </c>
      <c r="K3842" t="s">
        <v>38</v>
      </c>
      <c r="L3842" t="s">
        <v>39</v>
      </c>
      <c r="M3842">
        <v>692</v>
      </c>
      <c r="N3842">
        <v>4875</v>
      </c>
      <c r="O3842">
        <v>2</v>
      </c>
      <c r="P3842" t="s">
        <v>34</v>
      </c>
      <c r="Q3842" s="1">
        <v>44387</v>
      </c>
    </row>
    <row r="3843" spans="1:17" x14ac:dyDescent="0.3">
      <c r="A3843" t="s">
        <v>35</v>
      </c>
      <c r="B3843" t="s">
        <v>36</v>
      </c>
      <c r="C3843" t="s">
        <v>30</v>
      </c>
      <c r="D3843" t="s">
        <v>17</v>
      </c>
      <c r="E3843" t="s">
        <v>41</v>
      </c>
      <c r="F3843" s="9">
        <v>0.11</v>
      </c>
      <c r="G3843" s="10">
        <v>13650</v>
      </c>
      <c r="H3843">
        <v>2.66</v>
      </c>
      <c r="I3843" s="5">
        <f>ROUND(Marketing[[#This Row],[Clicks]]*Marketing[[#This Row],[Conversion_Rate]],0)</f>
        <v>64</v>
      </c>
      <c r="J3843" s="12">
        <f>Marketing[[#This Row],[Campaign_Cost]]/Marketing[[#This Row],[Customers]]</f>
        <v>213.28125</v>
      </c>
      <c r="K3843" t="s">
        <v>25</v>
      </c>
      <c r="L3843" t="s">
        <v>26</v>
      </c>
      <c r="M3843">
        <v>580</v>
      </c>
      <c r="N3843">
        <v>6764</v>
      </c>
      <c r="O3843">
        <v>4</v>
      </c>
      <c r="P3843" t="s">
        <v>21</v>
      </c>
      <c r="Q3843" s="1">
        <v>44388</v>
      </c>
    </row>
    <row r="3844" spans="1:17" x14ac:dyDescent="0.3">
      <c r="A3844" t="s">
        <v>28</v>
      </c>
      <c r="B3844" t="s">
        <v>15</v>
      </c>
      <c r="C3844" t="s">
        <v>23</v>
      </c>
      <c r="D3844" t="s">
        <v>46</v>
      </c>
      <c r="E3844" t="s">
        <v>41</v>
      </c>
      <c r="F3844" s="9">
        <v>0.11</v>
      </c>
      <c r="G3844" s="10">
        <v>11340</v>
      </c>
      <c r="H3844">
        <v>4.42</v>
      </c>
      <c r="I3844" s="5">
        <f>ROUND(Marketing[[#This Row],[Clicks]]*Marketing[[#This Row],[Conversion_Rate]],0)</f>
        <v>81</v>
      </c>
      <c r="J3844" s="12">
        <f>Marketing[[#This Row],[Campaign_Cost]]/Marketing[[#This Row],[Customers]]</f>
        <v>140</v>
      </c>
      <c r="K3844" t="s">
        <v>51</v>
      </c>
      <c r="L3844" t="s">
        <v>26</v>
      </c>
      <c r="M3844">
        <v>740</v>
      </c>
      <c r="N3844">
        <v>7583</v>
      </c>
      <c r="O3844">
        <v>9</v>
      </c>
      <c r="P3844" t="s">
        <v>21</v>
      </c>
      <c r="Q3844" s="1">
        <v>44389</v>
      </c>
    </row>
    <row r="3845" spans="1:17" x14ac:dyDescent="0.3">
      <c r="A3845" t="s">
        <v>35</v>
      </c>
      <c r="B3845" t="s">
        <v>29</v>
      </c>
      <c r="C3845" t="s">
        <v>16</v>
      </c>
      <c r="D3845" t="s">
        <v>46</v>
      </c>
      <c r="E3845" t="s">
        <v>31</v>
      </c>
      <c r="F3845" s="9">
        <v>0.12</v>
      </c>
      <c r="G3845" s="10">
        <v>13411</v>
      </c>
      <c r="H3845">
        <v>4.2300000000000004</v>
      </c>
      <c r="I3845" s="5">
        <f>ROUND(Marketing[[#This Row],[Clicks]]*Marketing[[#This Row],[Conversion_Rate]],0)</f>
        <v>50</v>
      </c>
      <c r="J3845" s="12">
        <f>Marketing[[#This Row],[Campaign_Cost]]/Marketing[[#This Row],[Customers]]</f>
        <v>268.22000000000003</v>
      </c>
      <c r="K3845" t="s">
        <v>32</v>
      </c>
      <c r="L3845" t="s">
        <v>20</v>
      </c>
      <c r="M3845">
        <v>418</v>
      </c>
      <c r="N3845">
        <v>9940</v>
      </c>
      <c r="O3845">
        <v>4</v>
      </c>
      <c r="P3845" t="s">
        <v>42</v>
      </c>
      <c r="Q3845" s="1">
        <v>44390</v>
      </c>
    </row>
    <row r="3846" spans="1:17" x14ac:dyDescent="0.3">
      <c r="A3846" t="s">
        <v>49</v>
      </c>
      <c r="B3846" t="s">
        <v>36</v>
      </c>
      <c r="C3846" t="s">
        <v>23</v>
      </c>
      <c r="D3846" t="s">
        <v>46</v>
      </c>
      <c r="E3846" t="s">
        <v>41</v>
      </c>
      <c r="F3846" s="9">
        <v>0.08</v>
      </c>
      <c r="G3846" s="10">
        <v>18871</v>
      </c>
      <c r="H3846">
        <v>4.75</v>
      </c>
      <c r="I3846" s="5">
        <f>ROUND(Marketing[[#This Row],[Clicks]]*Marketing[[#This Row],[Conversion_Rate]],0)</f>
        <v>77</v>
      </c>
      <c r="J3846" s="12">
        <f>Marketing[[#This Row],[Campaign_Cost]]/Marketing[[#This Row],[Customers]]</f>
        <v>245.07792207792207</v>
      </c>
      <c r="K3846" t="s">
        <v>32</v>
      </c>
      <c r="L3846" t="s">
        <v>39</v>
      </c>
      <c r="M3846">
        <v>959</v>
      </c>
      <c r="N3846">
        <v>8252</v>
      </c>
      <c r="O3846">
        <v>6</v>
      </c>
      <c r="P3846" t="s">
        <v>34</v>
      </c>
      <c r="Q3846" s="1">
        <v>44391</v>
      </c>
    </row>
    <row r="3847" spans="1:17" x14ac:dyDescent="0.3">
      <c r="A3847" t="s">
        <v>35</v>
      </c>
      <c r="B3847" t="s">
        <v>29</v>
      </c>
      <c r="C3847" t="s">
        <v>52</v>
      </c>
      <c r="D3847" t="s">
        <v>17</v>
      </c>
      <c r="E3847" t="s">
        <v>48</v>
      </c>
      <c r="F3847" s="9">
        <v>0.09</v>
      </c>
      <c r="G3847" s="10">
        <v>13149</v>
      </c>
      <c r="H3847">
        <v>5.91</v>
      </c>
      <c r="I3847" s="5">
        <f>ROUND(Marketing[[#This Row],[Clicks]]*Marketing[[#This Row],[Conversion_Rate]],0)</f>
        <v>50</v>
      </c>
      <c r="J3847" s="12">
        <f>Marketing[[#This Row],[Campaign_Cost]]/Marketing[[#This Row],[Customers]]</f>
        <v>262.98</v>
      </c>
      <c r="K3847" t="s">
        <v>38</v>
      </c>
      <c r="L3847" t="s">
        <v>39</v>
      </c>
      <c r="M3847">
        <v>552</v>
      </c>
      <c r="N3847">
        <v>1734</v>
      </c>
      <c r="O3847">
        <v>4</v>
      </c>
      <c r="P3847" t="s">
        <v>44</v>
      </c>
      <c r="Q3847" s="1">
        <v>44392</v>
      </c>
    </row>
    <row r="3848" spans="1:17" x14ac:dyDescent="0.3">
      <c r="A3848" t="s">
        <v>22</v>
      </c>
      <c r="B3848" t="s">
        <v>29</v>
      </c>
      <c r="C3848" t="s">
        <v>30</v>
      </c>
      <c r="D3848" t="s">
        <v>24</v>
      </c>
      <c r="E3848" t="s">
        <v>48</v>
      </c>
      <c r="F3848" s="9">
        <v>0.06</v>
      </c>
      <c r="G3848" s="10">
        <v>17344</v>
      </c>
      <c r="H3848">
        <v>5.46</v>
      </c>
      <c r="I3848" s="5">
        <f>ROUND(Marketing[[#This Row],[Clicks]]*Marketing[[#This Row],[Conversion_Rate]],0)</f>
        <v>36</v>
      </c>
      <c r="J3848" s="12">
        <f>Marketing[[#This Row],[Campaign_Cost]]/Marketing[[#This Row],[Customers]]</f>
        <v>481.77777777777777</v>
      </c>
      <c r="K3848" t="s">
        <v>38</v>
      </c>
      <c r="L3848" t="s">
        <v>39</v>
      </c>
      <c r="M3848">
        <v>597</v>
      </c>
      <c r="N3848">
        <v>6115</v>
      </c>
      <c r="O3848">
        <v>10</v>
      </c>
      <c r="P3848" t="s">
        <v>42</v>
      </c>
      <c r="Q3848" s="1">
        <v>44393</v>
      </c>
    </row>
    <row r="3849" spans="1:17" x14ac:dyDescent="0.3">
      <c r="A3849" t="s">
        <v>35</v>
      </c>
      <c r="B3849" t="s">
        <v>45</v>
      </c>
      <c r="C3849" t="s">
        <v>30</v>
      </c>
      <c r="D3849" t="s">
        <v>24</v>
      </c>
      <c r="E3849" t="s">
        <v>48</v>
      </c>
      <c r="F3849" s="9">
        <v>0.14000000000000001</v>
      </c>
      <c r="G3849" s="10">
        <v>11997</v>
      </c>
      <c r="H3849">
        <v>6.1</v>
      </c>
      <c r="I3849" s="5">
        <f>ROUND(Marketing[[#This Row],[Clicks]]*Marketing[[#This Row],[Conversion_Rate]],0)</f>
        <v>122</v>
      </c>
      <c r="J3849" s="12">
        <f>Marketing[[#This Row],[Campaign_Cost]]/Marketing[[#This Row],[Customers]]</f>
        <v>98.336065573770497</v>
      </c>
      <c r="K3849" t="s">
        <v>25</v>
      </c>
      <c r="L3849" t="s">
        <v>20</v>
      </c>
      <c r="M3849">
        <v>874</v>
      </c>
      <c r="N3849">
        <v>5799</v>
      </c>
      <c r="O3849">
        <v>6</v>
      </c>
      <c r="P3849" t="s">
        <v>21</v>
      </c>
      <c r="Q3849" s="1">
        <v>44394</v>
      </c>
    </row>
    <row r="3850" spans="1:17" x14ac:dyDescent="0.3">
      <c r="A3850" t="s">
        <v>49</v>
      </c>
      <c r="B3850" t="s">
        <v>47</v>
      </c>
      <c r="C3850" t="s">
        <v>23</v>
      </c>
      <c r="D3850" t="s">
        <v>46</v>
      </c>
      <c r="E3850" t="s">
        <v>15</v>
      </c>
      <c r="F3850" s="9">
        <v>0.12</v>
      </c>
      <c r="G3850" s="10">
        <v>14755</v>
      </c>
      <c r="H3850">
        <v>4.9000000000000004</v>
      </c>
      <c r="I3850" s="5">
        <f>ROUND(Marketing[[#This Row],[Clicks]]*Marketing[[#This Row],[Conversion_Rate]],0)</f>
        <v>27</v>
      </c>
      <c r="J3850" s="12">
        <f>Marketing[[#This Row],[Campaign_Cost]]/Marketing[[#This Row],[Customers]]</f>
        <v>546.48148148148152</v>
      </c>
      <c r="K3850" t="s">
        <v>38</v>
      </c>
      <c r="L3850" t="s">
        <v>39</v>
      </c>
      <c r="M3850">
        <v>227</v>
      </c>
      <c r="N3850">
        <v>3429</v>
      </c>
      <c r="O3850">
        <v>3</v>
      </c>
      <c r="P3850" t="s">
        <v>34</v>
      </c>
      <c r="Q3850" s="1">
        <v>44395</v>
      </c>
    </row>
    <row r="3851" spans="1:17" x14ac:dyDescent="0.3">
      <c r="A3851" t="s">
        <v>14</v>
      </c>
      <c r="B3851" t="s">
        <v>36</v>
      </c>
      <c r="C3851" t="s">
        <v>52</v>
      </c>
      <c r="D3851" t="s">
        <v>17</v>
      </c>
      <c r="E3851" t="s">
        <v>15</v>
      </c>
      <c r="F3851" s="9">
        <v>0.05</v>
      </c>
      <c r="G3851" s="10">
        <v>5952</v>
      </c>
      <c r="H3851">
        <v>2.41</v>
      </c>
      <c r="I3851" s="5">
        <f>ROUND(Marketing[[#This Row],[Clicks]]*Marketing[[#This Row],[Conversion_Rate]],0)</f>
        <v>26</v>
      </c>
      <c r="J3851" s="12">
        <f>Marketing[[#This Row],[Campaign_Cost]]/Marketing[[#This Row],[Customers]]</f>
        <v>228.92307692307693</v>
      </c>
      <c r="K3851" t="s">
        <v>32</v>
      </c>
      <c r="L3851" t="s">
        <v>26</v>
      </c>
      <c r="M3851">
        <v>510</v>
      </c>
      <c r="N3851">
        <v>9287</v>
      </c>
      <c r="O3851">
        <v>3</v>
      </c>
      <c r="P3851" t="s">
        <v>42</v>
      </c>
      <c r="Q3851" s="1">
        <v>44396</v>
      </c>
    </row>
    <row r="3852" spans="1:17" x14ac:dyDescent="0.3">
      <c r="A3852" t="s">
        <v>28</v>
      </c>
      <c r="B3852" t="s">
        <v>45</v>
      </c>
      <c r="C3852" t="s">
        <v>37</v>
      </c>
      <c r="D3852" t="s">
        <v>24</v>
      </c>
      <c r="E3852" t="s">
        <v>41</v>
      </c>
      <c r="F3852" s="9">
        <v>0.04</v>
      </c>
      <c r="G3852" s="10">
        <v>5194</v>
      </c>
      <c r="H3852">
        <v>3.22</v>
      </c>
      <c r="I3852" s="5">
        <f>ROUND(Marketing[[#This Row],[Clicks]]*Marketing[[#This Row],[Conversion_Rate]],0)</f>
        <v>8</v>
      </c>
      <c r="J3852" s="12">
        <f>Marketing[[#This Row],[Campaign_Cost]]/Marketing[[#This Row],[Customers]]</f>
        <v>649.25</v>
      </c>
      <c r="K3852" t="s">
        <v>32</v>
      </c>
      <c r="L3852" t="s">
        <v>39</v>
      </c>
      <c r="M3852">
        <v>204</v>
      </c>
      <c r="N3852">
        <v>4396</v>
      </c>
      <c r="O3852">
        <v>5</v>
      </c>
      <c r="P3852" t="s">
        <v>44</v>
      </c>
      <c r="Q3852" s="1">
        <v>44397</v>
      </c>
    </row>
    <row r="3853" spans="1:17" x14ac:dyDescent="0.3">
      <c r="A3853" t="s">
        <v>49</v>
      </c>
      <c r="B3853" t="s">
        <v>45</v>
      </c>
      <c r="C3853" t="s">
        <v>30</v>
      </c>
      <c r="D3853" t="s">
        <v>24</v>
      </c>
      <c r="E3853" t="s">
        <v>43</v>
      </c>
      <c r="F3853" s="9">
        <v>0.04</v>
      </c>
      <c r="G3853" s="10">
        <v>9684</v>
      </c>
      <c r="H3853">
        <v>5.81</v>
      </c>
      <c r="I3853" s="5">
        <f>ROUND(Marketing[[#This Row],[Clicks]]*Marketing[[#This Row],[Conversion_Rate]],0)</f>
        <v>16</v>
      </c>
      <c r="J3853" s="12">
        <f>Marketing[[#This Row],[Campaign_Cost]]/Marketing[[#This Row],[Customers]]</f>
        <v>605.25</v>
      </c>
      <c r="K3853" t="s">
        <v>25</v>
      </c>
      <c r="L3853" t="s">
        <v>50</v>
      </c>
      <c r="M3853">
        <v>389</v>
      </c>
      <c r="N3853">
        <v>2067</v>
      </c>
      <c r="O3853">
        <v>3</v>
      </c>
      <c r="P3853" t="s">
        <v>27</v>
      </c>
      <c r="Q3853" s="1">
        <v>44398</v>
      </c>
    </row>
    <row r="3854" spans="1:17" x14ac:dyDescent="0.3">
      <c r="A3854" t="s">
        <v>35</v>
      </c>
      <c r="B3854" t="s">
        <v>36</v>
      </c>
      <c r="C3854" t="s">
        <v>30</v>
      </c>
      <c r="D3854" t="s">
        <v>40</v>
      </c>
      <c r="E3854" t="s">
        <v>18</v>
      </c>
      <c r="F3854" s="9">
        <v>0.09</v>
      </c>
      <c r="G3854" s="10">
        <v>5677</v>
      </c>
      <c r="H3854">
        <v>7.98</v>
      </c>
      <c r="I3854" s="5">
        <f>ROUND(Marketing[[#This Row],[Clicks]]*Marketing[[#This Row],[Conversion_Rate]],0)</f>
        <v>35</v>
      </c>
      <c r="J3854" s="12">
        <f>Marketing[[#This Row],[Campaign_Cost]]/Marketing[[#This Row],[Customers]]</f>
        <v>162.19999999999999</v>
      </c>
      <c r="K3854" t="s">
        <v>32</v>
      </c>
      <c r="L3854" t="s">
        <v>33</v>
      </c>
      <c r="M3854">
        <v>389</v>
      </c>
      <c r="N3854">
        <v>3392</v>
      </c>
      <c r="O3854">
        <v>7</v>
      </c>
      <c r="P3854" t="s">
        <v>21</v>
      </c>
      <c r="Q3854" s="1">
        <v>44399</v>
      </c>
    </row>
    <row r="3855" spans="1:17" x14ac:dyDescent="0.3">
      <c r="A3855" t="s">
        <v>22</v>
      </c>
      <c r="B3855" t="s">
        <v>47</v>
      </c>
      <c r="C3855" t="s">
        <v>16</v>
      </c>
      <c r="D3855" t="s">
        <v>17</v>
      </c>
      <c r="E3855" t="s">
        <v>15</v>
      </c>
      <c r="F3855" s="9">
        <v>7.0000000000000007E-2</v>
      </c>
      <c r="G3855" s="10">
        <v>7299</v>
      </c>
      <c r="H3855">
        <v>2.96</v>
      </c>
      <c r="I3855" s="5">
        <f>ROUND(Marketing[[#This Row],[Clicks]]*Marketing[[#This Row],[Conversion_Rate]],0)</f>
        <v>31</v>
      </c>
      <c r="J3855" s="12">
        <f>Marketing[[#This Row],[Campaign_Cost]]/Marketing[[#This Row],[Customers]]</f>
        <v>235.45161290322579</v>
      </c>
      <c r="K3855" t="s">
        <v>38</v>
      </c>
      <c r="L3855" t="s">
        <v>20</v>
      </c>
      <c r="M3855">
        <v>439</v>
      </c>
      <c r="N3855">
        <v>2720</v>
      </c>
      <c r="O3855">
        <v>7</v>
      </c>
      <c r="P3855" t="s">
        <v>44</v>
      </c>
      <c r="Q3855" s="1">
        <v>44400</v>
      </c>
    </row>
    <row r="3856" spans="1:17" x14ac:dyDescent="0.3">
      <c r="A3856" t="s">
        <v>14</v>
      </c>
      <c r="B3856" t="s">
        <v>47</v>
      </c>
      <c r="C3856" t="s">
        <v>52</v>
      </c>
      <c r="D3856" t="s">
        <v>46</v>
      </c>
      <c r="E3856" t="s">
        <v>48</v>
      </c>
      <c r="F3856" s="9">
        <v>0.13</v>
      </c>
      <c r="G3856" s="10">
        <v>11310</v>
      </c>
      <c r="H3856">
        <v>3.35</v>
      </c>
      <c r="I3856" s="5">
        <f>ROUND(Marketing[[#This Row],[Clicks]]*Marketing[[#This Row],[Conversion_Rate]],0)</f>
        <v>65</v>
      </c>
      <c r="J3856" s="12">
        <f>Marketing[[#This Row],[Campaign_Cost]]/Marketing[[#This Row],[Customers]]</f>
        <v>174</v>
      </c>
      <c r="K3856" t="s">
        <v>51</v>
      </c>
      <c r="L3856" t="s">
        <v>20</v>
      </c>
      <c r="M3856">
        <v>502</v>
      </c>
      <c r="N3856">
        <v>5718</v>
      </c>
      <c r="O3856">
        <v>9</v>
      </c>
      <c r="P3856" t="s">
        <v>44</v>
      </c>
      <c r="Q3856" s="1">
        <v>44401</v>
      </c>
    </row>
    <row r="3857" spans="1:17" x14ac:dyDescent="0.3">
      <c r="A3857" t="s">
        <v>28</v>
      </c>
      <c r="B3857" t="s">
        <v>36</v>
      </c>
      <c r="C3857" t="s">
        <v>30</v>
      </c>
      <c r="D3857" t="s">
        <v>17</v>
      </c>
      <c r="E3857" t="s">
        <v>15</v>
      </c>
      <c r="F3857" s="9">
        <v>0.11</v>
      </c>
      <c r="G3857" s="10">
        <v>9251</v>
      </c>
      <c r="H3857">
        <v>4.63</v>
      </c>
      <c r="I3857" s="5">
        <f>ROUND(Marketing[[#This Row],[Clicks]]*Marketing[[#This Row],[Conversion_Rate]],0)</f>
        <v>23</v>
      </c>
      <c r="J3857" s="12">
        <f>Marketing[[#This Row],[Campaign_Cost]]/Marketing[[#This Row],[Customers]]</f>
        <v>402.21739130434781</v>
      </c>
      <c r="K3857" t="s">
        <v>25</v>
      </c>
      <c r="L3857" t="s">
        <v>33</v>
      </c>
      <c r="M3857">
        <v>209</v>
      </c>
      <c r="N3857">
        <v>1580</v>
      </c>
      <c r="O3857">
        <v>2</v>
      </c>
      <c r="P3857" t="s">
        <v>42</v>
      </c>
      <c r="Q3857" s="1">
        <v>44402</v>
      </c>
    </row>
    <row r="3858" spans="1:17" x14ac:dyDescent="0.3">
      <c r="A3858" t="s">
        <v>28</v>
      </c>
      <c r="B3858" t="s">
        <v>15</v>
      </c>
      <c r="C3858" t="s">
        <v>16</v>
      </c>
      <c r="D3858" t="s">
        <v>17</v>
      </c>
      <c r="E3858" t="s">
        <v>31</v>
      </c>
      <c r="F3858" s="9">
        <v>0.14000000000000001</v>
      </c>
      <c r="G3858" s="10">
        <v>12245</v>
      </c>
      <c r="H3858">
        <v>6.32</v>
      </c>
      <c r="I3858" s="5">
        <f>ROUND(Marketing[[#This Row],[Clicks]]*Marketing[[#This Row],[Conversion_Rate]],0)</f>
        <v>102</v>
      </c>
      <c r="J3858" s="12">
        <f>Marketing[[#This Row],[Campaign_Cost]]/Marketing[[#This Row],[Customers]]</f>
        <v>120.04901960784314</v>
      </c>
      <c r="K3858" t="s">
        <v>25</v>
      </c>
      <c r="L3858" t="s">
        <v>33</v>
      </c>
      <c r="M3858">
        <v>729</v>
      </c>
      <c r="N3858">
        <v>8588</v>
      </c>
      <c r="O3858">
        <v>6</v>
      </c>
      <c r="P3858" t="s">
        <v>34</v>
      </c>
      <c r="Q3858" s="1">
        <v>44403</v>
      </c>
    </row>
    <row r="3859" spans="1:17" x14ac:dyDescent="0.3">
      <c r="A3859" t="s">
        <v>28</v>
      </c>
      <c r="B3859" t="s">
        <v>45</v>
      </c>
      <c r="C3859" t="s">
        <v>37</v>
      </c>
      <c r="D3859" t="s">
        <v>46</v>
      </c>
      <c r="E3859" t="s">
        <v>15</v>
      </c>
      <c r="F3859" s="9">
        <v>0.11</v>
      </c>
      <c r="G3859" s="10">
        <v>14706</v>
      </c>
      <c r="H3859">
        <v>5.73</v>
      </c>
      <c r="I3859" s="5">
        <f>ROUND(Marketing[[#This Row],[Clicks]]*Marketing[[#This Row],[Conversion_Rate]],0)</f>
        <v>41</v>
      </c>
      <c r="J3859" s="12">
        <f>Marketing[[#This Row],[Campaign_Cost]]/Marketing[[#This Row],[Customers]]</f>
        <v>358.6829268292683</v>
      </c>
      <c r="K3859" t="s">
        <v>32</v>
      </c>
      <c r="L3859" t="s">
        <v>33</v>
      </c>
      <c r="M3859">
        <v>373</v>
      </c>
      <c r="N3859">
        <v>5314</v>
      </c>
      <c r="O3859">
        <v>8</v>
      </c>
      <c r="P3859" t="s">
        <v>34</v>
      </c>
      <c r="Q3859" s="1">
        <v>44404</v>
      </c>
    </row>
    <row r="3860" spans="1:17" x14ac:dyDescent="0.3">
      <c r="A3860" t="s">
        <v>14</v>
      </c>
      <c r="B3860" t="s">
        <v>47</v>
      </c>
      <c r="C3860" t="s">
        <v>23</v>
      </c>
      <c r="D3860" t="s">
        <v>46</v>
      </c>
      <c r="E3860" t="s">
        <v>15</v>
      </c>
      <c r="F3860" s="9">
        <v>0.05</v>
      </c>
      <c r="G3860" s="10">
        <v>12103</v>
      </c>
      <c r="H3860">
        <v>7.83</v>
      </c>
      <c r="I3860" s="5">
        <f>ROUND(Marketing[[#This Row],[Clicks]]*Marketing[[#This Row],[Conversion_Rate]],0)</f>
        <v>5</v>
      </c>
      <c r="J3860" s="12">
        <f>Marketing[[#This Row],[Campaign_Cost]]/Marketing[[#This Row],[Customers]]</f>
        <v>2420.6</v>
      </c>
      <c r="K3860" t="s">
        <v>51</v>
      </c>
      <c r="L3860" t="s">
        <v>50</v>
      </c>
      <c r="M3860">
        <v>100</v>
      </c>
      <c r="N3860">
        <v>3602</v>
      </c>
      <c r="O3860">
        <v>10</v>
      </c>
      <c r="P3860" t="s">
        <v>42</v>
      </c>
      <c r="Q3860" s="1">
        <v>44405</v>
      </c>
    </row>
    <row r="3861" spans="1:17" x14ac:dyDescent="0.3">
      <c r="A3861" t="s">
        <v>28</v>
      </c>
      <c r="B3861" t="s">
        <v>29</v>
      </c>
      <c r="C3861" t="s">
        <v>23</v>
      </c>
      <c r="D3861" t="s">
        <v>17</v>
      </c>
      <c r="E3861" t="s">
        <v>18</v>
      </c>
      <c r="F3861" s="9">
        <v>0.05</v>
      </c>
      <c r="G3861" s="10">
        <v>6067</v>
      </c>
      <c r="H3861">
        <v>5.45</v>
      </c>
      <c r="I3861" s="5">
        <f>ROUND(Marketing[[#This Row],[Clicks]]*Marketing[[#This Row],[Conversion_Rate]],0)</f>
        <v>21</v>
      </c>
      <c r="J3861" s="12">
        <f>Marketing[[#This Row],[Campaign_Cost]]/Marketing[[#This Row],[Customers]]</f>
        <v>288.90476190476193</v>
      </c>
      <c r="K3861" t="s">
        <v>32</v>
      </c>
      <c r="L3861" t="s">
        <v>26</v>
      </c>
      <c r="M3861">
        <v>419</v>
      </c>
      <c r="N3861">
        <v>9970</v>
      </c>
      <c r="O3861">
        <v>2</v>
      </c>
      <c r="P3861" t="s">
        <v>21</v>
      </c>
      <c r="Q3861" s="1">
        <v>44406</v>
      </c>
    </row>
    <row r="3862" spans="1:17" x14ac:dyDescent="0.3">
      <c r="A3862" t="s">
        <v>28</v>
      </c>
      <c r="B3862" t="s">
        <v>36</v>
      </c>
      <c r="C3862" t="s">
        <v>37</v>
      </c>
      <c r="D3862" t="s">
        <v>24</v>
      </c>
      <c r="E3862" t="s">
        <v>18</v>
      </c>
      <c r="F3862" s="9">
        <v>0.03</v>
      </c>
      <c r="G3862" s="10">
        <v>6641</v>
      </c>
      <c r="H3862">
        <v>2.86</v>
      </c>
      <c r="I3862" s="5">
        <f>ROUND(Marketing[[#This Row],[Clicks]]*Marketing[[#This Row],[Conversion_Rate]],0)</f>
        <v>27</v>
      </c>
      <c r="J3862" s="12">
        <f>Marketing[[#This Row],[Campaign_Cost]]/Marketing[[#This Row],[Customers]]</f>
        <v>245.96296296296296</v>
      </c>
      <c r="K3862" t="s">
        <v>51</v>
      </c>
      <c r="L3862" t="s">
        <v>33</v>
      </c>
      <c r="M3862">
        <v>899</v>
      </c>
      <c r="N3862">
        <v>2955</v>
      </c>
      <c r="O3862">
        <v>3</v>
      </c>
      <c r="P3862" t="s">
        <v>44</v>
      </c>
      <c r="Q3862" s="1">
        <v>44407</v>
      </c>
    </row>
    <row r="3863" spans="1:17" x14ac:dyDescent="0.3">
      <c r="A3863" t="s">
        <v>14</v>
      </c>
      <c r="B3863" t="s">
        <v>36</v>
      </c>
      <c r="C3863" t="s">
        <v>16</v>
      </c>
      <c r="D3863" t="s">
        <v>17</v>
      </c>
      <c r="E3863" t="s">
        <v>43</v>
      </c>
      <c r="F3863" s="9">
        <v>0.04</v>
      </c>
      <c r="G3863" s="10">
        <v>18219</v>
      </c>
      <c r="H3863">
        <v>5.57</v>
      </c>
      <c r="I3863" s="5">
        <f>ROUND(Marketing[[#This Row],[Clicks]]*Marketing[[#This Row],[Conversion_Rate]],0)</f>
        <v>15</v>
      </c>
      <c r="J3863" s="12">
        <f>Marketing[[#This Row],[Campaign_Cost]]/Marketing[[#This Row],[Customers]]</f>
        <v>1214.5999999999999</v>
      </c>
      <c r="K3863" t="s">
        <v>51</v>
      </c>
      <c r="L3863" t="s">
        <v>33</v>
      </c>
      <c r="M3863">
        <v>380</v>
      </c>
      <c r="N3863">
        <v>4708</v>
      </c>
      <c r="O3863">
        <v>10</v>
      </c>
      <c r="P3863" t="s">
        <v>27</v>
      </c>
      <c r="Q3863" s="1">
        <v>44408</v>
      </c>
    </row>
    <row r="3864" spans="1:17" x14ac:dyDescent="0.3">
      <c r="A3864" t="s">
        <v>22</v>
      </c>
      <c r="B3864" t="s">
        <v>45</v>
      </c>
      <c r="C3864" t="s">
        <v>16</v>
      </c>
      <c r="D3864" t="s">
        <v>46</v>
      </c>
      <c r="E3864" t="s">
        <v>31</v>
      </c>
      <c r="F3864" s="9">
        <v>0.06</v>
      </c>
      <c r="G3864" s="10">
        <v>12925</v>
      </c>
      <c r="H3864">
        <v>5.32</v>
      </c>
      <c r="I3864" s="5">
        <f>ROUND(Marketing[[#This Row],[Clicks]]*Marketing[[#This Row],[Conversion_Rate]],0)</f>
        <v>16</v>
      </c>
      <c r="J3864" s="12">
        <f>Marketing[[#This Row],[Campaign_Cost]]/Marketing[[#This Row],[Customers]]</f>
        <v>807.8125</v>
      </c>
      <c r="K3864" t="s">
        <v>51</v>
      </c>
      <c r="L3864" t="s">
        <v>33</v>
      </c>
      <c r="M3864">
        <v>266</v>
      </c>
      <c r="N3864">
        <v>9131</v>
      </c>
      <c r="O3864">
        <v>3</v>
      </c>
      <c r="P3864" t="s">
        <v>27</v>
      </c>
      <c r="Q3864" s="1">
        <v>44409</v>
      </c>
    </row>
    <row r="3865" spans="1:17" x14ac:dyDescent="0.3">
      <c r="A3865" t="s">
        <v>28</v>
      </c>
      <c r="B3865" t="s">
        <v>45</v>
      </c>
      <c r="C3865" t="s">
        <v>37</v>
      </c>
      <c r="D3865" t="s">
        <v>24</v>
      </c>
      <c r="E3865" t="s">
        <v>48</v>
      </c>
      <c r="F3865" s="9">
        <v>0.06</v>
      </c>
      <c r="G3865" s="10">
        <v>19810</v>
      </c>
      <c r="H3865">
        <v>5.23</v>
      </c>
      <c r="I3865" s="5">
        <f>ROUND(Marketing[[#This Row],[Clicks]]*Marketing[[#This Row],[Conversion_Rate]],0)</f>
        <v>7</v>
      </c>
      <c r="J3865" s="12">
        <f>Marketing[[#This Row],[Campaign_Cost]]/Marketing[[#This Row],[Customers]]</f>
        <v>2830</v>
      </c>
      <c r="K3865" t="s">
        <v>19</v>
      </c>
      <c r="L3865" t="s">
        <v>33</v>
      </c>
      <c r="M3865">
        <v>112</v>
      </c>
      <c r="N3865">
        <v>1925</v>
      </c>
      <c r="O3865">
        <v>2</v>
      </c>
      <c r="P3865" t="s">
        <v>34</v>
      </c>
      <c r="Q3865" s="1">
        <v>44410</v>
      </c>
    </row>
    <row r="3866" spans="1:17" x14ac:dyDescent="0.3">
      <c r="A3866" t="s">
        <v>49</v>
      </c>
      <c r="B3866" t="s">
        <v>45</v>
      </c>
      <c r="C3866" t="s">
        <v>37</v>
      </c>
      <c r="D3866" t="s">
        <v>17</v>
      </c>
      <c r="E3866" t="s">
        <v>15</v>
      </c>
      <c r="F3866" s="9">
        <v>0.12</v>
      </c>
      <c r="G3866" s="10">
        <v>15652</v>
      </c>
      <c r="H3866">
        <v>3.41</v>
      </c>
      <c r="I3866" s="5">
        <f>ROUND(Marketing[[#This Row],[Clicks]]*Marketing[[#This Row],[Conversion_Rate]],0)</f>
        <v>22</v>
      </c>
      <c r="J3866" s="12">
        <f>Marketing[[#This Row],[Campaign_Cost]]/Marketing[[#This Row],[Customers]]</f>
        <v>711.4545454545455</v>
      </c>
      <c r="K3866" t="s">
        <v>51</v>
      </c>
      <c r="L3866" t="s">
        <v>50</v>
      </c>
      <c r="M3866">
        <v>180</v>
      </c>
      <c r="N3866">
        <v>1497</v>
      </c>
      <c r="O3866">
        <v>1</v>
      </c>
      <c r="P3866" t="s">
        <v>44</v>
      </c>
      <c r="Q3866" s="1">
        <v>44411</v>
      </c>
    </row>
    <row r="3867" spans="1:17" x14ac:dyDescent="0.3">
      <c r="A3867" t="s">
        <v>49</v>
      </c>
      <c r="B3867" t="s">
        <v>45</v>
      </c>
      <c r="C3867" t="s">
        <v>30</v>
      </c>
      <c r="D3867" t="s">
        <v>17</v>
      </c>
      <c r="E3867" t="s">
        <v>43</v>
      </c>
      <c r="F3867" s="9">
        <v>0.11</v>
      </c>
      <c r="G3867" s="10">
        <v>9427</v>
      </c>
      <c r="H3867">
        <v>6.9</v>
      </c>
      <c r="I3867" s="5">
        <f>ROUND(Marketing[[#This Row],[Clicks]]*Marketing[[#This Row],[Conversion_Rate]],0)</f>
        <v>80</v>
      </c>
      <c r="J3867" s="12">
        <f>Marketing[[#This Row],[Campaign_Cost]]/Marketing[[#This Row],[Customers]]</f>
        <v>117.83750000000001</v>
      </c>
      <c r="K3867" t="s">
        <v>51</v>
      </c>
      <c r="L3867" t="s">
        <v>50</v>
      </c>
      <c r="M3867">
        <v>728</v>
      </c>
      <c r="N3867">
        <v>6140</v>
      </c>
      <c r="O3867">
        <v>10</v>
      </c>
      <c r="P3867" t="s">
        <v>27</v>
      </c>
      <c r="Q3867" s="1">
        <v>44412</v>
      </c>
    </row>
    <row r="3868" spans="1:17" x14ac:dyDescent="0.3">
      <c r="A3868" t="s">
        <v>28</v>
      </c>
      <c r="B3868" t="s">
        <v>45</v>
      </c>
      <c r="C3868" t="s">
        <v>30</v>
      </c>
      <c r="D3868" t="s">
        <v>17</v>
      </c>
      <c r="E3868" t="s">
        <v>41</v>
      </c>
      <c r="F3868" s="9">
        <v>0.01</v>
      </c>
      <c r="G3868" s="10">
        <v>11882</v>
      </c>
      <c r="H3868">
        <v>5.62</v>
      </c>
      <c r="I3868" s="5">
        <f>ROUND(Marketing[[#This Row],[Clicks]]*Marketing[[#This Row],[Conversion_Rate]],0)</f>
        <v>3</v>
      </c>
      <c r="J3868" s="12">
        <f>Marketing[[#This Row],[Campaign_Cost]]/Marketing[[#This Row],[Customers]]</f>
        <v>3960.6666666666665</v>
      </c>
      <c r="K3868" t="s">
        <v>38</v>
      </c>
      <c r="L3868" t="s">
        <v>50</v>
      </c>
      <c r="M3868">
        <v>301</v>
      </c>
      <c r="N3868">
        <v>8267</v>
      </c>
      <c r="O3868">
        <v>4</v>
      </c>
      <c r="P3868" t="s">
        <v>27</v>
      </c>
      <c r="Q3868" s="1">
        <v>44413</v>
      </c>
    </row>
    <row r="3869" spans="1:17" x14ac:dyDescent="0.3">
      <c r="A3869" t="s">
        <v>22</v>
      </c>
      <c r="B3869" t="s">
        <v>29</v>
      </c>
      <c r="C3869" t="s">
        <v>37</v>
      </c>
      <c r="D3869" t="s">
        <v>24</v>
      </c>
      <c r="E3869" t="s">
        <v>18</v>
      </c>
      <c r="F3869" s="9">
        <v>0.02</v>
      </c>
      <c r="G3869" s="10">
        <v>13828</v>
      </c>
      <c r="H3869">
        <v>4.07</v>
      </c>
      <c r="I3869" s="5">
        <f>ROUND(Marketing[[#This Row],[Clicks]]*Marketing[[#This Row],[Conversion_Rate]],0)</f>
        <v>3</v>
      </c>
      <c r="J3869" s="12">
        <f>Marketing[[#This Row],[Campaign_Cost]]/Marketing[[#This Row],[Customers]]</f>
        <v>4609.333333333333</v>
      </c>
      <c r="K3869" t="s">
        <v>19</v>
      </c>
      <c r="L3869" t="s">
        <v>26</v>
      </c>
      <c r="M3869">
        <v>129</v>
      </c>
      <c r="N3869">
        <v>1191</v>
      </c>
      <c r="O3869">
        <v>10</v>
      </c>
      <c r="P3869" t="s">
        <v>44</v>
      </c>
      <c r="Q3869" s="1">
        <v>44414</v>
      </c>
    </row>
    <row r="3870" spans="1:17" x14ac:dyDescent="0.3">
      <c r="A3870" t="s">
        <v>22</v>
      </c>
      <c r="B3870" t="s">
        <v>36</v>
      </c>
      <c r="C3870" t="s">
        <v>37</v>
      </c>
      <c r="D3870" t="s">
        <v>40</v>
      </c>
      <c r="E3870" t="s">
        <v>43</v>
      </c>
      <c r="F3870" s="9">
        <v>0.11</v>
      </c>
      <c r="G3870" s="10">
        <v>13440</v>
      </c>
      <c r="H3870">
        <v>2.67</v>
      </c>
      <c r="I3870" s="5">
        <f>ROUND(Marketing[[#This Row],[Clicks]]*Marketing[[#This Row],[Conversion_Rate]],0)</f>
        <v>95</v>
      </c>
      <c r="J3870" s="12">
        <f>Marketing[[#This Row],[Campaign_Cost]]/Marketing[[#This Row],[Customers]]</f>
        <v>141.47368421052633</v>
      </c>
      <c r="K3870" t="s">
        <v>51</v>
      </c>
      <c r="L3870" t="s">
        <v>33</v>
      </c>
      <c r="M3870">
        <v>865</v>
      </c>
      <c r="N3870">
        <v>9376</v>
      </c>
      <c r="O3870">
        <v>8</v>
      </c>
      <c r="P3870" t="s">
        <v>21</v>
      </c>
      <c r="Q3870" s="1">
        <v>44415</v>
      </c>
    </row>
    <row r="3871" spans="1:17" x14ac:dyDescent="0.3">
      <c r="A3871" t="s">
        <v>28</v>
      </c>
      <c r="B3871" t="s">
        <v>29</v>
      </c>
      <c r="C3871" t="s">
        <v>37</v>
      </c>
      <c r="D3871" t="s">
        <v>40</v>
      </c>
      <c r="E3871" t="s">
        <v>48</v>
      </c>
      <c r="F3871" s="9">
        <v>0.09</v>
      </c>
      <c r="G3871" s="10">
        <v>9729</v>
      </c>
      <c r="H3871">
        <v>6.34</v>
      </c>
      <c r="I3871" s="5">
        <f>ROUND(Marketing[[#This Row],[Clicks]]*Marketing[[#This Row],[Conversion_Rate]],0)</f>
        <v>50</v>
      </c>
      <c r="J3871" s="12">
        <f>Marketing[[#This Row],[Campaign_Cost]]/Marketing[[#This Row],[Customers]]</f>
        <v>194.58</v>
      </c>
      <c r="K3871" t="s">
        <v>25</v>
      </c>
      <c r="L3871" t="s">
        <v>39</v>
      </c>
      <c r="M3871">
        <v>557</v>
      </c>
      <c r="N3871">
        <v>9735</v>
      </c>
      <c r="O3871">
        <v>3</v>
      </c>
      <c r="P3871" t="s">
        <v>34</v>
      </c>
      <c r="Q3871" s="1">
        <v>44416</v>
      </c>
    </row>
    <row r="3872" spans="1:17" x14ac:dyDescent="0.3">
      <c r="A3872" t="s">
        <v>28</v>
      </c>
      <c r="B3872" t="s">
        <v>15</v>
      </c>
      <c r="C3872" t="s">
        <v>23</v>
      </c>
      <c r="D3872" t="s">
        <v>46</v>
      </c>
      <c r="E3872" t="s">
        <v>48</v>
      </c>
      <c r="F3872" s="9">
        <v>0.15</v>
      </c>
      <c r="G3872" s="10">
        <v>16053</v>
      </c>
      <c r="H3872">
        <v>2.44</v>
      </c>
      <c r="I3872" s="5">
        <f>ROUND(Marketing[[#This Row],[Clicks]]*Marketing[[#This Row],[Conversion_Rate]],0)</f>
        <v>73</v>
      </c>
      <c r="J3872" s="12">
        <f>Marketing[[#This Row],[Campaign_Cost]]/Marketing[[#This Row],[Customers]]</f>
        <v>219.9041095890411</v>
      </c>
      <c r="K3872" t="s">
        <v>38</v>
      </c>
      <c r="L3872" t="s">
        <v>33</v>
      </c>
      <c r="M3872">
        <v>487</v>
      </c>
      <c r="N3872">
        <v>2286</v>
      </c>
      <c r="O3872">
        <v>2</v>
      </c>
      <c r="P3872" t="s">
        <v>27</v>
      </c>
      <c r="Q3872" s="1">
        <v>44417</v>
      </c>
    </row>
    <row r="3873" spans="1:17" x14ac:dyDescent="0.3">
      <c r="A3873" t="s">
        <v>28</v>
      </c>
      <c r="B3873" t="s">
        <v>47</v>
      </c>
      <c r="C3873" t="s">
        <v>30</v>
      </c>
      <c r="D3873" t="s">
        <v>40</v>
      </c>
      <c r="E3873" t="s">
        <v>31</v>
      </c>
      <c r="F3873" s="9">
        <v>7.0000000000000007E-2</v>
      </c>
      <c r="G3873" s="10">
        <v>16251</v>
      </c>
      <c r="H3873">
        <v>7.76</v>
      </c>
      <c r="I3873" s="5">
        <f>ROUND(Marketing[[#This Row],[Clicks]]*Marketing[[#This Row],[Conversion_Rate]],0)</f>
        <v>18</v>
      </c>
      <c r="J3873" s="12">
        <f>Marketing[[#This Row],[Campaign_Cost]]/Marketing[[#This Row],[Customers]]</f>
        <v>902.83333333333337</v>
      </c>
      <c r="K3873" t="s">
        <v>51</v>
      </c>
      <c r="L3873" t="s">
        <v>26</v>
      </c>
      <c r="M3873">
        <v>262</v>
      </c>
      <c r="N3873">
        <v>5159</v>
      </c>
      <c r="O3873">
        <v>3</v>
      </c>
      <c r="P3873" t="s">
        <v>42</v>
      </c>
      <c r="Q3873" s="1">
        <v>44418</v>
      </c>
    </row>
    <row r="3874" spans="1:17" x14ac:dyDescent="0.3">
      <c r="A3874" t="s">
        <v>35</v>
      </c>
      <c r="B3874" t="s">
        <v>45</v>
      </c>
      <c r="C3874" t="s">
        <v>16</v>
      </c>
      <c r="D3874" t="s">
        <v>46</v>
      </c>
      <c r="E3874" t="s">
        <v>31</v>
      </c>
      <c r="F3874" s="9">
        <v>0.11</v>
      </c>
      <c r="G3874" s="10">
        <v>16809</v>
      </c>
      <c r="H3874">
        <v>6.7</v>
      </c>
      <c r="I3874" s="5">
        <f>ROUND(Marketing[[#This Row],[Clicks]]*Marketing[[#This Row],[Conversion_Rate]],0)</f>
        <v>13</v>
      </c>
      <c r="J3874" s="12">
        <f>Marketing[[#This Row],[Campaign_Cost]]/Marketing[[#This Row],[Customers]]</f>
        <v>1293</v>
      </c>
      <c r="K3874" t="s">
        <v>19</v>
      </c>
      <c r="L3874" t="s">
        <v>33</v>
      </c>
      <c r="M3874">
        <v>120</v>
      </c>
      <c r="N3874">
        <v>9726</v>
      </c>
      <c r="O3874">
        <v>3</v>
      </c>
      <c r="P3874" t="s">
        <v>44</v>
      </c>
      <c r="Q3874" s="1">
        <v>44419</v>
      </c>
    </row>
    <row r="3875" spans="1:17" x14ac:dyDescent="0.3">
      <c r="A3875" t="s">
        <v>49</v>
      </c>
      <c r="B3875" t="s">
        <v>45</v>
      </c>
      <c r="C3875" t="s">
        <v>37</v>
      </c>
      <c r="D3875" t="s">
        <v>46</v>
      </c>
      <c r="E3875" t="s">
        <v>41</v>
      </c>
      <c r="F3875" s="9">
        <v>0.03</v>
      </c>
      <c r="G3875" s="10">
        <v>8112</v>
      </c>
      <c r="H3875">
        <v>2.93</v>
      </c>
      <c r="I3875" s="5">
        <f>ROUND(Marketing[[#This Row],[Clicks]]*Marketing[[#This Row],[Conversion_Rate]],0)</f>
        <v>14</v>
      </c>
      <c r="J3875" s="12">
        <f>Marketing[[#This Row],[Campaign_Cost]]/Marketing[[#This Row],[Customers]]</f>
        <v>579.42857142857144</v>
      </c>
      <c r="K3875" t="s">
        <v>25</v>
      </c>
      <c r="L3875" t="s">
        <v>50</v>
      </c>
      <c r="M3875">
        <v>460</v>
      </c>
      <c r="N3875">
        <v>3466</v>
      </c>
      <c r="O3875">
        <v>10</v>
      </c>
      <c r="P3875" t="s">
        <v>27</v>
      </c>
      <c r="Q3875" s="1">
        <v>44420</v>
      </c>
    </row>
    <row r="3876" spans="1:17" x14ac:dyDescent="0.3">
      <c r="A3876" t="s">
        <v>14</v>
      </c>
      <c r="B3876" t="s">
        <v>36</v>
      </c>
      <c r="C3876" t="s">
        <v>52</v>
      </c>
      <c r="D3876" t="s">
        <v>24</v>
      </c>
      <c r="E3876" t="s">
        <v>41</v>
      </c>
      <c r="F3876" s="9">
        <v>0.06</v>
      </c>
      <c r="G3876" s="10">
        <v>18761</v>
      </c>
      <c r="H3876">
        <v>6.53</v>
      </c>
      <c r="I3876" s="5">
        <f>ROUND(Marketing[[#This Row],[Clicks]]*Marketing[[#This Row],[Conversion_Rate]],0)</f>
        <v>24</v>
      </c>
      <c r="J3876" s="12">
        <f>Marketing[[#This Row],[Campaign_Cost]]/Marketing[[#This Row],[Customers]]</f>
        <v>781.70833333333337</v>
      </c>
      <c r="K3876" t="s">
        <v>32</v>
      </c>
      <c r="L3876" t="s">
        <v>39</v>
      </c>
      <c r="M3876">
        <v>394</v>
      </c>
      <c r="N3876">
        <v>6167</v>
      </c>
      <c r="O3876">
        <v>3</v>
      </c>
      <c r="P3876" t="s">
        <v>44</v>
      </c>
      <c r="Q3876" s="1">
        <v>44421</v>
      </c>
    </row>
    <row r="3877" spans="1:17" x14ac:dyDescent="0.3">
      <c r="A3877" t="s">
        <v>35</v>
      </c>
      <c r="B3877" t="s">
        <v>15</v>
      </c>
      <c r="C3877" t="s">
        <v>30</v>
      </c>
      <c r="D3877" t="s">
        <v>40</v>
      </c>
      <c r="E3877" t="s">
        <v>15</v>
      </c>
      <c r="F3877" s="9">
        <v>7.0000000000000007E-2</v>
      </c>
      <c r="G3877" s="10">
        <v>17497</v>
      </c>
      <c r="H3877">
        <v>6.45</v>
      </c>
      <c r="I3877" s="5">
        <f>ROUND(Marketing[[#This Row],[Clicks]]*Marketing[[#This Row],[Conversion_Rate]],0)</f>
        <v>41</v>
      </c>
      <c r="J3877" s="12">
        <f>Marketing[[#This Row],[Campaign_Cost]]/Marketing[[#This Row],[Customers]]</f>
        <v>426.7560975609756</v>
      </c>
      <c r="K3877" t="s">
        <v>38</v>
      </c>
      <c r="L3877" t="s">
        <v>20</v>
      </c>
      <c r="M3877">
        <v>592</v>
      </c>
      <c r="N3877">
        <v>9516</v>
      </c>
      <c r="O3877">
        <v>4</v>
      </c>
      <c r="P3877" t="s">
        <v>34</v>
      </c>
      <c r="Q3877" s="1">
        <v>44422</v>
      </c>
    </row>
    <row r="3878" spans="1:17" x14ac:dyDescent="0.3">
      <c r="A3878" t="s">
        <v>49</v>
      </c>
      <c r="B3878" t="s">
        <v>29</v>
      </c>
      <c r="C3878" t="s">
        <v>30</v>
      </c>
      <c r="D3878" t="s">
        <v>46</v>
      </c>
      <c r="E3878" t="s">
        <v>31</v>
      </c>
      <c r="F3878" s="9">
        <v>0.09</v>
      </c>
      <c r="G3878" s="10">
        <v>11791</v>
      </c>
      <c r="H3878">
        <v>4.84</v>
      </c>
      <c r="I3878" s="5">
        <f>ROUND(Marketing[[#This Row],[Clicks]]*Marketing[[#This Row],[Conversion_Rate]],0)</f>
        <v>45</v>
      </c>
      <c r="J3878" s="12">
        <f>Marketing[[#This Row],[Campaign_Cost]]/Marketing[[#This Row],[Customers]]</f>
        <v>262.02222222222224</v>
      </c>
      <c r="K3878" t="s">
        <v>38</v>
      </c>
      <c r="L3878" t="s">
        <v>33</v>
      </c>
      <c r="M3878">
        <v>497</v>
      </c>
      <c r="N3878">
        <v>2307</v>
      </c>
      <c r="O3878">
        <v>5</v>
      </c>
      <c r="P3878" t="s">
        <v>42</v>
      </c>
      <c r="Q3878" s="1">
        <v>44423</v>
      </c>
    </row>
    <row r="3879" spans="1:17" x14ac:dyDescent="0.3">
      <c r="A3879" t="s">
        <v>28</v>
      </c>
      <c r="B3879" t="s">
        <v>36</v>
      </c>
      <c r="C3879" t="s">
        <v>52</v>
      </c>
      <c r="D3879" t="s">
        <v>46</v>
      </c>
      <c r="E3879" t="s">
        <v>41</v>
      </c>
      <c r="F3879" s="9">
        <v>0.04</v>
      </c>
      <c r="G3879" s="10">
        <v>10988</v>
      </c>
      <c r="H3879">
        <v>6.8</v>
      </c>
      <c r="I3879" s="5">
        <f>ROUND(Marketing[[#This Row],[Clicks]]*Marketing[[#This Row],[Conversion_Rate]],0)</f>
        <v>21</v>
      </c>
      <c r="J3879" s="12">
        <f>Marketing[[#This Row],[Campaign_Cost]]/Marketing[[#This Row],[Customers]]</f>
        <v>523.23809523809518</v>
      </c>
      <c r="K3879" t="s">
        <v>51</v>
      </c>
      <c r="L3879" t="s">
        <v>33</v>
      </c>
      <c r="M3879">
        <v>518</v>
      </c>
      <c r="N3879">
        <v>9942</v>
      </c>
      <c r="O3879">
        <v>9</v>
      </c>
      <c r="P3879" t="s">
        <v>42</v>
      </c>
      <c r="Q3879" s="1">
        <v>44424</v>
      </c>
    </row>
    <row r="3880" spans="1:17" x14ac:dyDescent="0.3">
      <c r="A3880" t="s">
        <v>14</v>
      </c>
      <c r="B3880" t="s">
        <v>29</v>
      </c>
      <c r="C3880" t="s">
        <v>37</v>
      </c>
      <c r="D3880" t="s">
        <v>40</v>
      </c>
      <c r="E3880" t="s">
        <v>31</v>
      </c>
      <c r="F3880" s="9">
        <v>0.12</v>
      </c>
      <c r="G3880" s="10">
        <v>6396</v>
      </c>
      <c r="H3880">
        <v>6.27</v>
      </c>
      <c r="I3880" s="5">
        <f>ROUND(Marketing[[#This Row],[Clicks]]*Marketing[[#This Row],[Conversion_Rate]],0)</f>
        <v>113</v>
      </c>
      <c r="J3880" s="12">
        <f>Marketing[[#This Row],[Campaign_Cost]]/Marketing[[#This Row],[Customers]]</f>
        <v>56.601769911504427</v>
      </c>
      <c r="K3880" t="s">
        <v>19</v>
      </c>
      <c r="L3880" t="s">
        <v>33</v>
      </c>
      <c r="M3880">
        <v>940</v>
      </c>
      <c r="N3880">
        <v>5825</v>
      </c>
      <c r="O3880">
        <v>6</v>
      </c>
      <c r="P3880" t="s">
        <v>27</v>
      </c>
      <c r="Q3880" s="1">
        <v>44425</v>
      </c>
    </row>
    <row r="3881" spans="1:17" x14ac:dyDescent="0.3">
      <c r="A3881" t="s">
        <v>14</v>
      </c>
      <c r="B3881" t="s">
        <v>36</v>
      </c>
      <c r="C3881" t="s">
        <v>23</v>
      </c>
      <c r="D3881" t="s">
        <v>40</v>
      </c>
      <c r="E3881" t="s">
        <v>18</v>
      </c>
      <c r="F3881" s="9">
        <v>0.1</v>
      </c>
      <c r="G3881" s="10">
        <v>15084</v>
      </c>
      <c r="H3881">
        <v>3.61</v>
      </c>
      <c r="I3881" s="5">
        <f>ROUND(Marketing[[#This Row],[Clicks]]*Marketing[[#This Row],[Conversion_Rate]],0)</f>
        <v>90</v>
      </c>
      <c r="J3881" s="12">
        <f>Marketing[[#This Row],[Campaign_Cost]]/Marketing[[#This Row],[Customers]]</f>
        <v>167.6</v>
      </c>
      <c r="K3881" t="s">
        <v>32</v>
      </c>
      <c r="L3881" t="s">
        <v>26</v>
      </c>
      <c r="M3881">
        <v>901</v>
      </c>
      <c r="N3881">
        <v>6542</v>
      </c>
      <c r="O3881">
        <v>5</v>
      </c>
      <c r="P3881" t="s">
        <v>34</v>
      </c>
      <c r="Q3881" s="1">
        <v>44426</v>
      </c>
    </row>
    <row r="3882" spans="1:17" x14ac:dyDescent="0.3">
      <c r="A3882" t="s">
        <v>49</v>
      </c>
      <c r="B3882" t="s">
        <v>45</v>
      </c>
      <c r="C3882" t="s">
        <v>52</v>
      </c>
      <c r="D3882" t="s">
        <v>24</v>
      </c>
      <c r="E3882" t="s">
        <v>31</v>
      </c>
      <c r="F3882" s="9">
        <v>0.01</v>
      </c>
      <c r="G3882" s="10">
        <v>10876</v>
      </c>
      <c r="H3882">
        <v>4.72</v>
      </c>
      <c r="I3882" s="5">
        <f>ROUND(Marketing[[#This Row],[Clicks]]*Marketing[[#This Row],[Conversion_Rate]],0)</f>
        <v>6</v>
      </c>
      <c r="J3882" s="12">
        <f>Marketing[[#This Row],[Campaign_Cost]]/Marketing[[#This Row],[Customers]]</f>
        <v>1812.6666666666667</v>
      </c>
      <c r="K3882" t="s">
        <v>38</v>
      </c>
      <c r="L3882" t="s">
        <v>20</v>
      </c>
      <c r="M3882">
        <v>627</v>
      </c>
      <c r="N3882">
        <v>7138</v>
      </c>
      <c r="O3882">
        <v>7</v>
      </c>
      <c r="P3882" t="s">
        <v>34</v>
      </c>
      <c r="Q3882" s="1">
        <v>44427</v>
      </c>
    </row>
    <row r="3883" spans="1:17" x14ac:dyDescent="0.3">
      <c r="A3883" t="s">
        <v>35</v>
      </c>
      <c r="B3883" t="s">
        <v>29</v>
      </c>
      <c r="C3883" t="s">
        <v>16</v>
      </c>
      <c r="D3883" t="s">
        <v>46</v>
      </c>
      <c r="E3883" t="s">
        <v>18</v>
      </c>
      <c r="F3883" s="9">
        <v>0.04</v>
      </c>
      <c r="G3883" s="10">
        <v>12148</v>
      </c>
      <c r="H3883">
        <v>5.0999999999999996</v>
      </c>
      <c r="I3883" s="5">
        <f>ROUND(Marketing[[#This Row],[Clicks]]*Marketing[[#This Row],[Conversion_Rate]],0)</f>
        <v>12</v>
      </c>
      <c r="J3883" s="12">
        <f>Marketing[[#This Row],[Campaign_Cost]]/Marketing[[#This Row],[Customers]]</f>
        <v>1012.3333333333334</v>
      </c>
      <c r="K3883" t="s">
        <v>51</v>
      </c>
      <c r="L3883" t="s">
        <v>20</v>
      </c>
      <c r="M3883">
        <v>298</v>
      </c>
      <c r="N3883">
        <v>5514</v>
      </c>
      <c r="O3883">
        <v>2</v>
      </c>
      <c r="P3883" t="s">
        <v>44</v>
      </c>
      <c r="Q3883" s="1">
        <v>44428</v>
      </c>
    </row>
    <row r="3884" spans="1:17" x14ac:dyDescent="0.3">
      <c r="A3884" t="s">
        <v>49</v>
      </c>
      <c r="B3884" t="s">
        <v>15</v>
      </c>
      <c r="C3884" t="s">
        <v>52</v>
      </c>
      <c r="D3884" t="s">
        <v>17</v>
      </c>
      <c r="E3884" t="s">
        <v>15</v>
      </c>
      <c r="F3884" s="9">
        <v>0.12</v>
      </c>
      <c r="G3884" s="10">
        <v>9674</v>
      </c>
      <c r="H3884">
        <v>4.6100000000000003</v>
      </c>
      <c r="I3884" s="5">
        <f>ROUND(Marketing[[#This Row],[Clicks]]*Marketing[[#This Row],[Conversion_Rate]],0)</f>
        <v>44</v>
      </c>
      <c r="J3884" s="12">
        <f>Marketing[[#This Row],[Campaign_Cost]]/Marketing[[#This Row],[Customers]]</f>
        <v>219.86363636363637</v>
      </c>
      <c r="K3884" t="s">
        <v>32</v>
      </c>
      <c r="L3884" t="s">
        <v>20</v>
      </c>
      <c r="M3884">
        <v>366</v>
      </c>
      <c r="N3884">
        <v>6977</v>
      </c>
      <c r="O3884">
        <v>5</v>
      </c>
      <c r="P3884" t="s">
        <v>44</v>
      </c>
      <c r="Q3884" s="1">
        <v>44429</v>
      </c>
    </row>
    <row r="3885" spans="1:17" x14ac:dyDescent="0.3">
      <c r="A3885" t="s">
        <v>22</v>
      </c>
      <c r="B3885" t="s">
        <v>15</v>
      </c>
      <c r="C3885" t="s">
        <v>16</v>
      </c>
      <c r="D3885" t="s">
        <v>24</v>
      </c>
      <c r="E3885" t="s">
        <v>41</v>
      </c>
      <c r="F3885" s="9">
        <v>0.02</v>
      </c>
      <c r="G3885" s="10">
        <v>12542</v>
      </c>
      <c r="H3885">
        <v>5.8</v>
      </c>
      <c r="I3885" s="5">
        <f>ROUND(Marketing[[#This Row],[Clicks]]*Marketing[[#This Row],[Conversion_Rate]],0)</f>
        <v>16</v>
      </c>
      <c r="J3885" s="12">
        <f>Marketing[[#This Row],[Campaign_Cost]]/Marketing[[#This Row],[Customers]]</f>
        <v>783.875</v>
      </c>
      <c r="K3885" t="s">
        <v>51</v>
      </c>
      <c r="L3885" t="s">
        <v>33</v>
      </c>
      <c r="M3885">
        <v>808</v>
      </c>
      <c r="N3885">
        <v>7781</v>
      </c>
      <c r="O3885">
        <v>7</v>
      </c>
      <c r="P3885" t="s">
        <v>27</v>
      </c>
      <c r="Q3885" s="1">
        <v>44430</v>
      </c>
    </row>
    <row r="3886" spans="1:17" x14ac:dyDescent="0.3">
      <c r="A3886" t="s">
        <v>14</v>
      </c>
      <c r="B3886" t="s">
        <v>45</v>
      </c>
      <c r="C3886" t="s">
        <v>37</v>
      </c>
      <c r="D3886" t="s">
        <v>24</v>
      </c>
      <c r="E3886" t="s">
        <v>31</v>
      </c>
      <c r="F3886" s="9">
        <v>0.08</v>
      </c>
      <c r="G3886" s="10">
        <v>17931</v>
      </c>
      <c r="H3886">
        <v>7.42</v>
      </c>
      <c r="I3886" s="5">
        <f>ROUND(Marketing[[#This Row],[Clicks]]*Marketing[[#This Row],[Conversion_Rate]],0)</f>
        <v>64</v>
      </c>
      <c r="J3886" s="12">
        <f>Marketing[[#This Row],[Campaign_Cost]]/Marketing[[#This Row],[Customers]]</f>
        <v>280.171875</v>
      </c>
      <c r="K3886" t="s">
        <v>38</v>
      </c>
      <c r="L3886" t="s">
        <v>50</v>
      </c>
      <c r="M3886">
        <v>798</v>
      </c>
      <c r="N3886">
        <v>1158</v>
      </c>
      <c r="O3886">
        <v>4</v>
      </c>
      <c r="P3886" t="s">
        <v>27</v>
      </c>
      <c r="Q3886" s="1">
        <v>44431</v>
      </c>
    </row>
    <row r="3887" spans="1:17" x14ac:dyDescent="0.3">
      <c r="A3887" t="s">
        <v>35</v>
      </c>
      <c r="B3887" t="s">
        <v>47</v>
      </c>
      <c r="C3887" t="s">
        <v>23</v>
      </c>
      <c r="D3887" t="s">
        <v>24</v>
      </c>
      <c r="E3887" t="s">
        <v>18</v>
      </c>
      <c r="F3887" s="9">
        <v>0.01</v>
      </c>
      <c r="G3887" s="10">
        <v>9297</v>
      </c>
      <c r="H3887">
        <v>7.66</v>
      </c>
      <c r="I3887" s="5">
        <f>ROUND(Marketing[[#This Row],[Clicks]]*Marketing[[#This Row],[Conversion_Rate]],0)</f>
        <v>9</v>
      </c>
      <c r="J3887" s="12">
        <f>Marketing[[#This Row],[Campaign_Cost]]/Marketing[[#This Row],[Customers]]</f>
        <v>1033</v>
      </c>
      <c r="K3887" t="s">
        <v>32</v>
      </c>
      <c r="L3887" t="s">
        <v>33</v>
      </c>
      <c r="M3887">
        <v>910</v>
      </c>
      <c r="N3887">
        <v>6860</v>
      </c>
      <c r="O3887">
        <v>4</v>
      </c>
      <c r="P3887" t="s">
        <v>34</v>
      </c>
      <c r="Q3887" s="1">
        <v>44432</v>
      </c>
    </row>
    <row r="3888" spans="1:17" x14ac:dyDescent="0.3">
      <c r="A3888" t="s">
        <v>14</v>
      </c>
      <c r="B3888" t="s">
        <v>36</v>
      </c>
      <c r="C3888" t="s">
        <v>37</v>
      </c>
      <c r="D3888" t="s">
        <v>17</v>
      </c>
      <c r="E3888" t="s">
        <v>18</v>
      </c>
      <c r="F3888" s="9">
        <v>0.05</v>
      </c>
      <c r="G3888" s="10">
        <v>16778</v>
      </c>
      <c r="H3888">
        <v>6.65</v>
      </c>
      <c r="I3888" s="5">
        <f>ROUND(Marketing[[#This Row],[Clicks]]*Marketing[[#This Row],[Conversion_Rate]],0)</f>
        <v>39</v>
      </c>
      <c r="J3888" s="12">
        <f>Marketing[[#This Row],[Campaign_Cost]]/Marketing[[#This Row],[Customers]]</f>
        <v>430.20512820512823</v>
      </c>
      <c r="K3888" t="s">
        <v>38</v>
      </c>
      <c r="L3888" t="s">
        <v>20</v>
      </c>
      <c r="M3888">
        <v>782</v>
      </c>
      <c r="N3888">
        <v>5008</v>
      </c>
      <c r="O3888">
        <v>10</v>
      </c>
      <c r="P3888" t="s">
        <v>34</v>
      </c>
      <c r="Q3888" s="1">
        <v>44433</v>
      </c>
    </row>
    <row r="3889" spans="1:17" x14ac:dyDescent="0.3">
      <c r="A3889" t="s">
        <v>28</v>
      </c>
      <c r="B3889" t="s">
        <v>36</v>
      </c>
      <c r="C3889" t="s">
        <v>30</v>
      </c>
      <c r="D3889" t="s">
        <v>46</v>
      </c>
      <c r="E3889" t="s">
        <v>31</v>
      </c>
      <c r="F3889" s="9">
        <v>0.11</v>
      </c>
      <c r="G3889" s="10">
        <v>16254</v>
      </c>
      <c r="H3889">
        <v>7.5</v>
      </c>
      <c r="I3889" s="5">
        <f>ROUND(Marketing[[#This Row],[Clicks]]*Marketing[[#This Row],[Conversion_Rate]],0)</f>
        <v>103</v>
      </c>
      <c r="J3889" s="12">
        <f>Marketing[[#This Row],[Campaign_Cost]]/Marketing[[#This Row],[Customers]]</f>
        <v>157.80582524271844</v>
      </c>
      <c r="K3889" t="s">
        <v>51</v>
      </c>
      <c r="L3889" t="s">
        <v>39</v>
      </c>
      <c r="M3889">
        <v>940</v>
      </c>
      <c r="N3889">
        <v>9159</v>
      </c>
      <c r="O3889">
        <v>10</v>
      </c>
      <c r="P3889" t="s">
        <v>44</v>
      </c>
      <c r="Q3889" s="1">
        <v>44434</v>
      </c>
    </row>
    <row r="3890" spans="1:17" x14ac:dyDescent="0.3">
      <c r="A3890" t="s">
        <v>28</v>
      </c>
      <c r="B3890" t="s">
        <v>45</v>
      </c>
      <c r="C3890" t="s">
        <v>52</v>
      </c>
      <c r="D3890" t="s">
        <v>24</v>
      </c>
      <c r="E3890" t="s">
        <v>43</v>
      </c>
      <c r="F3890" s="9">
        <v>0.04</v>
      </c>
      <c r="G3890" s="10">
        <v>5268</v>
      </c>
      <c r="H3890">
        <v>6.64</v>
      </c>
      <c r="I3890" s="5">
        <f>ROUND(Marketing[[#This Row],[Clicks]]*Marketing[[#This Row],[Conversion_Rate]],0)</f>
        <v>11</v>
      </c>
      <c r="J3890" s="12">
        <f>Marketing[[#This Row],[Campaign_Cost]]/Marketing[[#This Row],[Customers]]</f>
        <v>478.90909090909093</v>
      </c>
      <c r="K3890" t="s">
        <v>32</v>
      </c>
      <c r="L3890" t="s">
        <v>39</v>
      </c>
      <c r="M3890">
        <v>270</v>
      </c>
      <c r="N3890">
        <v>7585</v>
      </c>
      <c r="O3890">
        <v>9</v>
      </c>
      <c r="P3890" t="s">
        <v>44</v>
      </c>
      <c r="Q3890" s="1">
        <v>44435</v>
      </c>
    </row>
    <row r="3891" spans="1:17" x14ac:dyDescent="0.3">
      <c r="A3891" t="s">
        <v>49</v>
      </c>
      <c r="B3891" t="s">
        <v>47</v>
      </c>
      <c r="C3891" t="s">
        <v>16</v>
      </c>
      <c r="D3891" t="s">
        <v>40</v>
      </c>
      <c r="E3891" t="s">
        <v>15</v>
      </c>
      <c r="F3891" s="9">
        <v>0.02</v>
      </c>
      <c r="G3891" s="10">
        <v>16455</v>
      </c>
      <c r="H3891">
        <v>4.93</v>
      </c>
      <c r="I3891" s="5">
        <f>ROUND(Marketing[[#This Row],[Clicks]]*Marketing[[#This Row],[Conversion_Rate]],0)</f>
        <v>17</v>
      </c>
      <c r="J3891" s="12">
        <f>Marketing[[#This Row],[Campaign_Cost]]/Marketing[[#This Row],[Customers]]</f>
        <v>967.94117647058829</v>
      </c>
      <c r="K3891" t="s">
        <v>25</v>
      </c>
      <c r="L3891" t="s">
        <v>50</v>
      </c>
      <c r="M3891">
        <v>846</v>
      </c>
      <c r="N3891">
        <v>2715</v>
      </c>
      <c r="O3891">
        <v>8</v>
      </c>
      <c r="P3891" t="s">
        <v>34</v>
      </c>
      <c r="Q3891" s="1">
        <v>44436</v>
      </c>
    </row>
    <row r="3892" spans="1:17" x14ac:dyDescent="0.3">
      <c r="A3892" t="s">
        <v>28</v>
      </c>
      <c r="B3892" t="s">
        <v>47</v>
      </c>
      <c r="C3892" t="s">
        <v>52</v>
      </c>
      <c r="D3892" t="s">
        <v>24</v>
      </c>
      <c r="E3892" t="s">
        <v>18</v>
      </c>
      <c r="F3892" s="9">
        <v>0.1</v>
      </c>
      <c r="G3892" s="10">
        <v>9390</v>
      </c>
      <c r="H3892">
        <v>7.67</v>
      </c>
      <c r="I3892" s="5">
        <f>ROUND(Marketing[[#This Row],[Clicks]]*Marketing[[#This Row],[Conversion_Rate]],0)</f>
        <v>18</v>
      </c>
      <c r="J3892" s="12">
        <f>Marketing[[#This Row],[Campaign_Cost]]/Marketing[[#This Row],[Customers]]</f>
        <v>521.66666666666663</v>
      </c>
      <c r="K3892" t="s">
        <v>19</v>
      </c>
      <c r="L3892" t="s">
        <v>50</v>
      </c>
      <c r="M3892">
        <v>184</v>
      </c>
      <c r="N3892">
        <v>9319</v>
      </c>
      <c r="O3892">
        <v>6</v>
      </c>
      <c r="P3892" t="s">
        <v>21</v>
      </c>
      <c r="Q3892" s="1">
        <v>44437</v>
      </c>
    </row>
    <row r="3893" spans="1:17" x14ac:dyDescent="0.3">
      <c r="A3893" t="s">
        <v>28</v>
      </c>
      <c r="B3893" t="s">
        <v>36</v>
      </c>
      <c r="C3893" t="s">
        <v>30</v>
      </c>
      <c r="D3893" t="s">
        <v>24</v>
      </c>
      <c r="E3893" t="s">
        <v>18</v>
      </c>
      <c r="F3893" s="9">
        <v>0.12</v>
      </c>
      <c r="G3893" s="10">
        <v>13939</v>
      </c>
      <c r="H3893">
        <v>6.67</v>
      </c>
      <c r="I3893" s="5">
        <f>ROUND(Marketing[[#This Row],[Clicks]]*Marketing[[#This Row],[Conversion_Rate]],0)</f>
        <v>86</v>
      </c>
      <c r="J3893" s="12">
        <f>Marketing[[#This Row],[Campaign_Cost]]/Marketing[[#This Row],[Customers]]</f>
        <v>162.08139534883722</v>
      </c>
      <c r="K3893" t="s">
        <v>32</v>
      </c>
      <c r="L3893" t="s">
        <v>50</v>
      </c>
      <c r="M3893">
        <v>714</v>
      </c>
      <c r="N3893">
        <v>9979</v>
      </c>
      <c r="O3893">
        <v>7</v>
      </c>
      <c r="P3893" t="s">
        <v>34</v>
      </c>
      <c r="Q3893" s="1">
        <v>44438</v>
      </c>
    </row>
    <row r="3894" spans="1:17" x14ac:dyDescent="0.3">
      <c r="A3894" t="s">
        <v>28</v>
      </c>
      <c r="B3894" t="s">
        <v>36</v>
      </c>
      <c r="C3894" t="s">
        <v>52</v>
      </c>
      <c r="D3894" t="s">
        <v>46</v>
      </c>
      <c r="E3894" t="s">
        <v>15</v>
      </c>
      <c r="F3894" s="9">
        <v>0.14000000000000001</v>
      </c>
      <c r="G3894" s="10">
        <v>16252</v>
      </c>
      <c r="H3894">
        <v>6.37</v>
      </c>
      <c r="I3894" s="5">
        <f>ROUND(Marketing[[#This Row],[Clicks]]*Marketing[[#This Row],[Conversion_Rate]],0)</f>
        <v>56</v>
      </c>
      <c r="J3894" s="12">
        <f>Marketing[[#This Row],[Campaign_Cost]]/Marketing[[#This Row],[Customers]]</f>
        <v>290.21428571428572</v>
      </c>
      <c r="K3894" t="s">
        <v>32</v>
      </c>
      <c r="L3894" t="s">
        <v>33</v>
      </c>
      <c r="M3894">
        <v>402</v>
      </c>
      <c r="N3894">
        <v>4846</v>
      </c>
      <c r="O3894">
        <v>4</v>
      </c>
      <c r="P3894" t="s">
        <v>44</v>
      </c>
      <c r="Q3894" s="1">
        <v>44439</v>
      </c>
    </row>
    <row r="3895" spans="1:17" x14ac:dyDescent="0.3">
      <c r="A3895" t="s">
        <v>35</v>
      </c>
      <c r="B3895" t="s">
        <v>36</v>
      </c>
      <c r="C3895" t="s">
        <v>52</v>
      </c>
      <c r="D3895" t="s">
        <v>17</v>
      </c>
      <c r="E3895" t="s">
        <v>31</v>
      </c>
      <c r="F3895" s="9">
        <v>0.05</v>
      </c>
      <c r="G3895" s="10">
        <v>6565</v>
      </c>
      <c r="H3895">
        <v>7.68</v>
      </c>
      <c r="I3895" s="5">
        <f>ROUND(Marketing[[#This Row],[Clicks]]*Marketing[[#This Row],[Conversion_Rate]],0)</f>
        <v>19</v>
      </c>
      <c r="J3895" s="12">
        <f>Marketing[[#This Row],[Campaign_Cost]]/Marketing[[#This Row],[Customers]]</f>
        <v>345.5263157894737</v>
      </c>
      <c r="K3895" t="s">
        <v>51</v>
      </c>
      <c r="L3895" t="s">
        <v>26</v>
      </c>
      <c r="M3895">
        <v>379</v>
      </c>
      <c r="N3895">
        <v>5453</v>
      </c>
      <c r="O3895">
        <v>10</v>
      </c>
      <c r="P3895" t="s">
        <v>34</v>
      </c>
      <c r="Q3895" s="1">
        <v>44440</v>
      </c>
    </row>
    <row r="3896" spans="1:17" x14ac:dyDescent="0.3">
      <c r="A3896" t="s">
        <v>14</v>
      </c>
      <c r="B3896" t="s">
        <v>47</v>
      </c>
      <c r="C3896" t="s">
        <v>37</v>
      </c>
      <c r="D3896" t="s">
        <v>17</v>
      </c>
      <c r="E3896" t="s">
        <v>43</v>
      </c>
      <c r="F3896" s="9">
        <v>0.13</v>
      </c>
      <c r="G3896" s="10">
        <v>19029</v>
      </c>
      <c r="H3896">
        <v>4.71</v>
      </c>
      <c r="I3896" s="5">
        <f>ROUND(Marketing[[#This Row],[Clicks]]*Marketing[[#This Row],[Conversion_Rate]],0)</f>
        <v>54</v>
      </c>
      <c r="J3896" s="12">
        <f>Marketing[[#This Row],[Campaign_Cost]]/Marketing[[#This Row],[Customers]]</f>
        <v>352.38888888888891</v>
      </c>
      <c r="K3896" t="s">
        <v>25</v>
      </c>
      <c r="L3896" t="s">
        <v>20</v>
      </c>
      <c r="M3896">
        <v>419</v>
      </c>
      <c r="N3896">
        <v>4444</v>
      </c>
      <c r="O3896">
        <v>2</v>
      </c>
      <c r="P3896" t="s">
        <v>21</v>
      </c>
      <c r="Q3896" s="1">
        <v>44441</v>
      </c>
    </row>
    <row r="3897" spans="1:17" x14ac:dyDescent="0.3">
      <c r="A3897" t="s">
        <v>14</v>
      </c>
      <c r="B3897" t="s">
        <v>47</v>
      </c>
      <c r="C3897" t="s">
        <v>23</v>
      </c>
      <c r="D3897" t="s">
        <v>40</v>
      </c>
      <c r="E3897" t="s">
        <v>15</v>
      </c>
      <c r="F3897" s="9">
        <v>0.05</v>
      </c>
      <c r="G3897" s="10">
        <v>12477</v>
      </c>
      <c r="H3897">
        <v>7.82</v>
      </c>
      <c r="I3897" s="5">
        <f>ROUND(Marketing[[#This Row],[Clicks]]*Marketing[[#This Row],[Conversion_Rate]],0)</f>
        <v>27</v>
      </c>
      <c r="J3897" s="12">
        <f>Marketing[[#This Row],[Campaign_Cost]]/Marketing[[#This Row],[Customers]]</f>
        <v>462.11111111111109</v>
      </c>
      <c r="K3897" t="s">
        <v>32</v>
      </c>
      <c r="L3897" t="s">
        <v>39</v>
      </c>
      <c r="M3897">
        <v>546</v>
      </c>
      <c r="N3897">
        <v>3033</v>
      </c>
      <c r="O3897">
        <v>8</v>
      </c>
      <c r="P3897" t="s">
        <v>42</v>
      </c>
      <c r="Q3897" s="1">
        <v>44442</v>
      </c>
    </row>
    <row r="3898" spans="1:17" x14ac:dyDescent="0.3">
      <c r="A3898" t="s">
        <v>35</v>
      </c>
      <c r="B3898" t="s">
        <v>36</v>
      </c>
      <c r="C3898" t="s">
        <v>30</v>
      </c>
      <c r="D3898" t="s">
        <v>40</v>
      </c>
      <c r="E3898" t="s">
        <v>18</v>
      </c>
      <c r="F3898" s="9">
        <v>0.05</v>
      </c>
      <c r="G3898" s="10">
        <v>12298</v>
      </c>
      <c r="H3898">
        <v>3.62</v>
      </c>
      <c r="I3898" s="5">
        <f>ROUND(Marketing[[#This Row],[Clicks]]*Marketing[[#This Row],[Conversion_Rate]],0)</f>
        <v>8</v>
      </c>
      <c r="J3898" s="12">
        <f>Marketing[[#This Row],[Campaign_Cost]]/Marketing[[#This Row],[Customers]]</f>
        <v>1537.25</v>
      </c>
      <c r="K3898" t="s">
        <v>38</v>
      </c>
      <c r="L3898" t="s">
        <v>33</v>
      </c>
      <c r="M3898">
        <v>152</v>
      </c>
      <c r="N3898">
        <v>1450</v>
      </c>
      <c r="O3898">
        <v>4</v>
      </c>
      <c r="P3898" t="s">
        <v>44</v>
      </c>
      <c r="Q3898" s="1">
        <v>44443</v>
      </c>
    </row>
    <row r="3899" spans="1:17" x14ac:dyDescent="0.3">
      <c r="A3899" t="s">
        <v>14</v>
      </c>
      <c r="B3899" t="s">
        <v>15</v>
      </c>
      <c r="C3899" t="s">
        <v>37</v>
      </c>
      <c r="D3899" t="s">
        <v>17</v>
      </c>
      <c r="E3899" t="s">
        <v>43</v>
      </c>
      <c r="F3899" s="9">
        <v>0.13</v>
      </c>
      <c r="G3899" s="10">
        <v>18106</v>
      </c>
      <c r="H3899">
        <v>4.99</v>
      </c>
      <c r="I3899" s="5">
        <f>ROUND(Marketing[[#This Row],[Clicks]]*Marketing[[#This Row],[Conversion_Rate]],0)</f>
        <v>82</v>
      </c>
      <c r="J3899" s="12">
        <f>Marketing[[#This Row],[Campaign_Cost]]/Marketing[[#This Row],[Customers]]</f>
        <v>220.80487804878049</v>
      </c>
      <c r="K3899" t="s">
        <v>38</v>
      </c>
      <c r="L3899" t="s">
        <v>33</v>
      </c>
      <c r="M3899">
        <v>630</v>
      </c>
      <c r="N3899">
        <v>6778</v>
      </c>
      <c r="O3899">
        <v>3</v>
      </c>
      <c r="P3899" t="s">
        <v>27</v>
      </c>
      <c r="Q3899" s="1">
        <v>44444</v>
      </c>
    </row>
    <row r="3900" spans="1:17" x14ac:dyDescent="0.3">
      <c r="A3900" t="s">
        <v>49</v>
      </c>
      <c r="B3900" t="s">
        <v>45</v>
      </c>
      <c r="C3900" t="s">
        <v>30</v>
      </c>
      <c r="D3900" t="s">
        <v>24</v>
      </c>
      <c r="E3900" t="s">
        <v>15</v>
      </c>
      <c r="F3900" s="9">
        <v>0.11</v>
      </c>
      <c r="G3900" s="10">
        <v>7956</v>
      </c>
      <c r="H3900">
        <v>4.84</v>
      </c>
      <c r="I3900" s="5">
        <f>ROUND(Marketing[[#This Row],[Clicks]]*Marketing[[#This Row],[Conversion_Rate]],0)</f>
        <v>31</v>
      </c>
      <c r="J3900" s="12">
        <f>Marketing[[#This Row],[Campaign_Cost]]/Marketing[[#This Row],[Customers]]</f>
        <v>256.64516129032256</v>
      </c>
      <c r="K3900" t="s">
        <v>25</v>
      </c>
      <c r="L3900" t="s">
        <v>50</v>
      </c>
      <c r="M3900">
        <v>278</v>
      </c>
      <c r="N3900">
        <v>7018</v>
      </c>
      <c r="O3900">
        <v>9</v>
      </c>
      <c r="P3900" t="s">
        <v>42</v>
      </c>
      <c r="Q3900" s="1">
        <v>44445</v>
      </c>
    </row>
    <row r="3901" spans="1:17" x14ac:dyDescent="0.3">
      <c r="A3901" t="s">
        <v>35</v>
      </c>
      <c r="B3901" t="s">
        <v>47</v>
      </c>
      <c r="C3901" t="s">
        <v>16</v>
      </c>
      <c r="D3901" t="s">
        <v>46</v>
      </c>
      <c r="E3901" t="s">
        <v>48</v>
      </c>
      <c r="F3901" s="9">
        <v>0.04</v>
      </c>
      <c r="G3901" s="10">
        <v>7320</v>
      </c>
      <c r="H3901">
        <v>4.34</v>
      </c>
      <c r="I3901" s="5">
        <f>ROUND(Marketing[[#This Row],[Clicks]]*Marketing[[#This Row],[Conversion_Rate]],0)</f>
        <v>30</v>
      </c>
      <c r="J3901" s="12">
        <f>Marketing[[#This Row],[Campaign_Cost]]/Marketing[[#This Row],[Customers]]</f>
        <v>244</v>
      </c>
      <c r="K3901" t="s">
        <v>32</v>
      </c>
      <c r="L3901" t="s">
        <v>50</v>
      </c>
      <c r="M3901">
        <v>760</v>
      </c>
      <c r="N3901">
        <v>2774</v>
      </c>
      <c r="O3901">
        <v>8</v>
      </c>
      <c r="P3901" t="s">
        <v>34</v>
      </c>
      <c r="Q3901" s="1">
        <v>44446</v>
      </c>
    </row>
    <row r="3902" spans="1:17" x14ac:dyDescent="0.3">
      <c r="A3902" t="s">
        <v>28</v>
      </c>
      <c r="B3902" t="s">
        <v>47</v>
      </c>
      <c r="C3902" t="s">
        <v>16</v>
      </c>
      <c r="D3902" t="s">
        <v>17</v>
      </c>
      <c r="E3902" t="s">
        <v>48</v>
      </c>
      <c r="F3902" s="9">
        <v>0.02</v>
      </c>
      <c r="G3902" s="10">
        <v>10022</v>
      </c>
      <c r="H3902">
        <v>6.11</v>
      </c>
      <c r="I3902" s="5">
        <f>ROUND(Marketing[[#This Row],[Clicks]]*Marketing[[#This Row],[Conversion_Rate]],0)</f>
        <v>17</v>
      </c>
      <c r="J3902" s="12">
        <f>Marketing[[#This Row],[Campaign_Cost]]/Marketing[[#This Row],[Customers]]</f>
        <v>589.52941176470586</v>
      </c>
      <c r="K3902" t="s">
        <v>32</v>
      </c>
      <c r="L3902" t="s">
        <v>33</v>
      </c>
      <c r="M3902">
        <v>855</v>
      </c>
      <c r="N3902">
        <v>8826</v>
      </c>
      <c r="O3902">
        <v>6</v>
      </c>
      <c r="P3902" t="s">
        <v>21</v>
      </c>
      <c r="Q3902" s="1">
        <v>44447</v>
      </c>
    </row>
    <row r="3903" spans="1:17" x14ac:dyDescent="0.3">
      <c r="A3903" t="s">
        <v>22</v>
      </c>
      <c r="B3903" t="s">
        <v>15</v>
      </c>
      <c r="C3903" t="s">
        <v>52</v>
      </c>
      <c r="D3903" t="s">
        <v>17</v>
      </c>
      <c r="E3903" t="s">
        <v>31</v>
      </c>
      <c r="F3903" s="9">
        <v>0.08</v>
      </c>
      <c r="G3903" s="10">
        <v>13457</v>
      </c>
      <c r="H3903">
        <v>3.56</v>
      </c>
      <c r="I3903" s="5">
        <f>ROUND(Marketing[[#This Row],[Clicks]]*Marketing[[#This Row],[Conversion_Rate]],0)</f>
        <v>32</v>
      </c>
      <c r="J3903" s="12">
        <f>Marketing[[#This Row],[Campaign_Cost]]/Marketing[[#This Row],[Customers]]</f>
        <v>420.53125</v>
      </c>
      <c r="K3903" t="s">
        <v>32</v>
      </c>
      <c r="L3903" t="s">
        <v>26</v>
      </c>
      <c r="M3903">
        <v>397</v>
      </c>
      <c r="N3903">
        <v>9801</v>
      </c>
      <c r="O3903">
        <v>8</v>
      </c>
      <c r="P3903" t="s">
        <v>34</v>
      </c>
      <c r="Q3903" s="1">
        <v>44448</v>
      </c>
    </row>
    <row r="3904" spans="1:17" x14ac:dyDescent="0.3">
      <c r="A3904" t="s">
        <v>22</v>
      </c>
      <c r="B3904" t="s">
        <v>45</v>
      </c>
      <c r="C3904" t="s">
        <v>16</v>
      </c>
      <c r="D3904" t="s">
        <v>24</v>
      </c>
      <c r="E3904" t="s">
        <v>41</v>
      </c>
      <c r="F3904" s="9">
        <v>0.09</v>
      </c>
      <c r="G3904" s="10">
        <v>18505</v>
      </c>
      <c r="H3904">
        <v>4.33</v>
      </c>
      <c r="I3904" s="5">
        <f>ROUND(Marketing[[#This Row],[Clicks]]*Marketing[[#This Row],[Conversion_Rate]],0)</f>
        <v>44</v>
      </c>
      <c r="J3904" s="12">
        <f>Marketing[[#This Row],[Campaign_Cost]]/Marketing[[#This Row],[Customers]]</f>
        <v>420.56818181818181</v>
      </c>
      <c r="K3904" t="s">
        <v>19</v>
      </c>
      <c r="L3904" t="s">
        <v>50</v>
      </c>
      <c r="M3904">
        <v>486</v>
      </c>
      <c r="N3904">
        <v>6304</v>
      </c>
      <c r="O3904">
        <v>9</v>
      </c>
      <c r="P3904" t="s">
        <v>21</v>
      </c>
      <c r="Q3904" s="1">
        <v>44449</v>
      </c>
    </row>
    <row r="3905" spans="1:17" x14ac:dyDescent="0.3">
      <c r="A3905" t="s">
        <v>35</v>
      </c>
      <c r="B3905" t="s">
        <v>15</v>
      </c>
      <c r="C3905" t="s">
        <v>37</v>
      </c>
      <c r="D3905" t="s">
        <v>17</v>
      </c>
      <c r="E3905" t="s">
        <v>41</v>
      </c>
      <c r="F3905" s="9">
        <v>0.04</v>
      </c>
      <c r="G3905" s="10">
        <v>12654</v>
      </c>
      <c r="H3905">
        <v>5.0599999999999996</v>
      </c>
      <c r="I3905" s="5">
        <f>ROUND(Marketing[[#This Row],[Clicks]]*Marketing[[#This Row],[Conversion_Rate]],0)</f>
        <v>37</v>
      </c>
      <c r="J3905" s="12">
        <f>Marketing[[#This Row],[Campaign_Cost]]/Marketing[[#This Row],[Customers]]</f>
        <v>342</v>
      </c>
      <c r="K3905" t="s">
        <v>25</v>
      </c>
      <c r="L3905" t="s">
        <v>50</v>
      </c>
      <c r="M3905">
        <v>933</v>
      </c>
      <c r="N3905">
        <v>3566</v>
      </c>
      <c r="O3905">
        <v>3</v>
      </c>
      <c r="P3905" t="s">
        <v>21</v>
      </c>
      <c r="Q3905" s="1">
        <v>44450</v>
      </c>
    </row>
    <row r="3906" spans="1:17" x14ac:dyDescent="0.3">
      <c r="A3906" t="s">
        <v>35</v>
      </c>
      <c r="B3906" t="s">
        <v>47</v>
      </c>
      <c r="C3906" t="s">
        <v>23</v>
      </c>
      <c r="D3906" t="s">
        <v>40</v>
      </c>
      <c r="E3906" t="s">
        <v>48</v>
      </c>
      <c r="F3906" s="9">
        <v>0.05</v>
      </c>
      <c r="G3906" s="10">
        <v>6529</v>
      </c>
      <c r="H3906">
        <v>4.9400000000000004</v>
      </c>
      <c r="I3906" s="5">
        <f>ROUND(Marketing[[#This Row],[Clicks]]*Marketing[[#This Row],[Conversion_Rate]],0)</f>
        <v>33</v>
      </c>
      <c r="J3906" s="12">
        <f>Marketing[[#This Row],[Campaign_Cost]]/Marketing[[#This Row],[Customers]]</f>
        <v>197.84848484848484</v>
      </c>
      <c r="K3906" t="s">
        <v>19</v>
      </c>
      <c r="L3906" t="s">
        <v>20</v>
      </c>
      <c r="M3906">
        <v>665</v>
      </c>
      <c r="N3906">
        <v>1488</v>
      </c>
      <c r="O3906">
        <v>8</v>
      </c>
      <c r="P3906" t="s">
        <v>34</v>
      </c>
      <c r="Q3906" s="1">
        <v>44451</v>
      </c>
    </row>
    <row r="3907" spans="1:17" x14ac:dyDescent="0.3">
      <c r="A3907" t="s">
        <v>35</v>
      </c>
      <c r="B3907" t="s">
        <v>45</v>
      </c>
      <c r="C3907" t="s">
        <v>30</v>
      </c>
      <c r="D3907" t="s">
        <v>17</v>
      </c>
      <c r="E3907" t="s">
        <v>31</v>
      </c>
      <c r="F3907" s="9">
        <v>0.02</v>
      </c>
      <c r="G3907" s="10">
        <v>6064</v>
      </c>
      <c r="H3907">
        <v>7.46</v>
      </c>
      <c r="I3907" s="5">
        <f>ROUND(Marketing[[#This Row],[Clicks]]*Marketing[[#This Row],[Conversion_Rate]],0)</f>
        <v>3</v>
      </c>
      <c r="J3907" s="12">
        <f>Marketing[[#This Row],[Campaign_Cost]]/Marketing[[#This Row],[Customers]]</f>
        <v>2021.3333333333333</v>
      </c>
      <c r="K3907" t="s">
        <v>25</v>
      </c>
      <c r="L3907" t="s">
        <v>26</v>
      </c>
      <c r="M3907">
        <v>147</v>
      </c>
      <c r="N3907">
        <v>1223</v>
      </c>
      <c r="O3907">
        <v>1</v>
      </c>
      <c r="P3907" t="s">
        <v>27</v>
      </c>
      <c r="Q3907" s="1">
        <v>44452</v>
      </c>
    </row>
    <row r="3908" spans="1:17" x14ac:dyDescent="0.3">
      <c r="A3908" t="s">
        <v>49</v>
      </c>
      <c r="B3908" t="s">
        <v>15</v>
      </c>
      <c r="C3908" t="s">
        <v>23</v>
      </c>
      <c r="D3908" t="s">
        <v>17</v>
      </c>
      <c r="E3908" t="s">
        <v>41</v>
      </c>
      <c r="F3908" s="9">
        <v>0.04</v>
      </c>
      <c r="G3908" s="10">
        <v>16901</v>
      </c>
      <c r="H3908">
        <v>2.69</v>
      </c>
      <c r="I3908" s="5">
        <f>ROUND(Marketing[[#This Row],[Clicks]]*Marketing[[#This Row],[Conversion_Rate]],0)</f>
        <v>35</v>
      </c>
      <c r="J3908" s="12">
        <f>Marketing[[#This Row],[Campaign_Cost]]/Marketing[[#This Row],[Customers]]</f>
        <v>482.8857142857143</v>
      </c>
      <c r="K3908" t="s">
        <v>25</v>
      </c>
      <c r="L3908" t="s">
        <v>50</v>
      </c>
      <c r="M3908">
        <v>870</v>
      </c>
      <c r="N3908">
        <v>8362</v>
      </c>
      <c r="O3908">
        <v>9</v>
      </c>
      <c r="P3908" t="s">
        <v>21</v>
      </c>
      <c r="Q3908" s="1">
        <v>44453</v>
      </c>
    </row>
    <row r="3909" spans="1:17" x14ac:dyDescent="0.3">
      <c r="A3909" t="s">
        <v>49</v>
      </c>
      <c r="B3909" t="s">
        <v>36</v>
      </c>
      <c r="C3909" t="s">
        <v>16</v>
      </c>
      <c r="D3909" t="s">
        <v>17</v>
      </c>
      <c r="E3909" t="s">
        <v>48</v>
      </c>
      <c r="F3909" s="9">
        <v>0.09</v>
      </c>
      <c r="G3909" s="10">
        <v>5517</v>
      </c>
      <c r="H3909">
        <v>7.32</v>
      </c>
      <c r="I3909" s="5">
        <f>ROUND(Marketing[[#This Row],[Clicks]]*Marketing[[#This Row],[Conversion_Rate]],0)</f>
        <v>27</v>
      </c>
      <c r="J3909" s="12">
        <f>Marketing[[#This Row],[Campaign_Cost]]/Marketing[[#This Row],[Customers]]</f>
        <v>204.33333333333334</v>
      </c>
      <c r="K3909" t="s">
        <v>51</v>
      </c>
      <c r="L3909" t="s">
        <v>50</v>
      </c>
      <c r="M3909">
        <v>295</v>
      </c>
      <c r="N3909">
        <v>5382</v>
      </c>
      <c r="O3909">
        <v>9</v>
      </c>
      <c r="P3909" t="s">
        <v>42</v>
      </c>
      <c r="Q3909" s="1">
        <v>44454</v>
      </c>
    </row>
    <row r="3910" spans="1:17" x14ac:dyDescent="0.3">
      <c r="A3910" t="s">
        <v>35</v>
      </c>
      <c r="B3910" t="s">
        <v>45</v>
      </c>
      <c r="C3910" t="s">
        <v>52</v>
      </c>
      <c r="D3910" t="s">
        <v>17</v>
      </c>
      <c r="E3910" t="s">
        <v>31</v>
      </c>
      <c r="F3910" s="9">
        <v>0.04</v>
      </c>
      <c r="G3910" s="10">
        <v>17790</v>
      </c>
      <c r="H3910">
        <v>2.9</v>
      </c>
      <c r="I3910" s="5">
        <f>ROUND(Marketing[[#This Row],[Clicks]]*Marketing[[#This Row],[Conversion_Rate]],0)</f>
        <v>38</v>
      </c>
      <c r="J3910" s="12">
        <f>Marketing[[#This Row],[Campaign_Cost]]/Marketing[[#This Row],[Customers]]</f>
        <v>468.15789473684208</v>
      </c>
      <c r="K3910" t="s">
        <v>25</v>
      </c>
      <c r="L3910" t="s">
        <v>39</v>
      </c>
      <c r="M3910">
        <v>955</v>
      </c>
      <c r="N3910">
        <v>4898</v>
      </c>
      <c r="O3910">
        <v>7</v>
      </c>
      <c r="P3910" t="s">
        <v>44</v>
      </c>
      <c r="Q3910" s="1">
        <v>44455</v>
      </c>
    </row>
    <row r="3911" spans="1:17" x14ac:dyDescent="0.3">
      <c r="A3911" t="s">
        <v>28</v>
      </c>
      <c r="B3911" t="s">
        <v>36</v>
      </c>
      <c r="C3911" t="s">
        <v>16</v>
      </c>
      <c r="D3911" t="s">
        <v>24</v>
      </c>
      <c r="E3911" t="s">
        <v>43</v>
      </c>
      <c r="F3911" s="9">
        <v>0.03</v>
      </c>
      <c r="G3911" s="10">
        <v>15195</v>
      </c>
      <c r="H3911">
        <v>4.18</v>
      </c>
      <c r="I3911" s="5">
        <f>ROUND(Marketing[[#This Row],[Clicks]]*Marketing[[#This Row],[Conversion_Rate]],0)</f>
        <v>4</v>
      </c>
      <c r="J3911" s="12">
        <f>Marketing[[#This Row],[Campaign_Cost]]/Marketing[[#This Row],[Customers]]</f>
        <v>3798.75</v>
      </c>
      <c r="K3911" t="s">
        <v>19</v>
      </c>
      <c r="L3911" t="s">
        <v>33</v>
      </c>
      <c r="M3911">
        <v>135</v>
      </c>
      <c r="N3911">
        <v>5736</v>
      </c>
      <c r="O3911">
        <v>3</v>
      </c>
      <c r="P3911" t="s">
        <v>21</v>
      </c>
      <c r="Q3911" s="1">
        <v>44456</v>
      </c>
    </row>
    <row r="3912" spans="1:17" x14ac:dyDescent="0.3">
      <c r="A3912" t="s">
        <v>28</v>
      </c>
      <c r="B3912" t="s">
        <v>45</v>
      </c>
      <c r="C3912" t="s">
        <v>52</v>
      </c>
      <c r="D3912" t="s">
        <v>17</v>
      </c>
      <c r="E3912" t="s">
        <v>43</v>
      </c>
      <c r="F3912" s="9">
        <v>0.05</v>
      </c>
      <c r="G3912" s="10">
        <v>9938</v>
      </c>
      <c r="H3912">
        <v>6.89</v>
      </c>
      <c r="I3912" s="5">
        <f>ROUND(Marketing[[#This Row],[Clicks]]*Marketing[[#This Row],[Conversion_Rate]],0)</f>
        <v>43</v>
      </c>
      <c r="J3912" s="12">
        <f>Marketing[[#This Row],[Campaign_Cost]]/Marketing[[#This Row],[Customers]]</f>
        <v>231.11627906976744</v>
      </c>
      <c r="K3912" t="s">
        <v>51</v>
      </c>
      <c r="L3912" t="s">
        <v>39</v>
      </c>
      <c r="M3912">
        <v>852</v>
      </c>
      <c r="N3912">
        <v>9716</v>
      </c>
      <c r="O3912">
        <v>6</v>
      </c>
      <c r="P3912" t="s">
        <v>21</v>
      </c>
      <c r="Q3912" s="1">
        <v>44457</v>
      </c>
    </row>
    <row r="3913" spans="1:17" x14ac:dyDescent="0.3">
      <c r="A3913" t="s">
        <v>14</v>
      </c>
      <c r="B3913" t="s">
        <v>36</v>
      </c>
      <c r="C3913" t="s">
        <v>30</v>
      </c>
      <c r="D3913" t="s">
        <v>24</v>
      </c>
      <c r="E3913" t="s">
        <v>18</v>
      </c>
      <c r="F3913" s="9">
        <v>0.11</v>
      </c>
      <c r="G3913" s="10">
        <v>7126</v>
      </c>
      <c r="H3913">
        <v>3</v>
      </c>
      <c r="I3913" s="5">
        <f>ROUND(Marketing[[#This Row],[Clicks]]*Marketing[[#This Row],[Conversion_Rate]],0)</f>
        <v>59</v>
      </c>
      <c r="J3913" s="12">
        <f>Marketing[[#This Row],[Campaign_Cost]]/Marketing[[#This Row],[Customers]]</f>
        <v>120.77966101694915</v>
      </c>
      <c r="K3913" t="s">
        <v>25</v>
      </c>
      <c r="L3913" t="s">
        <v>39</v>
      </c>
      <c r="M3913">
        <v>535</v>
      </c>
      <c r="N3913">
        <v>8831</v>
      </c>
      <c r="O3913">
        <v>8</v>
      </c>
      <c r="P3913" t="s">
        <v>44</v>
      </c>
      <c r="Q3913" s="1">
        <v>44458</v>
      </c>
    </row>
    <row r="3914" spans="1:17" x14ac:dyDescent="0.3">
      <c r="A3914" t="s">
        <v>49</v>
      </c>
      <c r="B3914" t="s">
        <v>29</v>
      </c>
      <c r="C3914" t="s">
        <v>23</v>
      </c>
      <c r="D3914" t="s">
        <v>46</v>
      </c>
      <c r="E3914" t="s">
        <v>15</v>
      </c>
      <c r="F3914" s="9">
        <v>0.12</v>
      </c>
      <c r="G3914" s="10">
        <v>17691</v>
      </c>
      <c r="H3914">
        <v>4.87</v>
      </c>
      <c r="I3914" s="5">
        <f>ROUND(Marketing[[#This Row],[Clicks]]*Marketing[[#This Row],[Conversion_Rate]],0)</f>
        <v>67</v>
      </c>
      <c r="J3914" s="12">
        <f>Marketing[[#This Row],[Campaign_Cost]]/Marketing[[#This Row],[Customers]]</f>
        <v>264.04477611940297</v>
      </c>
      <c r="K3914" t="s">
        <v>32</v>
      </c>
      <c r="L3914" t="s">
        <v>26</v>
      </c>
      <c r="M3914">
        <v>559</v>
      </c>
      <c r="N3914">
        <v>8643</v>
      </c>
      <c r="O3914">
        <v>4</v>
      </c>
      <c r="P3914" t="s">
        <v>34</v>
      </c>
      <c r="Q3914" s="1">
        <v>44459</v>
      </c>
    </row>
    <row r="3915" spans="1:17" x14ac:dyDescent="0.3">
      <c r="A3915" t="s">
        <v>28</v>
      </c>
      <c r="B3915" t="s">
        <v>47</v>
      </c>
      <c r="C3915" t="s">
        <v>23</v>
      </c>
      <c r="D3915" t="s">
        <v>40</v>
      </c>
      <c r="E3915" t="s">
        <v>43</v>
      </c>
      <c r="F3915" s="9">
        <v>0.06</v>
      </c>
      <c r="G3915" s="10">
        <v>13397</v>
      </c>
      <c r="H3915">
        <v>4.9000000000000004</v>
      </c>
      <c r="I3915" s="5">
        <f>ROUND(Marketing[[#This Row],[Clicks]]*Marketing[[#This Row],[Conversion_Rate]],0)</f>
        <v>11</v>
      </c>
      <c r="J3915" s="12">
        <f>Marketing[[#This Row],[Campaign_Cost]]/Marketing[[#This Row],[Customers]]</f>
        <v>1217.909090909091</v>
      </c>
      <c r="K3915" t="s">
        <v>38</v>
      </c>
      <c r="L3915" t="s">
        <v>33</v>
      </c>
      <c r="M3915">
        <v>175</v>
      </c>
      <c r="N3915">
        <v>5156</v>
      </c>
      <c r="O3915">
        <v>6</v>
      </c>
      <c r="P3915" t="s">
        <v>44</v>
      </c>
      <c r="Q3915" s="1">
        <v>44460</v>
      </c>
    </row>
    <row r="3916" spans="1:17" x14ac:dyDescent="0.3">
      <c r="A3916" t="s">
        <v>22</v>
      </c>
      <c r="B3916" t="s">
        <v>15</v>
      </c>
      <c r="C3916" t="s">
        <v>52</v>
      </c>
      <c r="D3916" t="s">
        <v>46</v>
      </c>
      <c r="E3916" t="s">
        <v>48</v>
      </c>
      <c r="F3916" s="9">
        <v>0.04</v>
      </c>
      <c r="G3916" s="10">
        <v>5524</v>
      </c>
      <c r="H3916">
        <v>5.0599999999999996</v>
      </c>
      <c r="I3916" s="5">
        <f>ROUND(Marketing[[#This Row],[Clicks]]*Marketing[[#This Row],[Conversion_Rate]],0)</f>
        <v>36</v>
      </c>
      <c r="J3916" s="12">
        <f>Marketing[[#This Row],[Campaign_Cost]]/Marketing[[#This Row],[Customers]]</f>
        <v>153.44444444444446</v>
      </c>
      <c r="K3916" t="s">
        <v>32</v>
      </c>
      <c r="L3916" t="s">
        <v>26</v>
      </c>
      <c r="M3916">
        <v>912</v>
      </c>
      <c r="N3916">
        <v>1483</v>
      </c>
      <c r="O3916">
        <v>4</v>
      </c>
      <c r="P3916" t="s">
        <v>27</v>
      </c>
      <c r="Q3916" s="1">
        <v>44461</v>
      </c>
    </row>
    <row r="3917" spans="1:17" x14ac:dyDescent="0.3">
      <c r="A3917" t="s">
        <v>22</v>
      </c>
      <c r="B3917" t="s">
        <v>47</v>
      </c>
      <c r="C3917" t="s">
        <v>30</v>
      </c>
      <c r="D3917" t="s">
        <v>40</v>
      </c>
      <c r="E3917" t="s">
        <v>18</v>
      </c>
      <c r="F3917" s="9">
        <v>0.01</v>
      </c>
      <c r="G3917" s="10">
        <v>9451</v>
      </c>
      <c r="H3917">
        <v>2.92</v>
      </c>
      <c r="I3917" s="5">
        <f>ROUND(Marketing[[#This Row],[Clicks]]*Marketing[[#This Row],[Conversion_Rate]],0)</f>
        <v>10</v>
      </c>
      <c r="J3917" s="12">
        <f>Marketing[[#This Row],[Campaign_Cost]]/Marketing[[#This Row],[Customers]]</f>
        <v>945.1</v>
      </c>
      <c r="K3917" t="s">
        <v>25</v>
      </c>
      <c r="L3917" t="s">
        <v>33</v>
      </c>
      <c r="M3917">
        <v>954</v>
      </c>
      <c r="N3917">
        <v>4263</v>
      </c>
      <c r="O3917">
        <v>4</v>
      </c>
      <c r="P3917" t="s">
        <v>27</v>
      </c>
      <c r="Q3917" s="1">
        <v>44462</v>
      </c>
    </row>
    <row r="3918" spans="1:17" x14ac:dyDescent="0.3">
      <c r="A3918" t="s">
        <v>35</v>
      </c>
      <c r="B3918" t="s">
        <v>36</v>
      </c>
      <c r="C3918" t="s">
        <v>30</v>
      </c>
      <c r="D3918" t="s">
        <v>24</v>
      </c>
      <c r="E3918" t="s">
        <v>43</v>
      </c>
      <c r="F3918" s="9">
        <v>0.11</v>
      </c>
      <c r="G3918" s="10">
        <v>5447</v>
      </c>
      <c r="H3918">
        <v>3.78</v>
      </c>
      <c r="I3918" s="5">
        <f>ROUND(Marketing[[#This Row],[Clicks]]*Marketing[[#This Row],[Conversion_Rate]],0)</f>
        <v>41</v>
      </c>
      <c r="J3918" s="12">
        <f>Marketing[[#This Row],[Campaign_Cost]]/Marketing[[#This Row],[Customers]]</f>
        <v>132.85365853658536</v>
      </c>
      <c r="K3918" t="s">
        <v>19</v>
      </c>
      <c r="L3918" t="s">
        <v>20</v>
      </c>
      <c r="M3918">
        <v>370</v>
      </c>
      <c r="N3918">
        <v>9439</v>
      </c>
      <c r="O3918">
        <v>5</v>
      </c>
      <c r="P3918" t="s">
        <v>21</v>
      </c>
      <c r="Q3918" s="1">
        <v>44463</v>
      </c>
    </row>
    <row r="3919" spans="1:17" x14ac:dyDescent="0.3">
      <c r="A3919" t="s">
        <v>35</v>
      </c>
      <c r="B3919" t="s">
        <v>15</v>
      </c>
      <c r="C3919" t="s">
        <v>37</v>
      </c>
      <c r="D3919" t="s">
        <v>40</v>
      </c>
      <c r="E3919" t="s">
        <v>15</v>
      </c>
      <c r="F3919" s="9">
        <v>7.0000000000000007E-2</v>
      </c>
      <c r="G3919" s="10">
        <v>5300</v>
      </c>
      <c r="H3919">
        <v>7.49</v>
      </c>
      <c r="I3919" s="5">
        <f>ROUND(Marketing[[#This Row],[Clicks]]*Marketing[[#This Row],[Conversion_Rate]],0)</f>
        <v>11</v>
      </c>
      <c r="J3919" s="12">
        <f>Marketing[[#This Row],[Campaign_Cost]]/Marketing[[#This Row],[Customers]]</f>
        <v>481.81818181818181</v>
      </c>
      <c r="K3919" t="s">
        <v>51</v>
      </c>
      <c r="L3919" t="s">
        <v>26</v>
      </c>
      <c r="M3919">
        <v>157</v>
      </c>
      <c r="N3919">
        <v>5001</v>
      </c>
      <c r="O3919">
        <v>10</v>
      </c>
      <c r="P3919" t="s">
        <v>21</v>
      </c>
      <c r="Q3919" s="1">
        <v>44464</v>
      </c>
    </row>
    <row r="3920" spans="1:17" x14ac:dyDescent="0.3">
      <c r="A3920" t="s">
        <v>14</v>
      </c>
      <c r="B3920" t="s">
        <v>45</v>
      </c>
      <c r="C3920" t="s">
        <v>37</v>
      </c>
      <c r="D3920" t="s">
        <v>17</v>
      </c>
      <c r="E3920" t="s">
        <v>31</v>
      </c>
      <c r="F3920" s="9">
        <v>0.05</v>
      </c>
      <c r="G3920" s="10">
        <v>8625</v>
      </c>
      <c r="H3920">
        <v>7.59</v>
      </c>
      <c r="I3920" s="5">
        <f>ROUND(Marketing[[#This Row],[Clicks]]*Marketing[[#This Row],[Conversion_Rate]],0)</f>
        <v>30</v>
      </c>
      <c r="J3920" s="12">
        <f>Marketing[[#This Row],[Campaign_Cost]]/Marketing[[#This Row],[Customers]]</f>
        <v>287.5</v>
      </c>
      <c r="K3920" t="s">
        <v>38</v>
      </c>
      <c r="L3920" t="s">
        <v>50</v>
      </c>
      <c r="M3920">
        <v>592</v>
      </c>
      <c r="N3920">
        <v>2446</v>
      </c>
      <c r="O3920">
        <v>10</v>
      </c>
      <c r="P3920" t="s">
        <v>44</v>
      </c>
      <c r="Q3920" s="1">
        <v>44465</v>
      </c>
    </row>
    <row r="3921" spans="1:17" x14ac:dyDescent="0.3">
      <c r="A3921" t="s">
        <v>28</v>
      </c>
      <c r="B3921" t="s">
        <v>29</v>
      </c>
      <c r="C3921" t="s">
        <v>16</v>
      </c>
      <c r="D3921" t="s">
        <v>17</v>
      </c>
      <c r="E3921" t="s">
        <v>18</v>
      </c>
      <c r="F3921" s="9">
        <v>0.12</v>
      </c>
      <c r="G3921" s="10">
        <v>19180</v>
      </c>
      <c r="H3921">
        <v>5.24</v>
      </c>
      <c r="I3921" s="5">
        <f>ROUND(Marketing[[#This Row],[Clicks]]*Marketing[[#This Row],[Conversion_Rate]],0)</f>
        <v>60</v>
      </c>
      <c r="J3921" s="12">
        <f>Marketing[[#This Row],[Campaign_Cost]]/Marketing[[#This Row],[Customers]]</f>
        <v>319.66666666666669</v>
      </c>
      <c r="K3921" t="s">
        <v>38</v>
      </c>
      <c r="L3921" t="s">
        <v>20</v>
      </c>
      <c r="M3921">
        <v>500</v>
      </c>
      <c r="N3921">
        <v>5891</v>
      </c>
      <c r="O3921">
        <v>1</v>
      </c>
      <c r="P3921" t="s">
        <v>42</v>
      </c>
      <c r="Q3921" s="1">
        <v>44466</v>
      </c>
    </row>
    <row r="3922" spans="1:17" x14ac:dyDescent="0.3">
      <c r="A3922" t="s">
        <v>28</v>
      </c>
      <c r="B3922" t="s">
        <v>45</v>
      </c>
      <c r="C3922" t="s">
        <v>37</v>
      </c>
      <c r="D3922" t="s">
        <v>24</v>
      </c>
      <c r="E3922" t="s">
        <v>31</v>
      </c>
      <c r="F3922" s="9">
        <v>0.08</v>
      </c>
      <c r="G3922" s="10">
        <v>15563</v>
      </c>
      <c r="H3922">
        <v>2.5</v>
      </c>
      <c r="I3922" s="5">
        <f>ROUND(Marketing[[#This Row],[Clicks]]*Marketing[[#This Row],[Conversion_Rate]],0)</f>
        <v>29</v>
      </c>
      <c r="J3922" s="12">
        <f>Marketing[[#This Row],[Campaign_Cost]]/Marketing[[#This Row],[Customers]]</f>
        <v>536.65517241379314</v>
      </c>
      <c r="K3922" t="s">
        <v>19</v>
      </c>
      <c r="L3922" t="s">
        <v>50</v>
      </c>
      <c r="M3922">
        <v>367</v>
      </c>
      <c r="N3922">
        <v>7242</v>
      </c>
      <c r="O3922">
        <v>1</v>
      </c>
      <c r="P3922" t="s">
        <v>21</v>
      </c>
      <c r="Q3922" s="1">
        <v>44467</v>
      </c>
    </row>
    <row r="3923" spans="1:17" x14ac:dyDescent="0.3">
      <c r="A3923" t="s">
        <v>35</v>
      </c>
      <c r="B3923" t="s">
        <v>45</v>
      </c>
      <c r="C3923" t="s">
        <v>37</v>
      </c>
      <c r="D3923" t="s">
        <v>46</v>
      </c>
      <c r="E3923" t="s">
        <v>15</v>
      </c>
      <c r="F3923" s="9">
        <v>0.05</v>
      </c>
      <c r="G3923" s="10">
        <v>10629</v>
      </c>
      <c r="H3923">
        <v>3.36</v>
      </c>
      <c r="I3923" s="5">
        <f>ROUND(Marketing[[#This Row],[Clicks]]*Marketing[[#This Row],[Conversion_Rate]],0)</f>
        <v>20</v>
      </c>
      <c r="J3923" s="12">
        <f>Marketing[[#This Row],[Campaign_Cost]]/Marketing[[#This Row],[Customers]]</f>
        <v>531.45000000000005</v>
      </c>
      <c r="K3923" t="s">
        <v>32</v>
      </c>
      <c r="L3923" t="s">
        <v>20</v>
      </c>
      <c r="M3923">
        <v>403</v>
      </c>
      <c r="N3923">
        <v>3429</v>
      </c>
      <c r="O3923">
        <v>1</v>
      </c>
      <c r="P3923" t="s">
        <v>27</v>
      </c>
      <c r="Q3923" s="1">
        <v>44468</v>
      </c>
    </row>
    <row r="3924" spans="1:17" x14ac:dyDescent="0.3">
      <c r="A3924" t="s">
        <v>49</v>
      </c>
      <c r="B3924" t="s">
        <v>15</v>
      </c>
      <c r="C3924" t="s">
        <v>52</v>
      </c>
      <c r="D3924" t="s">
        <v>46</v>
      </c>
      <c r="E3924" t="s">
        <v>18</v>
      </c>
      <c r="F3924" s="9">
        <v>0.1</v>
      </c>
      <c r="G3924" s="10">
        <v>10854</v>
      </c>
      <c r="H3924">
        <v>7.22</v>
      </c>
      <c r="I3924" s="5">
        <f>ROUND(Marketing[[#This Row],[Clicks]]*Marketing[[#This Row],[Conversion_Rate]],0)</f>
        <v>62</v>
      </c>
      <c r="J3924" s="12">
        <f>Marketing[[#This Row],[Campaign_Cost]]/Marketing[[#This Row],[Customers]]</f>
        <v>175.06451612903226</v>
      </c>
      <c r="K3924" t="s">
        <v>51</v>
      </c>
      <c r="L3924" t="s">
        <v>39</v>
      </c>
      <c r="M3924">
        <v>623</v>
      </c>
      <c r="N3924">
        <v>6628</v>
      </c>
      <c r="O3924">
        <v>1</v>
      </c>
      <c r="P3924" t="s">
        <v>34</v>
      </c>
      <c r="Q3924" s="1">
        <v>44469</v>
      </c>
    </row>
    <row r="3925" spans="1:17" x14ac:dyDescent="0.3">
      <c r="A3925" t="s">
        <v>35</v>
      </c>
      <c r="B3925" t="s">
        <v>47</v>
      </c>
      <c r="C3925" t="s">
        <v>23</v>
      </c>
      <c r="D3925" t="s">
        <v>17</v>
      </c>
      <c r="E3925" t="s">
        <v>18</v>
      </c>
      <c r="F3925" s="9">
        <v>0.12</v>
      </c>
      <c r="G3925" s="10">
        <v>14084</v>
      </c>
      <c r="H3925">
        <v>2.52</v>
      </c>
      <c r="I3925" s="5">
        <f>ROUND(Marketing[[#This Row],[Clicks]]*Marketing[[#This Row],[Conversion_Rate]],0)</f>
        <v>100</v>
      </c>
      <c r="J3925" s="12">
        <f>Marketing[[#This Row],[Campaign_Cost]]/Marketing[[#This Row],[Customers]]</f>
        <v>140.84</v>
      </c>
      <c r="K3925" t="s">
        <v>51</v>
      </c>
      <c r="L3925" t="s">
        <v>33</v>
      </c>
      <c r="M3925">
        <v>830</v>
      </c>
      <c r="N3925">
        <v>2820</v>
      </c>
      <c r="O3925">
        <v>9</v>
      </c>
      <c r="P3925" t="s">
        <v>27</v>
      </c>
      <c r="Q3925" s="1">
        <v>44470</v>
      </c>
    </row>
    <row r="3926" spans="1:17" x14ac:dyDescent="0.3">
      <c r="A3926" t="s">
        <v>49</v>
      </c>
      <c r="B3926" t="s">
        <v>29</v>
      </c>
      <c r="C3926" t="s">
        <v>16</v>
      </c>
      <c r="D3926" t="s">
        <v>40</v>
      </c>
      <c r="E3926" t="s">
        <v>48</v>
      </c>
      <c r="F3926" s="9">
        <v>0.09</v>
      </c>
      <c r="G3926" s="10">
        <v>10614</v>
      </c>
      <c r="H3926">
        <v>2.4</v>
      </c>
      <c r="I3926" s="5">
        <f>ROUND(Marketing[[#This Row],[Clicks]]*Marketing[[#This Row],[Conversion_Rate]],0)</f>
        <v>73</v>
      </c>
      <c r="J3926" s="12">
        <f>Marketing[[#This Row],[Campaign_Cost]]/Marketing[[#This Row],[Customers]]</f>
        <v>145.39726027397259</v>
      </c>
      <c r="K3926" t="s">
        <v>19</v>
      </c>
      <c r="L3926" t="s">
        <v>20</v>
      </c>
      <c r="M3926">
        <v>816</v>
      </c>
      <c r="N3926">
        <v>5621</v>
      </c>
      <c r="O3926">
        <v>6</v>
      </c>
      <c r="P3926" t="s">
        <v>21</v>
      </c>
      <c r="Q3926" s="1">
        <v>44471</v>
      </c>
    </row>
    <row r="3927" spans="1:17" x14ac:dyDescent="0.3">
      <c r="A3927" t="s">
        <v>14</v>
      </c>
      <c r="B3927" t="s">
        <v>47</v>
      </c>
      <c r="C3927" t="s">
        <v>16</v>
      </c>
      <c r="D3927" t="s">
        <v>17</v>
      </c>
      <c r="E3927" t="s">
        <v>48</v>
      </c>
      <c r="F3927" s="9">
        <v>0.08</v>
      </c>
      <c r="G3927" s="10">
        <v>8808</v>
      </c>
      <c r="H3927">
        <v>2.35</v>
      </c>
      <c r="I3927" s="5">
        <f>ROUND(Marketing[[#This Row],[Clicks]]*Marketing[[#This Row],[Conversion_Rate]],0)</f>
        <v>60</v>
      </c>
      <c r="J3927" s="12">
        <f>Marketing[[#This Row],[Campaign_Cost]]/Marketing[[#This Row],[Customers]]</f>
        <v>146.80000000000001</v>
      </c>
      <c r="K3927" t="s">
        <v>38</v>
      </c>
      <c r="L3927" t="s">
        <v>26</v>
      </c>
      <c r="M3927">
        <v>747</v>
      </c>
      <c r="N3927">
        <v>6410</v>
      </c>
      <c r="O3927">
        <v>3</v>
      </c>
      <c r="P3927" t="s">
        <v>27</v>
      </c>
      <c r="Q3927" s="1">
        <v>44472</v>
      </c>
    </row>
    <row r="3928" spans="1:17" x14ac:dyDescent="0.3">
      <c r="A3928" t="s">
        <v>49</v>
      </c>
      <c r="B3928" t="s">
        <v>15</v>
      </c>
      <c r="C3928" t="s">
        <v>23</v>
      </c>
      <c r="D3928" t="s">
        <v>40</v>
      </c>
      <c r="E3928" t="s">
        <v>43</v>
      </c>
      <c r="F3928" s="9">
        <v>0.03</v>
      </c>
      <c r="G3928" s="10">
        <v>10954</v>
      </c>
      <c r="H3928">
        <v>7.2</v>
      </c>
      <c r="I3928" s="5">
        <f>ROUND(Marketing[[#This Row],[Clicks]]*Marketing[[#This Row],[Conversion_Rate]],0)</f>
        <v>21</v>
      </c>
      <c r="J3928" s="12">
        <f>Marketing[[#This Row],[Campaign_Cost]]/Marketing[[#This Row],[Customers]]</f>
        <v>521.61904761904759</v>
      </c>
      <c r="K3928" t="s">
        <v>25</v>
      </c>
      <c r="L3928" t="s">
        <v>20</v>
      </c>
      <c r="M3928">
        <v>685</v>
      </c>
      <c r="N3928">
        <v>7652</v>
      </c>
      <c r="O3928">
        <v>9</v>
      </c>
      <c r="P3928" t="s">
        <v>27</v>
      </c>
      <c r="Q3928" s="1">
        <v>44473</v>
      </c>
    </row>
    <row r="3929" spans="1:17" x14ac:dyDescent="0.3">
      <c r="A3929" t="s">
        <v>22</v>
      </c>
      <c r="B3929" t="s">
        <v>15</v>
      </c>
      <c r="C3929" t="s">
        <v>16</v>
      </c>
      <c r="D3929" t="s">
        <v>24</v>
      </c>
      <c r="E3929" t="s">
        <v>43</v>
      </c>
      <c r="F3929" s="9">
        <v>0.15</v>
      </c>
      <c r="G3929" s="10">
        <v>19715</v>
      </c>
      <c r="H3929">
        <v>2.25</v>
      </c>
      <c r="I3929" s="5">
        <f>ROUND(Marketing[[#This Row],[Clicks]]*Marketing[[#This Row],[Conversion_Rate]],0)</f>
        <v>69</v>
      </c>
      <c r="J3929" s="12">
        <f>Marketing[[#This Row],[Campaign_Cost]]/Marketing[[#This Row],[Customers]]</f>
        <v>285.72463768115944</v>
      </c>
      <c r="K3929" t="s">
        <v>32</v>
      </c>
      <c r="L3929" t="s">
        <v>26</v>
      </c>
      <c r="M3929">
        <v>457</v>
      </c>
      <c r="N3929">
        <v>6506</v>
      </c>
      <c r="O3929">
        <v>1</v>
      </c>
      <c r="P3929" t="s">
        <v>21</v>
      </c>
      <c r="Q3929" s="1">
        <v>44474</v>
      </c>
    </row>
    <row r="3930" spans="1:17" x14ac:dyDescent="0.3">
      <c r="A3930" t="s">
        <v>28</v>
      </c>
      <c r="B3930" t="s">
        <v>45</v>
      </c>
      <c r="C3930" t="s">
        <v>52</v>
      </c>
      <c r="D3930" t="s">
        <v>24</v>
      </c>
      <c r="E3930" t="s">
        <v>41</v>
      </c>
      <c r="F3930" s="9">
        <v>0.05</v>
      </c>
      <c r="G3930" s="10">
        <v>6242</v>
      </c>
      <c r="H3930">
        <v>6.41</v>
      </c>
      <c r="I3930" s="5">
        <f>ROUND(Marketing[[#This Row],[Clicks]]*Marketing[[#This Row],[Conversion_Rate]],0)</f>
        <v>16</v>
      </c>
      <c r="J3930" s="12">
        <f>Marketing[[#This Row],[Campaign_Cost]]/Marketing[[#This Row],[Customers]]</f>
        <v>390.125</v>
      </c>
      <c r="K3930" t="s">
        <v>19</v>
      </c>
      <c r="L3930" t="s">
        <v>33</v>
      </c>
      <c r="M3930">
        <v>323</v>
      </c>
      <c r="N3930">
        <v>6422</v>
      </c>
      <c r="O3930">
        <v>10</v>
      </c>
      <c r="P3930" t="s">
        <v>27</v>
      </c>
      <c r="Q3930" s="1">
        <v>44475</v>
      </c>
    </row>
    <row r="3931" spans="1:17" x14ac:dyDescent="0.3">
      <c r="A3931" t="s">
        <v>28</v>
      </c>
      <c r="B3931" t="s">
        <v>29</v>
      </c>
      <c r="C3931" t="s">
        <v>37</v>
      </c>
      <c r="D3931" t="s">
        <v>40</v>
      </c>
      <c r="E3931" t="s">
        <v>18</v>
      </c>
      <c r="F3931" s="9">
        <v>0.06</v>
      </c>
      <c r="G3931" s="10">
        <v>14599</v>
      </c>
      <c r="H3931">
        <v>5.72</v>
      </c>
      <c r="I3931" s="5">
        <f>ROUND(Marketing[[#This Row],[Clicks]]*Marketing[[#This Row],[Conversion_Rate]],0)</f>
        <v>12</v>
      </c>
      <c r="J3931" s="12">
        <f>Marketing[[#This Row],[Campaign_Cost]]/Marketing[[#This Row],[Customers]]</f>
        <v>1216.5833333333333</v>
      </c>
      <c r="K3931" t="s">
        <v>25</v>
      </c>
      <c r="L3931" t="s">
        <v>33</v>
      </c>
      <c r="M3931">
        <v>197</v>
      </c>
      <c r="N3931">
        <v>4564</v>
      </c>
      <c r="O3931">
        <v>7</v>
      </c>
      <c r="P3931" t="s">
        <v>21</v>
      </c>
      <c r="Q3931" s="1">
        <v>44476</v>
      </c>
    </row>
    <row r="3932" spans="1:17" x14ac:dyDescent="0.3">
      <c r="A3932" t="s">
        <v>35</v>
      </c>
      <c r="B3932" t="s">
        <v>29</v>
      </c>
      <c r="C3932" t="s">
        <v>16</v>
      </c>
      <c r="D3932" t="s">
        <v>46</v>
      </c>
      <c r="E3932" t="s">
        <v>48</v>
      </c>
      <c r="F3932" s="9">
        <v>0.08</v>
      </c>
      <c r="G3932" s="10">
        <v>10183</v>
      </c>
      <c r="H3932">
        <v>7.8</v>
      </c>
      <c r="I3932" s="5">
        <f>ROUND(Marketing[[#This Row],[Clicks]]*Marketing[[#This Row],[Conversion_Rate]],0)</f>
        <v>15</v>
      </c>
      <c r="J3932" s="12">
        <f>Marketing[[#This Row],[Campaign_Cost]]/Marketing[[#This Row],[Customers]]</f>
        <v>678.86666666666667</v>
      </c>
      <c r="K3932" t="s">
        <v>38</v>
      </c>
      <c r="L3932" t="s">
        <v>20</v>
      </c>
      <c r="M3932">
        <v>192</v>
      </c>
      <c r="N3932">
        <v>4345</v>
      </c>
      <c r="O3932">
        <v>2</v>
      </c>
      <c r="P3932" t="s">
        <v>21</v>
      </c>
      <c r="Q3932" s="1">
        <v>44477</v>
      </c>
    </row>
    <row r="3933" spans="1:17" x14ac:dyDescent="0.3">
      <c r="A3933" t="s">
        <v>35</v>
      </c>
      <c r="B3933" t="s">
        <v>47</v>
      </c>
      <c r="C3933" t="s">
        <v>52</v>
      </c>
      <c r="D3933" t="s">
        <v>40</v>
      </c>
      <c r="E3933" t="s">
        <v>31</v>
      </c>
      <c r="F3933" s="9">
        <v>0.03</v>
      </c>
      <c r="G3933" s="10">
        <v>7422</v>
      </c>
      <c r="H3933">
        <v>6.18</v>
      </c>
      <c r="I3933" s="5">
        <f>ROUND(Marketing[[#This Row],[Clicks]]*Marketing[[#This Row],[Conversion_Rate]],0)</f>
        <v>19</v>
      </c>
      <c r="J3933" s="12">
        <f>Marketing[[#This Row],[Campaign_Cost]]/Marketing[[#This Row],[Customers]]</f>
        <v>390.63157894736844</v>
      </c>
      <c r="K3933" t="s">
        <v>25</v>
      </c>
      <c r="L3933" t="s">
        <v>26</v>
      </c>
      <c r="M3933">
        <v>640</v>
      </c>
      <c r="N3933">
        <v>1720</v>
      </c>
      <c r="O3933">
        <v>4</v>
      </c>
      <c r="P3933" t="s">
        <v>42</v>
      </c>
      <c r="Q3933" s="1">
        <v>44478</v>
      </c>
    </row>
    <row r="3934" spans="1:17" x14ac:dyDescent="0.3">
      <c r="A3934" t="s">
        <v>22</v>
      </c>
      <c r="B3934" t="s">
        <v>47</v>
      </c>
      <c r="C3934" t="s">
        <v>23</v>
      </c>
      <c r="D3934" t="s">
        <v>46</v>
      </c>
      <c r="E3934" t="s">
        <v>31</v>
      </c>
      <c r="F3934" s="9">
        <v>0.01</v>
      </c>
      <c r="G3934" s="10">
        <v>12582</v>
      </c>
      <c r="H3934">
        <v>6.03</v>
      </c>
      <c r="I3934" s="5">
        <f>ROUND(Marketing[[#This Row],[Clicks]]*Marketing[[#This Row],[Conversion_Rate]],0)</f>
        <v>10</v>
      </c>
      <c r="J3934" s="12">
        <f>Marketing[[#This Row],[Campaign_Cost]]/Marketing[[#This Row],[Customers]]</f>
        <v>1258.2</v>
      </c>
      <c r="K3934" t="s">
        <v>32</v>
      </c>
      <c r="L3934" t="s">
        <v>39</v>
      </c>
      <c r="M3934">
        <v>991</v>
      </c>
      <c r="N3934">
        <v>5562</v>
      </c>
      <c r="O3934">
        <v>5</v>
      </c>
      <c r="P3934" t="s">
        <v>21</v>
      </c>
      <c r="Q3934" s="1">
        <v>44479</v>
      </c>
    </row>
    <row r="3935" spans="1:17" x14ac:dyDescent="0.3">
      <c r="A3935" t="s">
        <v>49</v>
      </c>
      <c r="B3935" t="s">
        <v>29</v>
      </c>
      <c r="C3935" t="s">
        <v>23</v>
      </c>
      <c r="D3935" t="s">
        <v>46</v>
      </c>
      <c r="E3935" t="s">
        <v>31</v>
      </c>
      <c r="F3935" s="9">
        <v>0.03</v>
      </c>
      <c r="G3935" s="10">
        <v>13955</v>
      </c>
      <c r="H3935">
        <v>5.19</v>
      </c>
      <c r="I3935" s="5">
        <f>ROUND(Marketing[[#This Row],[Clicks]]*Marketing[[#This Row],[Conversion_Rate]],0)</f>
        <v>9</v>
      </c>
      <c r="J3935" s="12">
        <f>Marketing[[#This Row],[Campaign_Cost]]/Marketing[[#This Row],[Customers]]</f>
        <v>1550.5555555555557</v>
      </c>
      <c r="K3935" t="s">
        <v>38</v>
      </c>
      <c r="L3935" t="s">
        <v>20</v>
      </c>
      <c r="M3935">
        <v>299</v>
      </c>
      <c r="N3935">
        <v>5931</v>
      </c>
      <c r="O3935">
        <v>4</v>
      </c>
      <c r="P3935" t="s">
        <v>21</v>
      </c>
      <c r="Q3935" s="1">
        <v>44480</v>
      </c>
    </row>
    <row r="3936" spans="1:17" x14ac:dyDescent="0.3">
      <c r="A3936" t="s">
        <v>14</v>
      </c>
      <c r="B3936" t="s">
        <v>29</v>
      </c>
      <c r="C3936" t="s">
        <v>52</v>
      </c>
      <c r="D3936" t="s">
        <v>17</v>
      </c>
      <c r="E3936" t="s">
        <v>48</v>
      </c>
      <c r="F3936" s="9">
        <v>0.06</v>
      </c>
      <c r="G3936" s="10">
        <v>12518</v>
      </c>
      <c r="H3936">
        <v>7.99</v>
      </c>
      <c r="I3936" s="5">
        <f>ROUND(Marketing[[#This Row],[Clicks]]*Marketing[[#This Row],[Conversion_Rate]],0)</f>
        <v>53</v>
      </c>
      <c r="J3936" s="12">
        <f>Marketing[[#This Row],[Campaign_Cost]]/Marketing[[#This Row],[Customers]]</f>
        <v>236.18867924528303</v>
      </c>
      <c r="K3936" t="s">
        <v>38</v>
      </c>
      <c r="L3936" t="s">
        <v>20</v>
      </c>
      <c r="M3936">
        <v>890</v>
      </c>
      <c r="N3936">
        <v>3761</v>
      </c>
      <c r="O3936">
        <v>10</v>
      </c>
      <c r="P3936" t="s">
        <v>42</v>
      </c>
      <c r="Q3936" s="1">
        <v>44481</v>
      </c>
    </row>
    <row r="3937" spans="1:17" x14ac:dyDescent="0.3">
      <c r="A3937" t="s">
        <v>28</v>
      </c>
      <c r="B3937" t="s">
        <v>45</v>
      </c>
      <c r="C3937" t="s">
        <v>30</v>
      </c>
      <c r="D3937" t="s">
        <v>40</v>
      </c>
      <c r="E3937" t="s">
        <v>18</v>
      </c>
      <c r="F3937" s="9">
        <v>0.11</v>
      </c>
      <c r="G3937" s="10">
        <v>9846</v>
      </c>
      <c r="H3937">
        <v>7.76</v>
      </c>
      <c r="I3937" s="5">
        <f>ROUND(Marketing[[#This Row],[Clicks]]*Marketing[[#This Row],[Conversion_Rate]],0)</f>
        <v>58</v>
      </c>
      <c r="J3937" s="12">
        <f>Marketing[[#This Row],[Campaign_Cost]]/Marketing[[#This Row],[Customers]]</f>
        <v>169.75862068965517</v>
      </c>
      <c r="K3937" t="s">
        <v>25</v>
      </c>
      <c r="L3937" t="s">
        <v>26</v>
      </c>
      <c r="M3937">
        <v>524</v>
      </c>
      <c r="N3937">
        <v>3166</v>
      </c>
      <c r="O3937">
        <v>4</v>
      </c>
      <c r="P3937" t="s">
        <v>27</v>
      </c>
      <c r="Q3937" s="1">
        <v>44482</v>
      </c>
    </row>
    <row r="3938" spans="1:17" x14ac:dyDescent="0.3">
      <c r="A3938" t="s">
        <v>22</v>
      </c>
      <c r="B3938" t="s">
        <v>36</v>
      </c>
      <c r="C3938" t="s">
        <v>37</v>
      </c>
      <c r="D3938" t="s">
        <v>46</v>
      </c>
      <c r="E3938" t="s">
        <v>18</v>
      </c>
      <c r="F3938" s="9">
        <v>0.03</v>
      </c>
      <c r="G3938" s="10">
        <v>14617</v>
      </c>
      <c r="H3938">
        <v>6.46</v>
      </c>
      <c r="I3938" s="5">
        <f>ROUND(Marketing[[#This Row],[Clicks]]*Marketing[[#This Row],[Conversion_Rate]],0)</f>
        <v>11</v>
      </c>
      <c r="J3938" s="12">
        <f>Marketing[[#This Row],[Campaign_Cost]]/Marketing[[#This Row],[Customers]]</f>
        <v>1328.8181818181818</v>
      </c>
      <c r="K3938" t="s">
        <v>32</v>
      </c>
      <c r="L3938" t="s">
        <v>33</v>
      </c>
      <c r="M3938">
        <v>358</v>
      </c>
      <c r="N3938">
        <v>7660</v>
      </c>
      <c r="O3938">
        <v>8</v>
      </c>
      <c r="P3938" t="s">
        <v>21</v>
      </c>
      <c r="Q3938" s="1">
        <v>44483</v>
      </c>
    </row>
    <row r="3939" spans="1:17" x14ac:dyDescent="0.3">
      <c r="A3939" t="s">
        <v>35</v>
      </c>
      <c r="B3939" t="s">
        <v>45</v>
      </c>
      <c r="C3939" t="s">
        <v>23</v>
      </c>
      <c r="D3939" t="s">
        <v>24</v>
      </c>
      <c r="E3939" t="s">
        <v>48</v>
      </c>
      <c r="F3939" s="9">
        <v>0.05</v>
      </c>
      <c r="G3939" s="10">
        <v>8537</v>
      </c>
      <c r="H3939">
        <v>3.24</v>
      </c>
      <c r="I3939" s="5">
        <f>ROUND(Marketing[[#This Row],[Clicks]]*Marketing[[#This Row],[Conversion_Rate]],0)</f>
        <v>37</v>
      </c>
      <c r="J3939" s="12">
        <f>Marketing[[#This Row],[Campaign_Cost]]/Marketing[[#This Row],[Customers]]</f>
        <v>230.72972972972974</v>
      </c>
      <c r="K3939" t="s">
        <v>19</v>
      </c>
      <c r="L3939" t="s">
        <v>50</v>
      </c>
      <c r="M3939">
        <v>732</v>
      </c>
      <c r="N3939">
        <v>2546</v>
      </c>
      <c r="O3939">
        <v>2</v>
      </c>
      <c r="P3939" t="s">
        <v>42</v>
      </c>
      <c r="Q3939" s="1">
        <v>44484</v>
      </c>
    </row>
    <row r="3940" spans="1:17" x14ac:dyDescent="0.3">
      <c r="A3940" t="s">
        <v>28</v>
      </c>
      <c r="B3940" t="s">
        <v>45</v>
      </c>
      <c r="C3940" t="s">
        <v>23</v>
      </c>
      <c r="D3940" t="s">
        <v>46</v>
      </c>
      <c r="E3940" t="s">
        <v>43</v>
      </c>
      <c r="F3940" s="9">
        <v>0.13</v>
      </c>
      <c r="G3940" s="10">
        <v>17464</v>
      </c>
      <c r="H3940">
        <v>4.9800000000000004</v>
      </c>
      <c r="I3940" s="5">
        <f>ROUND(Marketing[[#This Row],[Clicks]]*Marketing[[#This Row],[Conversion_Rate]],0)</f>
        <v>74</v>
      </c>
      <c r="J3940" s="12">
        <f>Marketing[[#This Row],[Campaign_Cost]]/Marketing[[#This Row],[Customers]]</f>
        <v>236</v>
      </c>
      <c r="K3940" t="s">
        <v>51</v>
      </c>
      <c r="L3940" t="s">
        <v>33</v>
      </c>
      <c r="M3940">
        <v>573</v>
      </c>
      <c r="N3940">
        <v>8821</v>
      </c>
      <c r="O3940">
        <v>7</v>
      </c>
      <c r="P3940" t="s">
        <v>21</v>
      </c>
      <c r="Q3940" s="1">
        <v>44485</v>
      </c>
    </row>
    <row r="3941" spans="1:17" x14ac:dyDescent="0.3">
      <c r="A3941" t="s">
        <v>49</v>
      </c>
      <c r="B3941" t="s">
        <v>45</v>
      </c>
      <c r="C3941" t="s">
        <v>52</v>
      </c>
      <c r="D3941" t="s">
        <v>17</v>
      </c>
      <c r="E3941" t="s">
        <v>43</v>
      </c>
      <c r="F3941" s="9">
        <v>0.12</v>
      </c>
      <c r="G3941" s="10">
        <v>9087</v>
      </c>
      <c r="H3941">
        <v>7.24</v>
      </c>
      <c r="I3941" s="5">
        <f>ROUND(Marketing[[#This Row],[Clicks]]*Marketing[[#This Row],[Conversion_Rate]],0)</f>
        <v>104</v>
      </c>
      <c r="J3941" s="12">
        <f>Marketing[[#This Row],[Campaign_Cost]]/Marketing[[#This Row],[Customers]]</f>
        <v>87.375</v>
      </c>
      <c r="K3941" t="s">
        <v>19</v>
      </c>
      <c r="L3941" t="s">
        <v>33</v>
      </c>
      <c r="M3941">
        <v>869</v>
      </c>
      <c r="N3941">
        <v>8337</v>
      </c>
      <c r="O3941">
        <v>4</v>
      </c>
      <c r="P3941" t="s">
        <v>21</v>
      </c>
      <c r="Q3941" s="1">
        <v>44486</v>
      </c>
    </row>
    <row r="3942" spans="1:17" x14ac:dyDescent="0.3">
      <c r="A3942" t="s">
        <v>22</v>
      </c>
      <c r="B3942" t="s">
        <v>47</v>
      </c>
      <c r="C3942" t="s">
        <v>30</v>
      </c>
      <c r="D3942" t="s">
        <v>24</v>
      </c>
      <c r="E3942" t="s">
        <v>41</v>
      </c>
      <c r="F3942" s="9">
        <v>0.1</v>
      </c>
      <c r="G3942" s="10">
        <v>9494</v>
      </c>
      <c r="H3942">
        <v>6.97</v>
      </c>
      <c r="I3942" s="5">
        <f>ROUND(Marketing[[#This Row],[Clicks]]*Marketing[[#This Row],[Conversion_Rate]],0)</f>
        <v>65</v>
      </c>
      <c r="J3942" s="12">
        <f>Marketing[[#This Row],[Campaign_Cost]]/Marketing[[#This Row],[Customers]]</f>
        <v>146.06153846153848</v>
      </c>
      <c r="K3942" t="s">
        <v>19</v>
      </c>
      <c r="L3942" t="s">
        <v>39</v>
      </c>
      <c r="M3942">
        <v>654</v>
      </c>
      <c r="N3942">
        <v>1911</v>
      </c>
      <c r="O3942">
        <v>1</v>
      </c>
      <c r="P3942" t="s">
        <v>44</v>
      </c>
      <c r="Q3942" s="1">
        <v>44487</v>
      </c>
    </row>
    <row r="3943" spans="1:17" x14ac:dyDescent="0.3">
      <c r="A3943" t="s">
        <v>14</v>
      </c>
      <c r="B3943" t="s">
        <v>36</v>
      </c>
      <c r="C3943" t="s">
        <v>37</v>
      </c>
      <c r="D3943" t="s">
        <v>46</v>
      </c>
      <c r="E3943" t="s">
        <v>41</v>
      </c>
      <c r="F3943" s="9">
        <v>0.11</v>
      </c>
      <c r="G3943" s="10">
        <v>18165</v>
      </c>
      <c r="H3943">
        <v>4.1100000000000003</v>
      </c>
      <c r="I3943" s="5">
        <f>ROUND(Marketing[[#This Row],[Clicks]]*Marketing[[#This Row],[Conversion_Rate]],0)</f>
        <v>34</v>
      </c>
      <c r="J3943" s="12">
        <f>Marketing[[#This Row],[Campaign_Cost]]/Marketing[[#This Row],[Customers]]</f>
        <v>534.26470588235293</v>
      </c>
      <c r="K3943" t="s">
        <v>51</v>
      </c>
      <c r="L3943" t="s">
        <v>39</v>
      </c>
      <c r="M3943">
        <v>310</v>
      </c>
      <c r="N3943">
        <v>8836</v>
      </c>
      <c r="O3943">
        <v>8</v>
      </c>
      <c r="P3943" t="s">
        <v>21</v>
      </c>
      <c r="Q3943" s="1">
        <v>44488</v>
      </c>
    </row>
    <row r="3944" spans="1:17" x14ac:dyDescent="0.3">
      <c r="A3944" t="s">
        <v>35</v>
      </c>
      <c r="B3944" t="s">
        <v>15</v>
      </c>
      <c r="C3944" t="s">
        <v>30</v>
      </c>
      <c r="D3944" t="s">
        <v>40</v>
      </c>
      <c r="E3944" t="s">
        <v>15</v>
      </c>
      <c r="F3944" s="9">
        <v>0.14000000000000001</v>
      </c>
      <c r="G3944" s="10">
        <v>5990</v>
      </c>
      <c r="H3944">
        <v>4.5199999999999996</v>
      </c>
      <c r="I3944" s="5">
        <f>ROUND(Marketing[[#This Row],[Clicks]]*Marketing[[#This Row],[Conversion_Rate]],0)</f>
        <v>109</v>
      </c>
      <c r="J3944" s="12">
        <f>Marketing[[#This Row],[Campaign_Cost]]/Marketing[[#This Row],[Customers]]</f>
        <v>54.954128440366972</v>
      </c>
      <c r="K3944" t="s">
        <v>25</v>
      </c>
      <c r="L3944" t="s">
        <v>50</v>
      </c>
      <c r="M3944">
        <v>782</v>
      </c>
      <c r="N3944">
        <v>8447</v>
      </c>
      <c r="O3944">
        <v>7</v>
      </c>
      <c r="P3944" t="s">
        <v>21</v>
      </c>
      <c r="Q3944" s="1">
        <v>44489</v>
      </c>
    </row>
    <row r="3945" spans="1:17" x14ac:dyDescent="0.3">
      <c r="A3945" t="s">
        <v>28</v>
      </c>
      <c r="B3945" t="s">
        <v>36</v>
      </c>
      <c r="C3945" t="s">
        <v>37</v>
      </c>
      <c r="D3945" t="s">
        <v>40</v>
      </c>
      <c r="E3945" t="s">
        <v>41</v>
      </c>
      <c r="F3945" s="9">
        <v>0.02</v>
      </c>
      <c r="G3945" s="10">
        <v>6238</v>
      </c>
      <c r="H3945">
        <v>4.68</v>
      </c>
      <c r="I3945" s="5">
        <f>ROUND(Marketing[[#This Row],[Clicks]]*Marketing[[#This Row],[Conversion_Rate]],0)</f>
        <v>8</v>
      </c>
      <c r="J3945" s="12">
        <f>Marketing[[#This Row],[Campaign_Cost]]/Marketing[[#This Row],[Customers]]</f>
        <v>779.75</v>
      </c>
      <c r="K3945" t="s">
        <v>51</v>
      </c>
      <c r="L3945" t="s">
        <v>26</v>
      </c>
      <c r="M3945">
        <v>415</v>
      </c>
      <c r="N3945">
        <v>1867</v>
      </c>
      <c r="O3945">
        <v>8</v>
      </c>
      <c r="P3945" t="s">
        <v>44</v>
      </c>
      <c r="Q3945" s="1">
        <v>44490</v>
      </c>
    </row>
    <row r="3946" spans="1:17" x14ac:dyDescent="0.3">
      <c r="A3946" t="s">
        <v>14</v>
      </c>
      <c r="B3946" t="s">
        <v>47</v>
      </c>
      <c r="C3946" t="s">
        <v>52</v>
      </c>
      <c r="D3946" t="s">
        <v>24</v>
      </c>
      <c r="E3946" t="s">
        <v>43</v>
      </c>
      <c r="F3946" s="9">
        <v>7.0000000000000007E-2</v>
      </c>
      <c r="G3946" s="10">
        <v>17623</v>
      </c>
      <c r="H3946">
        <v>4.0999999999999996</v>
      </c>
      <c r="I3946" s="5">
        <f>ROUND(Marketing[[#This Row],[Clicks]]*Marketing[[#This Row],[Conversion_Rate]],0)</f>
        <v>18</v>
      </c>
      <c r="J3946" s="12">
        <f>Marketing[[#This Row],[Campaign_Cost]]/Marketing[[#This Row],[Customers]]</f>
        <v>979.05555555555554</v>
      </c>
      <c r="K3946" t="s">
        <v>38</v>
      </c>
      <c r="L3946" t="s">
        <v>20</v>
      </c>
      <c r="M3946">
        <v>263</v>
      </c>
      <c r="N3946">
        <v>2932</v>
      </c>
      <c r="O3946">
        <v>3</v>
      </c>
      <c r="P3946" t="s">
        <v>21</v>
      </c>
      <c r="Q3946" s="1">
        <v>44491</v>
      </c>
    </row>
    <row r="3947" spans="1:17" x14ac:dyDescent="0.3">
      <c r="A3947" t="s">
        <v>22</v>
      </c>
      <c r="B3947" t="s">
        <v>47</v>
      </c>
      <c r="C3947" t="s">
        <v>16</v>
      </c>
      <c r="D3947" t="s">
        <v>46</v>
      </c>
      <c r="E3947" t="s">
        <v>48</v>
      </c>
      <c r="F3947" s="9">
        <v>0.11</v>
      </c>
      <c r="G3947" s="10">
        <v>8786</v>
      </c>
      <c r="H3947">
        <v>7.01</v>
      </c>
      <c r="I3947" s="5">
        <f>ROUND(Marketing[[#This Row],[Clicks]]*Marketing[[#This Row],[Conversion_Rate]],0)</f>
        <v>14</v>
      </c>
      <c r="J3947" s="12">
        <f>Marketing[[#This Row],[Campaign_Cost]]/Marketing[[#This Row],[Customers]]</f>
        <v>627.57142857142856</v>
      </c>
      <c r="K3947" t="s">
        <v>19</v>
      </c>
      <c r="L3947" t="s">
        <v>20</v>
      </c>
      <c r="M3947">
        <v>126</v>
      </c>
      <c r="N3947">
        <v>7022</v>
      </c>
      <c r="O3947">
        <v>9</v>
      </c>
      <c r="P3947" t="s">
        <v>27</v>
      </c>
      <c r="Q3947" s="1">
        <v>44492</v>
      </c>
    </row>
    <row r="3948" spans="1:17" x14ac:dyDescent="0.3">
      <c r="A3948" t="s">
        <v>22</v>
      </c>
      <c r="B3948" t="s">
        <v>47</v>
      </c>
      <c r="C3948" t="s">
        <v>16</v>
      </c>
      <c r="D3948" t="s">
        <v>17</v>
      </c>
      <c r="E3948" t="s">
        <v>43</v>
      </c>
      <c r="F3948" s="9">
        <v>0.01</v>
      </c>
      <c r="G3948" s="10">
        <v>12189</v>
      </c>
      <c r="H3948">
        <v>5.89</v>
      </c>
      <c r="I3948" s="5">
        <f>ROUND(Marketing[[#This Row],[Clicks]]*Marketing[[#This Row],[Conversion_Rate]],0)</f>
        <v>2</v>
      </c>
      <c r="J3948" s="12">
        <f>Marketing[[#This Row],[Campaign_Cost]]/Marketing[[#This Row],[Customers]]</f>
        <v>6094.5</v>
      </c>
      <c r="K3948" t="s">
        <v>32</v>
      </c>
      <c r="L3948" t="s">
        <v>39</v>
      </c>
      <c r="M3948">
        <v>224</v>
      </c>
      <c r="N3948">
        <v>1254</v>
      </c>
      <c r="O3948">
        <v>7</v>
      </c>
      <c r="P3948" t="s">
        <v>27</v>
      </c>
      <c r="Q3948" s="1">
        <v>44493</v>
      </c>
    </row>
    <row r="3949" spans="1:17" x14ac:dyDescent="0.3">
      <c r="A3949" t="s">
        <v>28</v>
      </c>
      <c r="B3949" t="s">
        <v>15</v>
      </c>
      <c r="C3949" t="s">
        <v>30</v>
      </c>
      <c r="D3949" t="s">
        <v>46</v>
      </c>
      <c r="E3949" t="s">
        <v>31</v>
      </c>
      <c r="F3949" s="9">
        <v>0.03</v>
      </c>
      <c r="G3949" s="10">
        <v>18967</v>
      </c>
      <c r="H3949">
        <v>5.65</v>
      </c>
      <c r="I3949" s="5">
        <f>ROUND(Marketing[[#This Row],[Clicks]]*Marketing[[#This Row],[Conversion_Rate]],0)</f>
        <v>19</v>
      </c>
      <c r="J3949" s="12">
        <f>Marketing[[#This Row],[Campaign_Cost]]/Marketing[[#This Row],[Customers]]</f>
        <v>998.26315789473688</v>
      </c>
      <c r="K3949" t="s">
        <v>19</v>
      </c>
      <c r="L3949" t="s">
        <v>26</v>
      </c>
      <c r="M3949">
        <v>646</v>
      </c>
      <c r="N3949">
        <v>4622</v>
      </c>
      <c r="O3949">
        <v>5</v>
      </c>
      <c r="P3949" t="s">
        <v>42</v>
      </c>
      <c r="Q3949" s="1">
        <v>44494</v>
      </c>
    </row>
    <row r="3950" spans="1:17" x14ac:dyDescent="0.3">
      <c r="A3950" t="s">
        <v>28</v>
      </c>
      <c r="B3950" t="s">
        <v>36</v>
      </c>
      <c r="C3950" t="s">
        <v>37</v>
      </c>
      <c r="D3950" t="s">
        <v>46</v>
      </c>
      <c r="E3950" t="s">
        <v>18</v>
      </c>
      <c r="F3950" s="9">
        <v>0.05</v>
      </c>
      <c r="G3950" s="10">
        <v>10989</v>
      </c>
      <c r="H3950">
        <v>6.12</v>
      </c>
      <c r="I3950" s="5">
        <f>ROUND(Marketing[[#This Row],[Clicks]]*Marketing[[#This Row],[Conversion_Rate]],0)</f>
        <v>37</v>
      </c>
      <c r="J3950" s="12">
        <f>Marketing[[#This Row],[Campaign_Cost]]/Marketing[[#This Row],[Customers]]</f>
        <v>297</v>
      </c>
      <c r="K3950" t="s">
        <v>32</v>
      </c>
      <c r="L3950" t="s">
        <v>39</v>
      </c>
      <c r="M3950">
        <v>731</v>
      </c>
      <c r="N3950">
        <v>9895</v>
      </c>
      <c r="O3950">
        <v>5</v>
      </c>
      <c r="P3950" t="s">
        <v>42</v>
      </c>
      <c r="Q3950" s="1">
        <v>44495</v>
      </c>
    </row>
    <row r="3951" spans="1:17" x14ac:dyDescent="0.3">
      <c r="A3951" t="s">
        <v>35</v>
      </c>
      <c r="B3951" t="s">
        <v>47</v>
      </c>
      <c r="C3951" t="s">
        <v>16</v>
      </c>
      <c r="D3951" t="s">
        <v>24</v>
      </c>
      <c r="E3951" t="s">
        <v>18</v>
      </c>
      <c r="F3951" s="9">
        <v>0.01</v>
      </c>
      <c r="G3951" s="10">
        <v>9618</v>
      </c>
      <c r="H3951">
        <v>5.66</v>
      </c>
      <c r="I3951" s="5">
        <f>ROUND(Marketing[[#This Row],[Clicks]]*Marketing[[#This Row],[Conversion_Rate]],0)</f>
        <v>9</v>
      </c>
      <c r="J3951" s="12">
        <f>Marketing[[#This Row],[Campaign_Cost]]/Marketing[[#This Row],[Customers]]</f>
        <v>1068.6666666666667</v>
      </c>
      <c r="K3951" t="s">
        <v>25</v>
      </c>
      <c r="L3951" t="s">
        <v>50</v>
      </c>
      <c r="M3951">
        <v>854</v>
      </c>
      <c r="N3951">
        <v>8917</v>
      </c>
      <c r="O3951">
        <v>9</v>
      </c>
      <c r="P3951" t="s">
        <v>34</v>
      </c>
      <c r="Q3951" s="1">
        <v>44496</v>
      </c>
    </row>
    <row r="3952" spans="1:17" x14ac:dyDescent="0.3">
      <c r="A3952" t="s">
        <v>49</v>
      </c>
      <c r="B3952" t="s">
        <v>47</v>
      </c>
      <c r="C3952" t="s">
        <v>37</v>
      </c>
      <c r="D3952" t="s">
        <v>40</v>
      </c>
      <c r="E3952" t="s">
        <v>48</v>
      </c>
      <c r="F3952" s="9">
        <v>0.06</v>
      </c>
      <c r="G3952" s="10">
        <v>17560</v>
      </c>
      <c r="H3952">
        <v>6.78</v>
      </c>
      <c r="I3952" s="5">
        <f>ROUND(Marketing[[#This Row],[Clicks]]*Marketing[[#This Row],[Conversion_Rate]],0)</f>
        <v>49</v>
      </c>
      <c r="J3952" s="12">
        <f>Marketing[[#This Row],[Campaign_Cost]]/Marketing[[#This Row],[Customers]]</f>
        <v>358.36734693877548</v>
      </c>
      <c r="K3952" t="s">
        <v>19</v>
      </c>
      <c r="L3952" t="s">
        <v>50</v>
      </c>
      <c r="M3952">
        <v>809</v>
      </c>
      <c r="N3952">
        <v>4515</v>
      </c>
      <c r="O3952">
        <v>4</v>
      </c>
      <c r="P3952" t="s">
        <v>21</v>
      </c>
      <c r="Q3952" s="1">
        <v>44497</v>
      </c>
    </row>
    <row r="3953" spans="1:17" x14ac:dyDescent="0.3">
      <c r="A3953" t="s">
        <v>35</v>
      </c>
      <c r="B3953" t="s">
        <v>47</v>
      </c>
      <c r="C3953" t="s">
        <v>37</v>
      </c>
      <c r="D3953" t="s">
        <v>40</v>
      </c>
      <c r="E3953" t="s">
        <v>41</v>
      </c>
      <c r="F3953" s="9">
        <v>0.02</v>
      </c>
      <c r="G3953" s="10">
        <v>16730</v>
      </c>
      <c r="H3953">
        <v>7.47</v>
      </c>
      <c r="I3953" s="5">
        <f>ROUND(Marketing[[#This Row],[Clicks]]*Marketing[[#This Row],[Conversion_Rate]],0)</f>
        <v>5</v>
      </c>
      <c r="J3953" s="12">
        <f>Marketing[[#This Row],[Campaign_Cost]]/Marketing[[#This Row],[Customers]]</f>
        <v>3346</v>
      </c>
      <c r="K3953" t="s">
        <v>51</v>
      </c>
      <c r="L3953" t="s">
        <v>26</v>
      </c>
      <c r="M3953">
        <v>274</v>
      </c>
      <c r="N3953">
        <v>7990</v>
      </c>
      <c r="O3953">
        <v>5</v>
      </c>
      <c r="P3953" t="s">
        <v>21</v>
      </c>
      <c r="Q3953" s="1">
        <v>44498</v>
      </c>
    </row>
    <row r="3954" spans="1:17" x14ac:dyDescent="0.3">
      <c r="A3954" t="s">
        <v>28</v>
      </c>
      <c r="B3954" t="s">
        <v>36</v>
      </c>
      <c r="C3954" t="s">
        <v>52</v>
      </c>
      <c r="D3954" t="s">
        <v>17</v>
      </c>
      <c r="E3954" t="s">
        <v>15</v>
      </c>
      <c r="F3954" s="9">
        <v>0.15</v>
      </c>
      <c r="G3954" s="10">
        <v>17623</v>
      </c>
      <c r="H3954">
        <v>4.57</v>
      </c>
      <c r="I3954" s="5">
        <f>ROUND(Marketing[[#This Row],[Clicks]]*Marketing[[#This Row],[Conversion_Rate]],0)</f>
        <v>110</v>
      </c>
      <c r="J3954" s="12">
        <f>Marketing[[#This Row],[Campaign_Cost]]/Marketing[[#This Row],[Customers]]</f>
        <v>160.20909090909092</v>
      </c>
      <c r="K3954" t="s">
        <v>25</v>
      </c>
      <c r="L3954" t="s">
        <v>26</v>
      </c>
      <c r="M3954">
        <v>735</v>
      </c>
      <c r="N3954">
        <v>8105</v>
      </c>
      <c r="O3954">
        <v>2</v>
      </c>
      <c r="P3954" t="s">
        <v>21</v>
      </c>
      <c r="Q3954" s="1">
        <v>44499</v>
      </c>
    </row>
    <row r="3955" spans="1:17" x14ac:dyDescent="0.3">
      <c r="A3955" t="s">
        <v>22</v>
      </c>
      <c r="B3955" t="s">
        <v>15</v>
      </c>
      <c r="C3955" t="s">
        <v>23</v>
      </c>
      <c r="D3955" t="s">
        <v>40</v>
      </c>
      <c r="E3955" t="s">
        <v>48</v>
      </c>
      <c r="F3955" s="9">
        <v>0.01</v>
      </c>
      <c r="G3955" s="10">
        <v>17834</v>
      </c>
      <c r="H3955">
        <v>4.59</v>
      </c>
      <c r="I3955" s="5">
        <f>ROUND(Marketing[[#This Row],[Clicks]]*Marketing[[#This Row],[Conversion_Rate]],0)</f>
        <v>5</v>
      </c>
      <c r="J3955" s="12">
        <f>Marketing[[#This Row],[Campaign_Cost]]/Marketing[[#This Row],[Customers]]</f>
        <v>3566.8</v>
      </c>
      <c r="K3955" t="s">
        <v>32</v>
      </c>
      <c r="L3955" t="s">
        <v>26</v>
      </c>
      <c r="M3955">
        <v>525</v>
      </c>
      <c r="N3955">
        <v>3515</v>
      </c>
      <c r="O3955">
        <v>3</v>
      </c>
      <c r="P3955" t="s">
        <v>44</v>
      </c>
      <c r="Q3955" s="1">
        <v>44500</v>
      </c>
    </row>
    <row r="3956" spans="1:17" x14ac:dyDescent="0.3">
      <c r="A3956" t="s">
        <v>35</v>
      </c>
      <c r="B3956" t="s">
        <v>36</v>
      </c>
      <c r="C3956" t="s">
        <v>52</v>
      </c>
      <c r="D3956" t="s">
        <v>24</v>
      </c>
      <c r="E3956" t="s">
        <v>48</v>
      </c>
      <c r="F3956" s="9">
        <v>0.11</v>
      </c>
      <c r="G3956" s="10">
        <v>15581</v>
      </c>
      <c r="H3956">
        <v>2.81</v>
      </c>
      <c r="I3956" s="5">
        <f>ROUND(Marketing[[#This Row],[Clicks]]*Marketing[[#This Row],[Conversion_Rate]],0)</f>
        <v>53</v>
      </c>
      <c r="J3956" s="12">
        <f>Marketing[[#This Row],[Campaign_Cost]]/Marketing[[#This Row],[Customers]]</f>
        <v>293.98113207547169</v>
      </c>
      <c r="K3956" t="s">
        <v>38</v>
      </c>
      <c r="L3956" t="s">
        <v>33</v>
      </c>
      <c r="M3956">
        <v>481</v>
      </c>
      <c r="N3956">
        <v>1290</v>
      </c>
      <c r="O3956">
        <v>6</v>
      </c>
      <c r="P3956" t="s">
        <v>21</v>
      </c>
      <c r="Q3956" s="1">
        <v>44501</v>
      </c>
    </row>
    <row r="3957" spans="1:17" x14ac:dyDescent="0.3">
      <c r="A3957" t="s">
        <v>49</v>
      </c>
      <c r="B3957" t="s">
        <v>15</v>
      </c>
      <c r="C3957" t="s">
        <v>23</v>
      </c>
      <c r="D3957" t="s">
        <v>24</v>
      </c>
      <c r="E3957" t="s">
        <v>15</v>
      </c>
      <c r="F3957" s="9">
        <v>0.13</v>
      </c>
      <c r="G3957" s="10">
        <v>9101</v>
      </c>
      <c r="H3957">
        <v>3.65</v>
      </c>
      <c r="I3957" s="5">
        <f>ROUND(Marketing[[#This Row],[Clicks]]*Marketing[[#This Row],[Conversion_Rate]],0)</f>
        <v>27</v>
      </c>
      <c r="J3957" s="12">
        <f>Marketing[[#This Row],[Campaign_Cost]]/Marketing[[#This Row],[Customers]]</f>
        <v>337.07407407407408</v>
      </c>
      <c r="K3957" t="s">
        <v>25</v>
      </c>
      <c r="L3957" t="s">
        <v>39</v>
      </c>
      <c r="M3957">
        <v>208</v>
      </c>
      <c r="N3957">
        <v>6640</v>
      </c>
      <c r="O3957">
        <v>6</v>
      </c>
      <c r="P3957" t="s">
        <v>21</v>
      </c>
      <c r="Q3957" s="1">
        <v>44502</v>
      </c>
    </row>
    <row r="3958" spans="1:17" x14ac:dyDescent="0.3">
      <c r="A3958" t="s">
        <v>28</v>
      </c>
      <c r="B3958" t="s">
        <v>15</v>
      </c>
      <c r="C3958" t="s">
        <v>30</v>
      </c>
      <c r="D3958" t="s">
        <v>24</v>
      </c>
      <c r="E3958" t="s">
        <v>18</v>
      </c>
      <c r="F3958" s="9">
        <v>0.11</v>
      </c>
      <c r="G3958" s="10">
        <v>16425</v>
      </c>
      <c r="H3958">
        <v>7.75</v>
      </c>
      <c r="I3958" s="5">
        <f>ROUND(Marketing[[#This Row],[Clicks]]*Marketing[[#This Row],[Conversion_Rate]],0)</f>
        <v>63</v>
      </c>
      <c r="J3958" s="12">
        <f>Marketing[[#This Row],[Campaign_Cost]]/Marketing[[#This Row],[Customers]]</f>
        <v>260.71428571428572</v>
      </c>
      <c r="K3958" t="s">
        <v>38</v>
      </c>
      <c r="L3958" t="s">
        <v>26</v>
      </c>
      <c r="M3958">
        <v>569</v>
      </c>
      <c r="N3958">
        <v>2759</v>
      </c>
      <c r="O3958">
        <v>8</v>
      </c>
      <c r="P3958" t="s">
        <v>34</v>
      </c>
      <c r="Q3958" s="1">
        <v>44503</v>
      </c>
    </row>
    <row r="3959" spans="1:17" x14ac:dyDescent="0.3">
      <c r="A3959" t="s">
        <v>22</v>
      </c>
      <c r="B3959" t="s">
        <v>45</v>
      </c>
      <c r="C3959" t="s">
        <v>30</v>
      </c>
      <c r="D3959" t="s">
        <v>24</v>
      </c>
      <c r="E3959" t="s">
        <v>18</v>
      </c>
      <c r="F3959" s="9">
        <v>0.14000000000000001</v>
      </c>
      <c r="G3959" s="10">
        <v>11874</v>
      </c>
      <c r="H3959">
        <v>5.01</v>
      </c>
      <c r="I3959" s="5">
        <f>ROUND(Marketing[[#This Row],[Clicks]]*Marketing[[#This Row],[Conversion_Rate]],0)</f>
        <v>28</v>
      </c>
      <c r="J3959" s="12">
        <f>Marketing[[#This Row],[Campaign_Cost]]/Marketing[[#This Row],[Customers]]</f>
        <v>424.07142857142856</v>
      </c>
      <c r="K3959" t="s">
        <v>32</v>
      </c>
      <c r="L3959" t="s">
        <v>50</v>
      </c>
      <c r="M3959">
        <v>203</v>
      </c>
      <c r="N3959">
        <v>1270</v>
      </c>
      <c r="O3959">
        <v>7</v>
      </c>
      <c r="P3959" t="s">
        <v>34</v>
      </c>
      <c r="Q3959" s="1">
        <v>44504</v>
      </c>
    </row>
    <row r="3960" spans="1:17" x14ac:dyDescent="0.3">
      <c r="A3960" t="s">
        <v>35</v>
      </c>
      <c r="B3960" t="s">
        <v>36</v>
      </c>
      <c r="C3960" t="s">
        <v>23</v>
      </c>
      <c r="D3960" t="s">
        <v>17</v>
      </c>
      <c r="E3960" t="s">
        <v>18</v>
      </c>
      <c r="F3960" s="9">
        <v>0.14000000000000001</v>
      </c>
      <c r="G3960" s="10">
        <v>18371</v>
      </c>
      <c r="H3960">
        <v>6.02</v>
      </c>
      <c r="I3960" s="5">
        <f>ROUND(Marketing[[#This Row],[Clicks]]*Marketing[[#This Row],[Conversion_Rate]],0)</f>
        <v>137</v>
      </c>
      <c r="J3960" s="12">
        <f>Marketing[[#This Row],[Campaign_Cost]]/Marketing[[#This Row],[Customers]]</f>
        <v>134.09489051094891</v>
      </c>
      <c r="K3960" t="s">
        <v>38</v>
      </c>
      <c r="L3960" t="s">
        <v>20</v>
      </c>
      <c r="M3960">
        <v>975</v>
      </c>
      <c r="N3960">
        <v>2494</v>
      </c>
      <c r="O3960">
        <v>1</v>
      </c>
      <c r="P3960" t="s">
        <v>44</v>
      </c>
      <c r="Q3960" s="1">
        <v>44505</v>
      </c>
    </row>
    <row r="3961" spans="1:17" x14ac:dyDescent="0.3">
      <c r="A3961" t="s">
        <v>22</v>
      </c>
      <c r="B3961" t="s">
        <v>45</v>
      </c>
      <c r="C3961" t="s">
        <v>30</v>
      </c>
      <c r="D3961" t="s">
        <v>40</v>
      </c>
      <c r="E3961" t="s">
        <v>31</v>
      </c>
      <c r="F3961" s="9">
        <v>0.05</v>
      </c>
      <c r="G3961" s="10">
        <v>16641</v>
      </c>
      <c r="H3961">
        <v>5.0999999999999996</v>
      </c>
      <c r="I3961" s="5">
        <f>ROUND(Marketing[[#This Row],[Clicks]]*Marketing[[#This Row],[Conversion_Rate]],0)</f>
        <v>35</v>
      </c>
      <c r="J3961" s="12">
        <f>Marketing[[#This Row],[Campaign_Cost]]/Marketing[[#This Row],[Customers]]</f>
        <v>475.45714285714286</v>
      </c>
      <c r="K3961" t="s">
        <v>32</v>
      </c>
      <c r="L3961" t="s">
        <v>20</v>
      </c>
      <c r="M3961">
        <v>704</v>
      </c>
      <c r="N3961">
        <v>6291</v>
      </c>
      <c r="O3961">
        <v>4</v>
      </c>
      <c r="P3961" t="s">
        <v>44</v>
      </c>
      <c r="Q3961" s="1">
        <v>44506</v>
      </c>
    </row>
    <row r="3962" spans="1:17" x14ac:dyDescent="0.3">
      <c r="A3962" t="s">
        <v>28</v>
      </c>
      <c r="B3962" t="s">
        <v>36</v>
      </c>
      <c r="C3962" t="s">
        <v>52</v>
      </c>
      <c r="D3962" t="s">
        <v>46</v>
      </c>
      <c r="E3962" t="s">
        <v>43</v>
      </c>
      <c r="F3962" s="9">
        <v>0.14000000000000001</v>
      </c>
      <c r="G3962" s="10">
        <v>17645</v>
      </c>
      <c r="H3962">
        <v>7.11</v>
      </c>
      <c r="I3962" s="5">
        <f>ROUND(Marketing[[#This Row],[Clicks]]*Marketing[[#This Row],[Conversion_Rate]],0)</f>
        <v>116</v>
      </c>
      <c r="J3962" s="12">
        <f>Marketing[[#This Row],[Campaign_Cost]]/Marketing[[#This Row],[Customers]]</f>
        <v>152.11206896551724</v>
      </c>
      <c r="K3962" t="s">
        <v>51</v>
      </c>
      <c r="L3962" t="s">
        <v>26</v>
      </c>
      <c r="M3962">
        <v>831</v>
      </c>
      <c r="N3962">
        <v>9503</v>
      </c>
      <c r="O3962">
        <v>2</v>
      </c>
      <c r="P3962" t="s">
        <v>34</v>
      </c>
      <c r="Q3962" s="1">
        <v>44507</v>
      </c>
    </row>
    <row r="3963" spans="1:17" x14ac:dyDescent="0.3">
      <c r="A3963" t="s">
        <v>28</v>
      </c>
      <c r="B3963" t="s">
        <v>45</v>
      </c>
      <c r="C3963" t="s">
        <v>37</v>
      </c>
      <c r="D3963" t="s">
        <v>24</v>
      </c>
      <c r="E3963" t="s">
        <v>15</v>
      </c>
      <c r="F3963" s="9">
        <v>0.11</v>
      </c>
      <c r="G3963" s="10">
        <v>16027</v>
      </c>
      <c r="H3963">
        <v>3.2</v>
      </c>
      <c r="I3963" s="5">
        <f>ROUND(Marketing[[#This Row],[Clicks]]*Marketing[[#This Row],[Conversion_Rate]],0)</f>
        <v>76</v>
      </c>
      <c r="J3963" s="12">
        <f>Marketing[[#This Row],[Campaign_Cost]]/Marketing[[#This Row],[Customers]]</f>
        <v>210.88157894736841</v>
      </c>
      <c r="K3963" t="s">
        <v>38</v>
      </c>
      <c r="L3963" t="s">
        <v>39</v>
      </c>
      <c r="M3963">
        <v>687</v>
      </c>
      <c r="N3963">
        <v>5000</v>
      </c>
      <c r="O3963">
        <v>8</v>
      </c>
      <c r="P3963" t="s">
        <v>21</v>
      </c>
      <c r="Q3963" s="1">
        <v>44508</v>
      </c>
    </row>
    <row r="3964" spans="1:17" x14ac:dyDescent="0.3">
      <c r="A3964" t="s">
        <v>22</v>
      </c>
      <c r="B3964" t="s">
        <v>29</v>
      </c>
      <c r="C3964" t="s">
        <v>37</v>
      </c>
      <c r="D3964" t="s">
        <v>17</v>
      </c>
      <c r="E3964" t="s">
        <v>41</v>
      </c>
      <c r="F3964" s="9">
        <v>0.11</v>
      </c>
      <c r="G3964" s="10">
        <v>16276</v>
      </c>
      <c r="H3964">
        <v>4.93</v>
      </c>
      <c r="I3964" s="5">
        <f>ROUND(Marketing[[#This Row],[Clicks]]*Marketing[[#This Row],[Conversion_Rate]],0)</f>
        <v>92</v>
      </c>
      <c r="J3964" s="12">
        <f>Marketing[[#This Row],[Campaign_Cost]]/Marketing[[#This Row],[Customers]]</f>
        <v>176.91304347826087</v>
      </c>
      <c r="K3964" t="s">
        <v>25</v>
      </c>
      <c r="L3964" t="s">
        <v>39</v>
      </c>
      <c r="M3964">
        <v>840</v>
      </c>
      <c r="N3964">
        <v>3659</v>
      </c>
      <c r="O3964">
        <v>9</v>
      </c>
      <c r="P3964" t="s">
        <v>44</v>
      </c>
      <c r="Q3964" s="1">
        <v>44509</v>
      </c>
    </row>
    <row r="3965" spans="1:17" x14ac:dyDescent="0.3">
      <c r="A3965" t="s">
        <v>28</v>
      </c>
      <c r="B3965" t="s">
        <v>47</v>
      </c>
      <c r="C3965" t="s">
        <v>30</v>
      </c>
      <c r="D3965" t="s">
        <v>40</v>
      </c>
      <c r="E3965" t="s">
        <v>41</v>
      </c>
      <c r="F3965" s="9">
        <v>0.03</v>
      </c>
      <c r="G3965" s="10">
        <v>15270</v>
      </c>
      <c r="H3965">
        <v>3.25</v>
      </c>
      <c r="I3965" s="5">
        <f>ROUND(Marketing[[#This Row],[Clicks]]*Marketing[[#This Row],[Conversion_Rate]],0)</f>
        <v>19</v>
      </c>
      <c r="J3965" s="12">
        <f>Marketing[[#This Row],[Campaign_Cost]]/Marketing[[#This Row],[Customers]]</f>
        <v>803.68421052631584</v>
      </c>
      <c r="K3965" t="s">
        <v>38</v>
      </c>
      <c r="L3965" t="s">
        <v>39</v>
      </c>
      <c r="M3965">
        <v>626</v>
      </c>
      <c r="N3965">
        <v>9864</v>
      </c>
      <c r="O3965">
        <v>2</v>
      </c>
      <c r="P3965" t="s">
        <v>27</v>
      </c>
      <c r="Q3965" s="1">
        <v>44510</v>
      </c>
    </row>
    <row r="3966" spans="1:17" x14ac:dyDescent="0.3">
      <c r="A3966" t="s">
        <v>35</v>
      </c>
      <c r="B3966" t="s">
        <v>36</v>
      </c>
      <c r="C3966" t="s">
        <v>23</v>
      </c>
      <c r="D3966" t="s">
        <v>17</v>
      </c>
      <c r="E3966" t="s">
        <v>18</v>
      </c>
      <c r="F3966" s="9">
        <v>0.05</v>
      </c>
      <c r="G3966" s="10">
        <v>5979</v>
      </c>
      <c r="H3966">
        <v>6.23</v>
      </c>
      <c r="I3966" s="5">
        <f>ROUND(Marketing[[#This Row],[Clicks]]*Marketing[[#This Row],[Conversion_Rate]],0)</f>
        <v>28</v>
      </c>
      <c r="J3966" s="12">
        <f>Marketing[[#This Row],[Campaign_Cost]]/Marketing[[#This Row],[Customers]]</f>
        <v>213.53571428571428</v>
      </c>
      <c r="K3966" t="s">
        <v>32</v>
      </c>
      <c r="L3966" t="s">
        <v>26</v>
      </c>
      <c r="M3966">
        <v>551</v>
      </c>
      <c r="N3966">
        <v>3155</v>
      </c>
      <c r="O3966">
        <v>8</v>
      </c>
      <c r="P3966" t="s">
        <v>42</v>
      </c>
      <c r="Q3966" s="1">
        <v>44511</v>
      </c>
    </row>
    <row r="3967" spans="1:17" x14ac:dyDescent="0.3">
      <c r="A3967" t="s">
        <v>35</v>
      </c>
      <c r="B3967" t="s">
        <v>15</v>
      </c>
      <c r="C3967" t="s">
        <v>16</v>
      </c>
      <c r="D3967" t="s">
        <v>17</v>
      </c>
      <c r="E3967" t="s">
        <v>43</v>
      </c>
      <c r="F3967" s="9">
        <v>0.14000000000000001</v>
      </c>
      <c r="G3967" s="10">
        <v>6839</v>
      </c>
      <c r="H3967">
        <v>7.88</v>
      </c>
      <c r="I3967" s="5">
        <f>ROUND(Marketing[[#This Row],[Clicks]]*Marketing[[#This Row],[Conversion_Rate]],0)</f>
        <v>86</v>
      </c>
      <c r="J3967" s="12">
        <f>Marketing[[#This Row],[Campaign_Cost]]/Marketing[[#This Row],[Customers]]</f>
        <v>79.523255813953483</v>
      </c>
      <c r="K3967" t="s">
        <v>19</v>
      </c>
      <c r="L3967" t="s">
        <v>26</v>
      </c>
      <c r="M3967">
        <v>612</v>
      </c>
      <c r="N3967">
        <v>5450</v>
      </c>
      <c r="O3967">
        <v>6</v>
      </c>
      <c r="P3967" t="s">
        <v>42</v>
      </c>
      <c r="Q3967" s="1">
        <v>44512</v>
      </c>
    </row>
    <row r="3968" spans="1:17" x14ac:dyDescent="0.3">
      <c r="A3968" t="s">
        <v>22</v>
      </c>
      <c r="B3968" t="s">
        <v>45</v>
      </c>
      <c r="C3968" t="s">
        <v>23</v>
      </c>
      <c r="D3968" t="s">
        <v>24</v>
      </c>
      <c r="E3968" t="s">
        <v>41</v>
      </c>
      <c r="F3968" s="9">
        <v>7.0000000000000007E-2</v>
      </c>
      <c r="G3968" s="10">
        <v>19543</v>
      </c>
      <c r="H3968">
        <v>6.15</v>
      </c>
      <c r="I3968" s="5">
        <f>ROUND(Marketing[[#This Row],[Clicks]]*Marketing[[#This Row],[Conversion_Rate]],0)</f>
        <v>17</v>
      </c>
      <c r="J3968" s="12">
        <f>Marketing[[#This Row],[Campaign_Cost]]/Marketing[[#This Row],[Customers]]</f>
        <v>1149.5882352941176</v>
      </c>
      <c r="K3968" t="s">
        <v>19</v>
      </c>
      <c r="L3968" t="s">
        <v>33</v>
      </c>
      <c r="M3968">
        <v>236</v>
      </c>
      <c r="N3968">
        <v>1428</v>
      </c>
      <c r="O3968">
        <v>3</v>
      </c>
      <c r="P3968" t="s">
        <v>21</v>
      </c>
      <c r="Q3968" s="1">
        <v>44513</v>
      </c>
    </row>
    <row r="3969" spans="1:17" x14ac:dyDescent="0.3">
      <c r="A3969" t="s">
        <v>22</v>
      </c>
      <c r="B3969" t="s">
        <v>36</v>
      </c>
      <c r="C3969" t="s">
        <v>23</v>
      </c>
      <c r="D3969" t="s">
        <v>46</v>
      </c>
      <c r="E3969" t="s">
        <v>43</v>
      </c>
      <c r="F3969" s="9">
        <v>0.1</v>
      </c>
      <c r="G3969" s="10">
        <v>7730</v>
      </c>
      <c r="H3969">
        <v>3.31</v>
      </c>
      <c r="I3969" s="5">
        <f>ROUND(Marketing[[#This Row],[Clicks]]*Marketing[[#This Row],[Conversion_Rate]],0)</f>
        <v>15</v>
      </c>
      <c r="J3969" s="12">
        <f>Marketing[[#This Row],[Campaign_Cost]]/Marketing[[#This Row],[Customers]]</f>
        <v>515.33333333333337</v>
      </c>
      <c r="K3969" t="s">
        <v>32</v>
      </c>
      <c r="L3969" t="s">
        <v>50</v>
      </c>
      <c r="M3969">
        <v>153</v>
      </c>
      <c r="N3969">
        <v>7030</v>
      </c>
      <c r="O3969">
        <v>1</v>
      </c>
      <c r="P3969" t="s">
        <v>42</v>
      </c>
      <c r="Q3969" s="1">
        <v>44514</v>
      </c>
    </row>
    <row r="3970" spans="1:17" x14ac:dyDescent="0.3">
      <c r="A3970" t="s">
        <v>28</v>
      </c>
      <c r="B3970" t="s">
        <v>47</v>
      </c>
      <c r="C3970" t="s">
        <v>37</v>
      </c>
      <c r="D3970" t="s">
        <v>46</v>
      </c>
      <c r="E3970" t="s">
        <v>31</v>
      </c>
      <c r="F3970" s="9">
        <v>0.01</v>
      </c>
      <c r="G3970" s="10">
        <v>7665</v>
      </c>
      <c r="H3970">
        <v>6.29</v>
      </c>
      <c r="I3970" s="5">
        <f>ROUND(Marketing[[#This Row],[Clicks]]*Marketing[[#This Row],[Conversion_Rate]],0)</f>
        <v>10</v>
      </c>
      <c r="J3970" s="12">
        <f>Marketing[[#This Row],[Campaign_Cost]]/Marketing[[#This Row],[Customers]]</f>
        <v>766.5</v>
      </c>
      <c r="K3970" t="s">
        <v>25</v>
      </c>
      <c r="L3970" t="s">
        <v>39</v>
      </c>
      <c r="M3970">
        <v>960</v>
      </c>
      <c r="N3970">
        <v>6347</v>
      </c>
      <c r="O3970">
        <v>3</v>
      </c>
      <c r="P3970" t="s">
        <v>42</v>
      </c>
      <c r="Q3970" s="1">
        <v>44515</v>
      </c>
    </row>
    <row r="3971" spans="1:17" x14ac:dyDescent="0.3">
      <c r="A3971" t="s">
        <v>49</v>
      </c>
      <c r="B3971" t="s">
        <v>29</v>
      </c>
      <c r="C3971" t="s">
        <v>16</v>
      </c>
      <c r="D3971" t="s">
        <v>17</v>
      </c>
      <c r="E3971" t="s">
        <v>31</v>
      </c>
      <c r="F3971" s="9">
        <v>0.11</v>
      </c>
      <c r="G3971" s="10">
        <v>9497</v>
      </c>
      <c r="H3971">
        <v>6.26</v>
      </c>
      <c r="I3971" s="5">
        <f>ROUND(Marketing[[#This Row],[Clicks]]*Marketing[[#This Row],[Conversion_Rate]],0)</f>
        <v>47</v>
      </c>
      <c r="J3971" s="12">
        <f>Marketing[[#This Row],[Campaign_Cost]]/Marketing[[#This Row],[Customers]]</f>
        <v>202.06382978723406</v>
      </c>
      <c r="K3971" t="s">
        <v>38</v>
      </c>
      <c r="L3971" t="s">
        <v>50</v>
      </c>
      <c r="M3971">
        <v>430</v>
      </c>
      <c r="N3971">
        <v>9956</v>
      </c>
      <c r="O3971">
        <v>9</v>
      </c>
      <c r="P3971" t="s">
        <v>27</v>
      </c>
      <c r="Q3971" s="1">
        <v>44516</v>
      </c>
    </row>
    <row r="3972" spans="1:17" x14ac:dyDescent="0.3">
      <c r="A3972" t="s">
        <v>28</v>
      </c>
      <c r="B3972" t="s">
        <v>36</v>
      </c>
      <c r="C3972" t="s">
        <v>23</v>
      </c>
      <c r="D3972" t="s">
        <v>24</v>
      </c>
      <c r="E3972" t="s">
        <v>18</v>
      </c>
      <c r="F3972" s="9">
        <v>0.13</v>
      </c>
      <c r="G3972" s="10">
        <v>14368</v>
      </c>
      <c r="H3972">
        <v>2.35</v>
      </c>
      <c r="I3972" s="5">
        <f>ROUND(Marketing[[#This Row],[Clicks]]*Marketing[[#This Row],[Conversion_Rate]],0)</f>
        <v>17</v>
      </c>
      <c r="J3972" s="12">
        <f>Marketing[[#This Row],[Campaign_Cost]]/Marketing[[#This Row],[Customers]]</f>
        <v>845.17647058823525</v>
      </c>
      <c r="K3972" t="s">
        <v>25</v>
      </c>
      <c r="L3972" t="s">
        <v>33</v>
      </c>
      <c r="M3972">
        <v>133</v>
      </c>
      <c r="N3972">
        <v>2475</v>
      </c>
      <c r="O3972">
        <v>1</v>
      </c>
      <c r="P3972" t="s">
        <v>42</v>
      </c>
      <c r="Q3972" s="1">
        <v>44517</v>
      </c>
    </row>
    <row r="3973" spans="1:17" x14ac:dyDescent="0.3">
      <c r="A3973" t="s">
        <v>22</v>
      </c>
      <c r="B3973" t="s">
        <v>36</v>
      </c>
      <c r="C3973" t="s">
        <v>52</v>
      </c>
      <c r="D3973" t="s">
        <v>24</v>
      </c>
      <c r="E3973" t="s">
        <v>31</v>
      </c>
      <c r="F3973" s="9">
        <v>0.04</v>
      </c>
      <c r="G3973" s="10">
        <v>19451</v>
      </c>
      <c r="H3973">
        <v>3.69</v>
      </c>
      <c r="I3973" s="5">
        <f>ROUND(Marketing[[#This Row],[Clicks]]*Marketing[[#This Row],[Conversion_Rate]],0)</f>
        <v>4</v>
      </c>
      <c r="J3973" s="12">
        <f>Marketing[[#This Row],[Campaign_Cost]]/Marketing[[#This Row],[Customers]]</f>
        <v>4862.75</v>
      </c>
      <c r="K3973" t="s">
        <v>38</v>
      </c>
      <c r="L3973" t="s">
        <v>20</v>
      </c>
      <c r="M3973">
        <v>101</v>
      </c>
      <c r="N3973">
        <v>4633</v>
      </c>
      <c r="O3973">
        <v>7</v>
      </c>
      <c r="P3973" t="s">
        <v>21</v>
      </c>
      <c r="Q3973" s="1">
        <v>44518</v>
      </c>
    </row>
    <row r="3974" spans="1:17" x14ac:dyDescent="0.3">
      <c r="A3974" t="s">
        <v>22</v>
      </c>
      <c r="B3974" t="s">
        <v>36</v>
      </c>
      <c r="C3974" t="s">
        <v>52</v>
      </c>
      <c r="D3974" t="s">
        <v>17</v>
      </c>
      <c r="E3974" t="s">
        <v>43</v>
      </c>
      <c r="F3974" s="9">
        <v>0.01</v>
      </c>
      <c r="G3974" s="10">
        <v>18639</v>
      </c>
      <c r="H3974">
        <v>2.33</v>
      </c>
      <c r="I3974" s="5">
        <f>ROUND(Marketing[[#This Row],[Clicks]]*Marketing[[#This Row],[Conversion_Rate]],0)</f>
        <v>4</v>
      </c>
      <c r="J3974" s="12">
        <f>Marketing[[#This Row],[Campaign_Cost]]/Marketing[[#This Row],[Customers]]</f>
        <v>4659.75</v>
      </c>
      <c r="K3974" t="s">
        <v>32</v>
      </c>
      <c r="L3974" t="s">
        <v>33</v>
      </c>
      <c r="M3974">
        <v>419</v>
      </c>
      <c r="N3974">
        <v>3377</v>
      </c>
      <c r="O3974">
        <v>2</v>
      </c>
      <c r="P3974" t="s">
        <v>21</v>
      </c>
      <c r="Q3974" s="1">
        <v>44519</v>
      </c>
    </row>
    <row r="3975" spans="1:17" x14ac:dyDescent="0.3">
      <c r="A3975" t="s">
        <v>14</v>
      </c>
      <c r="B3975" t="s">
        <v>36</v>
      </c>
      <c r="C3975" t="s">
        <v>52</v>
      </c>
      <c r="D3975" t="s">
        <v>17</v>
      </c>
      <c r="E3975" t="s">
        <v>43</v>
      </c>
      <c r="F3975" s="9">
        <v>0.02</v>
      </c>
      <c r="G3975" s="10">
        <v>14372</v>
      </c>
      <c r="H3975">
        <v>5.07</v>
      </c>
      <c r="I3975" s="5">
        <f>ROUND(Marketing[[#This Row],[Clicks]]*Marketing[[#This Row],[Conversion_Rate]],0)</f>
        <v>3</v>
      </c>
      <c r="J3975" s="12">
        <f>Marketing[[#This Row],[Campaign_Cost]]/Marketing[[#This Row],[Customers]]</f>
        <v>4790.666666666667</v>
      </c>
      <c r="K3975" t="s">
        <v>32</v>
      </c>
      <c r="L3975" t="s">
        <v>39</v>
      </c>
      <c r="M3975">
        <v>148</v>
      </c>
      <c r="N3975">
        <v>3877</v>
      </c>
      <c r="O3975">
        <v>8</v>
      </c>
      <c r="P3975" t="s">
        <v>42</v>
      </c>
      <c r="Q3975" s="1">
        <v>44520</v>
      </c>
    </row>
    <row r="3976" spans="1:17" x14ac:dyDescent="0.3">
      <c r="A3976" t="s">
        <v>22</v>
      </c>
      <c r="B3976" t="s">
        <v>29</v>
      </c>
      <c r="C3976" t="s">
        <v>30</v>
      </c>
      <c r="D3976" t="s">
        <v>24</v>
      </c>
      <c r="E3976" t="s">
        <v>31</v>
      </c>
      <c r="F3976" s="9">
        <v>0.05</v>
      </c>
      <c r="G3976" s="10">
        <v>12239</v>
      </c>
      <c r="H3976">
        <v>6.43</v>
      </c>
      <c r="I3976" s="5">
        <f>ROUND(Marketing[[#This Row],[Clicks]]*Marketing[[#This Row],[Conversion_Rate]],0)</f>
        <v>11</v>
      </c>
      <c r="J3976" s="12">
        <f>Marketing[[#This Row],[Campaign_Cost]]/Marketing[[#This Row],[Customers]]</f>
        <v>1112.6363636363637</v>
      </c>
      <c r="K3976" t="s">
        <v>38</v>
      </c>
      <c r="L3976" t="s">
        <v>20</v>
      </c>
      <c r="M3976">
        <v>217</v>
      </c>
      <c r="N3976">
        <v>8829</v>
      </c>
      <c r="O3976">
        <v>3</v>
      </c>
      <c r="P3976" t="s">
        <v>44</v>
      </c>
      <c r="Q3976" s="1">
        <v>44521</v>
      </c>
    </row>
    <row r="3977" spans="1:17" x14ac:dyDescent="0.3">
      <c r="A3977" t="s">
        <v>28</v>
      </c>
      <c r="B3977" t="s">
        <v>29</v>
      </c>
      <c r="C3977" t="s">
        <v>52</v>
      </c>
      <c r="D3977" t="s">
        <v>17</v>
      </c>
      <c r="E3977" t="s">
        <v>48</v>
      </c>
      <c r="F3977" s="9">
        <v>0.01</v>
      </c>
      <c r="G3977" s="10">
        <v>14046</v>
      </c>
      <c r="H3977">
        <v>4.5</v>
      </c>
      <c r="I3977" s="5">
        <f>ROUND(Marketing[[#This Row],[Clicks]]*Marketing[[#This Row],[Conversion_Rate]],0)</f>
        <v>5</v>
      </c>
      <c r="J3977" s="12">
        <f>Marketing[[#This Row],[Campaign_Cost]]/Marketing[[#This Row],[Customers]]</f>
        <v>2809.2</v>
      </c>
      <c r="K3977" t="s">
        <v>51</v>
      </c>
      <c r="L3977" t="s">
        <v>26</v>
      </c>
      <c r="M3977">
        <v>506</v>
      </c>
      <c r="N3977">
        <v>9612</v>
      </c>
      <c r="O3977">
        <v>9</v>
      </c>
      <c r="P3977" t="s">
        <v>42</v>
      </c>
      <c r="Q3977" s="1">
        <v>44522</v>
      </c>
    </row>
    <row r="3978" spans="1:17" x14ac:dyDescent="0.3">
      <c r="A3978" t="s">
        <v>22</v>
      </c>
      <c r="B3978" t="s">
        <v>36</v>
      </c>
      <c r="C3978" t="s">
        <v>30</v>
      </c>
      <c r="D3978" t="s">
        <v>17</v>
      </c>
      <c r="E3978" t="s">
        <v>15</v>
      </c>
      <c r="F3978" s="9">
        <v>0.02</v>
      </c>
      <c r="G3978" s="10">
        <v>6738</v>
      </c>
      <c r="H3978">
        <v>2.23</v>
      </c>
      <c r="I3978" s="5">
        <f>ROUND(Marketing[[#This Row],[Clicks]]*Marketing[[#This Row],[Conversion_Rate]],0)</f>
        <v>17</v>
      </c>
      <c r="J3978" s="12">
        <f>Marketing[[#This Row],[Campaign_Cost]]/Marketing[[#This Row],[Customers]]</f>
        <v>396.35294117647061</v>
      </c>
      <c r="K3978" t="s">
        <v>38</v>
      </c>
      <c r="L3978" t="s">
        <v>50</v>
      </c>
      <c r="M3978">
        <v>844</v>
      </c>
      <c r="N3978">
        <v>9602</v>
      </c>
      <c r="O3978">
        <v>3</v>
      </c>
      <c r="P3978" t="s">
        <v>27</v>
      </c>
      <c r="Q3978" s="1">
        <v>44523</v>
      </c>
    </row>
    <row r="3979" spans="1:17" x14ac:dyDescent="0.3">
      <c r="A3979" t="s">
        <v>28</v>
      </c>
      <c r="B3979" t="s">
        <v>29</v>
      </c>
      <c r="C3979" t="s">
        <v>23</v>
      </c>
      <c r="D3979" t="s">
        <v>40</v>
      </c>
      <c r="E3979" t="s">
        <v>43</v>
      </c>
      <c r="F3979" s="9">
        <v>0.02</v>
      </c>
      <c r="G3979" s="10">
        <v>7936</v>
      </c>
      <c r="H3979">
        <v>3.2</v>
      </c>
      <c r="I3979" s="5">
        <f>ROUND(Marketing[[#This Row],[Clicks]]*Marketing[[#This Row],[Conversion_Rate]],0)</f>
        <v>9</v>
      </c>
      <c r="J3979" s="12">
        <f>Marketing[[#This Row],[Campaign_Cost]]/Marketing[[#This Row],[Customers]]</f>
        <v>881.77777777777783</v>
      </c>
      <c r="K3979" t="s">
        <v>38</v>
      </c>
      <c r="L3979" t="s">
        <v>50</v>
      </c>
      <c r="M3979">
        <v>469</v>
      </c>
      <c r="N3979">
        <v>1614</v>
      </c>
      <c r="O3979">
        <v>3</v>
      </c>
      <c r="P3979" t="s">
        <v>42</v>
      </c>
      <c r="Q3979" s="1">
        <v>44524</v>
      </c>
    </row>
    <row r="3980" spans="1:17" x14ac:dyDescent="0.3">
      <c r="A3980" t="s">
        <v>35</v>
      </c>
      <c r="B3980" t="s">
        <v>47</v>
      </c>
      <c r="C3980" t="s">
        <v>23</v>
      </c>
      <c r="D3980" t="s">
        <v>40</v>
      </c>
      <c r="E3980" t="s">
        <v>43</v>
      </c>
      <c r="F3980" s="9">
        <v>0.09</v>
      </c>
      <c r="G3980" s="10">
        <v>17030</v>
      </c>
      <c r="H3980">
        <v>6.35</v>
      </c>
      <c r="I3980" s="5">
        <f>ROUND(Marketing[[#This Row],[Clicks]]*Marketing[[#This Row],[Conversion_Rate]],0)</f>
        <v>18</v>
      </c>
      <c r="J3980" s="12">
        <f>Marketing[[#This Row],[Campaign_Cost]]/Marketing[[#This Row],[Customers]]</f>
        <v>946.11111111111109</v>
      </c>
      <c r="K3980" t="s">
        <v>32</v>
      </c>
      <c r="L3980" t="s">
        <v>50</v>
      </c>
      <c r="M3980">
        <v>196</v>
      </c>
      <c r="N3980">
        <v>3149</v>
      </c>
      <c r="O3980">
        <v>2</v>
      </c>
      <c r="P3980" t="s">
        <v>44</v>
      </c>
      <c r="Q3980" s="1">
        <v>44525</v>
      </c>
    </row>
    <row r="3981" spans="1:17" x14ac:dyDescent="0.3">
      <c r="A3981" t="s">
        <v>14</v>
      </c>
      <c r="B3981" t="s">
        <v>36</v>
      </c>
      <c r="C3981" t="s">
        <v>37</v>
      </c>
      <c r="D3981" t="s">
        <v>24</v>
      </c>
      <c r="E3981" t="s">
        <v>15</v>
      </c>
      <c r="F3981" s="9">
        <v>0.06</v>
      </c>
      <c r="G3981" s="10">
        <v>14267</v>
      </c>
      <c r="H3981">
        <v>7.18</v>
      </c>
      <c r="I3981" s="5">
        <f>ROUND(Marketing[[#This Row],[Clicks]]*Marketing[[#This Row],[Conversion_Rate]],0)</f>
        <v>43</v>
      </c>
      <c r="J3981" s="12">
        <f>Marketing[[#This Row],[Campaign_Cost]]/Marketing[[#This Row],[Customers]]</f>
        <v>331.7906976744186</v>
      </c>
      <c r="K3981" t="s">
        <v>38</v>
      </c>
      <c r="L3981" t="s">
        <v>39</v>
      </c>
      <c r="M3981">
        <v>715</v>
      </c>
      <c r="N3981">
        <v>3835</v>
      </c>
      <c r="O3981">
        <v>6</v>
      </c>
      <c r="P3981" t="s">
        <v>44</v>
      </c>
      <c r="Q3981" s="1">
        <v>44526</v>
      </c>
    </row>
    <row r="3982" spans="1:17" x14ac:dyDescent="0.3">
      <c r="A3982" t="s">
        <v>22</v>
      </c>
      <c r="B3982" t="s">
        <v>45</v>
      </c>
      <c r="C3982" t="s">
        <v>30</v>
      </c>
      <c r="D3982" t="s">
        <v>17</v>
      </c>
      <c r="E3982" t="s">
        <v>18</v>
      </c>
      <c r="F3982" s="9">
        <v>0.05</v>
      </c>
      <c r="G3982" s="10">
        <v>11263</v>
      </c>
      <c r="H3982">
        <v>3.57</v>
      </c>
      <c r="I3982" s="5">
        <f>ROUND(Marketing[[#This Row],[Clicks]]*Marketing[[#This Row],[Conversion_Rate]],0)</f>
        <v>21</v>
      </c>
      <c r="J3982" s="12">
        <f>Marketing[[#This Row],[Campaign_Cost]]/Marketing[[#This Row],[Customers]]</f>
        <v>536.33333333333337</v>
      </c>
      <c r="K3982" t="s">
        <v>38</v>
      </c>
      <c r="L3982" t="s">
        <v>26</v>
      </c>
      <c r="M3982">
        <v>429</v>
      </c>
      <c r="N3982">
        <v>5152</v>
      </c>
      <c r="O3982">
        <v>7</v>
      </c>
      <c r="P3982" t="s">
        <v>34</v>
      </c>
      <c r="Q3982" s="1">
        <v>44527</v>
      </c>
    </row>
    <row r="3983" spans="1:17" x14ac:dyDescent="0.3">
      <c r="A3983" t="s">
        <v>35</v>
      </c>
      <c r="B3983" t="s">
        <v>15</v>
      </c>
      <c r="C3983" t="s">
        <v>23</v>
      </c>
      <c r="D3983" t="s">
        <v>46</v>
      </c>
      <c r="E3983" t="s">
        <v>43</v>
      </c>
      <c r="F3983" s="9">
        <v>0.06</v>
      </c>
      <c r="G3983" s="10">
        <v>12908</v>
      </c>
      <c r="H3983">
        <v>4.01</v>
      </c>
      <c r="I3983" s="5">
        <f>ROUND(Marketing[[#This Row],[Clicks]]*Marketing[[#This Row],[Conversion_Rate]],0)</f>
        <v>12</v>
      </c>
      <c r="J3983" s="12">
        <f>Marketing[[#This Row],[Campaign_Cost]]/Marketing[[#This Row],[Customers]]</f>
        <v>1075.6666666666667</v>
      </c>
      <c r="K3983" t="s">
        <v>25</v>
      </c>
      <c r="L3983" t="s">
        <v>20</v>
      </c>
      <c r="M3983">
        <v>200</v>
      </c>
      <c r="N3983">
        <v>3786</v>
      </c>
      <c r="O3983">
        <v>1</v>
      </c>
      <c r="P3983" t="s">
        <v>44</v>
      </c>
      <c r="Q3983" s="1">
        <v>44528</v>
      </c>
    </row>
    <row r="3984" spans="1:17" x14ac:dyDescent="0.3">
      <c r="A3984" t="s">
        <v>22</v>
      </c>
      <c r="B3984" t="s">
        <v>36</v>
      </c>
      <c r="C3984" t="s">
        <v>52</v>
      </c>
      <c r="D3984" t="s">
        <v>24</v>
      </c>
      <c r="E3984" t="s">
        <v>43</v>
      </c>
      <c r="F3984" s="9">
        <v>0.08</v>
      </c>
      <c r="G3984" s="10">
        <v>16980</v>
      </c>
      <c r="H3984">
        <v>6.87</v>
      </c>
      <c r="I3984" s="5">
        <f>ROUND(Marketing[[#This Row],[Clicks]]*Marketing[[#This Row],[Conversion_Rate]],0)</f>
        <v>14</v>
      </c>
      <c r="J3984" s="12">
        <f>Marketing[[#This Row],[Campaign_Cost]]/Marketing[[#This Row],[Customers]]</f>
        <v>1212.8571428571429</v>
      </c>
      <c r="K3984" t="s">
        <v>51</v>
      </c>
      <c r="L3984" t="s">
        <v>26</v>
      </c>
      <c r="M3984">
        <v>180</v>
      </c>
      <c r="N3984">
        <v>1440</v>
      </c>
      <c r="O3984">
        <v>1</v>
      </c>
      <c r="P3984" t="s">
        <v>42</v>
      </c>
      <c r="Q3984" s="1">
        <v>44529</v>
      </c>
    </row>
    <row r="3985" spans="1:17" x14ac:dyDescent="0.3">
      <c r="A3985" t="s">
        <v>28</v>
      </c>
      <c r="B3985" t="s">
        <v>47</v>
      </c>
      <c r="C3985" t="s">
        <v>37</v>
      </c>
      <c r="D3985" t="s">
        <v>17</v>
      </c>
      <c r="E3985" t="s">
        <v>41</v>
      </c>
      <c r="F3985" s="9">
        <v>7.0000000000000007E-2</v>
      </c>
      <c r="G3985" s="10">
        <v>11098</v>
      </c>
      <c r="H3985">
        <v>3.07</v>
      </c>
      <c r="I3985" s="5">
        <f>ROUND(Marketing[[#This Row],[Clicks]]*Marketing[[#This Row],[Conversion_Rate]],0)</f>
        <v>19</v>
      </c>
      <c r="J3985" s="12">
        <f>Marketing[[#This Row],[Campaign_Cost]]/Marketing[[#This Row],[Customers]]</f>
        <v>584.10526315789468</v>
      </c>
      <c r="K3985" t="s">
        <v>32</v>
      </c>
      <c r="L3985" t="s">
        <v>33</v>
      </c>
      <c r="M3985">
        <v>270</v>
      </c>
      <c r="N3985">
        <v>2117</v>
      </c>
      <c r="O3985">
        <v>4</v>
      </c>
      <c r="P3985" t="s">
        <v>27</v>
      </c>
      <c r="Q3985" s="1">
        <v>44530</v>
      </c>
    </row>
    <row r="3986" spans="1:17" x14ac:dyDescent="0.3">
      <c r="A3986" t="s">
        <v>28</v>
      </c>
      <c r="B3986" t="s">
        <v>15</v>
      </c>
      <c r="C3986" t="s">
        <v>52</v>
      </c>
      <c r="D3986" t="s">
        <v>46</v>
      </c>
      <c r="E3986" t="s">
        <v>43</v>
      </c>
      <c r="F3986" s="9">
        <v>7.0000000000000007E-2</v>
      </c>
      <c r="G3986" s="10">
        <v>19812</v>
      </c>
      <c r="H3986">
        <v>3.21</v>
      </c>
      <c r="I3986" s="5">
        <f>ROUND(Marketing[[#This Row],[Clicks]]*Marketing[[#This Row],[Conversion_Rate]],0)</f>
        <v>29</v>
      </c>
      <c r="J3986" s="12">
        <f>Marketing[[#This Row],[Campaign_Cost]]/Marketing[[#This Row],[Customers]]</f>
        <v>683.17241379310349</v>
      </c>
      <c r="K3986" t="s">
        <v>32</v>
      </c>
      <c r="L3986" t="s">
        <v>26</v>
      </c>
      <c r="M3986">
        <v>414</v>
      </c>
      <c r="N3986">
        <v>1197</v>
      </c>
      <c r="O3986">
        <v>10</v>
      </c>
      <c r="P3986" t="s">
        <v>44</v>
      </c>
      <c r="Q3986" s="1">
        <v>44531</v>
      </c>
    </row>
    <row r="3987" spans="1:17" x14ac:dyDescent="0.3">
      <c r="A3987" t="s">
        <v>28</v>
      </c>
      <c r="B3987" t="s">
        <v>29</v>
      </c>
      <c r="C3987" t="s">
        <v>16</v>
      </c>
      <c r="D3987" t="s">
        <v>24</v>
      </c>
      <c r="E3987" t="s">
        <v>15</v>
      </c>
      <c r="F3987" s="9">
        <v>0.02</v>
      </c>
      <c r="G3987" s="10">
        <v>13260</v>
      </c>
      <c r="H3987">
        <v>2.2599999999999998</v>
      </c>
      <c r="I3987" s="5">
        <f>ROUND(Marketing[[#This Row],[Clicks]]*Marketing[[#This Row],[Conversion_Rate]],0)</f>
        <v>20</v>
      </c>
      <c r="J3987" s="12">
        <f>Marketing[[#This Row],[Campaign_Cost]]/Marketing[[#This Row],[Customers]]</f>
        <v>663</v>
      </c>
      <c r="K3987" t="s">
        <v>51</v>
      </c>
      <c r="L3987" t="s">
        <v>33</v>
      </c>
      <c r="M3987">
        <v>989</v>
      </c>
      <c r="N3987">
        <v>2127</v>
      </c>
      <c r="O3987">
        <v>4</v>
      </c>
      <c r="P3987" t="s">
        <v>44</v>
      </c>
      <c r="Q3987" s="1">
        <v>44532</v>
      </c>
    </row>
    <row r="3988" spans="1:17" x14ac:dyDescent="0.3">
      <c r="A3988" t="s">
        <v>28</v>
      </c>
      <c r="B3988" t="s">
        <v>36</v>
      </c>
      <c r="C3988" t="s">
        <v>37</v>
      </c>
      <c r="D3988" t="s">
        <v>40</v>
      </c>
      <c r="E3988" t="s">
        <v>15</v>
      </c>
      <c r="F3988" s="9">
        <v>0.15</v>
      </c>
      <c r="G3988" s="10">
        <v>7590</v>
      </c>
      <c r="H3988">
        <v>2.75</v>
      </c>
      <c r="I3988" s="5">
        <f>ROUND(Marketing[[#This Row],[Clicks]]*Marketing[[#This Row],[Conversion_Rate]],0)</f>
        <v>58</v>
      </c>
      <c r="J3988" s="12">
        <f>Marketing[[#This Row],[Campaign_Cost]]/Marketing[[#This Row],[Customers]]</f>
        <v>130.86206896551724</v>
      </c>
      <c r="K3988" t="s">
        <v>25</v>
      </c>
      <c r="L3988" t="s">
        <v>50</v>
      </c>
      <c r="M3988">
        <v>386</v>
      </c>
      <c r="N3988">
        <v>4702</v>
      </c>
      <c r="O3988">
        <v>10</v>
      </c>
      <c r="P3988" t="s">
        <v>44</v>
      </c>
      <c r="Q3988" s="1">
        <v>44533</v>
      </c>
    </row>
    <row r="3989" spans="1:17" x14ac:dyDescent="0.3">
      <c r="A3989" t="s">
        <v>28</v>
      </c>
      <c r="B3989" t="s">
        <v>29</v>
      </c>
      <c r="C3989" t="s">
        <v>37</v>
      </c>
      <c r="D3989" t="s">
        <v>46</v>
      </c>
      <c r="E3989" t="s">
        <v>31</v>
      </c>
      <c r="F3989" s="9">
        <v>0.01</v>
      </c>
      <c r="G3989" s="10">
        <v>6495</v>
      </c>
      <c r="H3989">
        <v>6.37</v>
      </c>
      <c r="I3989" s="5">
        <f>ROUND(Marketing[[#This Row],[Clicks]]*Marketing[[#This Row],[Conversion_Rate]],0)</f>
        <v>9</v>
      </c>
      <c r="J3989" s="12">
        <f>Marketing[[#This Row],[Campaign_Cost]]/Marketing[[#This Row],[Customers]]</f>
        <v>721.66666666666663</v>
      </c>
      <c r="K3989" t="s">
        <v>38</v>
      </c>
      <c r="L3989" t="s">
        <v>20</v>
      </c>
      <c r="M3989">
        <v>885</v>
      </c>
      <c r="N3989">
        <v>3974</v>
      </c>
      <c r="O3989">
        <v>7</v>
      </c>
      <c r="P3989" t="s">
        <v>27</v>
      </c>
      <c r="Q3989" s="1">
        <v>44534</v>
      </c>
    </row>
    <row r="3990" spans="1:17" x14ac:dyDescent="0.3">
      <c r="A3990" t="s">
        <v>28</v>
      </c>
      <c r="B3990" t="s">
        <v>29</v>
      </c>
      <c r="C3990" t="s">
        <v>23</v>
      </c>
      <c r="D3990" t="s">
        <v>24</v>
      </c>
      <c r="E3990" t="s">
        <v>43</v>
      </c>
      <c r="F3990" s="9">
        <v>0.12</v>
      </c>
      <c r="G3990" s="10">
        <v>7911</v>
      </c>
      <c r="H3990">
        <v>3.19</v>
      </c>
      <c r="I3990" s="5">
        <f>ROUND(Marketing[[#This Row],[Clicks]]*Marketing[[#This Row],[Conversion_Rate]],0)</f>
        <v>49</v>
      </c>
      <c r="J3990" s="12">
        <f>Marketing[[#This Row],[Campaign_Cost]]/Marketing[[#This Row],[Customers]]</f>
        <v>161.44897959183675</v>
      </c>
      <c r="K3990" t="s">
        <v>25</v>
      </c>
      <c r="L3990" t="s">
        <v>50</v>
      </c>
      <c r="M3990">
        <v>409</v>
      </c>
      <c r="N3990">
        <v>9324</v>
      </c>
      <c r="O3990">
        <v>2</v>
      </c>
      <c r="P3990" t="s">
        <v>27</v>
      </c>
      <c r="Q3990" s="1">
        <v>44535</v>
      </c>
    </row>
    <row r="3991" spans="1:17" x14ac:dyDescent="0.3">
      <c r="A3991" t="s">
        <v>14</v>
      </c>
      <c r="B3991" t="s">
        <v>36</v>
      </c>
      <c r="C3991" t="s">
        <v>52</v>
      </c>
      <c r="D3991" t="s">
        <v>17</v>
      </c>
      <c r="E3991" t="s">
        <v>48</v>
      </c>
      <c r="F3991" s="9">
        <v>0.01</v>
      </c>
      <c r="G3991" s="10">
        <v>14384</v>
      </c>
      <c r="H3991">
        <v>3.76</v>
      </c>
      <c r="I3991" s="5">
        <f>ROUND(Marketing[[#This Row],[Clicks]]*Marketing[[#This Row],[Conversion_Rate]],0)</f>
        <v>8</v>
      </c>
      <c r="J3991" s="12">
        <f>Marketing[[#This Row],[Campaign_Cost]]/Marketing[[#This Row],[Customers]]</f>
        <v>1798</v>
      </c>
      <c r="K3991" t="s">
        <v>32</v>
      </c>
      <c r="L3991" t="s">
        <v>20</v>
      </c>
      <c r="M3991">
        <v>828</v>
      </c>
      <c r="N3991">
        <v>4877</v>
      </c>
      <c r="O3991">
        <v>6</v>
      </c>
      <c r="P3991" t="s">
        <v>42</v>
      </c>
      <c r="Q3991" s="1">
        <v>44536</v>
      </c>
    </row>
    <row r="3992" spans="1:17" x14ac:dyDescent="0.3">
      <c r="A3992" t="s">
        <v>35</v>
      </c>
      <c r="B3992" t="s">
        <v>47</v>
      </c>
      <c r="C3992" t="s">
        <v>16</v>
      </c>
      <c r="D3992" t="s">
        <v>46</v>
      </c>
      <c r="E3992" t="s">
        <v>43</v>
      </c>
      <c r="F3992" s="9">
        <v>0.12</v>
      </c>
      <c r="G3992" s="10">
        <v>9607</v>
      </c>
      <c r="H3992">
        <v>4.4000000000000004</v>
      </c>
      <c r="I3992" s="5">
        <f>ROUND(Marketing[[#This Row],[Clicks]]*Marketing[[#This Row],[Conversion_Rate]],0)</f>
        <v>97</v>
      </c>
      <c r="J3992" s="12">
        <f>Marketing[[#This Row],[Campaign_Cost]]/Marketing[[#This Row],[Customers]]</f>
        <v>99.041237113402062</v>
      </c>
      <c r="K3992" t="s">
        <v>19</v>
      </c>
      <c r="L3992" t="s">
        <v>20</v>
      </c>
      <c r="M3992">
        <v>808</v>
      </c>
      <c r="N3992">
        <v>6346</v>
      </c>
      <c r="O3992">
        <v>5</v>
      </c>
      <c r="P3992" t="s">
        <v>34</v>
      </c>
      <c r="Q3992" s="1">
        <v>44537</v>
      </c>
    </row>
    <row r="3993" spans="1:17" x14ac:dyDescent="0.3">
      <c r="A3993" t="s">
        <v>49</v>
      </c>
      <c r="B3993" t="s">
        <v>45</v>
      </c>
      <c r="C3993" t="s">
        <v>30</v>
      </c>
      <c r="D3993" t="s">
        <v>24</v>
      </c>
      <c r="E3993" t="s">
        <v>43</v>
      </c>
      <c r="F3993" s="9">
        <v>0.11</v>
      </c>
      <c r="G3993" s="10">
        <v>18208</v>
      </c>
      <c r="H3993">
        <v>7.76</v>
      </c>
      <c r="I3993" s="5">
        <f>ROUND(Marketing[[#This Row],[Clicks]]*Marketing[[#This Row],[Conversion_Rate]],0)</f>
        <v>29</v>
      </c>
      <c r="J3993" s="12">
        <f>Marketing[[#This Row],[Campaign_Cost]]/Marketing[[#This Row],[Customers]]</f>
        <v>627.86206896551721</v>
      </c>
      <c r="K3993" t="s">
        <v>25</v>
      </c>
      <c r="L3993" t="s">
        <v>33</v>
      </c>
      <c r="M3993">
        <v>261</v>
      </c>
      <c r="N3993">
        <v>8001</v>
      </c>
      <c r="O3993">
        <v>8</v>
      </c>
      <c r="P3993" t="s">
        <v>44</v>
      </c>
      <c r="Q3993" s="1">
        <v>44538</v>
      </c>
    </row>
    <row r="3994" spans="1:17" x14ac:dyDescent="0.3">
      <c r="A3994" t="s">
        <v>49</v>
      </c>
      <c r="B3994" t="s">
        <v>47</v>
      </c>
      <c r="C3994" t="s">
        <v>23</v>
      </c>
      <c r="D3994" t="s">
        <v>40</v>
      </c>
      <c r="E3994" t="s">
        <v>48</v>
      </c>
      <c r="F3994" s="9">
        <v>0.04</v>
      </c>
      <c r="G3994" s="10">
        <v>8250</v>
      </c>
      <c r="H3994">
        <v>7.97</v>
      </c>
      <c r="I3994" s="5">
        <f>ROUND(Marketing[[#This Row],[Clicks]]*Marketing[[#This Row],[Conversion_Rate]],0)</f>
        <v>33</v>
      </c>
      <c r="J3994" s="12">
        <f>Marketing[[#This Row],[Campaign_Cost]]/Marketing[[#This Row],[Customers]]</f>
        <v>250</v>
      </c>
      <c r="K3994" t="s">
        <v>19</v>
      </c>
      <c r="L3994" t="s">
        <v>50</v>
      </c>
      <c r="M3994">
        <v>836</v>
      </c>
      <c r="N3994">
        <v>8356</v>
      </c>
      <c r="O3994">
        <v>3</v>
      </c>
      <c r="P3994" t="s">
        <v>42</v>
      </c>
      <c r="Q3994" s="1">
        <v>44539</v>
      </c>
    </row>
    <row r="3995" spans="1:17" x14ac:dyDescent="0.3">
      <c r="A3995" t="s">
        <v>14</v>
      </c>
      <c r="B3995" t="s">
        <v>36</v>
      </c>
      <c r="C3995" t="s">
        <v>52</v>
      </c>
      <c r="D3995" t="s">
        <v>40</v>
      </c>
      <c r="E3995" t="s">
        <v>31</v>
      </c>
      <c r="F3995" s="9">
        <v>0.13</v>
      </c>
      <c r="G3995" s="10">
        <v>14900</v>
      </c>
      <c r="H3995">
        <v>7.83</v>
      </c>
      <c r="I3995" s="5">
        <f>ROUND(Marketing[[#This Row],[Clicks]]*Marketing[[#This Row],[Conversion_Rate]],0)</f>
        <v>123</v>
      </c>
      <c r="J3995" s="12">
        <f>Marketing[[#This Row],[Campaign_Cost]]/Marketing[[#This Row],[Customers]]</f>
        <v>121.13821138211382</v>
      </c>
      <c r="K3995" t="s">
        <v>32</v>
      </c>
      <c r="L3995" t="s">
        <v>50</v>
      </c>
      <c r="M3995">
        <v>945</v>
      </c>
      <c r="N3995">
        <v>2418</v>
      </c>
      <c r="O3995">
        <v>10</v>
      </c>
      <c r="P3995" t="s">
        <v>42</v>
      </c>
      <c r="Q3995" s="1">
        <v>44540</v>
      </c>
    </row>
    <row r="3996" spans="1:17" x14ac:dyDescent="0.3">
      <c r="A3996" t="s">
        <v>14</v>
      </c>
      <c r="B3996" t="s">
        <v>45</v>
      </c>
      <c r="C3996" t="s">
        <v>37</v>
      </c>
      <c r="D3996" t="s">
        <v>40</v>
      </c>
      <c r="E3996" t="s">
        <v>48</v>
      </c>
      <c r="F3996" s="9">
        <v>0.11</v>
      </c>
      <c r="G3996" s="10">
        <v>12836</v>
      </c>
      <c r="H3996">
        <v>5.27</v>
      </c>
      <c r="I3996" s="5">
        <f>ROUND(Marketing[[#This Row],[Clicks]]*Marketing[[#This Row],[Conversion_Rate]],0)</f>
        <v>49</v>
      </c>
      <c r="J3996" s="12">
        <f>Marketing[[#This Row],[Campaign_Cost]]/Marketing[[#This Row],[Customers]]</f>
        <v>261.9591836734694</v>
      </c>
      <c r="K3996" t="s">
        <v>19</v>
      </c>
      <c r="L3996" t="s">
        <v>26</v>
      </c>
      <c r="M3996">
        <v>446</v>
      </c>
      <c r="N3996">
        <v>1062</v>
      </c>
      <c r="O3996">
        <v>2</v>
      </c>
      <c r="P3996" t="s">
        <v>44</v>
      </c>
      <c r="Q3996" s="1">
        <v>44541</v>
      </c>
    </row>
    <row r="3997" spans="1:17" x14ac:dyDescent="0.3">
      <c r="A3997" t="s">
        <v>28</v>
      </c>
      <c r="B3997" t="s">
        <v>45</v>
      </c>
      <c r="C3997" t="s">
        <v>37</v>
      </c>
      <c r="D3997" t="s">
        <v>17</v>
      </c>
      <c r="E3997" t="s">
        <v>43</v>
      </c>
      <c r="F3997" s="9">
        <v>7.0000000000000007E-2</v>
      </c>
      <c r="G3997" s="10">
        <v>5867</v>
      </c>
      <c r="H3997">
        <v>3.61</v>
      </c>
      <c r="I3997" s="5">
        <f>ROUND(Marketing[[#This Row],[Clicks]]*Marketing[[#This Row],[Conversion_Rate]],0)</f>
        <v>14</v>
      </c>
      <c r="J3997" s="12">
        <f>Marketing[[#This Row],[Campaign_Cost]]/Marketing[[#This Row],[Customers]]</f>
        <v>419.07142857142856</v>
      </c>
      <c r="K3997" t="s">
        <v>25</v>
      </c>
      <c r="L3997" t="s">
        <v>33</v>
      </c>
      <c r="M3997">
        <v>199</v>
      </c>
      <c r="N3997">
        <v>5117</v>
      </c>
      <c r="O3997">
        <v>8</v>
      </c>
      <c r="P3997" t="s">
        <v>42</v>
      </c>
      <c r="Q3997" s="1">
        <v>44542</v>
      </c>
    </row>
    <row r="3998" spans="1:17" x14ac:dyDescent="0.3">
      <c r="A3998" t="s">
        <v>28</v>
      </c>
      <c r="B3998" t="s">
        <v>29</v>
      </c>
      <c r="C3998" t="s">
        <v>30</v>
      </c>
      <c r="D3998" t="s">
        <v>17</v>
      </c>
      <c r="E3998" t="s">
        <v>31</v>
      </c>
      <c r="F3998" s="9">
        <v>0.04</v>
      </c>
      <c r="G3998" s="10">
        <v>12804</v>
      </c>
      <c r="H3998">
        <v>3.5</v>
      </c>
      <c r="I3998" s="5">
        <f>ROUND(Marketing[[#This Row],[Clicks]]*Marketing[[#This Row],[Conversion_Rate]],0)</f>
        <v>30</v>
      </c>
      <c r="J3998" s="12">
        <f>Marketing[[#This Row],[Campaign_Cost]]/Marketing[[#This Row],[Customers]]</f>
        <v>426.8</v>
      </c>
      <c r="K3998" t="s">
        <v>25</v>
      </c>
      <c r="L3998" t="s">
        <v>33</v>
      </c>
      <c r="M3998">
        <v>746</v>
      </c>
      <c r="N3998">
        <v>4386</v>
      </c>
      <c r="O3998">
        <v>1</v>
      </c>
      <c r="P3998" t="s">
        <v>44</v>
      </c>
      <c r="Q3998" s="1">
        <v>44543</v>
      </c>
    </row>
    <row r="3999" spans="1:17" x14ac:dyDescent="0.3">
      <c r="A3999" t="s">
        <v>14</v>
      </c>
      <c r="B3999" t="s">
        <v>47</v>
      </c>
      <c r="C3999" t="s">
        <v>37</v>
      </c>
      <c r="D3999" t="s">
        <v>46</v>
      </c>
      <c r="E3999" t="s">
        <v>31</v>
      </c>
      <c r="F3999" s="9">
        <v>0.04</v>
      </c>
      <c r="G3999" s="10">
        <v>11840</v>
      </c>
      <c r="H3999">
        <v>4.29</v>
      </c>
      <c r="I3999" s="5">
        <f>ROUND(Marketing[[#This Row],[Clicks]]*Marketing[[#This Row],[Conversion_Rate]],0)</f>
        <v>7</v>
      </c>
      <c r="J3999" s="12">
        <f>Marketing[[#This Row],[Campaign_Cost]]/Marketing[[#This Row],[Customers]]</f>
        <v>1691.4285714285713</v>
      </c>
      <c r="K3999" t="s">
        <v>51</v>
      </c>
      <c r="L3999" t="s">
        <v>33</v>
      </c>
      <c r="M3999">
        <v>180</v>
      </c>
      <c r="N3999">
        <v>8456</v>
      </c>
      <c r="O3999">
        <v>8</v>
      </c>
      <c r="P3999" t="s">
        <v>44</v>
      </c>
      <c r="Q3999" s="1">
        <v>44544</v>
      </c>
    </row>
    <row r="4000" spans="1:17" x14ac:dyDescent="0.3">
      <c r="A4000" t="s">
        <v>35</v>
      </c>
      <c r="B4000" t="s">
        <v>45</v>
      </c>
      <c r="C4000" t="s">
        <v>30</v>
      </c>
      <c r="D4000" t="s">
        <v>17</v>
      </c>
      <c r="E4000" t="s">
        <v>48</v>
      </c>
      <c r="F4000" s="9">
        <v>0.06</v>
      </c>
      <c r="G4000" s="10">
        <v>8363</v>
      </c>
      <c r="H4000">
        <v>2.06</v>
      </c>
      <c r="I4000" s="5">
        <f>ROUND(Marketing[[#This Row],[Clicks]]*Marketing[[#This Row],[Conversion_Rate]],0)</f>
        <v>20</v>
      </c>
      <c r="J4000" s="12">
        <f>Marketing[[#This Row],[Campaign_Cost]]/Marketing[[#This Row],[Customers]]</f>
        <v>418.15</v>
      </c>
      <c r="K4000" t="s">
        <v>38</v>
      </c>
      <c r="L4000" t="s">
        <v>33</v>
      </c>
      <c r="M4000">
        <v>329</v>
      </c>
      <c r="N4000">
        <v>8411</v>
      </c>
      <c r="O4000">
        <v>5</v>
      </c>
      <c r="P4000" t="s">
        <v>21</v>
      </c>
      <c r="Q4000" s="1">
        <v>44545</v>
      </c>
    </row>
    <row r="4001" spans="1:17" x14ac:dyDescent="0.3">
      <c r="A4001" t="s">
        <v>35</v>
      </c>
      <c r="B4001" t="s">
        <v>29</v>
      </c>
      <c r="C4001" t="s">
        <v>16</v>
      </c>
      <c r="D4001" t="s">
        <v>40</v>
      </c>
      <c r="E4001" t="s">
        <v>18</v>
      </c>
      <c r="F4001" s="9">
        <v>0.03</v>
      </c>
      <c r="G4001" s="10">
        <v>14781</v>
      </c>
      <c r="H4001">
        <v>4.84</v>
      </c>
      <c r="I4001" s="5">
        <f>ROUND(Marketing[[#This Row],[Clicks]]*Marketing[[#This Row],[Conversion_Rate]],0)</f>
        <v>11</v>
      </c>
      <c r="J4001" s="12">
        <f>Marketing[[#This Row],[Campaign_Cost]]/Marketing[[#This Row],[Customers]]</f>
        <v>1343.7272727272727</v>
      </c>
      <c r="K4001" t="s">
        <v>38</v>
      </c>
      <c r="L4001" t="s">
        <v>20</v>
      </c>
      <c r="M4001">
        <v>372</v>
      </c>
      <c r="N4001">
        <v>1455</v>
      </c>
      <c r="O4001">
        <v>2</v>
      </c>
      <c r="P4001" t="s">
        <v>44</v>
      </c>
      <c r="Q4001" s="1">
        <v>44546</v>
      </c>
    </row>
    <row r="4002" spans="1:17" x14ac:dyDescent="0.3">
      <c r="A4002" t="s">
        <v>35</v>
      </c>
      <c r="B4002" t="s">
        <v>36</v>
      </c>
      <c r="C4002" t="s">
        <v>23</v>
      </c>
      <c r="D4002" t="s">
        <v>40</v>
      </c>
      <c r="E4002" t="s">
        <v>41</v>
      </c>
      <c r="F4002" s="9">
        <v>0.11</v>
      </c>
      <c r="G4002" s="10">
        <v>17477</v>
      </c>
      <c r="H4002">
        <v>2.61</v>
      </c>
      <c r="I4002" s="5">
        <f>ROUND(Marketing[[#This Row],[Clicks]]*Marketing[[#This Row],[Conversion_Rate]],0)</f>
        <v>56</v>
      </c>
      <c r="J4002" s="12">
        <f>Marketing[[#This Row],[Campaign_Cost]]/Marketing[[#This Row],[Customers]]</f>
        <v>312.08928571428572</v>
      </c>
      <c r="K4002" t="s">
        <v>51</v>
      </c>
      <c r="L4002" t="s">
        <v>20</v>
      </c>
      <c r="M4002">
        <v>511</v>
      </c>
      <c r="N4002">
        <v>7082</v>
      </c>
      <c r="O4002">
        <v>5</v>
      </c>
      <c r="P4002" t="s">
        <v>21</v>
      </c>
      <c r="Q4002" s="1">
        <v>44547</v>
      </c>
    </row>
    <row r="4003" spans="1:17" x14ac:dyDescent="0.3">
      <c r="A4003" t="s">
        <v>14</v>
      </c>
      <c r="B4003" t="s">
        <v>45</v>
      </c>
      <c r="C4003" t="s">
        <v>52</v>
      </c>
      <c r="D4003" t="s">
        <v>40</v>
      </c>
      <c r="E4003" t="s">
        <v>43</v>
      </c>
      <c r="F4003" s="9">
        <v>0.05</v>
      </c>
      <c r="G4003" s="10">
        <v>6052</v>
      </c>
      <c r="H4003">
        <v>7.46</v>
      </c>
      <c r="I4003" s="5">
        <f>ROUND(Marketing[[#This Row],[Clicks]]*Marketing[[#This Row],[Conversion_Rate]],0)</f>
        <v>37</v>
      </c>
      <c r="J4003" s="12">
        <f>Marketing[[#This Row],[Campaign_Cost]]/Marketing[[#This Row],[Customers]]</f>
        <v>163.56756756756758</v>
      </c>
      <c r="K4003" t="s">
        <v>25</v>
      </c>
      <c r="L4003" t="s">
        <v>50</v>
      </c>
      <c r="M4003">
        <v>740</v>
      </c>
      <c r="N4003">
        <v>2776</v>
      </c>
      <c r="O4003">
        <v>5</v>
      </c>
      <c r="P4003" t="s">
        <v>34</v>
      </c>
      <c r="Q4003" s="1">
        <v>44548</v>
      </c>
    </row>
    <row r="4004" spans="1:17" x14ac:dyDescent="0.3">
      <c r="A4004" t="s">
        <v>22</v>
      </c>
      <c r="B4004" t="s">
        <v>47</v>
      </c>
      <c r="C4004" t="s">
        <v>16</v>
      </c>
      <c r="D4004" t="s">
        <v>40</v>
      </c>
      <c r="E4004" t="s">
        <v>43</v>
      </c>
      <c r="F4004" s="9">
        <v>0.04</v>
      </c>
      <c r="G4004" s="10">
        <v>19202</v>
      </c>
      <c r="H4004">
        <v>4.3499999999999996</v>
      </c>
      <c r="I4004" s="5">
        <f>ROUND(Marketing[[#This Row],[Clicks]]*Marketing[[#This Row],[Conversion_Rate]],0)</f>
        <v>19</v>
      </c>
      <c r="J4004" s="12">
        <f>Marketing[[#This Row],[Campaign_Cost]]/Marketing[[#This Row],[Customers]]</f>
        <v>1010.6315789473684</v>
      </c>
      <c r="K4004" t="s">
        <v>32</v>
      </c>
      <c r="L4004" t="s">
        <v>33</v>
      </c>
      <c r="M4004">
        <v>485</v>
      </c>
      <c r="N4004">
        <v>5569</v>
      </c>
      <c r="O4004">
        <v>5</v>
      </c>
      <c r="P4004" t="s">
        <v>21</v>
      </c>
      <c r="Q4004" s="1">
        <v>44549</v>
      </c>
    </row>
    <row r="4005" spans="1:17" x14ac:dyDescent="0.3">
      <c r="A4005" t="s">
        <v>14</v>
      </c>
      <c r="B4005" t="s">
        <v>47</v>
      </c>
      <c r="C4005" t="s">
        <v>52</v>
      </c>
      <c r="D4005" t="s">
        <v>46</v>
      </c>
      <c r="E4005" t="s">
        <v>18</v>
      </c>
      <c r="F4005" s="9">
        <v>0.04</v>
      </c>
      <c r="G4005" s="10">
        <v>10845</v>
      </c>
      <c r="H4005">
        <v>7.15</v>
      </c>
      <c r="I4005" s="5">
        <f>ROUND(Marketing[[#This Row],[Clicks]]*Marketing[[#This Row],[Conversion_Rate]],0)</f>
        <v>10</v>
      </c>
      <c r="J4005" s="12">
        <f>Marketing[[#This Row],[Campaign_Cost]]/Marketing[[#This Row],[Customers]]</f>
        <v>1084.5</v>
      </c>
      <c r="K4005" t="s">
        <v>19</v>
      </c>
      <c r="L4005" t="s">
        <v>39</v>
      </c>
      <c r="M4005">
        <v>253</v>
      </c>
      <c r="N4005">
        <v>3899</v>
      </c>
      <c r="O4005">
        <v>8</v>
      </c>
      <c r="P4005" t="s">
        <v>27</v>
      </c>
      <c r="Q4005" s="1">
        <v>44550</v>
      </c>
    </row>
    <row r="4006" spans="1:17" x14ac:dyDescent="0.3">
      <c r="A4006" t="s">
        <v>14</v>
      </c>
      <c r="B4006" t="s">
        <v>36</v>
      </c>
      <c r="C4006" t="s">
        <v>37</v>
      </c>
      <c r="D4006" t="s">
        <v>40</v>
      </c>
      <c r="E4006" t="s">
        <v>41</v>
      </c>
      <c r="F4006" s="9">
        <v>0.04</v>
      </c>
      <c r="G4006" s="10">
        <v>16935</v>
      </c>
      <c r="H4006">
        <v>2.87</v>
      </c>
      <c r="I4006" s="5">
        <f>ROUND(Marketing[[#This Row],[Clicks]]*Marketing[[#This Row],[Conversion_Rate]],0)</f>
        <v>11</v>
      </c>
      <c r="J4006" s="12">
        <f>Marketing[[#This Row],[Campaign_Cost]]/Marketing[[#This Row],[Customers]]</f>
        <v>1539.5454545454545</v>
      </c>
      <c r="K4006" t="s">
        <v>32</v>
      </c>
      <c r="L4006" t="s">
        <v>33</v>
      </c>
      <c r="M4006">
        <v>264</v>
      </c>
      <c r="N4006">
        <v>2813</v>
      </c>
      <c r="O4006">
        <v>2</v>
      </c>
      <c r="P4006" t="s">
        <v>44</v>
      </c>
      <c r="Q4006" s="1">
        <v>44551</v>
      </c>
    </row>
    <row r="4007" spans="1:17" x14ac:dyDescent="0.3">
      <c r="A4007" t="s">
        <v>49</v>
      </c>
      <c r="B4007" t="s">
        <v>47</v>
      </c>
      <c r="C4007" t="s">
        <v>52</v>
      </c>
      <c r="D4007" t="s">
        <v>17</v>
      </c>
      <c r="E4007" t="s">
        <v>18</v>
      </c>
      <c r="F4007" s="9">
        <v>0.13</v>
      </c>
      <c r="G4007" s="10">
        <v>8756</v>
      </c>
      <c r="H4007">
        <v>3.3</v>
      </c>
      <c r="I4007" s="5">
        <f>ROUND(Marketing[[#This Row],[Clicks]]*Marketing[[#This Row],[Conversion_Rate]],0)</f>
        <v>114</v>
      </c>
      <c r="J4007" s="12">
        <f>Marketing[[#This Row],[Campaign_Cost]]/Marketing[[#This Row],[Customers]]</f>
        <v>76.807017543859644</v>
      </c>
      <c r="K4007" t="s">
        <v>51</v>
      </c>
      <c r="L4007" t="s">
        <v>33</v>
      </c>
      <c r="M4007">
        <v>878</v>
      </c>
      <c r="N4007">
        <v>6760</v>
      </c>
      <c r="O4007">
        <v>3</v>
      </c>
      <c r="P4007" t="s">
        <v>21</v>
      </c>
      <c r="Q4007" s="1">
        <v>44552</v>
      </c>
    </row>
    <row r="4008" spans="1:17" x14ac:dyDescent="0.3">
      <c r="A4008" t="s">
        <v>28</v>
      </c>
      <c r="B4008" t="s">
        <v>36</v>
      </c>
      <c r="C4008" t="s">
        <v>16</v>
      </c>
      <c r="D4008" t="s">
        <v>24</v>
      </c>
      <c r="E4008" t="s">
        <v>41</v>
      </c>
      <c r="F4008" s="9">
        <v>0.04</v>
      </c>
      <c r="G4008" s="10">
        <v>10691</v>
      </c>
      <c r="H4008">
        <v>5.31</v>
      </c>
      <c r="I4008" s="5">
        <f>ROUND(Marketing[[#This Row],[Clicks]]*Marketing[[#This Row],[Conversion_Rate]],0)</f>
        <v>8</v>
      </c>
      <c r="J4008" s="12">
        <f>Marketing[[#This Row],[Campaign_Cost]]/Marketing[[#This Row],[Customers]]</f>
        <v>1336.375</v>
      </c>
      <c r="K4008" t="s">
        <v>19</v>
      </c>
      <c r="L4008" t="s">
        <v>50</v>
      </c>
      <c r="M4008">
        <v>200</v>
      </c>
      <c r="N4008">
        <v>3508</v>
      </c>
      <c r="O4008">
        <v>3</v>
      </c>
      <c r="P4008" t="s">
        <v>42</v>
      </c>
      <c r="Q4008" s="1">
        <v>44553</v>
      </c>
    </row>
    <row r="4009" spans="1:17" x14ac:dyDescent="0.3">
      <c r="A4009" t="s">
        <v>22</v>
      </c>
      <c r="B4009" t="s">
        <v>15</v>
      </c>
      <c r="C4009" t="s">
        <v>30</v>
      </c>
      <c r="D4009" t="s">
        <v>17</v>
      </c>
      <c r="E4009" t="s">
        <v>43</v>
      </c>
      <c r="F4009" s="9">
        <v>0.14000000000000001</v>
      </c>
      <c r="G4009" s="10">
        <v>19477</v>
      </c>
      <c r="H4009">
        <v>3.79</v>
      </c>
      <c r="I4009" s="5">
        <f>ROUND(Marketing[[#This Row],[Clicks]]*Marketing[[#This Row],[Conversion_Rate]],0)</f>
        <v>35</v>
      </c>
      <c r="J4009" s="12">
        <f>Marketing[[#This Row],[Campaign_Cost]]/Marketing[[#This Row],[Customers]]</f>
        <v>556.48571428571427</v>
      </c>
      <c r="K4009" t="s">
        <v>32</v>
      </c>
      <c r="L4009" t="s">
        <v>50</v>
      </c>
      <c r="M4009">
        <v>247</v>
      </c>
      <c r="N4009">
        <v>8046</v>
      </c>
      <c r="O4009">
        <v>2</v>
      </c>
      <c r="P4009" t="s">
        <v>21</v>
      </c>
      <c r="Q4009" s="1">
        <v>44554</v>
      </c>
    </row>
    <row r="4010" spans="1:17" x14ac:dyDescent="0.3">
      <c r="A4010" t="s">
        <v>35</v>
      </c>
      <c r="B4010" t="s">
        <v>45</v>
      </c>
      <c r="C4010" t="s">
        <v>52</v>
      </c>
      <c r="D4010" t="s">
        <v>24</v>
      </c>
      <c r="E4010" t="s">
        <v>43</v>
      </c>
      <c r="F4010" s="9">
        <v>7.0000000000000007E-2</v>
      </c>
      <c r="G4010" s="10">
        <v>19134</v>
      </c>
      <c r="H4010">
        <v>7.44</v>
      </c>
      <c r="I4010" s="5">
        <f>ROUND(Marketing[[#This Row],[Clicks]]*Marketing[[#This Row],[Conversion_Rate]],0)</f>
        <v>58</v>
      </c>
      <c r="J4010" s="12">
        <f>Marketing[[#This Row],[Campaign_Cost]]/Marketing[[#This Row],[Customers]]</f>
        <v>329.89655172413791</v>
      </c>
      <c r="K4010" t="s">
        <v>51</v>
      </c>
      <c r="L4010" t="s">
        <v>20</v>
      </c>
      <c r="M4010">
        <v>829</v>
      </c>
      <c r="N4010">
        <v>7897</v>
      </c>
      <c r="O4010">
        <v>8</v>
      </c>
      <c r="P4010" t="s">
        <v>21</v>
      </c>
      <c r="Q4010" s="1">
        <v>44555</v>
      </c>
    </row>
    <row r="4011" spans="1:17" x14ac:dyDescent="0.3">
      <c r="A4011" t="s">
        <v>35</v>
      </c>
      <c r="B4011" t="s">
        <v>45</v>
      </c>
      <c r="C4011" t="s">
        <v>16</v>
      </c>
      <c r="D4011" t="s">
        <v>24</v>
      </c>
      <c r="E4011" t="s">
        <v>18</v>
      </c>
      <c r="F4011" s="9">
        <v>0.02</v>
      </c>
      <c r="G4011" s="10">
        <v>12671</v>
      </c>
      <c r="H4011">
        <v>6.3</v>
      </c>
      <c r="I4011" s="5">
        <f>ROUND(Marketing[[#This Row],[Clicks]]*Marketing[[#This Row],[Conversion_Rate]],0)</f>
        <v>19</v>
      </c>
      <c r="J4011" s="12">
        <f>Marketing[[#This Row],[Campaign_Cost]]/Marketing[[#This Row],[Customers]]</f>
        <v>666.89473684210532</v>
      </c>
      <c r="K4011" t="s">
        <v>51</v>
      </c>
      <c r="L4011" t="s">
        <v>20</v>
      </c>
      <c r="M4011">
        <v>945</v>
      </c>
      <c r="N4011">
        <v>7287</v>
      </c>
      <c r="O4011">
        <v>4</v>
      </c>
      <c r="P4011" t="s">
        <v>34</v>
      </c>
      <c r="Q4011" s="1">
        <v>44556</v>
      </c>
    </row>
    <row r="4012" spans="1:17" x14ac:dyDescent="0.3">
      <c r="A4012" t="s">
        <v>28</v>
      </c>
      <c r="B4012" t="s">
        <v>47</v>
      </c>
      <c r="C4012" t="s">
        <v>16</v>
      </c>
      <c r="D4012" t="s">
        <v>40</v>
      </c>
      <c r="E4012" t="s">
        <v>31</v>
      </c>
      <c r="F4012" s="9">
        <v>0.05</v>
      </c>
      <c r="G4012" s="10">
        <v>6195</v>
      </c>
      <c r="H4012">
        <v>2.81</v>
      </c>
      <c r="I4012" s="5">
        <f>ROUND(Marketing[[#This Row],[Clicks]]*Marketing[[#This Row],[Conversion_Rate]],0)</f>
        <v>6</v>
      </c>
      <c r="J4012" s="12">
        <f>Marketing[[#This Row],[Campaign_Cost]]/Marketing[[#This Row],[Customers]]</f>
        <v>1032.5</v>
      </c>
      <c r="K4012" t="s">
        <v>51</v>
      </c>
      <c r="L4012" t="s">
        <v>39</v>
      </c>
      <c r="M4012">
        <v>122</v>
      </c>
      <c r="N4012">
        <v>1991</v>
      </c>
      <c r="O4012">
        <v>3</v>
      </c>
      <c r="P4012" t="s">
        <v>27</v>
      </c>
      <c r="Q4012" s="1">
        <v>44557</v>
      </c>
    </row>
    <row r="4013" spans="1:17" x14ac:dyDescent="0.3">
      <c r="A4013" t="s">
        <v>28</v>
      </c>
      <c r="B4013" t="s">
        <v>29</v>
      </c>
      <c r="C4013" t="s">
        <v>37</v>
      </c>
      <c r="D4013" t="s">
        <v>24</v>
      </c>
      <c r="E4013" t="s">
        <v>48</v>
      </c>
      <c r="F4013" s="9">
        <v>0.14000000000000001</v>
      </c>
      <c r="G4013" s="10">
        <v>5543</v>
      </c>
      <c r="H4013">
        <v>2.16</v>
      </c>
      <c r="I4013" s="5">
        <f>ROUND(Marketing[[#This Row],[Clicks]]*Marketing[[#This Row],[Conversion_Rate]],0)</f>
        <v>110</v>
      </c>
      <c r="J4013" s="12">
        <f>Marketing[[#This Row],[Campaign_Cost]]/Marketing[[#This Row],[Customers]]</f>
        <v>50.390909090909091</v>
      </c>
      <c r="K4013" t="s">
        <v>19</v>
      </c>
      <c r="L4013" t="s">
        <v>39</v>
      </c>
      <c r="M4013">
        <v>783</v>
      </c>
      <c r="N4013">
        <v>6194</v>
      </c>
      <c r="O4013">
        <v>6</v>
      </c>
      <c r="P4013" t="s">
        <v>21</v>
      </c>
      <c r="Q4013" s="1">
        <v>44558</v>
      </c>
    </row>
    <row r="4014" spans="1:17" x14ac:dyDescent="0.3">
      <c r="A4014" t="s">
        <v>49</v>
      </c>
      <c r="B4014" t="s">
        <v>47</v>
      </c>
      <c r="C4014" t="s">
        <v>16</v>
      </c>
      <c r="D4014" t="s">
        <v>46</v>
      </c>
      <c r="E4014" t="s">
        <v>18</v>
      </c>
      <c r="F4014" s="9">
        <v>0.11</v>
      </c>
      <c r="G4014" s="10">
        <v>11448</v>
      </c>
      <c r="H4014">
        <v>5.79</v>
      </c>
      <c r="I4014" s="5">
        <f>ROUND(Marketing[[#This Row],[Clicks]]*Marketing[[#This Row],[Conversion_Rate]],0)</f>
        <v>13</v>
      </c>
      <c r="J4014" s="12">
        <f>Marketing[[#This Row],[Campaign_Cost]]/Marketing[[#This Row],[Customers]]</f>
        <v>880.61538461538464</v>
      </c>
      <c r="K4014" t="s">
        <v>51</v>
      </c>
      <c r="L4014" t="s">
        <v>50</v>
      </c>
      <c r="M4014">
        <v>115</v>
      </c>
      <c r="N4014">
        <v>2929</v>
      </c>
      <c r="O4014">
        <v>8</v>
      </c>
      <c r="P4014" t="s">
        <v>42</v>
      </c>
      <c r="Q4014" s="1">
        <v>44559</v>
      </c>
    </row>
    <row r="4015" spans="1:17" x14ac:dyDescent="0.3">
      <c r="A4015" t="s">
        <v>35</v>
      </c>
      <c r="B4015" t="s">
        <v>29</v>
      </c>
      <c r="C4015" t="s">
        <v>52</v>
      </c>
      <c r="D4015" t="s">
        <v>40</v>
      </c>
      <c r="E4015" t="s">
        <v>31</v>
      </c>
      <c r="F4015" s="9">
        <v>0.15</v>
      </c>
      <c r="G4015" s="10">
        <v>17956</v>
      </c>
      <c r="H4015">
        <v>6.47</v>
      </c>
      <c r="I4015" s="5">
        <f>ROUND(Marketing[[#This Row],[Clicks]]*Marketing[[#This Row],[Conversion_Rate]],0)</f>
        <v>39</v>
      </c>
      <c r="J4015" s="12">
        <f>Marketing[[#This Row],[Campaign_Cost]]/Marketing[[#This Row],[Customers]]</f>
        <v>460.41025641025641</v>
      </c>
      <c r="K4015" t="s">
        <v>38</v>
      </c>
      <c r="L4015" t="s">
        <v>20</v>
      </c>
      <c r="M4015">
        <v>260</v>
      </c>
      <c r="N4015">
        <v>2351</v>
      </c>
      <c r="O4015">
        <v>4</v>
      </c>
      <c r="P4015" t="s">
        <v>42</v>
      </c>
      <c r="Q4015" s="1">
        <v>44560</v>
      </c>
    </row>
    <row r="4016" spans="1:17" x14ac:dyDescent="0.3">
      <c r="A4016" t="s">
        <v>14</v>
      </c>
      <c r="B4016" t="s">
        <v>47</v>
      </c>
      <c r="C4016" t="s">
        <v>52</v>
      </c>
      <c r="D4016" t="s">
        <v>46</v>
      </c>
      <c r="E4016" t="s">
        <v>31</v>
      </c>
      <c r="F4016" s="9">
        <v>0.15</v>
      </c>
      <c r="G4016" s="10">
        <v>15007</v>
      </c>
      <c r="H4016">
        <v>7.8</v>
      </c>
      <c r="I4016" s="5">
        <f>ROUND(Marketing[[#This Row],[Clicks]]*Marketing[[#This Row],[Conversion_Rate]],0)</f>
        <v>80</v>
      </c>
      <c r="J4016" s="12">
        <f>Marketing[[#This Row],[Campaign_Cost]]/Marketing[[#This Row],[Customers]]</f>
        <v>187.58750000000001</v>
      </c>
      <c r="K4016" t="s">
        <v>51</v>
      </c>
      <c r="L4016" t="s">
        <v>33</v>
      </c>
      <c r="M4016">
        <v>536</v>
      </c>
      <c r="N4016">
        <v>1379</v>
      </c>
      <c r="O4016">
        <v>9</v>
      </c>
      <c r="P4016" t="s">
        <v>21</v>
      </c>
      <c r="Q4016" s="1">
        <v>44561</v>
      </c>
    </row>
    <row r="4017" spans="1:17" x14ac:dyDescent="0.3">
      <c r="A4017" t="s">
        <v>35</v>
      </c>
      <c r="B4017" t="s">
        <v>36</v>
      </c>
      <c r="C4017" t="s">
        <v>52</v>
      </c>
      <c r="D4017" t="s">
        <v>46</v>
      </c>
      <c r="E4017" t="s">
        <v>48</v>
      </c>
      <c r="F4017" s="9">
        <v>0.06</v>
      </c>
      <c r="G4017" s="10">
        <v>9818</v>
      </c>
      <c r="H4017">
        <v>7.78</v>
      </c>
      <c r="I4017" s="5">
        <f>ROUND(Marketing[[#This Row],[Clicks]]*Marketing[[#This Row],[Conversion_Rate]],0)</f>
        <v>31</v>
      </c>
      <c r="J4017" s="12">
        <f>Marketing[[#This Row],[Campaign_Cost]]/Marketing[[#This Row],[Customers]]</f>
        <v>316.70967741935482</v>
      </c>
      <c r="K4017" t="s">
        <v>32</v>
      </c>
      <c r="L4017" t="s">
        <v>39</v>
      </c>
      <c r="M4017">
        <v>522</v>
      </c>
      <c r="N4017">
        <v>6005</v>
      </c>
      <c r="O4017">
        <v>9</v>
      </c>
      <c r="P4017" t="s">
        <v>34</v>
      </c>
      <c r="Q4017" s="1">
        <v>44197</v>
      </c>
    </row>
    <row r="4018" spans="1:17" x14ac:dyDescent="0.3">
      <c r="A4018" t="s">
        <v>49</v>
      </c>
      <c r="B4018" t="s">
        <v>45</v>
      </c>
      <c r="C4018" t="s">
        <v>52</v>
      </c>
      <c r="D4018" t="s">
        <v>24</v>
      </c>
      <c r="E4018" t="s">
        <v>43</v>
      </c>
      <c r="F4018" s="9">
        <v>0.03</v>
      </c>
      <c r="G4018" s="10">
        <v>13316</v>
      </c>
      <c r="H4018">
        <v>4.41</v>
      </c>
      <c r="I4018" s="5">
        <f>ROUND(Marketing[[#This Row],[Clicks]]*Marketing[[#This Row],[Conversion_Rate]],0)</f>
        <v>14</v>
      </c>
      <c r="J4018" s="12">
        <f>Marketing[[#This Row],[Campaign_Cost]]/Marketing[[#This Row],[Customers]]</f>
        <v>951.14285714285711</v>
      </c>
      <c r="K4018" t="s">
        <v>25</v>
      </c>
      <c r="L4018" t="s">
        <v>39</v>
      </c>
      <c r="M4018">
        <v>467</v>
      </c>
      <c r="N4018">
        <v>4228</v>
      </c>
      <c r="O4018">
        <v>5</v>
      </c>
      <c r="P4018" t="s">
        <v>27</v>
      </c>
      <c r="Q4018" s="1">
        <v>44198</v>
      </c>
    </row>
    <row r="4019" spans="1:17" x14ac:dyDescent="0.3">
      <c r="A4019" t="s">
        <v>35</v>
      </c>
      <c r="B4019" t="s">
        <v>47</v>
      </c>
      <c r="C4019" t="s">
        <v>16</v>
      </c>
      <c r="D4019" t="s">
        <v>17</v>
      </c>
      <c r="E4019" t="s">
        <v>31</v>
      </c>
      <c r="F4019" s="9">
        <v>0.02</v>
      </c>
      <c r="G4019" s="10">
        <v>10358</v>
      </c>
      <c r="H4019">
        <v>6.93</v>
      </c>
      <c r="I4019" s="5">
        <f>ROUND(Marketing[[#This Row],[Clicks]]*Marketing[[#This Row],[Conversion_Rate]],0)</f>
        <v>16</v>
      </c>
      <c r="J4019" s="12">
        <f>Marketing[[#This Row],[Campaign_Cost]]/Marketing[[#This Row],[Customers]]</f>
        <v>647.375</v>
      </c>
      <c r="K4019" t="s">
        <v>19</v>
      </c>
      <c r="L4019" t="s">
        <v>33</v>
      </c>
      <c r="M4019">
        <v>798</v>
      </c>
      <c r="N4019">
        <v>7105</v>
      </c>
      <c r="O4019">
        <v>9</v>
      </c>
      <c r="P4019" t="s">
        <v>42</v>
      </c>
      <c r="Q4019" s="1">
        <v>44199</v>
      </c>
    </row>
    <row r="4020" spans="1:17" x14ac:dyDescent="0.3">
      <c r="A4020" t="s">
        <v>49</v>
      </c>
      <c r="B4020" t="s">
        <v>36</v>
      </c>
      <c r="C4020" t="s">
        <v>52</v>
      </c>
      <c r="D4020" t="s">
        <v>24</v>
      </c>
      <c r="E4020" t="s">
        <v>41</v>
      </c>
      <c r="F4020" s="9">
        <v>0.13</v>
      </c>
      <c r="G4020" s="10">
        <v>17392</v>
      </c>
      <c r="H4020">
        <v>3.12</v>
      </c>
      <c r="I4020" s="5">
        <f>ROUND(Marketing[[#This Row],[Clicks]]*Marketing[[#This Row],[Conversion_Rate]],0)</f>
        <v>125</v>
      </c>
      <c r="J4020" s="12">
        <f>Marketing[[#This Row],[Campaign_Cost]]/Marketing[[#This Row],[Customers]]</f>
        <v>139.136</v>
      </c>
      <c r="K4020" t="s">
        <v>25</v>
      </c>
      <c r="L4020" t="s">
        <v>50</v>
      </c>
      <c r="M4020">
        <v>959</v>
      </c>
      <c r="N4020">
        <v>2468</v>
      </c>
      <c r="O4020">
        <v>2</v>
      </c>
      <c r="P4020" t="s">
        <v>34</v>
      </c>
      <c r="Q4020" s="1">
        <v>44200</v>
      </c>
    </row>
    <row r="4021" spans="1:17" x14ac:dyDescent="0.3">
      <c r="A4021" t="s">
        <v>28</v>
      </c>
      <c r="B4021" t="s">
        <v>29</v>
      </c>
      <c r="C4021" t="s">
        <v>16</v>
      </c>
      <c r="D4021" t="s">
        <v>40</v>
      </c>
      <c r="E4021" t="s">
        <v>31</v>
      </c>
      <c r="F4021" s="9">
        <v>0.08</v>
      </c>
      <c r="G4021" s="10">
        <v>15055</v>
      </c>
      <c r="H4021">
        <v>3.41</v>
      </c>
      <c r="I4021" s="5">
        <f>ROUND(Marketing[[#This Row],[Clicks]]*Marketing[[#This Row],[Conversion_Rate]],0)</f>
        <v>18</v>
      </c>
      <c r="J4021" s="12">
        <f>Marketing[[#This Row],[Campaign_Cost]]/Marketing[[#This Row],[Customers]]</f>
        <v>836.38888888888891</v>
      </c>
      <c r="K4021" t="s">
        <v>19</v>
      </c>
      <c r="L4021" t="s">
        <v>26</v>
      </c>
      <c r="M4021">
        <v>229</v>
      </c>
      <c r="N4021">
        <v>1313</v>
      </c>
      <c r="O4021">
        <v>3</v>
      </c>
      <c r="P4021" t="s">
        <v>21</v>
      </c>
      <c r="Q4021" s="1">
        <v>44201</v>
      </c>
    </row>
    <row r="4022" spans="1:17" x14ac:dyDescent="0.3">
      <c r="A4022" t="s">
        <v>28</v>
      </c>
      <c r="B4022" t="s">
        <v>36</v>
      </c>
      <c r="C4022" t="s">
        <v>30</v>
      </c>
      <c r="D4022" t="s">
        <v>40</v>
      </c>
      <c r="E4022" t="s">
        <v>31</v>
      </c>
      <c r="F4022" s="9">
        <v>0.11</v>
      </c>
      <c r="G4022" s="10">
        <v>18735</v>
      </c>
      <c r="H4022">
        <v>7.12</v>
      </c>
      <c r="I4022" s="5">
        <f>ROUND(Marketing[[#This Row],[Clicks]]*Marketing[[#This Row],[Conversion_Rate]],0)</f>
        <v>25</v>
      </c>
      <c r="J4022" s="12">
        <f>Marketing[[#This Row],[Campaign_Cost]]/Marketing[[#This Row],[Customers]]</f>
        <v>749.4</v>
      </c>
      <c r="K4022" t="s">
        <v>19</v>
      </c>
      <c r="L4022" t="s">
        <v>39</v>
      </c>
      <c r="M4022">
        <v>229</v>
      </c>
      <c r="N4022">
        <v>4265</v>
      </c>
      <c r="O4022">
        <v>4</v>
      </c>
      <c r="P4022" t="s">
        <v>44</v>
      </c>
      <c r="Q4022" s="1">
        <v>44202</v>
      </c>
    </row>
    <row r="4023" spans="1:17" x14ac:dyDescent="0.3">
      <c r="A4023" t="s">
        <v>22</v>
      </c>
      <c r="B4023" t="s">
        <v>15</v>
      </c>
      <c r="C4023" t="s">
        <v>23</v>
      </c>
      <c r="D4023" t="s">
        <v>46</v>
      </c>
      <c r="E4023" t="s">
        <v>41</v>
      </c>
      <c r="F4023" s="9">
        <v>0.01</v>
      </c>
      <c r="G4023" s="10">
        <v>5838</v>
      </c>
      <c r="H4023">
        <v>7.51</v>
      </c>
      <c r="I4023" s="5">
        <f>ROUND(Marketing[[#This Row],[Clicks]]*Marketing[[#This Row],[Conversion_Rate]],0)</f>
        <v>4</v>
      </c>
      <c r="J4023" s="12">
        <f>Marketing[[#This Row],[Campaign_Cost]]/Marketing[[#This Row],[Customers]]</f>
        <v>1459.5</v>
      </c>
      <c r="K4023" t="s">
        <v>25</v>
      </c>
      <c r="L4023" t="s">
        <v>39</v>
      </c>
      <c r="M4023">
        <v>427</v>
      </c>
      <c r="N4023">
        <v>1706</v>
      </c>
      <c r="O4023">
        <v>1</v>
      </c>
      <c r="P4023" t="s">
        <v>44</v>
      </c>
      <c r="Q4023" s="1">
        <v>44203</v>
      </c>
    </row>
    <row r="4024" spans="1:17" x14ac:dyDescent="0.3">
      <c r="A4024" t="s">
        <v>35</v>
      </c>
      <c r="B4024" t="s">
        <v>36</v>
      </c>
      <c r="C4024" t="s">
        <v>30</v>
      </c>
      <c r="D4024" t="s">
        <v>24</v>
      </c>
      <c r="E4024" t="s">
        <v>31</v>
      </c>
      <c r="F4024" s="9">
        <v>0.11</v>
      </c>
      <c r="G4024" s="10">
        <v>6191</v>
      </c>
      <c r="H4024">
        <v>3.81</v>
      </c>
      <c r="I4024" s="5">
        <f>ROUND(Marketing[[#This Row],[Clicks]]*Marketing[[#This Row],[Conversion_Rate]],0)</f>
        <v>43</v>
      </c>
      <c r="J4024" s="12">
        <f>Marketing[[#This Row],[Campaign_Cost]]/Marketing[[#This Row],[Customers]]</f>
        <v>143.97674418604652</v>
      </c>
      <c r="K4024" t="s">
        <v>38</v>
      </c>
      <c r="L4024" t="s">
        <v>50</v>
      </c>
      <c r="M4024">
        <v>387</v>
      </c>
      <c r="N4024">
        <v>7832</v>
      </c>
      <c r="O4024">
        <v>1</v>
      </c>
      <c r="P4024" t="s">
        <v>44</v>
      </c>
      <c r="Q4024" s="1">
        <v>44204</v>
      </c>
    </row>
    <row r="4025" spans="1:17" x14ac:dyDescent="0.3">
      <c r="A4025" t="s">
        <v>14</v>
      </c>
      <c r="B4025" t="s">
        <v>45</v>
      </c>
      <c r="C4025" t="s">
        <v>52</v>
      </c>
      <c r="D4025" t="s">
        <v>24</v>
      </c>
      <c r="E4025" t="s">
        <v>15</v>
      </c>
      <c r="F4025" s="9">
        <v>0.05</v>
      </c>
      <c r="G4025" s="10">
        <v>15457</v>
      </c>
      <c r="H4025">
        <v>6.47</v>
      </c>
      <c r="I4025" s="5">
        <f>ROUND(Marketing[[#This Row],[Clicks]]*Marketing[[#This Row],[Conversion_Rate]],0)</f>
        <v>24</v>
      </c>
      <c r="J4025" s="12">
        <f>Marketing[[#This Row],[Campaign_Cost]]/Marketing[[#This Row],[Customers]]</f>
        <v>644.04166666666663</v>
      </c>
      <c r="K4025" t="s">
        <v>38</v>
      </c>
      <c r="L4025" t="s">
        <v>39</v>
      </c>
      <c r="M4025">
        <v>476</v>
      </c>
      <c r="N4025">
        <v>5293</v>
      </c>
      <c r="O4025">
        <v>4</v>
      </c>
      <c r="P4025" t="s">
        <v>34</v>
      </c>
      <c r="Q4025" s="1">
        <v>44205</v>
      </c>
    </row>
    <row r="4026" spans="1:17" x14ac:dyDescent="0.3">
      <c r="A4026" t="s">
        <v>28</v>
      </c>
      <c r="B4026" t="s">
        <v>36</v>
      </c>
      <c r="C4026" t="s">
        <v>16</v>
      </c>
      <c r="D4026" t="s">
        <v>24</v>
      </c>
      <c r="E4026" t="s">
        <v>43</v>
      </c>
      <c r="F4026" s="9">
        <v>0.08</v>
      </c>
      <c r="G4026" s="10">
        <v>13707</v>
      </c>
      <c r="H4026">
        <v>7.23</v>
      </c>
      <c r="I4026" s="5">
        <f>ROUND(Marketing[[#This Row],[Clicks]]*Marketing[[#This Row],[Conversion_Rate]],0)</f>
        <v>20</v>
      </c>
      <c r="J4026" s="12">
        <f>Marketing[[#This Row],[Campaign_Cost]]/Marketing[[#This Row],[Customers]]</f>
        <v>685.35</v>
      </c>
      <c r="K4026" t="s">
        <v>19</v>
      </c>
      <c r="L4026" t="s">
        <v>33</v>
      </c>
      <c r="M4026">
        <v>253</v>
      </c>
      <c r="N4026">
        <v>1206</v>
      </c>
      <c r="O4026">
        <v>5</v>
      </c>
      <c r="P4026" t="s">
        <v>34</v>
      </c>
      <c r="Q4026" s="1">
        <v>44206</v>
      </c>
    </row>
    <row r="4027" spans="1:17" x14ac:dyDescent="0.3">
      <c r="A4027" t="s">
        <v>35</v>
      </c>
      <c r="B4027" t="s">
        <v>45</v>
      </c>
      <c r="C4027" t="s">
        <v>23</v>
      </c>
      <c r="D4027" t="s">
        <v>40</v>
      </c>
      <c r="E4027" t="s">
        <v>31</v>
      </c>
      <c r="F4027" s="9">
        <v>0.14000000000000001</v>
      </c>
      <c r="G4027" s="10">
        <v>13620</v>
      </c>
      <c r="H4027">
        <v>5.28</v>
      </c>
      <c r="I4027" s="5">
        <f>ROUND(Marketing[[#This Row],[Clicks]]*Marketing[[#This Row],[Conversion_Rate]],0)</f>
        <v>93</v>
      </c>
      <c r="J4027" s="12">
        <f>Marketing[[#This Row],[Campaign_Cost]]/Marketing[[#This Row],[Customers]]</f>
        <v>146.45161290322579</v>
      </c>
      <c r="K4027" t="s">
        <v>19</v>
      </c>
      <c r="L4027" t="s">
        <v>33</v>
      </c>
      <c r="M4027">
        <v>661</v>
      </c>
      <c r="N4027">
        <v>1673</v>
      </c>
      <c r="O4027">
        <v>9</v>
      </c>
      <c r="P4027" t="s">
        <v>34</v>
      </c>
      <c r="Q4027" s="1">
        <v>44207</v>
      </c>
    </row>
    <row r="4028" spans="1:17" x14ac:dyDescent="0.3">
      <c r="A4028" t="s">
        <v>14</v>
      </c>
      <c r="B4028" t="s">
        <v>45</v>
      </c>
      <c r="C4028" t="s">
        <v>23</v>
      </c>
      <c r="D4028" t="s">
        <v>24</v>
      </c>
      <c r="E4028" t="s">
        <v>31</v>
      </c>
      <c r="F4028" s="9">
        <v>0.06</v>
      </c>
      <c r="G4028" s="10">
        <v>6964</v>
      </c>
      <c r="H4028">
        <v>4.58</v>
      </c>
      <c r="I4028" s="5">
        <f>ROUND(Marketing[[#This Row],[Clicks]]*Marketing[[#This Row],[Conversion_Rate]],0)</f>
        <v>55</v>
      </c>
      <c r="J4028" s="12">
        <f>Marketing[[#This Row],[Campaign_Cost]]/Marketing[[#This Row],[Customers]]</f>
        <v>126.61818181818182</v>
      </c>
      <c r="K4028" t="s">
        <v>51</v>
      </c>
      <c r="L4028" t="s">
        <v>33</v>
      </c>
      <c r="M4028">
        <v>912</v>
      </c>
      <c r="N4028">
        <v>3387</v>
      </c>
      <c r="O4028">
        <v>8</v>
      </c>
      <c r="P4028" t="s">
        <v>27</v>
      </c>
      <c r="Q4028" s="1">
        <v>44208</v>
      </c>
    </row>
    <row r="4029" spans="1:17" x14ac:dyDescent="0.3">
      <c r="A4029" t="s">
        <v>14</v>
      </c>
      <c r="B4029" t="s">
        <v>47</v>
      </c>
      <c r="C4029" t="s">
        <v>16</v>
      </c>
      <c r="D4029" t="s">
        <v>17</v>
      </c>
      <c r="E4029" t="s">
        <v>31</v>
      </c>
      <c r="F4029" s="9">
        <v>0.06</v>
      </c>
      <c r="G4029" s="10">
        <v>7514</v>
      </c>
      <c r="H4029">
        <v>4.4400000000000004</v>
      </c>
      <c r="I4029" s="5">
        <f>ROUND(Marketing[[#This Row],[Clicks]]*Marketing[[#This Row],[Conversion_Rate]],0)</f>
        <v>15</v>
      </c>
      <c r="J4029" s="12">
        <f>Marketing[[#This Row],[Campaign_Cost]]/Marketing[[#This Row],[Customers]]</f>
        <v>500.93333333333334</v>
      </c>
      <c r="K4029" t="s">
        <v>32</v>
      </c>
      <c r="L4029" t="s">
        <v>26</v>
      </c>
      <c r="M4029">
        <v>245</v>
      </c>
      <c r="N4029">
        <v>7127</v>
      </c>
      <c r="O4029">
        <v>7</v>
      </c>
      <c r="P4029" t="s">
        <v>42</v>
      </c>
      <c r="Q4029" s="1">
        <v>44209</v>
      </c>
    </row>
    <row r="4030" spans="1:17" x14ac:dyDescent="0.3">
      <c r="A4030" t="s">
        <v>35</v>
      </c>
      <c r="B4030" t="s">
        <v>15</v>
      </c>
      <c r="C4030" t="s">
        <v>52</v>
      </c>
      <c r="D4030" t="s">
        <v>24</v>
      </c>
      <c r="E4030" t="s">
        <v>18</v>
      </c>
      <c r="F4030" s="9">
        <v>0.1</v>
      </c>
      <c r="G4030" s="10">
        <v>17909</v>
      </c>
      <c r="H4030">
        <v>6.02</v>
      </c>
      <c r="I4030" s="5">
        <f>ROUND(Marketing[[#This Row],[Clicks]]*Marketing[[#This Row],[Conversion_Rate]],0)</f>
        <v>44</v>
      </c>
      <c r="J4030" s="12">
        <f>Marketing[[#This Row],[Campaign_Cost]]/Marketing[[#This Row],[Customers]]</f>
        <v>407.02272727272725</v>
      </c>
      <c r="K4030" t="s">
        <v>19</v>
      </c>
      <c r="L4030" t="s">
        <v>33</v>
      </c>
      <c r="M4030">
        <v>438</v>
      </c>
      <c r="N4030">
        <v>4269</v>
      </c>
      <c r="O4030">
        <v>9</v>
      </c>
      <c r="P4030" t="s">
        <v>42</v>
      </c>
      <c r="Q4030" s="1">
        <v>44210</v>
      </c>
    </row>
    <row r="4031" spans="1:17" x14ac:dyDescent="0.3">
      <c r="A4031" t="s">
        <v>14</v>
      </c>
      <c r="B4031" t="s">
        <v>47</v>
      </c>
      <c r="C4031" t="s">
        <v>16</v>
      </c>
      <c r="D4031" t="s">
        <v>46</v>
      </c>
      <c r="E4031" t="s">
        <v>43</v>
      </c>
      <c r="F4031" s="9">
        <v>0.1</v>
      </c>
      <c r="G4031" s="10">
        <v>8343</v>
      </c>
      <c r="H4031">
        <v>4.5599999999999996</v>
      </c>
      <c r="I4031" s="5">
        <f>ROUND(Marketing[[#This Row],[Clicks]]*Marketing[[#This Row],[Conversion_Rate]],0)</f>
        <v>60</v>
      </c>
      <c r="J4031" s="12">
        <f>Marketing[[#This Row],[Campaign_Cost]]/Marketing[[#This Row],[Customers]]</f>
        <v>139.05000000000001</v>
      </c>
      <c r="K4031" t="s">
        <v>38</v>
      </c>
      <c r="L4031" t="s">
        <v>20</v>
      </c>
      <c r="M4031">
        <v>598</v>
      </c>
      <c r="N4031">
        <v>2874</v>
      </c>
      <c r="O4031">
        <v>5</v>
      </c>
      <c r="P4031" t="s">
        <v>42</v>
      </c>
      <c r="Q4031" s="1">
        <v>44211</v>
      </c>
    </row>
    <row r="4032" spans="1:17" x14ac:dyDescent="0.3">
      <c r="A4032" t="s">
        <v>35</v>
      </c>
      <c r="B4032" t="s">
        <v>45</v>
      </c>
      <c r="C4032" t="s">
        <v>16</v>
      </c>
      <c r="D4032" t="s">
        <v>24</v>
      </c>
      <c r="E4032" t="s">
        <v>41</v>
      </c>
      <c r="F4032" s="9">
        <v>0.05</v>
      </c>
      <c r="G4032" s="10">
        <v>16478</v>
      </c>
      <c r="H4032">
        <v>7.34</v>
      </c>
      <c r="I4032" s="5">
        <f>ROUND(Marketing[[#This Row],[Clicks]]*Marketing[[#This Row],[Conversion_Rate]],0)</f>
        <v>37</v>
      </c>
      <c r="J4032" s="12">
        <f>Marketing[[#This Row],[Campaign_Cost]]/Marketing[[#This Row],[Customers]]</f>
        <v>445.35135135135135</v>
      </c>
      <c r="K4032" t="s">
        <v>19</v>
      </c>
      <c r="L4032" t="s">
        <v>33</v>
      </c>
      <c r="M4032">
        <v>737</v>
      </c>
      <c r="N4032">
        <v>6545</v>
      </c>
      <c r="O4032">
        <v>8</v>
      </c>
      <c r="P4032" t="s">
        <v>21</v>
      </c>
      <c r="Q4032" s="1">
        <v>44212</v>
      </c>
    </row>
    <row r="4033" spans="1:17" x14ac:dyDescent="0.3">
      <c r="A4033" t="s">
        <v>28</v>
      </c>
      <c r="B4033" t="s">
        <v>29</v>
      </c>
      <c r="C4033" t="s">
        <v>16</v>
      </c>
      <c r="D4033" t="s">
        <v>46</v>
      </c>
      <c r="E4033" t="s">
        <v>15</v>
      </c>
      <c r="F4033" s="9">
        <v>0.03</v>
      </c>
      <c r="G4033" s="10">
        <v>14123</v>
      </c>
      <c r="H4033">
        <v>2.0499999999999998</v>
      </c>
      <c r="I4033" s="5">
        <f>ROUND(Marketing[[#This Row],[Clicks]]*Marketing[[#This Row],[Conversion_Rate]],0)</f>
        <v>12</v>
      </c>
      <c r="J4033" s="12">
        <f>Marketing[[#This Row],[Campaign_Cost]]/Marketing[[#This Row],[Customers]]</f>
        <v>1176.9166666666667</v>
      </c>
      <c r="K4033" t="s">
        <v>19</v>
      </c>
      <c r="L4033" t="s">
        <v>33</v>
      </c>
      <c r="M4033">
        <v>404</v>
      </c>
      <c r="N4033">
        <v>2056</v>
      </c>
      <c r="O4033">
        <v>3</v>
      </c>
      <c r="P4033" t="s">
        <v>34</v>
      </c>
      <c r="Q4033" s="1">
        <v>44213</v>
      </c>
    </row>
    <row r="4034" spans="1:17" x14ac:dyDescent="0.3">
      <c r="A4034" t="s">
        <v>28</v>
      </c>
      <c r="B4034" t="s">
        <v>36</v>
      </c>
      <c r="C4034" t="s">
        <v>37</v>
      </c>
      <c r="D4034" t="s">
        <v>46</v>
      </c>
      <c r="E4034" t="s">
        <v>18</v>
      </c>
      <c r="F4034" s="9">
        <v>0.12</v>
      </c>
      <c r="G4034" s="10">
        <v>15459</v>
      </c>
      <c r="H4034">
        <v>7.76</v>
      </c>
      <c r="I4034" s="5">
        <f>ROUND(Marketing[[#This Row],[Clicks]]*Marketing[[#This Row],[Conversion_Rate]],0)</f>
        <v>17</v>
      </c>
      <c r="J4034" s="12">
        <f>Marketing[[#This Row],[Campaign_Cost]]/Marketing[[#This Row],[Customers]]</f>
        <v>909.35294117647061</v>
      </c>
      <c r="K4034" t="s">
        <v>25</v>
      </c>
      <c r="L4034" t="s">
        <v>26</v>
      </c>
      <c r="M4034">
        <v>140</v>
      </c>
      <c r="N4034">
        <v>9739</v>
      </c>
      <c r="O4034">
        <v>1</v>
      </c>
      <c r="P4034" t="s">
        <v>42</v>
      </c>
      <c r="Q4034" s="1">
        <v>44214</v>
      </c>
    </row>
    <row r="4035" spans="1:17" x14ac:dyDescent="0.3">
      <c r="A4035" t="s">
        <v>49</v>
      </c>
      <c r="B4035" t="s">
        <v>47</v>
      </c>
      <c r="C4035" t="s">
        <v>16</v>
      </c>
      <c r="D4035" t="s">
        <v>17</v>
      </c>
      <c r="E4035" t="s">
        <v>31</v>
      </c>
      <c r="F4035" s="9">
        <v>0.02</v>
      </c>
      <c r="G4035" s="10">
        <v>16430</v>
      </c>
      <c r="H4035">
        <v>4.3899999999999997</v>
      </c>
      <c r="I4035" s="5">
        <f>ROUND(Marketing[[#This Row],[Clicks]]*Marketing[[#This Row],[Conversion_Rate]],0)</f>
        <v>11</v>
      </c>
      <c r="J4035" s="12">
        <f>Marketing[[#This Row],[Campaign_Cost]]/Marketing[[#This Row],[Customers]]</f>
        <v>1493.6363636363637</v>
      </c>
      <c r="K4035" t="s">
        <v>51</v>
      </c>
      <c r="L4035" t="s">
        <v>33</v>
      </c>
      <c r="M4035">
        <v>547</v>
      </c>
      <c r="N4035">
        <v>7681</v>
      </c>
      <c r="O4035">
        <v>2</v>
      </c>
      <c r="P4035" t="s">
        <v>44</v>
      </c>
      <c r="Q4035" s="1">
        <v>44215</v>
      </c>
    </row>
    <row r="4036" spans="1:17" x14ac:dyDescent="0.3">
      <c r="A4036" t="s">
        <v>28</v>
      </c>
      <c r="B4036" t="s">
        <v>29</v>
      </c>
      <c r="C4036" t="s">
        <v>30</v>
      </c>
      <c r="D4036" t="s">
        <v>40</v>
      </c>
      <c r="E4036" t="s">
        <v>18</v>
      </c>
      <c r="F4036" s="9">
        <v>0.08</v>
      </c>
      <c r="G4036" s="10">
        <v>13887</v>
      </c>
      <c r="H4036">
        <v>7.36</v>
      </c>
      <c r="I4036" s="5">
        <f>ROUND(Marketing[[#This Row],[Clicks]]*Marketing[[#This Row],[Conversion_Rate]],0)</f>
        <v>9</v>
      </c>
      <c r="J4036" s="12">
        <f>Marketing[[#This Row],[Campaign_Cost]]/Marketing[[#This Row],[Customers]]</f>
        <v>1543</v>
      </c>
      <c r="K4036" t="s">
        <v>38</v>
      </c>
      <c r="L4036" t="s">
        <v>26</v>
      </c>
      <c r="M4036">
        <v>110</v>
      </c>
      <c r="N4036">
        <v>4281</v>
      </c>
      <c r="O4036">
        <v>4</v>
      </c>
      <c r="P4036" t="s">
        <v>27</v>
      </c>
      <c r="Q4036" s="1">
        <v>44216</v>
      </c>
    </row>
    <row r="4037" spans="1:17" x14ac:dyDescent="0.3">
      <c r="A4037" t="s">
        <v>35</v>
      </c>
      <c r="B4037" t="s">
        <v>15</v>
      </c>
      <c r="C4037" t="s">
        <v>37</v>
      </c>
      <c r="D4037" t="s">
        <v>17</v>
      </c>
      <c r="E4037" t="s">
        <v>43</v>
      </c>
      <c r="F4037" s="9">
        <v>0.14000000000000001</v>
      </c>
      <c r="G4037" s="10">
        <v>7408</v>
      </c>
      <c r="H4037">
        <v>3.14</v>
      </c>
      <c r="I4037" s="5">
        <f>ROUND(Marketing[[#This Row],[Clicks]]*Marketing[[#This Row],[Conversion_Rate]],0)</f>
        <v>84</v>
      </c>
      <c r="J4037" s="12">
        <f>Marketing[[#This Row],[Campaign_Cost]]/Marketing[[#This Row],[Customers]]</f>
        <v>88.19047619047619</v>
      </c>
      <c r="K4037" t="s">
        <v>32</v>
      </c>
      <c r="L4037" t="s">
        <v>26</v>
      </c>
      <c r="M4037">
        <v>603</v>
      </c>
      <c r="N4037">
        <v>6185</v>
      </c>
      <c r="O4037">
        <v>6</v>
      </c>
      <c r="P4037" t="s">
        <v>42</v>
      </c>
      <c r="Q4037" s="1">
        <v>44217</v>
      </c>
    </row>
    <row r="4038" spans="1:17" x14ac:dyDescent="0.3">
      <c r="A4038" t="s">
        <v>49</v>
      </c>
      <c r="B4038" t="s">
        <v>15</v>
      </c>
      <c r="C4038" t="s">
        <v>23</v>
      </c>
      <c r="D4038" t="s">
        <v>24</v>
      </c>
      <c r="E4038" t="s">
        <v>18</v>
      </c>
      <c r="F4038" s="9">
        <v>0.05</v>
      </c>
      <c r="G4038" s="10">
        <v>14359</v>
      </c>
      <c r="H4038">
        <v>3.35</v>
      </c>
      <c r="I4038" s="5">
        <f>ROUND(Marketing[[#This Row],[Clicks]]*Marketing[[#This Row],[Conversion_Rate]],0)</f>
        <v>17</v>
      </c>
      <c r="J4038" s="12">
        <f>Marketing[[#This Row],[Campaign_Cost]]/Marketing[[#This Row],[Customers]]</f>
        <v>844.64705882352939</v>
      </c>
      <c r="K4038" t="s">
        <v>25</v>
      </c>
      <c r="L4038" t="s">
        <v>33</v>
      </c>
      <c r="M4038">
        <v>341</v>
      </c>
      <c r="N4038">
        <v>4101</v>
      </c>
      <c r="O4038">
        <v>9</v>
      </c>
      <c r="P4038" t="s">
        <v>34</v>
      </c>
      <c r="Q4038" s="1">
        <v>44218</v>
      </c>
    </row>
    <row r="4039" spans="1:17" x14ac:dyDescent="0.3">
      <c r="A4039" t="s">
        <v>22</v>
      </c>
      <c r="B4039" t="s">
        <v>47</v>
      </c>
      <c r="C4039" t="s">
        <v>37</v>
      </c>
      <c r="D4039" t="s">
        <v>46</v>
      </c>
      <c r="E4039" t="s">
        <v>43</v>
      </c>
      <c r="F4039" s="9">
        <v>0.05</v>
      </c>
      <c r="G4039" s="10">
        <v>7303</v>
      </c>
      <c r="H4039">
        <v>5.7</v>
      </c>
      <c r="I4039" s="5">
        <f>ROUND(Marketing[[#This Row],[Clicks]]*Marketing[[#This Row],[Conversion_Rate]],0)</f>
        <v>25</v>
      </c>
      <c r="J4039" s="12">
        <f>Marketing[[#This Row],[Campaign_Cost]]/Marketing[[#This Row],[Customers]]</f>
        <v>292.12</v>
      </c>
      <c r="K4039" t="s">
        <v>38</v>
      </c>
      <c r="L4039" t="s">
        <v>20</v>
      </c>
      <c r="M4039">
        <v>496</v>
      </c>
      <c r="N4039">
        <v>9535</v>
      </c>
      <c r="O4039">
        <v>6</v>
      </c>
      <c r="P4039" t="s">
        <v>27</v>
      </c>
      <c r="Q4039" s="1">
        <v>44219</v>
      </c>
    </row>
    <row r="4040" spans="1:17" x14ac:dyDescent="0.3">
      <c r="A4040" t="s">
        <v>35</v>
      </c>
      <c r="B4040" t="s">
        <v>29</v>
      </c>
      <c r="C4040" t="s">
        <v>37</v>
      </c>
      <c r="D4040" t="s">
        <v>24</v>
      </c>
      <c r="E4040" t="s">
        <v>48</v>
      </c>
      <c r="F4040" s="9">
        <v>0.05</v>
      </c>
      <c r="G4040" s="10">
        <v>5983</v>
      </c>
      <c r="H4040">
        <v>7.25</v>
      </c>
      <c r="I4040" s="5">
        <f>ROUND(Marketing[[#This Row],[Clicks]]*Marketing[[#This Row],[Conversion_Rate]],0)</f>
        <v>11</v>
      </c>
      <c r="J4040" s="12">
        <f>Marketing[[#This Row],[Campaign_Cost]]/Marketing[[#This Row],[Customers]]</f>
        <v>543.90909090909088</v>
      </c>
      <c r="K4040" t="s">
        <v>32</v>
      </c>
      <c r="L4040" t="s">
        <v>33</v>
      </c>
      <c r="M4040">
        <v>224</v>
      </c>
      <c r="N4040">
        <v>3013</v>
      </c>
      <c r="O4040">
        <v>9</v>
      </c>
      <c r="P4040" t="s">
        <v>34</v>
      </c>
      <c r="Q4040" s="1">
        <v>44220</v>
      </c>
    </row>
    <row r="4041" spans="1:17" x14ac:dyDescent="0.3">
      <c r="A4041" t="s">
        <v>35</v>
      </c>
      <c r="B4041" t="s">
        <v>45</v>
      </c>
      <c r="C4041" t="s">
        <v>37</v>
      </c>
      <c r="D4041" t="s">
        <v>17</v>
      </c>
      <c r="E4041" t="s">
        <v>43</v>
      </c>
      <c r="F4041" s="9">
        <v>0.09</v>
      </c>
      <c r="G4041" s="10">
        <v>18483</v>
      </c>
      <c r="H4041">
        <v>7.48</v>
      </c>
      <c r="I4041" s="5">
        <f>ROUND(Marketing[[#This Row],[Clicks]]*Marketing[[#This Row],[Conversion_Rate]],0)</f>
        <v>57</v>
      </c>
      <c r="J4041" s="12">
        <f>Marketing[[#This Row],[Campaign_Cost]]/Marketing[[#This Row],[Customers]]</f>
        <v>324.26315789473682</v>
      </c>
      <c r="K4041" t="s">
        <v>32</v>
      </c>
      <c r="L4041" t="s">
        <v>33</v>
      </c>
      <c r="M4041">
        <v>632</v>
      </c>
      <c r="N4041">
        <v>5011</v>
      </c>
      <c r="O4041">
        <v>8</v>
      </c>
      <c r="P4041" t="s">
        <v>44</v>
      </c>
      <c r="Q4041" s="1">
        <v>44221</v>
      </c>
    </row>
    <row r="4042" spans="1:17" x14ac:dyDescent="0.3">
      <c r="A4042" t="s">
        <v>14</v>
      </c>
      <c r="B4042" t="s">
        <v>29</v>
      </c>
      <c r="C4042" t="s">
        <v>37</v>
      </c>
      <c r="D4042" t="s">
        <v>46</v>
      </c>
      <c r="E4042" t="s">
        <v>31</v>
      </c>
      <c r="F4042" s="9">
        <v>0.11</v>
      </c>
      <c r="G4042" s="10">
        <v>16631</v>
      </c>
      <c r="H4042">
        <v>3.62</v>
      </c>
      <c r="I4042" s="5">
        <f>ROUND(Marketing[[#This Row],[Clicks]]*Marketing[[#This Row],[Conversion_Rate]],0)</f>
        <v>96</v>
      </c>
      <c r="J4042" s="12">
        <f>Marketing[[#This Row],[Campaign_Cost]]/Marketing[[#This Row],[Customers]]</f>
        <v>173.23958333333334</v>
      </c>
      <c r="K4042" t="s">
        <v>25</v>
      </c>
      <c r="L4042" t="s">
        <v>20</v>
      </c>
      <c r="M4042">
        <v>869</v>
      </c>
      <c r="N4042">
        <v>3499</v>
      </c>
      <c r="O4042">
        <v>3</v>
      </c>
      <c r="P4042" t="s">
        <v>27</v>
      </c>
      <c r="Q4042" s="1">
        <v>44222</v>
      </c>
    </row>
    <row r="4043" spans="1:17" x14ac:dyDescent="0.3">
      <c r="A4043" t="s">
        <v>35</v>
      </c>
      <c r="B4043" t="s">
        <v>36</v>
      </c>
      <c r="C4043" t="s">
        <v>52</v>
      </c>
      <c r="D4043" t="s">
        <v>46</v>
      </c>
      <c r="E4043" t="s">
        <v>43</v>
      </c>
      <c r="F4043" s="9">
        <v>0.01</v>
      </c>
      <c r="G4043" s="10">
        <v>12657</v>
      </c>
      <c r="H4043">
        <v>2.98</v>
      </c>
      <c r="I4043" s="5">
        <f>ROUND(Marketing[[#This Row],[Clicks]]*Marketing[[#This Row],[Conversion_Rate]],0)</f>
        <v>7</v>
      </c>
      <c r="J4043" s="12">
        <f>Marketing[[#This Row],[Campaign_Cost]]/Marketing[[#This Row],[Customers]]</f>
        <v>1808.1428571428571</v>
      </c>
      <c r="K4043" t="s">
        <v>32</v>
      </c>
      <c r="L4043" t="s">
        <v>20</v>
      </c>
      <c r="M4043">
        <v>681</v>
      </c>
      <c r="N4043">
        <v>2127</v>
      </c>
      <c r="O4043">
        <v>10</v>
      </c>
      <c r="P4043" t="s">
        <v>34</v>
      </c>
      <c r="Q4043" s="1">
        <v>44223</v>
      </c>
    </row>
    <row r="4044" spans="1:17" x14ac:dyDescent="0.3">
      <c r="A4044" t="s">
        <v>35</v>
      </c>
      <c r="B4044" t="s">
        <v>36</v>
      </c>
      <c r="C4044" t="s">
        <v>30</v>
      </c>
      <c r="D4044" t="s">
        <v>46</v>
      </c>
      <c r="E4044" t="s">
        <v>41</v>
      </c>
      <c r="F4044" s="9">
        <v>0.06</v>
      </c>
      <c r="G4044" s="10">
        <v>5799</v>
      </c>
      <c r="H4044">
        <v>2.37</v>
      </c>
      <c r="I4044" s="5">
        <f>ROUND(Marketing[[#This Row],[Clicks]]*Marketing[[#This Row],[Conversion_Rate]],0)</f>
        <v>49</v>
      </c>
      <c r="J4044" s="12">
        <f>Marketing[[#This Row],[Campaign_Cost]]/Marketing[[#This Row],[Customers]]</f>
        <v>118.34693877551021</v>
      </c>
      <c r="K4044" t="s">
        <v>32</v>
      </c>
      <c r="L4044" t="s">
        <v>33</v>
      </c>
      <c r="M4044">
        <v>823</v>
      </c>
      <c r="N4044">
        <v>8028</v>
      </c>
      <c r="O4044">
        <v>10</v>
      </c>
      <c r="P4044" t="s">
        <v>27</v>
      </c>
      <c r="Q4044" s="1">
        <v>44224</v>
      </c>
    </row>
    <row r="4045" spans="1:17" x14ac:dyDescent="0.3">
      <c r="A4045" t="s">
        <v>28</v>
      </c>
      <c r="B4045" t="s">
        <v>29</v>
      </c>
      <c r="C4045" t="s">
        <v>37</v>
      </c>
      <c r="D4045" t="s">
        <v>24</v>
      </c>
      <c r="E4045" t="s">
        <v>31</v>
      </c>
      <c r="F4045" s="9">
        <v>0.03</v>
      </c>
      <c r="G4045" s="10">
        <v>14453</v>
      </c>
      <c r="H4045">
        <v>2.85</v>
      </c>
      <c r="I4045" s="5">
        <f>ROUND(Marketing[[#This Row],[Clicks]]*Marketing[[#This Row],[Conversion_Rate]],0)</f>
        <v>8</v>
      </c>
      <c r="J4045" s="12">
        <f>Marketing[[#This Row],[Campaign_Cost]]/Marketing[[#This Row],[Customers]]</f>
        <v>1806.625</v>
      </c>
      <c r="K4045" t="s">
        <v>19</v>
      </c>
      <c r="L4045" t="s">
        <v>39</v>
      </c>
      <c r="M4045">
        <v>283</v>
      </c>
      <c r="N4045">
        <v>3529</v>
      </c>
      <c r="O4045">
        <v>1</v>
      </c>
      <c r="P4045" t="s">
        <v>21</v>
      </c>
      <c r="Q4045" s="1">
        <v>44225</v>
      </c>
    </row>
    <row r="4046" spans="1:17" x14ac:dyDescent="0.3">
      <c r="A4046" t="s">
        <v>28</v>
      </c>
      <c r="B4046" t="s">
        <v>47</v>
      </c>
      <c r="C4046" t="s">
        <v>16</v>
      </c>
      <c r="D4046" t="s">
        <v>46</v>
      </c>
      <c r="E4046" t="s">
        <v>48</v>
      </c>
      <c r="F4046" s="9">
        <v>7.0000000000000007E-2</v>
      </c>
      <c r="G4046" s="10">
        <v>5495</v>
      </c>
      <c r="H4046">
        <v>7.89</v>
      </c>
      <c r="I4046" s="5">
        <f>ROUND(Marketing[[#This Row],[Clicks]]*Marketing[[#This Row],[Conversion_Rate]],0)</f>
        <v>23</v>
      </c>
      <c r="J4046" s="12">
        <f>Marketing[[#This Row],[Campaign_Cost]]/Marketing[[#This Row],[Customers]]</f>
        <v>238.91304347826087</v>
      </c>
      <c r="K4046" t="s">
        <v>51</v>
      </c>
      <c r="L4046" t="s">
        <v>26</v>
      </c>
      <c r="M4046">
        <v>330</v>
      </c>
      <c r="N4046">
        <v>1146</v>
      </c>
      <c r="O4046">
        <v>2</v>
      </c>
      <c r="P4046" t="s">
        <v>21</v>
      </c>
      <c r="Q4046" s="1">
        <v>44226</v>
      </c>
    </row>
    <row r="4047" spans="1:17" x14ac:dyDescent="0.3">
      <c r="A4047" t="s">
        <v>35</v>
      </c>
      <c r="B4047" t="s">
        <v>45</v>
      </c>
      <c r="C4047" t="s">
        <v>52</v>
      </c>
      <c r="D4047" t="s">
        <v>46</v>
      </c>
      <c r="E4047" t="s">
        <v>18</v>
      </c>
      <c r="F4047" s="9">
        <v>0.14000000000000001</v>
      </c>
      <c r="G4047" s="10">
        <v>6167</v>
      </c>
      <c r="H4047">
        <v>5.44</v>
      </c>
      <c r="I4047" s="5">
        <f>ROUND(Marketing[[#This Row],[Clicks]]*Marketing[[#This Row],[Conversion_Rate]],0)</f>
        <v>58</v>
      </c>
      <c r="J4047" s="12">
        <f>Marketing[[#This Row],[Campaign_Cost]]/Marketing[[#This Row],[Customers]]</f>
        <v>106.32758620689656</v>
      </c>
      <c r="K4047" t="s">
        <v>38</v>
      </c>
      <c r="L4047" t="s">
        <v>26</v>
      </c>
      <c r="M4047">
        <v>412</v>
      </c>
      <c r="N4047">
        <v>4823</v>
      </c>
      <c r="O4047">
        <v>5</v>
      </c>
      <c r="P4047" t="s">
        <v>34</v>
      </c>
      <c r="Q4047" s="1">
        <v>44227</v>
      </c>
    </row>
    <row r="4048" spans="1:17" x14ac:dyDescent="0.3">
      <c r="A4048" t="s">
        <v>28</v>
      </c>
      <c r="B4048" t="s">
        <v>47</v>
      </c>
      <c r="C4048" t="s">
        <v>52</v>
      </c>
      <c r="D4048" t="s">
        <v>40</v>
      </c>
      <c r="E4048" t="s">
        <v>15</v>
      </c>
      <c r="F4048" s="9">
        <v>0.1</v>
      </c>
      <c r="G4048" s="10">
        <v>11899</v>
      </c>
      <c r="H4048">
        <v>6.78</v>
      </c>
      <c r="I4048" s="5">
        <f>ROUND(Marketing[[#This Row],[Clicks]]*Marketing[[#This Row],[Conversion_Rate]],0)</f>
        <v>14</v>
      </c>
      <c r="J4048" s="12">
        <f>Marketing[[#This Row],[Campaign_Cost]]/Marketing[[#This Row],[Customers]]</f>
        <v>849.92857142857144</v>
      </c>
      <c r="K4048" t="s">
        <v>19</v>
      </c>
      <c r="L4048" t="s">
        <v>26</v>
      </c>
      <c r="M4048">
        <v>140</v>
      </c>
      <c r="N4048">
        <v>9393</v>
      </c>
      <c r="O4048">
        <v>4</v>
      </c>
      <c r="P4048" t="s">
        <v>27</v>
      </c>
      <c r="Q4048" s="1">
        <v>44228</v>
      </c>
    </row>
    <row r="4049" spans="1:17" x14ac:dyDescent="0.3">
      <c r="A4049" t="s">
        <v>22</v>
      </c>
      <c r="B4049" t="s">
        <v>15</v>
      </c>
      <c r="C4049" t="s">
        <v>23</v>
      </c>
      <c r="D4049" t="s">
        <v>46</v>
      </c>
      <c r="E4049" t="s">
        <v>18</v>
      </c>
      <c r="F4049" s="9">
        <v>0.02</v>
      </c>
      <c r="G4049" s="10">
        <v>18306</v>
      </c>
      <c r="H4049">
        <v>7.83</v>
      </c>
      <c r="I4049" s="5">
        <f>ROUND(Marketing[[#This Row],[Clicks]]*Marketing[[#This Row],[Conversion_Rate]],0)</f>
        <v>7</v>
      </c>
      <c r="J4049" s="12">
        <f>Marketing[[#This Row],[Campaign_Cost]]/Marketing[[#This Row],[Customers]]</f>
        <v>2615.1428571428573</v>
      </c>
      <c r="K4049" t="s">
        <v>51</v>
      </c>
      <c r="L4049" t="s">
        <v>33</v>
      </c>
      <c r="M4049">
        <v>339</v>
      </c>
      <c r="N4049">
        <v>4095</v>
      </c>
      <c r="O4049">
        <v>8</v>
      </c>
      <c r="P4049" t="s">
        <v>34</v>
      </c>
      <c r="Q4049" s="1">
        <v>44229</v>
      </c>
    </row>
    <row r="4050" spans="1:17" x14ac:dyDescent="0.3">
      <c r="A4050" t="s">
        <v>49</v>
      </c>
      <c r="B4050" t="s">
        <v>29</v>
      </c>
      <c r="C4050" t="s">
        <v>16</v>
      </c>
      <c r="D4050" t="s">
        <v>17</v>
      </c>
      <c r="E4050" t="s">
        <v>48</v>
      </c>
      <c r="F4050" s="9">
        <v>0.15</v>
      </c>
      <c r="G4050" s="10">
        <v>15439</v>
      </c>
      <c r="H4050">
        <v>3.67</v>
      </c>
      <c r="I4050" s="5">
        <f>ROUND(Marketing[[#This Row],[Clicks]]*Marketing[[#This Row],[Conversion_Rate]],0)</f>
        <v>52</v>
      </c>
      <c r="J4050" s="12">
        <f>Marketing[[#This Row],[Campaign_Cost]]/Marketing[[#This Row],[Customers]]</f>
        <v>296.90384615384613</v>
      </c>
      <c r="K4050" t="s">
        <v>38</v>
      </c>
      <c r="L4050" t="s">
        <v>26</v>
      </c>
      <c r="M4050">
        <v>346</v>
      </c>
      <c r="N4050">
        <v>7377</v>
      </c>
      <c r="O4050">
        <v>2</v>
      </c>
      <c r="P4050" t="s">
        <v>34</v>
      </c>
      <c r="Q4050" s="1">
        <v>44230</v>
      </c>
    </row>
    <row r="4051" spans="1:17" x14ac:dyDescent="0.3">
      <c r="A4051" t="s">
        <v>28</v>
      </c>
      <c r="B4051" t="s">
        <v>15</v>
      </c>
      <c r="C4051" t="s">
        <v>16</v>
      </c>
      <c r="D4051" t="s">
        <v>40</v>
      </c>
      <c r="E4051" t="s">
        <v>31</v>
      </c>
      <c r="F4051" s="9">
        <v>0.14000000000000001</v>
      </c>
      <c r="G4051" s="10">
        <v>15436</v>
      </c>
      <c r="H4051">
        <v>2.48</v>
      </c>
      <c r="I4051" s="5">
        <f>ROUND(Marketing[[#This Row],[Clicks]]*Marketing[[#This Row],[Conversion_Rate]],0)</f>
        <v>113</v>
      </c>
      <c r="J4051" s="12">
        <f>Marketing[[#This Row],[Campaign_Cost]]/Marketing[[#This Row],[Customers]]</f>
        <v>136.60176991150442</v>
      </c>
      <c r="K4051" t="s">
        <v>51</v>
      </c>
      <c r="L4051" t="s">
        <v>20</v>
      </c>
      <c r="M4051">
        <v>810</v>
      </c>
      <c r="N4051">
        <v>6986</v>
      </c>
      <c r="O4051">
        <v>1</v>
      </c>
      <c r="P4051" t="s">
        <v>27</v>
      </c>
      <c r="Q4051" s="1">
        <v>44231</v>
      </c>
    </row>
    <row r="4052" spans="1:17" x14ac:dyDescent="0.3">
      <c r="A4052" t="s">
        <v>14</v>
      </c>
      <c r="B4052" t="s">
        <v>36</v>
      </c>
      <c r="C4052" t="s">
        <v>37</v>
      </c>
      <c r="D4052" t="s">
        <v>24</v>
      </c>
      <c r="E4052" t="s">
        <v>15</v>
      </c>
      <c r="F4052" s="9">
        <v>0.02</v>
      </c>
      <c r="G4052" s="10">
        <v>14455</v>
      </c>
      <c r="H4052">
        <v>7.88</v>
      </c>
      <c r="I4052" s="5">
        <f>ROUND(Marketing[[#This Row],[Clicks]]*Marketing[[#This Row],[Conversion_Rate]],0)</f>
        <v>20</v>
      </c>
      <c r="J4052" s="12">
        <f>Marketing[[#This Row],[Campaign_Cost]]/Marketing[[#This Row],[Customers]]</f>
        <v>722.75</v>
      </c>
      <c r="K4052" t="s">
        <v>19</v>
      </c>
      <c r="L4052" t="s">
        <v>20</v>
      </c>
      <c r="M4052">
        <v>995</v>
      </c>
      <c r="N4052">
        <v>9666</v>
      </c>
      <c r="O4052">
        <v>9</v>
      </c>
      <c r="P4052" t="s">
        <v>44</v>
      </c>
      <c r="Q4052" s="1">
        <v>44232</v>
      </c>
    </row>
    <row r="4053" spans="1:17" x14ac:dyDescent="0.3">
      <c r="A4053" t="s">
        <v>49</v>
      </c>
      <c r="B4053" t="s">
        <v>47</v>
      </c>
      <c r="C4053" t="s">
        <v>23</v>
      </c>
      <c r="D4053" t="s">
        <v>46</v>
      </c>
      <c r="E4053" t="s">
        <v>48</v>
      </c>
      <c r="F4053" s="9">
        <v>0.12</v>
      </c>
      <c r="G4053" s="10">
        <v>8398</v>
      </c>
      <c r="H4053">
        <v>7.99</v>
      </c>
      <c r="I4053" s="5">
        <f>ROUND(Marketing[[#This Row],[Clicks]]*Marketing[[#This Row],[Conversion_Rate]],0)</f>
        <v>50</v>
      </c>
      <c r="J4053" s="12">
        <f>Marketing[[#This Row],[Campaign_Cost]]/Marketing[[#This Row],[Customers]]</f>
        <v>167.96</v>
      </c>
      <c r="K4053" t="s">
        <v>51</v>
      </c>
      <c r="L4053" t="s">
        <v>33</v>
      </c>
      <c r="M4053">
        <v>418</v>
      </c>
      <c r="N4053">
        <v>9416</v>
      </c>
      <c r="O4053">
        <v>3</v>
      </c>
      <c r="P4053" t="s">
        <v>27</v>
      </c>
      <c r="Q4053" s="1">
        <v>44233</v>
      </c>
    </row>
    <row r="4054" spans="1:17" x14ac:dyDescent="0.3">
      <c r="A4054" t="s">
        <v>22</v>
      </c>
      <c r="B4054" t="s">
        <v>36</v>
      </c>
      <c r="C4054" t="s">
        <v>30</v>
      </c>
      <c r="D4054" t="s">
        <v>24</v>
      </c>
      <c r="E4054" t="s">
        <v>31</v>
      </c>
      <c r="F4054" s="9">
        <v>0.11</v>
      </c>
      <c r="G4054" s="10">
        <v>16408</v>
      </c>
      <c r="H4054">
        <v>3.21</v>
      </c>
      <c r="I4054" s="5">
        <f>ROUND(Marketing[[#This Row],[Clicks]]*Marketing[[#This Row],[Conversion_Rate]],0)</f>
        <v>72</v>
      </c>
      <c r="J4054" s="12">
        <f>Marketing[[#This Row],[Campaign_Cost]]/Marketing[[#This Row],[Customers]]</f>
        <v>227.88888888888889</v>
      </c>
      <c r="K4054" t="s">
        <v>19</v>
      </c>
      <c r="L4054" t="s">
        <v>20</v>
      </c>
      <c r="M4054">
        <v>656</v>
      </c>
      <c r="N4054">
        <v>7047</v>
      </c>
      <c r="O4054">
        <v>5</v>
      </c>
      <c r="P4054" t="s">
        <v>21</v>
      </c>
      <c r="Q4054" s="1">
        <v>44234</v>
      </c>
    </row>
    <row r="4055" spans="1:17" x14ac:dyDescent="0.3">
      <c r="A4055" t="s">
        <v>49</v>
      </c>
      <c r="B4055" t="s">
        <v>47</v>
      </c>
      <c r="C4055" t="s">
        <v>23</v>
      </c>
      <c r="D4055" t="s">
        <v>46</v>
      </c>
      <c r="E4055" t="s">
        <v>48</v>
      </c>
      <c r="F4055" s="9">
        <v>0.02</v>
      </c>
      <c r="G4055" s="10">
        <v>11617</v>
      </c>
      <c r="H4055">
        <v>5.73</v>
      </c>
      <c r="I4055" s="5">
        <f>ROUND(Marketing[[#This Row],[Clicks]]*Marketing[[#This Row],[Conversion_Rate]],0)</f>
        <v>18</v>
      </c>
      <c r="J4055" s="12">
        <f>Marketing[[#This Row],[Campaign_Cost]]/Marketing[[#This Row],[Customers]]</f>
        <v>645.38888888888891</v>
      </c>
      <c r="K4055" t="s">
        <v>38</v>
      </c>
      <c r="L4055" t="s">
        <v>26</v>
      </c>
      <c r="M4055">
        <v>890</v>
      </c>
      <c r="N4055">
        <v>9025</v>
      </c>
      <c r="O4055">
        <v>4</v>
      </c>
      <c r="P4055" t="s">
        <v>42</v>
      </c>
      <c r="Q4055" s="1">
        <v>44235</v>
      </c>
    </row>
    <row r="4056" spans="1:17" x14ac:dyDescent="0.3">
      <c r="A4056" t="s">
        <v>49</v>
      </c>
      <c r="B4056" t="s">
        <v>36</v>
      </c>
      <c r="C4056" t="s">
        <v>30</v>
      </c>
      <c r="D4056" t="s">
        <v>24</v>
      </c>
      <c r="E4056" t="s">
        <v>48</v>
      </c>
      <c r="F4056" s="9">
        <v>0.05</v>
      </c>
      <c r="G4056" s="10">
        <v>12676</v>
      </c>
      <c r="H4056">
        <v>5.62</v>
      </c>
      <c r="I4056" s="5">
        <f>ROUND(Marketing[[#This Row],[Clicks]]*Marketing[[#This Row],[Conversion_Rate]],0)</f>
        <v>25</v>
      </c>
      <c r="J4056" s="12">
        <f>Marketing[[#This Row],[Campaign_Cost]]/Marketing[[#This Row],[Customers]]</f>
        <v>507.04</v>
      </c>
      <c r="K4056" t="s">
        <v>38</v>
      </c>
      <c r="L4056" t="s">
        <v>33</v>
      </c>
      <c r="M4056">
        <v>501</v>
      </c>
      <c r="N4056">
        <v>2836</v>
      </c>
      <c r="O4056">
        <v>6</v>
      </c>
      <c r="P4056" t="s">
        <v>21</v>
      </c>
      <c r="Q4056" s="1">
        <v>44236</v>
      </c>
    </row>
    <row r="4057" spans="1:17" x14ac:dyDescent="0.3">
      <c r="A4057" t="s">
        <v>35</v>
      </c>
      <c r="B4057" t="s">
        <v>47</v>
      </c>
      <c r="C4057" t="s">
        <v>30</v>
      </c>
      <c r="D4057" t="s">
        <v>40</v>
      </c>
      <c r="E4057" t="s">
        <v>18</v>
      </c>
      <c r="F4057" s="9">
        <v>0.03</v>
      </c>
      <c r="G4057" s="10">
        <v>8853</v>
      </c>
      <c r="H4057">
        <v>6.35</v>
      </c>
      <c r="I4057" s="5">
        <f>ROUND(Marketing[[#This Row],[Clicks]]*Marketing[[#This Row],[Conversion_Rate]],0)</f>
        <v>12</v>
      </c>
      <c r="J4057" s="12">
        <f>Marketing[[#This Row],[Campaign_Cost]]/Marketing[[#This Row],[Customers]]</f>
        <v>737.75</v>
      </c>
      <c r="K4057" t="s">
        <v>19</v>
      </c>
      <c r="L4057" t="s">
        <v>33</v>
      </c>
      <c r="M4057">
        <v>400</v>
      </c>
      <c r="N4057">
        <v>9482</v>
      </c>
      <c r="O4057">
        <v>10</v>
      </c>
      <c r="P4057" t="s">
        <v>21</v>
      </c>
      <c r="Q4057" s="1">
        <v>44237</v>
      </c>
    </row>
    <row r="4058" spans="1:17" x14ac:dyDescent="0.3">
      <c r="A4058" t="s">
        <v>22</v>
      </c>
      <c r="B4058" t="s">
        <v>29</v>
      </c>
      <c r="C4058" t="s">
        <v>37</v>
      </c>
      <c r="D4058" t="s">
        <v>40</v>
      </c>
      <c r="E4058" t="s">
        <v>48</v>
      </c>
      <c r="F4058" s="9">
        <v>0.08</v>
      </c>
      <c r="G4058" s="10">
        <v>12014</v>
      </c>
      <c r="H4058">
        <v>2.81</v>
      </c>
      <c r="I4058" s="5">
        <f>ROUND(Marketing[[#This Row],[Clicks]]*Marketing[[#This Row],[Conversion_Rate]],0)</f>
        <v>34</v>
      </c>
      <c r="J4058" s="12">
        <f>Marketing[[#This Row],[Campaign_Cost]]/Marketing[[#This Row],[Customers]]</f>
        <v>353.35294117647061</v>
      </c>
      <c r="K4058" t="s">
        <v>51</v>
      </c>
      <c r="L4058" t="s">
        <v>20</v>
      </c>
      <c r="M4058">
        <v>424</v>
      </c>
      <c r="N4058">
        <v>6937</v>
      </c>
      <c r="O4058">
        <v>8</v>
      </c>
      <c r="P4058" t="s">
        <v>44</v>
      </c>
      <c r="Q4058" s="1">
        <v>44238</v>
      </c>
    </row>
    <row r="4059" spans="1:17" x14ac:dyDescent="0.3">
      <c r="A4059" t="s">
        <v>49</v>
      </c>
      <c r="B4059" t="s">
        <v>29</v>
      </c>
      <c r="C4059" t="s">
        <v>16</v>
      </c>
      <c r="D4059" t="s">
        <v>17</v>
      </c>
      <c r="E4059" t="s">
        <v>18</v>
      </c>
      <c r="F4059" s="9">
        <v>0.13</v>
      </c>
      <c r="G4059" s="10">
        <v>8704</v>
      </c>
      <c r="H4059">
        <v>7.47</v>
      </c>
      <c r="I4059" s="5">
        <f>ROUND(Marketing[[#This Row],[Clicks]]*Marketing[[#This Row],[Conversion_Rate]],0)</f>
        <v>24</v>
      </c>
      <c r="J4059" s="12">
        <f>Marketing[[#This Row],[Campaign_Cost]]/Marketing[[#This Row],[Customers]]</f>
        <v>362.66666666666669</v>
      </c>
      <c r="K4059" t="s">
        <v>19</v>
      </c>
      <c r="L4059" t="s">
        <v>26</v>
      </c>
      <c r="M4059">
        <v>186</v>
      </c>
      <c r="N4059">
        <v>8272</v>
      </c>
      <c r="O4059">
        <v>3</v>
      </c>
      <c r="P4059" t="s">
        <v>42</v>
      </c>
      <c r="Q4059" s="1">
        <v>44239</v>
      </c>
    </row>
    <row r="4060" spans="1:17" x14ac:dyDescent="0.3">
      <c r="A4060" t="s">
        <v>28</v>
      </c>
      <c r="B4060" t="s">
        <v>15</v>
      </c>
      <c r="C4060" t="s">
        <v>16</v>
      </c>
      <c r="D4060" t="s">
        <v>40</v>
      </c>
      <c r="E4060" t="s">
        <v>43</v>
      </c>
      <c r="F4060" s="9">
        <v>0.06</v>
      </c>
      <c r="G4060" s="10">
        <v>14299</v>
      </c>
      <c r="H4060">
        <v>5.03</v>
      </c>
      <c r="I4060" s="5">
        <f>ROUND(Marketing[[#This Row],[Clicks]]*Marketing[[#This Row],[Conversion_Rate]],0)</f>
        <v>44</v>
      </c>
      <c r="J4060" s="12">
        <f>Marketing[[#This Row],[Campaign_Cost]]/Marketing[[#This Row],[Customers]]</f>
        <v>324.97727272727275</v>
      </c>
      <c r="K4060" t="s">
        <v>38</v>
      </c>
      <c r="L4060" t="s">
        <v>26</v>
      </c>
      <c r="M4060">
        <v>730</v>
      </c>
      <c r="N4060">
        <v>9960</v>
      </c>
      <c r="O4060">
        <v>2</v>
      </c>
      <c r="P4060" t="s">
        <v>42</v>
      </c>
      <c r="Q4060" s="1">
        <v>44240</v>
      </c>
    </row>
    <row r="4061" spans="1:17" x14ac:dyDescent="0.3">
      <c r="A4061" t="s">
        <v>28</v>
      </c>
      <c r="B4061" t="s">
        <v>36</v>
      </c>
      <c r="C4061" t="s">
        <v>16</v>
      </c>
      <c r="D4061" t="s">
        <v>24</v>
      </c>
      <c r="E4061" t="s">
        <v>43</v>
      </c>
      <c r="F4061" s="9">
        <v>0.02</v>
      </c>
      <c r="G4061" s="10">
        <v>5138</v>
      </c>
      <c r="H4061">
        <v>2.2200000000000002</v>
      </c>
      <c r="I4061" s="5">
        <f>ROUND(Marketing[[#This Row],[Clicks]]*Marketing[[#This Row],[Conversion_Rate]],0)</f>
        <v>17</v>
      </c>
      <c r="J4061" s="12">
        <f>Marketing[[#This Row],[Campaign_Cost]]/Marketing[[#This Row],[Customers]]</f>
        <v>302.23529411764707</v>
      </c>
      <c r="K4061" t="s">
        <v>51</v>
      </c>
      <c r="L4061" t="s">
        <v>39</v>
      </c>
      <c r="M4061">
        <v>857</v>
      </c>
      <c r="N4061">
        <v>8941</v>
      </c>
      <c r="O4061">
        <v>2</v>
      </c>
      <c r="P4061" t="s">
        <v>42</v>
      </c>
      <c r="Q4061" s="1">
        <v>44241</v>
      </c>
    </row>
    <row r="4062" spans="1:17" x14ac:dyDescent="0.3">
      <c r="A4062" t="s">
        <v>14</v>
      </c>
      <c r="B4062" t="s">
        <v>15</v>
      </c>
      <c r="C4062" t="s">
        <v>37</v>
      </c>
      <c r="D4062" t="s">
        <v>40</v>
      </c>
      <c r="E4062" t="s">
        <v>41</v>
      </c>
      <c r="F4062" s="9">
        <v>0.05</v>
      </c>
      <c r="G4062" s="10">
        <v>10546</v>
      </c>
      <c r="H4062">
        <v>4.0599999999999996</v>
      </c>
      <c r="I4062" s="5">
        <f>ROUND(Marketing[[#This Row],[Clicks]]*Marketing[[#This Row],[Conversion_Rate]],0)</f>
        <v>47</v>
      </c>
      <c r="J4062" s="12">
        <f>Marketing[[#This Row],[Campaign_Cost]]/Marketing[[#This Row],[Customers]]</f>
        <v>224.38297872340425</v>
      </c>
      <c r="K4062" t="s">
        <v>32</v>
      </c>
      <c r="L4062" t="s">
        <v>39</v>
      </c>
      <c r="M4062">
        <v>944</v>
      </c>
      <c r="N4062">
        <v>6852</v>
      </c>
      <c r="O4062">
        <v>9</v>
      </c>
      <c r="P4062" t="s">
        <v>34</v>
      </c>
      <c r="Q4062" s="1">
        <v>44242</v>
      </c>
    </row>
    <row r="4063" spans="1:17" x14ac:dyDescent="0.3">
      <c r="A4063" t="s">
        <v>14</v>
      </c>
      <c r="B4063" t="s">
        <v>47</v>
      </c>
      <c r="C4063" t="s">
        <v>16</v>
      </c>
      <c r="D4063" t="s">
        <v>40</v>
      </c>
      <c r="E4063" t="s">
        <v>48</v>
      </c>
      <c r="F4063" s="9">
        <v>7.0000000000000007E-2</v>
      </c>
      <c r="G4063" s="10">
        <v>12041</v>
      </c>
      <c r="H4063">
        <v>5.54</v>
      </c>
      <c r="I4063" s="5">
        <f>ROUND(Marketing[[#This Row],[Clicks]]*Marketing[[#This Row],[Conversion_Rate]],0)</f>
        <v>31</v>
      </c>
      <c r="J4063" s="12">
        <f>Marketing[[#This Row],[Campaign_Cost]]/Marketing[[#This Row],[Customers]]</f>
        <v>388.41935483870969</v>
      </c>
      <c r="K4063" t="s">
        <v>51</v>
      </c>
      <c r="L4063" t="s">
        <v>20</v>
      </c>
      <c r="M4063">
        <v>441</v>
      </c>
      <c r="N4063">
        <v>2928</v>
      </c>
      <c r="O4063">
        <v>7</v>
      </c>
      <c r="P4063" t="s">
        <v>34</v>
      </c>
      <c r="Q4063" s="1">
        <v>44243</v>
      </c>
    </row>
    <row r="4064" spans="1:17" x14ac:dyDescent="0.3">
      <c r="A4064" t="s">
        <v>35</v>
      </c>
      <c r="B4064" t="s">
        <v>29</v>
      </c>
      <c r="C4064" t="s">
        <v>16</v>
      </c>
      <c r="D4064" t="s">
        <v>40</v>
      </c>
      <c r="E4064" t="s">
        <v>43</v>
      </c>
      <c r="F4064" s="9">
        <v>0.03</v>
      </c>
      <c r="G4064" s="10">
        <v>16800</v>
      </c>
      <c r="H4064">
        <v>2.46</v>
      </c>
      <c r="I4064" s="5">
        <f>ROUND(Marketing[[#This Row],[Clicks]]*Marketing[[#This Row],[Conversion_Rate]],0)</f>
        <v>6</v>
      </c>
      <c r="J4064" s="12">
        <f>Marketing[[#This Row],[Campaign_Cost]]/Marketing[[#This Row],[Customers]]</f>
        <v>2800</v>
      </c>
      <c r="K4064" t="s">
        <v>19</v>
      </c>
      <c r="L4064" t="s">
        <v>20</v>
      </c>
      <c r="M4064">
        <v>189</v>
      </c>
      <c r="N4064">
        <v>5061</v>
      </c>
      <c r="O4064">
        <v>3</v>
      </c>
      <c r="P4064" t="s">
        <v>42</v>
      </c>
      <c r="Q4064" s="1">
        <v>44244</v>
      </c>
    </row>
    <row r="4065" spans="1:17" x14ac:dyDescent="0.3">
      <c r="A4065" t="s">
        <v>49</v>
      </c>
      <c r="B4065" t="s">
        <v>36</v>
      </c>
      <c r="C4065" t="s">
        <v>30</v>
      </c>
      <c r="D4065" t="s">
        <v>24</v>
      </c>
      <c r="E4065" t="s">
        <v>48</v>
      </c>
      <c r="F4065" s="9">
        <v>7.0000000000000007E-2</v>
      </c>
      <c r="G4065" s="10">
        <v>18577</v>
      </c>
      <c r="H4065">
        <v>6.2</v>
      </c>
      <c r="I4065" s="5">
        <f>ROUND(Marketing[[#This Row],[Clicks]]*Marketing[[#This Row],[Conversion_Rate]],0)</f>
        <v>25</v>
      </c>
      <c r="J4065" s="12">
        <f>Marketing[[#This Row],[Campaign_Cost]]/Marketing[[#This Row],[Customers]]</f>
        <v>743.08</v>
      </c>
      <c r="K4065" t="s">
        <v>19</v>
      </c>
      <c r="L4065" t="s">
        <v>39</v>
      </c>
      <c r="M4065">
        <v>354</v>
      </c>
      <c r="N4065">
        <v>2611</v>
      </c>
      <c r="O4065">
        <v>1</v>
      </c>
      <c r="P4065" t="s">
        <v>44</v>
      </c>
      <c r="Q4065" s="1">
        <v>44245</v>
      </c>
    </row>
    <row r="4066" spans="1:17" x14ac:dyDescent="0.3">
      <c r="A4066" t="s">
        <v>35</v>
      </c>
      <c r="B4066" t="s">
        <v>29</v>
      </c>
      <c r="C4066" t="s">
        <v>37</v>
      </c>
      <c r="D4066" t="s">
        <v>46</v>
      </c>
      <c r="E4066" t="s">
        <v>48</v>
      </c>
      <c r="F4066" s="9">
        <v>0.01</v>
      </c>
      <c r="G4066" s="10">
        <v>15197</v>
      </c>
      <c r="H4066">
        <v>2.63</v>
      </c>
      <c r="I4066" s="5">
        <f>ROUND(Marketing[[#This Row],[Clicks]]*Marketing[[#This Row],[Conversion_Rate]],0)</f>
        <v>6</v>
      </c>
      <c r="J4066" s="12">
        <f>Marketing[[#This Row],[Campaign_Cost]]/Marketing[[#This Row],[Customers]]</f>
        <v>2532.8333333333335</v>
      </c>
      <c r="K4066" t="s">
        <v>51</v>
      </c>
      <c r="L4066" t="s">
        <v>20</v>
      </c>
      <c r="M4066">
        <v>613</v>
      </c>
      <c r="N4066">
        <v>6747</v>
      </c>
      <c r="O4066">
        <v>4</v>
      </c>
      <c r="P4066" t="s">
        <v>21</v>
      </c>
      <c r="Q4066" s="1">
        <v>44246</v>
      </c>
    </row>
    <row r="4067" spans="1:17" x14ac:dyDescent="0.3">
      <c r="A4067" t="s">
        <v>28</v>
      </c>
      <c r="B4067" t="s">
        <v>36</v>
      </c>
      <c r="C4067" t="s">
        <v>16</v>
      </c>
      <c r="D4067" t="s">
        <v>24</v>
      </c>
      <c r="E4067" t="s">
        <v>41</v>
      </c>
      <c r="F4067" s="9">
        <v>7.0000000000000007E-2</v>
      </c>
      <c r="G4067" s="10">
        <v>14393</v>
      </c>
      <c r="H4067">
        <v>5.96</v>
      </c>
      <c r="I4067" s="5">
        <f>ROUND(Marketing[[#This Row],[Clicks]]*Marketing[[#This Row],[Conversion_Rate]],0)</f>
        <v>69</v>
      </c>
      <c r="J4067" s="12">
        <f>Marketing[[#This Row],[Campaign_Cost]]/Marketing[[#This Row],[Customers]]</f>
        <v>208.59420289855072</v>
      </c>
      <c r="K4067" t="s">
        <v>38</v>
      </c>
      <c r="L4067" t="s">
        <v>26</v>
      </c>
      <c r="M4067">
        <v>986</v>
      </c>
      <c r="N4067">
        <v>9170</v>
      </c>
      <c r="O4067">
        <v>1</v>
      </c>
      <c r="P4067" t="s">
        <v>27</v>
      </c>
      <c r="Q4067" s="1">
        <v>44247</v>
      </c>
    </row>
    <row r="4068" spans="1:17" x14ac:dyDescent="0.3">
      <c r="A4068" t="s">
        <v>22</v>
      </c>
      <c r="B4068" t="s">
        <v>29</v>
      </c>
      <c r="C4068" t="s">
        <v>30</v>
      </c>
      <c r="D4068" t="s">
        <v>40</v>
      </c>
      <c r="E4068" t="s">
        <v>31</v>
      </c>
      <c r="F4068" s="9">
        <v>7.0000000000000007E-2</v>
      </c>
      <c r="G4068" s="10">
        <v>12482</v>
      </c>
      <c r="H4068">
        <v>7.46</v>
      </c>
      <c r="I4068" s="5">
        <f>ROUND(Marketing[[#This Row],[Clicks]]*Marketing[[#This Row],[Conversion_Rate]],0)</f>
        <v>59</v>
      </c>
      <c r="J4068" s="12">
        <f>Marketing[[#This Row],[Campaign_Cost]]/Marketing[[#This Row],[Customers]]</f>
        <v>211.5593220338983</v>
      </c>
      <c r="K4068" t="s">
        <v>19</v>
      </c>
      <c r="L4068" t="s">
        <v>50</v>
      </c>
      <c r="M4068">
        <v>848</v>
      </c>
      <c r="N4068">
        <v>8574</v>
      </c>
      <c r="O4068">
        <v>4</v>
      </c>
      <c r="P4068" t="s">
        <v>27</v>
      </c>
      <c r="Q4068" s="1">
        <v>44248</v>
      </c>
    </row>
    <row r="4069" spans="1:17" x14ac:dyDescent="0.3">
      <c r="A4069" t="s">
        <v>22</v>
      </c>
      <c r="B4069" t="s">
        <v>47</v>
      </c>
      <c r="C4069" t="s">
        <v>37</v>
      </c>
      <c r="D4069" t="s">
        <v>17</v>
      </c>
      <c r="E4069" t="s">
        <v>18</v>
      </c>
      <c r="F4069" s="9">
        <v>0.14000000000000001</v>
      </c>
      <c r="G4069" s="10">
        <v>15421</v>
      </c>
      <c r="H4069">
        <v>2.78</v>
      </c>
      <c r="I4069" s="5">
        <f>ROUND(Marketing[[#This Row],[Clicks]]*Marketing[[#This Row],[Conversion_Rate]],0)</f>
        <v>52</v>
      </c>
      <c r="J4069" s="12">
        <f>Marketing[[#This Row],[Campaign_Cost]]/Marketing[[#This Row],[Customers]]</f>
        <v>296.55769230769232</v>
      </c>
      <c r="K4069" t="s">
        <v>19</v>
      </c>
      <c r="L4069" t="s">
        <v>26</v>
      </c>
      <c r="M4069">
        <v>369</v>
      </c>
      <c r="N4069">
        <v>6473</v>
      </c>
      <c r="O4069">
        <v>8</v>
      </c>
      <c r="P4069" t="s">
        <v>21</v>
      </c>
      <c r="Q4069" s="1">
        <v>44249</v>
      </c>
    </row>
    <row r="4070" spans="1:17" x14ac:dyDescent="0.3">
      <c r="A4070" t="s">
        <v>35</v>
      </c>
      <c r="B4070" t="s">
        <v>47</v>
      </c>
      <c r="C4070" t="s">
        <v>52</v>
      </c>
      <c r="D4070" t="s">
        <v>40</v>
      </c>
      <c r="E4070" t="s">
        <v>18</v>
      </c>
      <c r="F4070" s="9">
        <v>0.04</v>
      </c>
      <c r="G4070" s="10">
        <v>13233</v>
      </c>
      <c r="H4070">
        <v>7.91</v>
      </c>
      <c r="I4070" s="5">
        <f>ROUND(Marketing[[#This Row],[Clicks]]*Marketing[[#This Row],[Conversion_Rate]],0)</f>
        <v>19</v>
      </c>
      <c r="J4070" s="12">
        <f>Marketing[[#This Row],[Campaign_Cost]]/Marketing[[#This Row],[Customers]]</f>
        <v>696.47368421052636</v>
      </c>
      <c r="K4070" t="s">
        <v>38</v>
      </c>
      <c r="L4070" t="s">
        <v>20</v>
      </c>
      <c r="M4070">
        <v>469</v>
      </c>
      <c r="N4070">
        <v>8513</v>
      </c>
      <c r="O4070">
        <v>9</v>
      </c>
      <c r="P4070" t="s">
        <v>34</v>
      </c>
      <c r="Q4070" s="1">
        <v>44250</v>
      </c>
    </row>
    <row r="4071" spans="1:17" x14ac:dyDescent="0.3">
      <c r="A4071" t="s">
        <v>49</v>
      </c>
      <c r="B4071" t="s">
        <v>36</v>
      </c>
      <c r="C4071" t="s">
        <v>16</v>
      </c>
      <c r="D4071" t="s">
        <v>17</v>
      </c>
      <c r="E4071" t="s">
        <v>41</v>
      </c>
      <c r="F4071" s="9">
        <v>0.09</v>
      </c>
      <c r="G4071" s="10">
        <v>17792</v>
      </c>
      <c r="H4071">
        <v>6.81</v>
      </c>
      <c r="I4071" s="5">
        <f>ROUND(Marketing[[#This Row],[Clicks]]*Marketing[[#This Row],[Conversion_Rate]],0)</f>
        <v>46</v>
      </c>
      <c r="J4071" s="12">
        <f>Marketing[[#This Row],[Campaign_Cost]]/Marketing[[#This Row],[Customers]]</f>
        <v>386.78260869565219</v>
      </c>
      <c r="K4071" t="s">
        <v>32</v>
      </c>
      <c r="L4071" t="s">
        <v>39</v>
      </c>
      <c r="M4071">
        <v>510</v>
      </c>
      <c r="N4071">
        <v>1511</v>
      </c>
      <c r="O4071">
        <v>1</v>
      </c>
      <c r="P4071" t="s">
        <v>34</v>
      </c>
      <c r="Q4071" s="1">
        <v>44251</v>
      </c>
    </row>
    <row r="4072" spans="1:17" x14ac:dyDescent="0.3">
      <c r="A4072" t="s">
        <v>28</v>
      </c>
      <c r="B4072" t="s">
        <v>29</v>
      </c>
      <c r="C4072" t="s">
        <v>37</v>
      </c>
      <c r="D4072" t="s">
        <v>24</v>
      </c>
      <c r="E4072" t="s">
        <v>43</v>
      </c>
      <c r="F4072" s="9">
        <v>0.12</v>
      </c>
      <c r="G4072" s="10">
        <v>8817</v>
      </c>
      <c r="H4072">
        <v>7.83</v>
      </c>
      <c r="I4072" s="5">
        <f>ROUND(Marketing[[#This Row],[Clicks]]*Marketing[[#This Row],[Conversion_Rate]],0)</f>
        <v>77</v>
      </c>
      <c r="J4072" s="12">
        <f>Marketing[[#This Row],[Campaign_Cost]]/Marketing[[#This Row],[Customers]]</f>
        <v>114.50649350649351</v>
      </c>
      <c r="K4072" t="s">
        <v>38</v>
      </c>
      <c r="L4072" t="s">
        <v>50</v>
      </c>
      <c r="M4072">
        <v>640</v>
      </c>
      <c r="N4072">
        <v>4796</v>
      </c>
      <c r="O4072">
        <v>3</v>
      </c>
      <c r="P4072" t="s">
        <v>27</v>
      </c>
      <c r="Q4072" s="1">
        <v>44252</v>
      </c>
    </row>
    <row r="4073" spans="1:17" x14ac:dyDescent="0.3">
      <c r="A4073" t="s">
        <v>22</v>
      </c>
      <c r="B4073" t="s">
        <v>45</v>
      </c>
      <c r="C4073" t="s">
        <v>37</v>
      </c>
      <c r="D4073" t="s">
        <v>24</v>
      </c>
      <c r="E4073" t="s">
        <v>18</v>
      </c>
      <c r="F4073" s="9">
        <v>0.03</v>
      </c>
      <c r="G4073" s="10">
        <v>15383</v>
      </c>
      <c r="H4073">
        <v>5.54</v>
      </c>
      <c r="I4073" s="5">
        <f>ROUND(Marketing[[#This Row],[Clicks]]*Marketing[[#This Row],[Conversion_Rate]],0)</f>
        <v>21</v>
      </c>
      <c r="J4073" s="12">
        <f>Marketing[[#This Row],[Campaign_Cost]]/Marketing[[#This Row],[Customers]]</f>
        <v>732.52380952380952</v>
      </c>
      <c r="K4073" t="s">
        <v>32</v>
      </c>
      <c r="L4073" t="s">
        <v>50</v>
      </c>
      <c r="M4073">
        <v>698</v>
      </c>
      <c r="N4073">
        <v>3928</v>
      </c>
      <c r="O4073">
        <v>9</v>
      </c>
      <c r="P4073" t="s">
        <v>27</v>
      </c>
      <c r="Q4073" s="1">
        <v>44253</v>
      </c>
    </row>
    <row r="4074" spans="1:17" x14ac:dyDescent="0.3">
      <c r="A4074" t="s">
        <v>35</v>
      </c>
      <c r="B4074" t="s">
        <v>15</v>
      </c>
      <c r="C4074" t="s">
        <v>52</v>
      </c>
      <c r="D4074" t="s">
        <v>46</v>
      </c>
      <c r="E4074" t="s">
        <v>18</v>
      </c>
      <c r="F4074" s="9">
        <v>0.01</v>
      </c>
      <c r="G4074" s="10">
        <v>19056</v>
      </c>
      <c r="H4074">
        <v>6.28</v>
      </c>
      <c r="I4074" s="5">
        <f>ROUND(Marketing[[#This Row],[Clicks]]*Marketing[[#This Row],[Conversion_Rate]],0)</f>
        <v>9</v>
      </c>
      <c r="J4074" s="12">
        <f>Marketing[[#This Row],[Campaign_Cost]]/Marketing[[#This Row],[Customers]]</f>
        <v>2117.3333333333335</v>
      </c>
      <c r="K4074" t="s">
        <v>19</v>
      </c>
      <c r="L4074" t="s">
        <v>33</v>
      </c>
      <c r="M4074">
        <v>850</v>
      </c>
      <c r="N4074">
        <v>5123</v>
      </c>
      <c r="O4074">
        <v>2</v>
      </c>
      <c r="P4074" t="s">
        <v>27</v>
      </c>
      <c r="Q4074" s="1">
        <v>44254</v>
      </c>
    </row>
    <row r="4075" spans="1:17" x14ac:dyDescent="0.3">
      <c r="A4075" t="s">
        <v>14</v>
      </c>
      <c r="B4075" t="s">
        <v>36</v>
      </c>
      <c r="C4075" t="s">
        <v>52</v>
      </c>
      <c r="D4075" t="s">
        <v>17</v>
      </c>
      <c r="E4075" t="s">
        <v>31</v>
      </c>
      <c r="F4075" s="9">
        <v>0.13</v>
      </c>
      <c r="G4075" s="10">
        <v>18699</v>
      </c>
      <c r="H4075">
        <v>3.14</v>
      </c>
      <c r="I4075" s="5">
        <f>ROUND(Marketing[[#This Row],[Clicks]]*Marketing[[#This Row],[Conversion_Rate]],0)</f>
        <v>72</v>
      </c>
      <c r="J4075" s="12">
        <f>Marketing[[#This Row],[Campaign_Cost]]/Marketing[[#This Row],[Customers]]</f>
        <v>259.70833333333331</v>
      </c>
      <c r="K4075" t="s">
        <v>25</v>
      </c>
      <c r="L4075" t="s">
        <v>33</v>
      </c>
      <c r="M4075">
        <v>554</v>
      </c>
      <c r="N4075">
        <v>3102</v>
      </c>
      <c r="O4075">
        <v>2</v>
      </c>
      <c r="P4075" t="s">
        <v>27</v>
      </c>
      <c r="Q4075" s="1">
        <v>44255</v>
      </c>
    </row>
    <row r="4076" spans="1:17" x14ac:dyDescent="0.3">
      <c r="A4076" t="s">
        <v>49</v>
      </c>
      <c r="B4076" t="s">
        <v>36</v>
      </c>
      <c r="C4076" t="s">
        <v>52</v>
      </c>
      <c r="D4076" t="s">
        <v>46</v>
      </c>
      <c r="E4076" t="s">
        <v>31</v>
      </c>
      <c r="F4076" s="9">
        <v>0.02</v>
      </c>
      <c r="G4076" s="10">
        <v>12833</v>
      </c>
      <c r="H4076">
        <v>2.62</v>
      </c>
      <c r="I4076" s="5">
        <f>ROUND(Marketing[[#This Row],[Clicks]]*Marketing[[#This Row],[Conversion_Rate]],0)</f>
        <v>14</v>
      </c>
      <c r="J4076" s="12">
        <f>Marketing[[#This Row],[Campaign_Cost]]/Marketing[[#This Row],[Customers]]</f>
        <v>916.64285714285711</v>
      </c>
      <c r="K4076" t="s">
        <v>25</v>
      </c>
      <c r="L4076" t="s">
        <v>20</v>
      </c>
      <c r="M4076">
        <v>716</v>
      </c>
      <c r="N4076">
        <v>4162</v>
      </c>
      <c r="O4076">
        <v>3</v>
      </c>
      <c r="P4076" t="s">
        <v>44</v>
      </c>
      <c r="Q4076" s="1">
        <v>44256</v>
      </c>
    </row>
    <row r="4077" spans="1:17" x14ac:dyDescent="0.3">
      <c r="A4077" t="s">
        <v>14</v>
      </c>
      <c r="B4077" t="s">
        <v>15</v>
      </c>
      <c r="C4077" t="s">
        <v>30</v>
      </c>
      <c r="D4077" t="s">
        <v>40</v>
      </c>
      <c r="E4077" t="s">
        <v>18</v>
      </c>
      <c r="F4077" s="9">
        <v>0.08</v>
      </c>
      <c r="G4077" s="10">
        <v>18173</v>
      </c>
      <c r="H4077">
        <v>6.18</v>
      </c>
      <c r="I4077" s="5">
        <f>ROUND(Marketing[[#This Row],[Clicks]]*Marketing[[#This Row],[Conversion_Rate]],0)</f>
        <v>68</v>
      </c>
      <c r="J4077" s="12">
        <f>Marketing[[#This Row],[Campaign_Cost]]/Marketing[[#This Row],[Customers]]</f>
        <v>267.25</v>
      </c>
      <c r="K4077" t="s">
        <v>38</v>
      </c>
      <c r="L4077" t="s">
        <v>20</v>
      </c>
      <c r="M4077">
        <v>844</v>
      </c>
      <c r="N4077">
        <v>5451</v>
      </c>
      <c r="O4077">
        <v>9</v>
      </c>
      <c r="P4077" t="s">
        <v>21</v>
      </c>
      <c r="Q4077" s="1">
        <v>44257</v>
      </c>
    </row>
    <row r="4078" spans="1:17" x14ac:dyDescent="0.3">
      <c r="A4078" t="s">
        <v>49</v>
      </c>
      <c r="B4078" t="s">
        <v>47</v>
      </c>
      <c r="C4078" t="s">
        <v>30</v>
      </c>
      <c r="D4078" t="s">
        <v>24</v>
      </c>
      <c r="E4078" t="s">
        <v>41</v>
      </c>
      <c r="F4078" s="9">
        <v>0.08</v>
      </c>
      <c r="G4078" s="10">
        <v>17539</v>
      </c>
      <c r="H4078">
        <v>5.03</v>
      </c>
      <c r="I4078" s="5">
        <f>ROUND(Marketing[[#This Row],[Clicks]]*Marketing[[#This Row],[Conversion_Rate]],0)</f>
        <v>40</v>
      </c>
      <c r="J4078" s="12">
        <f>Marketing[[#This Row],[Campaign_Cost]]/Marketing[[#This Row],[Customers]]</f>
        <v>438.47500000000002</v>
      </c>
      <c r="K4078" t="s">
        <v>25</v>
      </c>
      <c r="L4078" t="s">
        <v>39</v>
      </c>
      <c r="M4078">
        <v>500</v>
      </c>
      <c r="N4078">
        <v>5973</v>
      </c>
      <c r="O4078">
        <v>9</v>
      </c>
      <c r="P4078" t="s">
        <v>21</v>
      </c>
      <c r="Q4078" s="1">
        <v>44258</v>
      </c>
    </row>
    <row r="4079" spans="1:17" x14ac:dyDescent="0.3">
      <c r="A4079" t="s">
        <v>35</v>
      </c>
      <c r="B4079" t="s">
        <v>15</v>
      </c>
      <c r="C4079" t="s">
        <v>52</v>
      </c>
      <c r="D4079" t="s">
        <v>24</v>
      </c>
      <c r="E4079" t="s">
        <v>41</v>
      </c>
      <c r="F4079" s="9">
        <v>0.09</v>
      </c>
      <c r="G4079" s="10">
        <v>6196</v>
      </c>
      <c r="H4079">
        <v>7.13</v>
      </c>
      <c r="I4079" s="5">
        <f>ROUND(Marketing[[#This Row],[Clicks]]*Marketing[[#This Row],[Conversion_Rate]],0)</f>
        <v>68</v>
      </c>
      <c r="J4079" s="12">
        <f>Marketing[[#This Row],[Campaign_Cost]]/Marketing[[#This Row],[Customers]]</f>
        <v>91.117647058823536</v>
      </c>
      <c r="K4079" t="s">
        <v>25</v>
      </c>
      <c r="L4079" t="s">
        <v>33</v>
      </c>
      <c r="M4079">
        <v>760</v>
      </c>
      <c r="N4079">
        <v>6821</v>
      </c>
      <c r="O4079">
        <v>5</v>
      </c>
      <c r="P4079" t="s">
        <v>27</v>
      </c>
      <c r="Q4079" s="1">
        <v>44259</v>
      </c>
    </row>
    <row r="4080" spans="1:17" x14ac:dyDescent="0.3">
      <c r="A4080" t="s">
        <v>28</v>
      </c>
      <c r="B4080" t="s">
        <v>29</v>
      </c>
      <c r="C4080" t="s">
        <v>30</v>
      </c>
      <c r="D4080" t="s">
        <v>40</v>
      </c>
      <c r="E4080" t="s">
        <v>43</v>
      </c>
      <c r="F4080" s="9">
        <v>0.04</v>
      </c>
      <c r="G4080" s="10">
        <v>16958</v>
      </c>
      <c r="H4080">
        <v>4.34</v>
      </c>
      <c r="I4080" s="5">
        <f>ROUND(Marketing[[#This Row],[Clicks]]*Marketing[[#This Row],[Conversion_Rate]],0)</f>
        <v>31</v>
      </c>
      <c r="J4080" s="12">
        <f>Marketing[[#This Row],[Campaign_Cost]]/Marketing[[#This Row],[Customers]]</f>
        <v>547.0322580645161</v>
      </c>
      <c r="K4080" t="s">
        <v>19</v>
      </c>
      <c r="L4080" t="s">
        <v>33</v>
      </c>
      <c r="M4080">
        <v>776</v>
      </c>
      <c r="N4080">
        <v>4904</v>
      </c>
      <c r="O4080">
        <v>10</v>
      </c>
      <c r="P4080" t="s">
        <v>42</v>
      </c>
      <c r="Q4080" s="1">
        <v>44260</v>
      </c>
    </row>
    <row r="4081" spans="1:17" x14ac:dyDescent="0.3">
      <c r="A4081" t="s">
        <v>35</v>
      </c>
      <c r="B4081" t="s">
        <v>36</v>
      </c>
      <c r="C4081" t="s">
        <v>23</v>
      </c>
      <c r="D4081" t="s">
        <v>40</v>
      </c>
      <c r="E4081" t="s">
        <v>15</v>
      </c>
      <c r="F4081" s="9">
        <v>7.0000000000000007E-2</v>
      </c>
      <c r="G4081" s="10">
        <v>12501</v>
      </c>
      <c r="H4081">
        <v>5.38</v>
      </c>
      <c r="I4081" s="5">
        <f>ROUND(Marketing[[#This Row],[Clicks]]*Marketing[[#This Row],[Conversion_Rate]],0)</f>
        <v>66</v>
      </c>
      <c r="J4081" s="12">
        <f>Marketing[[#This Row],[Campaign_Cost]]/Marketing[[#This Row],[Customers]]</f>
        <v>189.40909090909091</v>
      </c>
      <c r="K4081" t="s">
        <v>19</v>
      </c>
      <c r="L4081" t="s">
        <v>33</v>
      </c>
      <c r="M4081">
        <v>940</v>
      </c>
      <c r="N4081">
        <v>5947</v>
      </c>
      <c r="O4081">
        <v>10</v>
      </c>
      <c r="P4081" t="s">
        <v>27</v>
      </c>
      <c r="Q4081" s="1">
        <v>44261</v>
      </c>
    </row>
    <row r="4082" spans="1:17" x14ac:dyDescent="0.3">
      <c r="A4082" t="s">
        <v>49</v>
      </c>
      <c r="B4082" t="s">
        <v>47</v>
      </c>
      <c r="C4082" t="s">
        <v>16</v>
      </c>
      <c r="D4082" t="s">
        <v>24</v>
      </c>
      <c r="E4082" t="s">
        <v>43</v>
      </c>
      <c r="F4082" s="9">
        <v>0.06</v>
      </c>
      <c r="G4082" s="10">
        <v>12315</v>
      </c>
      <c r="H4082">
        <v>4.75</v>
      </c>
      <c r="I4082" s="5">
        <f>ROUND(Marketing[[#This Row],[Clicks]]*Marketing[[#This Row],[Conversion_Rate]],0)</f>
        <v>39</v>
      </c>
      <c r="J4082" s="12">
        <f>Marketing[[#This Row],[Campaign_Cost]]/Marketing[[#This Row],[Customers]]</f>
        <v>315.76923076923077</v>
      </c>
      <c r="K4082" t="s">
        <v>51</v>
      </c>
      <c r="L4082" t="s">
        <v>50</v>
      </c>
      <c r="M4082">
        <v>653</v>
      </c>
      <c r="N4082">
        <v>5511</v>
      </c>
      <c r="O4082">
        <v>6</v>
      </c>
      <c r="P4082" t="s">
        <v>44</v>
      </c>
      <c r="Q4082" s="1">
        <v>44262</v>
      </c>
    </row>
    <row r="4083" spans="1:17" x14ac:dyDescent="0.3">
      <c r="A4083" t="s">
        <v>35</v>
      </c>
      <c r="B4083" t="s">
        <v>36</v>
      </c>
      <c r="C4083" t="s">
        <v>16</v>
      </c>
      <c r="D4083" t="s">
        <v>17</v>
      </c>
      <c r="E4083" t="s">
        <v>15</v>
      </c>
      <c r="F4083" s="9">
        <v>0.04</v>
      </c>
      <c r="G4083" s="10">
        <v>12191</v>
      </c>
      <c r="H4083">
        <v>5.04</v>
      </c>
      <c r="I4083" s="5">
        <f>ROUND(Marketing[[#This Row],[Clicks]]*Marketing[[#This Row],[Conversion_Rate]],0)</f>
        <v>8</v>
      </c>
      <c r="J4083" s="12">
        <f>Marketing[[#This Row],[Campaign_Cost]]/Marketing[[#This Row],[Customers]]</f>
        <v>1523.875</v>
      </c>
      <c r="K4083" t="s">
        <v>32</v>
      </c>
      <c r="L4083" t="s">
        <v>26</v>
      </c>
      <c r="M4083">
        <v>209</v>
      </c>
      <c r="N4083">
        <v>6133</v>
      </c>
      <c r="O4083">
        <v>5</v>
      </c>
      <c r="P4083" t="s">
        <v>21</v>
      </c>
      <c r="Q4083" s="1">
        <v>44263</v>
      </c>
    </row>
    <row r="4084" spans="1:17" x14ac:dyDescent="0.3">
      <c r="A4084" t="s">
        <v>49</v>
      </c>
      <c r="B4084" t="s">
        <v>47</v>
      </c>
      <c r="C4084" t="s">
        <v>52</v>
      </c>
      <c r="D4084" t="s">
        <v>24</v>
      </c>
      <c r="E4084" t="s">
        <v>48</v>
      </c>
      <c r="F4084" s="9">
        <v>0.15</v>
      </c>
      <c r="G4084" s="10">
        <v>15909</v>
      </c>
      <c r="H4084">
        <v>4.2300000000000004</v>
      </c>
      <c r="I4084" s="5">
        <f>ROUND(Marketing[[#This Row],[Clicks]]*Marketing[[#This Row],[Conversion_Rate]],0)</f>
        <v>40</v>
      </c>
      <c r="J4084" s="12">
        <f>Marketing[[#This Row],[Campaign_Cost]]/Marketing[[#This Row],[Customers]]</f>
        <v>397.72500000000002</v>
      </c>
      <c r="K4084" t="s">
        <v>25</v>
      </c>
      <c r="L4084" t="s">
        <v>20</v>
      </c>
      <c r="M4084">
        <v>266</v>
      </c>
      <c r="N4084">
        <v>6822</v>
      </c>
      <c r="O4084">
        <v>1</v>
      </c>
      <c r="P4084" t="s">
        <v>27</v>
      </c>
      <c r="Q4084" s="1">
        <v>44264</v>
      </c>
    </row>
    <row r="4085" spans="1:17" x14ac:dyDescent="0.3">
      <c r="A4085" t="s">
        <v>28</v>
      </c>
      <c r="B4085" t="s">
        <v>29</v>
      </c>
      <c r="C4085" t="s">
        <v>30</v>
      </c>
      <c r="D4085" t="s">
        <v>17</v>
      </c>
      <c r="E4085" t="s">
        <v>48</v>
      </c>
      <c r="F4085" s="9">
        <v>0.1</v>
      </c>
      <c r="G4085" s="10">
        <v>6486</v>
      </c>
      <c r="H4085">
        <v>3.64</v>
      </c>
      <c r="I4085" s="5">
        <f>ROUND(Marketing[[#This Row],[Clicks]]*Marketing[[#This Row],[Conversion_Rate]],0)</f>
        <v>53</v>
      </c>
      <c r="J4085" s="12">
        <f>Marketing[[#This Row],[Campaign_Cost]]/Marketing[[#This Row],[Customers]]</f>
        <v>122.37735849056604</v>
      </c>
      <c r="K4085" t="s">
        <v>38</v>
      </c>
      <c r="L4085" t="s">
        <v>33</v>
      </c>
      <c r="M4085">
        <v>527</v>
      </c>
      <c r="N4085">
        <v>8772</v>
      </c>
      <c r="O4085">
        <v>6</v>
      </c>
      <c r="P4085" t="s">
        <v>44</v>
      </c>
      <c r="Q4085" s="1">
        <v>44265</v>
      </c>
    </row>
    <row r="4086" spans="1:17" x14ac:dyDescent="0.3">
      <c r="A4086" t="s">
        <v>14</v>
      </c>
      <c r="B4086" t="s">
        <v>15</v>
      </c>
      <c r="C4086" t="s">
        <v>30</v>
      </c>
      <c r="D4086" t="s">
        <v>24</v>
      </c>
      <c r="E4086" t="s">
        <v>41</v>
      </c>
      <c r="F4086" s="9">
        <v>0.02</v>
      </c>
      <c r="G4086" s="10">
        <v>11384</v>
      </c>
      <c r="H4086">
        <v>5.9</v>
      </c>
      <c r="I4086" s="5">
        <f>ROUND(Marketing[[#This Row],[Clicks]]*Marketing[[#This Row],[Conversion_Rate]],0)</f>
        <v>9</v>
      </c>
      <c r="J4086" s="12">
        <f>Marketing[[#This Row],[Campaign_Cost]]/Marketing[[#This Row],[Customers]]</f>
        <v>1264.8888888888889</v>
      </c>
      <c r="K4086" t="s">
        <v>19</v>
      </c>
      <c r="L4086" t="s">
        <v>33</v>
      </c>
      <c r="M4086">
        <v>471</v>
      </c>
      <c r="N4086">
        <v>7279</v>
      </c>
      <c r="O4086">
        <v>2</v>
      </c>
      <c r="P4086" t="s">
        <v>44</v>
      </c>
      <c r="Q4086" s="1">
        <v>44266</v>
      </c>
    </row>
    <row r="4087" spans="1:17" x14ac:dyDescent="0.3">
      <c r="A4087" t="s">
        <v>28</v>
      </c>
      <c r="B4087" t="s">
        <v>15</v>
      </c>
      <c r="C4087" t="s">
        <v>16</v>
      </c>
      <c r="D4087" t="s">
        <v>17</v>
      </c>
      <c r="E4087" t="s">
        <v>31</v>
      </c>
      <c r="F4087" s="9">
        <v>0.06</v>
      </c>
      <c r="G4087" s="10">
        <v>7352</v>
      </c>
      <c r="H4087">
        <v>5.19</v>
      </c>
      <c r="I4087" s="5">
        <f>ROUND(Marketing[[#This Row],[Clicks]]*Marketing[[#This Row],[Conversion_Rate]],0)</f>
        <v>49</v>
      </c>
      <c r="J4087" s="12">
        <f>Marketing[[#This Row],[Campaign_Cost]]/Marketing[[#This Row],[Customers]]</f>
        <v>150.0408163265306</v>
      </c>
      <c r="K4087" t="s">
        <v>51</v>
      </c>
      <c r="L4087" t="s">
        <v>50</v>
      </c>
      <c r="M4087">
        <v>814</v>
      </c>
      <c r="N4087">
        <v>6864</v>
      </c>
      <c r="O4087">
        <v>8</v>
      </c>
      <c r="P4087" t="s">
        <v>42</v>
      </c>
      <c r="Q4087" s="1">
        <v>44267</v>
      </c>
    </row>
    <row r="4088" spans="1:17" x14ac:dyDescent="0.3">
      <c r="A4088" t="s">
        <v>49</v>
      </c>
      <c r="B4088" t="s">
        <v>36</v>
      </c>
      <c r="C4088" t="s">
        <v>23</v>
      </c>
      <c r="D4088" t="s">
        <v>24</v>
      </c>
      <c r="E4088" t="s">
        <v>43</v>
      </c>
      <c r="F4088" s="9">
        <v>0.12</v>
      </c>
      <c r="G4088" s="10">
        <v>16731</v>
      </c>
      <c r="H4088">
        <v>3.47</v>
      </c>
      <c r="I4088" s="5">
        <f>ROUND(Marketing[[#This Row],[Clicks]]*Marketing[[#This Row],[Conversion_Rate]],0)</f>
        <v>111</v>
      </c>
      <c r="J4088" s="12">
        <f>Marketing[[#This Row],[Campaign_Cost]]/Marketing[[#This Row],[Customers]]</f>
        <v>150.72972972972974</v>
      </c>
      <c r="K4088" t="s">
        <v>38</v>
      </c>
      <c r="L4088" t="s">
        <v>50</v>
      </c>
      <c r="M4088">
        <v>924</v>
      </c>
      <c r="N4088">
        <v>9147</v>
      </c>
      <c r="O4088">
        <v>6</v>
      </c>
      <c r="P4088" t="s">
        <v>27</v>
      </c>
      <c r="Q4088" s="1">
        <v>44268</v>
      </c>
    </row>
    <row r="4089" spans="1:17" x14ac:dyDescent="0.3">
      <c r="A4089" t="s">
        <v>14</v>
      </c>
      <c r="B4089" t="s">
        <v>36</v>
      </c>
      <c r="C4089" t="s">
        <v>37</v>
      </c>
      <c r="D4089" t="s">
        <v>24</v>
      </c>
      <c r="E4089" t="s">
        <v>15</v>
      </c>
      <c r="F4089" s="9">
        <v>0.06</v>
      </c>
      <c r="G4089" s="10">
        <v>13661</v>
      </c>
      <c r="H4089">
        <v>4.37</v>
      </c>
      <c r="I4089" s="5">
        <f>ROUND(Marketing[[#This Row],[Clicks]]*Marketing[[#This Row],[Conversion_Rate]],0)</f>
        <v>45</v>
      </c>
      <c r="J4089" s="12">
        <f>Marketing[[#This Row],[Campaign_Cost]]/Marketing[[#This Row],[Customers]]</f>
        <v>303.57777777777778</v>
      </c>
      <c r="K4089" t="s">
        <v>19</v>
      </c>
      <c r="L4089" t="s">
        <v>26</v>
      </c>
      <c r="M4089">
        <v>757</v>
      </c>
      <c r="N4089">
        <v>6613</v>
      </c>
      <c r="O4089">
        <v>1</v>
      </c>
      <c r="P4089" t="s">
        <v>27</v>
      </c>
      <c r="Q4089" s="1">
        <v>44269</v>
      </c>
    </row>
    <row r="4090" spans="1:17" x14ac:dyDescent="0.3">
      <c r="A4090" t="s">
        <v>22</v>
      </c>
      <c r="B4090" t="s">
        <v>45</v>
      </c>
      <c r="C4090" t="s">
        <v>37</v>
      </c>
      <c r="D4090" t="s">
        <v>46</v>
      </c>
      <c r="E4090" t="s">
        <v>41</v>
      </c>
      <c r="F4090" s="9">
        <v>0.02</v>
      </c>
      <c r="G4090" s="10">
        <v>11458</v>
      </c>
      <c r="H4090">
        <v>5.54</v>
      </c>
      <c r="I4090" s="5">
        <f>ROUND(Marketing[[#This Row],[Clicks]]*Marketing[[#This Row],[Conversion_Rate]],0)</f>
        <v>2</v>
      </c>
      <c r="J4090" s="12">
        <f>Marketing[[#This Row],[Campaign_Cost]]/Marketing[[#This Row],[Customers]]</f>
        <v>5729</v>
      </c>
      <c r="K4090" t="s">
        <v>19</v>
      </c>
      <c r="L4090" t="s">
        <v>50</v>
      </c>
      <c r="M4090">
        <v>120</v>
      </c>
      <c r="N4090">
        <v>3178</v>
      </c>
      <c r="O4090">
        <v>8</v>
      </c>
      <c r="P4090" t="s">
        <v>34</v>
      </c>
      <c r="Q4090" s="1">
        <v>44270</v>
      </c>
    </row>
    <row r="4091" spans="1:17" x14ac:dyDescent="0.3">
      <c r="A4091" t="s">
        <v>28</v>
      </c>
      <c r="B4091" t="s">
        <v>45</v>
      </c>
      <c r="C4091" t="s">
        <v>37</v>
      </c>
      <c r="D4091" t="s">
        <v>46</v>
      </c>
      <c r="E4091" t="s">
        <v>41</v>
      </c>
      <c r="F4091" s="9">
        <v>7.0000000000000007E-2</v>
      </c>
      <c r="G4091" s="10">
        <v>10004</v>
      </c>
      <c r="H4091">
        <v>2.98</v>
      </c>
      <c r="I4091" s="5">
        <f>ROUND(Marketing[[#This Row],[Clicks]]*Marketing[[#This Row],[Conversion_Rate]],0)</f>
        <v>47</v>
      </c>
      <c r="J4091" s="12">
        <f>Marketing[[#This Row],[Campaign_Cost]]/Marketing[[#This Row],[Customers]]</f>
        <v>212.85106382978722</v>
      </c>
      <c r="K4091" t="s">
        <v>19</v>
      </c>
      <c r="L4091" t="s">
        <v>20</v>
      </c>
      <c r="M4091">
        <v>671</v>
      </c>
      <c r="N4091">
        <v>9978</v>
      </c>
      <c r="O4091">
        <v>9</v>
      </c>
      <c r="P4091" t="s">
        <v>42</v>
      </c>
      <c r="Q4091" s="1">
        <v>44271</v>
      </c>
    </row>
    <row r="4092" spans="1:17" x14ac:dyDescent="0.3">
      <c r="A4092" t="s">
        <v>22</v>
      </c>
      <c r="B4092" t="s">
        <v>29</v>
      </c>
      <c r="C4092" t="s">
        <v>37</v>
      </c>
      <c r="D4092" t="s">
        <v>24</v>
      </c>
      <c r="E4092" t="s">
        <v>43</v>
      </c>
      <c r="F4092" s="9">
        <v>0.11</v>
      </c>
      <c r="G4092" s="10">
        <v>11859</v>
      </c>
      <c r="H4092">
        <v>3.11</v>
      </c>
      <c r="I4092" s="5">
        <f>ROUND(Marketing[[#This Row],[Clicks]]*Marketing[[#This Row],[Conversion_Rate]],0)</f>
        <v>73</v>
      </c>
      <c r="J4092" s="12">
        <f>Marketing[[#This Row],[Campaign_Cost]]/Marketing[[#This Row],[Customers]]</f>
        <v>162.45205479452054</v>
      </c>
      <c r="K4092" t="s">
        <v>38</v>
      </c>
      <c r="L4092" t="s">
        <v>33</v>
      </c>
      <c r="M4092">
        <v>663</v>
      </c>
      <c r="N4092">
        <v>4765</v>
      </c>
      <c r="O4092">
        <v>8</v>
      </c>
      <c r="P4092" t="s">
        <v>44</v>
      </c>
      <c r="Q4092" s="1">
        <v>44272</v>
      </c>
    </row>
    <row r="4093" spans="1:17" x14ac:dyDescent="0.3">
      <c r="A4093" t="s">
        <v>35</v>
      </c>
      <c r="B4093" t="s">
        <v>36</v>
      </c>
      <c r="C4093" t="s">
        <v>30</v>
      </c>
      <c r="D4093" t="s">
        <v>24</v>
      </c>
      <c r="E4093" t="s">
        <v>15</v>
      </c>
      <c r="F4093" s="9">
        <v>0.05</v>
      </c>
      <c r="G4093" s="10">
        <v>10271</v>
      </c>
      <c r="H4093">
        <v>5.94</v>
      </c>
      <c r="I4093" s="5">
        <f>ROUND(Marketing[[#This Row],[Clicks]]*Marketing[[#This Row],[Conversion_Rate]],0)</f>
        <v>22</v>
      </c>
      <c r="J4093" s="12">
        <f>Marketing[[#This Row],[Campaign_Cost]]/Marketing[[#This Row],[Customers]]</f>
        <v>466.86363636363637</v>
      </c>
      <c r="K4093" t="s">
        <v>32</v>
      </c>
      <c r="L4093" t="s">
        <v>39</v>
      </c>
      <c r="M4093">
        <v>437</v>
      </c>
      <c r="N4093">
        <v>7643</v>
      </c>
      <c r="O4093">
        <v>1</v>
      </c>
      <c r="P4093" t="s">
        <v>34</v>
      </c>
      <c r="Q4093" s="1">
        <v>44273</v>
      </c>
    </row>
    <row r="4094" spans="1:17" x14ac:dyDescent="0.3">
      <c r="A4094" t="s">
        <v>14</v>
      </c>
      <c r="B4094" t="s">
        <v>29</v>
      </c>
      <c r="C4094" t="s">
        <v>30</v>
      </c>
      <c r="D4094" t="s">
        <v>24</v>
      </c>
      <c r="E4094" t="s">
        <v>15</v>
      </c>
      <c r="F4094" s="9">
        <v>0.05</v>
      </c>
      <c r="G4094" s="10">
        <v>14556</v>
      </c>
      <c r="H4094">
        <v>7.5</v>
      </c>
      <c r="I4094" s="5">
        <f>ROUND(Marketing[[#This Row],[Clicks]]*Marketing[[#This Row],[Conversion_Rate]],0)</f>
        <v>22</v>
      </c>
      <c r="J4094" s="12">
        <f>Marketing[[#This Row],[Campaign_Cost]]/Marketing[[#This Row],[Customers]]</f>
        <v>661.63636363636363</v>
      </c>
      <c r="K4094" t="s">
        <v>32</v>
      </c>
      <c r="L4094" t="s">
        <v>20</v>
      </c>
      <c r="M4094">
        <v>449</v>
      </c>
      <c r="N4094">
        <v>7861</v>
      </c>
      <c r="O4094">
        <v>9</v>
      </c>
      <c r="P4094" t="s">
        <v>21</v>
      </c>
      <c r="Q4094" s="1">
        <v>44274</v>
      </c>
    </row>
    <row r="4095" spans="1:17" x14ac:dyDescent="0.3">
      <c r="A4095" t="s">
        <v>22</v>
      </c>
      <c r="B4095" t="s">
        <v>47</v>
      </c>
      <c r="C4095" t="s">
        <v>23</v>
      </c>
      <c r="D4095" t="s">
        <v>24</v>
      </c>
      <c r="E4095" t="s">
        <v>18</v>
      </c>
      <c r="F4095" s="9">
        <v>0.09</v>
      </c>
      <c r="G4095" s="10">
        <v>12923</v>
      </c>
      <c r="H4095">
        <v>5.26</v>
      </c>
      <c r="I4095" s="5">
        <f>ROUND(Marketing[[#This Row],[Clicks]]*Marketing[[#This Row],[Conversion_Rate]],0)</f>
        <v>86</v>
      </c>
      <c r="J4095" s="12">
        <f>Marketing[[#This Row],[Campaign_Cost]]/Marketing[[#This Row],[Customers]]</f>
        <v>150.26744186046511</v>
      </c>
      <c r="K4095" t="s">
        <v>19</v>
      </c>
      <c r="L4095" t="s">
        <v>33</v>
      </c>
      <c r="M4095">
        <v>951</v>
      </c>
      <c r="N4095">
        <v>8449</v>
      </c>
      <c r="O4095">
        <v>9</v>
      </c>
      <c r="P4095" t="s">
        <v>44</v>
      </c>
      <c r="Q4095" s="1">
        <v>44275</v>
      </c>
    </row>
    <row r="4096" spans="1:17" x14ac:dyDescent="0.3">
      <c r="A4096" t="s">
        <v>35</v>
      </c>
      <c r="B4096" t="s">
        <v>45</v>
      </c>
      <c r="C4096" t="s">
        <v>16</v>
      </c>
      <c r="D4096" t="s">
        <v>46</v>
      </c>
      <c r="E4096" t="s">
        <v>48</v>
      </c>
      <c r="F4096" s="9">
        <v>0.03</v>
      </c>
      <c r="G4096" s="10">
        <v>19220</v>
      </c>
      <c r="H4096">
        <v>2.69</v>
      </c>
      <c r="I4096" s="5">
        <f>ROUND(Marketing[[#This Row],[Clicks]]*Marketing[[#This Row],[Conversion_Rate]],0)</f>
        <v>19</v>
      </c>
      <c r="J4096" s="12">
        <f>Marketing[[#This Row],[Campaign_Cost]]/Marketing[[#This Row],[Customers]]</f>
        <v>1011.578947368421</v>
      </c>
      <c r="K4096" t="s">
        <v>25</v>
      </c>
      <c r="L4096" t="s">
        <v>50</v>
      </c>
      <c r="M4096">
        <v>622</v>
      </c>
      <c r="N4096">
        <v>6343</v>
      </c>
      <c r="O4096">
        <v>6</v>
      </c>
      <c r="P4096" t="s">
        <v>42</v>
      </c>
      <c r="Q4096" s="1">
        <v>44276</v>
      </c>
    </row>
    <row r="4097" spans="1:17" x14ac:dyDescent="0.3">
      <c r="A4097" t="s">
        <v>35</v>
      </c>
      <c r="B4097" t="s">
        <v>15</v>
      </c>
      <c r="C4097" t="s">
        <v>37</v>
      </c>
      <c r="D4097" t="s">
        <v>17</v>
      </c>
      <c r="E4097" t="s">
        <v>43</v>
      </c>
      <c r="F4097" s="9">
        <v>0.15</v>
      </c>
      <c r="G4097" s="10">
        <v>5435</v>
      </c>
      <c r="H4097">
        <v>2.69</v>
      </c>
      <c r="I4097" s="5">
        <f>ROUND(Marketing[[#This Row],[Clicks]]*Marketing[[#This Row],[Conversion_Rate]],0)</f>
        <v>124</v>
      </c>
      <c r="J4097" s="12">
        <f>Marketing[[#This Row],[Campaign_Cost]]/Marketing[[#This Row],[Customers]]</f>
        <v>43.83064516129032</v>
      </c>
      <c r="K4097" t="s">
        <v>25</v>
      </c>
      <c r="L4097" t="s">
        <v>50</v>
      </c>
      <c r="M4097">
        <v>825</v>
      </c>
      <c r="N4097">
        <v>5906</v>
      </c>
      <c r="O4097">
        <v>2</v>
      </c>
      <c r="P4097" t="s">
        <v>27</v>
      </c>
      <c r="Q4097" s="1">
        <v>44277</v>
      </c>
    </row>
    <row r="4098" spans="1:17" x14ac:dyDescent="0.3">
      <c r="A4098" t="s">
        <v>35</v>
      </c>
      <c r="B4098" t="s">
        <v>29</v>
      </c>
      <c r="C4098" t="s">
        <v>30</v>
      </c>
      <c r="D4098" t="s">
        <v>40</v>
      </c>
      <c r="E4098" t="s">
        <v>31</v>
      </c>
      <c r="F4098" s="9">
        <v>0.01</v>
      </c>
      <c r="G4098" s="10">
        <v>19568</v>
      </c>
      <c r="H4098">
        <v>6.93</v>
      </c>
      <c r="I4098" s="5">
        <f>ROUND(Marketing[[#This Row],[Clicks]]*Marketing[[#This Row],[Conversion_Rate]],0)</f>
        <v>5</v>
      </c>
      <c r="J4098" s="12">
        <f>Marketing[[#This Row],[Campaign_Cost]]/Marketing[[#This Row],[Customers]]</f>
        <v>3913.6</v>
      </c>
      <c r="K4098" t="s">
        <v>19</v>
      </c>
      <c r="L4098" t="s">
        <v>39</v>
      </c>
      <c r="M4098">
        <v>516</v>
      </c>
      <c r="N4098">
        <v>1658</v>
      </c>
      <c r="O4098">
        <v>9</v>
      </c>
      <c r="P4098" t="s">
        <v>44</v>
      </c>
      <c r="Q4098" s="1">
        <v>44278</v>
      </c>
    </row>
    <row r="4099" spans="1:17" x14ac:dyDescent="0.3">
      <c r="A4099" t="s">
        <v>28</v>
      </c>
      <c r="B4099" t="s">
        <v>45</v>
      </c>
      <c r="C4099" t="s">
        <v>30</v>
      </c>
      <c r="D4099" t="s">
        <v>40</v>
      </c>
      <c r="E4099" t="s">
        <v>18</v>
      </c>
      <c r="F4099" s="9">
        <v>0.12</v>
      </c>
      <c r="G4099" s="10">
        <v>7553</v>
      </c>
      <c r="H4099">
        <v>5.83</v>
      </c>
      <c r="I4099" s="5">
        <f>ROUND(Marketing[[#This Row],[Clicks]]*Marketing[[#This Row],[Conversion_Rate]],0)</f>
        <v>50</v>
      </c>
      <c r="J4099" s="12">
        <f>Marketing[[#This Row],[Campaign_Cost]]/Marketing[[#This Row],[Customers]]</f>
        <v>151.06</v>
      </c>
      <c r="K4099" t="s">
        <v>19</v>
      </c>
      <c r="L4099" t="s">
        <v>20</v>
      </c>
      <c r="M4099">
        <v>420</v>
      </c>
      <c r="N4099">
        <v>6262</v>
      </c>
      <c r="O4099">
        <v>8</v>
      </c>
      <c r="P4099" t="s">
        <v>21</v>
      </c>
      <c r="Q4099" s="1">
        <v>44279</v>
      </c>
    </row>
    <row r="4100" spans="1:17" x14ac:dyDescent="0.3">
      <c r="A4100" t="s">
        <v>22</v>
      </c>
      <c r="B4100" t="s">
        <v>47</v>
      </c>
      <c r="C4100" t="s">
        <v>23</v>
      </c>
      <c r="D4100" t="s">
        <v>17</v>
      </c>
      <c r="E4100" t="s">
        <v>48</v>
      </c>
      <c r="F4100" s="9">
        <v>0.04</v>
      </c>
      <c r="G4100" s="10">
        <v>16096</v>
      </c>
      <c r="H4100">
        <v>6.09</v>
      </c>
      <c r="I4100" s="5">
        <f>ROUND(Marketing[[#This Row],[Clicks]]*Marketing[[#This Row],[Conversion_Rate]],0)</f>
        <v>24</v>
      </c>
      <c r="J4100" s="12">
        <f>Marketing[[#This Row],[Campaign_Cost]]/Marketing[[#This Row],[Customers]]</f>
        <v>670.66666666666663</v>
      </c>
      <c r="K4100" t="s">
        <v>25</v>
      </c>
      <c r="L4100" t="s">
        <v>20</v>
      </c>
      <c r="M4100">
        <v>605</v>
      </c>
      <c r="N4100">
        <v>5749</v>
      </c>
      <c r="O4100">
        <v>9</v>
      </c>
      <c r="P4100" t="s">
        <v>34</v>
      </c>
      <c r="Q4100" s="1">
        <v>44280</v>
      </c>
    </row>
    <row r="4101" spans="1:17" x14ac:dyDescent="0.3">
      <c r="A4101" t="s">
        <v>49</v>
      </c>
      <c r="B4101" t="s">
        <v>29</v>
      </c>
      <c r="C4101" t="s">
        <v>37</v>
      </c>
      <c r="D4101" t="s">
        <v>40</v>
      </c>
      <c r="E4101" t="s">
        <v>43</v>
      </c>
      <c r="F4101" s="9">
        <v>0.11</v>
      </c>
      <c r="G4101" s="10">
        <v>17714</v>
      </c>
      <c r="H4101">
        <v>5</v>
      </c>
      <c r="I4101" s="5">
        <f>ROUND(Marketing[[#This Row],[Clicks]]*Marketing[[#This Row],[Conversion_Rate]],0)</f>
        <v>39</v>
      </c>
      <c r="J4101" s="12">
        <f>Marketing[[#This Row],[Campaign_Cost]]/Marketing[[#This Row],[Customers]]</f>
        <v>454.20512820512823</v>
      </c>
      <c r="K4101" t="s">
        <v>38</v>
      </c>
      <c r="L4101" t="s">
        <v>39</v>
      </c>
      <c r="M4101">
        <v>357</v>
      </c>
      <c r="N4101">
        <v>1270</v>
      </c>
      <c r="O4101">
        <v>1</v>
      </c>
      <c r="P4101" t="s">
        <v>44</v>
      </c>
      <c r="Q4101" s="1">
        <v>44281</v>
      </c>
    </row>
    <row r="4102" spans="1:17" x14ac:dyDescent="0.3">
      <c r="A4102" t="s">
        <v>35</v>
      </c>
      <c r="B4102" t="s">
        <v>29</v>
      </c>
      <c r="C4102" t="s">
        <v>23</v>
      </c>
      <c r="D4102" t="s">
        <v>17</v>
      </c>
      <c r="E4102" t="s">
        <v>48</v>
      </c>
      <c r="F4102" s="9">
        <v>0.11</v>
      </c>
      <c r="G4102" s="10">
        <v>11014</v>
      </c>
      <c r="H4102">
        <v>2.1800000000000002</v>
      </c>
      <c r="I4102" s="5">
        <f>ROUND(Marketing[[#This Row],[Clicks]]*Marketing[[#This Row],[Conversion_Rate]],0)</f>
        <v>72</v>
      </c>
      <c r="J4102" s="12">
        <f>Marketing[[#This Row],[Campaign_Cost]]/Marketing[[#This Row],[Customers]]</f>
        <v>152.97222222222223</v>
      </c>
      <c r="K4102" t="s">
        <v>32</v>
      </c>
      <c r="L4102" t="s">
        <v>39</v>
      </c>
      <c r="M4102">
        <v>652</v>
      </c>
      <c r="N4102">
        <v>6597</v>
      </c>
      <c r="O4102">
        <v>7</v>
      </c>
      <c r="P4102" t="s">
        <v>42</v>
      </c>
      <c r="Q4102" s="1">
        <v>44282</v>
      </c>
    </row>
    <row r="4103" spans="1:17" x14ac:dyDescent="0.3">
      <c r="A4103" t="s">
        <v>35</v>
      </c>
      <c r="B4103" t="s">
        <v>47</v>
      </c>
      <c r="C4103" t="s">
        <v>37</v>
      </c>
      <c r="D4103" t="s">
        <v>24</v>
      </c>
      <c r="E4103" t="s">
        <v>18</v>
      </c>
      <c r="F4103" s="9">
        <v>0.06</v>
      </c>
      <c r="G4103" s="10">
        <v>14148</v>
      </c>
      <c r="H4103">
        <v>6.77</v>
      </c>
      <c r="I4103" s="5">
        <f>ROUND(Marketing[[#This Row],[Clicks]]*Marketing[[#This Row],[Conversion_Rate]],0)</f>
        <v>32</v>
      </c>
      <c r="J4103" s="12">
        <f>Marketing[[#This Row],[Campaign_Cost]]/Marketing[[#This Row],[Customers]]</f>
        <v>442.125</v>
      </c>
      <c r="K4103" t="s">
        <v>32</v>
      </c>
      <c r="L4103" t="s">
        <v>26</v>
      </c>
      <c r="M4103">
        <v>531</v>
      </c>
      <c r="N4103">
        <v>8922</v>
      </c>
      <c r="O4103">
        <v>4</v>
      </c>
      <c r="P4103" t="s">
        <v>44</v>
      </c>
      <c r="Q4103" s="1">
        <v>44283</v>
      </c>
    </row>
    <row r="4104" spans="1:17" x14ac:dyDescent="0.3">
      <c r="A4104" t="s">
        <v>14</v>
      </c>
      <c r="B4104" t="s">
        <v>15</v>
      </c>
      <c r="C4104" t="s">
        <v>16</v>
      </c>
      <c r="D4104" t="s">
        <v>40</v>
      </c>
      <c r="E4104" t="s">
        <v>43</v>
      </c>
      <c r="F4104" s="9">
        <v>0.02</v>
      </c>
      <c r="G4104" s="10">
        <v>12777</v>
      </c>
      <c r="H4104">
        <v>5.55</v>
      </c>
      <c r="I4104" s="5">
        <f>ROUND(Marketing[[#This Row],[Clicks]]*Marketing[[#This Row],[Conversion_Rate]],0)</f>
        <v>6</v>
      </c>
      <c r="J4104" s="12">
        <f>Marketing[[#This Row],[Campaign_Cost]]/Marketing[[#This Row],[Customers]]</f>
        <v>2129.5</v>
      </c>
      <c r="K4104" t="s">
        <v>25</v>
      </c>
      <c r="L4104" t="s">
        <v>26</v>
      </c>
      <c r="M4104">
        <v>316</v>
      </c>
      <c r="N4104">
        <v>1900</v>
      </c>
      <c r="O4104">
        <v>7</v>
      </c>
      <c r="P4104" t="s">
        <v>21</v>
      </c>
      <c r="Q4104" s="1">
        <v>44284</v>
      </c>
    </row>
    <row r="4105" spans="1:17" x14ac:dyDescent="0.3">
      <c r="A4105" t="s">
        <v>22</v>
      </c>
      <c r="B4105" t="s">
        <v>45</v>
      </c>
      <c r="C4105" t="s">
        <v>52</v>
      </c>
      <c r="D4105" t="s">
        <v>40</v>
      </c>
      <c r="E4105" t="s">
        <v>41</v>
      </c>
      <c r="F4105" s="9">
        <v>0.06</v>
      </c>
      <c r="G4105" s="10">
        <v>19604</v>
      </c>
      <c r="H4105">
        <v>5.32</v>
      </c>
      <c r="I4105" s="5">
        <f>ROUND(Marketing[[#This Row],[Clicks]]*Marketing[[#This Row],[Conversion_Rate]],0)</f>
        <v>10</v>
      </c>
      <c r="J4105" s="12">
        <f>Marketing[[#This Row],[Campaign_Cost]]/Marketing[[#This Row],[Customers]]</f>
        <v>1960.4</v>
      </c>
      <c r="K4105" t="s">
        <v>32</v>
      </c>
      <c r="L4105" t="s">
        <v>20</v>
      </c>
      <c r="M4105">
        <v>160</v>
      </c>
      <c r="N4105">
        <v>8033</v>
      </c>
      <c r="O4105">
        <v>4</v>
      </c>
      <c r="P4105" t="s">
        <v>34</v>
      </c>
      <c r="Q4105" s="1">
        <v>44285</v>
      </c>
    </row>
    <row r="4106" spans="1:17" x14ac:dyDescent="0.3">
      <c r="A4106" t="s">
        <v>49</v>
      </c>
      <c r="B4106" t="s">
        <v>29</v>
      </c>
      <c r="C4106" t="s">
        <v>30</v>
      </c>
      <c r="D4106" t="s">
        <v>40</v>
      </c>
      <c r="E4106" t="s">
        <v>31</v>
      </c>
      <c r="F4106" s="9">
        <v>0.03</v>
      </c>
      <c r="G4106" s="10">
        <v>18148</v>
      </c>
      <c r="H4106">
        <v>4.51</v>
      </c>
      <c r="I4106" s="5">
        <f>ROUND(Marketing[[#This Row],[Clicks]]*Marketing[[#This Row],[Conversion_Rate]],0)</f>
        <v>10</v>
      </c>
      <c r="J4106" s="12">
        <f>Marketing[[#This Row],[Campaign_Cost]]/Marketing[[#This Row],[Customers]]</f>
        <v>1814.8</v>
      </c>
      <c r="K4106" t="s">
        <v>19</v>
      </c>
      <c r="L4106" t="s">
        <v>33</v>
      </c>
      <c r="M4106">
        <v>349</v>
      </c>
      <c r="N4106">
        <v>9675</v>
      </c>
      <c r="O4106">
        <v>9</v>
      </c>
      <c r="P4106" t="s">
        <v>27</v>
      </c>
      <c r="Q4106" s="1">
        <v>44286</v>
      </c>
    </row>
    <row r="4107" spans="1:17" x14ac:dyDescent="0.3">
      <c r="A4107" t="s">
        <v>14</v>
      </c>
      <c r="B4107" t="s">
        <v>45</v>
      </c>
      <c r="C4107" t="s">
        <v>23</v>
      </c>
      <c r="D4107" t="s">
        <v>40</v>
      </c>
      <c r="E4107" t="s">
        <v>48</v>
      </c>
      <c r="F4107" s="9">
        <v>0.01</v>
      </c>
      <c r="G4107" s="10">
        <v>16794</v>
      </c>
      <c r="H4107">
        <v>7.59</v>
      </c>
      <c r="I4107" s="5">
        <f>ROUND(Marketing[[#This Row],[Clicks]]*Marketing[[#This Row],[Conversion_Rate]],0)</f>
        <v>8</v>
      </c>
      <c r="J4107" s="12">
        <f>Marketing[[#This Row],[Campaign_Cost]]/Marketing[[#This Row],[Customers]]</f>
        <v>2099.25</v>
      </c>
      <c r="K4107" t="s">
        <v>38</v>
      </c>
      <c r="L4107" t="s">
        <v>50</v>
      </c>
      <c r="M4107">
        <v>834</v>
      </c>
      <c r="N4107">
        <v>2470</v>
      </c>
      <c r="O4107">
        <v>4</v>
      </c>
      <c r="P4107" t="s">
        <v>42</v>
      </c>
      <c r="Q4107" s="1">
        <v>44287</v>
      </c>
    </row>
    <row r="4108" spans="1:17" x14ac:dyDescent="0.3">
      <c r="A4108" t="s">
        <v>22</v>
      </c>
      <c r="B4108" t="s">
        <v>15</v>
      </c>
      <c r="C4108" t="s">
        <v>16</v>
      </c>
      <c r="D4108" t="s">
        <v>46</v>
      </c>
      <c r="E4108" t="s">
        <v>41</v>
      </c>
      <c r="F4108" s="9">
        <v>0.09</v>
      </c>
      <c r="G4108" s="10">
        <v>13425</v>
      </c>
      <c r="H4108">
        <v>5.49</v>
      </c>
      <c r="I4108" s="5">
        <f>ROUND(Marketing[[#This Row],[Clicks]]*Marketing[[#This Row],[Conversion_Rate]],0)</f>
        <v>60</v>
      </c>
      <c r="J4108" s="12">
        <f>Marketing[[#This Row],[Campaign_Cost]]/Marketing[[#This Row],[Customers]]</f>
        <v>223.75</v>
      </c>
      <c r="K4108" t="s">
        <v>25</v>
      </c>
      <c r="L4108" t="s">
        <v>33</v>
      </c>
      <c r="M4108">
        <v>668</v>
      </c>
      <c r="N4108">
        <v>9262</v>
      </c>
      <c r="O4108">
        <v>4</v>
      </c>
      <c r="P4108" t="s">
        <v>27</v>
      </c>
      <c r="Q4108" s="1">
        <v>44288</v>
      </c>
    </row>
    <row r="4109" spans="1:17" x14ac:dyDescent="0.3">
      <c r="A4109" t="s">
        <v>49</v>
      </c>
      <c r="B4109" t="s">
        <v>29</v>
      </c>
      <c r="C4109" t="s">
        <v>30</v>
      </c>
      <c r="D4109" t="s">
        <v>17</v>
      </c>
      <c r="E4109" t="s">
        <v>18</v>
      </c>
      <c r="F4109" s="9">
        <v>7.0000000000000007E-2</v>
      </c>
      <c r="G4109" s="10">
        <v>16812</v>
      </c>
      <c r="H4109">
        <v>5.72</v>
      </c>
      <c r="I4109" s="5">
        <f>ROUND(Marketing[[#This Row],[Clicks]]*Marketing[[#This Row],[Conversion_Rate]],0)</f>
        <v>45</v>
      </c>
      <c r="J4109" s="12">
        <f>Marketing[[#This Row],[Campaign_Cost]]/Marketing[[#This Row],[Customers]]</f>
        <v>373.6</v>
      </c>
      <c r="K4109" t="s">
        <v>38</v>
      </c>
      <c r="L4109" t="s">
        <v>20</v>
      </c>
      <c r="M4109">
        <v>646</v>
      </c>
      <c r="N4109">
        <v>7687</v>
      </c>
      <c r="O4109">
        <v>5</v>
      </c>
      <c r="P4109" t="s">
        <v>42</v>
      </c>
      <c r="Q4109" s="1">
        <v>44289</v>
      </c>
    </row>
    <row r="4110" spans="1:17" x14ac:dyDescent="0.3">
      <c r="A4110" t="s">
        <v>14</v>
      </c>
      <c r="B4110" t="s">
        <v>29</v>
      </c>
      <c r="C4110" t="s">
        <v>52</v>
      </c>
      <c r="D4110" t="s">
        <v>24</v>
      </c>
      <c r="E4110" t="s">
        <v>31</v>
      </c>
      <c r="F4110" s="9">
        <v>0.13</v>
      </c>
      <c r="G4110" s="10">
        <v>10617</v>
      </c>
      <c r="H4110">
        <v>4.93</v>
      </c>
      <c r="I4110" s="5">
        <f>ROUND(Marketing[[#This Row],[Clicks]]*Marketing[[#This Row],[Conversion_Rate]],0)</f>
        <v>114</v>
      </c>
      <c r="J4110" s="12">
        <f>Marketing[[#This Row],[Campaign_Cost]]/Marketing[[#This Row],[Customers]]</f>
        <v>93.131578947368425</v>
      </c>
      <c r="K4110" t="s">
        <v>19</v>
      </c>
      <c r="L4110" t="s">
        <v>26</v>
      </c>
      <c r="M4110">
        <v>879</v>
      </c>
      <c r="N4110">
        <v>1082</v>
      </c>
      <c r="O4110">
        <v>5</v>
      </c>
      <c r="P4110" t="s">
        <v>27</v>
      </c>
      <c r="Q4110" s="1">
        <v>44290</v>
      </c>
    </row>
    <row r="4111" spans="1:17" x14ac:dyDescent="0.3">
      <c r="A4111" t="s">
        <v>22</v>
      </c>
      <c r="B4111" t="s">
        <v>47</v>
      </c>
      <c r="C4111" t="s">
        <v>16</v>
      </c>
      <c r="D4111" t="s">
        <v>40</v>
      </c>
      <c r="E4111" t="s">
        <v>43</v>
      </c>
      <c r="F4111" s="9">
        <v>0.04</v>
      </c>
      <c r="G4111" s="10">
        <v>19847</v>
      </c>
      <c r="H4111">
        <v>2.25</v>
      </c>
      <c r="I4111" s="5">
        <f>ROUND(Marketing[[#This Row],[Clicks]]*Marketing[[#This Row],[Conversion_Rate]],0)</f>
        <v>23</v>
      </c>
      <c r="J4111" s="12">
        <f>Marketing[[#This Row],[Campaign_Cost]]/Marketing[[#This Row],[Customers]]</f>
        <v>862.91304347826087</v>
      </c>
      <c r="K4111" t="s">
        <v>51</v>
      </c>
      <c r="L4111" t="s">
        <v>39</v>
      </c>
      <c r="M4111">
        <v>582</v>
      </c>
      <c r="N4111">
        <v>7020</v>
      </c>
      <c r="O4111">
        <v>3</v>
      </c>
      <c r="P4111" t="s">
        <v>44</v>
      </c>
      <c r="Q4111" s="1">
        <v>44291</v>
      </c>
    </row>
    <row r="4112" spans="1:17" x14ac:dyDescent="0.3">
      <c r="A4112" t="s">
        <v>35</v>
      </c>
      <c r="B4112" t="s">
        <v>36</v>
      </c>
      <c r="C4112" t="s">
        <v>23</v>
      </c>
      <c r="D4112" t="s">
        <v>24</v>
      </c>
      <c r="E4112" t="s">
        <v>18</v>
      </c>
      <c r="F4112" s="9">
        <v>0.05</v>
      </c>
      <c r="G4112" s="10">
        <v>9958</v>
      </c>
      <c r="H4112">
        <v>7.1</v>
      </c>
      <c r="I4112" s="5">
        <f>ROUND(Marketing[[#This Row],[Clicks]]*Marketing[[#This Row],[Conversion_Rate]],0)</f>
        <v>46</v>
      </c>
      <c r="J4112" s="12">
        <f>Marketing[[#This Row],[Campaign_Cost]]/Marketing[[#This Row],[Customers]]</f>
        <v>216.47826086956522</v>
      </c>
      <c r="K4112" t="s">
        <v>19</v>
      </c>
      <c r="L4112" t="s">
        <v>26</v>
      </c>
      <c r="M4112">
        <v>919</v>
      </c>
      <c r="N4112">
        <v>4531</v>
      </c>
      <c r="O4112">
        <v>5</v>
      </c>
      <c r="P4112" t="s">
        <v>27</v>
      </c>
      <c r="Q4112" s="1">
        <v>44292</v>
      </c>
    </row>
    <row r="4113" spans="1:17" x14ac:dyDescent="0.3">
      <c r="A4113" t="s">
        <v>35</v>
      </c>
      <c r="B4113" t="s">
        <v>29</v>
      </c>
      <c r="C4113" t="s">
        <v>30</v>
      </c>
      <c r="D4113" t="s">
        <v>46</v>
      </c>
      <c r="E4113" t="s">
        <v>31</v>
      </c>
      <c r="F4113" s="9">
        <v>0.1</v>
      </c>
      <c r="G4113" s="10">
        <v>8206</v>
      </c>
      <c r="H4113">
        <v>3.63</v>
      </c>
      <c r="I4113" s="5">
        <f>ROUND(Marketing[[#This Row],[Clicks]]*Marketing[[#This Row],[Conversion_Rate]],0)</f>
        <v>75</v>
      </c>
      <c r="J4113" s="12">
        <f>Marketing[[#This Row],[Campaign_Cost]]/Marketing[[#This Row],[Customers]]</f>
        <v>109.41333333333333</v>
      </c>
      <c r="K4113" t="s">
        <v>51</v>
      </c>
      <c r="L4113" t="s">
        <v>39</v>
      </c>
      <c r="M4113">
        <v>746</v>
      </c>
      <c r="N4113">
        <v>6065</v>
      </c>
      <c r="O4113">
        <v>5</v>
      </c>
      <c r="P4113" t="s">
        <v>21</v>
      </c>
      <c r="Q4113" s="1">
        <v>44293</v>
      </c>
    </row>
    <row r="4114" spans="1:17" x14ac:dyDescent="0.3">
      <c r="A4114" t="s">
        <v>22</v>
      </c>
      <c r="B4114" t="s">
        <v>29</v>
      </c>
      <c r="C4114" t="s">
        <v>37</v>
      </c>
      <c r="D4114" t="s">
        <v>17</v>
      </c>
      <c r="E4114" t="s">
        <v>43</v>
      </c>
      <c r="F4114" s="9">
        <v>0.09</v>
      </c>
      <c r="G4114" s="10">
        <v>16831</v>
      </c>
      <c r="H4114">
        <v>7.16</v>
      </c>
      <c r="I4114" s="5">
        <f>ROUND(Marketing[[#This Row],[Clicks]]*Marketing[[#This Row],[Conversion_Rate]],0)</f>
        <v>13</v>
      </c>
      <c r="J4114" s="12">
        <f>Marketing[[#This Row],[Campaign_Cost]]/Marketing[[#This Row],[Customers]]</f>
        <v>1294.6923076923076</v>
      </c>
      <c r="K4114" t="s">
        <v>32</v>
      </c>
      <c r="L4114" t="s">
        <v>26</v>
      </c>
      <c r="M4114">
        <v>140</v>
      </c>
      <c r="N4114">
        <v>1359</v>
      </c>
      <c r="O4114">
        <v>9</v>
      </c>
      <c r="P4114" t="s">
        <v>27</v>
      </c>
      <c r="Q4114" s="1">
        <v>44294</v>
      </c>
    </row>
    <row r="4115" spans="1:17" x14ac:dyDescent="0.3">
      <c r="A4115" t="s">
        <v>14</v>
      </c>
      <c r="B4115" t="s">
        <v>45</v>
      </c>
      <c r="C4115" t="s">
        <v>23</v>
      </c>
      <c r="D4115" t="s">
        <v>17</v>
      </c>
      <c r="E4115" t="s">
        <v>15</v>
      </c>
      <c r="F4115" s="9">
        <v>0.14000000000000001</v>
      </c>
      <c r="G4115" s="10">
        <v>9343</v>
      </c>
      <c r="H4115">
        <v>4.5599999999999996</v>
      </c>
      <c r="I4115" s="5">
        <f>ROUND(Marketing[[#This Row],[Clicks]]*Marketing[[#This Row],[Conversion_Rate]],0)</f>
        <v>70</v>
      </c>
      <c r="J4115" s="12">
        <f>Marketing[[#This Row],[Campaign_Cost]]/Marketing[[#This Row],[Customers]]</f>
        <v>133.47142857142856</v>
      </c>
      <c r="K4115" t="s">
        <v>51</v>
      </c>
      <c r="L4115" t="s">
        <v>26</v>
      </c>
      <c r="M4115">
        <v>503</v>
      </c>
      <c r="N4115">
        <v>1885</v>
      </c>
      <c r="O4115">
        <v>10</v>
      </c>
      <c r="P4115" t="s">
        <v>34</v>
      </c>
      <c r="Q4115" s="1">
        <v>44295</v>
      </c>
    </row>
    <row r="4116" spans="1:17" x14ac:dyDescent="0.3">
      <c r="A4116" t="s">
        <v>35</v>
      </c>
      <c r="B4116" t="s">
        <v>29</v>
      </c>
      <c r="C4116" t="s">
        <v>23</v>
      </c>
      <c r="D4116" t="s">
        <v>40</v>
      </c>
      <c r="E4116" t="s">
        <v>31</v>
      </c>
      <c r="F4116" s="9">
        <v>0.02</v>
      </c>
      <c r="G4116" s="10">
        <v>5837</v>
      </c>
      <c r="H4116">
        <v>6.61</v>
      </c>
      <c r="I4116" s="5">
        <f>ROUND(Marketing[[#This Row],[Clicks]]*Marketing[[#This Row],[Conversion_Rate]],0)</f>
        <v>10</v>
      </c>
      <c r="J4116" s="12">
        <f>Marketing[[#This Row],[Campaign_Cost]]/Marketing[[#This Row],[Customers]]</f>
        <v>583.70000000000005</v>
      </c>
      <c r="K4116" t="s">
        <v>32</v>
      </c>
      <c r="L4116" t="s">
        <v>20</v>
      </c>
      <c r="M4116">
        <v>485</v>
      </c>
      <c r="N4116">
        <v>1601</v>
      </c>
      <c r="O4116">
        <v>6</v>
      </c>
      <c r="P4116" t="s">
        <v>27</v>
      </c>
      <c r="Q4116" s="1">
        <v>44296</v>
      </c>
    </row>
    <row r="4117" spans="1:17" x14ac:dyDescent="0.3">
      <c r="A4117" t="s">
        <v>14</v>
      </c>
      <c r="B4117" t="s">
        <v>47</v>
      </c>
      <c r="C4117" t="s">
        <v>16</v>
      </c>
      <c r="D4117" t="s">
        <v>17</v>
      </c>
      <c r="E4117" t="s">
        <v>43</v>
      </c>
      <c r="F4117" s="9">
        <v>0.09</v>
      </c>
      <c r="G4117" s="10">
        <v>18975</v>
      </c>
      <c r="H4117">
        <v>6.77</v>
      </c>
      <c r="I4117" s="5">
        <f>ROUND(Marketing[[#This Row],[Clicks]]*Marketing[[#This Row],[Conversion_Rate]],0)</f>
        <v>50</v>
      </c>
      <c r="J4117" s="12">
        <f>Marketing[[#This Row],[Campaign_Cost]]/Marketing[[#This Row],[Customers]]</f>
        <v>379.5</v>
      </c>
      <c r="K4117" t="s">
        <v>25</v>
      </c>
      <c r="L4117" t="s">
        <v>20</v>
      </c>
      <c r="M4117">
        <v>556</v>
      </c>
      <c r="N4117">
        <v>1867</v>
      </c>
      <c r="O4117">
        <v>9</v>
      </c>
      <c r="P4117" t="s">
        <v>27</v>
      </c>
      <c r="Q4117" s="1">
        <v>44297</v>
      </c>
    </row>
    <row r="4118" spans="1:17" x14ac:dyDescent="0.3">
      <c r="A4118" t="s">
        <v>22</v>
      </c>
      <c r="B4118" t="s">
        <v>36</v>
      </c>
      <c r="C4118" t="s">
        <v>23</v>
      </c>
      <c r="D4118" t="s">
        <v>17</v>
      </c>
      <c r="E4118" t="s">
        <v>41</v>
      </c>
      <c r="F4118" s="9">
        <v>0.03</v>
      </c>
      <c r="G4118" s="10">
        <v>7925</v>
      </c>
      <c r="H4118">
        <v>3.71</v>
      </c>
      <c r="I4118" s="5">
        <f>ROUND(Marketing[[#This Row],[Clicks]]*Marketing[[#This Row],[Conversion_Rate]],0)</f>
        <v>21</v>
      </c>
      <c r="J4118" s="12">
        <f>Marketing[[#This Row],[Campaign_Cost]]/Marketing[[#This Row],[Customers]]</f>
        <v>377.38095238095241</v>
      </c>
      <c r="K4118" t="s">
        <v>25</v>
      </c>
      <c r="L4118" t="s">
        <v>33</v>
      </c>
      <c r="M4118">
        <v>693</v>
      </c>
      <c r="N4118">
        <v>8052</v>
      </c>
      <c r="O4118">
        <v>8</v>
      </c>
      <c r="P4118" t="s">
        <v>34</v>
      </c>
      <c r="Q4118" s="1">
        <v>44298</v>
      </c>
    </row>
    <row r="4119" spans="1:17" x14ac:dyDescent="0.3">
      <c r="A4119" t="s">
        <v>28</v>
      </c>
      <c r="B4119" t="s">
        <v>15</v>
      </c>
      <c r="C4119" t="s">
        <v>30</v>
      </c>
      <c r="D4119" t="s">
        <v>46</v>
      </c>
      <c r="E4119" t="s">
        <v>48</v>
      </c>
      <c r="F4119" s="9">
        <v>0.09</v>
      </c>
      <c r="G4119" s="10">
        <v>6990</v>
      </c>
      <c r="H4119">
        <v>4.96</v>
      </c>
      <c r="I4119" s="5">
        <f>ROUND(Marketing[[#This Row],[Clicks]]*Marketing[[#This Row],[Conversion_Rate]],0)</f>
        <v>53</v>
      </c>
      <c r="J4119" s="12">
        <f>Marketing[[#This Row],[Campaign_Cost]]/Marketing[[#This Row],[Customers]]</f>
        <v>131.88679245283018</v>
      </c>
      <c r="K4119" t="s">
        <v>32</v>
      </c>
      <c r="L4119" t="s">
        <v>26</v>
      </c>
      <c r="M4119">
        <v>586</v>
      </c>
      <c r="N4119">
        <v>9760</v>
      </c>
      <c r="O4119">
        <v>2</v>
      </c>
      <c r="P4119" t="s">
        <v>21</v>
      </c>
      <c r="Q4119" s="1">
        <v>44299</v>
      </c>
    </row>
    <row r="4120" spans="1:17" x14ac:dyDescent="0.3">
      <c r="A4120" t="s">
        <v>22</v>
      </c>
      <c r="B4120" t="s">
        <v>15</v>
      </c>
      <c r="C4120" t="s">
        <v>37</v>
      </c>
      <c r="D4120" t="s">
        <v>24</v>
      </c>
      <c r="E4120" t="s">
        <v>15</v>
      </c>
      <c r="F4120" s="9">
        <v>0.12</v>
      </c>
      <c r="G4120" s="10">
        <v>14151</v>
      </c>
      <c r="H4120">
        <v>6.77</v>
      </c>
      <c r="I4120" s="5">
        <f>ROUND(Marketing[[#This Row],[Clicks]]*Marketing[[#This Row],[Conversion_Rate]],0)</f>
        <v>17</v>
      </c>
      <c r="J4120" s="12">
        <f>Marketing[[#This Row],[Campaign_Cost]]/Marketing[[#This Row],[Customers]]</f>
        <v>832.41176470588232</v>
      </c>
      <c r="K4120" t="s">
        <v>25</v>
      </c>
      <c r="L4120" t="s">
        <v>26</v>
      </c>
      <c r="M4120">
        <v>140</v>
      </c>
      <c r="N4120">
        <v>8005</v>
      </c>
      <c r="O4120">
        <v>2</v>
      </c>
      <c r="P4120" t="s">
        <v>27</v>
      </c>
      <c r="Q4120" s="1">
        <v>44300</v>
      </c>
    </row>
    <row r="4121" spans="1:17" x14ac:dyDescent="0.3">
      <c r="A4121" t="s">
        <v>28</v>
      </c>
      <c r="B4121" t="s">
        <v>47</v>
      </c>
      <c r="C4121" t="s">
        <v>30</v>
      </c>
      <c r="D4121" t="s">
        <v>46</v>
      </c>
      <c r="E4121" t="s">
        <v>31</v>
      </c>
      <c r="F4121" s="9">
        <v>0.03</v>
      </c>
      <c r="G4121" s="10">
        <v>18002</v>
      </c>
      <c r="H4121">
        <v>6.02</v>
      </c>
      <c r="I4121" s="5">
        <f>ROUND(Marketing[[#This Row],[Clicks]]*Marketing[[#This Row],[Conversion_Rate]],0)</f>
        <v>25</v>
      </c>
      <c r="J4121" s="12">
        <f>Marketing[[#This Row],[Campaign_Cost]]/Marketing[[#This Row],[Customers]]</f>
        <v>720.08</v>
      </c>
      <c r="K4121" t="s">
        <v>19</v>
      </c>
      <c r="L4121" t="s">
        <v>50</v>
      </c>
      <c r="M4121">
        <v>834</v>
      </c>
      <c r="N4121">
        <v>7347</v>
      </c>
      <c r="O4121">
        <v>5</v>
      </c>
      <c r="P4121" t="s">
        <v>44</v>
      </c>
      <c r="Q4121" s="1">
        <v>44301</v>
      </c>
    </row>
    <row r="4122" spans="1:17" x14ac:dyDescent="0.3">
      <c r="A4122" t="s">
        <v>28</v>
      </c>
      <c r="B4122" t="s">
        <v>29</v>
      </c>
      <c r="C4122" t="s">
        <v>37</v>
      </c>
      <c r="D4122" t="s">
        <v>46</v>
      </c>
      <c r="E4122" t="s">
        <v>15</v>
      </c>
      <c r="F4122" s="9">
        <v>0.03</v>
      </c>
      <c r="G4122" s="10">
        <v>12338</v>
      </c>
      <c r="H4122">
        <v>7.3</v>
      </c>
      <c r="I4122" s="5">
        <f>ROUND(Marketing[[#This Row],[Clicks]]*Marketing[[#This Row],[Conversion_Rate]],0)</f>
        <v>30</v>
      </c>
      <c r="J4122" s="12">
        <f>Marketing[[#This Row],[Campaign_Cost]]/Marketing[[#This Row],[Customers]]</f>
        <v>411.26666666666665</v>
      </c>
      <c r="K4122" t="s">
        <v>51</v>
      </c>
      <c r="L4122" t="s">
        <v>39</v>
      </c>
      <c r="M4122">
        <v>990</v>
      </c>
      <c r="N4122">
        <v>3658</v>
      </c>
      <c r="O4122">
        <v>1</v>
      </c>
      <c r="P4122" t="s">
        <v>27</v>
      </c>
      <c r="Q4122" s="1">
        <v>44302</v>
      </c>
    </row>
    <row r="4123" spans="1:17" x14ac:dyDescent="0.3">
      <c r="A4123" t="s">
        <v>28</v>
      </c>
      <c r="B4123" t="s">
        <v>29</v>
      </c>
      <c r="C4123" t="s">
        <v>16</v>
      </c>
      <c r="D4123" t="s">
        <v>46</v>
      </c>
      <c r="E4123" t="s">
        <v>31</v>
      </c>
      <c r="F4123" s="9">
        <v>0.01</v>
      </c>
      <c r="G4123" s="10">
        <v>15721</v>
      </c>
      <c r="H4123">
        <v>3.99</v>
      </c>
      <c r="I4123" s="5">
        <f>ROUND(Marketing[[#This Row],[Clicks]]*Marketing[[#This Row],[Conversion_Rate]],0)</f>
        <v>4</v>
      </c>
      <c r="J4123" s="12">
        <f>Marketing[[#This Row],[Campaign_Cost]]/Marketing[[#This Row],[Customers]]</f>
        <v>3930.25</v>
      </c>
      <c r="K4123" t="s">
        <v>51</v>
      </c>
      <c r="L4123" t="s">
        <v>50</v>
      </c>
      <c r="M4123">
        <v>433</v>
      </c>
      <c r="N4123">
        <v>4847</v>
      </c>
      <c r="O4123">
        <v>3</v>
      </c>
      <c r="P4123" t="s">
        <v>21</v>
      </c>
      <c r="Q4123" s="1">
        <v>44303</v>
      </c>
    </row>
    <row r="4124" spans="1:17" x14ac:dyDescent="0.3">
      <c r="A4124" t="s">
        <v>35</v>
      </c>
      <c r="B4124" t="s">
        <v>36</v>
      </c>
      <c r="C4124" t="s">
        <v>30</v>
      </c>
      <c r="D4124" t="s">
        <v>40</v>
      </c>
      <c r="E4124" t="s">
        <v>48</v>
      </c>
      <c r="F4124" s="9">
        <v>0.08</v>
      </c>
      <c r="G4124" s="10">
        <v>8660</v>
      </c>
      <c r="H4124">
        <v>5.0599999999999996</v>
      </c>
      <c r="I4124" s="5">
        <f>ROUND(Marketing[[#This Row],[Clicks]]*Marketing[[#This Row],[Conversion_Rate]],0)</f>
        <v>72</v>
      </c>
      <c r="J4124" s="12">
        <f>Marketing[[#This Row],[Campaign_Cost]]/Marketing[[#This Row],[Customers]]</f>
        <v>120.27777777777777</v>
      </c>
      <c r="K4124" t="s">
        <v>38</v>
      </c>
      <c r="L4124" t="s">
        <v>50</v>
      </c>
      <c r="M4124">
        <v>895</v>
      </c>
      <c r="N4124">
        <v>6160</v>
      </c>
      <c r="O4124">
        <v>2</v>
      </c>
      <c r="P4124" t="s">
        <v>42</v>
      </c>
      <c r="Q4124" s="1">
        <v>44304</v>
      </c>
    </row>
    <row r="4125" spans="1:17" x14ac:dyDescent="0.3">
      <c r="A4125" t="s">
        <v>35</v>
      </c>
      <c r="B4125" t="s">
        <v>36</v>
      </c>
      <c r="C4125" t="s">
        <v>30</v>
      </c>
      <c r="D4125" t="s">
        <v>46</v>
      </c>
      <c r="E4125" t="s">
        <v>31</v>
      </c>
      <c r="F4125" s="9">
        <v>0.09</v>
      </c>
      <c r="G4125" s="10">
        <v>7786</v>
      </c>
      <c r="H4125">
        <v>7.14</v>
      </c>
      <c r="I4125" s="5">
        <f>ROUND(Marketing[[#This Row],[Clicks]]*Marketing[[#This Row],[Conversion_Rate]],0)</f>
        <v>63</v>
      </c>
      <c r="J4125" s="12">
        <f>Marketing[[#This Row],[Campaign_Cost]]/Marketing[[#This Row],[Customers]]</f>
        <v>123.58730158730158</v>
      </c>
      <c r="K4125" t="s">
        <v>51</v>
      </c>
      <c r="L4125" t="s">
        <v>39</v>
      </c>
      <c r="M4125">
        <v>700</v>
      </c>
      <c r="N4125">
        <v>5600</v>
      </c>
      <c r="O4125">
        <v>4</v>
      </c>
      <c r="P4125" t="s">
        <v>42</v>
      </c>
      <c r="Q4125" s="1">
        <v>44305</v>
      </c>
    </row>
    <row r="4126" spans="1:17" x14ac:dyDescent="0.3">
      <c r="A4126" t="s">
        <v>22</v>
      </c>
      <c r="B4126" t="s">
        <v>45</v>
      </c>
      <c r="C4126" t="s">
        <v>52</v>
      </c>
      <c r="D4126" t="s">
        <v>17</v>
      </c>
      <c r="E4126" t="s">
        <v>18</v>
      </c>
      <c r="F4126" s="9">
        <v>0.08</v>
      </c>
      <c r="G4126" s="10">
        <v>12510</v>
      </c>
      <c r="H4126">
        <v>3.71</v>
      </c>
      <c r="I4126" s="5">
        <f>ROUND(Marketing[[#This Row],[Clicks]]*Marketing[[#This Row],[Conversion_Rate]],0)</f>
        <v>65</v>
      </c>
      <c r="J4126" s="12">
        <f>Marketing[[#This Row],[Campaign_Cost]]/Marketing[[#This Row],[Customers]]</f>
        <v>192.46153846153845</v>
      </c>
      <c r="K4126" t="s">
        <v>32</v>
      </c>
      <c r="L4126" t="s">
        <v>33</v>
      </c>
      <c r="M4126">
        <v>814</v>
      </c>
      <c r="N4126">
        <v>4129</v>
      </c>
      <c r="O4126">
        <v>10</v>
      </c>
      <c r="P4126" t="s">
        <v>44</v>
      </c>
      <c r="Q4126" s="1">
        <v>44306</v>
      </c>
    </row>
    <row r="4127" spans="1:17" x14ac:dyDescent="0.3">
      <c r="A4127" t="s">
        <v>14</v>
      </c>
      <c r="B4127" t="s">
        <v>36</v>
      </c>
      <c r="C4127" t="s">
        <v>16</v>
      </c>
      <c r="D4127" t="s">
        <v>24</v>
      </c>
      <c r="E4127" t="s">
        <v>41</v>
      </c>
      <c r="F4127" s="9">
        <v>0.11</v>
      </c>
      <c r="G4127" s="10">
        <v>19114</v>
      </c>
      <c r="H4127">
        <v>6.22</v>
      </c>
      <c r="I4127" s="5">
        <f>ROUND(Marketing[[#This Row],[Clicks]]*Marketing[[#This Row],[Conversion_Rate]],0)</f>
        <v>15</v>
      </c>
      <c r="J4127" s="12">
        <f>Marketing[[#This Row],[Campaign_Cost]]/Marketing[[#This Row],[Customers]]</f>
        <v>1274.2666666666667</v>
      </c>
      <c r="K4127" t="s">
        <v>25</v>
      </c>
      <c r="L4127" t="s">
        <v>20</v>
      </c>
      <c r="M4127">
        <v>139</v>
      </c>
      <c r="N4127">
        <v>9870</v>
      </c>
      <c r="O4127">
        <v>6</v>
      </c>
      <c r="P4127" t="s">
        <v>44</v>
      </c>
      <c r="Q4127" s="1">
        <v>44307</v>
      </c>
    </row>
    <row r="4128" spans="1:17" x14ac:dyDescent="0.3">
      <c r="A4128" t="s">
        <v>35</v>
      </c>
      <c r="B4128" t="s">
        <v>47</v>
      </c>
      <c r="C4128" t="s">
        <v>30</v>
      </c>
      <c r="D4128" t="s">
        <v>17</v>
      </c>
      <c r="E4128" t="s">
        <v>48</v>
      </c>
      <c r="F4128" s="9">
        <v>0.01</v>
      </c>
      <c r="G4128" s="10">
        <v>9540</v>
      </c>
      <c r="H4128">
        <v>5.87</v>
      </c>
      <c r="I4128" s="5">
        <f>ROUND(Marketing[[#This Row],[Clicks]]*Marketing[[#This Row],[Conversion_Rate]],0)</f>
        <v>6</v>
      </c>
      <c r="J4128" s="12">
        <f>Marketing[[#This Row],[Campaign_Cost]]/Marketing[[#This Row],[Customers]]</f>
        <v>1590</v>
      </c>
      <c r="K4128" t="s">
        <v>19</v>
      </c>
      <c r="L4128" t="s">
        <v>33</v>
      </c>
      <c r="M4128">
        <v>551</v>
      </c>
      <c r="N4128">
        <v>4191</v>
      </c>
      <c r="O4128">
        <v>7</v>
      </c>
      <c r="P4128" t="s">
        <v>34</v>
      </c>
      <c r="Q4128" s="1">
        <v>44308</v>
      </c>
    </row>
    <row r="4129" spans="1:17" x14ac:dyDescent="0.3">
      <c r="A4129" t="s">
        <v>14</v>
      </c>
      <c r="B4129" t="s">
        <v>45</v>
      </c>
      <c r="C4129" t="s">
        <v>30</v>
      </c>
      <c r="D4129" t="s">
        <v>46</v>
      </c>
      <c r="E4129" t="s">
        <v>15</v>
      </c>
      <c r="F4129" s="9">
        <v>0.06</v>
      </c>
      <c r="G4129" s="10">
        <v>18283</v>
      </c>
      <c r="H4129">
        <v>2.64</v>
      </c>
      <c r="I4129" s="5">
        <f>ROUND(Marketing[[#This Row],[Clicks]]*Marketing[[#This Row],[Conversion_Rate]],0)</f>
        <v>20</v>
      </c>
      <c r="J4129" s="12">
        <f>Marketing[[#This Row],[Campaign_Cost]]/Marketing[[#This Row],[Customers]]</f>
        <v>914.15</v>
      </c>
      <c r="K4129" t="s">
        <v>38</v>
      </c>
      <c r="L4129" t="s">
        <v>26</v>
      </c>
      <c r="M4129">
        <v>333</v>
      </c>
      <c r="N4129">
        <v>2993</v>
      </c>
      <c r="O4129">
        <v>7</v>
      </c>
      <c r="P4129" t="s">
        <v>44</v>
      </c>
      <c r="Q4129" s="1">
        <v>44309</v>
      </c>
    </row>
    <row r="4130" spans="1:17" x14ac:dyDescent="0.3">
      <c r="A4130" t="s">
        <v>28</v>
      </c>
      <c r="B4130" t="s">
        <v>47</v>
      </c>
      <c r="C4130" t="s">
        <v>52</v>
      </c>
      <c r="D4130" t="s">
        <v>24</v>
      </c>
      <c r="E4130" t="s">
        <v>31</v>
      </c>
      <c r="F4130" s="9">
        <v>0.01</v>
      </c>
      <c r="G4130" s="10">
        <v>13462</v>
      </c>
      <c r="H4130">
        <v>5.6</v>
      </c>
      <c r="I4130" s="5">
        <f>ROUND(Marketing[[#This Row],[Clicks]]*Marketing[[#This Row],[Conversion_Rate]],0)</f>
        <v>4</v>
      </c>
      <c r="J4130" s="12">
        <f>Marketing[[#This Row],[Campaign_Cost]]/Marketing[[#This Row],[Customers]]</f>
        <v>3365.5</v>
      </c>
      <c r="K4130" t="s">
        <v>51</v>
      </c>
      <c r="L4130" t="s">
        <v>26</v>
      </c>
      <c r="M4130">
        <v>430</v>
      </c>
      <c r="N4130">
        <v>5690</v>
      </c>
      <c r="O4130">
        <v>5</v>
      </c>
      <c r="P4130" t="s">
        <v>42</v>
      </c>
      <c r="Q4130" s="1">
        <v>44310</v>
      </c>
    </row>
    <row r="4131" spans="1:17" x14ac:dyDescent="0.3">
      <c r="A4131" t="s">
        <v>28</v>
      </c>
      <c r="B4131" t="s">
        <v>15</v>
      </c>
      <c r="C4131" t="s">
        <v>52</v>
      </c>
      <c r="D4131" t="s">
        <v>46</v>
      </c>
      <c r="E4131" t="s">
        <v>41</v>
      </c>
      <c r="F4131" s="9">
        <v>0.1</v>
      </c>
      <c r="G4131" s="10">
        <v>16422</v>
      </c>
      <c r="H4131">
        <v>5.15</v>
      </c>
      <c r="I4131" s="5">
        <f>ROUND(Marketing[[#This Row],[Clicks]]*Marketing[[#This Row],[Conversion_Rate]],0)</f>
        <v>35</v>
      </c>
      <c r="J4131" s="12">
        <f>Marketing[[#This Row],[Campaign_Cost]]/Marketing[[#This Row],[Customers]]</f>
        <v>469.2</v>
      </c>
      <c r="K4131" t="s">
        <v>19</v>
      </c>
      <c r="L4131" t="s">
        <v>33</v>
      </c>
      <c r="M4131">
        <v>350</v>
      </c>
      <c r="N4131">
        <v>4495</v>
      </c>
      <c r="O4131">
        <v>3</v>
      </c>
      <c r="P4131" t="s">
        <v>44</v>
      </c>
      <c r="Q4131" s="1">
        <v>44311</v>
      </c>
    </row>
    <row r="4132" spans="1:17" x14ac:dyDescent="0.3">
      <c r="A4132" t="s">
        <v>28</v>
      </c>
      <c r="B4132" t="s">
        <v>29</v>
      </c>
      <c r="C4132" t="s">
        <v>16</v>
      </c>
      <c r="D4132" t="s">
        <v>40</v>
      </c>
      <c r="E4132" t="s">
        <v>48</v>
      </c>
      <c r="F4132" s="9">
        <v>7.0000000000000007E-2</v>
      </c>
      <c r="G4132" s="10">
        <v>8828</v>
      </c>
      <c r="H4132">
        <v>4.67</v>
      </c>
      <c r="I4132" s="5">
        <f>ROUND(Marketing[[#This Row],[Clicks]]*Marketing[[#This Row],[Conversion_Rate]],0)</f>
        <v>49</v>
      </c>
      <c r="J4132" s="12">
        <f>Marketing[[#This Row],[Campaign_Cost]]/Marketing[[#This Row],[Customers]]</f>
        <v>180.16326530612244</v>
      </c>
      <c r="K4132" t="s">
        <v>25</v>
      </c>
      <c r="L4132" t="s">
        <v>26</v>
      </c>
      <c r="M4132">
        <v>701</v>
      </c>
      <c r="N4132">
        <v>2974</v>
      </c>
      <c r="O4132">
        <v>7</v>
      </c>
      <c r="P4132" t="s">
        <v>42</v>
      </c>
      <c r="Q4132" s="1">
        <v>44312</v>
      </c>
    </row>
    <row r="4133" spans="1:17" x14ac:dyDescent="0.3">
      <c r="A4133" t="s">
        <v>14</v>
      </c>
      <c r="B4133" t="s">
        <v>29</v>
      </c>
      <c r="C4133" t="s">
        <v>37</v>
      </c>
      <c r="D4133" t="s">
        <v>17</v>
      </c>
      <c r="E4133" t="s">
        <v>48</v>
      </c>
      <c r="F4133" s="9">
        <v>0.03</v>
      </c>
      <c r="G4133" s="10">
        <v>14660</v>
      </c>
      <c r="H4133">
        <v>6.64</v>
      </c>
      <c r="I4133" s="5">
        <f>ROUND(Marketing[[#This Row],[Clicks]]*Marketing[[#This Row],[Conversion_Rate]],0)</f>
        <v>21</v>
      </c>
      <c r="J4133" s="12">
        <f>Marketing[[#This Row],[Campaign_Cost]]/Marketing[[#This Row],[Customers]]</f>
        <v>698.09523809523807</v>
      </c>
      <c r="K4133" t="s">
        <v>19</v>
      </c>
      <c r="L4133" t="s">
        <v>50</v>
      </c>
      <c r="M4133">
        <v>697</v>
      </c>
      <c r="N4133">
        <v>3036</v>
      </c>
      <c r="O4133">
        <v>8</v>
      </c>
      <c r="P4133" t="s">
        <v>27</v>
      </c>
      <c r="Q4133" s="1">
        <v>44313</v>
      </c>
    </row>
    <row r="4134" spans="1:17" x14ac:dyDescent="0.3">
      <c r="A4134" t="s">
        <v>14</v>
      </c>
      <c r="B4134" t="s">
        <v>15</v>
      </c>
      <c r="C4134" t="s">
        <v>37</v>
      </c>
      <c r="D4134" t="s">
        <v>46</v>
      </c>
      <c r="E4134" t="s">
        <v>41</v>
      </c>
      <c r="F4134" s="9">
        <v>0.05</v>
      </c>
      <c r="G4134" s="10">
        <v>7747</v>
      </c>
      <c r="H4134">
        <v>7.14</v>
      </c>
      <c r="I4134" s="5">
        <f>ROUND(Marketing[[#This Row],[Clicks]]*Marketing[[#This Row],[Conversion_Rate]],0)</f>
        <v>31</v>
      </c>
      <c r="J4134" s="12">
        <f>Marketing[[#This Row],[Campaign_Cost]]/Marketing[[#This Row],[Customers]]</f>
        <v>249.90322580645162</v>
      </c>
      <c r="K4134" t="s">
        <v>25</v>
      </c>
      <c r="L4134" t="s">
        <v>20</v>
      </c>
      <c r="M4134">
        <v>623</v>
      </c>
      <c r="N4134">
        <v>1388</v>
      </c>
      <c r="O4134">
        <v>9</v>
      </c>
      <c r="P4134" t="s">
        <v>42</v>
      </c>
      <c r="Q4134" s="1">
        <v>44314</v>
      </c>
    </row>
    <row r="4135" spans="1:17" x14ac:dyDescent="0.3">
      <c r="A4135" t="s">
        <v>14</v>
      </c>
      <c r="B4135" t="s">
        <v>29</v>
      </c>
      <c r="C4135" t="s">
        <v>30</v>
      </c>
      <c r="D4135" t="s">
        <v>40</v>
      </c>
      <c r="E4135" t="s">
        <v>18</v>
      </c>
      <c r="F4135" s="9">
        <v>0.06</v>
      </c>
      <c r="G4135" s="10">
        <v>10198</v>
      </c>
      <c r="H4135">
        <v>6.43</v>
      </c>
      <c r="I4135" s="5">
        <f>ROUND(Marketing[[#This Row],[Clicks]]*Marketing[[#This Row],[Conversion_Rate]],0)</f>
        <v>58</v>
      </c>
      <c r="J4135" s="12">
        <f>Marketing[[#This Row],[Campaign_Cost]]/Marketing[[#This Row],[Customers]]</f>
        <v>175.82758620689654</v>
      </c>
      <c r="K4135" t="s">
        <v>32</v>
      </c>
      <c r="L4135" t="s">
        <v>39</v>
      </c>
      <c r="M4135">
        <v>970</v>
      </c>
      <c r="N4135">
        <v>7743</v>
      </c>
      <c r="O4135">
        <v>1</v>
      </c>
      <c r="P4135" t="s">
        <v>42</v>
      </c>
      <c r="Q4135" s="1">
        <v>44315</v>
      </c>
    </row>
    <row r="4136" spans="1:17" x14ac:dyDescent="0.3">
      <c r="A4136" t="s">
        <v>35</v>
      </c>
      <c r="B4136" t="s">
        <v>15</v>
      </c>
      <c r="C4136" t="s">
        <v>16</v>
      </c>
      <c r="D4136" t="s">
        <v>24</v>
      </c>
      <c r="E4136" t="s">
        <v>18</v>
      </c>
      <c r="F4136" s="9">
        <v>0.02</v>
      </c>
      <c r="G4136" s="10">
        <v>5365</v>
      </c>
      <c r="H4136">
        <v>3.87</v>
      </c>
      <c r="I4136" s="5">
        <f>ROUND(Marketing[[#This Row],[Clicks]]*Marketing[[#This Row],[Conversion_Rate]],0)</f>
        <v>6</v>
      </c>
      <c r="J4136" s="12">
        <f>Marketing[[#This Row],[Campaign_Cost]]/Marketing[[#This Row],[Customers]]</f>
        <v>894.16666666666663</v>
      </c>
      <c r="K4136" t="s">
        <v>38</v>
      </c>
      <c r="L4136" t="s">
        <v>39</v>
      </c>
      <c r="M4136">
        <v>275</v>
      </c>
      <c r="N4136">
        <v>5309</v>
      </c>
      <c r="O4136">
        <v>2</v>
      </c>
      <c r="P4136" t="s">
        <v>21</v>
      </c>
      <c r="Q4136" s="1">
        <v>44316</v>
      </c>
    </row>
    <row r="4137" spans="1:17" x14ac:dyDescent="0.3">
      <c r="A4137" t="s">
        <v>22</v>
      </c>
      <c r="B4137" t="s">
        <v>15</v>
      </c>
      <c r="C4137" t="s">
        <v>52</v>
      </c>
      <c r="D4137" t="s">
        <v>17</v>
      </c>
      <c r="E4137" t="s">
        <v>43</v>
      </c>
      <c r="F4137" s="9">
        <v>7.0000000000000007E-2</v>
      </c>
      <c r="G4137" s="10">
        <v>9446</v>
      </c>
      <c r="H4137">
        <v>4.13</v>
      </c>
      <c r="I4137" s="5">
        <f>ROUND(Marketing[[#This Row],[Clicks]]*Marketing[[#This Row],[Conversion_Rate]],0)</f>
        <v>47</v>
      </c>
      <c r="J4137" s="12">
        <f>Marketing[[#This Row],[Campaign_Cost]]/Marketing[[#This Row],[Customers]]</f>
        <v>200.97872340425531</v>
      </c>
      <c r="K4137" t="s">
        <v>38</v>
      </c>
      <c r="L4137" t="s">
        <v>33</v>
      </c>
      <c r="M4137">
        <v>670</v>
      </c>
      <c r="N4137">
        <v>2689</v>
      </c>
      <c r="O4137">
        <v>9</v>
      </c>
      <c r="P4137" t="s">
        <v>21</v>
      </c>
      <c r="Q4137" s="1">
        <v>44317</v>
      </c>
    </row>
    <row r="4138" spans="1:17" x14ac:dyDescent="0.3">
      <c r="A4138" t="s">
        <v>28</v>
      </c>
      <c r="B4138" t="s">
        <v>29</v>
      </c>
      <c r="C4138" t="s">
        <v>30</v>
      </c>
      <c r="D4138" t="s">
        <v>40</v>
      </c>
      <c r="E4138" t="s">
        <v>18</v>
      </c>
      <c r="F4138" s="9">
        <v>0.1</v>
      </c>
      <c r="G4138" s="10">
        <v>11690</v>
      </c>
      <c r="H4138">
        <v>6.63</v>
      </c>
      <c r="I4138" s="5">
        <f>ROUND(Marketing[[#This Row],[Clicks]]*Marketing[[#This Row],[Conversion_Rate]],0)</f>
        <v>57</v>
      </c>
      <c r="J4138" s="12">
        <f>Marketing[[#This Row],[Campaign_Cost]]/Marketing[[#This Row],[Customers]]</f>
        <v>205.08771929824562</v>
      </c>
      <c r="K4138" t="s">
        <v>25</v>
      </c>
      <c r="L4138" t="s">
        <v>39</v>
      </c>
      <c r="M4138">
        <v>569</v>
      </c>
      <c r="N4138">
        <v>6936</v>
      </c>
      <c r="O4138">
        <v>5</v>
      </c>
      <c r="P4138" t="s">
        <v>27</v>
      </c>
      <c r="Q4138" s="1">
        <v>44318</v>
      </c>
    </row>
    <row r="4139" spans="1:17" x14ac:dyDescent="0.3">
      <c r="A4139" t="s">
        <v>22</v>
      </c>
      <c r="B4139" t="s">
        <v>29</v>
      </c>
      <c r="C4139" t="s">
        <v>16</v>
      </c>
      <c r="D4139" t="s">
        <v>17</v>
      </c>
      <c r="E4139" t="s">
        <v>41</v>
      </c>
      <c r="F4139" s="9">
        <v>0.08</v>
      </c>
      <c r="G4139" s="10">
        <v>13708</v>
      </c>
      <c r="H4139">
        <v>5.66</v>
      </c>
      <c r="I4139" s="5">
        <f>ROUND(Marketing[[#This Row],[Clicks]]*Marketing[[#This Row],[Conversion_Rate]],0)</f>
        <v>74</v>
      </c>
      <c r="J4139" s="12">
        <f>Marketing[[#This Row],[Campaign_Cost]]/Marketing[[#This Row],[Customers]]</f>
        <v>185.24324324324326</v>
      </c>
      <c r="K4139" t="s">
        <v>51</v>
      </c>
      <c r="L4139" t="s">
        <v>26</v>
      </c>
      <c r="M4139">
        <v>921</v>
      </c>
      <c r="N4139">
        <v>7183</v>
      </c>
      <c r="O4139">
        <v>5</v>
      </c>
      <c r="P4139" t="s">
        <v>42</v>
      </c>
      <c r="Q4139" s="1">
        <v>44319</v>
      </c>
    </row>
    <row r="4140" spans="1:17" x14ac:dyDescent="0.3">
      <c r="A4140" t="s">
        <v>35</v>
      </c>
      <c r="B4140" t="s">
        <v>45</v>
      </c>
      <c r="C4140" t="s">
        <v>23</v>
      </c>
      <c r="D4140" t="s">
        <v>40</v>
      </c>
      <c r="E4140" t="s">
        <v>43</v>
      </c>
      <c r="F4140" s="9">
        <v>0.05</v>
      </c>
      <c r="G4140" s="10">
        <v>8459</v>
      </c>
      <c r="H4140">
        <v>2.91</v>
      </c>
      <c r="I4140" s="5">
        <f>ROUND(Marketing[[#This Row],[Clicks]]*Marketing[[#This Row],[Conversion_Rate]],0)</f>
        <v>35</v>
      </c>
      <c r="J4140" s="12">
        <f>Marketing[[#This Row],[Campaign_Cost]]/Marketing[[#This Row],[Customers]]</f>
        <v>241.68571428571428</v>
      </c>
      <c r="K4140" t="s">
        <v>25</v>
      </c>
      <c r="L4140" t="s">
        <v>20</v>
      </c>
      <c r="M4140">
        <v>707</v>
      </c>
      <c r="N4140">
        <v>6723</v>
      </c>
      <c r="O4140">
        <v>5</v>
      </c>
      <c r="P4140" t="s">
        <v>27</v>
      </c>
      <c r="Q4140" s="1">
        <v>44320</v>
      </c>
    </row>
    <row r="4141" spans="1:17" x14ac:dyDescent="0.3">
      <c r="A4141" t="s">
        <v>14</v>
      </c>
      <c r="B4141" t="s">
        <v>29</v>
      </c>
      <c r="C4141" t="s">
        <v>52</v>
      </c>
      <c r="D4141" t="s">
        <v>24</v>
      </c>
      <c r="E4141" t="s">
        <v>41</v>
      </c>
      <c r="F4141" s="9">
        <v>0.14000000000000001</v>
      </c>
      <c r="G4141" s="10">
        <v>13549</v>
      </c>
      <c r="H4141">
        <v>4.3899999999999997</v>
      </c>
      <c r="I4141" s="5">
        <f>ROUND(Marketing[[#This Row],[Clicks]]*Marketing[[#This Row],[Conversion_Rate]],0)</f>
        <v>87</v>
      </c>
      <c r="J4141" s="12">
        <f>Marketing[[#This Row],[Campaign_Cost]]/Marketing[[#This Row],[Customers]]</f>
        <v>155.73563218390805</v>
      </c>
      <c r="K4141" t="s">
        <v>51</v>
      </c>
      <c r="L4141" t="s">
        <v>50</v>
      </c>
      <c r="M4141">
        <v>618</v>
      </c>
      <c r="N4141">
        <v>3916</v>
      </c>
      <c r="O4141">
        <v>8</v>
      </c>
      <c r="P4141" t="s">
        <v>42</v>
      </c>
      <c r="Q4141" s="1">
        <v>44321</v>
      </c>
    </row>
    <row r="4142" spans="1:17" x14ac:dyDescent="0.3">
      <c r="A4142" t="s">
        <v>22</v>
      </c>
      <c r="B4142" t="s">
        <v>47</v>
      </c>
      <c r="C4142" t="s">
        <v>16</v>
      </c>
      <c r="D4142" t="s">
        <v>24</v>
      </c>
      <c r="E4142" t="s">
        <v>18</v>
      </c>
      <c r="F4142" s="9">
        <v>0.03</v>
      </c>
      <c r="G4142" s="10">
        <v>6941</v>
      </c>
      <c r="H4142">
        <v>3.11</v>
      </c>
      <c r="I4142" s="5">
        <f>ROUND(Marketing[[#This Row],[Clicks]]*Marketing[[#This Row],[Conversion_Rate]],0)</f>
        <v>21</v>
      </c>
      <c r="J4142" s="12">
        <f>Marketing[[#This Row],[Campaign_Cost]]/Marketing[[#This Row],[Customers]]</f>
        <v>330.52380952380952</v>
      </c>
      <c r="K4142" t="s">
        <v>51</v>
      </c>
      <c r="L4142" t="s">
        <v>50</v>
      </c>
      <c r="M4142">
        <v>687</v>
      </c>
      <c r="N4142">
        <v>4855</v>
      </c>
      <c r="O4142">
        <v>7</v>
      </c>
      <c r="P4142" t="s">
        <v>21</v>
      </c>
      <c r="Q4142" s="1">
        <v>44322</v>
      </c>
    </row>
    <row r="4143" spans="1:17" x14ac:dyDescent="0.3">
      <c r="A4143" t="s">
        <v>22</v>
      </c>
      <c r="B4143" t="s">
        <v>47</v>
      </c>
      <c r="C4143" t="s">
        <v>23</v>
      </c>
      <c r="D4143" t="s">
        <v>17</v>
      </c>
      <c r="E4143" t="s">
        <v>48</v>
      </c>
      <c r="F4143" s="9">
        <v>0.09</v>
      </c>
      <c r="G4143" s="10">
        <v>17451</v>
      </c>
      <c r="H4143">
        <v>2.2799999999999998</v>
      </c>
      <c r="I4143" s="5">
        <f>ROUND(Marketing[[#This Row],[Clicks]]*Marketing[[#This Row],[Conversion_Rate]],0)</f>
        <v>12</v>
      </c>
      <c r="J4143" s="12">
        <f>Marketing[[#This Row],[Campaign_Cost]]/Marketing[[#This Row],[Customers]]</f>
        <v>1454.25</v>
      </c>
      <c r="K4143" t="s">
        <v>25</v>
      </c>
      <c r="L4143" t="s">
        <v>39</v>
      </c>
      <c r="M4143">
        <v>138</v>
      </c>
      <c r="N4143">
        <v>5069</v>
      </c>
      <c r="O4143">
        <v>5</v>
      </c>
      <c r="P4143" t="s">
        <v>21</v>
      </c>
      <c r="Q4143" s="1">
        <v>44323</v>
      </c>
    </row>
    <row r="4144" spans="1:17" x14ac:dyDescent="0.3">
      <c r="A4144" t="s">
        <v>35</v>
      </c>
      <c r="B4144" t="s">
        <v>29</v>
      </c>
      <c r="C4144" t="s">
        <v>37</v>
      </c>
      <c r="D4144" t="s">
        <v>46</v>
      </c>
      <c r="E4144" t="s">
        <v>48</v>
      </c>
      <c r="F4144" s="9">
        <v>0.08</v>
      </c>
      <c r="G4144" s="10">
        <v>11269</v>
      </c>
      <c r="H4144">
        <v>7.01</v>
      </c>
      <c r="I4144" s="5">
        <f>ROUND(Marketing[[#This Row],[Clicks]]*Marketing[[#This Row],[Conversion_Rate]],0)</f>
        <v>20</v>
      </c>
      <c r="J4144" s="12">
        <f>Marketing[[#This Row],[Campaign_Cost]]/Marketing[[#This Row],[Customers]]</f>
        <v>563.45000000000005</v>
      </c>
      <c r="K4144" t="s">
        <v>38</v>
      </c>
      <c r="L4144" t="s">
        <v>33</v>
      </c>
      <c r="M4144">
        <v>255</v>
      </c>
      <c r="N4144">
        <v>1020</v>
      </c>
      <c r="O4144">
        <v>5</v>
      </c>
      <c r="P4144" t="s">
        <v>21</v>
      </c>
      <c r="Q4144" s="1">
        <v>44324</v>
      </c>
    </row>
    <row r="4145" spans="1:17" x14ac:dyDescent="0.3">
      <c r="A4145" t="s">
        <v>22</v>
      </c>
      <c r="B4145" t="s">
        <v>29</v>
      </c>
      <c r="C4145" t="s">
        <v>30</v>
      </c>
      <c r="D4145" t="s">
        <v>24</v>
      </c>
      <c r="E4145" t="s">
        <v>18</v>
      </c>
      <c r="F4145" s="9">
        <v>7.0000000000000007E-2</v>
      </c>
      <c r="G4145" s="10">
        <v>17231</v>
      </c>
      <c r="H4145">
        <v>6.54</v>
      </c>
      <c r="I4145" s="5">
        <f>ROUND(Marketing[[#This Row],[Clicks]]*Marketing[[#This Row],[Conversion_Rate]],0)</f>
        <v>31</v>
      </c>
      <c r="J4145" s="12">
        <f>Marketing[[#This Row],[Campaign_Cost]]/Marketing[[#This Row],[Customers]]</f>
        <v>555.83870967741939</v>
      </c>
      <c r="K4145" t="s">
        <v>51</v>
      </c>
      <c r="L4145" t="s">
        <v>50</v>
      </c>
      <c r="M4145">
        <v>448</v>
      </c>
      <c r="N4145">
        <v>5918</v>
      </c>
      <c r="O4145">
        <v>8</v>
      </c>
      <c r="P4145" t="s">
        <v>27</v>
      </c>
      <c r="Q4145" s="1">
        <v>44325</v>
      </c>
    </row>
    <row r="4146" spans="1:17" x14ac:dyDescent="0.3">
      <c r="A4146" t="s">
        <v>28</v>
      </c>
      <c r="B4146" t="s">
        <v>29</v>
      </c>
      <c r="C4146" t="s">
        <v>30</v>
      </c>
      <c r="D4146" t="s">
        <v>17</v>
      </c>
      <c r="E4146" t="s">
        <v>48</v>
      </c>
      <c r="F4146" s="9">
        <v>0.15</v>
      </c>
      <c r="G4146" s="10">
        <v>17100</v>
      </c>
      <c r="H4146">
        <v>6.6</v>
      </c>
      <c r="I4146" s="5">
        <f>ROUND(Marketing[[#This Row],[Clicks]]*Marketing[[#This Row],[Conversion_Rate]],0)</f>
        <v>139</v>
      </c>
      <c r="J4146" s="12">
        <f>Marketing[[#This Row],[Campaign_Cost]]/Marketing[[#This Row],[Customers]]</f>
        <v>123.02158273381295</v>
      </c>
      <c r="K4146" t="s">
        <v>19</v>
      </c>
      <c r="L4146" t="s">
        <v>39</v>
      </c>
      <c r="M4146">
        <v>925</v>
      </c>
      <c r="N4146">
        <v>5047</v>
      </c>
      <c r="O4146">
        <v>4</v>
      </c>
      <c r="P4146" t="s">
        <v>44</v>
      </c>
      <c r="Q4146" s="1">
        <v>44326</v>
      </c>
    </row>
    <row r="4147" spans="1:17" x14ac:dyDescent="0.3">
      <c r="A4147" t="s">
        <v>14</v>
      </c>
      <c r="B4147" t="s">
        <v>45</v>
      </c>
      <c r="C4147" t="s">
        <v>16</v>
      </c>
      <c r="D4147" t="s">
        <v>46</v>
      </c>
      <c r="E4147" t="s">
        <v>48</v>
      </c>
      <c r="F4147" s="9">
        <v>0.09</v>
      </c>
      <c r="G4147" s="10">
        <v>12568</v>
      </c>
      <c r="H4147">
        <v>6.47</v>
      </c>
      <c r="I4147" s="5">
        <f>ROUND(Marketing[[#This Row],[Clicks]]*Marketing[[#This Row],[Conversion_Rate]],0)</f>
        <v>27</v>
      </c>
      <c r="J4147" s="12">
        <f>Marketing[[#This Row],[Campaign_Cost]]/Marketing[[#This Row],[Customers]]</f>
        <v>465.48148148148147</v>
      </c>
      <c r="K4147" t="s">
        <v>32</v>
      </c>
      <c r="L4147" t="s">
        <v>33</v>
      </c>
      <c r="M4147">
        <v>298</v>
      </c>
      <c r="N4147">
        <v>8467</v>
      </c>
      <c r="O4147">
        <v>7</v>
      </c>
      <c r="P4147" t="s">
        <v>34</v>
      </c>
      <c r="Q4147" s="1">
        <v>44327</v>
      </c>
    </row>
    <row r="4148" spans="1:17" x14ac:dyDescent="0.3">
      <c r="A4148" t="s">
        <v>14</v>
      </c>
      <c r="B4148" t="s">
        <v>29</v>
      </c>
      <c r="C4148" t="s">
        <v>23</v>
      </c>
      <c r="D4148" t="s">
        <v>40</v>
      </c>
      <c r="E4148" t="s">
        <v>15</v>
      </c>
      <c r="F4148" s="9">
        <v>0.06</v>
      </c>
      <c r="G4148" s="10">
        <v>19772</v>
      </c>
      <c r="H4148">
        <v>2.14</v>
      </c>
      <c r="I4148" s="5">
        <f>ROUND(Marketing[[#This Row],[Clicks]]*Marketing[[#This Row],[Conversion_Rate]],0)</f>
        <v>25</v>
      </c>
      <c r="J4148" s="12">
        <f>Marketing[[#This Row],[Campaign_Cost]]/Marketing[[#This Row],[Customers]]</f>
        <v>790.88</v>
      </c>
      <c r="K4148" t="s">
        <v>32</v>
      </c>
      <c r="L4148" t="s">
        <v>26</v>
      </c>
      <c r="M4148">
        <v>412</v>
      </c>
      <c r="N4148">
        <v>2317</v>
      </c>
      <c r="O4148">
        <v>1</v>
      </c>
      <c r="P4148" t="s">
        <v>34</v>
      </c>
      <c r="Q4148" s="1">
        <v>44328</v>
      </c>
    </row>
    <row r="4149" spans="1:17" x14ac:dyDescent="0.3">
      <c r="A4149" t="s">
        <v>49</v>
      </c>
      <c r="B4149" t="s">
        <v>15</v>
      </c>
      <c r="C4149" t="s">
        <v>37</v>
      </c>
      <c r="D4149" t="s">
        <v>46</v>
      </c>
      <c r="E4149" t="s">
        <v>18</v>
      </c>
      <c r="F4149" s="9">
        <v>0.05</v>
      </c>
      <c r="G4149" s="10">
        <v>19209</v>
      </c>
      <c r="H4149">
        <v>4.09</v>
      </c>
      <c r="I4149" s="5">
        <f>ROUND(Marketing[[#This Row],[Clicks]]*Marketing[[#This Row],[Conversion_Rate]],0)</f>
        <v>7</v>
      </c>
      <c r="J4149" s="12">
        <f>Marketing[[#This Row],[Campaign_Cost]]/Marketing[[#This Row],[Customers]]</f>
        <v>2744.1428571428573</v>
      </c>
      <c r="K4149" t="s">
        <v>25</v>
      </c>
      <c r="L4149" t="s">
        <v>26</v>
      </c>
      <c r="M4149">
        <v>138</v>
      </c>
      <c r="N4149">
        <v>2087</v>
      </c>
      <c r="O4149">
        <v>1</v>
      </c>
      <c r="P4149" t="s">
        <v>21</v>
      </c>
      <c r="Q4149" s="1">
        <v>44329</v>
      </c>
    </row>
    <row r="4150" spans="1:17" x14ac:dyDescent="0.3">
      <c r="A4150" t="s">
        <v>28</v>
      </c>
      <c r="B4150" t="s">
        <v>29</v>
      </c>
      <c r="C4150" t="s">
        <v>16</v>
      </c>
      <c r="D4150" t="s">
        <v>24</v>
      </c>
      <c r="E4150" t="s">
        <v>18</v>
      </c>
      <c r="F4150" s="9">
        <v>0.14000000000000001</v>
      </c>
      <c r="G4150" s="10">
        <v>9688</v>
      </c>
      <c r="H4150">
        <v>2.5</v>
      </c>
      <c r="I4150" s="5">
        <f>ROUND(Marketing[[#This Row],[Clicks]]*Marketing[[#This Row],[Conversion_Rate]],0)</f>
        <v>61</v>
      </c>
      <c r="J4150" s="12">
        <f>Marketing[[#This Row],[Campaign_Cost]]/Marketing[[#This Row],[Customers]]</f>
        <v>158.81967213114754</v>
      </c>
      <c r="K4150" t="s">
        <v>51</v>
      </c>
      <c r="L4150" t="s">
        <v>50</v>
      </c>
      <c r="M4150">
        <v>435</v>
      </c>
      <c r="N4150">
        <v>4552</v>
      </c>
      <c r="O4150">
        <v>6</v>
      </c>
      <c r="P4150" t="s">
        <v>44</v>
      </c>
      <c r="Q4150" s="1">
        <v>44330</v>
      </c>
    </row>
    <row r="4151" spans="1:17" x14ac:dyDescent="0.3">
      <c r="A4151" t="s">
        <v>35</v>
      </c>
      <c r="B4151" t="s">
        <v>47</v>
      </c>
      <c r="C4151" t="s">
        <v>23</v>
      </c>
      <c r="D4151" t="s">
        <v>24</v>
      </c>
      <c r="E4151" t="s">
        <v>15</v>
      </c>
      <c r="F4151" s="9">
        <v>0.11</v>
      </c>
      <c r="G4151" s="10">
        <v>8801</v>
      </c>
      <c r="H4151">
        <v>3.63</v>
      </c>
      <c r="I4151" s="5">
        <f>ROUND(Marketing[[#This Row],[Clicks]]*Marketing[[#This Row],[Conversion_Rate]],0)</f>
        <v>21</v>
      </c>
      <c r="J4151" s="12">
        <f>Marketing[[#This Row],[Campaign_Cost]]/Marketing[[#This Row],[Customers]]</f>
        <v>419.09523809523807</v>
      </c>
      <c r="K4151" t="s">
        <v>25</v>
      </c>
      <c r="L4151" t="s">
        <v>33</v>
      </c>
      <c r="M4151">
        <v>195</v>
      </c>
      <c r="N4151">
        <v>5811</v>
      </c>
      <c r="O4151">
        <v>7</v>
      </c>
      <c r="P4151" t="s">
        <v>34</v>
      </c>
      <c r="Q4151" s="1">
        <v>44331</v>
      </c>
    </row>
    <row r="4152" spans="1:17" x14ac:dyDescent="0.3">
      <c r="A4152" t="s">
        <v>28</v>
      </c>
      <c r="B4152" t="s">
        <v>47</v>
      </c>
      <c r="C4152" t="s">
        <v>30</v>
      </c>
      <c r="D4152" t="s">
        <v>40</v>
      </c>
      <c r="E4152" t="s">
        <v>41</v>
      </c>
      <c r="F4152" s="9">
        <v>0.13</v>
      </c>
      <c r="G4152" s="10">
        <v>5621</v>
      </c>
      <c r="H4152">
        <v>2.27</v>
      </c>
      <c r="I4152" s="5">
        <f>ROUND(Marketing[[#This Row],[Clicks]]*Marketing[[#This Row],[Conversion_Rate]],0)</f>
        <v>41</v>
      </c>
      <c r="J4152" s="12">
        <f>Marketing[[#This Row],[Campaign_Cost]]/Marketing[[#This Row],[Customers]]</f>
        <v>137.09756097560975</v>
      </c>
      <c r="K4152" t="s">
        <v>32</v>
      </c>
      <c r="L4152" t="s">
        <v>26</v>
      </c>
      <c r="M4152">
        <v>319</v>
      </c>
      <c r="N4152">
        <v>6126</v>
      </c>
      <c r="O4152">
        <v>5</v>
      </c>
      <c r="P4152" t="s">
        <v>21</v>
      </c>
      <c r="Q4152" s="1">
        <v>44332</v>
      </c>
    </row>
    <row r="4153" spans="1:17" x14ac:dyDescent="0.3">
      <c r="A4153" t="s">
        <v>35</v>
      </c>
      <c r="B4153" t="s">
        <v>15</v>
      </c>
      <c r="C4153" t="s">
        <v>23</v>
      </c>
      <c r="D4153" t="s">
        <v>46</v>
      </c>
      <c r="E4153" t="s">
        <v>43</v>
      </c>
      <c r="F4153" s="9">
        <v>0.05</v>
      </c>
      <c r="G4153" s="10">
        <v>6876</v>
      </c>
      <c r="H4153">
        <v>3.9</v>
      </c>
      <c r="I4153" s="5">
        <f>ROUND(Marketing[[#This Row],[Clicks]]*Marketing[[#This Row],[Conversion_Rate]],0)</f>
        <v>45</v>
      </c>
      <c r="J4153" s="12">
        <f>Marketing[[#This Row],[Campaign_Cost]]/Marketing[[#This Row],[Customers]]</f>
        <v>152.80000000000001</v>
      </c>
      <c r="K4153" t="s">
        <v>38</v>
      </c>
      <c r="L4153" t="s">
        <v>50</v>
      </c>
      <c r="M4153">
        <v>892</v>
      </c>
      <c r="N4153">
        <v>3998</v>
      </c>
      <c r="O4153">
        <v>6</v>
      </c>
      <c r="P4153" t="s">
        <v>34</v>
      </c>
      <c r="Q4153" s="1">
        <v>44333</v>
      </c>
    </row>
    <row r="4154" spans="1:17" x14ac:dyDescent="0.3">
      <c r="A4154" t="s">
        <v>49</v>
      </c>
      <c r="B4154" t="s">
        <v>15</v>
      </c>
      <c r="C4154" t="s">
        <v>23</v>
      </c>
      <c r="D4154" t="s">
        <v>24</v>
      </c>
      <c r="E4154" t="s">
        <v>18</v>
      </c>
      <c r="F4154" s="9">
        <v>0.11</v>
      </c>
      <c r="G4154" s="10">
        <v>17899</v>
      </c>
      <c r="H4154">
        <v>3.11</v>
      </c>
      <c r="I4154" s="5">
        <f>ROUND(Marketing[[#This Row],[Clicks]]*Marketing[[#This Row],[Conversion_Rate]],0)</f>
        <v>33</v>
      </c>
      <c r="J4154" s="12">
        <f>Marketing[[#This Row],[Campaign_Cost]]/Marketing[[#This Row],[Customers]]</f>
        <v>542.39393939393938</v>
      </c>
      <c r="K4154" t="s">
        <v>38</v>
      </c>
      <c r="L4154" t="s">
        <v>33</v>
      </c>
      <c r="M4154">
        <v>300</v>
      </c>
      <c r="N4154">
        <v>6070</v>
      </c>
      <c r="O4154">
        <v>6</v>
      </c>
      <c r="P4154" t="s">
        <v>44</v>
      </c>
      <c r="Q4154" s="1">
        <v>44334</v>
      </c>
    </row>
    <row r="4155" spans="1:17" x14ac:dyDescent="0.3">
      <c r="A4155" t="s">
        <v>28</v>
      </c>
      <c r="B4155" t="s">
        <v>29</v>
      </c>
      <c r="C4155" t="s">
        <v>23</v>
      </c>
      <c r="D4155" t="s">
        <v>17</v>
      </c>
      <c r="E4155" t="s">
        <v>43</v>
      </c>
      <c r="F4155" s="9">
        <v>0.08</v>
      </c>
      <c r="G4155" s="10">
        <v>5399</v>
      </c>
      <c r="H4155">
        <v>7.15</v>
      </c>
      <c r="I4155" s="5">
        <f>ROUND(Marketing[[#This Row],[Clicks]]*Marketing[[#This Row],[Conversion_Rate]],0)</f>
        <v>47</v>
      </c>
      <c r="J4155" s="12">
        <f>Marketing[[#This Row],[Campaign_Cost]]/Marketing[[#This Row],[Customers]]</f>
        <v>114.87234042553192</v>
      </c>
      <c r="K4155" t="s">
        <v>19</v>
      </c>
      <c r="L4155" t="s">
        <v>26</v>
      </c>
      <c r="M4155">
        <v>585</v>
      </c>
      <c r="N4155">
        <v>7041</v>
      </c>
      <c r="O4155">
        <v>9</v>
      </c>
      <c r="P4155" t="s">
        <v>27</v>
      </c>
      <c r="Q4155" s="1">
        <v>44335</v>
      </c>
    </row>
    <row r="4156" spans="1:17" x14ac:dyDescent="0.3">
      <c r="A4156" t="s">
        <v>35</v>
      </c>
      <c r="B4156" t="s">
        <v>15</v>
      </c>
      <c r="C4156" t="s">
        <v>16</v>
      </c>
      <c r="D4156" t="s">
        <v>40</v>
      </c>
      <c r="E4156" t="s">
        <v>18</v>
      </c>
      <c r="F4156" s="9">
        <v>0.08</v>
      </c>
      <c r="G4156" s="10">
        <v>11432</v>
      </c>
      <c r="H4156">
        <v>7.58</v>
      </c>
      <c r="I4156" s="5">
        <f>ROUND(Marketing[[#This Row],[Clicks]]*Marketing[[#This Row],[Conversion_Rate]],0)</f>
        <v>63</v>
      </c>
      <c r="J4156" s="12">
        <f>Marketing[[#This Row],[Campaign_Cost]]/Marketing[[#This Row],[Customers]]</f>
        <v>181.46031746031747</v>
      </c>
      <c r="K4156" t="s">
        <v>51</v>
      </c>
      <c r="L4156" t="s">
        <v>39</v>
      </c>
      <c r="M4156">
        <v>792</v>
      </c>
      <c r="N4156">
        <v>6862</v>
      </c>
      <c r="O4156">
        <v>1</v>
      </c>
      <c r="P4156" t="s">
        <v>27</v>
      </c>
      <c r="Q4156" s="1">
        <v>44336</v>
      </c>
    </row>
    <row r="4157" spans="1:17" x14ac:dyDescent="0.3">
      <c r="A4157" t="s">
        <v>28</v>
      </c>
      <c r="B4157" t="s">
        <v>29</v>
      </c>
      <c r="C4157" t="s">
        <v>37</v>
      </c>
      <c r="D4157" t="s">
        <v>40</v>
      </c>
      <c r="E4157" t="s">
        <v>31</v>
      </c>
      <c r="F4157" s="9">
        <v>7.0000000000000007E-2</v>
      </c>
      <c r="G4157" s="10">
        <v>13356</v>
      </c>
      <c r="H4157">
        <v>3.27</v>
      </c>
      <c r="I4157" s="5">
        <f>ROUND(Marketing[[#This Row],[Clicks]]*Marketing[[#This Row],[Conversion_Rate]],0)</f>
        <v>16</v>
      </c>
      <c r="J4157" s="12">
        <f>Marketing[[#This Row],[Campaign_Cost]]/Marketing[[#This Row],[Customers]]</f>
        <v>834.75</v>
      </c>
      <c r="K4157" t="s">
        <v>19</v>
      </c>
      <c r="L4157" t="s">
        <v>33</v>
      </c>
      <c r="M4157">
        <v>235</v>
      </c>
      <c r="N4157">
        <v>1947</v>
      </c>
      <c r="O4157">
        <v>10</v>
      </c>
      <c r="P4157" t="s">
        <v>42</v>
      </c>
      <c r="Q4157" s="1">
        <v>44337</v>
      </c>
    </row>
    <row r="4158" spans="1:17" x14ac:dyDescent="0.3">
      <c r="A4158" t="s">
        <v>28</v>
      </c>
      <c r="B4158" t="s">
        <v>15</v>
      </c>
      <c r="C4158" t="s">
        <v>16</v>
      </c>
      <c r="D4158" t="s">
        <v>17</v>
      </c>
      <c r="E4158" t="s">
        <v>43</v>
      </c>
      <c r="F4158" s="9">
        <v>0.12</v>
      </c>
      <c r="G4158" s="10">
        <v>17530</v>
      </c>
      <c r="H4158">
        <v>4.79</v>
      </c>
      <c r="I4158" s="5">
        <f>ROUND(Marketing[[#This Row],[Clicks]]*Marketing[[#This Row],[Conversion_Rate]],0)</f>
        <v>24</v>
      </c>
      <c r="J4158" s="12">
        <f>Marketing[[#This Row],[Campaign_Cost]]/Marketing[[#This Row],[Customers]]</f>
        <v>730.41666666666663</v>
      </c>
      <c r="K4158" t="s">
        <v>19</v>
      </c>
      <c r="L4158" t="s">
        <v>39</v>
      </c>
      <c r="M4158">
        <v>202</v>
      </c>
      <c r="N4158">
        <v>6420</v>
      </c>
      <c r="O4158">
        <v>9</v>
      </c>
      <c r="P4158" t="s">
        <v>27</v>
      </c>
      <c r="Q4158" s="1">
        <v>44338</v>
      </c>
    </row>
    <row r="4159" spans="1:17" x14ac:dyDescent="0.3">
      <c r="A4159" t="s">
        <v>22</v>
      </c>
      <c r="B4159" t="s">
        <v>45</v>
      </c>
      <c r="C4159" t="s">
        <v>37</v>
      </c>
      <c r="D4159" t="s">
        <v>24</v>
      </c>
      <c r="E4159" t="s">
        <v>15</v>
      </c>
      <c r="F4159" s="9">
        <v>0.01</v>
      </c>
      <c r="G4159" s="10">
        <v>12321</v>
      </c>
      <c r="H4159">
        <v>2.66</v>
      </c>
      <c r="I4159" s="5">
        <f>ROUND(Marketing[[#This Row],[Clicks]]*Marketing[[#This Row],[Conversion_Rate]],0)</f>
        <v>6</v>
      </c>
      <c r="J4159" s="12">
        <f>Marketing[[#This Row],[Campaign_Cost]]/Marketing[[#This Row],[Customers]]</f>
        <v>2053.5</v>
      </c>
      <c r="K4159" t="s">
        <v>51</v>
      </c>
      <c r="L4159" t="s">
        <v>20</v>
      </c>
      <c r="M4159">
        <v>644</v>
      </c>
      <c r="N4159">
        <v>1950</v>
      </c>
      <c r="O4159">
        <v>5</v>
      </c>
      <c r="P4159" t="s">
        <v>21</v>
      </c>
      <c r="Q4159" s="1">
        <v>44339</v>
      </c>
    </row>
    <row r="4160" spans="1:17" x14ac:dyDescent="0.3">
      <c r="A4160" t="s">
        <v>28</v>
      </c>
      <c r="B4160" t="s">
        <v>47</v>
      </c>
      <c r="C4160" t="s">
        <v>30</v>
      </c>
      <c r="D4160" t="s">
        <v>24</v>
      </c>
      <c r="E4160" t="s">
        <v>48</v>
      </c>
      <c r="F4160" s="9">
        <v>7.0000000000000007E-2</v>
      </c>
      <c r="G4160" s="10">
        <v>15478</v>
      </c>
      <c r="H4160">
        <v>3.46</v>
      </c>
      <c r="I4160" s="5">
        <f>ROUND(Marketing[[#This Row],[Clicks]]*Marketing[[#This Row],[Conversion_Rate]],0)</f>
        <v>22</v>
      </c>
      <c r="J4160" s="12">
        <f>Marketing[[#This Row],[Campaign_Cost]]/Marketing[[#This Row],[Customers]]</f>
        <v>703.5454545454545</v>
      </c>
      <c r="K4160" t="s">
        <v>32</v>
      </c>
      <c r="L4160" t="s">
        <v>26</v>
      </c>
      <c r="M4160">
        <v>310</v>
      </c>
      <c r="N4160">
        <v>2684</v>
      </c>
      <c r="O4160">
        <v>4</v>
      </c>
      <c r="P4160" t="s">
        <v>42</v>
      </c>
      <c r="Q4160" s="1">
        <v>44340</v>
      </c>
    </row>
    <row r="4161" spans="1:17" x14ac:dyDescent="0.3">
      <c r="A4161" t="s">
        <v>49</v>
      </c>
      <c r="B4161" t="s">
        <v>15</v>
      </c>
      <c r="C4161" t="s">
        <v>52</v>
      </c>
      <c r="D4161" t="s">
        <v>24</v>
      </c>
      <c r="E4161" t="s">
        <v>41</v>
      </c>
      <c r="F4161" s="9">
        <v>0.05</v>
      </c>
      <c r="G4161" s="10">
        <v>15663</v>
      </c>
      <c r="H4161">
        <v>2.12</v>
      </c>
      <c r="I4161" s="5">
        <f>ROUND(Marketing[[#This Row],[Clicks]]*Marketing[[#This Row],[Conversion_Rate]],0)</f>
        <v>43</v>
      </c>
      <c r="J4161" s="12">
        <f>Marketing[[#This Row],[Campaign_Cost]]/Marketing[[#This Row],[Customers]]</f>
        <v>364.25581395348837</v>
      </c>
      <c r="K4161" t="s">
        <v>19</v>
      </c>
      <c r="L4161" t="s">
        <v>50</v>
      </c>
      <c r="M4161">
        <v>851</v>
      </c>
      <c r="N4161">
        <v>1002</v>
      </c>
      <c r="O4161">
        <v>4</v>
      </c>
      <c r="P4161" t="s">
        <v>34</v>
      </c>
      <c r="Q4161" s="1">
        <v>44341</v>
      </c>
    </row>
    <row r="4162" spans="1:17" x14ac:dyDescent="0.3">
      <c r="A4162" t="s">
        <v>28</v>
      </c>
      <c r="B4162" t="s">
        <v>45</v>
      </c>
      <c r="C4162" t="s">
        <v>52</v>
      </c>
      <c r="D4162" t="s">
        <v>17</v>
      </c>
      <c r="E4162" t="s">
        <v>31</v>
      </c>
      <c r="F4162" s="9">
        <v>0.05</v>
      </c>
      <c r="G4162" s="10">
        <v>19951</v>
      </c>
      <c r="H4162">
        <v>6.19</v>
      </c>
      <c r="I4162" s="5">
        <f>ROUND(Marketing[[#This Row],[Clicks]]*Marketing[[#This Row],[Conversion_Rate]],0)</f>
        <v>50</v>
      </c>
      <c r="J4162" s="12">
        <f>Marketing[[#This Row],[Campaign_Cost]]/Marketing[[#This Row],[Customers]]</f>
        <v>399.02</v>
      </c>
      <c r="K4162" t="s">
        <v>38</v>
      </c>
      <c r="L4162" t="s">
        <v>33</v>
      </c>
      <c r="M4162">
        <v>992</v>
      </c>
      <c r="N4162">
        <v>4061</v>
      </c>
      <c r="O4162">
        <v>5</v>
      </c>
      <c r="P4162" t="s">
        <v>27</v>
      </c>
      <c r="Q4162" s="1">
        <v>44342</v>
      </c>
    </row>
    <row r="4163" spans="1:17" x14ac:dyDescent="0.3">
      <c r="A4163" t="s">
        <v>28</v>
      </c>
      <c r="B4163" t="s">
        <v>47</v>
      </c>
      <c r="C4163" t="s">
        <v>16</v>
      </c>
      <c r="D4163" t="s">
        <v>17</v>
      </c>
      <c r="E4163" t="s">
        <v>41</v>
      </c>
      <c r="F4163" s="9">
        <v>7.0000000000000007E-2</v>
      </c>
      <c r="G4163" s="10">
        <v>12503</v>
      </c>
      <c r="H4163">
        <v>6.98</v>
      </c>
      <c r="I4163" s="5">
        <f>ROUND(Marketing[[#This Row],[Clicks]]*Marketing[[#This Row],[Conversion_Rate]],0)</f>
        <v>53</v>
      </c>
      <c r="J4163" s="12">
        <f>Marketing[[#This Row],[Campaign_Cost]]/Marketing[[#This Row],[Customers]]</f>
        <v>235.90566037735849</v>
      </c>
      <c r="K4163" t="s">
        <v>25</v>
      </c>
      <c r="L4163" t="s">
        <v>26</v>
      </c>
      <c r="M4163">
        <v>759</v>
      </c>
      <c r="N4163">
        <v>1083</v>
      </c>
      <c r="O4163">
        <v>2</v>
      </c>
      <c r="P4163" t="s">
        <v>42</v>
      </c>
      <c r="Q4163" s="1">
        <v>44343</v>
      </c>
    </row>
    <row r="4164" spans="1:17" x14ac:dyDescent="0.3">
      <c r="A4164" t="s">
        <v>35</v>
      </c>
      <c r="B4164" t="s">
        <v>47</v>
      </c>
      <c r="C4164" t="s">
        <v>52</v>
      </c>
      <c r="D4164" t="s">
        <v>46</v>
      </c>
      <c r="E4164" t="s">
        <v>43</v>
      </c>
      <c r="F4164" s="9">
        <v>0.08</v>
      </c>
      <c r="G4164" s="10">
        <v>5682</v>
      </c>
      <c r="H4164">
        <v>3.16</v>
      </c>
      <c r="I4164" s="5">
        <f>ROUND(Marketing[[#This Row],[Clicks]]*Marketing[[#This Row],[Conversion_Rate]],0)</f>
        <v>60</v>
      </c>
      <c r="J4164" s="12">
        <f>Marketing[[#This Row],[Campaign_Cost]]/Marketing[[#This Row],[Customers]]</f>
        <v>94.7</v>
      </c>
      <c r="K4164" t="s">
        <v>19</v>
      </c>
      <c r="L4164" t="s">
        <v>26</v>
      </c>
      <c r="M4164">
        <v>752</v>
      </c>
      <c r="N4164">
        <v>7223</v>
      </c>
      <c r="O4164">
        <v>1</v>
      </c>
      <c r="P4164" t="s">
        <v>21</v>
      </c>
      <c r="Q4164" s="1">
        <v>44344</v>
      </c>
    </row>
    <row r="4165" spans="1:17" x14ac:dyDescent="0.3">
      <c r="A4165" t="s">
        <v>22</v>
      </c>
      <c r="B4165" t="s">
        <v>47</v>
      </c>
      <c r="C4165" t="s">
        <v>37</v>
      </c>
      <c r="D4165" t="s">
        <v>40</v>
      </c>
      <c r="E4165" t="s">
        <v>31</v>
      </c>
      <c r="F4165" s="9">
        <v>0.14000000000000001</v>
      </c>
      <c r="G4165" s="10">
        <v>16437</v>
      </c>
      <c r="H4165">
        <v>5.19</v>
      </c>
      <c r="I4165" s="5">
        <f>ROUND(Marketing[[#This Row],[Clicks]]*Marketing[[#This Row],[Conversion_Rate]],0)</f>
        <v>40</v>
      </c>
      <c r="J4165" s="12">
        <f>Marketing[[#This Row],[Campaign_Cost]]/Marketing[[#This Row],[Customers]]</f>
        <v>410.92500000000001</v>
      </c>
      <c r="K4165" t="s">
        <v>19</v>
      </c>
      <c r="L4165" t="s">
        <v>20</v>
      </c>
      <c r="M4165">
        <v>286</v>
      </c>
      <c r="N4165">
        <v>4963</v>
      </c>
      <c r="O4165">
        <v>10</v>
      </c>
      <c r="P4165" t="s">
        <v>44</v>
      </c>
      <c r="Q4165" s="1">
        <v>44345</v>
      </c>
    </row>
    <row r="4166" spans="1:17" x14ac:dyDescent="0.3">
      <c r="A4166" t="s">
        <v>22</v>
      </c>
      <c r="B4166" t="s">
        <v>29</v>
      </c>
      <c r="C4166" t="s">
        <v>16</v>
      </c>
      <c r="D4166" t="s">
        <v>40</v>
      </c>
      <c r="E4166" t="s">
        <v>43</v>
      </c>
      <c r="F4166" s="9">
        <v>0.12</v>
      </c>
      <c r="G4166" s="10">
        <v>17692</v>
      </c>
      <c r="H4166">
        <v>4</v>
      </c>
      <c r="I4166" s="5">
        <f>ROUND(Marketing[[#This Row],[Clicks]]*Marketing[[#This Row],[Conversion_Rate]],0)</f>
        <v>23</v>
      </c>
      <c r="J4166" s="12">
        <f>Marketing[[#This Row],[Campaign_Cost]]/Marketing[[#This Row],[Customers]]</f>
        <v>769.21739130434787</v>
      </c>
      <c r="K4166" t="s">
        <v>51</v>
      </c>
      <c r="L4166" t="s">
        <v>26</v>
      </c>
      <c r="M4166">
        <v>190</v>
      </c>
      <c r="N4166">
        <v>6054</v>
      </c>
      <c r="O4166">
        <v>5</v>
      </c>
      <c r="P4166" t="s">
        <v>27</v>
      </c>
      <c r="Q4166" s="1">
        <v>44346</v>
      </c>
    </row>
    <row r="4167" spans="1:17" x14ac:dyDescent="0.3">
      <c r="A4167" t="s">
        <v>22</v>
      </c>
      <c r="B4167" t="s">
        <v>36</v>
      </c>
      <c r="C4167" t="s">
        <v>52</v>
      </c>
      <c r="D4167" t="s">
        <v>17</v>
      </c>
      <c r="E4167" t="s">
        <v>48</v>
      </c>
      <c r="F4167" s="9">
        <v>0.08</v>
      </c>
      <c r="G4167" s="10">
        <v>12403</v>
      </c>
      <c r="H4167">
        <v>6.12</v>
      </c>
      <c r="I4167" s="5">
        <f>ROUND(Marketing[[#This Row],[Clicks]]*Marketing[[#This Row],[Conversion_Rate]],0)</f>
        <v>48</v>
      </c>
      <c r="J4167" s="12">
        <f>Marketing[[#This Row],[Campaign_Cost]]/Marketing[[#This Row],[Customers]]</f>
        <v>258.39583333333331</v>
      </c>
      <c r="K4167" t="s">
        <v>19</v>
      </c>
      <c r="L4167" t="s">
        <v>20</v>
      </c>
      <c r="M4167">
        <v>600</v>
      </c>
      <c r="N4167">
        <v>4015</v>
      </c>
      <c r="O4167">
        <v>2</v>
      </c>
      <c r="P4167" t="s">
        <v>44</v>
      </c>
      <c r="Q4167" s="1">
        <v>44347</v>
      </c>
    </row>
    <row r="4168" spans="1:17" x14ac:dyDescent="0.3">
      <c r="A4168" t="s">
        <v>22</v>
      </c>
      <c r="B4168" t="s">
        <v>45</v>
      </c>
      <c r="C4168" t="s">
        <v>52</v>
      </c>
      <c r="D4168" t="s">
        <v>46</v>
      </c>
      <c r="E4168" t="s">
        <v>41</v>
      </c>
      <c r="F4168" s="9">
        <v>0.09</v>
      </c>
      <c r="G4168" s="10">
        <v>17193</v>
      </c>
      <c r="H4168">
        <v>6.12</v>
      </c>
      <c r="I4168" s="5">
        <f>ROUND(Marketing[[#This Row],[Clicks]]*Marketing[[#This Row],[Conversion_Rate]],0)</f>
        <v>70</v>
      </c>
      <c r="J4168" s="12">
        <f>Marketing[[#This Row],[Campaign_Cost]]/Marketing[[#This Row],[Customers]]</f>
        <v>245.61428571428573</v>
      </c>
      <c r="K4168" t="s">
        <v>38</v>
      </c>
      <c r="L4168" t="s">
        <v>20</v>
      </c>
      <c r="M4168">
        <v>783</v>
      </c>
      <c r="N4168">
        <v>5160</v>
      </c>
      <c r="O4168">
        <v>7</v>
      </c>
      <c r="P4168" t="s">
        <v>42</v>
      </c>
      <c r="Q4168" s="1">
        <v>44348</v>
      </c>
    </row>
    <row r="4169" spans="1:17" x14ac:dyDescent="0.3">
      <c r="A4169" t="s">
        <v>14</v>
      </c>
      <c r="B4169" t="s">
        <v>45</v>
      </c>
      <c r="C4169" t="s">
        <v>30</v>
      </c>
      <c r="D4169" t="s">
        <v>40</v>
      </c>
      <c r="E4169" t="s">
        <v>48</v>
      </c>
      <c r="F4169" s="9">
        <v>0.06</v>
      </c>
      <c r="G4169" s="10">
        <v>13512</v>
      </c>
      <c r="H4169">
        <v>7.85</v>
      </c>
      <c r="I4169" s="5">
        <f>ROUND(Marketing[[#This Row],[Clicks]]*Marketing[[#This Row],[Conversion_Rate]],0)</f>
        <v>42</v>
      </c>
      <c r="J4169" s="12">
        <f>Marketing[[#This Row],[Campaign_Cost]]/Marketing[[#This Row],[Customers]]</f>
        <v>321.71428571428572</v>
      </c>
      <c r="K4169" t="s">
        <v>25</v>
      </c>
      <c r="L4169" t="s">
        <v>20</v>
      </c>
      <c r="M4169">
        <v>705</v>
      </c>
      <c r="N4169">
        <v>7586</v>
      </c>
      <c r="O4169">
        <v>2</v>
      </c>
      <c r="P4169" t="s">
        <v>27</v>
      </c>
      <c r="Q4169" s="1">
        <v>44349</v>
      </c>
    </row>
    <row r="4170" spans="1:17" x14ac:dyDescent="0.3">
      <c r="A4170" t="s">
        <v>49</v>
      </c>
      <c r="B4170" t="s">
        <v>47</v>
      </c>
      <c r="C4170" t="s">
        <v>30</v>
      </c>
      <c r="D4170" t="s">
        <v>17</v>
      </c>
      <c r="E4170" t="s">
        <v>43</v>
      </c>
      <c r="F4170" s="9">
        <v>0.13</v>
      </c>
      <c r="G4170" s="10">
        <v>11391</v>
      </c>
      <c r="H4170">
        <v>7.35</v>
      </c>
      <c r="I4170" s="5">
        <f>ROUND(Marketing[[#This Row],[Clicks]]*Marketing[[#This Row],[Conversion_Rate]],0)</f>
        <v>104</v>
      </c>
      <c r="J4170" s="12">
        <f>Marketing[[#This Row],[Campaign_Cost]]/Marketing[[#This Row],[Customers]]</f>
        <v>109.52884615384616</v>
      </c>
      <c r="K4170" t="s">
        <v>51</v>
      </c>
      <c r="L4170" t="s">
        <v>33</v>
      </c>
      <c r="M4170">
        <v>798</v>
      </c>
      <c r="N4170">
        <v>9684</v>
      </c>
      <c r="O4170">
        <v>4</v>
      </c>
      <c r="P4170" t="s">
        <v>21</v>
      </c>
      <c r="Q4170" s="1">
        <v>44350</v>
      </c>
    </row>
    <row r="4171" spans="1:17" x14ac:dyDescent="0.3">
      <c r="A4171" t="s">
        <v>14</v>
      </c>
      <c r="B4171" t="s">
        <v>36</v>
      </c>
      <c r="C4171" t="s">
        <v>16</v>
      </c>
      <c r="D4171" t="s">
        <v>40</v>
      </c>
      <c r="E4171" t="s">
        <v>18</v>
      </c>
      <c r="F4171" s="9">
        <v>7.0000000000000007E-2</v>
      </c>
      <c r="G4171" s="10">
        <v>8491</v>
      </c>
      <c r="H4171">
        <v>5.28</v>
      </c>
      <c r="I4171" s="5">
        <f>ROUND(Marketing[[#This Row],[Clicks]]*Marketing[[#This Row],[Conversion_Rate]],0)</f>
        <v>33</v>
      </c>
      <c r="J4171" s="12">
        <f>Marketing[[#This Row],[Campaign_Cost]]/Marketing[[#This Row],[Customers]]</f>
        <v>257.30303030303031</v>
      </c>
      <c r="K4171" t="s">
        <v>38</v>
      </c>
      <c r="L4171" t="s">
        <v>50</v>
      </c>
      <c r="M4171">
        <v>466</v>
      </c>
      <c r="N4171">
        <v>4852</v>
      </c>
      <c r="O4171">
        <v>10</v>
      </c>
      <c r="P4171" t="s">
        <v>27</v>
      </c>
      <c r="Q4171" s="1">
        <v>44351</v>
      </c>
    </row>
    <row r="4172" spans="1:17" x14ac:dyDescent="0.3">
      <c r="A4172" t="s">
        <v>49</v>
      </c>
      <c r="B4172" t="s">
        <v>45</v>
      </c>
      <c r="C4172" t="s">
        <v>23</v>
      </c>
      <c r="D4172" t="s">
        <v>46</v>
      </c>
      <c r="E4172" t="s">
        <v>41</v>
      </c>
      <c r="F4172" s="9">
        <v>0.09</v>
      </c>
      <c r="G4172" s="10">
        <v>9201</v>
      </c>
      <c r="H4172">
        <v>7.25</v>
      </c>
      <c r="I4172" s="5">
        <f>ROUND(Marketing[[#This Row],[Clicks]]*Marketing[[#This Row],[Conversion_Rate]],0)</f>
        <v>60</v>
      </c>
      <c r="J4172" s="12">
        <f>Marketing[[#This Row],[Campaign_Cost]]/Marketing[[#This Row],[Customers]]</f>
        <v>153.35</v>
      </c>
      <c r="K4172" t="s">
        <v>51</v>
      </c>
      <c r="L4172" t="s">
        <v>33</v>
      </c>
      <c r="M4172">
        <v>670</v>
      </c>
      <c r="N4172">
        <v>1761</v>
      </c>
      <c r="O4172">
        <v>8</v>
      </c>
      <c r="P4172" t="s">
        <v>34</v>
      </c>
      <c r="Q4172" s="1">
        <v>44352</v>
      </c>
    </row>
    <row r="4173" spans="1:17" x14ac:dyDescent="0.3">
      <c r="A4173" t="s">
        <v>35</v>
      </c>
      <c r="B4173" t="s">
        <v>36</v>
      </c>
      <c r="C4173" t="s">
        <v>52</v>
      </c>
      <c r="D4173" t="s">
        <v>46</v>
      </c>
      <c r="E4173" t="s">
        <v>43</v>
      </c>
      <c r="F4173" s="9">
        <v>0.1</v>
      </c>
      <c r="G4173" s="10">
        <v>17714</v>
      </c>
      <c r="H4173">
        <v>2.72</v>
      </c>
      <c r="I4173" s="5">
        <f>ROUND(Marketing[[#This Row],[Clicks]]*Marketing[[#This Row],[Conversion_Rate]],0)</f>
        <v>29</v>
      </c>
      <c r="J4173" s="12">
        <f>Marketing[[#This Row],[Campaign_Cost]]/Marketing[[#This Row],[Customers]]</f>
        <v>610.82758620689651</v>
      </c>
      <c r="K4173" t="s">
        <v>32</v>
      </c>
      <c r="L4173" t="s">
        <v>39</v>
      </c>
      <c r="M4173">
        <v>288</v>
      </c>
      <c r="N4173">
        <v>9359</v>
      </c>
      <c r="O4173">
        <v>7</v>
      </c>
      <c r="P4173" t="s">
        <v>42</v>
      </c>
      <c r="Q4173" s="1">
        <v>44353</v>
      </c>
    </row>
    <row r="4174" spans="1:17" x14ac:dyDescent="0.3">
      <c r="A4174" t="s">
        <v>49</v>
      </c>
      <c r="B4174" t="s">
        <v>47</v>
      </c>
      <c r="C4174" t="s">
        <v>52</v>
      </c>
      <c r="D4174" t="s">
        <v>17</v>
      </c>
      <c r="E4174" t="s">
        <v>48</v>
      </c>
      <c r="F4174" s="9">
        <v>0.03</v>
      </c>
      <c r="G4174" s="10">
        <v>19633</v>
      </c>
      <c r="H4174">
        <v>5.35</v>
      </c>
      <c r="I4174" s="5">
        <f>ROUND(Marketing[[#This Row],[Clicks]]*Marketing[[#This Row],[Conversion_Rate]],0)</f>
        <v>9</v>
      </c>
      <c r="J4174" s="12">
        <f>Marketing[[#This Row],[Campaign_Cost]]/Marketing[[#This Row],[Customers]]</f>
        <v>2181.4444444444443</v>
      </c>
      <c r="K4174" t="s">
        <v>25</v>
      </c>
      <c r="L4174" t="s">
        <v>50</v>
      </c>
      <c r="M4174">
        <v>286</v>
      </c>
      <c r="N4174">
        <v>8652</v>
      </c>
      <c r="O4174">
        <v>5</v>
      </c>
      <c r="P4174" t="s">
        <v>42</v>
      </c>
      <c r="Q4174" s="1">
        <v>44354</v>
      </c>
    </row>
    <row r="4175" spans="1:17" x14ac:dyDescent="0.3">
      <c r="A4175" t="s">
        <v>35</v>
      </c>
      <c r="B4175" t="s">
        <v>29</v>
      </c>
      <c r="C4175" t="s">
        <v>52</v>
      </c>
      <c r="D4175" t="s">
        <v>46</v>
      </c>
      <c r="E4175" t="s">
        <v>18</v>
      </c>
      <c r="F4175" s="9">
        <v>0.1</v>
      </c>
      <c r="G4175" s="10">
        <v>5839</v>
      </c>
      <c r="H4175">
        <v>6.06</v>
      </c>
      <c r="I4175" s="5">
        <f>ROUND(Marketing[[#This Row],[Clicks]]*Marketing[[#This Row],[Conversion_Rate]],0)</f>
        <v>72</v>
      </c>
      <c r="J4175" s="12">
        <f>Marketing[[#This Row],[Campaign_Cost]]/Marketing[[#This Row],[Customers]]</f>
        <v>81.097222222222229</v>
      </c>
      <c r="K4175" t="s">
        <v>51</v>
      </c>
      <c r="L4175" t="s">
        <v>50</v>
      </c>
      <c r="M4175">
        <v>720</v>
      </c>
      <c r="N4175">
        <v>7297</v>
      </c>
      <c r="O4175">
        <v>4</v>
      </c>
      <c r="P4175" t="s">
        <v>42</v>
      </c>
      <c r="Q4175" s="1">
        <v>44355</v>
      </c>
    </row>
    <row r="4176" spans="1:17" x14ac:dyDescent="0.3">
      <c r="A4176" t="s">
        <v>49</v>
      </c>
      <c r="B4176" t="s">
        <v>47</v>
      </c>
      <c r="C4176" t="s">
        <v>23</v>
      </c>
      <c r="D4176" t="s">
        <v>17</v>
      </c>
      <c r="E4176" t="s">
        <v>48</v>
      </c>
      <c r="F4176" s="9">
        <v>0.11</v>
      </c>
      <c r="G4176" s="10">
        <v>13388</v>
      </c>
      <c r="H4176">
        <v>3.47</v>
      </c>
      <c r="I4176" s="5">
        <f>ROUND(Marketing[[#This Row],[Clicks]]*Marketing[[#This Row],[Conversion_Rate]],0)</f>
        <v>66</v>
      </c>
      <c r="J4176" s="12">
        <f>Marketing[[#This Row],[Campaign_Cost]]/Marketing[[#This Row],[Customers]]</f>
        <v>202.84848484848484</v>
      </c>
      <c r="K4176" t="s">
        <v>38</v>
      </c>
      <c r="L4176" t="s">
        <v>20</v>
      </c>
      <c r="M4176">
        <v>604</v>
      </c>
      <c r="N4176">
        <v>6180</v>
      </c>
      <c r="O4176">
        <v>6</v>
      </c>
      <c r="P4176" t="s">
        <v>21</v>
      </c>
      <c r="Q4176" s="1">
        <v>44356</v>
      </c>
    </row>
    <row r="4177" spans="1:17" x14ac:dyDescent="0.3">
      <c r="A4177" t="s">
        <v>22</v>
      </c>
      <c r="B4177" t="s">
        <v>29</v>
      </c>
      <c r="C4177" t="s">
        <v>37</v>
      </c>
      <c r="D4177" t="s">
        <v>17</v>
      </c>
      <c r="E4177" t="s">
        <v>41</v>
      </c>
      <c r="F4177" s="9">
        <v>0.12</v>
      </c>
      <c r="G4177" s="10">
        <v>17265</v>
      </c>
      <c r="H4177">
        <v>3.02</v>
      </c>
      <c r="I4177" s="5">
        <f>ROUND(Marketing[[#This Row],[Clicks]]*Marketing[[#This Row],[Conversion_Rate]],0)</f>
        <v>99</v>
      </c>
      <c r="J4177" s="12">
        <f>Marketing[[#This Row],[Campaign_Cost]]/Marketing[[#This Row],[Customers]]</f>
        <v>174.39393939393941</v>
      </c>
      <c r="K4177" t="s">
        <v>32</v>
      </c>
      <c r="L4177" t="s">
        <v>33</v>
      </c>
      <c r="M4177">
        <v>827</v>
      </c>
      <c r="N4177">
        <v>3415</v>
      </c>
      <c r="O4177">
        <v>6</v>
      </c>
      <c r="P4177" t="s">
        <v>44</v>
      </c>
      <c r="Q4177" s="1">
        <v>44357</v>
      </c>
    </row>
    <row r="4178" spans="1:17" x14ac:dyDescent="0.3">
      <c r="A4178" t="s">
        <v>35</v>
      </c>
      <c r="B4178" t="s">
        <v>47</v>
      </c>
      <c r="C4178" t="s">
        <v>52</v>
      </c>
      <c r="D4178" t="s">
        <v>17</v>
      </c>
      <c r="E4178" t="s">
        <v>43</v>
      </c>
      <c r="F4178" s="9">
        <v>0.02</v>
      </c>
      <c r="G4178" s="10">
        <v>7280</v>
      </c>
      <c r="H4178">
        <v>6.72</v>
      </c>
      <c r="I4178" s="5">
        <f>ROUND(Marketing[[#This Row],[Clicks]]*Marketing[[#This Row],[Conversion_Rate]],0)</f>
        <v>7</v>
      </c>
      <c r="J4178" s="12">
        <f>Marketing[[#This Row],[Campaign_Cost]]/Marketing[[#This Row],[Customers]]</f>
        <v>1040</v>
      </c>
      <c r="K4178" t="s">
        <v>25</v>
      </c>
      <c r="L4178" t="s">
        <v>33</v>
      </c>
      <c r="M4178">
        <v>361</v>
      </c>
      <c r="N4178">
        <v>9861</v>
      </c>
      <c r="O4178">
        <v>7</v>
      </c>
      <c r="P4178" t="s">
        <v>34</v>
      </c>
      <c r="Q4178" s="1">
        <v>44358</v>
      </c>
    </row>
    <row r="4179" spans="1:17" x14ac:dyDescent="0.3">
      <c r="A4179" t="s">
        <v>14</v>
      </c>
      <c r="B4179" t="s">
        <v>29</v>
      </c>
      <c r="C4179" t="s">
        <v>52</v>
      </c>
      <c r="D4179" t="s">
        <v>46</v>
      </c>
      <c r="E4179" t="s">
        <v>41</v>
      </c>
      <c r="F4179" s="9">
        <v>0.13</v>
      </c>
      <c r="G4179" s="10">
        <v>12603</v>
      </c>
      <c r="H4179">
        <v>2.5099999999999998</v>
      </c>
      <c r="I4179" s="5">
        <f>ROUND(Marketing[[#This Row],[Clicks]]*Marketing[[#This Row],[Conversion_Rate]],0)</f>
        <v>71</v>
      </c>
      <c r="J4179" s="12">
        <f>Marketing[[#This Row],[Campaign_Cost]]/Marketing[[#This Row],[Customers]]</f>
        <v>177.50704225352112</v>
      </c>
      <c r="K4179" t="s">
        <v>19</v>
      </c>
      <c r="L4179" t="s">
        <v>20</v>
      </c>
      <c r="M4179">
        <v>544</v>
      </c>
      <c r="N4179">
        <v>4306</v>
      </c>
      <c r="O4179">
        <v>5</v>
      </c>
      <c r="P4179" t="s">
        <v>27</v>
      </c>
      <c r="Q4179" s="1">
        <v>44359</v>
      </c>
    </row>
    <row r="4180" spans="1:17" x14ac:dyDescent="0.3">
      <c r="A4180" t="s">
        <v>14</v>
      </c>
      <c r="B4180" t="s">
        <v>45</v>
      </c>
      <c r="C4180" t="s">
        <v>30</v>
      </c>
      <c r="D4180" t="s">
        <v>46</v>
      </c>
      <c r="E4180" t="s">
        <v>48</v>
      </c>
      <c r="F4180" s="9">
        <v>0.11</v>
      </c>
      <c r="G4180" s="10">
        <v>17396</v>
      </c>
      <c r="H4180">
        <v>6.01</v>
      </c>
      <c r="I4180" s="5">
        <f>ROUND(Marketing[[#This Row],[Clicks]]*Marketing[[#This Row],[Conversion_Rate]],0)</f>
        <v>88</v>
      </c>
      <c r="J4180" s="12">
        <f>Marketing[[#This Row],[Campaign_Cost]]/Marketing[[#This Row],[Customers]]</f>
        <v>197.68181818181819</v>
      </c>
      <c r="K4180" t="s">
        <v>38</v>
      </c>
      <c r="L4180" t="s">
        <v>50</v>
      </c>
      <c r="M4180">
        <v>804</v>
      </c>
      <c r="N4180">
        <v>6361</v>
      </c>
      <c r="O4180">
        <v>10</v>
      </c>
      <c r="P4180" t="s">
        <v>44</v>
      </c>
      <c r="Q4180" s="1">
        <v>44360</v>
      </c>
    </row>
    <row r="4181" spans="1:17" x14ac:dyDescent="0.3">
      <c r="A4181" t="s">
        <v>14</v>
      </c>
      <c r="B4181" t="s">
        <v>36</v>
      </c>
      <c r="C4181" t="s">
        <v>16</v>
      </c>
      <c r="D4181" t="s">
        <v>17</v>
      </c>
      <c r="E4181" t="s">
        <v>41</v>
      </c>
      <c r="F4181" s="9">
        <v>0.12</v>
      </c>
      <c r="G4181" s="10">
        <v>12656</v>
      </c>
      <c r="H4181">
        <v>2.19</v>
      </c>
      <c r="I4181" s="5">
        <f>ROUND(Marketing[[#This Row],[Clicks]]*Marketing[[#This Row],[Conversion_Rate]],0)</f>
        <v>36</v>
      </c>
      <c r="J4181" s="12">
        <f>Marketing[[#This Row],[Campaign_Cost]]/Marketing[[#This Row],[Customers]]</f>
        <v>351.55555555555554</v>
      </c>
      <c r="K4181" t="s">
        <v>51</v>
      </c>
      <c r="L4181" t="s">
        <v>20</v>
      </c>
      <c r="M4181">
        <v>297</v>
      </c>
      <c r="N4181">
        <v>6179</v>
      </c>
      <c r="O4181">
        <v>4</v>
      </c>
      <c r="P4181" t="s">
        <v>21</v>
      </c>
      <c r="Q4181" s="1">
        <v>44361</v>
      </c>
    </row>
    <row r="4182" spans="1:17" x14ac:dyDescent="0.3">
      <c r="A4182" t="s">
        <v>49</v>
      </c>
      <c r="B4182" t="s">
        <v>47</v>
      </c>
      <c r="C4182" t="s">
        <v>30</v>
      </c>
      <c r="D4182" t="s">
        <v>46</v>
      </c>
      <c r="E4182" t="s">
        <v>43</v>
      </c>
      <c r="F4182" s="9">
        <v>0.01</v>
      </c>
      <c r="G4182" s="10">
        <v>12857</v>
      </c>
      <c r="H4182">
        <v>7.2</v>
      </c>
      <c r="I4182" s="5">
        <f>ROUND(Marketing[[#This Row],[Clicks]]*Marketing[[#This Row],[Conversion_Rate]],0)</f>
        <v>6</v>
      </c>
      <c r="J4182" s="12">
        <f>Marketing[[#This Row],[Campaign_Cost]]/Marketing[[#This Row],[Customers]]</f>
        <v>2142.8333333333335</v>
      </c>
      <c r="K4182" t="s">
        <v>38</v>
      </c>
      <c r="L4182" t="s">
        <v>20</v>
      </c>
      <c r="M4182">
        <v>603</v>
      </c>
      <c r="N4182">
        <v>7551</v>
      </c>
      <c r="O4182">
        <v>9</v>
      </c>
      <c r="P4182" t="s">
        <v>42</v>
      </c>
      <c r="Q4182" s="1">
        <v>44362</v>
      </c>
    </row>
    <row r="4183" spans="1:17" x14ac:dyDescent="0.3">
      <c r="A4183" t="s">
        <v>49</v>
      </c>
      <c r="B4183" t="s">
        <v>15</v>
      </c>
      <c r="C4183" t="s">
        <v>23</v>
      </c>
      <c r="D4183" t="s">
        <v>17</v>
      </c>
      <c r="E4183" t="s">
        <v>43</v>
      </c>
      <c r="F4183" s="9">
        <v>7.0000000000000007E-2</v>
      </c>
      <c r="G4183" s="10">
        <v>5067</v>
      </c>
      <c r="H4183">
        <v>4.54</v>
      </c>
      <c r="I4183" s="5">
        <f>ROUND(Marketing[[#This Row],[Clicks]]*Marketing[[#This Row],[Conversion_Rate]],0)</f>
        <v>14</v>
      </c>
      <c r="J4183" s="12">
        <f>Marketing[[#This Row],[Campaign_Cost]]/Marketing[[#This Row],[Customers]]</f>
        <v>361.92857142857144</v>
      </c>
      <c r="K4183" t="s">
        <v>19</v>
      </c>
      <c r="L4183" t="s">
        <v>20</v>
      </c>
      <c r="M4183">
        <v>193</v>
      </c>
      <c r="N4183">
        <v>8968</v>
      </c>
      <c r="O4183">
        <v>9</v>
      </c>
      <c r="P4183" t="s">
        <v>21</v>
      </c>
      <c r="Q4183" s="1">
        <v>44363</v>
      </c>
    </row>
    <row r="4184" spans="1:17" x14ac:dyDescent="0.3">
      <c r="A4184" t="s">
        <v>28</v>
      </c>
      <c r="B4184" t="s">
        <v>36</v>
      </c>
      <c r="C4184" t="s">
        <v>52</v>
      </c>
      <c r="D4184" t="s">
        <v>24</v>
      </c>
      <c r="E4184" t="s">
        <v>15</v>
      </c>
      <c r="F4184" s="9">
        <v>0.01</v>
      </c>
      <c r="G4184" s="10">
        <v>11997</v>
      </c>
      <c r="H4184">
        <v>7.42</v>
      </c>
      <c r="I4184" s="5">
        <f>ROUND(Marketing[[#This Row],[Clicks]]*Marketing[[#This Row],[Conversion_Rate]],0)</f>
        <v>9</v>
      </c>
      <c r="J4184" s="12">
        <f>Marketing[[#This Row],[Campaign_Cost]]/Marketing[[#This Row],[Customers]]</f>
        <v>1333</v>
      </c>
      <c r="K4184" t="s">
        <v>38</v>
      </c>
      <c r="L4184" t="s">
        <v>33</v>
      </c>
      <c r="M4184">
        <v>941</v>
      </c>
      <c r="N4184">
        <v>1986</v>
      </c>
      <c r="O4184">
        <v>2</v>
      </c>
      <c r="P4184" t="s">
        <v>21</v>
      </c>
      <c r="Q4184" s="1">
        <v>44364</v>
      </c>
    </row>
    <row r="4185" spans="1:17" x14ac:dyDescent="0.3">
      <c r="A4185" t="s">
        <v>35</v>
      </c>
      <c r="B4185" t="s">
        <v>36</v>
      </c>
      <c r="C4185" t="s">
        <v>30</v>
      </c>
      <c r="D4185" t="s">
        <v>24</v>
      </c>
      <c r="E4185" t="s">
        <v>15</v>
      </c>
      <c r="F4185" s="9">
        <v>0.12</v>
      </c>
      <c r="G4185" s="10">
        <v>8421</v>
      </c>
      <c r="H4185">
        <v>3.38</v>
      </c>
      <c r="I4185" s="5">
        <f>ROUND(Marketing[[#This Row],[Clicks]]*Marketing[[#This Row],[Conversion_Rate]],0)</f>
        <v>56</v>
      </c>
      <c r="J4185" s="12">
        <f>Marketing[[#This Row],[Campaign_Cost]]/Marketing[[#This Row],[Customers]]</f>
        <v>150.375</v>
      </c>
      <c r="K4185" t="s">
        <v>51</v>
      </c>
      <c r="L4185" t="s">
        <v>33</v>
      </c>
      <c r="M4185">
        <v>466</v>
      </c>
      <c r="N4185">
        <v>5689</v>
      </c>
      <c r="O4185">
        <v>1</v>
      </c>
      <c r="P4185" t="s">
        <v>42</v>
      </c>
      <c r="Q4185" s="1">
        <v>44365</v>
      </c>
    </row>
    <row r="4186" spans="1:17" x14ac:dyDescent="0.3">
      <c r="A4186" t="s">
        <v>28</v>
      </c>
      <c r="B4186" t="s">
        <v>45</v>
      </c>
      <c r="C4186" t="s">
        <v>52</v>
      </c>
      <c r="D4186" t="s">
        <v>24</v>
      </c>
      <c r="E4186" t="s">
        <v>15</v>
      </c>
      <c r="F4186" s="9">
        <v>0.06</v>
      </c>
      <c r="G4186" s="10">
        <v>7569</v>
      </c>
      <c r="H4186">
        <v>4.04</v>
      </c>
      <c r="I4186" s="5">
        <f>ROUND(Marketing[[#This Row],[Clicks]]*Marketing[[#This Row],[Conversion_Rate]],0)</f>
        <v>36</v>
      </c>
      <c r="J4186" s="12">
        <f>Marketing[[#This Row],[Campaign_Cost]]/Marketing[[#This Row],[Customers]]</f>
        <v>210.25</v>
      </c>
      <c r="K4186" t="s">
        <v>25</v>
      </c>
      <c r="L4186" t="s">
        <v>26</v>
      </c>
      <c r="M4186">
        <v>599</v>
      </c>
      <c r="N4186">
        <v>3805</v>
      </c>
      <c r="O4186">
        <v>9</v>
      </c>
      <c r="P4186" t="s">
        <v>21</v>
      </c>
      <c r="Q4186" s="1">
        <v>44366</v>
      </c>
    </row>
    <row r="4187" spans="1:17" x14ac:dyDescent="0.3">
      <c r="A4187" t="s">
        <v>22</v>
      </c>
      <c r="B4187" t="s">
        <v>45</v>
      </c>
      <c r="C4187" t="s">
        <v>16</v>
      </c>
      <c r="D4187" t="s">
        <v>46</v>
      </c>
      <c r="E4187" t="s">
        <v>41</v>
      </c>
      <c r="F4187" s="9">
        <v>0.11</v>
      </c>
      <c r="G4187" s="10">
        <v>16535</v>
      </c>
      <c r="H4187">
        <v>3.02</v>
      </c>
      <c r="I4187" s="5">
        <f>ROUND(Marketing[[#This Row],[Clicks]]*Marketing[[#This Row],[Conversion_Rate]],0)</f>
        <v>13</v>
      </c>
      <c r="J4187" s="12">
        <f>Marketing[[#This Row],[Campaign_Cost]]/Marketing[[#This Row],[Customers]]</f>
        <v>1271.9230769230769</v>
      </c>
      <c r="K4187" t="s">
        <v>25</v>
      </c>
      <c r="L4187" t="s">
        <v>26</v>
      </c>
      <c r="M4187">
        <v>122</v>
      </c>
      <c r="N4187">
        <v>7488</v>
      </c>
      <c r="O4187">
        <v>10</v>
      </c>
      <c r="P4187" t="s">
        <v>21</v>
      </c>
      <c r="Q4187" s="1">
        <v>44367</v>
      </c>
    </row>
    <row r="4188" spans="1:17" x14ac:dyDescent="0.3">
      <c r="A4188" t="s">
        <v>35</v>
      </c>
      <c r="B4188" t="s">
        <v>36</v>
      </c>
      <c r="C4188" t="s">
        <v>37</v>
      </c>
      <c r="D4188" t="s">
        <v>40</v>
      </c>
      <c r="E4188" t="s">
        <v>15</v>
      </c>
      <c r="F4188" s="9">
        <v>0.06</v>
      </c>
      <c r="G4188" s="10">
        <v>7599</v>
      </c>
      <c r="H4188">
        <v>5.26</v>
      </c>
      <c r="I4188" s="5">
        <f>ROUND(Marketing[[#This Row],[Clicks]]*Marketing[[#This Row],[Conversion_Rate]],0)</f>
        <v>43</v>
      </c>
      <c r="J4188" s="12">
        <f>Marketing[[#This Row],[Campaign_Cost]]/Marketing[[#This Row],[Customers]]</f>
        <v>176.72093023255815</v>
      </c>
      <c r="K4188" t="s">
        <v>19</v>
      </c>
      <c r="L4188" t="s">
        <v>39</v>
      </c>
      <c r="M4188">
        <v>712</v>
      </c>
      <c r="N4188">
        <v>9733</v>
      </c>
      <c r="O4188">
        <v>1</v>
      </c>
      <c r="P4188" t="s">
        <v>44</v>
      </c>
      <c r="Q4188" s="1">
        <v>44368</v>
      </c>
    </row>
    <row r="4189" spans="1:17" x14ac:dyDescent="0.3">
      <c r="A4189" t="s">
        <v>14</v>
      </c>
      <c r="B4189" t="s">
        <v>36</v>
      </c>
      <c r="C4189" t="s">
        <v>37</v>
      </c>
      <c r="D4189" t="s">
        <v>17</v>
      </c>
      <c r="E4189" t="s">
        <v>48</v>
      </c>
      <c r="F4189" s="9">
        <v>0.08</v>
      </c>
      <c r="G4189" s="10">
        <v>15125</v>
      </c>
      <c r="H4189">
        <v>2.48</v>
      </c>
      <c r="I4189" s="5">
        <f>ROUND(Marketing[[#This Row],[Clicks]]*Marketing[[#This Row],[Conversion_Rate]],0)</f>
        <v>14</v>
      </c>
      <c r="J4189" s="12">
        <f>Marketing[[#This Row],[Campaign_Cost]]/Marketing[[#This Row],[Customers]]</f>
        <v>1080.3571428571429</v>
      </c>
      <c r="K4189" t="s">
        <v>51</v>
      </c>
      <c r="L4189" t="s">
        <v>26</v>
      </c>
      <c r="M4189">
        <v>169</v>
      </c>
      <c r="N4189">
        <v>4112</v>
      </c>
      <c r="O4189">
        <v>4</v>
      </c>
      <c r="P4189" t="s">
        <v>42</v>
      </c>
      <c r="Q4189" s="1">
        <v>44369</v>
      </c>
    </row>
    <row r="4190" spans="1:17" x14ac:dyDescent="0.3">
      <c r="A4190" t="s">
        <v>49</v>
      </c>
      <c r="B4190" t="s">
        <v>45</v>
      </c>
      <c r="C4190" t="s">
        <v>52</v>
      </c>
      <c r="D4190" t="s">
        <v>40</v>
      </c>
      <c r="E4190" t="s">
        <v>41</v>
      </c>
      <c r="F4190" s="9">
        <v>0.14000000000000001</v>
      </c>
      <c r="G4190" s="10">
        <v>8137</v>
      </c>
      <c r="H4190">
        <v>2.39</v>
      </c>
      <c r="I4190" s="5">
        <f>ROUND(Marketing[[#This Row],[Clicks]]*Marketing[[#This Row],[Conversion_Rate]],0)</f>
        <v>52</v>
      </c>
      <c r="J4190" s="12">
        <f>Marketing[[#This Row],[Campaign_Cost]]/Marketing[[#This Row],[Customers]]</f>
        <v>156.48076923076923</v>
      </c>
      <c r="K4190" t="s">
        <v>19</v>
      </c>
      <c r="L4190" t="s">
        <v>33</v>
      </c>
      <c r="M4190">
        <v>373</v>
      </c>
      <c r="N4190">
        <v>6230</v>
      </c>
      <c r="O4190">
        <v>6</v>
      </c>
      <c r="P4190" t="s">
        <v>34</v>
      </c>
      <c r="Q4190" s="1">
        <v>44370</v>
      </c>
    </row>
    <row r="4191" spans="1:17" x14ac:dyDescent="0.3">
      <c r="A4191" t="s">
        <v>22</v>
      </c>
      <c r="B4191" t="s">
        <v>45</v>
      </c>
      <c r="C4191" t="s">
        <v>16</v>
      </c>
      <c r="D4191" t="s">
        <v>24</v>
      </c>
      <c r="E4191" t="s">
        <v>48</v>
      </c>
      <c r="F4191" s="9">
        <v>0.05</v>
      </c>
      <c r="G4191" s="10">
        <v>19452</v>
      </c>
      <c r="H4191">
        <v>4.4800000000000004</v>
      </c>
      <c r="I4191" s="5">
        <f>ROUND(Marketing[[#This Row],[Clicks]]*Marketing[[#This Row],[Conversion_Rate]],0)</f>
        <v>22</v>
      </c>
      <c r="J4191" s="12">
        <f>Marketing[[#This Row],[Campaign_Cost]]/Marketing[[#This Row],[Customers]]</f>
        <v>884.18181818181813</v>
      </c>
      <c r="K4191" t="s">
        <v>38</v>
      </c>
      <c r="L4191" t="s">
        <v>50</v>
      </c>
      <c r="M4191">
        <v>445</v>
      </c>
      <c r="N4191">
        <v>3133</v>
      </c>
      <c r="O4191">
        <v>2</v>
      </c>
      <c r="P4191" t="s">
        <v>42</v>
      </c>
      <c r="Q4191" s="1">
        <v>44371</v>
      </c>
    </row>
    <row r="4192" spans="1:17" x14ac:dyDescent="0.3">
      <c r="A4192" t="s">
        <v>22</v>
      </c>
      <c r="B4192" t="s">
        <v>36</v>
      </c>
      <c r="C4192" t="s">
        <v>23</v>
      </c>
      <c r="D4192" t="s">
        <v>24</v>
      </c>
      <c r="E4192" t="s">
        <v>43</v>
      </c>
      <c r="F4192" s="9">
        <v>0.06</v>
      </c>
      <c r="G4192" s="10">
        <v>6740</v>
      </c>
      <c r="H4192">
        <v>2.89</v>
      </c>
      <c r="I4192" s="5">
        <f>ROUND(Marketing[[#This Row],[Clicks]]*Marketing[[#This Row],[Conversion_Rate]],0)</f>
        <v>36</v>
      </c>
      <c r="J4192" s="12">
        <f>Marketing[[#This Row],[Campaign_Cost]]/Marketing[[#This Row],[Customers]]</f>
        <v>187.22222222222223</v>
      </c>
      <c r="K4192" t="s">
        <v>25</v>
      </c>
      <c r="L4192" t="s">
        <v>50</v>
      </c>
      <c r="M4192">
        <v>593</v>
      </c>
      <c r="N4192">
        <v>4152</v>
      </c>
      <c r="O4192">
        <v>4</v>
      </c>
      <c r="P4192" t="s">
        <v>27</v>
      </c>
      <c r="Q4192" s="1">
        <v>44372</v>
      </c>
    </row>
    <row r="4193" spans="1:17" x14ac:dyDescent="0.3">
      <c r="A4193" t="s">
        <v>14</v>
      </c>
      <c r="B4193" t="s">
        <v>45</v>
      </c>
      <c r="C4193" t="s">
        <v>37</v>
      </c>
      <c r="D4193" t="s">
        <v>17</v>
      </c>
      <c r="E4193" t="s">
        <v>48</v>
      </c>
      <c r="F4193" s="9">
        <v>0.1</v>
      </c>
      <c r="G4193" s="10">
        <v>19507</v>
      </c>
      <c r="H4193">
        <v>6.56</v>
      </c>
      <c r="I4193" s="5">
        <f>ROUND(Marketing[[#This Row],[Clicks]]*Marketing[[#This Row],[Conversion_Rate]],0)</f>
        <v>54</v>
      </c>
      <c r="J4193" s="12">
        <f>Marketing[[#This Row],[Campaign_Cost]]/Marketing[[#This Row],[Customers]]</f>
        <v>361.24074074074076</v>
      </c>
      <c r="K4193" t="s">
        <v>51</v>
      </c>
      <c r="L4193" t="s">
        <v>33</v>
      </c>
      <c r="M4193">
        <v>537</v>
      </c>
      <c r="N4193">
        <v>6749</v>
      </c>
      <c r="O4193">
        <v>10</v>
      </c>
      <c r="P4193" t="s">
        <v>44</v>
      </c>
      <c r="Q4193" s="1">
        <v>44373</v>
      </c>
    </row>
    <row r="4194" spans="1:17" x14ac:dyDescent="0.3">
      <c r="A4194" t="s">
        <v>49</v>
      </c>
      <c r="B4194" t="s">
        <v>29</v>
      </c>
      <c r="C4194" t="s">
        <v>30</v>
      </c>
      <c r="D4194" t="s">
        <v>46</v>
      </c>
      <c r="E4194" t="s">
        <v>18</v>
      </c>
      <c r="F4194" s="9">
        <v>0.08</v>
      </c>
      <c r="G4194" s="10">
        <v>10648</v>
      </c>
      <c r="H4194">
        <v>7.87</v>
      </c>
      <c r="I4194" s="5">
        <f>ROUND(Marketing[[#This Row],[Clicks]]*Marketing[[#This Row],[Conversion_Rate]],0)</f>
        <v>32</v>
      </c>
      <c r="J4194" s="12">
        <f>Marketing[[#This Row],[Campaign_Cost]]/Marketing[[#This Row],[Customers]]</f>
        <v>332.75</v>
      </c>
      <c r="K4194" t="s">
        <v>32</v>
      </c>
      <c r="L4194" t="s">
        <v>50</v>
      </c>
      <c r="M4194">
        <v>401</v>
      </c>
      <c r="N4194">
        <v>7094</v>
      </c>
      <c r="O4194">
        <v>5</v>
      </c>
      <c r="P4194" t="s">
        <v>27</v>
      </c>
      <c r="Q4194" s="1">
        <v>44374</v>
      </c>
    </row>
    <row r="4195" spans="1:17" x14ac:dyDescent="0.3">
      <c r="A4195" t="s">
        <v>49</v>
      </c>
      <c r="B4195" t="s">
        <v>45</v>
      </c>
      <c r="C4195" t="s">
        <v>23</v>
      </c>
      <c r="D4195" t="s">
        <v>17</v>
      </c>
      <c r="E4195" t="s">
        <v>31</v>
      </c>
      <c r="F4195" s="9">
        <v>0.1</v>
      </c>
      <c r="G4195" s="10">
        <v>18643</v>
      </c>
      <c r="H4195">
        <v>6.74</v>
      </c>
      <c r="I4195" s="5">
        <f>ROUND(Marketing[[#This Row],[Clicks]]*Marketing[[#This Row],[Conversion_Rate]],0)</f>
        <v>89</v>
      </c>
      <c r="J4195" s="12">
        <f>Marketing[[#This Row],[Campaign_Cost]]/Marketing[[#This Row],[Customers]]</f>
        <v>209.47191011235955</v>
      </c>
      <c r="K4195" t="s">
        <v>19</v>
      </c>
      <c r="L4195" t="s">
        <v>33</v>
      </c>
      <c r="M4195">
        <v>892</v>
      </c>
      <c r="N4195">
        <v>2888</v>
      </c>
      <c r="O4195">
        <v>7</v>
      </c>
      <c r="P4195" t="s">
        <v>21</v>
      </c>
      <c r="Q4195" s="1">
        <v>44375</v>
      </c>
    </row>
    <row r="4196" spans="1:17" x14ac:dyDescent="0.3">
      <c r="A4196" t="s">
        <v>49</v>
      </c>
      <c r="B4196" t="s">
        <v>15</v>
      </c>
      <c r="C4196" t="s">
        <v>30</v>
      </c>
      <c r="D4196" t="s">
        <v>46</v>
      </c>
      <c r="E4196" t="s">
        <v>48</v>
      </c>
      <c r="F4196" s="9">
        <v>0.08</v>
      </c>
      <c r="G4196" s="10">
        <v>7804</v>
      </c>
      <c r="H4196">
        <v>3.75</v>
      </c>
      <c r="I4196" s="5">
        <f>ROUND(Marketing[[#This Row],[Clicks]]*Marketing[[#This Row],[Conversion_Rate]],0)</f>
        <v>32</v>
      </c>
      <c r="J4196" s="12">
        <f>Marketing[[#This Row],[Campaign_Cost]]/Marketing[[#This Row],[Customers]]</f>
        <v>243.875</v>
      </c>
      <c r="K4196" t="s">
        <v>51</v>
      </c>
      <c r="L4196" t="s">
        <v>33</v>
      </c>
      <c r="M4196">
        <v>402</v>
      </c>
      <c r="N4196">
        <v>4662</v>
      </c>
      <c r="O4196">
        <v>3</v>
      </c>
      <c r="P4196" t="s">
        <v>21</v>
      </c>
      <c r="Q4196" s="1">
        <v>44376</v>
      </c>
    </row>
    <row r="4197" spans="1:17" x14ac:dyDescent="0.3">
      <c r="A4197" t="s">
        <v>35</v>
      </c>
      <c r="B4197" t="s">
        <v>15</v>
      </c>
      <c r="C4197" t="s">
        <v>52</v>
      </c>
      <c r="D4197" t="s">
        <v>40</v>
      </c>
      <c r="E4197" t="s">
        <v>41</v>
      </c>
      <c r="F4197" s="9">
        <v>0.01</v>
      </c>
      <c r="G4197" s="10">
        <v>7395</v>
      </c>
      <c r="H4197">
        <v>2.0099999999999998</v>
      </c>
      <c r="I4197" s="5">
        <f>ROUND(Marketing[[#This Row],[Clicks]]*Marketing[[#This Row],[Conversion_Rate]],0)</f>
        <v>4</v>
      </c>
      <c r="J4197" s="12">
        <f>Marketing[[#This Row],[Campaign_Cost]]/Marketing[[#This Row],[Customers]]</f>
        <v>1848.75</v>
      </c>
      <c r="K4197" t="s">
        <v>25</v>
      </c>
      <c r="L4197" t="s">
        <v>33</v>
      </c>
      <c r="M4197">
        <v>383</v>
      </c>
      <c r="N4197">
        <v>7248</v>
      </c>
      <c r="O4197">
        <v>6</v>
      </c>
      <c r="P4197" t="s">
        <v>42</v>
      </c>
      <c r="Q4197" s="1">
        <v>44377</v>
      </c>
    </row>
    <row r="4198" spans="1:17" x14ac:dyDescent="0.3">
      <c r="A4198" t="s">
        <v>14</v>
      </c>
      <c r="B4198" t="s">
        <v>36</v>
      </c>
      <c r="C4198" t="s">
        <v>30</v>
      </c>
      <c r="D4198" t="s">
        <v>24</v>
      </c>
      <c r="E4198" t="s">
        <v>15</v>
      </c>
      <c r="F4198" s="9">
        <v>0.13</v>
      </c>
      <c r="G4198" s="10">
        <v>13122</v>
      </c>
      <c r="H4198">
        <v>5.89</v>
      </c>
      <c r="I4198" s="5">
        <f>ROUND(Marketing[[#This Row],[Clicks]]*Marketing[[#This Row],[Conversion_Rate]],0)</f>
        <v>69</v>
      </c>
      <c r="J4198" s="12">
        <f>Marketing[[#This Row],[Campaign_Cost]]/Marketing[[#This Row],[Customers]]</f>
        <v>190.17391304347825</v>
      </c>
      <c r="K4198" t="s">
        <v>19</v>
      </c>
      <c r="L4198" t="s">
        <v>39</v>
      </c>
      <c r="M4198">
        <v>530</v>
      </c>
      <c r="N4198">
        <v>6444</v>
      </c>
      <c r="O4198">
        <v>7</v>
      </c>
      <c r="P4198" t="s">
        <v>42</v>
      </c>
      <c r="Q4198" s="1">
        <v>44378</v>
      </c>
    </row>
    <row r="4199" spans="1:17" x14ac:dyDescent="0.3">
      <c r="A4199" t="s">
        <v>49</v>
      </c>
      <c r="B4199" t="s">
        <v>36</v>
      </c>
      <c r="C4199" t="s">
        <v>23</v>
      </c>
      <c r="D4199" t="s">
        <v>17</v>
      </c>
      <c r="E4199" t="s">
        <v>48</v>
      </c>
      <c r="F4199" s="9">
        <v>0.15</v>
      </c>
      <c r="G4199" s="10">
        <v>8628</v>
      </c>
      <c r="H4199">
        <v>5.38</v>
      </c>
      <c r="I4199" s="5">
        <f>ROUND(Marketing[[#This Row],[Clicks]]*Marketing[[#This Row],[Conversion_Rate]],0)</f>
        <v>71</v>
      </c>
      <c r="J4199" s="12">
        <f>Marketing[[#This Row],[Campaign_Cost]]/Marketing[[#This Row],[Customers]]</f>
        <v>121.52112676056338</v>
      </c>
      <c r="K4199" t="s">
        <v>25</v>
      </c>
      <c r="L4199" t="s">
        <v>20</v>
      </c>
      <c r="M4199">
        <v>471</v>
      </c>
      <c r="N4199">
        <v>8081</v>
      </c>
      <c r="O4199">
        <v>4</v>
      </c>
      <c r="P4199" t="s">
        <v>44</v>
      </c>
      <c r="Q4199" s="1">
        <v>44379</v>
      </c>
    </row>
    <row r="4200" spans="1:17" x14ac:dyDescent="0.3">
      <c r="A4200" t="s">
        <v>49</v>
      </c>
      <c r="B4200" t="s">
        <v>45</v>
      </c>
      <c r="C4200" t="s">
        <v>30</v>
      </c>
      <c r="D4200" t="s">
        <v>24</v>
      </c>
      <c r="E4200" t="s">
        <v>31</v>
      </c>
      <c r="F4200" s="9">
        <v>0.05</v>
      </c>
      <c r="G4200" s="10">
        <v>10154</v>
      </c>
      <c r="H4200">
        <v>7.04</v>
      </c>
      <c r="I4200" s="5">
        <f>ROUND(Marketing[[#This Row],[Clicks]]*Marketing[[#This Row],[Conversion_Rate]],0)</f>
        <v>13</v>
      </c>
      <c r="J4200" s="12">
        <f>Marketing[[#This Row],[Campaign_Cost]]/Marketing[[#This Row],[Customers]]</f>
        <v>781.07692307692309</v>
      </c>
      <c r="K4200" t="s">
        <v>19</v>
      </c>
      <c r="L4200" t="s">
        <v>39</v>
      </c>
      <c r="M4200">
        <v>257</v>
      </c>
      <c r="N4200">
        <v>2082</v>
      </c>
      <c r="O4200">
        <v>10</v>
      </c>
      <c r="P4200" t="s">
        <v>44</v>
      </c>
      <c r="Q4200" s="1">
        <v>44380</v>
      </c>
    </row>
    <row r="4201" spans="1:17" x14ac:dyDescent="0.3">
      <c r="A4201" t="s">
        <v>49</v>
      </c>
      <c r="B4201" t="s">
        <v>45</v>
      </c>
      <c r="C4201" t="s">
        <v>16</v>
      </c>
      <c r="D4201" t="s">
        <v>46</v>
      </c>
      <c r="E4201" t="s">
        <v>31</v>
      </c>
      <c r="F4201" s="9">
        <v>0.14000000000000001</v>
      </c>
      <c r="G4201" s="10">
        <v>5007</v>
      </c>
      <c r="H4201">
        <v>3.6</v>
      </c>
      <c r="I4201" s="5">
        <f>ROUND(Marketing[[#This Row],[Clicks]]*Marketing[[#This Row],[Conversion_Rate]],0)</f>
        <v>44</v>
      </c>
      <c r="J4201" s="12">
        <f>Marketing[[#This Row],[Campaign_Cost]]/Marketing[[#This Row],[Customers]]</f>
        <v>113.79545454545455</v>
      </c>
      <c r="K4201" t="s">
        <v>38</v>
      </c>
      <c r="L4201" t="s">
        <v>50</v>
      </c>
      <c r="M4201">
        <v>311</v>
      </c>
      <c r="N4201">
        <v>7766</v>
      </c>
      <c r="O4201">
        <v>4</v>
      </c>
      <c r="P4201" t="s">
        <v>44</v>
      </c>
      <c r="Q4201" s="1">
        <v>44381</v>
      </c>
    </row>
    <row r="4202" spans="1:17" x14ac:dyDescent="0.3">
      <c r="A4202" t="s">
        <v>35</v>
      </c>
      <c r="B4202" t="s">
        <v>45</v>
      </c>
      <c r="C4202" t="s">
        <v>37</v>
      </c>
      <c r="D4202" t="s">
        <v>24</v>
      </c>
      <c r="E4202" t="s">
        <v>41</v>
      </c>
      <c r="F4202" s="9">
        <v>0.1</v>
      </c>
      <c r="G4202" s="10">
        <v>15330</v>
      </c>
      <c r="H4202">
        <v>4.79</v>
      </c>
      <c r="I4202" s="5">
        <f>ROUND(Marketing[[#This Row],[Clicks]]*Marketing[[#This Row],[Conversion_Rate]],0)</f>
        <v>64</v>
      </c>
      <c r="J4202" s="12">
        <f>Marketing[[#This Row],[Campaign_Cost]]/Marketing[[#This Row],[Customers]]</f>
        <v>239.53125</v>
      </c>
      <c r="K4202" t="s">
        <v>19</v>
      </c>
      <c r="L4202" t="s">
        <v>20</v>
      </c>
      <c r="M4202">
        <v>635</v>
      </c>
      <c r="N4202">
        <v>1921</v>
      </c>
      <c r="O4202">
        <v>5</v>
      </c>
      <c r="P4202" t="s">
        <v>27</v>
      </c>
      <c r="Q4202" s="1">
        <v>44382</v>
      </c>
    </row>
    <row r="4203" spans="1:17" x14ac:dyDescent="0.3">
      <c r="A4203" t="s">
        <v>14</v>
      </c>
      <c r="B4203" t="s">
        <v>15</v>
      </c>
      <c r="C4203" t="s">
        <v>16</v>
      </c>
      <c r="D4203" t="s">
        <v>24</v>
      </c>
      <c r="E4203" t="s">
        <v>41</v>
      </c>
      <c r="F4203" s="9">
        <v>0.14000000000000001</v>
      </c>
      <c r="G4203" s="10">
        <v>16917</v>
      </c>
      <c r="H4203">
        <v>4.0599999999999996</v>
      </c>
      <c r="I4203" s="5">
        <f>ROUND(Marketing[[#This Row],[Clicks]]*Marketing[[#This Row],[Conversion_Rate]],0)</f>
        <v>93</v>
      </c>
      <c r="J4203" s="12">
        <f>Marketing[[#This Row],[Campaign_Cost]]/Marketing[[#This Row],[Customers]]</f>
        <v>181.90322580645162</v>
      </c>
      <c r="K4203" t="s">
        <v>19</v>
      </c>
      <c r="L4203" t="s">
        <v>26</v>
      </c>
      <c r="M4203">
        <v>662</v>
      </c>
      <c r="N4203">
        <v>6649</v>
      </c>
      <c r="O4203">
        <v>5</v>
      </c>
      <c r="P4203" t="s">
        <v>42</v>
      </c>
      <c r="Q4203" s="1">
        <v>44383</v>
      </c>
    </row>
    <row r="4204" spans="1:17" x14ac:dyDescent="0.3">
      <c r="A4204" t="s">
        <v>35</v>
      </c>
      <c r="B4204" t="s">
        <v>45</v>
      </c>
      <c r="C4204" t="s">
        <v>30</v>
      </c>
      <c r="D4204" t="s">
        <v>24</v>
      </c>
      <c r="E4204" t="s">
        <v>41</v>
      </c>
      <c r="F4204" s="9">
        <v>0.05</v>
      </c>
      <c r="G4204" s="10">
        <v>12857</v>
      </c>
      <c r="H4204">
        <v>2.34</v>
      </c>
      <c r="I4204" s="5">
        <f>ROUND(Marketing[[#This Row],[Clicks]]*Marketing[[#This Row],[Conversion_Rate]],0)</f>
        <v>18</v>
      </c>
      <c r="J4204" s="12">
        <f>Marketing[[#This Row],[Campaign_Cost]]/Marketing[[#This Row],[Customers]]</f>
        <v>714.27777777777783</v>
      </c>
      <c r="K4204" t="s">
        <v>32</v>
      </c>
      <c r="L4204" t="s">
        <v>50</v>
      </c>
      <c r="M4204">
        <v>352</v>
      </c>
      <c r="N4204">
        <v>1275</v>
      </c>
      <c r="O4204">
        <v>2</v>
      </c>
      <c r="P4204" t="s">
        <v>34</v>
      </c>
      <c r="Q4204" s="1">
        <v>44384</v>
      </c>
    </row>
    <row r="4205" spans="1:17" x14ac:dyDescent="0.3">
      <c r="A4205" t="s">
        <v>14</v>
      </c>
      <c r="B4205" t="s">
        <v>47</v>
      </c>
      <c r="C4205" t="s">
        <v>52</v>
      </c>
      <c r="D4205" t="s">
        <v>46</v>
      </c>
      <c r="E4205" t="s">
        <v>31</v>
      </c>
      <c r="F4205" s="9">
        <v>0.01</v>
      </c>
      <c r="G4205" s="10">
        <v>18630</v>
      </c>
      <c r="H4205">
        <v>4.46</v>
      </c>
      <c r="I4205" s="5">
        <f>ROUND(Marketing[[#This Row],[Clicks]]*Marketing[[#This Row],[Conversion_Rate]],0)</f>
        <v>5</v>
      </c>
      <c r="J4205" s="12">
        <f>Marketing[[#This Row],[Campaign_Cost]]/Marketing[[#This Row],[Customers]]</f>
        <v>3726</v>
      </c>
      <c r="K4205" t="s">
        <v>32</v>
      </c>
      <c r="L4205" t="s">
        <v>50</v>
      </c>
      <c r="M4205">
        <v>478</v>
      </c>
      <c r="N4205">
        <v>9310</v>
      </c>
      <c r="O4205">
        <v>6</v>
      </c>
      <c r="P4205" t="s">
        <v>34</v>
      </c>
      <c r="Q4205" s="1">
        <v>44385</v>
      </c>
    </row>
    <row r="4206" spans="1:17" x14ac:dyDescent="0.3">
      <c r="A4206" t="s">
        <v>28</v>
      </c>
      <c r="B4206" t="s">
        <v>29</v>
      </c>
      <c r="C4206" t="s">
        <v>23</v>
      </c>
      <c r="D4206" t="s">
        <v>46</v>
      </c>
      <c r="E4206" t="s">
        <v>15</v>
      </c>
      <c r="F4206" s="9">
        <v>0.1</v>
      </c>
      <c r="G4206" s="10">
        <v>13645</v>
      </c>
      <c r="H4206">
        <v>4.8600000000000003</v>
      </c>
      <c r="I4206" s="5">
        <f>ROUND(Marketing[[#This Row],[Clicks]]*Marketing[[#This Row],[Conversion_Rate]],0)</f>
        <v>83</v>
      </c>
      <c r="J4206" s="12">
        <f>Marketing[[#This Row],[Campaign_Cost]]/Marketing[[#This Row],[Customers]]</f>
        <v>164.39759036144579</v>
      </c>
      <c r="K4206" t="s">
        <v>38</v>
      </c>
      <c r="L4206" t="s">
        <v>33</v>
      </c>
      <c r="M4206">
        <v>829</v>
      </c>
      <c r="N4206">
        <v>1113</v>
      </c>
      <c r="O4206">
        <v>4</v>
      </c>
      <c r="P4206" t="s">
        <v>44</v>
      </c>
      <c r="Q4206" s="1">
        <v>44386</v>
      </c>
    </row>
    <row r="4207" spans="1:17" x14ac:dyDescent="0.3">
      <c r="A4207" t="s">
        <v>28</v>
      </c>
      <c r="B4207" t="s">
        <v>29</v>
      </c>
      <c r="C4207" t="s">
        <v>16</v>
      </c>
      <c r="D4207" t="s">
        <v>40</v>
      </c>
      <c r="E4207" t="s">
        <v>15</v>
      </c>
      <c r="F4207" s="9">
        <v>0.11</v>
      </c>
      <c r="G4207" s="10">
        <v>15134</v>
      </c>
      <c r="H4207">
        <v>6.63</v>
      </c>
      <c r="I4207" s="5">
        <f>ROUND(Marketing[[#This Row],[Clicks]]*Marketing[[#This Row],[Conversion_Rate]],0)</f>
        <v>107</v>
      </c>
      <c r="J4207" s="12">
        <f>Marketing[[#This Row],[Campaign_Cost]]/Marketing[[#This Row],[Customers]]</f>
        <v>141.43925233644859</v>
      </c>
      <c r="K4207" t="s">
        <v>32</v>
      </c>
      <c r="L4207" t="s">
        <v>39</v>
      </c>
      <c r="M4207">
        <v>976</v>
      </c>
      <c r="N4207">
        <v>6816</v>
      </c>
      <c r="O4207">
        <v>5</v>
      </c>
      <c r="P4207" t="s">
        <v>21</v>
      </c>
      <c r="Q4207" s="1">
        <v>44387</v>
      </c>
    </row>
    <row r="4208" spans="1:17" x14ac:dyDescent="0.3">
      <c r="A4208" t="s">
        <v>28</v>
      </c>
      <c r="B4208" t="s">
        <v>36</v>
      </c>
      <c r="C4208" t="s">
        <v>23</v>
      </c>
      <c r="D4208" t="s">
        <v>46</v>
      </c>
      <c r="E4208" t="s">
        <v>48</v>
      </c>
      <c r="F4208" s="9">
        <v>0.01</v>
      </c>
      <c r="G4208" s="10">
        <v>18580</v>
      </c>
      <c r="H4208">
        <v>7.02</v>
      </c>
      <c r="I4208" s="5">
        <f>ROUND(Marketing[[#This Row],[Clicks]]*Marketing[[#This Row],[Conversion_Rate]],0)</f>
        <v>8</v>
      </c>
      <c r="J4208" s="12">
        <f>Marketing[[#This Row],[Campaign_Cost]]/Marketing[[#This Row],[Customers]]</f>
        <v>2322.5</v>
      </c>
      <c r="K4208" t="s">
        <v>51</v>
      </c>
      <c r="L4208" t="s">
        <v>26</v>
      </c>
      <c r="M4208">
        <v>787</v>
      </c>
      <c r="N4208">
        <v>3100</v>
      </c>
      <c r="O4208">
        <v>5</v>
      </c>
      <c r="P4208" t="s">
        <v>44</v>
      </c>
      <c r="Q4208" s="1">
        <v>44388</v>
      </c>
    </row>
    <row r="4209" spans="1:17" x14ac:dyDescent="0.3">
      <c r="A4209" t="s">
        <v>28</v>
      </c>
      <c r="B4209" t="s">
        <v>29</v>
      </c>
      <c r="C4209" t="s">
        <v>23</v>
      </c>
      <c r="D4209" t="s">
        <v>17</v>
      </c>
      <c r="E4209" t="s">
        <v>18</v>
      </c>
      <c r="F4209" s="9">
        <v>0.02</v>
      </c>
      <c r="G4209" s="10">
        <v>6250</v>
      </c>
      <c r="H4209">
        <v>2.19</v>
      </c>
      <c r="I4209" s="5">
        <f>ROUND(Marketing[[#This Row],[Clicks]]*Marketing[[#This Row],[Conversion_Rate]],0)</f>
        <v>14</v>
      </c>
      <c r="J4209" s="12">
        <f>Marketing[[#This Row],[Campaign_Cost]]/Marketing[[#This Row],[Customers]]</f>
        <v>446.42857142857144</v>
      </c>
      <c r="K4209" t="s">
        <v>51</v>
      </c>
      <c r="L4209" t="s">
        <v>33</v>
      </c>
      <c r="M4209">
        <v>681</v>
      </c>
      <c r="N4209">
        <v>8052</v>
      </c>
      <c r="O4209">
        <v>9</v>
      </c>
      <c r="P4209" t="s">
        <v>44</v>
      </c>
      <c r="Q4209" s="1">
        <v>44389</v>
      </c>
    </row>
    <row r="4210" spans="1:17" x14ac:dyDescent="0.3">
      <c r="A4210" t="s">
        <v>28</v>
      </c>
      <c r="B4210" t="s">
        <v>15</v>
      </c>
      <c r="C4210" t="s">
        <v>37</v>
      </c>
      <c r="D4210" t="s">
        <v>17</v>
      </c>
      <c r="E4210" t="s">
        <v>48</v>
      </c>
      <c r="F4210" s="9">
        <v>0.12</v>
      </c>
      <c r="G4210" s="10">
        <v>12045</v>
      </c>
      <c r="H4210">
        <v>4.45</v>
      </c>
      <c r="I4210" s="5">
        <f>ROUND(Marketing[[#This Row],[Clicks]]*Marketing[[#This Row],[Conversion_Rate]],0)</f>
        <v>81</v>
      </c>
      <c r="J4210" s="12">
        <f>Marketing[[#This Row],[Campaign_Cost]]/Marketing[[#This Row],[Customers]]</f>
        <v>148.7037037037037</v>
      </c>
      <c r="K4210" t="s">
        <v>32</v>
      </c>
      <c r="L4210" t="s">
        <v>39</v>
      </c>
      <c r="M4210">
        <v>671</v>
      </c>
      <c r="N4210">
        <v>1427</v>
      </c>
      <c r="O4210">
        <v>10</v>
      </c>
      <c r="P4210" t="s">
        <v>27</v>
      </c>
      <c r="Q4210" s="1">
        <v>44390</v>
      </c>
    </row>
    <row r="4211" spans="1:17" x14ac:dyDescent="0.3">
      <c r="A4211" t="s">
        <v>35</v>
      </c>
      <c r="B4211" t="s">
        <v>29</v>
      </c>
      <c r="C4211" t="s">
        <v>52</v>
      </c>
      <c r="D4211" t="s">
        <v>17</v>
      </c>
      <c r="E4211" t="s">
        <v>48</v>
      </c>
      <c r="F4211" s="9">
        <v>0.03</v>
      </c>
      <c r="G4211" s="10">
        <v>9174</v>
      </c>
      <c r="H4211">
        <v>2.5099999999999998</v>
      </c>
      <c r="I4211" s="5">
        <f>ROUND(Marketing[[#This Row],[Clicks]]*Marketing[[#This Row],[Conversion_Rate]],0)</f>
        <v>24</v>
      </c>
      <c r="J4211" s="12">
        <f>Marketing[[#This Row],[Campaign_Cost]]/Marketing[[#This Row],[Customers]]</f>
        <v>382.25</v>
      </c>
      <c r="K4211" t="s">
        <v>38</v>
      </c>
      <c r="L4211" t="s">
        <v>20</v>
      </c>
      <c r="M4211">
        <v>815</v>
      </c>
      <c r="N4211">
        <v>3750</v>
      </c>
      <c r="O4211">
        <v>4</v>
      </c>
      <c r="P4211" t="s">
        <v>44</v>
      </c>
      <c r="Q4211" s="1">
        <v>44391</v>
      </c>
    </row>
    <row r="4212" spans="1:17" x14ac:dyDescent="0.3">
      <c r="A4212" t="s">
        <v>49</v>
      </c>
      <c r="B4212" t="s">
        <v>36</v>
      </c>
      <c r="C4212" t="s">
        <v>37</v>
      </c>
      <c r="D4212" t="s">
        <v>40</v>
      </c>
      <c r="E4212" t="s">
        <v>31</v>
      </c>
      <c r="F4212" s="9">
        <v>0.12</v>
      </c>
      <c r="G4212" s="10">
        <v>5617</v>
      </c>
      <c r="H4212">
        <v>3.91</v>
      </c>
      <c r="I4212" s="5">
        <f>ROUND(Marketing[[#This Row],[Clicks]]*Marketing[[#This Row],[Conversion_Rate]],0)</f>
        <v>58</v>
      </c>
      <c r="J4212" s="12">
        <f>Marketing[[#This Row],[Campaign_Cost]]/Marketing[[#This Row],[Customers]]</f>
        <v>96.84482758620689</v>
      </c>
      <c r="K4212" t="s">
        <v>51</v>
      </c>
      <c r="L4212" t="s">
        <v>50</v>
      </c>
      <c r="M4212">
        <v>484</v>
      </c>
      <c r="N4212">
        <v>8033</v>
      </c>
      <c r="O4212">
        <v>5</v>
      </c>
      <c r="P4212" t="s">
        <v>27</v>
      </c>
      <c r="Q4212" s="1">
        <v>44392</v>
      </c>
    </row>
    <row r="4213" spans="1:17" x14ac:dyDescent="0.3">
      <c r="A4213" t="s">
        <v>49</v>
      </c>
      <c r="B4213" t="s">
        <v>29</v>
      </c>
      <c r="C4213" t="s">
        <v>52</v>
      </c>
      <c r="D4213" t="s">
        <v>46</v>
      </c>
      <c r="E4213" t="s">
        <v>41</v>
      </c>
      <c r="F4213" s="9">
        <v>0.11</v>
      </c>
      <c r="G4213" s="10">
        <v>10048</v>
      </c>
      <c r="H4213">
        <v>4.43</v>
      </c>
      <c r="I4213" s="5">
        <f>ROUND(Marketing[[#This Row],[Clicks]]*Marketing[[#This Row],[Conversion_Rate]],0)</f>
        <v>45</v>
      </c>
      <c r="J4213" s="12">
        <f>Marketing[[#This Row],[Campaign_Cost]]/Marketing[[#This Row],[Customers]]</f>
        <v>223.28888888888889</v>
      </c>
      <c r="K4213" t="s">
        <v>25</v>
      </c>
      <c r="L4213" t="s">
        <v>39</v>
      </c>
      <c r="M4213">
        <v>411</v>
      </c>
      <c r="N4213">
        <v>9400</v>
      </c>
      <c r="O4213">
        <v>7</v>
      </c>
      <c r="P4213" t="s">
        <v>21</v>
      </c>
      <c r="Q4213" s="1">
        <v>44393</v>
      </c>
    </row>
    <row r="4214" spans="1:17" x14ac:dyDescent="0.3">
      <c r="A4214" t="s">
        <v>22</v>
      </c>
      <c r="B4214" t="s">
        <v>36</v>
      </c>
      <c r="C4214" t="s">
        <v>30</v>
      </c>
      <c r="D4214" t="s">
        <v>40</v>
      </c>
      <c r="E4214" t="s">
        <v>41</v>
      </c>
      <c r="F4214" s="9">
        <v>0.06</v>
      </c>
      <c r="G4214" s="10">
        <v>16406</v>
      </c>
      <c r="H4214">
        <v>7.45</v>
      </c>
      <c r="I4214" s="5">
        <f>ROUND(Marketing[[#This Row],[Clicks]]*Marketing[[#This Row],[Conversion_Rate]],0)</f>
        <v>27</v>
      </c>
      <c r="J4214" s="12">
        <f>Marketing[[#This Row],[Campaign_Cost]]/Marketing[[#This Row],[Customers]]</f>
        <v>607.62962962962968</v>
      </c>
      <c r="K4214" t="s">
        <v>38</v>
      </c>
      <c r="L4214" t="s">
        <v>33</v>
      </c>
      <c r="M4214">
        <v>455</v>
      </c>
      <c r="N4214">
        <v>2607</v>
      </c>
      <c r="O4214">
        <v>1</v>
      </c>
      <c r="P4214" t="s">
        <v>21</v>
      </c>
      <c r="Q4214" s="1">
        <v>44394</v>
      </c>
    </row>
    <row r="4215" spans="1:17" x14ac:dyDescent="0.3">
      <c r="A4215" t="s">
        <v>35</v>
      </c>
      <c r="B4215" t="s">
        <v>36</v>
      </c>
      <c r="C4215" t="s">
        <v>52</v>
      </c>
      <c r="D4215" t="s">
        <v>24</v>
      </c>
      <c r="E4215" t="s">
        <v>15</v>
      </c>
      <c r="F4215" s="9">
        <v>0.03</v>
      </c>
      <c r="G4215" s="10">
        <v>15443</v>
      </c>
      <c r="H4215">
        <v>3.07</v>
      </c>
      <c r="I4215" s="5">
        <f>ROUND(Marketing[[#This Row],[Clicks]]*Marketing[[#This Row],[Conversion_Rate]],0)</f>
        <v>17</v>
      </c>
      <c r="J4215" s="12">
        <f>Marketing[[#This Row],[Campaign_Cost]]/Marketing[[#This Row],[Customers]]</f>
        <v>908.41176470588232</v>
      </c>
      <c r="K4215" t="s">
        <v>38</v>
      </c>
      <c r="L4215" t="s">
        <v>20</v>
      </c>
      <c r="M4215">
        <v>575</v>
      </c>
      <c r="N4215">
        <v>1221</v>
      </c>
      <c r="O4215">
        <v>1</v>
      </c>
      <c r="P4215" t="s">
        <v>27</v>
      </c>
      <c r="Q4215" s="1">
        <v>44395</v>
      </c>
    </row>
    <row r="4216" spans="1:17" x14ac:dyDescent="0.3">
      <c r="A4216" t="s">
        <v>28</v>
      </c>
      <c r="B4216" t="s">
        <v>29</v>
      </c>
      <c r="C4216" t="s">
        <v>52</v>
      </c>
      <c r="D4216" t="s">
        <v>46</v>
      </c>
      <c r="E4216" t="s">
        <v>18</v>
      </c>
      <c r="F4216" s="9">
        <v>0.03</v>
      </c>
      <c r="G4216" s="10">
        <v>19332</v>
      </c>
      <c r="H4216">
        <v>6.41</v>
      </c>
      <c r="I4216" s="5">
        <f>ROUND(Marketing[[#This Row],[Clicks]]*Marketing[[#This Row],[Conversion_Rate]],0)</f>
        <v>9</v>
      </c>
      <c r="J4216" s="12">
        <f>Marketing[[#This Row],[Campaign_Cost]]/Marketing[[#This Row],[Customers]]</f>
        <v>2148</v>
      </c>
      <c r="K4216" t="s">
        <v>32</v>
      </c>
      <c r="L4216" t="s">
        <v>50</v>
      </c>
      <c r="M4216">
        <v>303</v>
      </c>
      <c r="N4216">
        <v>1046</v>
      </c>
      <c r="O4216">
        <v>8</v>
      </c>
      <c r="P4216" t="s">
        <v>27</v>
      </c>
      <c r="Q4216" s="1">
        <v>44396</v>
      </c>
    </row>
    <row r="4217" spans="1:17" x14ac:dyDescent="0.3">
      <c r="A4217" t="s">
        <v>28</v>
      </c>
      <c r="B4217" t="s">
        <v>36</v>
      </c>
      <c r="C4217" t="s">
        <v>30</v>
      </c>
      <c r="D4217" t="s">
        <v>46</v>
      </c>
      <c r="E4217" t="s">
        <v>43</v>
      </c>
      <c r="F4217" s="9">
        <v>7.0000000000000007E-2</v>
      </c>
      <c r="G4217" s="10">
        <v>6540</v>
      </c>
      <c r="H4217">
        <v>4.66</v>
      </c>
      <c r="I4217" s="5">
        <f>ROUND(Marketing[[#This Row],[Clicks]]*Marketing[[#This Row],[Conversion_Rate]],0)</f>
        <v>20</v>
      </c>
      <c r="J4217" s="12">
        <f>Marketing[[#This Row],[Campaign_Cost]]/Marketing[[#This Row],[Customers]]</f>
        <v>327</v>
      </c>
      <c r="K4217" t="s">
        <v>25</v>
      </c>
      <c r="L4217" t="s">
        <v>50</v>
      </c>
      <c r="M4217">
        <v>281</v>
      </c>
      <c r="N4217">
        <v>9590</v>
      </c>
      <c r="O4217">
        <v>9</v>
      </c>
      <c r="P4217" t="s">
        <v>34</v>
      </c>
      <c r="Q4217" s="1">
        <v>44397</v>
      </c>
    </row>
    <row r="4218" spans="1:17" x14ac:dyDescent="0.3">
      <c r="A4218" t="s">
        <v>28</v>
      </c>
      <c r="B4218" t="s">
        <v>47</v>
      </c>
      <c r="C4218" t="s">
        <v>23</v>
      </c>
      <c r="D4218" t="s">
        <v>17</v>
      </c>
      <c r="E4218" t="s">
        <v>48</v>
      </c>
      <c r="F4218" s="9">
        <v>0.09</v>
      </c>
      <c r="G4218" s="10">
        <v>8222</v>
      </c>
      <c r="H4218">
        <v>2.42</v>
      </c>
      <c r="I4218" s="5">
        <f>ROUND(Marketing[[#This Row],[Clicks]]*Marketing[[#This Row],[Conversion_Rate]],0)</f>
        <v>49</v>
      </c>
      <c r="J4218" s="12">
        <f>Marketing[[#This Row],[Campaign_Cost]]/Marketing[[#This Row],[Customers]]</f>
        <v>167.79591836734693</v>
      </c>
      <c r="K4218" t="s">
        <v>38</v>
      </c>
      <c r="L4218" t="s">
        <v>33</v>
      </c>
      <c r="M4218">
        <v>549</v>
      </c>
      <c r="N4218">
        <v>8103</v>
      </c>
      <c r="O4218">
        <v>4</v>
      </c>
      <c r="P4218" t="s">
        <v>44</v>
      </c>
      <c r="Q4218" s="1">
        <v>44398</v>
      </c>
    </row>
    <row r="4219" spans="1:17" x14ac:dyDescent="0.3">
      <c r="A4219" t="s">
        <v>22</v>
      </c>
      <c r="B4219" t="s">
        <v>29</v>
      </c>
      <c r="C4219" t="s">
        <v>16</v>
      </c>
      <c r="D4219" t="s">
        <v>17</v>
      </c>
      <c r="E4219" t="s">
        <v>18</v>
      </c>
      <c r="F4219" s="9">
        <v>7.0000000000000007E-2</v>
      </c>
      <c r="G4219" s="10">
        <v>15535</v>
      </c>
      <c r="H4219">
        <v>2.66</v>
      </c>
      <c r="I4219" s="5">
        <f>ROUND(Marketing[[#This Row],[Clicks]]*Marketing[[#This Row],[Conversion_Rate]],0)</f>
        <v>61</v>
      </c>
      <c r="J4219" s="12">
        <f>Marketing[[#This Row],[Campaign_Cost]]/Marketing[[#This Row],[Customers]]</f>
        <v>254.67213114754099</v>
      </c>
      <c r="K4219" t="s">
        <v>25</v>
      </c>
      <c r="L4219" t="s">
        <v>26</v>
      </c>
      <c r="M4219">
        <v>877</v>
      </c>
      <c r="N4219">
        <v>2225</v>
      </c>
      <c r="O4219">
        <v>8</v>
      </c>
      <c r="P4219" t="s">
        <v>34</v>
      </c>
      <c r="Q4219" s="1">
        <v>44399</v>
      </c>
    </row>
    <row r="4220" spans="1:17" x14ac:dyDescent="0.3">
      <c r="A4220" t="s">
        <v>22</v>
      </c>
      <c r="B4220" t="s">
        <v>15</v>
      </c>
      <c r="C4220" t="s">
        <v>16</v>
      </c>
      <c r="D4220" t="s">
        <v>46</v>
      </c>
      <c r="E4220" t="s">
        <v>15</v>
      </c>
      <c r="F4220" s="9">
        <v>0.08</v>
      </c>
      <c r="G4220" s="10">
        <v>11012</v>
      </c>
      <c r="H4220">
        <v>2.54</v>
      </c>
      <c r="I4220" s="5">
        <f>ROUND(Marketing[[#This Row],[Clicks]]*Marketing[[#This Row],[Conversion_Rate]],0)</f>
        <v>31</v>
      </c>
      <c r="J4220" s="12">
        <f>Marketing[[#This Row],[Campaign_Cost]]/Marketing[[#This Row],[Customers]]</f>
        <v>355.22580645161293</v>
      </c>
      <c r="K4220" t="s">
        <v>32</v>
      </c>
      <c r="L4220" t="s">
        <v>50</v>
      </c>
      <c r="M4220">
        <v>390</v>
      </c>
      <c r="N4220">
        <v>9983</v>
      </c>
      <c r="O4220">
        <v>10</v>
      </c>
      <c r="P4220" t="s">
        <v>44</v>
      </c>
      <c r="Q4220" s="1">
        <v>44400</v>
      </c>
    </row>
    <row r="4221" spans="1:17" x14ac:dyDescent="0.3">
      <c r="A4221" t="s">
        <v>35</v>
      </c>
      <c r="B4221" t="s">
        <v>36</v>
      </c>
      <c r="C4221" t="s">
        <v>52</v>
      </c>
      <c r="D4221" t="s">
        <v>24</v>
      </c>
      <c r="E4221" t="s">
        <v>43</v>
      </c>
      <c r="F4221" s="9">
        <v>0.15</v>
      </c>
      <c r="G4221" s="10">
        <v>14232</v>
      </c>
      <c r="H4221">
        <v>6.45</v>
      </c>
      <c r="I4221" s="5">
        <f>ROUND(Marketing[[#This Row],[Clicks]]*Marketing[[#This Row],[Conversion_Rate]],0)</f>
        <v>71</v>
      </c>
      <c r="J4221" s="12">
        <f>Marketing[[#This Row],[Campaign_Cost]]/Marketing[[#This Row],[Customers]]</f>
        <v>200.45070422535213</v>
      </c>
      <c r="K4221" t="s">
        <v>19</v>
      </c>
      <c r="L4221" t="s">
        <v>39</v>
      </c>
      <c r="M4221">
        <v>473</v>
      </c>
      <c r="N4221">
        <v>4302</v>
      </c>
      <c r="O4221">
        <v>5</v>
      </c>
      <c r="P4221" t="s">
        <v>34</v>
      </c>
      <c r="Q4221" s="1">
        <v>44401</v>
      </c>
    </row>
    <row r="4222" spans="1:17" x14ac:dyDescent="0.3">
      <c r="A4222" t="s">
        <v>14</v>
      </c>
      <c r="B4222" t="s">
        <v>15</v>
      </c>
      <c r="C4222" t="s">
        <v>37</v>
      </c>
      <c r="D4222" t="s">
        <v>17</v>
      </c>
      <c r="E4222" t="s">
        <v>41</v>
      </c>
      <c r="F4222" s="9">
        <v>0.13</v>
      </c>
      <c r="G4222" s="10">
        <v>8268</v>
      </c>
      <c r="H4222">
        <v>7.06</v>
      </c>
      <c r="I4222" s="5">
        <f>ROUND(Marketing[[#This Row],[Clicks]]*Marketing[[#This Row],[Conversion_Rate]],0)</f>
        <v>95</v>
      </c>
      <c r="J4222" s="12">
        <f>Marketing[[#This Row],[Campaign_Cost]]/Marketing[[#This Row],[Customers]]</f>
        <v>87.031578947368416</v>
      </c>
      <c r="K4222" t="s">
        <v>32</v>
      </c>
      <c r="L4222" t="s">
        <v>26</v>
      </c>
      <c r="M4222">
        <v>728</v>
      </c>
      <c r="N4222">
        <v>2403</v>
      </c>
      <c r="O4222">
        <v>10</v>
      </c>
      <c r="P4222" t="s">
        <v>27</v>
      </c>
      <c r="Q4222" s="1">
        <v>44402</v>
      </c>
    </row>
    <row r="4223" spans="1:17" x14ac:dyDescent="0.3">
      <c r="A4223" t="s">
        <v>14</v>
      </c>
      <c r="B4223" t="s">
        <v>15</v>
      </c>
      <c r="C4223" t="s">
        <v>37</v>
      </c>
      <c r="D4223" t="s">
        <v>24</v>
      </c>
      <c r="E4223" t="s">
        <v>31</v>
      </c>
      <c r="F4223" s="9">
        <v>0.11</v>
      </c>
      <c r="G4223" s="10">
        <v>11792</v>
      </c>
      <c r="H4223">
        <v>3.49</v>
      </c>
      <c r="I4223" s="5">
        <f>ROUND(Marketing[[#This Row],[Clicks]]*Marketing[[#This Row],[Conversion_Rate]],0)</f>
        <v>46</v>
      </c>
      <c r="J4223" s="12">
        <f>Marketing[[#This Row],[Campaign_Cost]]/Marketing[[#This Row],[Customers]]</f>
        <v>256.3478260869565</v>
      </c>
      <c r="K4223" t="s">
        <v>32</v>
      </c>
      <c r="L4223" t="s">
        <v>50</v>
      </c>
      <c r="M4223">
        <v>421</v>
      </c>
      <c r="N4223">
        <v>2152</v>
      </c>
      <c r="O4223">
        <v>9</v>
      </c>
      <c r="P4223" t="s">
        <v>44</v>
      </c>
      <c r="Q4223" s="1">
        <v>44403</v>
      </c>
    </row>
    <row r="4224" spans="1:17" x14ac:dyDescent="0.3">
      <c r="A4224" t="s">
        <v>49</v>
      </c>
      <c r="B4224" t="s">
        <v>29</v>
      </c>
      <c r="C4224" t="s">
        <v>30</v>
      </c>
      <c r="D4224" t="s">
        <v>40</v>
      </c>
      <c r="E4224" t="s">
        <v>18</v>
      </c>
      <c r="F4224" s="9">
        <v>0.02</v>
      </c>
      <c r="G4224" s="10">
        <v>15657</v>
      </c>
      <c r="H4224">
        <v>4.2300000000000004</v>
      </c>
      <c r="I4224" s="5">
        <f>ROUND(Marketing[[#This Row],[Clicks]]*Marketing[[#This Row],[Conversion_Rate]],0)</f>
        <v>18</v>
      </c>
      <c r="J4224" s="12">
        <f>Marketing[[#This Row],[Campaign_Cost]]/Marketing[[#This Row],[Customers]]</f>
        <v>869.83333333333337</v>
      </c>
      <c r="K4224" t="s">
        <v>51</v>
      </c>
      <c r="L4224" t="s">
        <v>39</v>
      </c>
      <c r="M4224">
        <v>918</v>
      </c>
      <c r="N4224">
        <v>6710</v>
      </c>
      <c r="O4224">
        <v>7</v>
      </c>
      <c r="P4224" t="s">
        <v>21</v>
      </c>
      <c r="Q4224" s="1">
        <v>44404</v>
      </c>
    </row>
    <row r="4225" spans="1:17" x14ac:dyDescent="0.3">
      <c r="A4225" t="s">
        <v>49</v>
      </c>
      <c r="B4225" t="s">
        <v>45</v>
      </c>
      <c r="C4225" t="s">
        <v>37</v>
      </c>
      <c r="D4225" t="s">
        <v>24</v>
      </c>
      <c r="E4225" t="s">
        <v>41</v>
      </c>
      <c r="F4225" s="9">
        <v>0.12</v>
      </c>
      <c r="G4225" s="10">
        <v>6537</v>
      </c>
      <c r="H4225">
        <v>7.26</v>
      </c>
      <c r="I4225" s="5">
        <f>ROUND(Marketing[[#This Row],[Clicks]]*Marketing[[#This Row],[Conversion_Rate]],0)</f>
        <v>41</v>
      </c>
      <c r="J4225" s="12">
        <f>Marketing[[#This Row],[Campaign_Cost]]/Marketing[[#This Row],[Customers]]</f>
        <v>159.4390243902439</v>
      </c>
      <c r="K4225" t="s">
        <v>19</v>
      </c>
      <c r="L4225" t="s">
        <v>50</v>
      </c>
      <c r="M4225">
        <v>345</v>
      </c>
      <c r="N4225">
        <v>3629</v>
      </c>
      <c r="O4225">
        <v>10</v>
      </c>
      <c r="P4225" t="s">
        <v>27</v>
      </c>
      <c r="Q4225" s="1">
        <v>44405</v>
      </c>
    </row>
    <row r="4226" spans="1:17" x14ac:dyDescent="0.3">
      <c r="A4226" t="s">
        <v>22</v>
      </c>
      <c r="B4226" t="s">
        <v>29</v>
      </c>
      <c r="C4226" t="s">
        <v>16</v>
      </c>
      <c r="D4226" t="s">
        <v>17</v>
      </c>
      <c r="E4226" t="s">
        <v>43</v>
      </c>
      <c r="F4226" s="9">
        <v>0.14000000000000001</v>
      </c>
      <c r="G4226" s="10">
        <v>19732</v>
      </c>
      <c r="H4226">
        <v>7.3</v>
      </c>
      <c r="I4226" s="5">
        <f>ROUND(Marketing[[#This Row],[Clicks]]*Marketing[[#This Row],[Conversion_Rate]],0)</f>
        <v>25</v>
      </c>
      <c r="J4226" s="12">
        <f>Marketing[[#This Row],[Campaign_Cost]]/Marketing[[#This Row],[Customers]]</f>
        <v>789.28</v>
      </c>
      <c r="K4226" t="s">
        <v>38</v>
      </c>
      <c r="L4226" t="s">
        <v>20</v>
      </c>
      <c r="M4226">
        <v>179</v>
      </c>
      <c r="N4226">
        <v>6301</v>
      </c>
      <c r="O4226">
        <v>2</v>
      </c>
      <c r="P4226" t="s">
        <v>42</v>
      </c>
      <c r="Q4226" s="1">
        <v>44406</v>
      </c>
    </row>
    <row r="4227" spans="1:17" x14ac:dyDescent="0.3">
      <c r="A4227" t="s">
        <v>22</v>
      </c>
      <c r="B4227" t="s">
        <v>15</v>
      </c>
      <c r="C4227" t="s">
        <v>37</v>
      </c>
      <c r="D4227" t="s">
        <v>46</v>
      </c>
      <c r="E4227" t="s">
        <v>43</v>
      </c>
      <c r="F4227" s="9">
        <v>0.02</v>
      </c>
      <c r="G4227" s="10">
        <v>15572</v>
      </c>
      <c r="H4227">
        <v>4</v>
      </c>
      <c r="I4227" s="5">
        <f>ROUND(Marketing[[#This Row],[Clicks]]*Marketing[[#This Row],[Conversion_Rate]],0)</f>
        <v>4</v>
      </c>
      <c r="J4227" s="12">
        <f>Marketing[[#This Row],[Campaign_Cost]]/Marketing[[#This Row],[Customers]]</f>
        <v>3893</v>
      </c>
      <c r="K4227" t="s">
        <v>19</v>
      </c>
      <c r="L4227" t="s">
        <v>39</v>
      </c>
      <c r="M4227">
        <v>182</v>
      </c>
      <c r="N4227">
        <v>4940</v>
      </c>
      <c r="O4227">
        <v>8</v>
      </c>
      <c r="P4227" t="s">
        <v>21</v>
      </c>
      <c r="Q4227" s="1">
        <v>44407</v>
      </c>
    </row>
    <row r="4228" spans="1:17" x14ac:dyDescent="0.3">
      <c r="A4228" t="s">
        <v>14</v>
      </c>
      <c r="B4228" t="s">
        <v>15</v>
      </c>
      <c r="C4228" t="s">
        <v>30</v>
      </c>
      <c r="D4228" t="s">
        <v>46</v>
      </c>
      <c r="E4228" t="s">
        <v>31</v>
      </c>
      <c r="F4228" s="9">
        <v>0.12</v>
      </c>
      <c r="G4228" s="10">
        <v>14855</v>
      </c>
      <c r="H4228">
        <v>7.35</v>
      </c>
      <c r="I4228" s="5">
        <f>ROUND(Marketing[[#This Row],[Clicks]]*Marketing[[#This Row],[Conversion_Rate]],0)</f>
        <v>19</v>
      </c>
      <c r="J4228" s="12">
        <f>Marketing[[#This Row],[Campaign_Cost]]/Marketing[[#This Row],[Customers]]</f>
        <v>781.84210526315792</v>
      </c>
      <c r="K4228" t="s">
        <v>32</v>
      </c>
      <c r="L4228" t="s">
        <v>50</v>
      </c>
      <c r="M4228">
        <v>161</v>
      </c>
      <c r="N4228">
        <v>8337</v>
      </c>
      <c r="O4228">
        <v>9</v>
      </c>
      <c r="P4228" t="s">
        <v>21</v>
      </c>
      <c r="Q4228" s="1">
        <v>44408</v>
      </c>
    </row>
    <row r="4229" spans="1:17" x14ac:dyDescent="0.3">
      <c r="A4229" t="s">
        <v>14</v>
      </c>
      <c r="B4229" t="s">
        <v>36</v>
      </c>
      <c r="C4229" t="s">
        <v>37</v>
      </c>
      <c r="D4229" t="s">
        <v>24</v>
      </c>
      <c r="E4229" t="s">
        <v>43</v>
      </c>
      <c r="F4229" s="9">
        <v>0.14000000000000001</v>
      </c>
      <c r="G4229" s="10">
        <v>8560</v>
      </c>
      <c r="H4229">
        <v>5.52</v>
      </c>
      <c r="I4229" s="5">
        <f>ROUND(Marketing[[#This Row],[Clicks]]*Marketing[[#This Row],[Conversion_Rate]],0)</f>
        <v>99</v>
      </c>
      <c r="J4229" s="12">
        <f>Marketing[[#This Row],[Campaign_Cost]]/Marketing[[#This Row],[Customers]]</f>
        <v>86.464646464646464</v>
      </c>
      <c r="K4229" t="s">
        <v>32</v>
      </c>
      <c r="L4229" t="s">
        <v>26</v>
      </c>
      <c r="M4229">
        <v>710</v>
      </c>
      <c r="N4229">
        <v>8806</v>
      </c>
      <c r="O4229">
        <v>8</v>
      </c>
      <c r="P4229" t="s">
        <v>34</v>
      </c>
      <c r="Q4229" s="1">
        <v>44409</v>
      </c>
    </row>
    <row r="4230" spans="1:17" x14ac:dyDescent="0.3">
      <c r="A4230" t="s">
        <v>14</v>
      </c>
      <c r="B4230" t="s">
        <v>45</v>
      </c>
      <c r="C4230" t="s">
        <v>23</v>
      </c>
      <c r="D4230" t="s">
        <v>40</v>
      </c>
      <c r="E4230" t="s">
        <v>31</v>
      </c>
      <c r="F4230" s="9">
        <v>0.02</v>
      </c>
      <c r="G4230" s="10">
        <v>15178</v>
      </c>
      <c r="H4230">
        <v>3.13</v>
      </c>
      <c r="I4230" s="5">
        <f>ROUND(Marketing[[#This Row],[Clicks]]*Marketing[[#This Row],[Conversion_Rate]],0)</f>
        <v>15</v>
      </c>
      <c r="J4230" s="12">
        <f>Marketing[[#This Row],[Campaign_Cost]]/Marketing[[#This Row],[Customers]]</f>
        <v>1011.8666666666667</v>
      </c>
      <c r="K4230" t="s">
        <v>38</v>
      </c>
      <c r="L4230" t="s">
        <v>20</v>
      </c>
      <c r="M4230">
        <v>740</v>
      </c>
      <c r="N4230">
        <v>9462</v>
      </c>
      <c r="O4230">
        <v>2</v>
      </c>
      <c r="P4230" t="s">
        <v>44</v>
      </c>
      <c r="Q4230" s="1">
        <v>44410</v>
      </c>
    </row>
    <row r="4231" spans="1:17" x14ac:dyDescent="0.3">
      <c r="A4231" t="s">
        <v>35</v>
      </c>
      <c r="B4231" t="s">
        <v>15</v>
      </c>
      <c r="C4231" t="s">
        <v>37</v>
      </c>
      <c r="D4231" t="s">
        <v>46</v>
      </c>
      <c r="E4231" t="s">
        <v>15</v>
      </c>
      <c r="F4231" s="9">
        <v>0.08</v>
      </c>
      <c r="G4231" s="10">
        <v>16807</v>
      </c>
      <c r="H4231">
        <v>7.49</v>
      </c>
      <c r="I4231" s="5">
        <f>ROUND(Marketing[[#This Row],[Clicks]]*Marketing[[#This Row],[Conversion_Rate]],0)</f>
        <v>23</v>
      </c>
      <c r="J4231" s="12">
        <f>Marketing[[#This Row],[Campaign_Cost]]/Marketing[[#This Row],[Customers]]</f>
        <v>730.73913043478262</v>
      </c>
      <c r="K4231" t="s">
        <v>19</v>
      </c>
      <c r="L4231" t="s">
        <v>33</v>
      </c>
      <c r="M4231">
        <v>290</v>
      </c>
      <c r="N4231">
        <v>9901</v>
      </c>
      <c r="O4231">
        <v>5</v>
      </c>
      <c r="P4231" t="s">
        <v>42</v>
      </c>
      <c r="Q4231" s="1">
        <v>44411</v>
      </c>
    </row>
    <row r="4232" spans="1:17" x14ac:dyDescent="0.3">
      <c r="A4232" t="s">
        <v>49</v>
      </c>
      <c r="B4232" t="s">
        <v>45</v>
      </c>
      <c r="C4232" t="s">
        <v>37</v>
      </c>
      <c r="D4232" t="s">
        <v>24</v>
      </c>
      <c r="E4232" t="s">
        <v>31</v>
      </c>
      <c r="F4232" s="9">
        <v>0.14000000000000001</v>
      </c>
      <c r="G4232" s="10">
        <v>13139</v>
      </c>
      <c r="H4232">
        <v>4.45</v>
      </c>
      <c r="I4232" s="5">
        <f>ROUND(Marketing[[#This Row],[Clicks]]*Marketing[[#This Row],[Conversion_Rate]],0)</f>
        <v>78</v>
      </c>
      <c r="J4232" s="12">
        <f>Marketing[[#This Row],[Campaign_Cost]]/Marketing[[#This Row],[Customers]]</f>
        <v>168.44871794871796</v>
      </c>
      <c r="K4232" t="s">
        <v>38</v>
      </c>
      <c r="L4232" t="s">
        <v>33</v>
      </c>
      <c r="M4232">
        <v>560</v>
      </c>
      <c r="N4232">
        <v>6852</v>
      </c>
      <c r="O4232">
        <v>5</v>
      </c>
      <c r="P4232" t="s">
        <v>42</v>
      </c>
      <c r="Q4232" s="1">
        <v>44412</v>
      </c>
    </row>
    <row r="4233" spans="1:17" x14ac:dyDescent="0.3">
      <c r="A4233" t="s">
        <v>35</v>
      </c>
      <c r="B4233" t="s">
        <v>47</v>
      </c>
      <c r="C4233" t="s">
        <v>30</v>
      </c>
      <c r="D4233" t="s">
        <v>40</v>
      </c>
      <c r="E4233" t="s">
        <v>18</v>
      </c>
      <c r="F4233" s="9">
        <v>0.11</v>
      </c>
      <c r="G4233" s="10">
        <v>12191</v>
      </c>
      <c r="H4233">
        <v>3.54</v>
      </c>
      <c r="I4233" s="5">
        <f>ROUND(Marketing[[#This Row],[Clicks]]*Marketing[[#This Row],[Conversion_Rate]],0)</f>
        <v>74</v>
      </c>
      <c r="J4233" s="12">
        <f>Marketing[[#This Row],[Campaign_Cost]]/Marketing[[#This Row],[Customers]]</f>
        <v>164.74324324324326</v>
      </c>
      <c r="K4233" t="s">
        <v>32</v>
      </c>
      <c r="L4233" t="s">
        <v>50</v>
      </c>
      <c r="M4233">
        <v>677</v>
      </c>
      <c r="N4233">
        <v>2146</v>
      </c>
      <c r="O4233">
        <v>1</v>
      </c>
      <c r="P4233" t="s">
        <v>42</v>
      </c>
      <c r="Q4233" s="1">
        <v>44413</v>
      </c>
    </row>
    <row r="4234" spans="1:17" x14ac:dyDescent="0.3">
      <c r="A4234" t="s">
        <v>35</v>
      </c>
      <c r="B4234" t="s">
        <v>45</v>
      </c>
      <c r="C4234" t="s">
        <v>23</v>
      </c>
      <c r="D4234" t="s">
        <v>46</v>
      </c>
      <c r="E4234" t="s">
        <v>15</v>
      </c>
      <c r="F4234" s="9">
        <v>0.09</v>
      </c>
      <c r="G4234" s="10">
        <v>6953</v>
      </c>
      <c r="H4234">
        <v>6.61</v>
      </c>
      <c r="I4234" s="5">
        <f>ROUND(Marketing[[#This Row],[Clicks]]*Marketing[[#This Row],[Conversion_Rate]],0)</f>
        <v>75</v>
      </c>
      <c r="J4234" s="12">
        <f>Marketing[[#This Row],[Campaign_Cost]]/Marketing[[#This Row],[Customers]]</f>
        <v>92.706666666666663</v>
      </c>
      <c r="K4234" t="s">
        <v>25</v>
      </c>
      <c r="L4234" t="s">
        <v>50</v>
      </c>
      <c r="M4234">
        <v>829</v>
      </c>
      <c r="N4234">
        <v>5177</v>
      </c>
      <c r="O4234">
        <v>10</v>
      </c>
      <c r="P4234" t="s">
        <v>34</v>
      </c>
      <c r="Q4234" s="1">
        <v>44414</v>
      </c>
    </row>
    <row r="4235" spans="1:17" x14ac:dyDescent="0.3">
      <c r="A4235" t="s">
        <v>35</v>
      </c>
      <c r="B4235" t="s">
        <v>29</v>
      </c>
      <c r="C4235" t="s">
        <v>30</v>
      </c>
      <c r="D4235" t="s">
        <v>40</v>
      </c>
      <c r="E4235" t="s">
        <v>15</v>
      </c>
      <c r="F4235" s="9">
        <v>0.14000000000000001</v>
      </c>
      <c r="G4235" s="10">
        <v>16829</v>
      </c>
      <c r="H4235">
        <v>6.14</v>
      </c>
      <c r="I4235" s="5">
        <f>ROUND(Marketing[[#This Row],[Clicks]]*Marketing[[#This Row],[Conversion_Rate]],0)</f>
        <v>39</v>
      </c>
      <c r="J4235" s="12">
        <f>Marketing[[#This Row],[Campaign_Cost]]/Marketing[[#This Row],[Customers]]</f>
        <v>431.5128205128205</v>
      </c>
      <c r="K4235" t="s">
        <v>51</v>
      </c>
      <c r="L4235" t="s">
        <v>33</v>
      </c>
      <c r="M4235">
        <v>275</v>
      </c>
      <c r="N4235">
        <v>2728</v>
      </c>
      <c r="O4235">
        <v>2</v>
      </c>
      <c r="P4235" t="s">
        <v>42</v>
      </c>
      <c r="Q4235" s="1">
        <v>44415</v>
      </c>
    </row>
    <row r="4236" spans="1:17" x14ac:dyDescent="0.3">
      <c r="A4236" t="s">
        <v>35</v>
      </c>
      <c r="B4236" t="s">
        <v>47</v>
      </c>
      <c r="C4236" t="s">
        <v>30</v>
      </c>
      <c r="D4236" t="s">
        <v>40</v>
      </c>
      <c r="E4236" t="s">
        <v>18</v>
      </c>
      <c r="F4236" s="9">
        <v>0.11</v>
      </c>
      <c r="G4236" s="10">
        <v>9799</v>
      </c>
      <c r="H4236">
        <v>3.99</v>
      </c>
      <c r="I4236" s="5">
        <f>ROUND(Marketing[[#This Row],[Clicks]]*Marketing[[#This Row],[Conversion_Rate]],0)</f>
        <v>74</v>
      </c>
      <c r="J4236" s="12">
        <f>Marketing[[#This Row],[Campaign_Cost]]/Marketing[[#This Row],[Customers]]</f>
        <v>132.41891891891891</v>
      </c>
      <c r="K4236" t="s">
        <v>19</v>
      </c>
      <c r="L4236" t="s">
        <v>39</v>
      </c>
      <c r="M4236">
        <v>674</v>
      </c>
      <c r="N4236">
        <v>3975</v>
      </c>
      <c r="O4236">
        <v>9</v>
      </c>
      <c r="P4236" t="s">
        <v>27</v>
      </c>
      <c r="Q4236" s="1">
        <v>44416</v>
      </c>
    </row>
    <row r="4237" spans="1:17" x14ac:dyDescent="0.3">
      <c r="A4237" t="s">
        <v>49</v>
      </c>
      <c r="B4237" t="s">
        <v>45</v>
      </c>
      <c r="C4237" t="s">
        <v>52</v>
      </c>
      <c r="D4237" t="s">
        <v>17</v>
      </c>
      <c r="E4237" t="s">
        <v>31</v>
      </c>
      <c r="F4237" s="9">
        <v>0.08</v>
      </c>
      <c r="G4237" s="10">
        <v>15970</v>
      </c>
      <c r="H4237">
        <v>7.81</v>
      </c>
      <c r="I4237" s="5">
        <f>ROUND(Marketing[[#This Row],[Clicks]]*Marketing[[#This Row],[Conversion_Rate]],0)</f>
        <v>44</v>
      </c>
      <c r="J4237" s="12">
        <f>Marketing[[#This Row],[Campaign_Cost]]/Marketing[[#This Row],[Customers]]</f>
        <v>362.95454545454544</v>
      </c>
      <c r="K4237" t="s">
        <v>51</v>
      </c>
      <c r="L4237" t="s">
        <v>39</v>
      </c>
      <c r="M4237">
        <v>544</v>
      </c>
      <c r="N4237">
        <v>4071</v>
      </c>
      <c r="O4237">
        <v>6</v>
      </c>
      <c r="P4237" t="s">
        <v>44</v>
      </c>
      <c r="Q4237" s="1">
        <v>44417</v>
      </c>
    </row>
    <row r="4238" spans="1:17" x14ac:dyDescent="0.3">
      <c r="A4238" t="s">
        <v>28</v>
      </c>
      <c r="B4238" t="s">
        <v>15</v>
      </c>
      <c r="C4238" t="s">
        <v>23</v>
      </c>
      <c r="D4238" t="s">
        <v>46</v>
      </c>
      <c r="E4238" t="s">
        <v>18</v>
      </c>
      <c r="F4238" s="9">
        <v>0.05</v>
      </c>
      <c r="G4238" s="10">
        <v>19291</v>
      </c>
      <c r="H4238">
        <v>7.2</v>
      </c>
      <c r="I4238" s="5">
        <f>ROUND(Marketing[[#This Row],[Clicks]]*Marketing[[#This Row],[Conversion_Rate]],0)</f>
        <v>40</v>
      </c>
      <c r="J4238" s="12">
        <f>Marketing[[#This Row],[Campaign_Cost]]/Marketing[[#This Row],[Customers]]</f>
        <v>482.27499999999998</v>
      </c>
      <c r="K4238" t="s">
        <v>32</v>
      </c>
      <c r="L4238" t="s">
        <v>39</v>
      </c>
      <c r="M4238">
        <v>806</v>
      </c>
      <c r="N4238">
        <v>1453</v>
      </c>
      <c r="O4238">
        <v>1</v>
      </c>
      <c r="P4238" t="s">
        <v>44</v>
      </c>
      <c r="Q4238" s="1">
        <v>44418</v>
      </c>
    </row>
    <row r="4239" spans="1:17" x14ac:dyDescent="0.3">
      <c r="A4239" t="s">
        <v>49</v>
      </c>
      <c r="B4239" t="s">
        <v>15</v>
      </c>
      <c r="C4239" t="s">
        <v>16</v>
      </c>
      <c r="D4239" t="s">
        <v>17</v>
      </c>
      <c r="E4239" t="s">
        <v>31</v>
      </c>
      <c r="F4239" s="9">
        <v>0.05</v>
      </c>
      <c r="G4239" s="10">
        <v>12934</v>
      </c>
      <c r="H4239">
        <v>7.82</v>
      </c>
      <c r="I4239" s="5">
        <f>ROUND(Marketing[[#This Row],[Clicks]]*Marketing[[#This Row],[Conversion_Rate]],0)</f>
        <v>50</v>
      </c>
      <c r="J4239" s="12">
        <f>Marketing[[#This Row],[Campaign_Cost]]/Marketing[[#This Row],[Customers]]</f>
        <v>258.68</v>
      </c>
      <c r="K4239" t="s">
        <v>51</v>
      </c>
      <c r="L4239" t="s">
        <v>39</v>
      </c>
      <c r="M4239">
        <v>994</v>
      </c>
      <c r="N4239">
        <v>6303</v>
      </c>
      <c r="O4239">
        <v>3</v>
      </c>
      <c r="P4239" t="s">
        <v>44</v>
      </c>
      <c r="Q4239" s="1">
        <v>44419</v>
      </c>
    </row>
    <row r="4240" spans="1:17" x14ac:dyDescent="0.3">
      <c r="A4240" t="s">
        <v>22</v>
      </c>
      <c r="B4240" t="s">
        <v>47</v>
      </c>
      <c r="C4240" t="s">
        <v>30</v>
      </c>
      <c r="D4240" t="s">
        <v>17</v>
      </c>
      <c r="E4240" t="s">
        <v>31</v>
      </c>
      <c r="F4240" s="9">
        <v>0.1</v>
      </c>
      <c r="G4240" s="10">
        <v>7835</v>
      </c>
      <c r="H4240">
        <v>5.92</v>
      </c>
      <c r="I4240" s="5">
        <f>ROUND(Marketing[[#This Row],[Clicks]]*Marketing[[#This Row],[Conversion_Rate]],0)</f>
        <v>92</v>
      </c>
      <c r="J4240" s="12">
        <f>Marketing[[#This Row],[Campaign_Cost]]/Marketing[[#This Row],[Customers]]</f>
        <v>85.163043478260875</v>
      </c>
      <c r="K4240" t="s">
        <v>51</v>
      </c>
      <c r="L4240" t="s">
        <v>50</v>
      </c>
      <c r="M4240">
        <v>919</v>
      </c>
      <c r="N4240">
        <v>2214</v>
      </c>
      <c r="O4240">
        <v>1</v>
      </c>
      <c r="P4240" t="s">
        <v>44</v>
      </c>
      <c r="Q4240" s="1">
        <v>44420</v>
      </c>
    </row>
    <row r="4241" spans="1:17" x14ac:dyDescent="0.3">
      <c r="A4241" t="s">
        <v>35</v>
      </c>
      <c r="B4241" t="s">
        <v>45</v>
      </c>
      <c r="C4241" t="s">
        <v>16</v>
      </c>
      <c r="D4241" t="s">
        <v>46</v>
      </c>
      <c r="E4241" t="s">
        <v>15</v>
      </c>
      <c r="F4241" s="9">
        <v>0.03</v>
      </c>
      <c r="G4241" s="10">
        <v>19271</v>
      </c>
      <c r="H4241">
        <v>7.46</v>
      </c>
      <c r="I4241" s="5">
        <f>ROUND(Marketing[[#This Row],[Clicks]]*Marketing[[#This Row],[Conversion_Rate]],0)</f>
        <v>26</v>
      </c>
      <c r="J4241" s="12">
        <f>Marketing[[#This Row],[Campaign_Cost]]/Marketing[[#This Row],[Customers]]</f>
        <v>741.19230769230774</v>
      </c>
      <c r="K4241" t="s">
        <v>32</v>
      </c>
      <c r="L4241" t="s">
        <v>33</v>
      </c>
      <c r="M4241">
        <v>868</v>
      </c>
      <c r="N4241">
        <v>5872</v>
      </c>
      <c r="O4241">
        <v>5</v>
      </c>
      <c r="P4241" t="s">
        <v>34</v>
      </c>
      <c r="Q4241" s="1">
        <v>44421</v>
      </c>
    </row>
    <row r="4242" spans="1:17" x14ac:dyDescent="0.3">
      <c r="A4242" t="s">
        <v>49</v>
      </c>
      <c r="B4242" t="s">
        <v>36</v>
      </c>
      <c r="C4242" t="s">
        <v>52</v>
      </c>
      <c r="D4242" t="s">
        <v>40</v>
      </c>
      <c r="E4242" t="s">
        <v>43</v>
      </c>
      <c r="F4242" s="9">
        <v>0.1</v>
      </c>
      <c r="G4242" s="10">
        <v>17955</v>
      </c>
      <c r="H4242">
        <v>6.15</v>
      </c>
      <c r="I4242" s="5">
        <f>ROUND(Marketing[[#This Row],[Clicks]]*Marketing[[#This Row],[Conversion_Rate]],0)</f>
        <v>68</v>
      </c>
      <c r="J4242" s="12">
        <f>Marketing[[#This Row],[Campaign_Cost]]/Marketing[[#This Row],[Customers]]</f>
        <v>264.04411764705884</v>
      </c>
      <c r="K4242" t="s">
        <v>32</v>
      </c>
      <c r="L4242" t="s">
        <v>39</v>
      </c>
      <c r="M4242">
        <v>676</v>
      </c>
      <c r="N4242">
        <v>1174</v>
      </c>
      <c r="O4242">
        <v>8</v>
      </c>
      <c r="P4242" t="s">
        <v>42</v>
      </c>
      <c r="Q4242" s="1">
        <v>44422</v>
      </c>
    </row>
    <row r="4243" spans="1:17" x14ac:dyDescent="0.3">
      <c r="A4243" t="s">
        <v>49</v>
      </c>
      <c r="B4243" t="s">
        <v>45</v>
      </c>
      <c r="C4243" t="s">
        <v>37</v>
      </c>
      <c r="D4243" t="s">
        <v>46</v>
      </c>
      <c r="E4243" t="s">
        <v>18</v>
      </c>
      <c r="F4243" s="9">
        <v>0.11</v>
      </c>
      <c r="G4243" s="10">
        <v>18903</v>
      </c>
      <c r="H4243">
        <v>3.64</v>
      </c>
      <c r="I4243" s="5">
        <f>ROUND(Marketing[[#This Row],[Clicks]]*Marketing[[#This Row],[Conversion_Rate]],0)</f>
        <v>20</v>
      </c>
      <c r="J4243" s="12">
        <f>Marketing[[#This Row],[Campaign_Cost]]/Marketing[[#This Row],[Customers]]</f>
        <v>945.15</v>
      </c>
      <c r="K4243" t="s">
        <v>38</v>
      </c>
      <c r="L4243" t="s">
        <v>33</v>
      </c>
      <c r="M4243">
        <v>183</v>
      </c>
      <c r="N4243">
        <v>7663</v>
      </c>
      <c r="O4243">
        <v>2</v>
      </c>
      <c r="P4243" t="s">
        <v>27</v>
      </c>
      <c r="Q4243" s="1">
        <v>44423</v>
      </c>
    </row>
    <row r="4244" spans="1:17" x14ac:dyDescent="0.3">
      <c r="A4244" t="s">
        <v>14</v>
      </c>
      <c r="B4244" t="s">
        <v>29</v>
      </c>
      <c r="C4244" t="s">
        <v>30</v>
      </c>
      <c r="D4244" t="s">
        <v>40</v>
      </c>
      <c r="E4244" t="s">
        <v>18</v>
      </c>
      <c r="F4244" s="9">
        <v>0.08</v>
      </c>
      <c r="G4244" s="10">
        <v>10551</v>
      </c>
      <c r="H4244">
        <v>4.87</v>
      </c>
      <c r="I4244" s="5">
        <f>ROUND(Marketing[[#This Row],[Clicks]]*Marketing[[#This Row],[Conversion_Rate]],0)</f>
        <v>8</v>
      </c>
      <c r="J4244" s="12">
        <f>Marketing[[#This Row],[Campaign_Cost]]/Marketing[[#This Row],[Customers]]</f>
        <v>1318.875</v>
      </c>
      <c r="K4244" t="s">
        <v>19</v>
      </c>
      <c r="L4244" t="s">
        <v>33</v>
      </c>
      <c r="M4244">
        <v>104</v>
      </c>
      <c r="N4244">
        <v>3427</v>
      </c>
      <c r="O4244">
        <v>7</v>
      </c>
      <c r="P4244" t="s">
        <v>42</v>
      </c>
      <c r="Q4244" s="1">
        <v>44424</v>
      </c>
    </row>
    <row r="4245" spans="1:17" x14ac:dyDescent="0.3">
      <c r="A4245" t="s">
        <v>22</v>
      </c>
      <c r="B4245" t="s">
        <v>15</v>
      </c>
      <c r="C4245" t="s">
        <v>30</v>
      </c>
      <c r="D4245" t="s">
        <v>46</v>
      </c>
      <c r="E4245" t="s">
        <v>43</v>
      </c>
      <c r="F4245" s="9">
        <v>0.1</v>
      </c>
      <c r="G4245" s="10">
        <v>9561</v>
      </c>
      <c r="H4245">
        <v>2.16</v>
      </c>
      <c r="I4245" s="5">
        <f>ROUND(Marketing[[#This Row],[Clicks]]*Marketing[[#This Row],[Conversion_Rate]],0)</f>
        <v>74</v>
      </c>
      <c r="J4245" s="12">
        <f>Marketing[[#This Row],[Campaign_Cost]]/Marketing[[#This Row],[Customers]]</f>
        <v>129.20270270270271</v>
      </c>
      <c r="K4245" t="s">
        <v>38</v>
      </c>
      <c r="L4245" t="s">
        <v>20</v>
      </c>
      <c r="M4245">
        <v>742</v>
      </c>
      <c r="N4245">
        <v>3883</v>
      </c>
      <c r="O4245">
        <v>7</v>
      </c>
      <c r="P4245" t="s">
        <v>42</v>
      </c>
      <c r="Q4245" s="1">
        <v>44425</v>
      </c>
    </row>
    <row r="4246" spans="1:17" x14ac:dyDescent="0.3">
      <c r="A4246" t="s">
        <v>35</v>
      </c>
      <c r="B4246" t="s">
        <v>45</v>
      </c>
      <c r="C4246" t="s">
        <v>23</v>
      </c>
      <c r="D4246" t="s">
        <v>24</v>
      </c>
      <c r="E4246" t="s">
        <v>18</v>
      </c>
      <c r="F4246" s="9">
        <v>0.1</v>
      </c>
      <c r="G4246" s="10">
        <v>14218</v>
      </c>
      <c r="H4246">
        <v>2.0499999999999998</v>
      </c>
      <c r="I4246" s="5">
        <f>ROUND(Marketing[[#This Row],[Clicks]]*Marketing[[#This Row],[Conversion_Rate]],0)</f>
        <v>35</v>
      </c>
      <c r="J4246" s="12">
        <f>Marketing[[#This Row],[Campaign_Cost]]/Marketing[[#This Row],[Customers]]</f>
        <v>406.22857142857146</v>
      </c>
      <c r="K4246" t="s">
        <v>38</v>
      </c>
      <c r="L4246" t="s">
        <v>20</v>
      </c>
      <c r="M4246">
        <v>354</v>
      </c>
      <c r="N4246">
        <v>2111</v>
      </c>
      <c r="O4246">
        <v>4</v>
      </c>
      <c r="P4246" t="s">
        <v>44</v>
      </c>
      <c r="Q4246" s="1">
        <v>44426</v>
      </c>
    </row>
    <row r="4247" spans="1:17" x14ac:dyDescent="0.3">
      <c r="A4247" t="s">
        <v>35</v>
      </c>
      <c r="B4247" t="s">
        <v>45</v>
      </c>
      <c r="C4247" t="s">
        <v>23</v>
      </c>
      <c r="D4247" t="s">
        <v>17</v>
      </c>
      <c r="E4247" t="s">
        <v>31</v>
      </c>
      <c r="F4247" s="9">
        <v>0.11</v>
      </c>
      <c r="G4247" s="10">
        <v>6339</v>
      </c>
      <c r="H4247">
        <v>4.7300000000000004</v>
      </c>
      <c r="I4247" s="5">
        <f>ROUND(Marketing[[#This Row],[Clicks]]*Marketing[[#This Row],[Conversion_Rate]],0)</f>
        <v>69</v>
      </c>
      <c r="J4247" s="12">
        <f>Marketing[[#This Row],[Campaign_Cost]]/Marketing[[#This Row],[Customers]]</f>
        <v>91.869565217391298</v>
      </c>
      <c r="K4247" t="s">
        <v>32</v>
      </c>
      <c r="L4247" t="s">
        <v>33</v>
      </c>
      <c r="M4247">
        <v>623</v>
      </c>
      <c r="N4247">
        <v>8066</v>
      </c>
      <c r="O4247">
        <v>2</v>
      </c>
      <c r="P4247" t="s">
        <v>42</v>
      </c>
      <c r="Q4247" s="1">
        <v>44427</v>
      </c>
    </row>
    <row r="4248" spans="1:17" x14ac:dyDescent="0.3">
      <c r="A4248" t="s">
        <v>14</v>
      </c>
      <c r="B4248" t="s">
        <v>47</v>
      </c>
      <c r="C4248" t="s">
        <v>16</v>
      </c>
      <c r="D4248" t="s">
        <v>40</v>
      </c>
      <c r="E4248" t="s">
        <v>41</v>
      </c>
      <c r="F4248" s="9">
        <v>7.0000000000000007E-2</v>
      </c>
      <c r="G4248" s="10">
        <v>17938</v>
      </c>
      <c r="H4248">
        <v>4.38</v>
      </c>
      <c r="I4248" s="5">
        <f>ROUND(Marketing[[#This Row],[Clicks]]*Marketing[[#This Row],[Conversion_Rate]],0)</f>
        <v>63</v>
      </c>
      <c r="J4248" s="12">
        <f>Marketing[[#This Row],[Campaign_Cost]]/Marketing[[#This Row],[Customers]]</f>
        <v>284.73015873015873</v>
      </c>
      <c r="K4248" t="s">
        <v>32</v>
      </c>
      <c r="L4248" t="s">
        <v>26</v>
      </c>
      <c r="M4248">
        <v>902</v>
      </c>
      <c r="N4248">
        <v>8093</v>
      </c>
      <c r="O4248">
        <v>2</v>
      </c>
      <c r="P4248" t="s">
        <v>44</v>
      </c>
      <c r="Q4248" s="1">
        <v>44428</v>
      </c>
    </row>
    <row r="4249" spans="1:17" x14ac:dyDescent="0.3">
      <c r="A4249" t="s">
        <v>28</v>
      </c>
      <c r="B4249" t="s">
        <v>47</v>
      </c>
      <c r="C4249" t="s">
        <v>23</v>
      </c>
      <c r="D4249" t="s">
        <v>40</v>
      </c>
      <c r="E4249" t="s">
        <v>48</v>
      </c>
      <c r="F4249" s="9">
        <v>0.01</v>
      </c>
      <c r="G4249" s="10">
        <v>16794</v>
      </c>
      <c r="H4249">
        <v>2.75</v>
      </c>
      <c r="I4249" s="5">
        <f>ROUND(Marketing[[#This Row],[Clicks]]*Marketing[[#This Row],[Conversion_Rate]],0)</f>
        <v>7</v>
      </c>
      <c r="J4249" s="12">
        <f>Marketing[[#This Row],[Campaign_Cost]]/Marketing[[#This Row],[Customers]]</f>
        <v>2399.1428571428573</v>
      </c>
      <c r="K4249" t="s">
        <v>51</v>
      </c>
      <c r="L4249" t="s">
        <v>20</v>
      </c>
      <c r="M4249">
        <v>726</v>
      </c>
      <c r="N4249">
        <v>2651</v>
      </c>
      <c r="O4249">
        <v>10</v>
      </c>
      <c r="P4249" t="s">
        <v>34</v>
      </c>
      <c r="Q4249" s="1">
        <v>44429</v>
      </c>
    </row>
    <row r="4250" spans="1:17" x14ac:dyDescent="0.3">
      <c r="A4250" t="s">
        <v>28</v>
      </c>
      <c r="B4250" t="s">
        <v>47</v>
      </c>
      <c r="C4250" t="s">
        <v>52</v>
      </c>
      <c r="D4250" t="s">
        <v>46</v>
      </c>
      <c r="E4250" t="s">
        <v>18</v>
      </c>
      <c r="F4250" s="9">
        <v>0.09</v>
      </c>
      <c r="G4250" s="10">
        <v>6137</v>
      </c>
      <c r="H4250">
        <v>5.99</v>
      </c>
      <c r="I4250" s="5">
        <f>ROUND(Marketing[[#This Row],[Clicks]]*Marketing[[#This Row],[Conversion_Rate]],0)</f>
        <v>32</v>
      </c>
      <c r="J4250" s="12">
        <f>Marketing[[#This Row],[Campaign_Cost]]/Marketing[[#This Row],[Customers]]</f>
        <v>191.78125</v>
      </c>
      <c r="K4250" t="s">
        <v>32</v>
      </c>
      <c r="L4250" t="s">
        <v>26</v>
      </c>
      <c r="M4250">
        <v>361</v>
      </c>
      <c r="N4250">
        <v>9309</v>
      </c>
      <c r="O4250">
        <v>9</v>
      </c>
      <c r="P4250" t="s">
        <v>34</v>
      </c>
      <c r="Q4250" s="1">
        <v>44430</v>
      </c>
    </row>
    <row r="4251" spans="1:17" x14ac:dyDescent="0.3">
      <c r="A4251" t="s">
        <v>49</v>
      </c>
      <c r="B4251" t="s">
        <v>29</v>
      </c>
      <c r="C4251" t="s">
        <v>16</v>
      </c>
      <c r="D4251" t="s">
        <v>24</v>
      </c>
      <c r="E4251" t="s">
        <v>48</v>
      </c>
      <c r="F4251" s="9">
        <v>0.1</v>
      </c>
      <c r="G4251" s="10">
        <v>18487</v>
      </c>
      <c r="H4251">
        <v>6.28</v>
      </c>
      <c r="I4251" s="5">
        <f>ROUND(Marketing[[#This Row],[Clicks]]*Marketing[[#This Row],[Conversion_Rate]],0)</f>
        <v>43</v>
      </c>
      <c r="J4251" s="12">
        <f>Marketing[[#This Row],[Campaign_Cost]]/Marketing[[#This Row],[Customers]]</f>
        <v>429.93023255813955</v>
      </c>
      <c r="K4251" t="s">
        <v>19</v>
      </c>
      <c r="L4251" t="s">
        <v>50</v>
      </c>
      <c r="M4251">
        <v>428</v>
      </c>
      <c r="N4251">
        <v>9345</v>
      </c>
      <c r="O4251">
        <v>9</v>
      </c>
      <c r="P4251" t="s">
        <v>44</v>
      </c>
      <c r="Q4251" s="1">
        <v>44431</v>
      </c>
    </row>
    <row r="4252" spans="1:17" x14ac:dyDescent="0.3">
      <c r="A4252" t="s">
        <v>49</v>
      </c>
      <c r="B4252" t="s">
        <v>45</v>
      </c>
      <c r="C4252" t="s">
        <v>16</v>
      </c>
      <c r="D4252" t="s">
        <v>17</v>
      </c>
      <c r="E4252" t="s">
        <v>43</v>
      </c>
      <c r="F4252" s="9">
        <v>0.13</v>
      </c>
      <c r="G4252" s="10">
        <v>17722</v>
      </c>
      <c r="H4252">
        <v>4.74</v>
      </c>
      <c r="I4252" s="5">
        <f>ROUND(Marketing[[#This Row],[Clicks]]*Marketing[[#This Row],[Conversion_Rate]],0)</f>
        <v>23</v>
      </c>
      <c r="J4252" s="12">
        <f>Marketing[[#This Row],[Campaign_Cost]]/Marketing[[#This Row],[Customers]]</f>
        <v>770.52173913043475</v>
      </c>
      <c r="K4252" t="s">
        <v>32</v>
      </c>
      <c r="L4252" t="s">
        <v>20</v>
      </c>
      <c r="M4252">
        <v>178</v>
      </c>
      <c r="N4252">
        <v>8376</v>
      </c>
      <c r="O4252">
        <v>9</v>
      </c>
      <c r="P4252" t="s">
        <v>21</v>
      </c>
      <c r="Q4252" s="1">
        <v>44432</v>
      </c>
    </row>
    <row r="4253" spans="1:17" x14ac:dyDescent="0.3">
      <c r="A4253" t="s">
        <v>22</v>
      </c>
      <c r="B4253" t="s">
        <v>47</v>
      </c>
      <c r="C4253" t="s">
        <v>16</v>
      </c>
      <c r="D4253" t="s">
        <v>46</v>
      </c>
      <c r="E4253" t="s">
        <v>43</v>
      </c>
      <c r="F4253" s="9">
        <v>0.13</v>
      </c>
      <c r="G4253" s="10">
        <v>5342</v>
      </c>
      <c r="H4253">
        <v>4.41</v>
      </c>
      <c r="I4253" s="5">
        <f>ROUND(Marketing[[#This Row],[Clicks]]*Marketing[[#This Row],[Conversion_Rate]],0)</f>
        <v>95</v>
      </c>
      <c r="J4253" s="12">
        <f>Marketing[[#This Row],[Campaign_Cost]]/Marketing[[#This Row],[Customers]]</f>
        <v>56.231578947368419</v>
      </c>
      <c r="K4253" t="s">
        <v>19</v>
      </c>
      <c r="L4253" t="s">
        <v>33</v>
      </c>
      <c r="M4253">
        <v>728</v>
      </c>
      <c r="N4253">
        <v>4737</v>
      </c>
      <c r="O4253">
        <v>8</v>
      </c>
      <c r="P4253" t="s">
        <v>34</v>
      </c>
      <c r="Q4253" s="1">
        <v>44433</v>
      </c>
    </row>
    <row r="4254" spans="1:17" x14ac:dyDescent="0.3">
      <c r="A4254" t="s">
        <v>28</v>
      </c>
      <c r="B4254" t="s">
        <v>47</v>
      </c>
      <c r="C4254" t="s">
        <v>16</v>
      </c>
      <c r="D4254" t="s">
        <v>40</v>
      </c>
      <c r="E4254" t="s">
        <v>41</v>
      </c>
      <c r="F4254" s="9">
        <v>0.13</v>
      </c>
      <c r="G4254" s="10">
        <v>12985</v>
      </c>
      <c r="H4254">
        <v>5.34</v>
      </c>
      <c r="I4254" s="5">
        <f>ROUND(Marketing[[#This Row],[Clicks]]*Marketing[[#This Row],[Conversion_Rate]],0)</f>
        <v>38</v>
      </c>
      <c r="J4254" s="12">
        <f>Marketing[[#This Row],[Campaign_Cost]]/Marketing[[#This Row],[Customers]]</f>
        <v>341.71052631578948</v>
      </c>
      <c r="K4254" t="s">
        <v>19</v>
      </c>
      <c r="L4254" t="s">
        <v>33</v>
      </c>
      <c r="M4254">
        <v>295</v>
      </c>
      <c r="N4254">
        <v>7353</v>
      </c>
      <c r="O4254">
        <v>5</v>
      </c>
      <c r="P4254" t="s">
        <v>44</v>
      </c>
      <c r="Q4254" s="1">
        <v>44434</v>
      </c>
    </row>
    <row r="4255" spans="1:17" x14ac:dyDescent="0.3">
      <c r="A4255" t="s">
        <v>22</v>
      </c>
      <c r="B4255" t="s">
        <v>36</v>
      </c>
      <c r="C4255" t="s">
        <v>23</v>
      </c>
      <c r="D4255" t="s">
        <v>17</v>
      </c>
      <c r="E4255" t="s">
        <v>41</v>
      </c>
      <c r="F4255" s="9">
        <v>0.13</v>
      </c>
      <c r="G4255" s="10">
        <v>16492</v>
      </c>
      <c r="H4255">
        <v>5.81</v>
      </c>
      <c r="I4255" s="5">
        <f>ROUND(Marketing[[#This Row],[Clicks]]*Marketing[[#This Row],[Conversion_Rate]],0)</f>
        <v>81</v>
      </c>
      <c r="J4255" s="12">
        <f>Marketing[[#This Row],[Campaign_Cost]]/Marketing[[#This Row],[Customers]]</f>
        <v>203.60493827160494</v>
      </c>
      <c r="K4255" t="s">
        <v>51</v>
      </c>
      <c r="L4255" t="s">
        <v>26</v>
      </c>
      <c r="M4255">
        <v>622</v>
      </c>
      <c r="N4255">
        <v>8754</v>
      </c>
      <c r="O4255">
        <v>5</v>
      </c>
      <c r="P4255" t="s">
        <v>21</v>
      </c>
      <c r="Q4255" s="1">
        <v>44435</v>
      </c>
    </row>
    <row r="4256" spans="1:17" x14ac:dyDescent="0.3">
      <c r="A4256" t="s">
        <v>14</v>
      </c>
      <c r="B4256" t="s">
        <v>29</v>
      </c>
      <c r="C4256" t="s">
        <v>30</v>
      </c>
      <c r="D4256" t="s">
        <v>46</v>
      </c>
      <c r="E4256" t="s">
        <v>43</v>
      </c>
      <c r="F4256" s="9">
        <v>0.12</v>
      </c>
      <c r="G4256" s="10">
        <v>11417</v>
      </c>
      <c r="H4256">
        <v>3.75</v>
      </c>
      <c r="I4256" s="5">
        <f>ROUND(Marketing[[#This Row],[Clicks]]*Marketing[[#This Row],[Conversion_Rate]],0)</f>
        <v>58</v>
      </c>
      <c r="J4256" s="12">
        <f>Marketing[[#This Row],[Campaign_Cost]]/Marketing[[#This Row],[Customers]]</f>
        <v>196.84482758620689</v>
      </c>
      <c r="K4256" t="s">
        <v>19</v>
      </c>
      <c r="L4256" t="s">
        <v>33</v>
      </c>
      <c r="M4256">
        <v>485</v>
      </c>
      <c r="N4256">
        <v>3286</v>
      </c>
      <c r="O4256">
        <v>6</v>
      </c>
      <c r="P4256" t="s">
        <v>44</v>
      </c>
      <c r="Q4256" s="1">
        <v>44436</v>
      </c>
    </row>
    <row r="4257" spans="1:17" x14ac:dyDescent="0.3">
      <c r="A4257" t="s">
        <v>49</v>
      </c>
      <c r="B4257" t="s">
        <v>15</v>
      </c>
      <c r="C4257" t="s">
        <v>30</v>
      </c>
      <c r="D4257" t="s">
        <v>24</v>
      </c>
      <c r="E4257" t="s">
        <v>18</v>
      </c>
      <c r="F4257" s="9">
        <v>7.0000000000000007E-2</v>
      </c>
      <c r="G4257" s="10">
        <v>6668</v>
      </c>
      <c r="H4257">
        <v>2.5499999999999998</v>
      </c>
      <c r="I4257" s="5">
        <f>ROUND(Marketing[[#This Row],[Clicks]]*Marketing[[#This Row],[Conversion_Rate]],0)</f>
        <v>52</v>
      </c>
      <c r="J4257" s="12">
        <f>Marketing[[#This Row],[Campaign_Cost]]/Marketing[[#This Row],[Customers]]</f>
        <v>128.23076923076923</v>
      </c>
      <c r="K4257" t="s">
        <v>25</v>
      </c>
      <c r="L4257" t="s">
        <v>39</v>
      </c>
      <c r="M4257">
        <v>747</v>
      </c>
      <c r="N4257">
        <v>2222</v>
      </c>
      <c r="O4257">
        <v>9</v>
      </c>
      <c r="P4257" t="s">
        <v>21</v>
      </c>
      <c r="Q4257" s="1">
        <v>44437</v>
      </c>
    </row>
    <row r="4258" spans="1:17" x14ac:dyDescent="0.3">
      <c r="A4258" t="s">
        <v>28</v>
      </c>
      <c r="B4258" t="s">
        <v>47</v>
      </c>
      <c r="C4258" t="s">
        <v>16</v>
      </c>
      <c r="D4258" t="s">
        <v>17</v>
      </c>
      <c r="E4258" t="s">
        <v>41</v>
      </c>
      <c r="F4258" s="9">
        <v>0.06</v>
      </c>
      <c r="G4258" s="10">
        <v>10211</v>
      </c>
      <c r="H4258">
        <v>2.72</v>
      </c>
      <c r="I4258" s="5">
        <f>ROUND(Marketing[[#This Row],[Clicks]]*Marketing[[#This Row],[Conversion_Rate]],0)</f>
        <v>57</v>
      </c>
      <c r="J4258" s="12">
        <f>Marketing[[#This Row],[Campaign_Cost]]/Marketing[[#This Row],[Customers]]</f>
        <v>179.14035087719299</v>
      </c>
      <c r="K4258" t="s">
        <v>51</v>
      </c>
      <c r="L4258" t="s">
        <v>33</v>
      </c>
      <c r="M4258">
        <v>945</v>
      </c>
      <c r="N4258">
        <v>5035</v>
      </c>
      <c r="O4258">
        <v>1</v>
      </c>
      <c r="P4258" t="s">
        <v>44</v>
      </c>
      <c r="Q4258" s="1">
        <v>44438</v>
      </c>
    </row>
    <row r="4259" spans="1:17" x14ac:dyDescent="0.3">
      <c r="A4259" t="s">
        <v>28</v>
      </c>
      <c r="B4259" t="s">
        <v>15</v>
      </c>
      <c r="C4259" t="s">
        <v>52</v>
      </c>
      <c r="D4259" t="s">
        <v>46</v>
      </c>
      <c r="E4259" t="s">
        <v>43</v>
      </c>
      <c r="F4259" s="9">
        <v>0.02</v>
      </c>
      <c r="G4259" s="10">
        <v>16439</v>
      </c>
      <c r="H4259">
        <v>2.76</v>
      </c>
      <c r="I4259" s="5">
        <f>ROUND(Marketing[[#This Row],[Clicks]]*Marketing[[#This Row],[Conversion_Rate]],0)</f>
        <v>18</v>
      </c>
      <c r="J4259" s="12">
        <f>Marketing[[#This Row],[Campaign_Cost]]/Marketing[[#This Row],[Customers]]</f>
        <v>913.27777777777783</v>
      </c>
      <c r="K4259" t="s">
        <v>38</v>
      </c>
      <c r="L4259" t="s">
        <v>39</v>
      </c>
      <c r="M4259">
        <v>898</v>
      </c>
      <c r="N4259">
        <v>9450</v>
      </c>
      <c r="O4259">
        <v>2</v>
      </c>
      <c r="P4259" t="s">
        <v>42</v>
      </c>
      <c r="Q4259" s="1">
        <v>44439</v>
      </c>
    </row>
    <row r="4260" spans="1:17" x14ac:dyDescent="0.3">
      <c r="A4260" t="s">
        <v>28</v>
      </c>
      <c r="B4260" t="s">
        <v>36</v>
      </c>
      <c r="C4260" t="s">
        <v>16</v>
      </c>
      <c r="D4260" t="s">
        <v>46</v>
      </c>
      <c r="E4260" t="s">
        <v>41</v>
      </c>
      <c r="F4260" s="9">
        <v>7.0000000000000007E-2</v>
      </c>
      <c r="G4260" s="10">
        <v>14163</v>
      </c>
      <c r="H4260">
        <v>2.73</v>
      </c>
      <c r="I4260" s="5">
        <f>ROUND(Marketing[[#This Row],[Clicks]]*Marketing[[#This Row],[Conversion_Rate]],0)</f>
        <v>7</v>
      </c>
      <c r="J4260" s="12">
        <f>Marketing[[#This Row],[Campaign_Cost]]/Marketing[[#This Row],[Customers]]</f>
        <v>2023.2857142857142</v>
      </c>
      <c r="K4260" t="s">
        <v>38</v>
      </c>
      <c r="L4260" t="s">
        <v>20</v>
      </c>
      <c r="M4260">
        <v>102</v>
      </c>
      <c r="N4260">
        <v>4523</v>
      </c>
      <c r="O4260">
        <v>9</v>
      </c>
      <c r="P4260" t="s">
        <v>21</v>
      </c>
      <c r="Q4260" s="1">
        <v>44440</v>
      </c>
    </row>
    <row r="4261" spans="1:17" x14ac:dyDescent="0.3">
      <c r="A4261" t="s">
        <v>22</v>
      </c>
      <c r="B4261" t="s">
        <v>15</v>
      </c>
      <c r="C4261" t="s">
        <v>23</v>
      </c>
      <c r="D4261" t="s">
        <v>17</v>
      </c>
      <c r="E4261" t="s">
        <v>43</v>
      </c>
      <c r="F4261" s="9">
        <v>0.09</v>
      </c>
      <c r="G4261" s="10">
        <v>10612</v>
      </c>
      <c r="H4261">
        <v>5.42</v>
      </c>
      <c r="I4261" s="5">
        <f>ROUND(Marketing[[#This Row],[Clicks]]*Marketing[[#This Row],[Conversion_Rate]],0)</f>
        <v>85</v>
      </c>
      <c r="J4261" s="12">
        <f>Marketing[[#This Row],[Campaign_Cost]]/Marketing[[#This Row],[Customers]]</f>
        <v>124.84705882352941</v>
      </c>
      <c r="K4261" t="s">
        <v>32</v>
      </c>
      <c r="L4261" t="s">
        <v>20</v>
      </c>
      <c r="M4261">
        <v>940</v>
      </c>
      <c r="N4261">
        <v>3661</v>
      </c>
      <c r="O4261">
        <v>7</v>
      </c>
      <c r="P4261" t="s">
        <v>21</v>
      </c>
      <c r="Q4261" s="1">
        <v>44441</v>
      </c>
    </row>
    <row r="4262" spans="1:17" x14ac:dyDescent="0.3">
      <c r="A4262" t="s">
        <v>14</v>
      </c>
      <c r="B4262" t="s">
        <v>29</v>
      </c>
      <c r="C4262" t="s">
        <v>30</v>
      </c>
      <c r="D4262" t="s">
        <v>40</v>
      </c>
      <c r="E4262" t="s">
        <v>41</v>
      </c>
      <c r="F4262" s="9">
        <v>7.0000000000000007E-2</v>
      </c>
      <c r="G4262" s="10">
        <v>18552</v>
      </c>
      <c r="H4262">
        <v>7.22</v>
      </c>
      <c r="I4262" s="5">
        <f>ROUND(Marketing[[#This Row],[Clicks]]*Marketing[[#This Row],[Conversion_Rate]],0)</f>
        <v>19</v>
      </c>
      <c r="J4262" s="12">
        <f>Marketing[[#This Row],[Campaign_Cost]]/Marketing[[#This Row],[Customers]]</f>
        <v>976.42105263157896</v>
      </c>
      <c r="K4262" t="s">
        <v>25</v>
      </c>
      <c r="L4262" t="s">
        <v>33</v>
      </c>
      <c r="M4262">
        <v>275</v>
      </c>
      <c r="N4262">
        <v>6581</v>
      </c>
      <c r="O4262">
        <v>7</v>
      </c>
      <c r="P4262" t="s">
        <v>34</v>
      </c>
      <c r="Q4262" s="1">
        <v>44442</v>
      </c>
    </row>
    <row r="4263" spans="1:17" x14ac:dyDescent="0.3">
      <c r="A4263" t="s">
        <v>28</v>
      </c>
      <c r="B4263" t="s">
        <v>47</v>
      </c>
      <c r="C4263" t="s">
        <v>52</v>
      </c>
      <c r="D4263" t="s">
        <v>17</v>
      </c>
      <c r="E4263" t="s">
        <v>18</v>
      </c>
      <c r="F4263" s="9">
        <v>0.12</v>
      </c>
      <c r="G4263" s="10">
        <v>7125</v>
      </c>
      <c r="H4263">
        <v>2.36</v>
      </c>
      <c r="I4263" s="5">
        <f>ROUND(Marketing[[#This Row],[Clicks]]*Marketing[[#This Row],[Conversion_Rate]],0)</f>
        <v>99</v>
      </c>
      <c r="J4263" s="12">
        <f>Marketing[[#This Row],[Campaign_Cost]]/Marketing[[#This Row],[Customers]]</f>
        <v>71.969696969696969</v>
      </c>
      <c r="K4263" t="s">
        <v>51</v>
      </c>
      <c r="L4263" t="s">
        <v>33</v>
      </c>
      <c r="M4263">
        <v>822</v>
      </c>
      <c r="N4263">
        <v>8749</v>
      </c>
      <c r="O4263">
        <v>7</v>
      </c>
      <c r="P4263" t="s">
        <v>42</v>
      </c>
      <c r="Q4263" s="1">
        <v>44443</v>
      </c>
    </row>
    <row r="4264" spans="1:17" x14ac:dyDescent="0.3">
      <c r="A4264" t="s">
        <v>49</v>
      </c>
      <c r="B4264" t="s">
        <v>36</v>
      </c>
      <c r="C4264" t="s">
        <v>37</v>
      </c>
      <c r="D4264" t="s">
        <v>17</v>
      </c>
      <c r="E4264" t="s">
        <v>18</v>
      </c>
      <c r="F4264" s="9">
        <v>0.03</v>
      </c>
      <c r="G4264" s="10">
        <v>6330</v>
      </c>
      <c r="H4264">
        <v>7.8</v>
      </c>
      <c r="I4264" s="5">
        <f>ROUND(Marketing[[#This Row],[Clicks]]*Marketing[[#This Row],[Conversion_Rate]],0)</f>
        <v>15</v>
      </c>
      <c r="J4264" s="12">
        <f>Marketing[[#This Row],[Campaign_Cost]]/Marketing[[#This Row],[Customers]]</f>
        <v>422</v>
      </c>
      <c r="K4264" t="s">
        <v>51</v>
      </c>
      <c r="L4264" t="s">
        <v>50</v>
      </c>
      <c r="M4264">
        <v>489</v>
      </c>
      <c r="N4264">
        <v>9969</v>
      </c>
      <c r="O4264">
        <v>5</v>
      </c>
      <c r="P4264" t="s">
        <v>27</v>
      </c>
      <c r="Q4264" s="1">
        <v>44444</v>
      </c>
    </row>
    <row r="4265" spans="1:17" x14ac:dyDescent="0.3">
      <c r="A4265" t="s">
        <v>22</v>
      </c>
      <c r="B4265" t="s">
        <v>15</v>
      </c>
      <c r="C4265" t="s">
        <v>52</v>
      </c>
      <c r="D4265" t="s">
        <v>40</v>
      </c>
      <c r="E4265" t="s">
        <v>18</v>
      </c>
      <c r="F4265" s="9">
        <v>0.05</v>
      </c>
      <c r="G4265" s="10">
        <v>15782</v>
      </c>
      <c r="H4265">
        <v>4.6100000000000003</v>
      </c>
      <c r="I4265" s="5">
        <f>ROUND(Marketing[[#This Row],[Clicks]]*Marketing[[#This Row],[Conversion_Rate]],0)</f>
        <v>11</v>
      </c>
      <c r="J4265" s="12">
        <f>Marketing[[#This Row],[Campaign_Cost]]/Marketing[[#This Row],[Customers]]</f>
        <v>1434.7272727272727</v>
      </c>
      <c r="K4265" t="s">
        <v>38</v>
      </c>
      <c r="L4265" t="s">
        <v>50</v>
      </c>
      <c r="M4265">
        <v>229</v>
      </c>
      <c r="N4265">
        <v>9882</v>
      </c>
      <c r="O4265">
        <v>4</v>
      </c>
      <c r="P4265" t="s">
        <v>21</v>
      </c>
      <c r="Q4265" s="1">
        <v>44445</v>
      </c>
    </row>
    <row r="4266" spans="1:17" x14ac:dyDescent="0.3">
      <c r="A4266" t="s">
        <v>14</v>
      </c>
      <c r="B4266" t="s">
        <v>29</v>
      </c>
      <c r="C4266" t="s">
        <v>30</v>
      </c>
      <c r="D4266" t="s">
        <v>46</v>
      </c>
      <c r="E4266" t="s">
        <v>18</v>
      </c>
      <c r="F4266" s="9">
        <v>0.03</v>
      </c>
      <c r="G4266" s="10">
        <v>17399</v>
      </c>
      <c r="H4266">
        <v>5.87</v>
      </c>
      <c r="I4266" s="5">
        <f>ROUND(Marketing[[#This Row],[Clicks]]*Marketing[[#This Row],[Conversion_Rate]],0)</f>
        <v>9</v>
      </c>
      <c r="J4266" s="12">
        <f>Marketing[[#This Row],[Campaign_Cost]]/Marketing[[#This Row],[Customers]]</f>
        <v>1933.2222222222222</v>
      </c>
      <c r="K4266" t="s">
        <v>38</v>
      </c>
      <c r="L4266" t="s">
        <v>26</v>
      </c>
      <c r="M4266">
        <v>297</v>
      </c>
      <c r="N4266">
        <v>4547</v>
      </c>
      <c r="O4266">
        <v>8</v>
      </c>
      <c r="P4266" t="s">
        <v>44</v>
      </c>
      <c r="Q4266" s="1">
        <v>44446</v>
      </c>
    </row>
    <row r="4267" spans="1:17" x14ac:dyDescent="0.3">
      <c r="A4267" t="s">
        <v>14</v>
      </c>
      <c r="B4267" t="s">
        <v>36</v>
      </c>
      <c r="C4267" t="s">
        <v>37</v>
      </c>
      <c r="D4267" t="s">
        <v>46</v>
      </c>
      <c r="E4267" t="s">
        <v>31</v>
      </c>
      <c r="F4267" s="9">
        <v>0.05</v>
      </c>
      <c r="G4267" s="10">
        <v>19693</v>
      </c>
      <c r="H4267">
        <v>4.42</v>
      </c>
      <c r="I4267" s="5">
        <f>ROUND(Marketing[[#This Row],[Clicks]]*Marketing[[#This Row],[Conversion_Rate]],0)</f>
        <v>48</v>
      </c>
      <c r="J4267" s="12">
        <f>Marketing[[#This Row],[Campaign_Cost]]/Marketing[[#This Row],[Customers]]</f>
        <v>410.27083333333331</v>
      </c>
      <c r="K4267" t="s">
        <v>51</v>
      </c>
      <c r="L4267" t="s">
        <v>26</v>
      </c>
      <c r="M4267">
        <v>953</v>
      </c>
      <c r="N4267">
        <v>9690</v>
      </c>
      <c r="O4267">
        <v>2</v>
      </c>
      <c r="P4267" t="s">
        <v>34</v>
      </c>
      <c r="Q4267" s="1">
        <v>44447</v>
      </c>
    </row>
    <row r="4268" spans="1:17" x14ac:dyDescent="0.3">
      <c r="A4268" t="s">
        <v>22</v>
      </c>
      <c r="B4268" t="s">
        <v>29</v>
      </c>
      <c r="C4268" t="s">
        <v>30</v>
      </c>
      <c r="D4268" t="s">
        <v>40</v>
      </c>
      <c r="E4268" t="s">
        <v>41</v>
      </c>
      <c r="F4268" s="9">
        <v>0.13</v>
      </c>
      <c r="G4268" s="10">
        <v>15929</v>
      </c>
      <c r="H4268">
        <v>4.82</v>
      </c>
      <c r="I4268" s="5">
        <f>ROUND(Marketing[[#This Row],[Clicks]]*Marketing[[#This Row],[Conversion_Rate]],0)</f>
        <v>39</v>
      </c>
      <c r="J4268" s="12">
        <f>Marketing[[#This Row],[Campaign_Cost]]/Marketing[[#This Row],[Customers]]</f>
        <v>408.43589743589746</v>
      </c>
      <c r="K4268" t="s">
        <v>32</v>
      </c>
      <c r="L4268" t="s">
        <v>33</v>
      </c>
      <c r="M4268">
        <v>297</v>
      </c>
      <c r="N4268">
        <v>2732</v>
      </c>
      <c r="O4268">
        <v>7</v>
      </c>
      <c r="P4268" t="s">
        <v>34</v>
      </c>
      <c r="Q4268" s="1">
        <v>44448</v>
      </c>
    </row>
    <row r="4269" spans="1:17" x14ac:dyDescent="0.3">
      <c r="A4269" t="s">
        <v>22</v>
      </c>
      <c r="B4269" t="s">
        <v>36</v>
      </c>
      <c r="C4269" t="s">
        <v>16</v>
      </c>
      <c r="D4269" t="s">
        <v>46</v>
      </c>
      <c r="E4269" t="s">
        <v>43</v>
      </c>
      <c r="F4269" s="9">
        <v>0.09</v>
      </c>
      <c r="G4269" s="10">
        <v>12640</v>
      </c>
      <c r="H4269">
        <v>7.63</v>
      </c>
      <c r="I4269" s="5">
        <f>ROUND(Marketing[[#This Row],[Clicks]]*Marketing[[#This Row],[Conversion_Rate]],0)</f>
        <v>88</v>
      </c>
      <c r="J4269" s="12">
        <f>Marketing[[#This Row],[Campaign_Cost]]/Marketing[[#This Row],[Customers]]</f>
        <v>143.63636363636363</v>
      </c>
      <c r="K4269" t="s">
        <v>38</v>
      </c>
      <c r="L4269" t="s">
        <v>39</v>
      </c>
      <c r="M4269">
        <v>979</v>
      </c>
      <c r="N4269">
        <v>2079</v>
      </c>
      <c r="O4269">
        <v>10</v>
      </c>
      <c r="P4269" t="s">
        <v>44</v>
      </c>
      <c r="Q4269" s="1">
        <v>44449</v>
      </c>
    </row>
    <row r="4270" spans="1:17" x14ac:dyDescent="0.3">
      <c r="A4270" t="s">
        <v>49</v>
      </c>
      <c r="B4270" t="s">
        <v>29</v>
      </c>
      <c r="C4270" t="s">
        <v>16</v>
      </c>
      <c r="D4270" t="s">
        <v>40</v>
      </c>
      <c r="E4270" t="s">
        <v>18</v>
      </c>
      <c r="F4270" s="9">
        <v>0.15</v>
      </c>
      <c r="G4270" s="10">
        <v>18542</v>
      </c>
      <c r="H4270">
        <v>6.5</v>
      </c>
      <c r="I4270" s="5">
        <f>ROUND(Marketing[[#This Row],[Clicks]]*Marketing[[#This Row],[Conversion_Rate]],0)</f>
        <v>71</v>
      </c>
      <c r="J4270" s="12">
        <f>Marketing[[#This Row],[Campaign_Cost]]/Marketing[[#This Row],[Customers]]</f>
        <v>261.15492957746477</v>
      </c>
      <c r="K4270" t="s">
        <v>32</v>
      </c>
      <c r="L4270" t="s">
        <v>50</v>
      </c>
      <c r="M4270">
        <v>471</v>
      </c>
      <c r="N4270">
        <v>4399</v>
      </c>
      <c r="O4270">
        <v>1</v>
      </c>
      <c r="P4270" t="s">
        <v>27</v>
      </c>
      <c r="Q4270" s="1">
        <v>44450</v>
      </c>
    </row>
    <row r="4271" spans="1:17" x14ac:dyDescent="0.3">
      <c r="A4271" t="s">
        <v>49</v>
      </c>
      <c r="B4271" t="s">
        <v>29</v>
      </c>
      <c r="C4271" t="s">
        <v>16</v>
      </c>
      <c r="D4271" t="s">
        <v>17</v>
      </c>
      <c r="E4271" t="s">
        <v>41</v>
      </c>
      <c r="F4271" s="9">
        <v>7.0000000000000007E-2</v>
      </c>
      <c r="G4271" s="10">
        <v>19719</v>
      </c>
      <c r="H4271">
        <v>7.3</v>
      </c>
      <c r="I4271" s="5">
        <f>ROUND(Marketing[[#This Row],[Clicks]]*Marketing[[#This Row],[Conversion_Rate]],0)</f>
        <v>30</v>
      </c>
      <c r="J4271" s="12">
        <f>Marketing[[#This Row],[Campaign_Cost]]/Marketing[[#This Row],[Customers]]</f>
        <v>657.3</v>
      </c>
      <c r="K4271" t="s">
        <v>38</v>
      </c>
      <c r="L4271" t="s">
        <v>50</v>
      </c>
      <c r="M4271">
        <v>427</v>
      </c>
      <c r="N4271">
        <v>6394</v>
      </c>
      <c r="O4271">
        <v>5</v>
      </c>
      <c r="P4271" t="s">
        <v>21</v>
      </c>
      <c r="Q4271" s="1">
        <v>44451</v>
      </c>
    </row>
    <row r="4272" spans="1:17" x14ac:dyDescent="0.3">
      <c r="A4272" t="s">
        <v>49</v>
      </c>
      <c r="B4272" t="s">
        <v>47</v>
      </c>
      <c r="C4272" t="s">
        <v>23</v>
      </c>
      <c r="D4272" t="s">
        <v>46</v>
      </c>
      <c r="E4272" t="s">
        <v>41</v>
      </c>
      <c r="F4272" s="9">
        <v>0.04</v>
      </c>
      <c r="G4272" s="10">
        <v>10604</v>
      </c>
      <c r="H4272">
        <v>7.7</v>
      </c>
      <c r="I4272" s="5">
        <f>ROUND(Marketing[[#This Row],[Clicks]]*Marketing[[#This Row],[Conversion_Rate]],0)</f>
        <v>32</v>
      </c>
      <c r="J4272" s="12">
        <f>Marketing[[#This Row],[Campaign_Cost]]/Marketing[[#This Row],[Customers]]</f>
        <v>331.375</v>
      </c>
      <c r="K4272" t="s">
        <v>32</v>
      </c>
      <c r="L4272" t="s">
        <v>20</v>
      </c>
      <c r="M4272">
        <v>806</v>
      </c>
      <c r="N4272">
        <v>1750</v>
      </c>
      <c r="O4272">
        <v>7</v>
      </c>
      <c r="P4272" t="s">
        <v>34</v>
      </c>
      <c r="Q4272" s="1">
        <v>44452</v>
      </c>
    </row>
    <row r="4273" spans="1:17" x14ac:dyDescent="0.3">
      <c r="A4273" t="s">
        <v>22</v>
      </c>
      <c r="B4273" t="s">
        <v>15</v>
      </c>
      <c r="C4273" t="s">
        <v>30</v>
      </c>
      <c r="D4273" t="s">
        <v>17</v>
      </c>
      <c r="E4273" t="s">
        <v>48</v>
      </c>
      <c r="F4273" s="9">
        <v>0.03</v>
      </c>
      <c r="G4273" s="10">
        <v>17754</v>
      </c>
      <c r="H4273">
        <v>3.92</v>
      </c>
      <c r="I4273" s="5">
        <f>ROUND(Marketing[[#This Row],[Clicks]]*Marketing[[#This Row],[Conversion_Rate]],0)</f>
        <v>20</v>
      </c>
      <c r="J4273" s="12">
        <f>Marketing[[#This Row],[Campaign_Cost]]/Marketing[[#This Row],[Customers]]</f>
        <v>887.7</v>
      </c>
      <c r="K4273" t="s">
        <v>38</v>
      </c>
      <c r="L4273" t="s">
        <v>26</v>
      </c>
      <c r="M4273">
        <v>651</v>
      </c>
      <c r="N4273">
        <v>3822</v>
      </c>
      <c r="O4273">
        <v>7</v>
      </c>
      <c r="P4273" t="s">
        <v>27</v>
      </c>
      <c r="Q4273" s="1">
        <v>44453</v>
      </c>
    </row>
    <row r="4274" spans="1:17" x14ac:dyDescent="0.3">
      <c r="A4274" t="s">
        <v>49</v>
      </c>
      <c r="B4274" t="s">
        <v>45</v>
      </c>
      <c r="C4274" t="s">
        <v>37</v>
      </c>
      <c r="D4274" t="s">
        <v>46</v>
      </c>
      <c r="E4274" t="s">
        <v>18</v>
      </c>
      <c r="F4274" s="9">
        <v>0.05</v>
      </c>
      <c r="G4274" s="10">
        <v>14875</v>
      </c>
      <c r="H4274">
        <v>6.99</v>
      </c>
      <c r="I4274" s="5">
        <f>ROUND(Marketing[[#This Row],[Clicks]]*Marketing[[#This Row],[Conversion_Rate]],0)</f>
        <v>11</v>
      </c>
      <c r="J4274" s="12">
        <f>Marketing[[#This Row],[Campaign_Cost]]/Marketing[[#This Row],[Customers]]</f>
        <v>1352.2727272727273</v>
      </c>
      <c r="K4274" t="s">
        <v>51</v>
      </c>
      <c r="L4274" t="s">
        <v>20</v>
      </c>
      <c r="M4274">
        <v>218</v>
      </c>
      <c r="N4274">
        <v>3150</v>
      </c>
      <c r="O4274">
        <v>1</v>
      </c>
      <c r="P4274" t="s">
        <v>21</v>
      </c>
      <c r="Q4274" s="1">
        <v>44454</v>
      </c>
    </row>
    <row r="4275" spans="1:17" x14ac:dyDescent="0.3">
      <c r="A4275" t="s">
        <v>35</v>
      </c>
      <c r="B4275" t="s">
        <v>45</v>
      </c>
      <c r="C4275" t="s">
        <v>30</v>
      </c>
      <c r="D4275" t="s">
        <v>24</v>
      </c>
      <c r="E4275" t="s">
        <v>43</v>
      </c>
      <c r="F4275" s="9">
        <v>0.08</v>
      </c>
      <c r="G4275" s="10">
        <v>18620</v>
      </c>
      <c r="H4275">
        <v>2.09</v>
      </c>
      <c r="I4275" s="5">
        <f>ROUND(Marketing[[#This Row],[Clicks]]*Marketing[[#This Row],[Conversion_Rate]],0)</f>
        <v>27</v>
      </c>
      <c r="J4275" s="12">
        <f>Marketing[[#This Row],[Campaign_Cost]]/Marketing[[#This Row],[Customers]]</f>
        <v>689.62962962962968</v>
      </c>
      <c r="K4275" t="s">
        <v>25</v>
      </c>
      <c r="L4275" t="s">
        <v>33</v>
      </c>
      <c r="M4275">
        <v>336</v>
      </c>
      <c r="N4275">
        <v>1215</v>
      </c>
      <c r="O4275">
        <v>8</v>
      </c>
      <c r="P4275" t="s">
        <v>44</v>
      </c>
      <c r="Q4275" s="1">
        <v>44455</v>
      </c>
    </row>
    <row r="4276" spans="1:17" x14ac:dyDescent="0.3">
      <c r="A4276" t="s">
        <v>28</v>
      </c>
      <c r="B4276" t="s">
        <v>45</v>
      </c>
      <c r="C4276" t="s">
        <v>52</v>
      </c>
      <c r="D4276" t="s">
        <v>40</v>
      </c>
      <c r="E4276" t="s">
        <v>18</v>
      </c>
      <c r="F4276" s="9">
        <v>0.06</v>
      </c>
      <c r="G4276" s="10">
        <v>19156</v>
      </c>
      <c r="H4276">
        <v>5.93</v>
      </c>
      <c r="I4276" s="5">
        <f>ROUND(Marketing[[#This Row],[Clicks]]*Marketing[[#This Row],[Conversion_Rate]],0)</f>
        <v>19</v>
      </c>
      <c r="J4276" s="12">
        <f>Marketing[[#This Row],[Campaign_Cost]]/Marketing[[#This Row],[Customers]]</f>
        <v>1008.2105263157895</v>
      </c>
      <c r="K4276" t="s">
        <v>32</v>
      </c>
      <c r="L4276" t="s">
        <v>33</v>
      </c>
      <c r="M4276">
        <v>321</v>
      </c>
      <c r="N4276">
        <v>7174</v>
      </c>
      <c r="O4276">
        <v>7</v>
      </c>
      <c r="P4276" t="s">
        <v>27</v>
      </c>
      <c r="Q4276" s="1">
        <v>44456</v>
      </c>
    </row>
    <row r="4277" spans="1:17" x14ac:dyDescent="0.3">
      <c r="A4277" t="s">
        <v>35</v>
      </c>
      <c r="B4277" t="s">
        <v>36</v>
      </c>
      <c r="C4277" t="s">
        <v>16</v>
      </c>
      <c r="D4277" t="s">
        <v>46</v>
      </c>
      <c r="E4277" t="s">
        <v>43</v>
      </c>
      <c r="F4277" s="9">
        <v>0.01</v>
      </c>
      <c r="G4277" s="10">
        <v>16907</v>
      </c>
      <c r="H4277">
        <v>5.74</v>
      </c>
      <c r="I4277" s="5">
        <f>ROUND(Marketing[[#This Row],[Clicks]]*Marketing[[#This Row],[Conversion_Rate]],0)</f>
        <v>4</v>
      </c>
      <c r="J4277" s="12">
        <f>Marketing[[#This Row],[Campaign_Cost]]/Marketing[[#This Row],[Customers]]</f>
        <v>4226.75</v>
      </c>
      <c r="K4277" t="s">
        <v>32</v>
      </c>
      <c r="L4277" t="s">
        <v>33</v>
      </c>
      <c r="M4277">
        <v>354</v>
      </c>
      <c r="N4277">
        <v>4364</v>
      </c>
      <c r="O4277">
        <v>5</v>
      </c>
      <c r="P4277" t="s">
        <v>44</v>
      </c>
      <c r="Q4277" s="1">
        <v>44457</v>
      </c>
    </row>
    <row r="4278" spans="1:17" x14ac:dyDescent="0.3">
      <c r="A4278" t="s">
        <v>28</v>
      </c>
      <c r="B4278" t="s">
        <v>47</v>
      </c>
      <c r="C4278" t="s">
        <v>30</v>
      </c>
      <c r="D4278" t="s">
        <v>17</v>
      </c>
      <c r="E4278" t="s">
        <v>15</v>
      </c>
      <c r="F4278" s="9">
        <v>0.1</v>
      </c>
      <c r="G4278" s="10">
        <v>10625</v>
      </c>
      <c r="H4278">
        <v>5.44</v>
      </c>
      <c r="I4278" s="5">
        <f>ROUND(Marketing[[#This Row],[Clicks]]*Marketing[[#This Row],[Conversion_Rate]],0)</f>
        <v>60</v>
      </c>
      <c r="J4278" s="12">
        <f>Marketing[[#This Row],[Campaign_Cost]]/Marketing[[#This Row],[Customers]]</f>
        <v>177.08333333333334</v>
      </c>
      <c r="K4278" t="s">
        <v>25</v>
      </c>
      <c r="L4278" t="s">
        <v>26</v>
      </c>
      <c r="M4278">
        <v>604</v>
      </c>
      <c r="N4278">
        <v>2568</v>
      </c>
      <c r="O4278">
        <v>4</v>
      </c>
      <c r="P4278" t="s">
        <v>44</v>
      </c>
      <c r="Q4278" s="1">
        <v>44458</v>
      </c>
    </row>
    <row r="4279" spans="1:17" x14ac:dyDescent="0.3">
      <c r="A4279" t="s">
        <v>14</v>
      </c>
      <c r="B4279" t="s">
        <v>47</v>
      </c>
      <c r="C4279" t="s">
        <v>16</v>
      </c>
      <c r="D4279" t="s">
        <v>46</v>
      </c>
      <c r="E4279" t="s">
        <v>15</v>
      </c>
      <c r="F4279" s="9">
        <v>0.13</v>
      </c>
      <c r="G4279" s="10">
        <v>10658</v>
      </c>
      <c r="H4279">
        <v>7.37</v>
      </c>
      <c r="I4279" s="5">
        <f>ROUND(Marketing[[#This Row],[Clicks]]*Marketing[[#This Row],[Conversion_Rate]],0)</f>
        <v>58</v>
      </c>
      <c r="J4279" s="12">
        <f>Marketing[[#This Row],[Campaign_Cost]]/Marketing[[#This Row],[Customers]]</f>
        <v>183.75862068965517</v>
      </c>
      <c r="K4279" t="s">
        <v>25</v>
      </c>
      <c r="L4279" t="s">
        <v>33</v>
      </c>
      <c r="M4279">
        <v>445</v>
      </c>
      <c r="N4279">
        <v>8880</v>
      </c>
      <c r="O4279">
        <v>2</v>
      </c>
      <c r="P4279" t="s">
        <v>44</v>
      </c>
      <c r="Q4279" s="1">
        <v>44459</v>
      </c>
    </row>
    <row r="4280" spans="1:17" x14ac:dyDescent="0.3">
      <c r="A4280" t="s">
        <v>49</v>
      </c>
      <c r="B4280" t="s">
        <v>15</v>
      </c>
      <c r="C4280" t="s">
        <v>37</v>
      </c>
      <c r="D4280" t="s">
        <v>46</v>
      </c>
      <c r="E4280" t="s">
        <v>18</v>
      </c>
      <c r="F4280" s="9">
        <v>7.0000000000000007E-2</v>
      </c>
      <c r="G4280" s="10">
        <v>5118</v>
      </c>
      <c r="H4280">
        <v>3.71</v>
      </c>
      <c r="I4280" s="5">
        <f>ROUND(Marketing[[#This Row],[Clicks]]*Marketing[[#This Row],[Conversion_Rate]],0)</f>
        <v>8</v>
      </c>
      <c r="J4280" s="12">
        <f>Marketing[[#This Row],[Campaign_Cost]]/Marketing[[#This Row],[Customers]]</f>
        <v>639.75</v>
      </c>
      <c r="K4280" t="s">
        <v>32</v>
      </c>
      <c r="L4280" t="s">
        <v>50</v>
      </c>
      <c r="M4280">
        <v>114</v>
      </c>
      <c r="N4280">
        <v>9480</v>
      </c>
      <c r="O4280">
        <v>2</v>
      </c>
      <c r="P4280" t="s">
        <v>42</v>
      </c>
      <c r="Q4280" s="1">
        <v>44460</v>
      </c>
    </row>
    <row r="4281" spans="1:17" x14ac:dyDescent="0.3">
      <c r="A4281" t="s">
        <v>14</v>
      </c>
      <c r="B4281" t="s">
        <v>45</v>
      </c>
      <c r="C4281" t="s">
        <v>23</v>
      </c>
      <c r="D4281" t="s">
        <v>17</v>
      </c>
      <c r="E4281" t="s">
        <v>15</v>
      </c>
      <c r="F4281" s="9">
        <v>7.0000000000000007E-2</v>
      </c>
      <c r="G4281" s="10">
        <v>9809</v>
      </c>
      <c r="H4281">
        <v>5.6</v>
      </c>
      <c r="I4281" s="5">
        <f>ROUND(Marketing[[#This Row],[Clicks]]*Marketing[[#This Row],[Conversion_Rate]],0)</f>
        <v>39</v>
      </c>
      <c r="J4281" s="12">
        <f>Marketing[[#This Row],[Campaign_Cost]]/Marketing[[#This Row],[Customers]]</f>
        <v>251.51282051282053</v>
      </c>
      <c r="K4281" t="s">
        <v>19</v>
      </c>
      <c r="L4281" t="s">
        <v>39</v>
      </c>
      <c r="M4281">
        <v>560</v>
      </c>
      <c r="N4281">
        <v>8153</v>
      </c>
      <c r="O4281">
        <v>8</v>
      </c>
      <c r="P4281" t="s">
        <v>34</v>
      </c>
      <c r="Q4281" s="1">
        <v>44461</v>
      </c>
    </row>
    <row r="4282" spans="1:17" x14ac:dyDescent="0.3">
      <c r="A4282" t="s">
        <v>14</v>
      </c>
      <c r="B4282" t="s">
        <v>15</v>
      </c>
      <c r="C4282" t="s">
        <v>37</v>
      </c>
      <c r="D4282" t="s">
        <v>24</v>
      </c>
      <c r="E4282" t="s">
        <v>43</v>
      </c>
      <c r="F4282" s="9">
        <v>0.11</v>
      </c>
      <c r="G4282" s="10">
        <v>12226</v>
      </c>
      <c r="H4282">
        <v>2.11</v>
      </c>
      <c r="I4282" s="5">
        <f>ROUND(Marketing[[#This Row],[Clicks]]*Marketing[[#This Row],[Conversion_Rate]],0)</f>
        <v>59</v>
      </c>
      <c r="J4282" s="12">
        <f>Marketing[[#This Row],[Campaign_Cost]]/Marketing[[#This Row],[Customers]]</f>
        <v>207.22033898305085</v>
      </c>
      <c r="K4282" t="s">
        <v>32</v>
      </c>
      <c r="L4282" t="s">
        <v>39</v>
      </c>
      <c r="M4282">
        <v>535</v>
      </c>
      <c r="N4282">
        <v>8963</v>
      </c>
      <c r="O4282">
        <v>4</v>
      </c>
      <c r="P4282" t="s">
        <v>44</v>
      </c>
      <c r="Q4282" s="1">
        <v>44462</v>
      </c>
    </row>
    <row r="4283" spans="1:17" x14ac:dyDescent="0.3">
      <c r="A4283" t="s">
        <v>35</v>
      </c>
      <c r="B4283" t="s">
        <v>36</v>
      </c>
      <c r="C4283" t="s">
        <v>23</v>
      </c>
      <c r="D4283" t="s">
        <v>17</v>
      </c>
      <c r="E4283" t="s">
        <v>41</v>
      </c>
      <c r="F4283" s="9">
        <v>0.03</v>
      </c>
      <c r="G4283" s="10">
        <v>11912</v>
      </c>
      <c r="H4283">
        <v>7.75</v>
      </c>
      <c r="I4283" s="5">
        <f>ROUND(Marketing[[#This Row],[Clicks]]*Marketing[[#This Row],[Conversion_Rate]],0)</f>
        <v>4</v>
      </c>
      <c r="J4283" s="12">
        <f>Marketing[[#This Row],[Campaign_Cost]]/Marketing[[#This Row],[Customers]]</f>
        <v>2978</v>
      </c>
      <c r="K4283" t="s">
        <v>38</v>
      </c>
      <c r="L4283" t="s">
        <v>20</v>
      </c>
      <c r="M4283">
        <v>140</v>
      </c>
      <c r="N4283">
        <v>3858</v>
      </c>
      <c r="O4283">
        <v>4</v>
      </c>
      <c r="P4283" t="s">
        <v>21</v>
      </c>
      <c r="Q4283" s="1">
        <v>44463</v>
      </c>
    </row>
    <row r="4284" spans="1:17" x14ac:dyDescent="0.3">
      <c r="A4284" t="s">
        <v>22</v>
      </c>
      <c r="B4284" t="s">
        <v>36</v>
      </c>
      <c r="C4284" t="s">
        <v>16</v>
      </c>
      <c r="D4284" t="s">
        <v>46</v>
      </c>
      <c r="E4284" t="s">
        <v>43</v>
      </c>
      <c r="F4284" s="9">
        <v>0.12</v>
      </c>
      <c r="G4284" s="10">
        <v>16067</v>
      </c>
      <c r="H4284">
        <v>5.83</v>
      </c>
      <c r="I4284" s="5">
        <f>ROUND(Marketing[[#This Row],[Clicks]]*Marketing[[#This Row],[Conversion_Rate]],0)</f>
        <v>23</v>
      </c>
      <c r="J4284" s="12">
        <f>Marketing[[#This Row],[Campaign_Cost]]/Marketing[[#This Row],[Customers]]</f>
        <v>698.56521739130437</v>
      </c>
      <c r="K4284" t="s">
        <v>32</v>
      </c>
      <c r="L4284" t="s">
        <v>20</v>
      </c>
      <c r="M4284">
        <v>190</v>
      </c>
      <c r="N4284">
        <v>7498</v>
      </c>
      <c r="O4284">
        <v>3</v>
      </c>
      <c r="P4284" t="s">
        <v>27</v>
      </c>
      <c r="Q4284" s="1">
        <v>44464</v>
      </c>
    </row>
    <row r="4285" spans="1:17" x14ac:dyDescent="0.3">
      <c r="A4285" t="s">
        <v>49</v>
      </c>
      <c r="B4285" t="s">
        <v>45</v>
      </c>
      <c r="C4285" t="s">
        <v>52</v>
      </c>
      <c r="D4285" t="s">
        <v>17</v>
      </c>
      <c r="E4285" t="s">
        <v>18</v>
      </c>
      <c r="F4285" s="9">
        <v>0.11</v>
      </c>
      <c r="G4285" s="10">
        <v>12048</v>
      </c>
      <c r="H4285">
        <v>4.43</v>
      </c>
      <c r="I4285" s="5">
        <f>ROUND(Marketing[[#This Row],[Clicks]]*Marketing[[#This Row],[Conversion_Rate]],0)</f>
        <v>47</v>
      </c>
      <c r="J4285" s="12">
        <f>Marketing[[#This Row],[Campaign_Cost]]/Marketing[[#This Row],[Customers]]</f>
        <v>256.34042553191489</v>
      </c>
      <c r="K4285" t="s">
        <v>32</v>
      </c>
      <c r="L4285" t="s">
        <v>50</v>
      </c>
      <c r="M4285">
        <v>426</v>
      </c>
      <c r="N4285">
        <v>3070</v>
      </c>
      <c r="O4285">
        <v>5</v>
      </c>
      <c r="P4285" t="s">
        <v>27</v>
      </c>
      <c r="Q4285" s="1">
        <v>44465</v>
      </c>
    </row>
    <row r="4286" spans="1:17" x14ac:dyDescent="0.3">
      <c r="A4286" t="s">
        <v>28</v>
      </c>
      <c r="B4286" t="s">
        <v>15</v>
      </c>
      <c r="C4286" t="s">
        <v>52</v>
      </c>
      <c r="D4286" t="s">
        <v>17</v>
      </c>
      <c r="E4286" t="s">
        <v>48</v>
      </c>
      <c r="F4286" s="9">
        <v>0.04</v>
      </c>
      <c r="G4286" s="10">
        <v>11886</v>
      </c>
      <c r="H4286">
        <v>7.46</v>
      </c>
      <c r="I4286" s="5">
        <f>ROUND(Marketing[[#This Row],[Clicks]]*Marketing[[#This Row],[Conversion_Rate]],0)</f>
        <v>12</v>
      </c>
      <c r="J4286" s="12">
        <f>Marketing[[#This Row],[Campaign_Cost]]/Marketing[[#This Row],[Customers]]</f>
        <v>990.5</v>
      </c>
      <c r="K4286" t="s">
        <v>32</v>
      </c>
      <c r="L4286" t="s">
        <v>39</v>
      </c>
      <c r="M4286">
        <v>312</v>
      </c>
      <c r="N4286">
        <v>2806</v>
      </c>
      <c r="O4286">
        <v>1</v>
      </c>
      <c r="P4286" t="s">
        <v>44</v>
      </c>
      <c r="Q4286" s="1">
        <v>44466</v>
      </c>
    </row>
    <row r="4287" spans="1:17" x14ac:dyDescent="0.3">
      <c r="A4287" t="s">
        <v>35</v>
      </c>
      <c r="B4287" t="s">
        <v>47</v>
      </c>
      <c r="C4287" t="s">
        <v>37</v>
      </c>
      <c r="D4287" t="s">
        <v>46</v>
      </c>
      <c r="E4287" t="s">
        <v>18</v>
      </c>
      <c r="F4287" s="9">
        <v>7.0000000000000007E-2</v>
      </c>
      <c r="G4287" s="10">
        <v>14782</v>
      </c>
      <c r="H4287">
        <v>5.64</v>
      </c>
      <c r="I4287" s="5">
        <f>ROUND(Marketing[[#This Row],[Clicks]]*Marketing[[#This Row],[Conversion_Rate]],0)</f>
        <v>40</v>
      </c>
      <c r="J4287" s="12">
        <f>Marketing[[#This Row],[Campaign_Cost]]/Marketing[[#This Row],[Customers]]</f>
        <v>369.55</v>
      </c>
      <c r="K4287" t="s">
        <v>25</v>
      </c>
      <c r="L4287" t="s">
        <v>26</v>
      </c>
      <c r="M4287">
        <v>566</v>
      </c>
      <c r="N4287">
        <v>3276</v>
      </c>
      <c r="O4287">
        <v>5</v>
      </c>
      <c r="P4287" t="s">
        <v>44</v>
      </c>
      <c r="Q4287" s="1">
        <v>44467</v>
      </c>
    </row>
    <row r="4288" spans="1:17" x14ac:dyDescent="0.3">
      <c r="A4288" t="s">
        <v>28</v>
      </c>
      <c r="B4288" t="s">
        <v>47</v>
      </c>
      <c r="C4288" t="s">
        <v>37</v>
      </c>
      <c r="D4288" t="s">
        <v>40</v>
      </c>
      <c r="E4288" t="s">
        <v>18</v>
      </c>
      <c r="F4288" s="9">
        <v>0.08</v>
      </c>
      <c r="G4288" s="10">
        <v>15911</v>
      </c>
      <c r="H4288">
        <v>7.6</v>
      </c>
      <c r="I4288" s="5">
        <f>ROUND(Marketing[[#This Row],[Clicks]]*Marketing[[#This Row],[Conversion_Rate]],0)</f>
        <v>26</v>
      </c>
      <c r="J4288" s="12">
        <f>Marketing[[#This Row],[Campaign_Cost]]/Marketing[[#This Row],[Customers]]</f>
        <v>611.96153846153845</v>
      </c>
      <c r="K4288" t="s">
        <v>51</v>
      </c>
      <c r="L4288" t="s">
        <v>39</v>
      </c>
      <c r="M4288">
        <v>330</v>
      </c>
      <c r="N4288">
        <v>8847</v>
      </c>
      <c r="O4288">
        <v>5</v>
      </c>
      <c r="P4288" t="s">
        <v>21</v>
      </c>
      <c r="Q4288" s="1">
        <v>44468</v>
      </c>
    </row>
    <row r="4289" spans="1:17" x14ac:dyDescent="0.3">
      <c r="A4289" t="s">
        <v>22</v>
      </c>
      <c r="B4289" t="s">
        <v>15</v>
      </c>
      <c r="C4289" t="s">
        <v>16</v>
      </c>
      <c r="D4289" t="s">
        <v>24</v>
      </c>
      <c r="E4289" t="s">
        <v>48</v>
      </c>
      <c r="F4289" s="9">
        <v>0.05</v>
      </c>
      <c r="G4289" s="10">
        <v>17956</v>
      </c>
      <c r="H4289">
        <v>4.37</v>
      </c>
      <c r="I4289" s="5">
        <f>ROUND(Marketing[[#This Row],[Clicks]]*Marketing[[#This Row],[Conversion_Rate]],0)</f>
        <v>9</v>
      </c>
      <c r="J4289" s="12">
        <f>Marketing[[#This Row],[Campaign_Cost]]/Marketing[[#This Row],[Customers]]</f>
        <v>1995.1111111111111</v>
      </c>
      <c r="K4289" t="s">
        <v>25</v>
      </c>
      <c r="L4289" t="s">
        <v>50</v>
      </c>
      <c r="M4289">
        <v>174</v>
      </c>
      <c r="N4289">
        <v>6018</v>
      </c>
      <c r="O4289">
        <v>2</v>
      </c>
      <c r="P4289" t="s">
        <v>27</v>
      </c>
      <c r="Q4289" s="1">
        <v>44469</v>
      </c>
    </row>
    <row r="4290" spans="1:17" x14ac:dyDescent="0.3">
      <c r="A4290" t="s">
        <v>14</v>
      </c>
      <c r="B4290" t="s">
        <v>47</v>
      </c>
      <c r="C4290" t="s">
        <v>52</v>
      </c>
      <c r="D4290" t="s">
        <v>24</v>
      </c>
      <c r="E4290" t="s">
        <v>48</v>
      </c>
      <c r="F4290" s="9">
        <v>0.08</v>
      </c>
      <c r="G4290" s="10">
        <v>15541</v>
      </c>
      <c r="H4290">
        <v>6.69</v>
      </c>
      <c r="I4290" s="5">
        <f>ROUND(Marketing[[#This Row],[Clicks]]*Marketing[[#This Row],[Conversion_Rate]],0)</f>
        <v>15</v>
      </c>
      <c r="J4290" s="12">
        <f>Marketing[[#This Row],[Campaign_Cost]]/Marketing[[#This Row],[Customers]]</f>
        <v>1036.0666666666666</v>
      </c>
      <c r="K4290" t="s">
        <v>51</v>
      </c>
      <c r="L4290" t="s">
        <v>39</v>
      </c>
      <c r="M4290">
        <v>185</v>
      </c>
      <c r="N4290">
        <v>7653</v>
      </c>
      <c r="O4290">
        <v>6</v>
      </c>
      <c r="P4290" t="s">
        <v>27</v>
      </c>
      <c r="Q4290" s="1">
        <v>44470</v>
      </c>
    </row>
    <row r="4291" spans="1:17" x14ac:dyDescent="0.3">
      <c r="A4291" t="s">
        <v>49</v>
      </c>
      <c r="B4291" t="s">
        <v>45</v>
      </c>
      <c r="C4291" t="s">
        <v>16</v>
      </c>
      <c r="D4291" t="s">
        <v>46</v>
      </c>
      <c r="E4291" t="s">
        <v>18</v>
      </c>
      <c r="F4291" s="9">
        <v>7.0000000000000007E-2</v>
      </c>
      <c r="G4291" s="10">
        <v>9473</v>
      </c>
      <c r="H4291">
        <v>5.22</v>
      </c>
      <c r="I4291" s="5">
        <f>ROUND(Marketing[[#This Row],[Clicks]]*Marketing[[#This Row],[Conversion_Rate]],0)</f>
        <v>27</v>
      </c>
      <c r="J4291" s="12">
        <f>Marketing[[#This Row],[Campaign_Cost]]/Marketing[[#This Row],[Customers]]</f>
        <v>350.85185185185185</v>
      </c>
      <c r="K4291" t="s">
        <v>51</v>
      </c>
      <c r="L4291" t="s">
        <v>20</v>
      </c>
      <c r="M4291">
        <v>385</v>
      </c>
      <c r="N4291">
        <v>7712</v>
      </c>
      <c r="O4291">
        <v>6</v>
      </c>
      <c r="P4291" t="s">
        <v>27</v>
      </c>
      <c r="Q4291" s="1">
        <v>44471</v>
      </c>
    </row>
    <row r="4292" spans="1:17" x14ac:dyDescent="0.3">
      <c r="A4292" t="s">
        <v>49</v>
      </c>
      <c r="B4292" t="s">
        <v>15</v>
      </c>
      <c r="C4292" t="s">
        <v>37</v>
      </c>
      <c r="D4292" t="s">
        <v>46</v>
      </c>
      <c r="E4292" t="s">
        <v>43</v>
      </c>
      <c r="F4292" s="9">
        <v>0.01</v>
      </c>
      <c r="G4292" s="10">
        <v>9324</v>
      </c>
      <c r="H4292">
        <v>4.26</v>
      </c>
      <c r="I4292" s="5">
        <f>ROUND(Marketing[[#This Row],[Clicks]]*Marketing[[#This Row],[Conversion_Rate]],0)</f>
        <v>5</v>
      </c>
      <c r="J4292" s="12">
        <f>Marketing[[#This Row],[Campaign_Cost]]/Marketing[[#This Row],[Customers]]</f>
        <v>1864.8</v>
      </c>
      <c r="K4292" t="s">
        <v>38</v>
      </c>
      <c r="L4292" t="s">
        <v>33</v>
      </c>
      <c r="M4292">
        <v>492</v>
      </c>
      <c r="N4292">
        <v>8848</v>
      </c>
      <c r="O4292">
        <v>1</v>
      </c>
      <c r="P4292" t="s">
        <v>42</v>
      </c>
      <c r="Q4292" s="1">
        <v>44472</v>
      </c>
    </row>
    <row r="4293" spans="1:17" x14ac:dyDescent="0.3">
      <c r="A4293" t="s">
        <v>22</v>
      </c>
      <c r="B4293" t="s">
        <v>15</v>
      </c>
      <c r="C4293" t="s">
        <v>16</v>
      </c>
      <c r="D4293" t="s">
        <v>17</v>
      </c>
      <c r="E4293" t="s">
        <v>48</v>
      </c>
      <c r="F4293" s="9">
        <v>0.06</v>
      </c>
      <c r="G4293" s="10">
        <v>9358</v>
      </c>
      <c r="H4293">
        <v>2.2000000000000002</v>
      </c>
      <c r="I4293" s="5">
        <f>ROUND(Marketing[[#This Row],[Clicks]]*Marketing[[#This Row],[Conversion_Rate]],0)</f>
        <v>51</v>
      </c>
      <c r="J4293" s="12">
        <f>Marketing[[#This Row],[Campaign_Cost]]/Marketing[[#This Row],[Customers]]</f>
        <v>183.49019607843138</v>
      </c>
      <c r="K4293" t="s">
        <v>38</v>
      </c>
      <c r="L4293" t="s">
        <v>39</v>
      </c>
      <c r="M4293">
        <v>843</v>
      </c>
      <c r="N4293">
        <v>7756</v>
      </c>
      <c r="O4293">
        <v>3</v>
      </c>
      <c r="P4293" t="s">
        <v>21</v>
      </c>
      <c r="Q4293" s="1">
        <v>44473</v>
      </c>
    </row>
    <row r="4294" spans="1:17" x14ac:dyDescent="0.3">
      <c r="A4294" t="s">
        <v>49</v>
      </c>
      <c r="B4294" t="s">
        <v>15</v>
      </c>
      <c r="C4294" t="s">
        <v>30</v>
      </c>
      <c r="D4294" t="s">
        <v>24</v>
      </c>
      <c r="E4294" t="s">
        <v>18</v>
      </c>
      <c r="F4294" s="9">
        <v>0.09</v>
      </c>
      <c r="G4294" s="10">
        <v>13932</v>
      </c>
      <c r="H4294">
        <v>6.56</v>
      </c>
      <c r="I4294" s="5">
        <f>ROUND(Marketing[[#This Row],[Clicks]]*Marketing[[#This Row],[Conversion_Rate]],0)</f>
        <v>28</v>
      </c>
      <c r="J4294" s="12">
        <f>Marketing[[#This Row],[Campaign_Cost]]/Marketing[[#This Row],[Customers]]</f>
        <v>497.57142857142856</v>
      </c>
      <c r="K4294" t="s">
        <v>51</v>
      </c>
      <c r="L4294" t="s">
        <v>26</v>
      </c>
      <c r="M4294">
        <v>311</v>
      </c>
      <c r="N4294">
        <v>5812</v>
      </c>
      <c r="O4294">
        <v>10</v>
      </c>
      <c r="P4294" t="s">
        <v>44</v>
      </c>
      <c r="Q4294" s="1">
        <v>44474</v>
      </c>
    </row>
    <row r="4295" spans="1:17" x14ac:dyDescent="0.3">
      <c r="A4295" t="s">
        <v>35</v>
      </c>
      <c r="B4295" t="s">
        <v>29</v>
      </c>
      <c r="C4295" t="s">
        <v>16</v>
      </c>
      <c r="D4295" t="s">
        <v>40</v>
      </c>
      <c r="E4295" t="s">
        <v>18</v>
      </c>
      <c r="F4295" s="9">
        <v>0.1</v>
      </c>
      <c r="G4295" s="10">
        <v>6333</v>
      </c>
      <c r="H4295">
        <v>5.84</v>
      </c>
      <c r="I4295" s="5">
        <f>ROUND(Marketing[[#This Row],[Clicks]]*Marketing[[#This Row],[Conversion_Rate]],0)</f>
        <v>38</v>
      </c>
      <c r="J4295" s="12">
        <f>Marketing[[#This Row],[Campaign_Cost]]/Marketing[[#This Row],[Customers]]</f>
        <v>166.65789473684211</v>
      </c>
      <c r="K4295" t="s">
        <v>38</v>
      </c>
      <c r="L4295" t="s">
        <v>26</v>
      </c>
      <c r="M4295">
        <v>378</v>
      </c>
      <c r="N4295">
        <v>6201</v>
      </c>
      <c r="O4295">
        <v>7</v>
      </c>
      <c r="P4295" t="s">
        <v>27</v>
      </c>
      <c r="Q4295" s="1">
        <v>44475</v>
      </c>
    </row>
    <row r="4296" spans="1:17" x14ac:dyDescent="0.3">
      <c r="A4296" t="s">
        <v>14</v>
      </c>
      <c r="B4296" t="s">
        <v>47</v>
      </c>
      <c r="C4296" t="s">
        <v>23</v>
      </c>
      <c r="D4296" t="s">
        <v>40</v>
      </c>
      <c r="E4296" t="s">
        <v>15</v>
      </c>
      <c r="F4296" s="9">
        <v>0.14000000000000001</v>
      </c>
      <c r="G4296" s="10">
        <v>12066</v>
      </c>
      <c r="H4296">
        <v>6.6</v>
      </c>
      <c r="I4296" s="5">
        <f>ROUND(Marketing[[#This Row],[Clicks]]*Marketing[[#This Row],[Conversion_Rate]],0)</f>
        <v>79</v>
      </c>
      <c r="J4296" s="12">
        <f>Marketing[[#This Row],[Campaign_Cost]]/Marketing[[#This Row],[Customers]]</f>
        <v>152.73417721518987</v>
      </c>
      <c r="K4296" t="s">
        <v>38</v>
      </c>
      <c r="L4296" t="s">
        <v>20</v>
      </c>
      <c r="M4296">
        <v>562</v>
      </c>
      <c r="N4296">
        <v>8282</v>
      </c>
      <c r="O4296">
        <v>7</v>
      </c>
      <c r="P4296" t="s">
        <v>21</v>
      </c>
      <c r="Q4296" s="1">
        <v>44476</v>
      </c>
    </row>
    <row r="4297" spans="1:17" x14ac:dyDescent="0.3">
      <c r="A4297" t="s">
        <v>35</v>
      </c>
      <c r="B4297" t="s">
        <v>47</v>
      </c>
      <c r="C4297" t="s">
        <v>37</v>
      </c>
      <c r="D4297" t="s">
        <v>17</v>
      </c>
      <c r="E4297" t="s">
        <v>43</v>
      </c>
      <c r="F4297" s="9">
        <v>0.09</v>
      </c>
      <c r="G4297" s="10">
        <v>18134</v>
      </c>
      <c r="H4297">
        <v>6.4</v>
      </c>
      <c r="I4297" s="5">
        <f>ROUND(Marketing[[#This Row],[Clicks]]*Marketing[[#This Row],[Conversion_Rate]],0)</f>
        <v>74</v>
      </c>
      <c r="J4297" s="12">
        <f>Marketing[[#This Row],[Campaign_Cost]]/Marketing[[#This Row],[Customers]]</f>
        <v>245.05405405405406</v>
      </c>
      <c r="K4297" t="s">
        <v>19</v>
      </c>
      <c r="L4297" t="s">
        <v>50</v>
      </c>
      <c r="M4297">
        <v>820</v>
      </c>
      <c r="N4297">
        <v>9006</v>
      </c>
      <c r="O4297">
        <v>8</v>
      </c>
      <c r="P4297" t="s">
        <v>21</v>
      </c>
      <c r="Q4297" s="1">
        <v>44477</v>
      </c>
    </row>
    <row r="4298" spans="1:17" x14ac:dyDescent="0.3">
      <c r="A4298" t="s">
        <v>14</v>
      </c>
      <c r="B4298" t="s">
        <v>15</v>
      </c>
      <c r="C4298" t="s">
        <v>16</v>
      </c>
      <c r="D4298" t="s">
        <v>17</v>
      </c>
      <c r="E4298" t="s">
        <v>15</v>
      </c>
      <c r="F4298" s="9">
        <v>0.01</v>
      </c>
      <c r="G4298" s="10">
        <v>7151</v>
      </c>
      <c r="H4298">
        <v>6.95</v>
      </c>
      <c r="I4298" s="5">
        <f>ROUND(Marketing[[#This Row],[Clicks]]*Marketing[[#This Row],[Conversion_Rate]],0)</f>
        <v>3</v>
      </c>
      <c r="J4298" s="12">
        <f>Marketing[[#This Row],[Campaign_Cost]]/Marketing[[#This Row],[Customers]]</f>
        <v>2383.6666666666665</v>
      </c>
      <c r="K4298" t="s">
        <v>38</v>
      </c>
      <c r="L4298" t="s">
        <v>50</v>
      </c>
      <c r="M4298">
        <v>337</v>
      </c>
      <c r="N4298">
        <v>5271</v>
      </c>
      <c r="O4298">
        <v>2</v>
      </c>
      <c r="P4298" t="s">
        <v>42</v>
      </c>
      <c r="Q4298" s="1">
        <v>44478</v>
      </c>
    </row>
    <row r="4299" spans="1:17" x14ac:dyDescent="0.3">
      <c r="A4299" t="s">
        <v>49</v>
      </c>
      <c r="B4299" t="s">
        <v>15</v>
      </c>
      <c r="C4299" t="s">
        <v>16</v>
      </c>
      <c r="D4299" t="s">
        <v>24</v>
      </c>
      <c r="E4299" t="s">
        <v>41</v>
      </c>
      <c r="F4299" s="9">
        <v>0.11</v>
      </c>
      <c r="G4299" s="10">
        <v>14929</v>
      </c>
      <c r="H4299">
        <v>7.31</v>
      </c>
      <c r="I4299" s="5">
        <f>ROUND(Marketing[[#This Row],[Clicks]]*Marketing[[#This Row],[Conversion_Rate]],0)</f>
        <v>110</v>
      </c>
      <c r="J4299" s="12">
        <f>Marketing[[#This Row],[Campaign_Cost]]/Marketing[[#This Row],[Customers]]</f>
        <v>135.71818181818182</v>
      </c>
      <c r="K4299" t="s">
        <v>25</v>
      </c>
      <c r="L4299" t="s">
        <v>39</v>
      </c>
      <c r="M4299">
        <v>998</v>
      </c>
      <c r="N4299">
        <v>4011</v>
      </c>
      <c r="O4299">
        <v>2</v>
      </c>
      <c r="P4299" t="s">
        <v>44</v>
      </c>
      <c r="Q4299" s="1">
        <v>44479</v>
      </c>
    </row>
    <row r="4300" spans="1:17" x14ac:dyDescent="0.3">
      <c r="A4300" t="s">
        <v>49</v>
      </c>
      <c r="B4300" t="s">
        <v>47</v>
      </c>
      <c r="C4300" t="s">
        <v>30</v>
      </c>
      <c r="D4300" t="s">
        <v>17</v>
      </c>
      <c r="E4300" t="s">
        <v>41</v>
      </c>
      <c r="F4300" s="9">
        <v>0.12</v>
      </c>
      <c r="G4300" s="10">
        <v>13958</v>
      </c>
      <c r="H4300">
        <v>3.17</v>
      </c>
      <c r="I4300" s="5">
        <f>ROUND(Marketing[[#This Row],[Clicks]]*Marketing[[#This Row],[Conversion_Rate]],0)</f>
        <v>101</v>
      </c>
      <c r="J4300" s="12">
        <f>Marketing[[#This Row],[Campaign_Cost]]/Marketing[[#This Row],[Customers]]</f>
        <v>138.19801980198019</v>
      </c>
      <c r="K4300" t="s">
        <v>19</v>
      </c>
      <c r="L4300" t="s">
        <v>50</v>
      </c>
      <c r="M4300">
        <v>845</v>
      </c>
      <c r="N4300">
        <v>1512</v>
      </c>
      <c r="O4300">
        <v>6</v>
      </c>
      <c r="P4300" t="s">
        <v>42</v>
      </c>
      <c r="Q4300" s="1">
        <v>44480</v>
      </c>
    </row>
    <row r="4301" spans="1:17" x14ac:dyDescent="0.3">
      <c r="A4301" t="s">
        <v>35</v>
      </c>
      <c r="B4301" t="s">
        <v>36</v>
      </c>
      <c r="C4301" t="s">
        <v>16</v>
      </c>
      <c r="D4301" t="s">
        <v>17</v>
      </c>
      <c r="E4301" t="s">
        <v>15</v>
      </c>
      <c r="F4301" s="9">
        <v>0.14000000000000001</v>
      </c>
      <c r="G4301" s="10">
        <v>18242</v>
      </c>
      <c r="H4301">
        <v>4.84</v>
      </c>
      <c r="I4301" s="5">
        <f>ROUND(Marketing[[#This Row],[Clicks]]*Marketing[[#This Row],[Conversion_Rate]],0)</f>
        <v>114</v>
      </c>
      <c r="J4301" s="12">
        <f>Marketing[[#This Row],[Campaign_Cost]]/Marketing[[#This Row],[Customers]]</f>
        <v>160.01754385964912</v>
      </c>
      <c r="K4301" t="s">
        <v>19</v>
      </c>
      <c r="L4301" t="s">
        <v>20</v>
      </c>
      <c r="M4301">
        <v>816</v>
      </c>
      <c r="N4301">
        <v>1352</v>
      </c>
      <c r="O4301">
        <v>7</v>
      </c>
      <c r="P4301" t="s">
        <v>44</v>
      </c>
      <c r="Q4301" s="1">
        <v>44481</v>
      </c>
    </row>
    <row r="4302" spans="1:17" x14ac:dyDescent="0.3">
      <c r="A4302" t="s">
        <v>14</v>
      </c>
      <c r="B4302" t="s">
        <v>36</v>
      </c>
      <c r="C4302" t="s">
        <v>23</v>
      </c>
      <c r="D4302" t="s">
        <v>46</v>
      </c>
      <c r="E4302" t="s">
        <v>41</v>
      </c>
      <c r="F4302" s="9">
        <v>0.13</v>
      </c>
      <c r="G4302" s="10">
        <v>8567</v>
      </c>
      <c r="H4302">
        <v>7.27</v>
      </c>
      <c r="I4302" s="5">
        <f>ROUND(Marketing[[#This Row],[Clicks]]*Marketing[[#This Row],[Conversion_Rate]],0)</f>
        <v>66</v>
      </c>
      <c r="J4302" s="12">
        <f>Marketing[[#This Row],[Campaign_Cost]]/Marketing[[#This Row],[Customers]]</f>
        <v>129.80303030303031</v>
      </c>
      <c r="K4302" t="s">
        <v>25</v>
      </c>
      <c r="L4302" t="s">
        <v>26</v>
      </c>
      <c r="M4302">
        <v>504</v>
      </c>
      <c r="N4302">
        <v>4571</v>
      </c>
      <c r="O4302">
        <v>2</v>
      </c>
      <c r="P4302" t="s">
        <v>44</v>
      </c>
      <c r="Q4302" s="1">
        <v>44482</v>
      </c>
    </row>
    <row r="4303" spans="1:17" x14ac:dyDescent="0.3">
      <c r="A4303" t="s">
        <v>49</v>
      </c>
      <c r="B4303" t="s">
        <v>36</v>
      </c>
      <c r="C4303" t="s">
        <v>16</v>
      </c>
      <c r="D4303" t="s">
        <v>24</v>
      </c>
      <c r="E4303" t="s">
        <v>43</v>
      </c>
      <c r="F4303" s="9">
        <v>0.13</v>
      </c>
      <c r="G4303" s="10">
        <v>9325</v>
      </c>
      <c r="H4303">
        <v>4.4400000000000004</v>
      </c>
      <c r="I4303" s="5">
        <f>ROUND(Marketing[[#This Row],[Clicks]]*Marketing[[#This Row],[Conversion_Rate]],0)</f>
        <v>40</v>
      </c>
      <c r="J4303" s="12">
        <f>Marketing[[#This Row],[Campaign_Cost]]/Marketing[[#This Row],[Customers]]</f>
        <v>233.125</v>
      </c>
      <c r="K4303" t="s">
        <v>19</v>
      </c>
      <c r="L4303" t="s">
        <v>20</v>
      </c>
      <c r="M4303">
        <v>307</v>
      </c>
      <c r="N4303">
        <v>7129</v>
      </c>
      <c r="O4303">
        <v>6</v>
      </c>
      <c r="P4303" t="s">
        <v>44</v>
      </c>
      <c r="Q4303" s="1">
        <v>44483</v>
      </c>
    </row>
    <row r="4304" spans="1:17" x14ac:dyDescent="0.3">
      <c r="A4304" t="s">
        <v>14</v>
      </c>
      <c r="B4304" t="s">
        <v>36</v>
      </c>
      <c r="C4304" t="s">
        <v>16</v>
      </c>
      <c r="D4304" t="s">
        <v>24</v>
      </c>
      <c r="E4304" t="s">
        <v>15</v>
      </c>
      <c r="F4304" s="9">
        <v>0.1</v>
      </c>
      <c r="G4304" s="10">
        <v>18070</v>
      </c>
      <c r="H4304">
        <v>3.36</v>
      </c>
      <c r="I4304" s="5">
        <f>ROUND(Marketing[[#This Row],[Clicks]]*Marketing[[#This Row],[Conversion_Rate]],0)</f>
        <v>47</v>
      </c>
      <c r="J4304" s="12">
        <f>Marketing[[#This Row],[Campaign_Cost]]/Marketing[[#This Row],[Customers]]</f>
        <v>384.468085106383</v>
      </c>
      <c r="K4304" t="s">
        <v>32</v>
      </c>
      <c r="L4304" t="s">
        <v>33</v>
      </c>
      <c r="M4304">
        <v>465</v>
      </c>
      <c r="N4304">
        <v>3474</v>
      </c>
      <c r="O4304">
        <v>7</v>
      </c>
      <c r="P4304" t="s">
        <v>27</v>
      </c>
      <c r="Q4304" s="1">
        <v>44484</v>
      </c>
    </row>
    <row r="4305" spans="1:17" x14ac:dyDescent="0.3">
      <c r="A4305" t="s">
        <v>35</v>
      </c>
      <c r="B4305" t="s">
        <v>29</v>
      </c>
      <c r="C4305" t="s">
        <v>37</v>
      </c>
      <c r="D4305" t="s">
        <v>46</v>
      </c>
      <c r="E4305" t="s">
        <v>31</v>
      </c>
      <c r="F4305" s="9">
        <v>0.09</v>
      </c>
      <c r="G4305" s="10">
        <v>10784</v>
      </c>
      <c r="H4305">
        <v>3.79</v>
      </c>
      <c r="I4305" s="5">
        <f>ROUND(Marketing[[#This Row],[Clicks]]*Marketing[[#This Row],[Conversion_Rate]],0)</f>
        <v>89</v>
      </c>
      <c r="J4305" s="12">
        <f>Marketing[[#This Row],[Campaign_Cost]]/Marketing[[#This Row],[Customers]]</f>
        <v>121.1685393258427</v>
      </c>
      <c r="K4305" t="s">
        <v>32</v>
      </c>
      <c r="L4305" t="s">
        <v>50</v>
      </c>
      <c r="M4305">
        <v>986</v>
      </c>
      <c r="N4305">
        <v>9461</v>
      </c>
      <c r="O4305">
        <v>4</v>
      </c>
      <c r="P4305" t="s">
        <v>21</v>
      </c>
      <c r="Q4305" s="1">
        <v>44485</v>
      </c>
    </row>
    <row r="4306" spans="1:17" x14ac:dyDescent="0.3">
      <c r="A4306" t="s">
        <v>22</v>
      </c>
      <c r="B4306" t="s">
        <v>29</v>
      </c>
      <c r="C4306" t="s">
        <v>30</v>
      </c>
      <c r="D4306" t="s">
        <v>24</v>
      </c>
      <c r="E4306" t="s">
        <v>48</v>
      </c>
      <c r="F4306" s="9">
        <v>0.12</v>
      </c>
      <c r="G4306" s="10">
        <v>11880</v>
      </c>
      <c r="H4306">
        <v>7.42</v>
      </c>
      <c r="I4306" s="5">
        <f>ROUND(Marketing[[#This Row],[Clicks]]*Marketing[[#This Row],[Conversion_Rate]],0)</f>
        <v>44</v>
      </c>
      <c r="J4306" s="12">
        <f>Marketing[[#This Row],[Campaign_Cost]]/Marketing[[#This Row],[Customers]]</f>
        <v>270</v>
      </c>
      <c r="K4306" t="s">
        <v>38</v>
      </c>
      <c r="L4306" t="s">
        <v>20</v>
      </c>
      <c r="M4306">
        <v>370</v>
      </c>
      <c r="N4306">
        <v>8709</v>
      </c>
      <c r="O4306">
        <v>2</v>
      </c>
      <c r="P4306" t="s">
        <v>34</v>
      </c>
      <c r="Q4306" s="1">
        <v>44486</v>
      </c>
    </row>
    <row r="4307" spans="1:17" x14ac:dyDescent="0.3">
      <c r="A4307" t="s">
        <v>28</v>
      </c>
      <c r="B4307" t="s">
        <v>45</v>
      </c>
      <c r="C4307" t="s">
        <v>16</v>
      </c>
      <c r="D4307" t="s">
        <v>40</v>
      </c>
      <c r="E4307" t="s">
        <v>31</v>
      </c>
      <c r="F4307" s="9">
        <v>0.11</v>
      </c>
      <c r="G4307" s="10">
        <v>14142</v>
      </c>
      <c r="H4307">
        <v>5.27</v>
      </c>
      <c r="I4307" s="5">
        <f>ROUND(Marketing[[#This Row],[Clicks]]*Marketing[[#This Row],[Conversion_Rate]],0)</f>
        <v>49</v>
      </c>
      <c r="J4307" s="12">
        <f>Marketing[[#This Row],[Campaign_Cost]]/Marketing[[#This Row],[Customers]]</f>
        <v>288.61224489795916</v>
      </c>
      <c r="K4307" t="s">
        <v>19</v>
      </c>
      <c r="L4307" t="s">
        <v>20</v>
      </c>
      <c r="M4307">
        <v>441</v>
      </c>
      <c r="N4307">
        <v>9970</v>
      </c>
      <c r="O4307">
        <v>1</v>
      </c>
      <c r="P4307" t="s">
        <v>34</v>
      </c>
      <c r="Q4307" s="1">
        <v>44487</v>
      </c>
    </row>
    <row r="4308" spans="1:17" x14ac:dyDescent="0.3">
      <c r="A4308" t="s">
        <v>49</v>
      </c>
      <c r="B4308" t="s">
        <v>47</v>
      </c>
      <c r="C4308" t="s">
        <v>23</v>
      </c>
      <c r="D4308" t="s">
        <v>24</v>
      </c>
      <c r="E4308" t="s">
        <v>15</v>
      </c>
      <c r="F4308" s="9">
        <v>0.15</v>
      </c>
      <c r="G4308" s="10">
        <v>16638</v>
      </c>
      <c r="H4308">
        <v>4.6100000000000003</v>
      </c>
      <c r="I4308" s="5">
        <f>ROUND(Marketing[[#This Row],[Clicks]]*Marketing[[#This Row],[Conversion_Rate]],0)</f>
        <v>119</v>
      </c>
      <c r="J4308" s="12">
        <f>Marketing[[#This Row],[Campaign_Cost]]/Marketing[[#This Row],[Customers]]</f>
        <v>139.81512605042016</v>
      </c>
      <c r="K4308" t="s">
        <v>25</v>
      </c>
      <c r="L4308" t="s">
        <v>50</v>
      </c>
      <c r="M4308">
        <v>791</v>
      </c>
      <c r="N4308">
        <v>4972</v>
      </c>
      <c r="O4308">
        <v>8</v>
      </c>
      <c r="P4308" t="s">
        <v>34</v>
      </c>
      <c r="Q4308" s="1">
        <v>44488</v>
      </c>
    </row>
    <row r="4309" spans="1:17" x14ac:dyDescent="0.3">
      <c r="A4309" t="s">
        <v>14</v>
      </c>
      <c r="B4309" t="s">
        <v>47</v>
      </c>
      <c r="C4309" t="s">
        <v>52</v>
      </c>
      <c r="D4309" t="s">
        <v>17</v>
      </c>
      <c r="E4309" t="s">
        <v>48</v>
      </c>
      <c r="F4309" s="9">
        <v>7.0000000000000007E-2</v>
      </c>
      <c r="G4309" s="10">
        <v>14451</v>
      </c>
      <c r="H4309">
        <v>3.46</v>
      </c>
      <c r="I4309" s="5">
        <f>ROUND(Marketing[[#This Row],[Clicks]]*Marketing[[#This Row],[Conversion_Rate]],0)</f>
        <v>39</v>
      </c>
      <c r="J4309" s="12">
        <f>Marketing[[#This Row],[Campaign_Cost]]/Marketing[[#This Row],[Customers]]</f>
        <v>370.53846153846155</v>
      </c>
      <c r="K4309" t="s">
        <v>25</v>
      </c>
      <c r="L4309" t="s">
        <v>20</v>
      </c>
      <c r="M4309">
        <v>553</v>
      </c>
      <c r="N4309">
        <v>7118</v>
      </c>
      <c r="O4309">
        <v>6</v>
      </c>
      <c r="P4309" t="s">
        <v>27</v>
      </c>
      <c r="Q4309" s="1">
        <v>44489</v>
      </c>
    </row>
    <row r="4310" spans="1:17" x14ac:dyDescent="0.3">
      <c r="A4310" t="s">
        <v>35</v>
      </c>
      <c r="B4310" t="s">
        <v>36</v>
      </c>
      <c r="C4310" t="s">
        <v>23</v>
      </c>
      <c r="D4310" t="s">
        <v>46</v>
      </c>
      <c r="E4310" t="s">
        <v>31</v>
      </c>
      <c r="F4310" s="9">
        <v>0.13</v>
      </c>
      <c r="G4310" s="10">
        <v>10857</v>
      </c>
      <c r="H4310">
        <v>2.06</v>
      </c>
      <c r="I4310" s="5">
        <f>ROUND(Marketing[[#This Row],[Clicks]]*Marketing[[#This Row],[Conversion_Rate]],0)</f>
        <v>72</v>
      </c>
      <c r="J4310" s="12">
        <f>Marketing[[#This Row],[Campaign_Cost]]/Marketing[[#This Row],[Customers]]</f>
        <v>150.79166666666666</v>
      </c>
      <c r="K4310" t="s">
        <v>25</v>
      </c>
      <c r="L4310" t="s">
        <v>50</v>
      </c>
      <c r="M4310">
        <v>556</v>
      </c>
      <c r="N4310">
        <v>7285</v>
      </c>
      <c r="O4310">
        <v>5</v>
      </c>
      <c r="P4310" t="s">
        <v>27</v>
      </c>
      <c r="Q4310" s="1">
        <v>44490</v>
      </c>
    </row>
    <row r="4311" spans="1:17" x14ac:dyDescent="0.3">
      <c r="A4311" t="s">
        <v>49</v>
      </c>
      <c r="B4311" t="s">
        <v>29</v>
      </c>
      <c r="C4311" t="s">
        <v>16</v>
      </c>
      <c r="D4311" t="s">
        <v>24</v>
      </c>
      <c r="E4311" t="s">
        <v>18</v>
      </c>
      <c r="F4311" s="9">
        <v>0.04</v>
      </c>
      <c r="G4311" s="10">
        <v>7514</v>
      </c>
      <c r="H4311">
        <v>2.83</v>
      </c>
      <c r="I4311" s="5">
        <f>ROUND(Marketing[[#This Row],[Clicks]]*Marketing[[#This Row],[Conversion_Rate]],0)</f>
        <v>31</v>
      </c>
      <c r="J4311" s="12">
        <f>Marketing[[#This Row],[Campaign_Cost]]/Marketing[[#This Row],[Customers]]</f>
        <v>242.38709677419354</v>
      </c>
      <c r="K4311" t="s">
        <v>19</v>
      </c>
      <c r="L4311" t="s">
        <v>39</v>
      </c>
      <c r="M4311">
        <v>770</v>
      </c>
      <c r="N4311">
        <v>8808</v>
      </c>
      <c r="O4311">
        <v>6</v>
      </c>
      <c r="P4311" t="s">
        <v>42</v>
      </c>
      <c r="Q4311" s="1">
        <v>44491</v>
      </c>
    </row>
    <row r="4312" spans="1:17" x14ac:dyDescent="0.3">
      <c r="A4312" t="s">
        <v>14</v>
      </c>
      <c r="B4312" t="s">
        <v>36</v>
      </c>
      <c r="C4312" t="s">
        <v>30</v>
      </c>
      <c r="D4312" t="s">
        <v>24</v>
      </c>
      <c r="E4312" t="s">
        <v>41</v>
      </c>
      <c r="F4312" s="9">
        <v>0.03</v>
      </c>
      <c r="G4312" s="10">
        <v>19653</v>
      </c>
      <c r="H4312">
        <v>4.05</v>
      </c>
      <c r="I4312" s="5">
        <f>ROUND(Marketing[[#This Row],[Clicks]]*Marketing[[#This Row],[Conversion_Rate]],0)</f>
        <v>18</v>
      </c>
      <c r="J4312" s="12">
        <f>Marketing[[#This Row],[Campaign_Cost]]/Marketing[[#This Row],[Customers]]</f>
        <v>1091.8333333333333</v>
      </c>
      <c r="K4312" t="s">
        <v>32</v>
      </c>
      <c r="L4312" t="s">
        <v>26</v>
      </c>
      <c r="M4312">
        <v>609</v>
      </c>
      <c r="N4312">
        <v>6246</v>
      </c>
      <c r="O4312">
        <v>1</v>
      </c>
      <c r="P4312" t="s">
        <v>34</v>
      </c>
      <c r="Q4312" s="1">
        <v>44492</v>
      </c>
    </row>
    <row r="4313" spans="1:17" x14ac:dyDescent="0.3">
      <c r="A4313" t="s">
        <v>49</v>
      </c>
      <c r="B4313" t="s">
        <v>15</v>
      </c>
      <c r="C4313" t="s">
        <v>30</v>
      </c>
      <c r="D4313" t="s">
        <v>40</v>
      </c>
      <c r="E4313" t="s">
        <v>41</v>
      </c>
      <c r="F4313" s="9">
        <v>0.05</v>
      </c>
      <c r="G4313" s="10">
        <v>15713</v>
      </c>
      <c r="H4313">
        <v>4.75</v>
      </c>
      <c r="I4313" s="5">
        <f>ROUND(Marketing[[#This Row],[Clicks]]*Marketing[[#This Row],[Conversion_Rate]],0)</f>
        <v>45</v>
      </c>
      <c r="J4313" s="12">
        <f>Marketing[[#This Row],[Campaign_Cost]]/Marketing[[#This Row],[Customers]]</f>
        <v>349.17777777777781</v>
      </c>
      <c r="K4313" t="s">
        <v>19</v>
      </c>
      <c r="L4313" t="s">
        <v>39</v>
      </c>
      <c r="M4313">
        <v>898</v>
      </c>
      <c r="N4313">
        <v>8260</v>
      </c>
      <c r="O4313">
        <v>3</v>
      </c>
      <c r="P4313" t="s">
        <v>27</v>
      </c>
      <c r="Q4313" s="1">
        <v>44493</v>
      </c>
    </row>
    <row r="4314" spans="1:17" x14ac:dyDescent="0.3">
      <c r="A4314" t="s">
        <v>35</v>
      </c>
      <c r="B4314" t="s">
        <v>45</v>
      </c>
      <c r="C4314" t="s">
        <v>30</v>
      </c>
      <c r="D4314" t="s">
        <v>24</v>
      </c>
      <c r="E4314" t="s">
        <v>31</v>
      </c>
      <c r="F4314" s="9">
        <v>0.04</v>
      </c>
      <c r="G4314" s="10">
        <v>15321</v>
      </c>
      <c r="H4314">
        <v>2.69</v>
      </c>
      <c r="I4314" s="5">
        <f>ROUND(Marketing[[#This Row],[Clicks]]*Marketing[[#This Row],[Conversion_Rate]],0)</f>
        <v>27</v>
      </c>
      <c r="J4314" s="12">
        <f>Marketing[[#This Row],[Campaign_Cost]]/Marketing[[#This Row],[Customers]]</f>
        <v>567.44444444444446</v>
      </c>
      <c r="K4314" t="s">
        <v>25</v>
      </c>
      <c r="L4314" t="s">
        <v>50</v>
      </c>
      <c r="M4314">
        <v>675</v>
      </c>
      <c r="N4314">
        <v>7356</v>
      </c>
      <c r="O4314">
        <v>5</v>
      </c>
      <c r="P4314" t="s">
        <v>42</v>
      </c>
      <c r="Q4314" s="1">
        <v>44494</v>
      </c>
    </row>
    <row r="4315" spans="1:17" x14ac:dyDescent="0.3">
      <c r="A4315" t="s">
        <v>14</v>
      </c>
      <c r="B4315" t="s">
        <v>15</v>
      </c>
      <c r="C4315" t="s">
        <v>30</v>
      </c>
      <c r="D4315" t="s">
        <v>40</v>
      </c>
      <c r="E4315" t="s">
        <v>18</v>
      </c>
      <c r="F4315" s="9">
        <v>0.15</v>
      </c>
      <c r="G4315" s="10">
        <v>5490</v>
      </c>
      <c r="H4315">
        <v>3.7</v>
      </c>
      <c r="I4315" s="5">
        <f>ROUND(Marketing[[#This Row],[Clicks]]*Marketing[[#This Row],[Conversion_Rate]],0)</f>
        <v>96</v>
      </c>
      <c r="J4315" s="12">
        <f>Marketing[[#This Row],[Campaign_Cost]]/Marketing[[#This Row],[Customers]]</f>
        <v>57.1875</v>
      </c>
      <c r="K4315" t="s">
        <v>38</v>
      </c>
      <c r="L4315" t="s">
        <v>20</v>
      </c>
      <c r="M4315">
        <v>638</v>
      </c>
      <c r="N4315">
        <v>7833</v>
      </c>
      <c r="O4315">
        <v>8</v>
      </c>
      <c r="P4315" t="s">
        <v>42</v>
      </c>
      <c r="Q4315" s="1">
        <v>44495</v>
      </c>
    </row>
    <row r="4316" spans="1:17" x14ac:dyDescent="0.3">
      <c r="A4316" t="s">
        <v>35</v>
      </c>
      <c r="B4316" t="s">
        <v>45</v>
      </c>
      <c r="C4316" t="s">
        <v>30</v>
      </c>
      <c r="D4316" t="s">
        <v>40</v>
      </c>
      <c r="E4316" t="s">
        <v>31</v>
      </c>
      <c r="F4316" s="9">
        <v>7.0000000000000007E-2</v>
      </c>
      <c r="G4316" s="10">
        <v>12399</v>
      </c>
      <c r="H4316">
        <v>6.11</v>
      </c>
      <c r="I4316" s="5">
        <f>ROUND(Marketing[[#This Row],[Clicks]]*Marketing[[#This Row],[Conversion_Rate]],0)</f>
        <v>36</v>
      </c>
      <c r="J4316" s="12">
        <f>Marketing[[#This Row],[Campaign_Cost]]/Marketing[[#This Row],[Customers]]</f>
        <v>344.41666666666669</v>
      </c>
      <c r="K4316" t="s">
        <v>25</v>
      </c>
      <c r="L4316" t="s">
        <v>39</v>
      </c>
      <c r="M4316">
        <v>521</v>
      </c>
      <c r="N4316">
        <v>6651</v>
      </c>
      <c r="O4316">
        <v>7</v>
      </c>
      <c r="P4316" t="s">
        <v>27</v>
      </c>
      <c r="Q4316" s="1">
        <v>44496</v>
      </c>
    </row>
    <row r="4317" spans="1:17" x14ac:dyDescent="0.3">
      <c r="A4317" t="s">
        <v>49</v>
      </c>
      <c r="B4317" t="s">
        <v>47</v>
      </c>
      <c r="C4317" t="s">
        <v>16</v>
      </c>
      <c r="D4317" t="s">
        <v>17</v>
      </c>
      <c r="E4317" t="s">
        <v>41</v>
      </c>
      <c r="F4317" s="9">
        <v>0.05</v>
      </c>
      <c r="G4317" s="10">
        <v>11574</v>
      </c>
      <c r="H4317">
        <v>2.81</v>
      </c>
      <c r="I4317" s="5">
        <f>ROUND(Marketing[[#This Row],[Clicks]]*Marketing[[#This Row],[Conversion_Rate]],0)</f>
        <v>16</v>
      </c>
      <c r="J4317" s="12">
        <f>Marketing[[#This Row],[Campaign_Cost]]/Marketing[[#This Row],[Customers]]</f>
        <v>723.375</v>
      </c>
      <c r="K4317" t="s">
        <v>25</v>
      </c>
      <c r="L4317" t="s">
        <v>50</v>
      </c>
      <c r="M4317">
        <v>323</v>
      </c>
      <c r="N4317">
        <v>5433</v>
      </c>
      <c r="O4317">
        <v>4</v>
      </c>
      <c r="P4317" t="s">
        <v>27</v>
      </c>
      <c r="Q4317" s="1">
        <v>44497</v>
      </c>
    </row>
    <row r="4318" spans="1:17" x14ac:dyDescent="0.3">
      <c r="A4318" t="s">
        <v>49</v>
      </c>
      <c r="B4318" t="s">
        <v>47</v>
      </c>
      <c r="C4318" t="s">
        <v>37</v>
      </c>
      <c r="D4318" t="s">
        <v>46</v>
      </c>
      <c r="E4318" t="s">
        <v>48</v>
      </c>
      <c r="F4318" s="9">
        <v>7.0000000000000007E-2</v>
      </c>
      <c r="G4318" s="10">
        <v>7710</v>
      </c>
      <c r="H4318">
        <v>4.66</v>
      </c>
      <c r="I4318" s="5">
        <f>ROUND(Marketing[[#This Row],[Clicks]]*Marketing[[#This Row],[Conversion_Rate]],0)</f>
        <v>59</v>
      </c>
      <c r="J4318" s="12">
        <f>Marketing[[#This Row],[Campaign_Cost]]/Marketing[[#This Row],[Customers]]</f>
        <v>130.67796610169492</v>
      </c>
      <c r="K4318" t="s">
        <v>25</v>
      </c>
      <c r="L4318" t="s">
        <v>50</v>
      </c>
      <c r="M4318">
        <v>844</v>
      </c>
      <c r="N4318">
        <v>4515</v>
      </c>
      <c r="O4318">
        <v>1</v>
      </c>
      <c r="P4318" t="s">
        <v>42</v>
      </c>
      <c r="Q4318" s="1">
        <v>44498</v>
      </c>
    </row>
    <row r="4319" spans="1:17" x14ac:dyDescent="0.3">
      <c r="A4319" t="s">
        <v>28</v>
      </c>
      <c r="B4319" t="s">
        <v>47</v>
      </c>
      <c r="C4319" t="s">
        <v>52</v>
      </c>
      <c r="D4319" t="s">
        <v>24</v>
      </c>
      <c r="E4319" t="s">
        <v>18</v>
      </c>
      <c r="F4319" s="9">
        <v>0.06</v>
      </c>
      <c r="G4319" s="10">
        <v>19274</v>
      </c>
      <c r="H4319">
        <v>3.92</v>
      </c>
      <c r="I4319" s="5">
        <f>ROUND(Marketing[[#This Row],[Clicks]]*Marketing[[#This Row],[Conversion_Rate]],0)</f>
        <v>26</v>
      </c>
      <c r="J4319" s="12">
        <f>Marketing[[#This Row],[Campaign_Cost]]/Marketing[[#This Row],[Customers]]</f>
        <v>741.30769230769226</v>
      </c>
      <c r="K4319" t="s">
        <v>25</v>
      </c>
      <c r="L4319" t="s">
        <v>33</v>
      </c>
      <c r="M4319">
        <v>432</v>
      </c>
      <c r="N4319">
        <v>4618</v>
      </c>
      <c r="O4319">
        <v>8</v>
      </c>
      <c r="P4319" t="s">
        <v>21</v>
      </c>
      <c r="Q4319" s="1">
        <v>44499</v>
      </c>
    </row>
    <row r="4320" spans="1:17" x14ac:dyDescent="0.3">
      <c r="A4320" t="s">
        <v>35</v>
      </c>
      <c r="B4320" t="s">
        <v>36</v>
      </c>
      <c r="C4320" t="s">
        <v>30</v>
      </c>
      <c r="D4320" t="s">
        <v>46</v>
      </c>
      <c r="E4320" t="s">
        <v>41</v>
      </c>
      <c r="F4320" s="9">
        <v>0.06</v>
      </c>
      <c r="G4320" s="10">
        <v>9796</v>
      </c>
      <c r="H4320">
        <v>3.37</v>
      </c>
      <c r="I4320" s="5">
        <f>ROUND(Marketing[[#This Row],[Clicks]]*Marketing[[#This Row],[Conversion_Rate]],0)</f>
        <v>9</v>
      </c>
      <c r="J4320" s="12">
        <f>Marketing[[#This Row],[Campaign_Cost]]/Marketing[[#This Row],[Customers]]</f>
        <v>1088.4444444444443</v>
      </c>
      <c r="K4320" t="s">
        <v>25</v>
      </c>
      <c r="L4320" t="s">
        <v>50</v>
      </c>
      <c r="M4320">
        <v>153</v>
      </c>
      <c r="N4320">
        <v>2067</v>
      </c>
      <c r="O4320">
        <v>2</v>
      </c>
      <c r="P4320" t="s">
        <v>34</v>
      </c>
      <c r="Q4320" s="1">
        <v>44500</v>
      </c>
    </row>
    <row r="4321" spans="1:17" x14ac:dyDescent="0.3">
      <c r="A4321" t="s">
        <v>14</v>
      </c>
      <c r="B4321" t="s">
        <v>47</v>
      </c>
      <c r="C4321" t="s">
        <v>37</v>
      </c>
      <c r="D4321" t="s">
        <v>24</v>
      </c>
      <c r="E4321" t="s">
        <v>43</v>
      </c>
      <c r="F4321" s="9">
        <v>0.08</v>
      </c>
      <c r="G4321" s="10">
        <v>11408</v>
      </c>
      <c r="H4321">
        <v>6.24</v>
      </c>
      <c r="I4321" s="5">
        <f>ROUND(Marketing[[#This Row],[Clicks]]*Marketing[[#This Row],[Conversion_Rate]],0)</f>
        <v>39</v>
      </c>
      <c r="J4321" s="12">
        <f>Marketing[[#This Row],[Campaign_Cost]]/Marketing[[#This Row],[Customers]]</f>
        <v>292.5128205128205</v>
      </c>
      <c r="K4321" t="s">
        <v>32</v>
      </c>
      <c r="L4321" t="s">
        <v>26</v>
      </c>
      <c r="M4321">
        <v>487</v>
      </c>
      <c r="N4321">
        <v>6159</v>
      </c>
      <c r="O4321">
        <v>3</v>
      </c>
      <c r="P4321" t="s">
        <v>34</v>
      </c>
      <c r="Q4321" s="1">
        <v>44501</v>
      </c>
    </row>
    <row r="4322" spans="1:17" x14ac:dyDescent="0.3">
      <c r="A4322" t="s">
        <v>49</v>
      </c>
      <c r="B4322" t="s">
        <v>29</v>
      </c>
      <c r="C4322" t="s">
        <v>16</v>
      </c>
      <c r="D4322" t="s">
        <v>17</v>
      </c>
      <c r="E4322" t="s">
        <v>43</v>
      </c>
      <c r="F4322" s="9">
        <v>0.13</v>
      </c>
      <c r="G4322" s="10">
        <v>14784</v>
      </c>
      <c r="H4322">
        <v>7.8</v>
      </c>
      <c r="I4322" s="5">
        <f>ROUND(Marketing[[#This Row],[Clicks]]*Marketing[[#This Row],[Conversion_Rate]],0)</f>
        <v>60</v>
      </c>
      <c r="J4322" s="12">
        <f>Marketing[[#This Row],[Campaign_Cost]]/Marketing[[#This Row],[Customers]]</f>
        <v>246.4</v>
      </c>
      <c r="K4322" t="s">
        <v>51</v>
      </c>
      <c r="L4322" t="s">
        <v>50</v>
      </c>
      <c r="M4322">
        <v>460</v>
      </c>
      <c r="N4322">
        <v>4900</v>
      </c>
      <c r="O4322">
        <v>9</v>
      </c>
      <c r="P4322" t="s">
        <v>42</v>
      </c>
      <c r="Q4322" s="1">
        <v>44502</v>
      </c>
    </row>
    <row r="4323" spans="1:17" x14ac:dyDescent="0.3">
      <c r="A4323" t="s">
        <v>49</v>
      </c>
      <c r="B4323" t="s">
        <v>45</v>
      </c>
      <c r="C4323" t="s">
        <v>16</v>
      </c>
      <c r="D4323" t="s">
        <v>40</v>
      </c>
      <c r="E4323" t="s">
        <v>48</v>
      </c>
      <c r="F4323" s="9">
        <v>0.01</v>
      </c>
      <c r="G4323" s="10">
        <v>16316</v>
      </c>
      <c r="H4323">
        <v>4.0199999999999996</v>
      </c>
      <c r="I4323" s="5">
        <f>ROUND(Marketing[[#This Row],[Clicks]]*Marketing[[#This Row],[Conversion_Rate]],0)</f>
        <v>5</v>
      </c>
      <c r="J4323" s="12">
        <f>Marketing[[#This Row],[Campaign_Cost]]/Marketing[[#This Row],[Customers]]</f>
        <v>3263.2</v>
      </c>
      <c r="K4323" t="s">
        <v>19</v>
      </c>
      <c r="L4323" t="s">
        <v>26</v>
      </c>
      <c r="M4323">
        <v>505</v>
      </c>
      <c r="N4323">
        <v>5181</v>
      </c>
      <c r="O4323">
        <v>4</v>
      </c>
      <c r="P4323" t="s">
        <v>21</v>
      </c>
      <c r="Q4323" s="1">
        <v>44503</v>
      </c>
    </row>
    <row r="4324" spans="1:17" x14ac:dyDescent="0.3">
      <c r="A4324" t="s">
        <v>49</v>
      </c>
      <c r="B4324" t="s">
        <v>15</v>
      </c>
      <c r="C4324" t="s">
        <v>37</v>
      </c>
      <c r="D4324" t="s">
        <v>40</v>
      </c>
      <c r="E4324" t="s">
        <v>41</v>
      </c>
      <c r="F4324" s="9">
        <v>0.09</v>
      </c>
      <c r="G4324" s="10">
        <v>12856</v>
      </c>
      <c r="H4324">
        <v>5.97</v>
      </c>
      <c r="I4324" s="5">
        <f>ROUND(Marketing[[#This Row],[Clicks]]*Marketing[[#This Row],[Conversion_Rate]],0)</f>
        <v>79</v>
      </c>
      <c r="J4324" s="12">
        <f>Marketing[[#This Row],[Campaign_Cost]]/Marketing[[#This Row],[Customers]]</f>
        <v>162.73417721518987</v>
      </c>
      <c r="K4324" t="s">
        <v>25</v>
      </c>
      <c r="L4324" t="s">
        <v>39</v>
      </c>
      <c r="M4324">
        <v>880</v>
      </c>
      <c r="N4324">
        <v>9222</v>
      </c>
      <c r="O4324">
        <v>8</v>
      </c>
      <c r="P4324" t="s">
        <v>44</v>
      </c>
      <c r="Q4324" s="1">
        <v>44504</v>
      </c>
    </row>
    <row r="4325" spans="1:17" x14ac:dyDescent="0.3">
      <c r="A4325" t="s">
        <v>35</v>
      </c>
      <c r="B4325" t="s">
        <v>15</v>
      </c>
      <c r="C4325" t="s">
        <v>37</v>
      </c>
      <c r="D4325" t="s">
        <v>17</v>
      </c>
      <c r="E4325" t="s">
        <v>43</v>
      </c>
      <c r="F4325" s="9">
        <v>0.13</v>
      </c>
      <c r="G4325" s="10">
        <v>5636</v>
      </c>
      <c r="H4325">
        <v>5.5</v>
      </c>
      <c r="I4325" s="5">
        <f>ROUND(Marketing[[#This Row],[Clicks]]*Marketing[[#This Row],[Conversion_Rate]],0)</f>
        <v>71</v>
      </c>
      <c r="J4325" s="12">
        <f>Marketing[[#This Row],[Campaign_Cost]]/Marketing[[#This Row],[Customers]]</f>
        <v>79.380281690140848</v>
      </c>
      <c r="K4325" t="s">
        <v>19</v>
      </c>
      <c r="L4325" t="s">
        <v>26</v>
      </c>
      <c r="M4325">
        <v>548</v>
      </c>
      <c r="N4325">
        <v>8099</v>
      </c>
      <c r="O4325">
        <v>9</v>
      </c>
      <c r="P4325" t="s">
        <v>27</v>
      </c>
      <c r="Q4325" s="1">
        <v>44505</v>
      </c>
    </row>
    <row r="4326" spans="1:17" x14ac:dyDescent="0.3">
      <c r="A4326" t="s">
        <v>28</v>
      </c>
      <c r="B4326" t="s">
        <v>36</v>
      </c>
      <c r="C4326" t="s">
        <v>30</v>
      </c>
      <c r="D4326" t="s">
        <v>46</v>
      </c>
      <c r="E4326" t="s">
        <v>43</v>
      </c>
      <c r="F4326" s="9">
        <v>7.0000000000000007E-2</v>
      </c>
      <c r="G4326" s="10">
        <v>19190</v>
      </c>
      <c r="H4326">
        <v>7.23</v>
      </c>
      <c r="I4326" s="5">
        <f>ROUND(Marketing[[#This Row],[Clicks]]*Marketing[[#This Row],[Conversion_Rate]],0)</f>
        <v>69</v>
      </c>
      <c r="J4326" s="12">
        <f>Marketing[[#This Row],[Campaign_Cost]]/Marketing[[#This Row],[Customers]]</f>
        <v>278.1159420289855</v>
      </c>
      <c r="K4326" t="s">
        <v>51</v>
      </c>
      <c r="L4326" t="s">
        <v>20</v>
      </c>
      <c r="M4326">
        <v>981</v>
      </c>
      <c r="N4326">
        <v>9341</v>
      </c>
      <c r="O4326">
        <v>3</v>
      </c>
      <c r="P4326" t="s">
        <v>42</v>
      </c>
      <c r="Q4326" s="1">
        <v>44506</v>
      </c>
    </row>
    <row r="4327" spans="1:17" x14ac:dyDescent="0.3">
      <c r="A4327" t="s">
        <v>14</v>
      </c>
      <c r="B4327" t="s">
        <v>45</v>
      </c>
      <c r="C4327" t="s">
        <v>23</v>
      </c>
      <c r="D4327" t="s">
        <v>17</v>
      </c>
      <c r="E4327" t="s">
        <v>41</v>
      </c>
      <c r="F4327" s="9">
        <v>0.05</v>
      </c>
      <c r="G4327" s="10">
        <v>15312</v>
      </c>
      <c r="H4327">
        <v>2.4700000000000002</v>
      </c>
      <c r="I4327" s="5">
        <f>ROUND(Marketing[[#This Row],[Clicks]]*Marketing[[#This Row],[Conversion_Rate]],0)</f>
        <v>13</v>
      </c>
      <c r="J4327" s="12">
        <f>Marketing[[#This Row],[Campaign_Cost]]/Marketing[[#This Row],[Customers]]</f>
        <v>1177.8461538461538</v>
      </c>
      <c r="K4327" t="s">
        <v>19</v>
      </c>
      <c r="L4327" t="s">
        <v>33</v>
      </c>
      <c r="M4327">
        <v>268</v>
      </c>
      <c r="N4327">
        <v>5660</v>
      </c>
      <c r="O4327">
        <v>2</v>
      </c>
      <c r="P4327" t="s">
        <v>42</v>
      </c>
      <c r="Q4327" s="1">
        <v>44507</v>
      </c>
    </row>
    <row r="4328" spans="1:17" x14ac:dyDescent="0.3">
      <c r="A4328" t="s">
        <v>28</v>
      </c>
      <c r="B4328" t="s">
        <v>15</v>
      </c>
      <c r="C4328" t="s">
        <v>30</v>
      </c>
      <c r="D4328" t="s">
        <v>40</v>
      </c>
      <c r="E4328" t="s">
        <v>43</v>
      </c>
      <c r="F4328" s="9">
        <v>0.08</v>
      </c>
      <c r="G4328" s="10">
        <v>18772</v>
      </c>
      <c r="H4328">
        <v>3.22</v>
      </c>
      <c r="I4328" s="5">
        <f>ROUND(Marketing[[#This Row],[Clicks]]*Marketing[[#This Row],[Conversion_Rate]],0)</f>
        <v>10</v>
      </c>
      <c r="J4328" s="12">
        <f>Marketing[[#This Row],[Campaign_Cost]]/Marketing[[#This Row],[Customers]]</f>
        <v>1877.2</v>
      </c>
      <c r="K4328" t="s">
        <v>25</v>
      </c>
      <c r="L4328" t="s">
        <v>39</v>
      </c>
      <c r="M4328">
        <v>131</v>
      </c>
      <c r="N4328">
        <v>4152</v>
      </c>
      <c r="O4328">
        <v>5</v>
      </c>
      <c r="P4328" t="s">
        <v>42</v>
      </c>
      <c r="Q4328" s="1">
        <v>44508</v>
      </c>
    </row>
    <row r="4329" spans="1:17" x14ac:dyDescent="0.3">
      <c r="A4329" t="s">
        <v>35</v>
      </c>
      <c r="B4329" t="s">
        <v>15</v>
      </c>
      <c r="C4329" t="s">
        <v>23</v>
      </c>
      <c r="D4329" t="s">
        <v>40</v>
      </c>
      <c r="E4329" t="s">
        <v>43</v>
      </c>
      <c r="F4329" s="9">
        <v>0.12</v>
      </c>
      <c r="G4329" s="10">
        <v>11049</v>
      </c>
      <c r="H4329">
        <v>3.35</v>
      </c>
      <c r="I4329" s="5">
        <f>ROUND(Marketing[[#This Row],[Clicks]]*Marketing[[#This Row],[Conversion_Rate]],0)</f>
        <v>49</v>
      </c>
      <c r="J4329" s="12">
        <f>Marketing[[#This Row],[Campaign_Cost]]/Marketing[[#This Row],[Customers]]</f>
        <v>225.48979591836735</v>
      </c>
      <c r="K4329" t="s">
        <v>51</v>
      </c>
      <c r="L4329" t="s">
        <v>26</v>
      </c>
      <c r="M4329">
        <v>412</v>
      </c>
      <c r="N4329">
        <v>5090</v>
      </c>
      <c r="O4329">
        <v>9</v>
      </c>
      <c r="P4329" t="s">
        <v>21</v>
      </c>
      <c r="Q4329" s="1">
        <v>44509</v>
      </c>
    </row>
    <row r="4330" spans="1:17" x14ac:dyDescent="0.3">
      <c r="A4330" t="s">
        <v>35</v>
      </c>
      <c r="B4330" t="s">
        <v>29</v>
      </c>
      <c r="C4330" t="s">
        <v>30</v>
      </c>
      <c r="D4330" t="s">
        <v>40</v>
      </c>
      <c r="E4330" t="s">
        <v>18</v>
      </c>
      <c r="F4330" s="9">
        <v>0.03</v>
      </c>
      <c r="G4330" s="10">
        <v>18735</v>
      </c>
      <c r="H4330">
        <v>3.69</v>
      </c>
      <c r="I4330" s="5">
        <f>ROUND(Marketing[[#This Row],[Clicks]]*Marketing[[#This Row],[Conversion_Rate]],0)</f>
        <v>24</v>
      </c>
      <c r="J4330" s="12">
        <f>Marketing[[#This Row],[Campaign_Cost]]/Marketing[[#This Row],[Customers]]</f>
        <v>780.625</v>
      </c>
      <c r="K4330" t="s">
        <v>38</v>
      </c>
      <c r="L4330" t="s">
        <v>50</v>
      </c>
      <c r="M4330">
        <v>801</v>
      </c>
      <c r="N4330">
        <v>1525</v>
      </c>
      <c r="O4330">
        <v>6</v>
      </c>
      <c r="P4330" t="s">
        <v>44</v>
      </c>
      <c r="Q4330" s="1">
        <v>44510</v>
      </c>
    </row>
    <row r="4331" spans="1:17" x14ac:dyDescent="0.3">
      <c r="A4331" t="s">
        <v>28</v>
      </c>
      <c r="B4331" t="s">
        <v>45</v>
      </c>
      <c r="C4331" t="s">
        <v>30</v>
      </c>
      <c r="D4331" t="s">
        <v>40</v>
      </c>
      <c r="E4331" t="s">
        <v>41</v>
      </c>
      <c r="F4331" s="9">
        <v>0.11</v>
      </c>
      <c r="G4331" s="10">
        <v>11805</v>
      </c>
      <c r="H4331">
        <v>6.21</v>
      </c>
      <c r="I4331" s="5">
        <f>ROUND(Marketing[[#This Row],[Clicks]]*Marketing[[#This Row],[Conversion_Rate]],0)</f>
        <v>44</v>
      </c>
      <c r="J4331" s="12">
        <f>Marketing[[#This Row],[Campaign_Cost]]/Marketing[[#This Row],[Customers]]</f>
        <v>268.29545454545456</v>
      </c>
      <c r="K4331" t="s">
        <v>25</v>
      </c>
      <c r="L4331" t="s">
        <v>39</v>
      </c>
      <c r="M4331">
        <v>400</v>
      </c>
      <c r="N4331">
        <v>4111</v>
      </c>
      <c r="O4331">
        <v>10</v>
      </c>
      <c r="P4331" t="s">
        <v>42</v>
      </c>
      <c r="Q4331" s="1">
        <v>44511</v>
      </c>
    </row>
    <row r="4332" spans="1:17" x14ac:dyDescent="0.3">
      <c r="A4332" t="s">
        <v>14</v>
      </c>
      <c r="B4332" t="s">
        <v>15</v>
      </c>
      <c r="C4332" t="s">
        <v>37</v>
      </c>
      <c r="D4332" t="s">
        <v>40</v>
      </c>
      <c r="E4332" t="s">
        <v>41</v>
      </c>
      <c r="F4332" s="9">
        <v>0.11</v>
      </c>
      <c r="G4332" s="10">
        <v>12780</v>
      </c>
      <c r="H4332">
        <v>2.08</v>
      </c>
      <c r="I4332" s="5">
        <f>ROUND(Marketing[[#This Row],[Clicks]]*Marketing[[#This Row],[Conversion_Rate]],0)</f>
        <v>58</v>
      </c>
      <c r="J4332" s="12">
        <f>Marketing[[#This Row],[Campaign_Cost]]/Marketing[[#This Row],[Customers]]</f>
        <v>220.34482758620689</v>
      </c>
      <c r="K4332" t="s">
        <v>19</v>
      </c>
      <c r="L4332" t="s">
        <v>26</v>
      </c>
      <c r="M4332">
        <v>526</v>
      </c>
      <c r="N4332">
        <v>6753</v>
      </c>
      <c r="O4332">
        <v>1</v>
      </c>
      <c r="P4332" t="s">
        <v>42</v>
      </c>
      <c r="Q4332" s="1">
        <v>44512</v>
      </c>
    </row>
    <row r="4333" spans="1:17" x14ac:dyDescent="0.3">
      <c r="A4333" t="s">
        <v>14</v>
      </c>
      <c r="B4333" t="s">
        <v>29</v>
      </c>
      <c r="C4333" t="s">
        <v>37</v>
      </c>
      <c r="D4333" t="s">
        <v>40</v>
      </c>
      <c r="E4333" t="s">
        <v>43</v>
      </c>
      <c r="F4333" s="9">
        <v>0.08</v>
      </c>
      <c r="G4333" s="10">
        <v>11792</v>
      </c>
      <c r="H4333">
        <v>2.86</v>
      </c>
      <c r="I4333" s="5">
        <f>ROUND(Marketing[[#This Row],[Clicks]]*Marketing[[#This Row],[Conversion_Rate]],0)</f>
        <v>50</v>
      </c>
      <c r="J4333" s="12">
        <f>Marketing[[#This Row],[Campaign_Cost]]/Marketing[[#This Row],[Customers]]</f>
        <v>235.84</v>
      </c>
      <c r="K4333" t="s">
        <v>25</v>
      </c>
      <c r="L4333" t="s">
        <v>26</v>
      </c>
      <c r="M4333">
        <v>627</v>
      </c>
      <c r="N4333">
        <v>7294</v>
      </c>
      <c r="O4333">
        <v>5</v>
      </c>
      <c r="P4333" t="s">
        <v>34</v>
      </c>
      <c r="Q4333" s="1">
        <v>44513</v>
      </c>
    </row>
    <row r="4334" spans="1:17" x14ac:dyDescent="0.3">
      <c r="A4334" t="s">
        <v>49</v>
      </c>
      <c r="B4334" t="s">
        <v>45</v>
      </c>
      <c r="C4334" t="s">
        <v>23</v>
      </c>
      <c r="D4334" t="s">
        <v>24</v>
      </c>
      <c r="E4334" t="s">
        <v>15</v>
      </c>
      <c r="F4334" s="9">
        <v>0.11</v>
      </c>
      <c r="G4334" s="10">
        <v>6330</v>
      </c>
      <c r="H4334">
        <v>5.08</v>
      </c>
      <c r="I4334" s="5">
        <f>ROUND(Marketing[[#This Row],[Clicks]]*Marketing[[#This Row],[Conversion_Rate]],0)</f>
        <v>32</v>
      </c>
      <c r="J4334" s="12">
        <f>Marketing[[#This Row],[Campaign_Cost]]/Marketing[[#This Row],[Customers]]</f>
        <v>197.8125</v>
      </c>
      <c r="K4334" t="s">
        <v>51</v>
      </c>
      <c r="L4334" t="s">
        <v>50</v>
      </c>
      <c r="M4334">
        <v>288</v>
      </c>
      <c r="N4334">
        <v>4828</v>
      </c>
      <c r="O4334">
        <v>2</v>
      </c>
      <c r="P4334" t="s">
        <v>44</v>
      </c>
      <c r="Q4334" s="1">
        <v>44514</v>
      </c>
    </row>
    <row r="4335" spans="1:17" x14ac:dyDescent="0.3">
      <c r="A4335" t="s">
        <v>14</v>
      </c>
      <c r="B4335" t="s">
        <v>36</v>
      </c>
      <c r="C4335" t="s">
        <v>16</v>
      </c>
      <c r="D4335" t="s">
        <v>17</v>
      </c>
      <c r="E4335" t="s">
        <v>15</v>
      </c>
      <c r="F4335" s="9">
        <v>0.13</v>
      </c>
      <c r="G4335" s="10">
        <v>19438</v>
      </c>
      <c r="H4335">
        <v>7.6</v>
      </c>
      <c r="I4335" s="5">
        <f>ROUND(Marketing[[#This Row],[Clicks]]*Marketing[[#This Row],[Conversion_Rate]],0)</f>
        <v>57</v>
      </c>
      <c r="J4335" s="12">
        <f>Marketing[[#This Row],[Campaign_Cost]]/Marketing[[#This Row],[Customers]]</f>
        <v>341.01754385964909</v>
      </c>
      <c r="K4335" t="s">
        <v>32</v>
      </c>
      <c r="L4335" t="s">
        <v>39</v>
      </c>
      <c r="M4335">
        <v>441</v>
      </c>
      <c r="N4335">
        <v>5177</v>
      </c>
      <c r="O4335">
        <v>4</v>
      </c>
      <c r="P4335" t="s">
        <v>27</v>
      </c>
      <c r="Q4335" s="1">
        <v>44515</v>
      </c>
    </row>
    <row r="4336" spans="1:17" x14ac:dyDescent="0.3">
      <c r="A4336" t="s">
        <v>28</v>
      </c>
      <c r="B4336" t="s">
        <v>47</v>
      </c>
      <c r="C4336" t="s">
        <v>16</v>
      </c>
      <c r="D4336" t="s">
        <v>46</v>
      </c>
      <c r="E4336" t="s">
        <v>31</v>
      </c>
      <c r="F4336" s="9">
        <v>0.03</v>
      </c>
      <c r="G4336" s="10">
        <v>19037</v>
      </c>
      <c r="H4336">
        <v>3.41</v>
      </c>
      <c r="I4336" s="5">
        <f>ROUND(Marketing[[#This Row],[Clicks]]*Marketing[[#This Row],[Conversion_Rate]],0)</f>
        <v>21</v>
      </c>
      <c r="J4336" s="12">
        <f>Marketing[[#This Row],[Campaign_Cost]]/Marketing[[#This Row],[Customers]]</f>
        <v>906.52380952380952</v>
      </c>
      <c r="K4336" t="s">
        <v>25</v>
      </c>
      <c r="L4336" t="s">
        <v>26</v>
      </c>
      <c r="M4336">
        <v>710</v>
      </c>
      <c r="N4336">
        <v>6587</v>
      </c>
      <c r="O4336">
        <v>7</v>
      </c>
      <c r="P4336" t="s">
        <v>34</v>
      </c>
      <c r="Q4336" s="1">
        <v>44516</v>
      </c>
    </row>
    <row r="4337" spans="1:17" x14ac:dyDescent="0.3">
      <c r="A4337" t="s">
        <v>49</v>
      </c>
      <c r="B4337" t="s">
        <v>45</v>
      </c>
      <c r="C4337" t="s">
        <v>52</v>
      </c>
      <c r="D4337" t="s">
        <v>40</v>
      </c>
      <c r="E4337" t="s">
        <v>15</v>
      </c>
      <c r="F4337" s="9">
        <v>0.04</v>
      </c>
      <c r="G4337" s="10">
        <v>6198</v>
      </c>
      <c r="H4337">
        <v>3.53</v>
      </c>
      <c r="I4337" s="5">
        <f>ROUND(Marketing[[#This Row],[Clicks]]*Marketing[[#This Row],[Conversion_Rate]],0)</f>
        <v>24</v>
      </c>
      <c r="J4337" s="12">
        <f>Marketing[[#This Row],[Campaign_Cost]]/Marketing[[#This Row],[Customers]]</f>
        <v>258.25</v>
      </c>
      <c r="K4337" t="s">
        <v>38</v>
      </c>
      <c r="L4337" t="s">
        <v>26</v>
      </c>
      <c r="M4337">
        <v>598</v>
      </c>
      <c r="N4337">
        <v>5058</v>
      </c>
      <c r="O4337">
        <v>7</v>
      </c>
      <c r="P4337" t="s">
        <v>27</v>
      </c>
      <c r="Q4337" s="1">
        <v>44517</v>
      </c>
    </row>
    <row r="4338" spans="1:17" x14ac:dyDescent="0.3">
      <c r="A4338" t="s">
        <v>49</v>
      </c>
      <c r="B4338" t="s">
        <v>36</v>
      </c>
      <c r="C4338" t="s">
        <v>23</v>
      </c>
      <c r="D4338" t="s">
        <v>24</v>
      </c>
      <c r="E4338" t="s">
        <v>41</v>
      </c>
      <c r="F4338" s="9">
        <v>0.1</v>
      </c>
      <c r="G4338" s="10">
        <v>9734</v>
      </c>
      <c r="H4338">
        <v>5.07</v>
      </c>
      <c r="I4338" s="5">
        <f>ROUND(Marketing[[#This Row],[Clicks]]*Marketing[[#This Row],[Conversion_Rate]],0)</f>
        <v>67</v>
      </c>
      <c r="J4338" s="12">
        <f>Marketing[[#This Row],[Campaign_Cost]]/Marketing[[#This Row],[Customers]]</f>
        <v>145.28358208955223</v>
      </c>
      <c r="K4338" t="s">
        <v>25</v>
      </c>
      <c r="L4338" t="s">
        <v>33</v>
      </c>
      <c r="M4338">
        <v>674</v>
      </c>
      <c r="N4338">
        <v>2775</v>
      </c>
      <c r="O4338">
        <v>4</v>
      </c>
      <c r="P4338" t="s">
        <v>34</v>
      </c>
      <c r="Q4338" s="1">
        <v>44518</v>
      </c>
    </row>
    <row r="4339" spans="1:17" x14ac:dyDescent="0.3">
      <c r="A4339" t="s">
        <v>14</v>
      </c>
      <c r="B4339" t="s">
        <v>15</v>
      </c>
      <c r="C4339" t="s">
        <v>16</v>
      </c>
      <c r="D4339" t="s">
        <v>24</v>
      </c>
      <c r="E4339" t="s">
        <v>15</v>
      </c>
      <c r="F4339" s="9">
        <v>0.02</v>
      </c>
      <c r="G4339" s="10">
        <v>6858</v>
      </c>
      <c r="H4339">
        <v>7.83</v>
      </c>
      <c r="I4339" s="5">
        <f>ROUND(Marketing[[#This Row],[Clicks]]*Marketing[[#This Row],[Conversion_Rate]],0)</f>
        <v>3</v>
      </c>
      <c r="J4339" s="12">
        <f>Marketing[[#This Row],[Campaign_Cost]]/Marketing[[#This Row],[Customers]]</f>
        <v>2286</v>
      </c>
      <c r="K4339" t="s">
        <v>19</v>
      </c>
      <c r="L4339" t="s">
        <v>39</v>
      </c>
      <c r="M4339">
        <v>170</v>
      </c>
      <c r="N4339">
        <v>2292</v>
      </c>
      <c r="O4339">
        <v>7</v>
      </c>
      <c r="P4339" t="s">
        <v>44</v>
      </c>
      <c r="Q4339" s="1">
        <v>44519</v>
      </c>
    </row>
    <row r="4340" spans="1:17" x14ac:dyDescent="0.3">
      <c r="A4340" t="s">
        <v>49</v>
      </c>
      <c r="B4340" t="s">
        <v>36</v>
      </c>
      <c r="C4340" t="s">
        <v>16</v>
      </c>
      <c r="D4340" t="s">
        <v>17</v>
      </c>
      <c r="E4340" t="s">
        <v>41</v>
      </c>
      <c r="F4340" s="9">
        <v>0.05</v>
      </c>
      <c r="G4340" s="10">
        <v>11940</v>
      </c>
      <c r="H4340">
        <v>5.98</v>
      </c>
      <c r="I4340" s="5">
        <f>ROUND(Marketing[[#This Row],[Clicks]]*Marketing[[#This Row],[Conversion_Rate]],0)</f>
        <v>27</v>
      </c>
      <c r="J4340" s="12">
        <f>Marketing[[#This Row],[Campaign_Cost]]/Marketing[[#This Row],[Customers]]</f>
        <v>442.22222222222223</v>
      </c>
      <c r="K4340" t="s">
        <v>25</v>
      </c>
      <c r="L4340" t="s">
        <v>20</v>
      </c>
      <c r="M4340">
        <v>542</v>
      </c>
      <c r="N4340">
        <v>7472</v>
      </c>
      <c r="O4340">
        <v>2</v>
      </c>
      <c r="P4340" t="s">
        <v>44</v>
      </c>
      <c r="Q4340" s="1">
        <v>44520</v>
      </c>
    </row>
    <row r="4341" spans="1:17" x14ac:dyDescent="0.3">
      <c r="A4341" t="s">
        <v>35</v>
      </c>
      <c r="B4341" t="s">
        <v>47</v>
      </c>
      <c r="C4341" t="s">
        <v>52</v>
      </c>
      <c r="D4341" t="s">
        <v>46</v>
      </c>
      <c r="E4341" t="s">
        <v>15</v>
      </c>
      <c r="F4341" s="9">
        <v>0.15</v>
      </c>
      <c r="G4341" s="10">
        <v>13900</v>
      </c>
      <c r="H4341">
        <v>3.13</v>
      </c>
      <c r="I4341" s="5">
        <f>ROUND(Marketing[[#This Row],[Clicks]]*Marketing[[#This Row],[Conversion_Rate]],0)</f>
        <v>98</v>
      </c>
      <c r="J4341" s="12">
        <f>Marketing[[#This Row],[Campaign_Cost]]/Marketing[[#This Row],[Customers]]</f>
        <v>141.83673469387756</v>
      </c>
      <c r="K4341" t="s">
        <v>32</v>
      </c>
      <c r="L4341" t="s">
        <v>33</v>
      </c>
      <c r="M4341">
        <v>654</v>
      </c>
      <c r="N4341">
        <v>6163</v>
      </c>
      <c r="O4341">
        <v>8</v>
      </c>
      <c r="P4341" t="s">
        <v>34</v>
      </c>
      <c r="Q4341" s="1">
        <v>44521</v>
      </c>
    </row>
    <row r="4342" spans="1:17" x14ac:dyDescent="0.3">
      <c r="A4342" t="s">
        <v>35</v>
      </c>
      <c r="B4342" t="s">
        <v>29</v>
      </c>
      <c r="C4342" t="s">
        <v>23</v>
      </c>
      <c r="D4342" t="s">
        <v>40</v>
      </c>
      <c r="E4342" t="s">
        <v>15</v>
      </c>
      <c r="F4342" s="9">
        <v>0.08</v>
      </c>
      <c r="G4342" s="10">
        <v>15105</v>
      </c>
      <c r="H4342">
        <v>5.39</v>
      </c>
      <c r="I4342" s="5">
        <f>ROUND(Marketing[[#This Row],[Clicks]]*Marketing[[#This Row],[Conversion_Rate]],0)</f>
        <v>58</v>
      </c>
      <c r="J4342" s="12">
        <f>Marketing[[#This Row],[Campaign_Cost]]/Marketing[[#This Row],[Customers]]</f>
        <v>260.43103448275861</v>
      </c>
      <c r="K4342" t="s">
        <v>32</v>
      </c>
      <c r="L4342" t="s">
        <v>33</v>
      </c>
      <c r="M4342">
        <v>727</v>
      </c>
      <c r="N4342">
        <v>4790</v>
      </c>
      <c r="O4342">
        <v>3</v>
      </c>
      <c r="P4342" t="s">
        <v>34</v>
      </c>
      <c r="Q4342" s="1">
        <v>44522</v>
      </c>
    </row>
    <row r="4343" spans="1:17" x14ac:dyDescent="0.3">
      <c r="A4343" t="s">
        <v>35</v>
      </c>
      <c r="B4343" t="s">
        <v>47</v>
      </c>
      <c r="C4343" t="s">
        <v>37</v>
      </c>
      <c r="D4343" t="s">
        <v>17</v>
      </c>
      <c r="E4343" t="s">
        <v>43</v>
      </c>
      <c r="F4343" s="9">
        <v>0.08</v>
      </c>
      <c r="G4343" s="10">
        <v>18327</v>
      </c>
      <c r="H4343">
        <v>7.26</v>
      </c>
      <c r="I4343" s="5">
        <f>ROUND(Marketing[[#This Row],[Clicks]]*Marketing[[#This Row],[Conversion_Rate]],0)</f>
        <v>21</v>
      </c>
      <c r="J4343" s="12">
        <f>Marketing[[#This Row],[Campaign_Cost]]/Marketing[[#This Row],[Customers]]</f>
        <v>872.71428571428567</v>
      </c>
      <c r="K4343" t="s">
        <v>25</v>
      </c>
      <c r="L4343" t="s">
        <v>50</v>
      </c>
      <c r="M4343">
        <v>264</v>
      </c>
      <c r="N4343">
        <v>6350</v>
      </c>
      <c r="O4343">
        <v>4</v>
      </c>
      <c r="P4343" t="s">
        <v>42</v>
      </c>
      <c r="Q4343" s="1">
        <v>44523</v>
      </c>
    </row>
    <row r="4344" spans="1:17" x14ac:dyDescent="0.3">
      <c r="A4344" t="s">
        <v>22</v>
      </c>
      <c r="B4344" t="s">
        <v>15</v>
      </c>
      <c r="C4344" t="s">
        <v>30</v>
      </c>
      <c r="D4344" t="s">
        <v>46</v>
      </c>
      <c r="E4344" t="s">
        <v>41</v>
      </c>
      <c r="F4344" s="9">
        <v>0.15</v>
      </c>
      <c r="G4344" s="10">
        <v>19921</v>
      </c>
      <c r="H4344">
        <v>5.29</v>
      </c>
      <c r="I4344" s="5">
        <f>ROUND(Marketing[[#This Row],[Clicks]]*Marketing[[#This Row],[Conversion_Rate]],0)</f>
        <v>86</v>
      </c>
      <c r="J4344" s="12">
        <f>Marketing[[#This Row],[Campaign_Cost]]/Marketing[[#This Row],[Customers]]</f>
        <v>231.63953488372093</v>
      </c>
      <c r="K4344" t="s">
        <v>38</v>
      </c>
      <c r="L4344" t="s">
        <v>50</v>
      </c>
      <c r="M4344">
        <v>572</v>
      </c>
      <c r="N4344">
        <v>2694</v>
      </c>
      <c r="O4344">
        <v>3</v>
      </c>
      <c r="P4344" t="s">
        <v>34</v>
      </c>
      <c r="Q4344" s="1">
        <v>44524</v>
      </c>
    </row>
    <row r="4345" spans="1:17" x14ac:dyDescent="0.3">
      <c r="A4345" t="s">
        <v>35</v>
      </c>
      <c r="B4345" t="s">
        <v>15</v>
      </c>
      <c r="C4345" t="s">
        <v>23</v>
      </c>
      <c r="D4345" t="s">
        <v>24</v>
      </c>
      <c r="E4345" t="s">
        <v>41</v>
      </c>
      <c r="F4345" s="9">
        <v>0.05</v>
      </c>
      <c r="G4345" s="10">
        <v>14059</v>
      </c>
      <c r="H4345">
        <v>2.89</v>
      </c>
      <c r="I4345" s="5">
        <f>ROUND(Marketing[[#This Row],[Clicks]]*Marketing[[#This Row],[Conversion_Rate]],0)</f>
        <v>12</v>
      </c>
      <c r="J4345" s="12">
        <f>Marketing[[#This Row],[Campaign_Cost]]/Marketing[[#This Row],[Customers]]</f>
        <v>1171.5833333333333</v>
      </c>
      <c r="K4345" t="s">
        <v>32</v>
      </c>
      <c r="L4345" t="s">
        <v>33</v>
      </c>
      <c r="M4345">
        <v>242</v>
      </c>
      <c r="N4345">
        <v>9193</v>
      </c>
      <c r="O4345">
        <v>2</v>
      </c>
      <c r="P4345" t="s">
        <v>42</v>
      </c>
      <c r="Q4345" s="1">
        <v>44525</v>
      </c>
    </row>
    <row r="4346" spans="1:17" x14ac:dyDescent="0.3">
      <c r="A4346" t="s">
        <v>49</v>
      </c>
      <c r="B4346" t="s">
        <v>45</v>
      </c>
      <c r="C4346" t="s">
        <v>16</v>
      </c>
      <c r="D4346" t="s">
        <v>46</v>
      </c>
      <c r="E4346" t="s">
        <v>18</v>
      </c>
      <c r="F4346" s="9">
        <v>7.0000000000000007E-2</v>
      </c>
      <c r="G4346" s="10">
        <v>16366</v>
      </c>
      <c r="H4346">
        <v>4.9400000000000004</v>
      </c>
      <c r="I4346" s="5">
        <f>ROUND(Marketing[[#This Row],[Clicks]]*Marketing[[#This Row],[Conversion_Rate]],0)</f>
        <v>34</v>
      </c>
      <c r="J4346" s="12">
        <f>Marketing[[#This Row],[Campaign_Cost]]/Marketing[[#This Row],[Customers]]</f>
        <v>481.35294117647061</v>
      </c>
      <c r="K4346" t="s">
        <v>32</v>
      </c>
      <c r="L4346" t="s">
        <v>33</v>
      </c>
      <c r="M4346">
        <v>480</v>
      </c>
      <c r="N4346">
        <v>8552</v>
      </c>
      <c r="O4346">
        <v>10</v>
      </c>
      <c r="P4346" t="s">
        <v>42</v>
      </c>
      <c r="Q4346" s="1">
        <v>44526</v>
      </c>
    </row>
    <row r="4347" spans="1:17" x14ac:dyDescent="0.3">
      <c r="A4347" t="s">
        <v>28</v>
      </c>
      <c r="B4347" t="s">
        <v>29</v>
      </c>
      <c r="C4347" t="s">
        <v>23</v>
      </c>
      <c r="D4347" t="s">
        <v>40</v>
      </c>
      <c r="E4347" t="s">
        <v>48</v>
      </c>
      <c r="F4347" s="9">
        <v>0.11</v>
      </c>
      <c r="G4347" s="10">
        <v>10502</v>
      </c>
      <c r="H4347">
        <v>3.16</v>
      </c>
      <c r="I4347" s="5">
        <f>ROUND(Marketing[[#This Row],[Clicks]]*Marketing[[#This Row],[Conversion_Rate]],0)</f>
        <v>30</v>
      </c>
      <c r="J4347" s="12">
        <f>Marketing[[#This Row],[Campaign_Cost]]/Marketing[[#This Row],[Customers]]</f>
        <v>350.06666666666666</v>
      </c>
      <c r="K4347" t="s">
        <v>51</v>
      </c>
      <c r="L4347" t="s">
        <v>50</v>
      </c>
      <c r="M4347">
        <v>272</v>
      </c>
      <c r="N4347">
        <v>2246</v>
      </c>
      <c r="O4347">
        <v>9</v>
      </c>
      <c r="P4347" t="s">
        <v>34</v>
      </c>
      <c r="Q4347" s="1">
        <v>44527</v>
      </c>
    </row>
    <row r="4348" spans="1:17" x14ac:dyDescent="0.3">
      <c r="A4348" t="s">
        <v>28</v>
      </c>
      <c r="B4348" t="s">
        <v>15</v>
      </c>
      <c r="C4348" t="s">
        <v>52</v>
      </c>
      <c r="D4348" t="s">
        <v>40</v>
      </c>
      <c r="E4348" t="s">
        <v>18</v>
      </c>
      <c r="F4348" s="9">
        <v>0.13</v>
      </c>
      <c r="G4348" s="10">
        <v>10483</v>
      </c>
      <c r="H4348">
        <v>3.66</v>
      </c>
      <c r="I4348" s="5">
        <f>ROUND(Marketing[[#This Row],[Clicks]]*Marketing[[#This Row],[Conversion_Rate]],0)</f>
        <v>91</v>
      </c>
      <c r="J4348" s="12">
        <f>Marketing[[#This Row],[Campaign_Cost]]/Marketing[[#This Row],[Customers]]</f>
        <v>115.1978021978022</v>
      </c>
      <c r="K4348" t="s">
        <v>38</v>
      </c>
      <c r="L4348" t="s">
        <v>20</v>
      </c>
      <c r="M4348">
        <v>700</v>
      </c>
      <c r="N4348">
        <v>6587</v>
      </c>
      <c r="O4348">
        <v>2</v>
      </c>
      <c r="P4348" t="s">
        <v>34</v>
      </c>
      <c r="Q4348" s="1">
        <v>44528</v>
      </c>
    </row>
    <row r="4349" spans="1:17" x14ac:dyDescent="0.3">
      <c r="A4349" t="s">
        <v>22</v>
      </c>
      <c r="B4349" t="s">
        <v>45</v>
      </c>
      <c r="C4349" t="s">
        <v>16</v>
      </c>
      <c r="D4349" t="s">
        <v>40</v>
      </c>
      <c r="E4349" t="s">
        <v>43</v>
      </c>
      <c r="F4349" s="9">
        <v>0.08</v>
      </c>
      <c r="G4349" s="10">
        <v>14518</v>
      </c>
      <c r="H4349">
        <v>5.51</v>
      </c>
      <c r="I4349" s="5">
        <f>ROUND(Marketing[[#This Row],[Clicks]]*Marketing[[#This Row],[Conversion_Rate]],0)</f>
        <v>27</v>
      </c>
      <c r="J4349" s="12">
        <f>Marketing[[#This Row],[Campaign_Cost]]/Marketing[[#This Row],[Customers]]</f>
        <v>537.7037037037037</v>
      </c>
      <c r="K4349" t="s">
        <v>51</v>
      </c>
      <c r="L4349" t="s">
        <v>33</v>
      </c>
      <c r="M4349">
        <v>335</v>
      </c>
      <c r="N4349">
        <v>1655</v>
      </c>
      <c r="O4349">
        <v>7</v>
      </c>
      <c r="P4349" t="s">
        <v>27</v>
      </c>
      <c r="Q4349" s="1">
        <v>44529</v>
      </c>
    </row>
    <row r="4350" spans="1:17" x14ac:dyDescent="0.3">
      <c r="A4350" t="s">
        <v>14</v>
      </c>
      <c r="B4350" t="s">
        <v>29</v>
      </c>
      <c r="C4350" t="s">
        <v>30</v>
      </c>
      <c r="D4350" t="s">
        <v>40</v>
      </c>
      <c r="E4350" t="s">
        <v>31</v>
      </c>
      <c r="F4350" s="9">
        <v>0.06</v>
      </c>
      <c r="G4350" s="10">
        <v>6885</v>
      </c>
      <c r="H4350">
        <v>2.95</v>
      </c>
      <c r="I4350" s="5">
        <f>ROUND(Marketing[[#This Row],[Clicks]]*Marketing[[#This Row],[Conversion_Rate]],0)</f>
        <v>56</v>
      </c>
      <c r="J4350" s="12">
        <f>Marketing[[#This Row],[Campaign_Cost]]/Marketing[[#This Row],[Customers]]</f>
        <v>122.94642857142857</v>
      </c>
      <c r="K4350" t="s">
        <v>32</v>
      </c>
      <c r="L4350" t="s">
        <v>50</v>
      </c>
      <c r="M4350">
        <v>940</v>
      </c>
      <c r="N4350">
        <v>7012</v>
      </c>
      <c r="O4350">
        <v>8</v>
      </c>
      <c r="P4350" t="s">
        <v>34</v>
      </c>
      <c r="Q4350" s="1">
        <v>44530</v>
      </c>
    </row>
    <row r="4351" spans="1:17" x14ac:dyDescent="0.3">
      <c r="A4351" t="s">
        <v>35</v>
      </c>
      <c r="B4351" t="s">
        <v>45</v>
      </c>
      <c r="C4351" t="s">
        <v>52</v>
      </c>
      <c r="D4351" t="s">
        <v>17</v>
      </c>
      <c r="E4351" t="s">
        <v>31</v>
      </c>
      <c r="F4351" s="9">
        <v>0.13</v>
      </c>
      <c r="G4351" s="10">
        <v>14732</v>
      </c>
      <c r="H4351">
        <v>6.72</v>
      </c>
      <c r="I4351" s="5">
        <f>ROUND(Marketing[[#This Row],[Clicks]]*Marketing[[#This Row],[Conversion_Rate]],0)</f>
        <v>76</v>
      </c>
      <c r="J4351" s="12">
        <f>Marketing[[#This Row],[Campaign_Cost]]/Marketing[[#This Row],[Customers]]</f>
        <v>193.84210526315789</v>
      </c>
      <c r="K4351" t="s">
        <v>19</v>
      </c>
      <c r="L4351" t="s">
        <v>26</v>
      </c>
      <c r="M4351">
        <v>584</v>
      </c>
      <c r="N4351">
        <v>5133</v>
      </c>
      <c r="O4351">
        <v>4</v>
      </c>
      <c r="P4351" t="s">
        <v>27</v>
      </c>
      <c r="Q4351" s="1">
        <v>44531</v>
      </c>
    </row>
    <row r="4352" spans="1:17" x14ac:dyDescent="0.3">
      <c r="A4352" t="s">
        <v>22</v>
      </c>
      <c r="B4352" t="s">
        <v>15</v>
      </c>
      <c r="C4352" t="s">
        <v>16</v>
      </c>
      <c r="D4352" t="s">
        <v>17</v>
      </c>
      <c r="E4352" t="s">
        <v>18</v>
      </c>
      <c r="F4352" s="9">
        <v>0.02</v>
      </c>
      <c r="G4352" s="10">
        <v>16358</v>
      </c>
      <c r="H4352">
        <v>2.44</v>
      </c>
      <c r="I4352" s="5">
        <f>ROUND(Marketing[[#This Row],[Clicks]]*Marketing[[#This Row],[Conversion_Rate]],0)</f>
        <v>14</v>
      </c>
      <c r="J4352" s="12">
        <f>Marketing[[#This Row],[Campaign_Cost]]/Marketing[[#This Row],[Customers]]</f>
        <v>1168.4285714285713</v>
      </c>
      <c r="K4352" t="s">
        <v>38</v>
      </c>
      <c r="L4352" t="s">
        <v>50</v>
      </c>
      <c r="M4352">
        <v>706</v>
      </c>
      <c r="N4352">
        <v>9267</v>
      </c>
      <c r="O4352">
        <v>1</v>
      </c>
      <c r="P4352" t="s">
        <v>34</v>
      </c>
      <c r="Q4352" s="1">
        <v>44532</v>
      </c>
    </row>
    <row r="4353" spans="1:17" x14ac:dyDescent="0.3">
      <c r="A4353" t="s">
        <v>22</v>
      </c>
      <c r="B4353" t="s">
        <v>47</v>
      </c>
      <c r="C4353" t="s">
        <v>37</v>
      </c>
      <c r="D4353" t="s">
        <v>46</v>
      </c>
      <c r="E4353" t="s">
        <v>48</v>
      </c>
      <c r="F4353" s="9">
        <v>0.03</v>
      </c>
      <c r="G4353" s="10">
        <v>5909</v>
      </c>
      <c r="H4353">
        <v>6.5</v>
      </c>
      <c r="I4353" s="5">
        <f>ROUND(Marketing[[#This Row],[Clicks]]*Marketing[[#This Row],[Conversion_Rate]],0)</f>
        <v>18</v>
      </c>
      <c r="J4353" s="12">
        <f>Marketing[[#This Row],[Campaign_Cost]]/Marketing[[#This Row],[Customers]]</f>
        <v>328.27777777777777</v>
      </c>
      <c r="K4353" t="s">
        <v>25</v>
      </c>
      <c r="L4353" t="s">
        <v>39</v>
      </c>
      <c r="M4353">
        <v>604</v>
      </c>
      <c r="N4353">
        <v>3648</v>
      </c>
      <c r="O4353">
        <v>6</v>
      </c>
      <c r="P4353" t="s">
        <v>21</v>
      </c>
      <c r="Q4353" s="1">
        <v>44533</v>
      </c>
    </row>
    <row r="4354" spans="1:17" x14ac:dyDescent="0.3">
      <c r="A4354" t="s">
        <v>14</v>
      </c>
      <c r="B4354" t="s">
        <v>29</v>
      </c>
      <c r="C4354" t="s">
        <v>37</v>
      </c>
      <c r="D4354" t="s">
        <v>24</v>
      </c>
      <c r="E4354" t="s">
        <v>41</v>
      </c>
      <c r="F4354" s="9">
        <v>0.14000000000000001</v>
      </c>
      <c r="G4354" s="10">
        <v>7696</v>
      </c>
      <c r="H4354">
        <v>5.6</v>
      </c>
      <c r="I4354" s="5">
        <f>ROUND(Marketing[[#This Row],[Clicks]]*Marketing[[#This Row],[Conversion_Rate]],0)</f>
        <v>135</v>
      </c>
      <c r="J4354" s="12">
        <f>Marketing[[#This Row],[Campaign_Cost]]/Marketing[[#This Row],[Customers]]</f>
        <v>57.007407407407406</v>
      </c>
      <c r="K4354" t="s">
        <v>25</v>
      </c>
      <c r="L4354" t="s">
        <v>20</v>
      </c>
      <c r="M4354">
        <v>965</v>
      </c>
      <c r="N4354">
        <v>6424</v>
      </c>
      <c r="O4354">
        <v>5</v>
      </c>
      <c r="P4354" t="s">
        <v>42</v>
      </c>
      <c r="Q4354" s="1">
        <v>44534</v>
      </c>
    </row>
    <row r="4355" spans="1:17" x14ac:dyDescent="0.3">
      <c r="A4355" t="s">
        <v>22</v>
      </c>
      <c r="B4355" t="s">
        <v>45</v>
      </c>
      <c r="C4355" t="s">
        <v>23</v>
      </c>
      <c r="D4355" t="s">
        <v>40</v>
      </c>
      <c r="E4355" t="s">
        <v>18</v>
      </c>
      <c r="F4355" s="9">
        <v>0.02</v>
      </c>
      <c r="G4355" s="10">
        <v>16003</v>
      </c>
      <c r="H4355">
        <v>6.85</v>
      </c>
      <c r="I4355" s="5">
        <f>ROUND(Marketing[[#This Row],[Clicks]]*Marketing[[#This Row],[Conversion_Rate]],0)</f>
        <v>17</v>
      </c>
      <c r="J4355" s="12">
        <f>Marketing[[#This Row],[Campaign_Cost]]/Marketing[[#This Row],[Customers]]</f>
        <v>941.35294117647061</v>
      </c>
      <c r="K4355" t="s">
        <v>25</v>
      </c>
      <c r="L4355" t="s">
        <v>20</v>
      </c>
      <c r="M4355">
        <v>852</v>
      </c>
      <c r="N4355">
        <v>7696</v>
      </c>
      <c r="O4355">
        <v>5</v>
      </c>
      <c r="P4355" t="s">
        <v>44</v>
      </c>
      <c r="Q4355" s="1">
        <v>44535</v>
      </c>
    </row>
    <row r="4356" spans="1:17" x14ac:dyDescent="0.3">
      <c r="A4356" t="s">
        <v>22</v>
      </c>
      <c r="B4356" t="s">
        <v>15</v>
      </c>
      <c r="C4356" t="s">
        <v>52</v>
      </c>
      <c r="D4356" t="s">
        <v>24</v>
      </c>
      <c r="E4356" t="s">
        <v>48</v>
      </c>
      <c r="F4356" s="9">
        <v>0.02</v>
      </c>
      <c r="G4356" s="10">
        <v>17711</v>
      </c>
      <c r="H4356">
        <v>6.1</v>
      </c>
      <c r="I4356" s="5">
        <f>ROUND(Marketing[[#This Row],[Clicks]]*Marketing[[#This Row],[Conversion_Rate]],0)</f>
        <v>10</v>
      </c>
      <c r="J4356" s="12">
        <f>Marketing[[#This Row],[Campaign_Cost]]/Marketing[[#This Row],[Customers]]</f>
        <v>1771.1</v>
      </c>
      <c r="K4356" t="s">
        <v>38</v>
      </c>
      <c r="L4356" t="s">
        <v>26</v>
      </c>
      <c r="M4356">
        <v>512</v>
      </c>
      <c r="N4356">
        <v>1895</v>
      </c>
      <c r="O4356">
        <v>10</v>
      </c>
      <c r="P4356" t="s">
        <v>44</v>
      </c>
      <c r="Q4356" s="1">
        <v>44536</v>
      </c>
    </row>
    <row r="4357" spans="1:17" x14ac:dyDescent="0.3">
      <c r="A4357" t="s">
        <v>14</v>
      </c>
      <c r="B4357" t="s">
        <v>15</v>
      </c>
      <c r="C4357" t="s">
        <v>30</v>
      </c>
      <c r="D4357" t="s">
        <v>40</v>
      </c>
      <c r="E4357" t="s">
        <v>31</v>
      </c>
      <c r="F4357" s="9">
        <v>0.09</v>
      </c>
      <c r="G4357" s="10">
        <v>10556</v>
      </c>
      <c r="H4357">
        <v>2.02</v>
      </c>
      <c r="I4357" s="5">
        <f>ROUND(Marketing[[#This Row],[Clicks]]*Marketing[[#This Row],[Conversion_Rate]],0)</f>
        <v>31</v>
      </c>
      <c r="J4357" s="12">
        <f>Marketing[[#This Row],[Campaign_Cost]]/Marketing[[#This Row],[Customers]]</f>
        <v>340.51612903225805</v>
      </c>
      <c r="K4357" t="s">
        <v>51</v>
      </c>
      <c r="L4357" t="s">
        <v>33</v>
      </c>
      <c r="M4357">
        <v>346</v>
      </c>
      <c r="N4357">
        <v>9479</v>
      </c>
      <c r="O4357">
        <v>7</v>
      </c>
      <c r="P4357" t="s">
        <v>44</v>
      </c>
      <c r="Q4357" s="1">
        <v>44537</v>
      </c>
    </row>
    <row r="4358" spans="1:17" x14ac:dyDescent="0.3">
      <c r="A4358" t="s">
        <v>14</v>
      </c>
      <c r="B4358" t="s">
        <v>36</v>
      </c>
      <c r="C4358" t="s">
        <v>16</v>
      </c>
      <c r="D4358" t="s">
        <v>24</v>
      </c>
      <c r="E4358" t="s">
        <v>48</v>
      </c>
      <c r="F4358" s="9">
        <v>0.13</v>
      </c>
      <c r="G4358" s="10">
        <v>5990</v>
      </c>
      <c r="H4358">
        <v>5.67</v>
      </c>
      <c r="I4358" s="5">
        <f>ROUND(Marketing[[#This Row],[Clicks]]*Marketing[[#This Row],[Conversion_Rate]],0)</f>
        <v>73</v>
      </c>
      <c r="J4358" s="12">
        <f>Marketing[[#This Row],[Campaign_Cost]]/Marketing[[#This Row],[Customers]]</f>
        <v>82.054794520547944</v>
      </c>
      <c r="K4358" t="s">
        <v>25</v>
      </c>
      <c r="L4358" t="s">
        <v>39</v>
      </c>
      <c r="M4358">
        <v>558</v>
      </c>
      <c r="N4358">
        <v>3361</v>
      </c>
      <c r="O4358">
        <v>1</v>
      </c>
      <c r="P4358" t="s">
        <v>42</v>
      </c>
      <c r="Q4358" s="1">
        <v>44538</v>
      </c>
    </row>
    <row r="4359" spans="1:17" x14ac:dyDescent="0.3">
      <c r="A4359" t="s">
        <v>28</v>
      </c>
      <c r="B4359" t="s">
        <v>45</v>
      </c>
      <c r="C4359" t="s">
        <v>23</v>
      </c>
      <c r="D4359" t="s">
        <v>46</v>
      </c>
      <c r="E4359" t="s">
        <v>48</v>
      </c>
      <c r="F4359" s="9">
        <v>0.08</v>
      </c>
      <c r="G4359" s="10">
        <v>15315</v>
      </c>
      <c r="H4359">
        <v>6.98</v>
      </c>
      <c r="I4359" s="5">
        <f>ROUND(Marketing[[#This Row],[Clicks]]*Marketing[[#This Row],[Conversion_Rate]],0)</f>
        <v>72</v>
      </c>
      <c r="J4359" s="12">
        <f>Marketing[[#This Row],[Campaign_Cost]]/Marketing[[#This Row],[Customers]]</f>
        <v>212.70833333333334</v>
      </c>
      <c r="K4359" t="s">
        <v>32</v>
      </c>
      <c r="L4359" t="s">
        <v>39</v>
      </c>
      <c r="M4359">
        <v>901</v>
      </c>
      <c r="N4359">
        <v>4239</v>
      </c>
      <c r="O4359">
        <v>1</v>
      </c>
      <c r="P4359" t="s">
        <v>21</v>
      </c>
      <c r="Q4359" s="1">
        <v>44539</v>
      </c>
    </row>
    <row r="4360" spans="1:17" x14ac:dyDescent="0.3">
      <c r="A4360" t="s">
        <v>49</v>
      </c>
      <c r="B4360" t="s">
        <v>29</v>
      </c>
      <c r="C4360" t="s">
        <v>30</v>
      </c>
      <c r="D4360" t="s">
        <v>46</v>
      </c>
      <c r="E4360" t="s">
        <v>31</v>
      </c>
      <c r="F4360" s="9">
        <v>0.14000000000000001</v>
      </c>
      <c r="G4360" s="10">
        <v>11662</v>
      </c>
      <c r="H4360">
        <v>6.85</v>
      </c>
      <c r="I4360" s="5">
        <f>ROUND(Marketing[[#This Row],[Clicks]]*Marketing[[#This Row],[Conversion_Rate]],0)</f>
        <v>87</v>
      </c>
      <c r="J4360" s="12">
        <f>Marketing[[#This Row],[Campaign_Cost]]/Marketing[[#This Row],[Customers]]</f>
        <v>134.04597701149424</v>
      </c>
      <c r="K4360" t="s">
        <v>25</v>
      </c>
      <c r="L4360" t="s">
        <v>50</v>
      </c>
      <c r="M4360">
        <v>620</v>
      </c>
      <c r="N4360">
        <v>9866</v>
      </c>
      <c r="O4360">
        <v>4</v>
      </c>
      <c r="P4360" t="s">
        <v>34</v>
      </c>
      <c r="Q4360" s="1">
        <v>44540</v>
      </c>
    </row>
    <row r="4361" spans="1:17" x14ac:dyDescent="0.3">
      <c r="A4361" t="s">
        <v>35</v>
      </c>
      <c r="B4361" t="s">
        <v>47</v>
      </c>
      <c r="C4361" t="s">
        <v>37</v>
      </c>
      <c r="D4361" t="s">
        <v>46</v>
      </c>
      <c r="E4361" t="s">
        <v>31</v>
      </c>
      <c r="F4361" s="9">
        <v>7.0000000000000007E-2</v>
      </c>
      <c r="G4361" s="10">
        <v>15406</v>
      </c>
      <c r="H4361">
        <v>4.76</v>
      </c>
      <c r="I4361" s="5">
        <f>ROUND(Marketing[[#This Row],[Clicks]]*Marketing[[#This Row],[Conversion_Rate]],0)</f>
        <v>28</v>
      </c>
      <c r="J4361" s="12">
        <f>Marketing[[#This Row],[Campaign_Cost]]/Marketing[[#This Row],[Customers]]</f>
        <v>550.21428571428567</v>
      </c>
      <c r="K4361" t="s">
        <v>32</v>
      </c>
      <c r="L4361" t="s">
        <v>26</v>
      </c>
      <c r="M4361">
        <v>404</v>
      </c>
      <c r="N4361">
        <v>2833</v>
      </c>
      <c r="O4361">
        <v>9</v>
      </c>
      <c r="P4361" t="s">
        <v>44</v>
      </c>
      <c r="Q4361" s="1">
        <v>44541</v>
      </c>
    </row>
    <row r="4362" spans="1:17" x14ac:dyDescent="0.3">
      <c r="A4362" t="s">
        <v>28</v>
      </c>
      <c r="B4362" t="s">
        <v>47</v>
      </c>
      <c r="C4362" t="s">
        <v>16</v>
      </c>
      <c r="D4362" t="s">
        <v>17</v>
      </c>
      <c r="E4362" t="s">
        <v>31</v>
      </c>
      <c r="F4362" s="9">
        <v>0.14000000000000001</v>
      </c>
      <c r="G4362" s="10">
        <v>14127</v>
      </c>
      <c r="H4362">
        <v>7.49</v>
      </c>
      <c r="I4362" s="5">
        <f>ROUND(Marketing[[#This Row],[Clicks]]*Marketing[[#This Row],[Conversion_Rate]],0)</f>
        <v>117</v>
      </c>
      <c r="J4362" s="12">
        <f>Marketing[[#This Row],[Campaign_Cost]]/Marketing[[#This Row],[Customers]]</f>
        <v>120.74358974358974</v>
      </c>
      <c r="K4362" t="s">
        <v>25</v>
      </c>
      <c r="L4362" t="s">
        <v>26</v>
      </c>
      <c r="M4362">
        <v>836</v>
      </c>
      <c r="N4362">
        <v>6330</v>
      </c>
      <c r="O4362">
        <v>5</v>
      </c>
      <c r="P4362" t="s">
        <v>42</v>
      </c>
      <c r="Q4362" s="1">
        <v>44542</v>
      </c>
    </row>
    <row r="4363" spans="1:17" x14ac:dyDescent="0.3">
      <c r="A4363" t="s">
        <v>28</v>
      </c>
      <c r="B4363" t="s">
        <v>45</v>
      </c>
      <c r="C4363" t="s">
        <v>52</v>
      </c>
      <c r="D4363" t="s">
        <v>24</v>
      </c>
      <c r="E4363" t="s">
        <v>15</v>
      </c>
      <c r="F4363" s="9">
        <v>0.03</v>
      </c>
      <c r="G4363" s="10">
        <v>15121</v>
      </c>
      <c r="H4363">
        <v>7.83</v>
      </c>
      <c r="I4363" s="5">
        <f>ROUND(Marketing[[#This Row],[Clicks]]*Marketing[[#This Row],[Conversion_Rate]],0)</f>
        <v>6</v>
      </c>
      <c r="J4363" s="12">
        <f>Marketing[[#This Row],[Campaign_Cost]]/Marketing[[#This Row],[Customers]]</f>
        <v>2520.1666666666665</v>
      </c>
      <c r="K4363" t="s">
        <v>32</v>
      </c>
      <c r="L4363" t="s">
        <v>50</v>
      </c>
      <c r="M4363">
        <v>186</v>
      </c>
      <c r="N4363">
        <v>8709</v>
      </c>
      <c r="O4363">
        <v>3</v>
      </c>
      <c r="P4363" t="s">
        <v>21</v>
      </c>
      <c r="Q4363" s="1">
        <v>44543</v>
      </c>
    </row>
    <row r="4364" spans="1:17" x14ac:dyDescent="0.3">
      <c r="A4364" t="s">
        <v>49</v>
      </c>
      <c r="B4364" t="s">
        <v>45</v>
      </c>
      <c r="C4364" t="s">
        <v>16</v>
      </c>
      <c r="D4364" t="s">
        <v>24</v>
      </c>
      <c r="E4364" t="s">
        <v>41</v>
      </c>
      <c r="F4364" s="9">
        <v>0.01</v>
      </c>
      <c r="G4364" s="10">
        <v>7350</v>
      </c>
      <c r="H4364">
        <v>4.3899999999999997</v>
      </c>
      <c r="I4364" s="5">
        <f>ROUND(Marketing[[#This Row],[Clicks]]*Marketing[[#This Row],[Conversion_Rate]],0)</f>
        <v>5</v>
      </c>
      <c r="J4364" s="12">
        <f>Marketing[[#This Row],[Campaign_Cost]]/Marketing[[#This Row],[Customers]]</f>
        <v>1470</v>
      </c>
      <c r="K4364" t="s">
        <v>19</v>
      </c>
      <c r="L4364" t="s">
        <v>20</v>
      </c>
      <c r="M4364">
        <v>482</v>
      </c>
      <c r="N4364">
        <v>6865</v>
      </c>
      <c r="O4364">
        <v>2</v>
      </c>
      <c r="P4364" t="s">
        <v>27</v>
      </c>
      <c r="Q4364" s="1">
        <v>44544</v>
      </c>
    </row>
    <row r="4365" spans="1:17" x14ac:dyDescent="0.3">
      <c r="A4365" t="s">
        <v>22</v>
      </c>
      <c r="B4365" t="s">
        <v>15</v>
      </c>
      <c r="C4365" t="s">
        <v>16</v>
      </c>
      <c r="D4365" t="s">
        <v>24</v>
      </c>
      <c r="E4365" t="s">
        <v>43</v>
      </c>
      <c r="F4365" s="9">
        <v>7.0000000000000007E-2</v>
      </c>
      <c r="G4365" s="10">
        <v>6036</v>
      </c>
      <c r="H4365">
        <v>2.84</v>
      </c>
      <c r="I4365" s="5">
        <f>ROUND(Marketing[[#This Row],[Clicks]]*Marketing[[#This Row],[Conversion_Rate]],0)</f>
        <v>54</v>
      </c>
      <c r="J4365" s="12">
        <f>Marketing[[#This Row],[Campaign_Cost]]/Marketing[[#This Row],[Customers]]</f>
        <v>111.77777777777777</v>
      </c>
      <c r="K4365" t="s">
        <v>32</v>
      </c>
      <c r="L4365" t="s">
        <v>20</v>
      </c>
      <c r="M4365">
        <v>776</v>
      </c>
      <c r="N4365">
        <v>8045</v>
      </c>
      <c r="O4365">
        <v>10</v>
      </c>
      <c r="P4365" t="s">
        <v>42</v>
      </c>
      <c r="Q4365" s="1">
        <v>44545</v>
      </c>
    </row>
    <row r="4366" spans="1:17" x14ac:dyDescent="0.3">
      <c r="A4366" t="s">
        <v>28</v>
      </c>
      <c r="B4366" t="s">
        <v>47</v>
      </c>
      <c r="C4366" t="s">
        <v>23</v>
      </c>
      <c r="D4366" t="s">
        <v>46</v>
      </c>
      <c r="E4366" t="s">
        <v>48</v>
      </c>
      <c r="F4366" s="9">
        <v>0.04</v>
      </c>
      <c r="G4366" s="10">
        <v>15572</v>
      </c>
      <c r="H4366">
        <v>5.98</v>
      </c>
      <c r="I4366" s="5">
        <f>ROUND(Marketing[[#This Row],[Clicks]]*Marketing[[#This Row],[Conversion_Rate]],0)</f>
        <v>33</v>
      </c>
      <c r="J4366" s="12">
        <f>Marketing[[#This Row],[Campaign_Cost]]/Marketing[[#This Row],[Customers]]</f>
        <v>471.87878787878788</v>
      </c>
      <c r="K4366" t="s">
        <v>32</v>
      </c>
      <c r="L4366" t="s">
        <v>39</v>
      </c>
      <c r="M4366">
        <v>828</v>
      </c>
      <c r="N4366">
        <v>5150</v>
      </c>
      <c r="O4366">
        <v>4</v>
      </c>
      <c r="P4366" t="s">
        <v>44</v>
      </c>
      <c r="Q4366" s="1">
        <v>44546</v>
      </c>
    </row>
    <row r="4367" spans="1:17" x14ac:dyDescent="0.3">
      <c r="A4367" t="s">
        <v>35</v>
      </c>
      <c r="B4367" t="s">
        <v>29</v>
      </c>
      <c r="C4367" t="s">
        <v>30</v>
      </c>
      <c r="D4367" t="s">
        <v>17</v>
      </c>
      <c r="E4367" t="s">
        <v>43</v>
      </c>
      <c r="F4367" s="9">
        <v>0.02</v>
      </c>
      <c r="G4367" s="10">
        <v>18550</v>
      </c>
      <c r="H4367">
        <v>6.97</v>
      </c>
      <c r="I4367" s="5">
        <f>ROUND(Marketing[[#This Row],[Clicks]]*Marketing[[#This Row],[Conversion_Rate]],0)</f>
        <v>13</v>
      </c>
      <c r="J4367" s="12">
        <f>Marketing[[#This Row],[Campaign_Cost]]/Marketing[[#This Row],[Customers]]</f>
        <v>1426.9230769230769</v>
      </c>
      <c r="K4367" t="s">
        <v>51</v>
      </c>
      <c r="L4367" t="s">
        <v>39</v>
      </c>
      <c r="M4367">
        <v>660</v>
      </c>
      <c r="N4367">
        <v>5450</v>
      </c>
      <c r="O4367">
        <v>8</v>
      </c>
      <c r="P4367" t="s">
        <v>34</v>
      </c>
      <c r="Q4367" s="1">
        <v>44547</v>
      </c>
    </row>
    <row r="4368" spans="1:17" x14ac:dyDescent="0.3">
      <c r="A4368" t="s">
        <v>22</v>
      </c>
      <c r="B4368" t="s">
        <v>29</v>
      </c>
      <c r="C4368" t="s">
        <v>37</v>
      </c>
      <c r="D4368" t="s">
        <v>46</v>
      </c>
      <c r="E4368" t="s">
        <v>15</v>
      </c>
      <c r="F4368" s="9">
        <v>0.02</v>
      </c>
      <c r="G4368" s="10">
        <v>19133</v>
      </c>
      <c r="H4368">
        <v>2.74</v>
      </c>
      <c r="I4368" s="5">
        <f>ROUND(Marketing[[#This Row],[Clicks]]*Marketing[[#This Row],[Conversion_Rate]],0)</f>
        <v>14</v>
      </c>
      <c r="J4368" s="12">
        <f>Marketing[[#This Row],[Campaign_Cost]]/Marketing[[#This Row],[Customers]]</f>
        <v>1366.6428571428571</v>
      </c>
      <c r="K4368" t="s">
        <v>51</v>
      </c>
      <c r="L4368" t="s">
        <v>26</v>
      </c>
      <c r="M4368">
        <v>676</v>
      </c>
      <c r="N4368">
        <v>6131</v>
      </c>
      <c r="O4368">
        <v>10</v>
      </c>
      <c r="P4368" t="s">
        <v>27</v>
      </c>
      <c r="Q4368" s="1">
        <v>44548</v>
      </c>
    </row>
    <row r="4369" spans="1:17" x14ac:dyDescent="0.3">
      <c r="A4369" t="s">
        <v>14</v>
      </c>
      <c r="B4369" t="s">
        <v>36</v>
      </c>
      <c r="C4369" t="s">
        <v>52</v>
      </c>
      <c r="D4369" t="s">
        <v>40</v>
      </c>
      <c r="E4369" t="s">
        <v>48</v>
      </c>
      <c r="F4369" s="9">
        <v>0.06</v>
      </c>
      <c r="G4369" s="10">
        <v>10097</v>
      </c>
      <c r="H4369">
        <v>7.78</v>
      </c>
      <c r="I4369" s="5">
        <f>ROUND(Marketing[[#This Row],[Clicks]]*Marketing[[#This Row],[Conversion_Rate]],0)</f>
        <v>8</v>
      </c>
      <c r="J4369" s="12">
        <f>Marketing[[#This Row],[Campaign_Cost]]/Marketing[[#This Row],[Customers]]</f>
        <v>1262.125</v>
      </c>
      <c r="K4369" t="s">
        <v>32</v>
      </c>
      <c r="L4369" t="s">
        <v>33</v>
      </c>
      <c r="M4369">
        <v>125</v>
      </c>
      <c r="N4369">
        <v>6642</v>
      </c>
      <c r="O4369">
        <v>3</v>
      </c>
      <c r="P4369" t="s">
        <v>44</v>
      </c>
      <c r="Q4369" s="1">
        <v>44549</v>
      </c>
    </row>
    <row r="4370" spans="1:17" x14ac:dyDescent="0.3">
      <c r="A4370" t="s">
        <v>14</v>
      </c>
      <c r="B4370" t="s">
        <v>29</v>
      </c>
      <c r="C4370" t="s">
        <v>37</v>
      </c>
      <c r="D4370" t="s">
        <v>46</v>
      </c>
      <c r="E4370" t="s">
        <v>43</v>
      </c>
      <c r="F4370" s="9">
        <v>0.05</v>
      </c>
      <c r="G4370" s="10">
        <v>11499</v>
      </c>
      <c r="H4370">
        <v>2.76</v>
      </c>
      <c r="I4370" s="5">
        <f>ROUND(Marketing[[#This Row],[Clicks]]*Marketing[[#This Row],[Conversion_Rate]],0)</f>
        <v>45</v>
      </c>
      <c r="J4370" s="12">
        <f>Marketing[[#This Row],[Campaign_Cost]]/Marketing[[#This Row],[Customers]]</f>
        <v>255.53333333333333</v>
      </c>
      <c r="K4370" t="s">
        <v>51</v>
      </c>
      <c r="L4370" t="s">
        <v>39</v>
      </c>
      <c r="M4370">
        <v>906</v>
      </c>
      <c r="N4370">
        <v>5525</v>
      </c>
      <c r="O4370">
        <v>1</v>
      </c>
      <c r="P4370" t="s">
        <v>21</v>
      </c>
      <c r="Q4370" s="1">
        <v>44550</v>
      </c>
    </row>
    <row r="4371" spans="1:17" x14ac:dyDescent="0.3">
      <c r="A4371" t="s">
        <v>49</v>
      </c>
      <c r="B4371" t="s">
        <v>29</v>
      </c>
      <c r="C4371" t="s">
        <v>23</v>
      </c>
      <c r="D4371" t="s">
        <v>24</v>
      </c>
      <c r="E4371" t="s">
        <v>41</v>
      </c>
      <c r="F4371" s="9">
        <v>0.12</v>
      </c>
      <c r="G4371" s="10">
        <v>18708</v>
      </c>
      <c r="H4371">
        <v>4.34</v>
      </c>
      <c r="I4371" s="5">
        <f>ROUND(Marketing[[#This Row],[Clicks]]*Marketing[[#This Row],[Conversion_Rate]],0)</f>
        <v>75</v>
      </c>
      <c r="J4371" s="12">
        <f>Marketing[[#This Row],[Campaign_Cost]]/Marketing[[#This Row],[Customers]]</f>
        <v>249.44</v>
      </c>
      <c r="K4371" t="s">
        <v>25</v>
      </c>
      <c r="L4371" t="s">
        <v>26</v>
      </c>
      <c r="M4371">
        <v>624</v>
      </c>
      <c r="N4371">
        <v>8297</v>
      </c>
      <c r="O4371">
        <v>6</v>
      </c>
      <c r="P4371" t="s">
        <v>42</v>
      </c>
      <c r="Q4371" s="1">
        <v>44551</v>
      </c>
    </row>
    <row r="4372" spans="1:17" x14ac:dyDescent="0.3">
      <c r="A4372" t="s">
        <v>49</v>
      </c>
      <c r="B4372" t="s">
        <v>29</v>
      </c>
      <c r="C4372" t="s">
        <v>37</v>
      </c>
      <c r="D4372" t="s">
        <v>17</v>
      </c>
      <c r="E4372" t="s">
        <v>43</v>
      </c>
      <c r="F4372" s="9">
        <v>0.08</v>
      </c>
      <c r="G4372" s="10">
        <v>13901</v>
      </c>
      <c r="H4372">
        <v>5.27</v>
      </c>
      <c r="I4372" s="5">
        <f>ROUND(Marketing[[#This Row],[Clicks]]*Marketing[[#This Row],[Conversion_Rate]],0)</f>
        <v>39</v>
      </c>
      <c r="J4372" s="12">
        <f>Marketing[[#This Row],[Campaign_Cost]]/Marketing[[#This Row],[Customers]]</f>
        <v>356.43589743589746</v>
      </c>
      <c r="K4372" t="s">
        <v>25</v>
      </c>
      <c r="L4372" t="s">
        <v>26</v>
      </c>
      <c r="M4372">
        <v>488</v>
      </c>
      <c r="N4372">
        <v>6099</v>
      </c>
      <c r="O4372">
        <v>1</v>
      </c>
      <c r="P4372" t="s">
        <v>21</v>
      </c>
      <c r="Q4372" s="1">
        <v>44552</v>
      </c>
    </row>
    <row r="4373" spans="1:17" x14ac:dyDescent="0.3">
      <c r="A4373" t="s">
        <v>35</v>
      </c>
      <c r="B4373" t="s">
        <v>45</v>
      </c>
      <c r="C4373" t="s">
        <v>52</v>
      </c>
      <c r="D4373" t="s">
        <v>24</v>
      </c>
      <c r="E4373" t="s">
        <v>48</v>
      </c>
      <c r="F4373" s="9">
        <v>0.04</v>
      </c>
      <c r="G4373" s="10">
        <v>10532</v>
      </c>
      <c r="H4373">
        <v>3.98</v>
      </c>
      <c r="I4373" s="5">
        <f>ROUND(Marketing[[#This Row],[Clicks]]*Marketing[[#This Row],[Conversion_Rate]],0)</f>
        <v>21</v>
      </c>
      <c r="J4373" s="12">
        <f>Marketing[[#This Row],[Campaign_Cost]]/Marketing[[#This Row],[Customers]]</f>
        <v>501.52380952380952</v>
      </c>
      <c r="K4373" t="s">
        <v>32</v>
      </c>
      <c r="L4373" t="s">
        <v>33</v>
      </c>
      <c r="M4373">
        <v>524</v>
      </c>
      <c r="N4373">
        <v>8362</v>
      </c>
      <c r="O4373">
        <v>7</v>
      </c>
      <c r="P4373" t="s">
        <v>21</v>
      </c>
      <c r="Q4373" s="1">
        <v>44553</v>
      </c>
    </row>
    <row r="4374" spans="1:17" x14ac:dyDescent="0.3">
      <c r="A4374" t="s">
        <v>49</v>
      </c>
      <c r="B4374" t="s">
        <v>29</v>
      </c>
      <c r="C4374" t="s">
        <v>16</v>
      </c>
      <c r="D4374" t="s">
        <v>24</v>
      </c>
      <c r="E4374" t="s">
        <v>48</v>
      </c>
      <c r="F4374" s="9">
        <v>0.11</v>
      </c>
      <c r="G4374" s="10">
        <v>19959</v>
      </c>
      <c r="H4374">
        <v>6.32</v>
      </c>
      <c r="I4374" s="5">
        <f>ROUND(Marketing[[#This Row],[Clicks]]*Marketing[[#This Row],[Conversion_Rate]],0)</f>
        <v>24</v>
      </c>
      <c r="J4374" s="12">
        <f>Marketing[[#This Row],[Campaign_Cost]]/Marketing[[#This Row],[Customers]]</f>
        <v>831.625</v>
      </c>
      <c r="K4374" t="s">
        <v>32</v>
      </c>
      <c r="L4374" t="s">
        <v>39</v>
      </c>
      <c r="M4374">
        <v>217</v>
      </c>
      <c r="N4374">
        <v>3486</v>
      </c>
      <c r="O4374">
        <v>9</v>
      </c>
      <c r="P4374" t="s">
        <v>42</v>
      </c>
      <c r="Q4374" s="1">
        <v>44554</v>
      </c>
    </row>
    <row r="4375" spans="1:17" x14ac:dyDescent="0.3">
      <c r="A4375" t="s">
        <v>35</v>
      </c>
      <c r="B4375" t="s">
        <v>29</v>
      </c>
      <c r="C4375" t="s">
        <v>16</v>
      </c>
      <c r="D4375" t="s">
        <v>46</v>
      </c>
      <c r="E4375" t="s">
        <v>18</v>
      </c>
      <c r="F4375" s="9">
        <v>0.06</v>
      </c>
      <c r="G4375" s="10">
        <v>7849</v>
      </c>
      <c r="H4375">
        <v>4.58</v>
      </c>
      <c r="I4375" s="5">
        <f>ROUND(Marketing[[#This Row],[Clicks]]*Marketing[[#This Row],[Conversion_Rate]],0)</f>
        <v>9</v>
      </c>
      <c r="J4375" s="12">
        <f>Marketing[[#This Row],[Campaign_Cost]]/Marketing[[#This Row],[Customers]]</f>
        <v>872.11111111111109</v>
      </c>
      <c r="K4375" t="s">
        <v>19</v>
      </c>
      <c r="L4375" t="s">
        <v>20</v>
      </c>
      <c r="M4375">
        <v>148</v>
      </c>
      <c r="N4375">
        <v>9100</v>
      </c>
      <c r="O4375">
        <v>1</v>
      </c>
      <c r="P4375" t="s">
        <v>27</v>
      </c>
      <c r="Q4375" s="1">
        <v>44555</v>
      </c>
    </row>
    <row r="4376" spans="1:17" x14ac:dyDescent="0.3">
      <c r="A4376" t="s">
        <v>14</v>
      </c>
      <c r="B4376" t="s">
        <v>29</v>
      </c>
      <c r="C4376" t="s">
        <v>37</v>
      </c>
      <c r="D4376" t="s">
        <v>17</v>
      </c>
      <c r="E4376" t="s">
        <v>15</v>
      </c>
      <c r="F4376" s="9">
        <v>0.01</v>
      </c>
      <c r="G4376" s="10">
        <v>18659</v>
      </c>
      <c r="H4376">
        <v>4.7699999999999996</v>
      </c>
      <c r="I4376" s="5">
        <f>ROUND(Marketing[[#This Row],[Clicks]]*Marketing[[#This Row],[Conversion_Rate]],0)</f>
        <v>9</v>
      </c>
      <c r="J4376" s="12">
        <f>Marketing[[#This Row],[Campaign_Cost]]/Marketing[[#This Row],[Customers]]</f>
        <v>2073.2222222222222</v>
      </c>
      <c r="K4376" t="s">
        <v>38</v>
      </c>
      <c r="L4376" t="s">
        <v>50</v>
      </c>
      <c r="M4376">
        <v>860</v>
      </c>
      <c r="N4376">
        <v>3586</v>
      </c>
      <c r="O4376">
        <v>10</v>
      </c>
      <c r="P4376" t="s">
        <v>21</v>
      </c>
      <c r="Q4376" s="1">
        <v>44556</v>
      </c>
    </row>
    <row r="4377" spans="1:17" x14ac:dyDescent="0.3">
      <c r="A4377" t="s">
        <v>22</v>
      </c>
      <c r="B4377" t="s">
        <v>29</v>
      </c>
      <c r="C4377" t="s">
        <v>30</v>
      </c>
      <c r="D4377" t="s">
        <v>17</v>
      </c>
      <c r="E4377" t="s">
        <v>41</v>
      </c>
      <c r="F4377" s="9">
        <v>0.15</v>
      </c>
      <c r="G4377" s="10">
        <v>14040</v>
      </c>
      <c r="H4377">
        <v>6.16</v>
      </c>
      <c r="I4377" s="5">
        <f>ROUND(Marketing[[#This Row],[Clicks]]*Marketing[[#This Row],[Conversion_Rate]],0)</f>
        <v>62</v>
      </c>
      <c r="J4377" s="12">
        <f>Marketing[[#This Row],[Campaign_Cost]]/Marketing[[#This Row],[Customers]]</f>
        <v>226.45161290322579</v>
      </c>
      <c r="K4377" t="s">
        <v>25</v>
      </c>
      <c r="L4377" t="s">
        <v>26</v>
      </c>
      <c r="M4377">
        <v>416</v>
      </c>
      <c r="N4377">
        <v>8178</v>
      </c>
      <c r="O4377">
        <v>4</v>
      </c>
      <c r="P4377" t="s">
        <v>34</v>
      </c>
      <c r="Q4377" s="1">
        <v>44557</v>
      </c>
    </row>
    <row r="4378" spans="1:17" x14ac:dyDescent="0.3">
      <c r="A4378" t="s">
        <v>49</v>
      </c>
      <c r="B4378" t="s">
        <v>29</v>
      </c>
      <c r="C4378" t="s">
        <v>30</v>
      </c>
      <c r="D4378" t="s">
        <v>40</v>
      </c>
      <c r="E4378" t="s">
        <v>48</v>
      </c>
      <c r="F4378" s="9">
        <v>0.14000000000000001</v>
      </c>
      <c r="G4378" s="10">
        <v>18865</v>
      </c>
      <c r="H4378">
        <v>6.02</v>
      </c>
      <c r="I4378" s="5">
        <f>ROUND(Marketing[[#This Row],[Clicks]]*Marketing[[#This Row],[Conversion_Rate]],0)</f>
        <v>122</v>
      </c>
      <c r="J4378" s="12">
        <f>Marketing[[#This Row],[Campaign_Cost]]/Marketing[[#This Row],[Customers]]</f>
        <v>154.63114754098362</v>
      </c>
      <c r="K4378" t="s">
        <v>25</v>
      </c>
      <c r="L4378" t="s">
        <v>33</v>
      </c>
      <c r="M4378">
        <v>870</v>
      </c>
      <c r="N4378">
        <v>8676</v>
      </c>
      <c r="O4378">
        <v>1</v>
      </c>
      <c r="P4378" t="s">
        <v>27</v>
      </c>
      <c r="Q4378" s="1">
        <v>44558</v>
      </c>
    </row>
    <row r="4379" spans="1:17" x14ac:dyDescent="0.3">
      <c r="A4379" t="s">
        <v>14</v>
      </c>
      <c r="B4379" t="s">
        <v>15</v>
      </c>
      <c r="C4379" t="s">
        <v>37</v>
      </c>
      <c r="D4379" t="s">
        <v>24</v>
      </c>
      <c r="E4379" t="s">
        <v>18</v>
      </c>
      <c r="F4379" s="9">
        <v>0.04</v>
      </c>
      <c r="G4379" s="10">
        <v>6310</v>
      </c>
      <c r="H4379">
        <v>2.7</v>
      </c>
      <c r="I4379" s="5">
        <f>ROUND(Marketing[[#This Row],[Clicks]]*Marketing[[#This Row],[Conversion_Rate]],0)</f>
        <v>23</v>
      </c>
      <c r="J4379" s="12">
        <f>Marketing[[#This Row],[Campaign_Cost]]/Marketing[[#This Row],[Customers]]</f>
        <v>274.3478260869565</v>
      </c>
      <c r="K4379" t="s">
        <v>19</v>
      </c>
      <c r="L4379" t="s">
        <v>39</v>
      </c>
      <c r="M4379">
        <v>567</v>
      </c>
      <c r="N4379">
        <v>4485</v>
      </c>
      <c r="O4379">
        <v>4</v>
      </c>
      <c r="P4379" t="s">
        <v>34</v>
      </c>
      <c r="Q4379" s="1">
        <v>44559</v>
      </c>
    </row>
    <row r="4380" spans="1:17" x14ac:dyDescent="0.3">
      <c r="A4380" t="s">
        <v>22</v>
      </c>
      <c r="B4380" t="s">
        <v>29</v>
      </c>
      <c r="C4380" t="s">
        <v>23</v>
      </c>
      <c r="D4380" t="s">
        <v>40</v>
      </c>
      <c r="E4380" t="s">
        <v>43</v>
      </c>
      <c r="F4380" s="9">
        <v>0.11</v>
      </c>
      <c r="G4380" s="10">
        <v>13018</v>
      </c>
      <c r="H4380">
        <v>4.34</v>
      </c>
      <c r="I4380" s="5">
        <f>ROUND(Marketing[[#This Row],[Clicks]]*Marketing[[#This Row],[Conversion_Rate]],0)</f>
        <v>97</v>
      </c>
      <c r="J4380" s="12">
        <f>Marketing[[#This Row],[Campaign_Cost]]/Marketing[[#This Row],[Customers]]</f>
        <v>134.20618556701032</v>
      </c>
      <c r="K4380" t="s">
        <v>38</v>
      </c>
      <c r="L4380" t="s">
        <v>50</v>
      </c>
      <c r="M4380">
        <v>883</v>
      </c>
      <c r="N4380">
        <v>4983</v>
      </c>
      <c r="O4380">
        <v>5</v>
      </c>
      <c r="P4380" t="s">
        <v>44</v>
      </c>
      <c r="Q4380" s="1">
        <v>44560</v>
      </c>
    </row>
    <row r="4381" spans="1:17" x14ac:dyDescent="0.3">
      <c r="A4381" t="s">
        <v>28</v>
      </c>
      <c r="B4381" t="s">
        <v>36</v>
      </c>
      <c r="C4381" t="s">
        <v>30</v>
      </c>
      <c r="D4381" t="s">
        <v>40</v>
      </c>
      <c r="E4381" t="s">
        <v>48</v>
      </c>
      <c r="F4381" s="9">
        <v>0.14000000000000001</v>
      </c>
      <c r="G4381" s="10">
        <v>16406</v>
      </c>
      <c r="H4381">
        <v>4.8499999999999996</v>
      </c>
      <c r="I4381" s="5">
        <f>ROUND(Marketing[[#This Row],[Clicks]]*Marketing[[#This Row],[Conversion_Rate]],0)</f>
        <v>61</v>
      </c>
      <c r="J4381" s="12">
        <f>Marketing[[#This Row],[Campaign_Cost]]/Marketing[[#This Row],[Customers]]</f>
        <v>268.95081967213116</v>
      </c>
      <c r="K4381" t="s">
        <v>51</v>
      </c>
      <c r="L4381" t="s">
        <v>20</v>
      </c>
      <c r="M4381">
        <v>438</v>
      </c>
      <c r="N4381">
        <v>2635</v>
      </c>
      <c r="O4381">
        <v>8</v>
      </c>
      <c r="P4381" t="s">
        <v>44</v>
      </c>
      <c r="Q4381" s="1">
        <v>44561</v>
      </c>
    </row>
    <row r="4382" spans="1:17" x14ac:dyDescent="0.3">
      <c r="A4382" t="s">
        <v>49</v>
      </c>
      <c r="B4382" t="s">
        <v>47</v>
      </c>
      <c r="C4382" t="s">
        <v>52</v>
      </c>
      <c r="D4382" t="s">
        <v>40</v>
      </c>
      <c r="E4382" t="s">
        <v>31</v>
      </c>
      <c r="F4382" s="9">
        <v>0.05</v>
      </c>
      <c r="G4382" s="10">
        <v>9897</v>
      </c>
      <c r="H4382">
        <v>3.07</v>
      </c>
      <c r="I4382" s="5">
        <f>ROUND(Marketing[[#This Row],[Clicks]]*Marketing[[#This Row],[Conversion_Rate]],0)</f>
        <v>21</v>
      </c>
      <c r="J4382" s="12">
        <f>Marketing[[#This Row],[Campaign_Cost]]/Marketing[[#This Row],[Customers]]</f>
        <v>471.28571428571428</v>
      </c>
      <c r="K4382" t="s">
        <v>38</v>
      </c>
      <c r="L4382" t="s">
        <v>20</v>
      </c>
      <c r="M4382">
        <v>416</v>
      </c>
      <c r="N4382">
        <v>2845</v>
      </c>
      <c r="O4382">
        <v>6</v>
      </c>
      <c r="P4382" t="s">
        <v>44</v>
      </c>
      <c r="Q4382" s="1">
        <v>44197</v>
      </c>
    </row>
    <row r="4383" spans="1:17" x14ac:dyDescent="0.3">
      <c r="A4383" t="s">
        <v>49</v>
      </c>
      <c r="B4383" t="s">
        <v>15</v>
      </c>
      <c r="C4383" t="s">
        <v>52</v>
      </c>
      <c r="D4383" t="s">
        <v>24</v>
      </c>
      <c r="E4383" t="s">
        <v>43</v>
      </c>
      <c r="F4383" s="9">
        <v>0.12</v>
      </c>
      <c r="G4383" s="10">
        <v>13216</v>
      </c>
      <c r="H4383">
        <v>3.56</v>
      </c>
      <c r="I4383" s="5">
        <f>ROUND(Marketing[[#This Row],[Clicks]]*Marketing[[#This Row],[Conversion_Rate]],0)</f>
        <v>80</v>
      </c>
      <c r="J4383" s="12">
        <f>Marketing[[#This Row],[Campaign_Cost]]/Marketing[[#This Row],[Customers]]</f>
        <v>165.2</v>
      </c>
      <c r="K4383" t="s">
        <v>25</v>
      </c>
      <c r="L4383" t="s">
        <v>50</v>
      </c>
      <c r="M4383">
        <v>670</v>
      </c>
      <c r="N4383">
        <v>3171</v>
      </c>
      <c r="O4383">
        <v>5</v>
      </c>
      <c r="P4383" t="s">
        <v>21</v>
      </c>
      <c r="Q4383" s="1">
        <v>44198</v>
      </c>
    </row>
    <row r="4384" spans="1:17" x14ac:dyDescent="0.3">
      <c r="A4384" t="s">
        <v>14</v>
      </c>
      <c r="B4384" t="s">
        <v>29</v>
      </c>
      <c r="C4384" t="s">
        <v>16</v>
      </c>
      <c r="D4384" t="s">
        <v>24</v>
      </c>
      <c r="E4384" t="s">
        <v>41</v>
      </c>
      <c r="F4384" s="9">
        <v>0.14000000000000001</v>
      </c>
      <c r="G4384" s="10">
        <v>12769</v>
      </c>
      <c r="H4384">
        <v>7.9</v>
      </c>
      <c r="I4384" s="5">
        <f>ROUND(Marketing[[#This Row],[Clicks]]*Marketing[[#This Row],[Conversion_Rate]],0)</f>
        <v>59</v>
      </c>
      <c r="J4384" s="12">
        <f>Marketing[[#This Row],[Campaign_Cost]]/Marketing[[#This Row],[Customers]]</f>
        <v>216.42372881355934</v>
      </c>
      <c r="K4384" t="s">
        <v>51</v>
      </c>
      <c r="L4384" t="s">
        <v>50</v>
      </c>
      <c r="M4384">
        <v>420</v>
      </c>
      <c r="N4384">
        <v>8200</v>
      </c>
      <c r="O4384">
        <v>10</v>
      </c>
      <c r="P4384" t="s">
        <v>27</v>
      </c>
      <c r="Q4384" s="1">
        <v>44199</v>
      </c>
    </row>
    <row r="4385" spans="1:17" x14ac:dyDescent="0.3">
      <c r="A4385" t="s">
        <v>35</v>
      </c>
      <c r="B4385" t="s">
        <v>29</v>
      </c>
      <c r="C4385" t="s">
        <v>37</v>
      </c>
      <c r="D4385" t="s">
        <v>17</v>
      </c>
      <c r="E4385" t="s">
        <v>48</v>
      </c>
      <c r="F4385" s="9">
        <v>0.03</v>
      </c>
      <c r="G4385" s="10">
        <v>15473</v>
      </c>
      <c r="H4385">
        <v>3.88</v>
      </c>
      <c r="I4385" s="5">
        <f>ROUND(Marketing[[#This Row],[Clicks]]*Marketing[[#This Row],[Conversion_Rate]],0)</f>
        <v>27</v>
      </c>
      <c r="J4385" s="12">
        <f>Marketing[[#This Row],[Campaign_Cost]]/Marketing[[#This Row],[Customers]]</f>
        <v>573.07407407407402</v>
      </c>
      <c r="K4385" t="s">
        <v>38</v>
      </c>
      <c r="L4385" t="s">
        <v>33</v>
      </c>
      <c r="M4385">
        <v>891</v>
      </c>
      <c r="N4385">
        <v>1965</v>
      </c>
      <c r="O4385">
        <v>2</v>
      </c>
      <c r="P4385" t="s">
        <v>21</v>
      </c>
      <c r="Q4385" s="1">
        <v>44200</v>
      </c>
    </row>
    <row r="4386" spans="1:17" x14ac:dyDescent="0.3">
      <c r="A4386" t="s">
        <v>49</v>
      </c>
      <c r="B4386" t="s">
        <v>45</v>
      </c>
      <c r="C4386" t="s">
        <v>30</v>
      </c>
      <c r="D4386" t="s">
        <v>17</v>
      </c>
      <c r="E4386" t="s">
        <v>41</v>
      </c>
      <c r="F4386" s="9">
        <v>0.01</v>
      </c>
      <c r="G4386" s="10">
        <v>16280</v>
      </c>
      <c r="H4386">
        <v>7.79</v>
      </c>
      <c r="I4386" s="5">
        <f>ROUND(Marketing[[#This Row],[Clicks]]*Marketing[[#This Row],[Conversion_Rate]],0)</f>
        <v>8</v>
      </c>
      <c r="J4386" s="12">
        <f>Marketing[[#This Row],[Campaign_Cost]]/Marketing[[#This Row],[Customers]]</f>
        <v>2035</v>
      </c>
      <c r="K4386" t="s">
        <v>25</v>
      </c>
      <c r="L4386" t="s">
        <v>20</v>
      </c>
      <c r="M4386">
        <v>829</v>
      </c>
      <c r="N4386">
        <v>7724</v>
      </c>
      <c r="O4386">
        <v>1</v>
      </c>
      <c r="P4386" t="s">
        <v>34</v>
      </c>
      <c r="Q4386" s="1">
        <v>44201</v>
      </c>
    </row>
    <row r="4387" spans="1:17" x14ac:dyDescent="0.3">
      <c r="A4387" t="s">
        <v>35</v>
      </c>
      <c r="B4387" t="s">
        <v>47</v>
      </c>
      <c r="C4387" t="s">
        <v>52</v>
      </c>
      <c r="D4387" t="s">
        <v>17</v>
      </c>
      <c r="E4387" t="s">
        <v>15</v>
      </c>
      <c r="F4387" s="9">
        <v>0.06</v>
      </c>
      <c r="G4387" s="10">
        <v>17903</v>
      </c>
      <c r="H4387">
        <v>5.37</v>
      </c>
      <c r="I4387" s="5">
        <f>ROUND(Marketing[[#This Row],[Clicks]]*Marketing[[#This Row],[Conversion_Rate]],0)</f>
        <v>15</v>
      </c>
      <c r="J4387" s="12">
        <f>Marketing[[#This Row],[Campaign_Cost]]/Marketing[[#This Row],[Customers]]</f>
        <v>1193.5333333333333</v>
      </c>
      <c r="K4387" t="s">
        <v>19</v>
      </c>
      <c r="L4387" t="s">
        <v>20</v>
      </c>
      <c r="M4387">
        <v>242</v>
      </c>
      <c r="N4387">
        <v>9089</v>
      </c>
      <c r="O4387">
        <v>5</v>
      </c>
      <c r="P4387" t="s">
        <v>21</v>
      </c>
      <c r="Q4387" s="1">
        <v>44202</v>
      </c>
    </row>
    <row r="4388" spans="1:17" x14ac:dyDescent="0.3">
      <c r="A4388" t="s">
        <v>14</v>
      </c>
      <c r="B4388" t="s">
        <v>47</v>
      </c>
      <c r="C4388" t="s">
        <v>37</v>
      </c>
      <c r="D4388" t="s">
        <v>46</v>
      </c>
      <c r="E4388" t="s">
        <v>31</v>
      </c>
      <c r="F4388" s="9">
        <v>0.05</v>
      </c>
      <c r="G4388" s="10">
        <v>6855</v>
      </c>
      <c r="H4388">
        <v>4.26</v>
      </c>
      <c r="I4388" s="5">
        <f>ROUND(Marketing[[#This Row],[Clicks]]*Marketing[[#This Row],[Conversion_Rate]],0)</f>
        <v>27</v>
      </c>
      <c r="J4388" s="12">
        <f>Marketing[[#This Row],[Campaign_Cost]]/Marketing[[#This Row],[Customers]]</f>
        <v>253.88888888888889</v>
      </c>
      <c r="K4388" t="s">
        <v>25</v>
      </c>
      <c r="L4388" t="s">
        <v>26</v>
      </c>
      <c r="M4388">
        <v>547</v>
      </c>
      <c r="N4388">
        <v>6508</v>
      </c>
      <c r="O4388">
        <v>3</v>
      </c>
      <c r="P4388" t="s">
        <v>21</v>
      </c>
      <c r="Q4388" s="1">
        <v>44203</v>
      </c>
    </row>
    <row r="4389" spans="1:17" x14ac:dyDescent="0.3">
      <c r="A4389" t="s">
        <v>35</v>
      </c>
      <c r="B4389" t="s">
        <v>29</v>
      </c>
      <c r="C4389" t="s">
        <v>37</v>
      </c>
      <c r="D4389" t="s">
        <v>24</v>
      </c>
      <c r="E4389" t="s">
        <v>43</v>
      </c>
      <c r="F4389" s="9">
        <v>0.09</v>
      </c>
      <c r="G4389" s="10">
        <v>19173</v>
      </c>
      <c r="H4389">
        <v>7.62</v>
      </c>
      <c r="I4389" s="5">
        <f>ROUND(Marketing[[#This Row],[Clicks]]*Marketing[[#This Row],[Conversion_Rate]],0)</f>
        <v>42</v>
      </c>
      <c r="J4389" s="12">
        <f>Marketing[[#This Row],[Campaign_Cost]]/Marketing[[#This Row],[Customers]]</f>
        <v>456.5</v>
      </c>
      <c r="K4389" t="s">
        <v>25</v>
      </c>
      <c r="L4389" t="s">
        <v>50</v>
      </c>
      <c r="M4389">
        <v>467</v>
      </c>
      <c r="N4389">
        <v>2055</v>
      </c>
      <c r="O4389">
        <v>5</v>
      </c>
      <c r="P4389" t="s">
        <v>44</v>
      </c>
      <c r="Q4389" s="1">
        <v>44204</v>
      </c>
    </row>
    <row r="4390" spans="1:17" x14ac:dyDescent="0.3">
      <c r="A4390" t="s">
        <v>14</v>
      </c>
      <c r="B4390" t="s">
        <v>45</v>
      </c>
      <c r="C4390" t="s">
        <v>37</v>
      </c>
      <c r="D4390" t="s">
        <v>24</v>
      </c>
      <c r="E4390" t="s">
        <v>43</v>
      </c>
      <c r="F4390" s="9">
        <v>0.06</v>
      </c>
      <c r="G4390" s="10">
        <v>17778</v>
      </c>
      <c r="H4390">
        <v>7.44</v>
      </c>
      <c r="I4390" s="5">
        <f>ROUND(Marketing[[#This Row],[Clicks]]*Marketing[[#This Row],[Conversion_Rate]],0)</f>
        <v>49</v>
      </c>
      <c r="J4390" s="12">
        <f>Marketing[[#This Row],[Campaign_Cost]]/Marketing[[#This Row],[Customers]]</f>
        <v>362.81632653061223</v>
      </c>
      <c r="K4390" t="s">
        <v>38</v>
      </c>
      <c r="L4390" t="s">
        <v>20</v>
      </c>
      <c r="M4390">
        <v>811</v>
      </c>
      <c r="N4390">
        <v>8330</v>
      </c>
      <c r="O4390">
        <v>7</v>
      </c>
      <c r="P4390" t="s">
        <v>44</v>
      </c>
      <c r="Q4390" s="1">
        <v>44205</v>
      </c>
    </row>
    <row r="4391" spans="1:17" x14ac:dyDescent="0.3">
      <c r="A4391" t="s">
        <v>35</v>
      </c>
      <c r="B4391" t="s">
        <v>36</v>
      </c>
      <c r="C4391" t="s">
        <v>16</v>
      </c>
      <c r="D4391" t="s">
        <v>24</v>
      </c>
      <c r="E4391" t="s">
        <v>15</v>
      </c>
      <c r="F4391" s="9">
        <v>0.13</v>
      </c>
      <c r="G4391" s="10">
        <v>5624</v>
      </c>
      <c r="H4391">
        <v>3.58</v>
      </c>
      <c r="I4391" s="5">
        <f>ROUND(Marketing[[#This Row],[Clicks]]*Marketing[[#This Row],[Conversion_Rate]],0)</f>
        <v>101</v>
      </c>
      <c r="J4391" s="12">
        <f>Marketing[[#This Row],[Campaign_Cost]]/Marketing[[#This Row],[Customers]]</f>
        <v>55.683168316831683</v>
      </c>
      <c r="K4391" t="s">
        <v>19</v>
      </c>
      <c r="L4391" t="s">
        <v>50</v>
      </c>
      <c r="M4391">
        <v>778</v>
      </c>
      <c r="N4391">
        <v>6405</v>
      </c>
      <c r="O4391">
        <v>5</v>
      </c>
      <c r="P4391" t="s">
        <v>42</v>
      </c>
      <c r="Q4391" s="1">
        <v>44206</v>
      </c>
    </row>
    <row r="4392" spans="1:17" x14ac:dyDescent="0.3">
      <c r="A4392" t="s">
        <v>14</v>
      </c>
      <c r="B4392" t="s">
        <v>36</v>
      </c>
      <c r="C4392" t="s">
        <v>37</v>
      </c>
      <c r="D4392" t="s">
        <v>24</v>
      </c>
      <c r="E4392" t="s">
        <v>31</v>
      </c>
      <c r="F4392" s="9">
        <v>0.04</v>
      </c>
      <c r="G4392" s="10">
        <v>19846</v>
      </c>
      <c r="H4392">
        <v>4.07</v>
      </c>
      <c r="I4392" s="5">
        <f>ROUND(Marketing[[#This Row],[Clicks]]*Marketing[[#This Row],[Conversion_Rate]],0)</f>
        <v>30</v>
      </c>
      <c r="J4392" s="12">
        <f>Marketing[[#This Row],[Campaign_Cost]]/Marketing[[#This Row],[Customers]]</f>
        <v>661.5333333333333</v>
      </c>
      <c r="K4392" t="s">
        <v>51</v>
      </c>
      <c r="L4392" t="s">
        <v>26</v>
      </c>
      <c r="M4392">
        <v>759</v>
      </c>
      <c r="N4392">
        <v>9057</v>
      </c>
      <c r="O4392">
        <v>3</v>
      </c>
      <c r="P4392" t="s">
        <v>42</v>
      </c>
      <c r="Q4392" s="1">
        <v>44207</v>
      </c>
    </row>
    <row r="4393" spans="1:17" x14ac:dyDescent="0.3">
      <c r="A4393" t="s">
        <v>22</v>
      </c>
      <c r="B4393" t="s">
        <v>45</v>
      </c>
      <c r="C4393" t="s">
        <v>23</v>
      </c>
      <c r="D4393" t="s">
        <v>24</v>
      </c>
      <c r="E4393" t="s">
        <v>43</v>
      </c>
      <c r="F4393" s="9">
        <v>0.12</v>
      </c>
      <c r="G4393" s="10">
        <v>17519</v>
      </c>
      <c r="H4393">
        <v>4.9800000000000004</v>
      </c>
      <c r="I4393" s="5">
        <f>ROUND(Marketing[[#This Row],[Clicks]]*Marketing[[#This Row],[Conversion_Rate]],0)</f>
        <v>79</v>
      </c>
      <c r="J4393" s="12">
        <f>Marketing[[#This Row],[Campaign_Cost]]/Marketing[[#This Row],[Customers]]</f>
        <v>221.75949367088609</v>
      </c>
      <c r="K4393" t="s">
        <v>32</v>
      </c>
      <c r="L4393" t="s">
        <v>39</v>
      </c>
      <c r="M4393">
        <v>656</v>
      </c>
      <c r="N4393">
        <v>5720</v>
      </c>
      <c r="O4393">
        <v>2</v>
      </c>
      <c r="P4393" t="s">
        <v>21</v>
      </c>
      <c r="Q4393" s="1">
        <v>44208</v>
      </c>
    </row>
    <row r="4394" spans="1:17" x14ac:dyDescent="0.3">
      <c r="A4394" t="s">
        <v>35</v>
      </c>
      <c r="B4394" t="s">
        <v>47</v>
      </c>
      <c r="C4394" t="s">
        <v>52</v>
      </c>
      <c r="D4394" t="s">
        <v>40</v>
      </c>
      <c r="E4394" t="s">
        <v>48</v>
      </c>
      <c r="F4394" s="9">
        <v>0.15</v>
      </c>
      <c r="G4394" s="10">
        <v>15128</v>
      </c>
      <c r="H4394">
        <v>4.28</v>
      </c>
      <c r="I4394" s="5">
        <f>ROUND(Marketing[[#This Row],[Clicks]]*Marketing[[#This Row],[Conversion_Rate]],0)</f>
        <v>145</v>
      </c>
      <c r="J4394" s="12">
        <f>Marketing[[#This Row],[Campaign_Cost]]/Marketing[[#This Row],[Customers]]</f>
        <v>104.33103448275862</v>
      </c>
      <c r="K4394" t="s">
        <v>32</v>
      </c>
      <c r="L4394" t="s">
        <v>50</v>
      </c>
      <c r="M4394">
        <v>965</v>
      </c>
      <c r="N4394">
        <v>4993</v>
      </c>
      <c r="O4394">
        <v>4</v>
      </c>
      <c r="P4394" t="s">
        <v>42</v>
      </c>
      <c r="Q4394" s="1">
        <v>44209</v>
      </c>
    </row>
    <row r="4395" spans="1:17" x14ac:dyDescent="0.3">
      <c r="A4395" t="s">
        <v>49</v>
      </c>
      <c r="B4395" t="s">
        <v>36</v>
      </c>
      <c r="C4395" t="s">
        <v>30</v>
      </c>
      <c r="D4395" t="s">
        <v>46</v>
      </c>
      <c r="E4395" t="s">
        <v>18</v>
      </c>
      <c r="F4395" s="9">
        <v>0.11</v>
      </c>
      <c r="G4395" s="10">
        <v>19609</v>
      </c>
      <c r="H4395">
        <v>2.5099999999999998</v>
      </c>
      <c r="I4395" s="5">
        <f>ROUND(Marketing[[#This Row],[Clicks]]*Marketing[[#This Row],[Conversion_Rate]],0)</f>
        <v>88</v>
      </c>
      <c r="J4395" s="12">
        <f>Marketing[[#This Row],[Campaign_Cost]]/Marketing[[#This Row],[Customers]]</f>
        <v>222.82954545454547</v>
      </c>
      <c r="K4395" t="s">
        <v>25</v>
      </c>
      <c r="L4395" t="s">
        <v>33</v>
      </c>
      <c r="M4395">
        <v>796</v>
      </c>
      <c r="N4395">
        <v>5241</v>
      </c>
      <c r="O4395">
        <v>6</v>
      </c>
      <c r="P4395" t="s">
        <v>44</v>
      </c>
      <c r="Q4395" s="1">
        <v>44210</v>
      </c>
    </row>
    <row r="4396" spans="1:17" x14ac:dyDescent="0.3">
      <c r="A4396" t="s">
        <v>35</v>
      </c>
      <c r="B4396" t="s">
        <v>15</v>
      </c>
      <c r="C4396" t="s">
        <v>52</v>
      </c>
      <c r="D4396" t="s">
        <v>24</v>
      </c>
      <c r="E4396" t="s">
        <v>15</v>
      </c>
      <c r="F4396" s="9">
        <v>0.06</v>
      </c>
      <c r="G4396" s="10">
        <v>10923</v>
      </c>
      <c r="H4396">
        <v>5.56</v>
      </c>
      <c r="I4396" s="5">
        <f>ROUND(Marketing[[#This Row],[Clicks]]*Marketing[[#This Row],[Conversion_Rate]],0)</f>
        <v>25</v>
      </c>
      <c r="J4396" s="12">
        <f>Marketing[[#This Row],[Campaign_Cost]]/Marketing[[#This Row],[Customers]]</f>
        <v>436.92</v>
      </c>
      <c r="K4396" t="s">
        <v>25</v>
      </c>
      <c r="L4396" t="s">
        <v>33</v>
      </c>
      <c r="M4396">
        <v>423</v>
      </c>
      <c r="N4396">
        <v>3411</v>
      </c>
      <c r="O4396">
        <v>10</v>
      </c>
      <c r="P4396" t="s">
        <v>44</v>
      </c>
      <c r="Q4396" s="1">
        <v>44211</v>
      </c>
    </row>
    <row r="4397" spans="1:17" x14ac:dyDescent="0.3">
      <c r="A4397" t="s">
        <v>35</v>
      </c>
      <c r="B4397" t="s">
        <v>15</v>
      </c>
      <c r="C4397" t="s">
        <v>30</v>
      </c>
      <c r="D4397" t="s">
        <v>46</v>
      </c>
      <c r="E4397" t="s">
        <v>41</v>
      </c>
      <c r="F4397" s="9">
        <v>0.09</v>
      </c>
      <c r="G4397" s="10">
        <v>17701</v>
      </c>
      <c r="H4397">
        <v>7.63</v>
      </c>
      <c r="I4397" s="5">
        <f>ROUND(Marketing[[#This Row],[Clicks]]*Marketing[[#This Row],[Conversion_Rate]],0)</f>
        <v>88</v>
      </c>
      <c r="J4397" s="12">
        <f>Marketing[[#This Row],[Campaign_Cost]]/Marketing[[#This Row],[Customers]]</f>
        <v>201.14772727272728</v>
      </c>
      <c r="K4397" t="s">
        <v>25</v>
      </c>
      <c r="L4397" t="s">
        <v>26</v>
      </c>
      <c r="M4397">
        <v>975</v>
      </c>
      <c r="N4397">
        <v>2053</v>
      </c>
      <c r="O4397">
        <v>8</v>
      </c>
      <c r="P4397" t="s">
        <v>21</v>
      </c>
      <c r="Q4397" s="1">
        <v>44212</v>
      </c>
    </row>
    <row r="4398" spans="1:17" x14ac:dyDescent="0.3">
      <c r="A4398" t="s">
        <v>35</v>
      </c>
      <c r="B4398" t="s">
        <v>15</v>
      </c>
      <c r="C4398" t="s">
        <v>37</v>
      </c>
      <c r="D4398" t="s">
        <v>24</v>
      </c>
      <c r="E4398" t="s">
        <v>18</v>
      </c>
      <c r="F4398" s="9">
        <v>0.14000000000000001</v>
      </c>
      <c r="G4398" s="10">
        <v>5556</v>
      </c>
      <c r="H4398">
        <v>6.26</v>
      </c>
      <c r="I4398" s="5">
        <f>ROUND(Marketing[[#This Row],[Clicks]]*Marketing[[#This Row],[Conversion_Rate]],0)</f>
        <v>42</v>
      </c>
      <c r="J4398" s="12">
        <f>Marketing[[#This Row],[Campaign_Cost]]/Marketing[[#This Row],[Customers]]</f>
        <v>132.28571428571428</v>
      </c>
      <c r="K4398" t="s">
        <v>38</v>
      </c>
      <c r="L4398" t="s">
        <v>50</v>
      </c>
      <c r="M4398">
        <v>298</v>
      </c>
      <c r="N4398">
        <v>6196</v>
      </c>
      <c r="O4398">
        <v>4</v>
      </c>
      <c r="P4398" t="s">
        <v>21</v>
      </c>
      <c r="Q4398" s="1">
        <v>44213</v>
      </c>
    </row>
    <row r="4399" spans="1:17" x14ac:dyDescent="0.3">
      <c r="A4399" t="s">
        <v>14</v>
      </c>
      <c r="B4399" t="s">
        <v>45</v>
      </c>
      <c r="C4399" t="s">
        <v>16</v>
      </c>
      <c r="D4399" t="s">
        <v>46</v>
      </c>
      <c r="E4399" t="s">
        <v>15</v>
      </c>
      <c r="F4399" s="9">
        <v>0.03</v>
      </c>
      <c r="G4399" s="10">
        <v>14650</v>
      </c>
      <c r="H4399">
        <v>2.2799999999999998</v>
      </c>
      <c r="I4399" s="5">
        <f>ROUND(Marketing[[#This Row],[Clicks]]*Marketing[[#This Row],[Conversion_Rate]],0)</f>
        <v>26</v>
      </c>
      <c r="J4399" s="12">
        <f>Marketing[[#This Row],[Campaign_Cost]]/Marketing[[#This Row],[Customers]]</f>
        <v>563.46153846153845</v>
      </c>
      <c r="K4399" t="s">
        <v>38</v>
      </c>
      <c r="L4399" t="s">
        <v>20</v>
      </c>
      <c r="M4399">
        <v>864</v>
      </c>
      <c r="N4399">
        <v>3032</v>
      </c>
      <c r="O4399">
        <v>5</v>
      </c>
      <c r="P4399" t="s">
        <v>27</v>
      </c>
      <c r="Q4399" s="1">
        <v>44214</v>
      </c>
    </row>
    <row r="4400" spans="1:17" x14ac:dyDescent="0.3">
      <c r="A4400" t="s">
        <v>28</v>
      </c>
      <c r="B4400" t="s">
        <v>47</v>
      </c>
      <c r="C4400" t="s">
        <v>52</v>
      </c>
      <c r="D4400" t="s">
        <v>40</v>
      </c>
      <c r="E4400" t="s">
        <v>43</v>
      </c>
      <c r="F4400" s="9">
        <v>0.08</v>
      </c>
      <c r="G4400" s="10">
        <v>19623</v>
      </c>
      <c r="H4400">
        <v>6.32</v>
      </c>
      <c r="I4400" s="5">
        <f>ROUND(Marketing[[#This Row],[Clicks]]*Marketing[[#This Row],[Conversion_Rate]],0)</f>
        <v>67</v>
      </c>
      <c r="J4400" s="12">
        <f>Marketing[[#This Row],[Campaign_Cost]]/Marketing[[#This Row],[Customers]]</f>
        <v>292.8805970149254</v>
      </c>
      <c r="K4400" t="s">
        <v>51</v>
      </c>
      <c r="L4400" t="s">
        <v>39</v>
      </c>
      <c r="M4400">
        <v>841</v>
      </c>
      <c r="N4400">
        <v>1904</v>
      </c>
      <c r="O4400">
        <v>5</v>
      </c>
      <c r="P4400" t="s">
        <v>42</v>
      </c>
      <c r="Q4400" s="1">
        <v>44215</v>
      </c>
    </row>
    <row r="4401" spans="1:17" x14ac:dyDescent="0.3">
      <c r="A4401" t="s">
        <v>35</v>
      </c>
      <c r="B4401" t="s">
        <v>45</v>
      </c>
      <c r="C4401" t="s">
        <v>30</v>
      </c>
      <c r="D4401" t="s">
        <v>24</v>
      </c>
      <c r="E4401" t="s">
        <v>18</v>
      </c>
      <c r="F4401" s="9">
        <v>0.14000000000000001</v>
      </c>
      <c r="G4401" s="10">
        <v>16284</v>
      </c>
      <c r="H4401">
        <v>7.75</v>
      </c>
      <c r="I4401" s="5">
        <f>ROUND(Marketing[[#This Row],[Clicks]]*Marketing[[#This Row],[Conversion_Rate]],0)</f>
        <v>29</v>
      </c>
      <c r="J4401" s="12">
        <f>Marketing[[#This Row],[Campaign_Cost]]/Marketing[[#This Row],[Customers]]</f>
        <v>561.51724137931035</v>
      </c>
      <c r="K4401" t="s">
        <v>38</v>
      </c>
      <c r="L4401" t="s">
        <v>26</v>
      </c>
      <c r="M4401">
        <v>207</v>
      </c>
      <c r="N4401">
        <v>1832</v>
      </c>
      <c r="O4401">
        <v>4</v>
      </c>
      <c r="P4401" t="s">
        <v>44</v>
      </c>
      <c r="Q4401" s="1">
        <v>44216</v>
      </c>
    </row>
    <row r="4402" spans="1:17" x14ac:dyDescent="0.3">
      <c r="A4402" t="s">
        <v>28</v>
      </c>
      <c r="B4402" t="s">
        <v>47</v>
      </c>
      <c r="C4402" t="s">
        <v>37</v>
      </c>
      <c r="D4402" t="s">
        <v>46</v>
      </c>
      <c r="E4402" t="s">
        <v>41</v>
      </c>
      <c r="F4402" s="9">
        <v>0.14000000000000001</v>
      </c>
      <c r="G4402" s="10">
        <v>7402</v>
      </c>
      <c r="H4402">
        <v>7.39</v>
      </c>
      <c r="I4402" s="5">
        <f>ROUND(Marketing[[#This Row],[Clicks]]*Marketing[[#This Row],[Conversion_Rate]],0)</f>
        <v>108</v>
      </c>
      <c r="J4402" s="12">
        <f>Marketing[[#This Row],[Campaign_Cost]]/Marketing[[#This Row],[Customers]]</f>
        <v>68.537037037037038</v>
      </c>
      <c r="K4402" t="s">
        <v>19</v>
      </c>
      <c r="L4402" t="s">
        <v>33</v>
      </c>
      <c r="M4402">
        <v>770</v>
      </c>
      <c r="N4402">
        <v>6604</v>
      </c>
      <c r="O4402">
        <v>3</v>
      </c>
      <c r="P4402" t="s">
        <v>44</v>
      </c>
      <c r="Q4402" s="1">
        <v>44217</v>
      </c>
    </row>
    <row r="4403" spans="1:17" x14ac:dyDescent="0.3">
      <c r="A4403" t="s">
        <v>14</v>
      </c>
      <c r="B4403" t="s">
        <v>36</v>
      </c>
      <c r="C4403" t="s">
        <v>52</v>
      </c>
      <c r="D4403" t="s">
        <v>24</v>
      </c>
      <c r="E4403" t="s">
        <v>41</v>
      </c>
      <c r="F4403" s="9">
        <v>0.04</v>
      </c>
      <c r="G4403" s="10">
        <v>11098</v>
      </c>
      <c r="H4403">
        <v>7.42</v>
      </c>
      <c r="I4403" s="5">
        <f>ROUND(Marketing[[#This Row],[Clicks]]*Marketing[[#This Row],[Conversion_Rate]],0)</f>
        <v>13</v>
      </c>
      <c r="J4403" s="12">
        <f>Marketing[[#This Row],[Campaign_Cost]]/Marketing[[#This Row],[Customers]]</f>
        <v>853.69230769230774</v>
      </c>
      <c r="K4403" t="s">
        <v>38</v>
      </c>
      <c r="L4403" t="s">
        <v>39</v>
      </c>
      <c r="M4403">
        <v>335</v>
      </c>
      <c r="N4403">
        <v>4758</v>
      </c>
      <c r="O4403">
        <v>8</v>
      </c>
      <c r="P4403" t="s">
        <v>44</v>
      </c>
      <c r="Q4403" s="1">
        <v>44218</v>
      </c>
    </row>
    <row r="4404" spans="1:17" x14ac:dyDescent="0.3">
      <c r="A4404" t="s">
        <v>49</v>
      </c>
      <c r="B4404" t="s">
        <v>36</v>
      </c>
      <c r="C4404" t="s">
        <v>30</v>
      </c>
      <c r="D4404" t="s">
        <v>46</v>
      </c>
      <c r="E4404" t="s">
        <v>18</v>
      </c>
      <c r="F4404" s="9">
        <v>0.09</v>
      </c>
      <c r="G4404" s="10">
        <v>19688</v>
      </c>
      <c r="H4404">
        <v>5.04</v>
      </c>
      <c r="I4404" s="5">
        <f>ROUND(Marketing[[#This Row],[Clicks]]*Marketing[[#This Row],[Conversion_Rate]],0)</f>
        <v>59</v>
      </c>
      <c r="J4404" s="12">
        <f>Marketing[[#This Row],[Campaign_Cost]]/Marketing[[#This Row],[Customers]]</f>
        <v>333.69491525423729</v>
      </c>
      <c r="K4404" t="s">
        <v>32</v>
      </c>
      <c r="L4404" t="s">
        <v>33</v>
      </c>
      <c r="M4404">
        <v>655</v>
      </c>
      <c r="N4404">
        <v>8096</v>
      </c>
      <c r="O4404">
        <v>4</v>
      </c>
      <c r="P4404" t="s">
        <v>27</v>
      </c>
      <c r="Q4404" s="1">
        <v>44219</v>
      </c>
    </row>
    <row r="4405" spans="1:17" x14ac:dyDescent="0.3">
      <c r="A4405" t="s">
        <v>22</v>
      </c>
      <c r="B4405" t="s">
        <v>29</v>
      </c>
      <c r="C4405" t="s">
        <v>37</v>
      </c>
      <c r="D4405" t="s">
        <v>40</v>
      </c>
      <c r="E4405" t="s">
        <v>18</v>
      </c>
      <c r="F4405" s="9">
        <v>0.06</v>
      </c>
      <c r="G4405" s="10">
        <v>12481</v>
      </c>
      <c r="H4405">
        <v>7.9</v>
      </c>
      <c r="I4405" s="5">
        <f>ROUND(Marketing[[#This Row],[Clicks]]*Marketing[[#This Row],[Conversion_Rate]],0)</f>
        <v>24</v>
      </c>
      <c r="J4405" s="12">
        <f>Marketing[[#This Row],[Campaign_Cost]]/Marketing[[#This Row],[Customers]]</f>
        <v>520.04166666666663</v>
      </c>
      <c r="K4405" t="s">
        <v>51</v>
      </c>
      <c r="L4405" t="s">
        <v>20</v>
      </c>
      <c r="M4405">
        <v>392</v>
      </c>
      <c r="N4405">
        <v>1211</v>
      </c>
      <c r="O4405">
        <v>6</v>
      </c>
      <c r="P4405" t="s">
        <v>27</v>
      </c>
      <c r="Q4405" s="1">
        <v>44220</v>
      </c>
    </row>
    <row r="4406" spans="1:17" x14ac:dyDescent="0.3">
      <c r="A4406" t="s">
        <v>22</v>
      </c>
      <c r="B4406" t="s">
        <v>36</v>
      </c>
      <c r="C4406" t="s">
        <v>30</v>
      </c>
      <c r="D4406" t="s">
        <v>46</v>
      </c>
      <c r="E4406" t="s">
        <v>48</v>
      </c>
      <c r="F4406" s="9">
        <v>0.14000000000000001</v>
      </c>
      <c r="G4406" s="10">
        <v>10377</v>
      </c>
      <c r="H4406">
        <v>6.51</v>
      </c>
      <c r="I4406" s="5">
        <f>ROUND(Marketing[[#This Row],[Clicks]]*Marketing[[#This Row],[Conversion_Rate]],0)</f>
        <v>90</v>
      </c>
      <c r="J4406" s="12">
        <f>Marketing[[#This Row],[Campaign_Cost]]/Marketing[[#This Row],[Customers]]</f>
        <v>115.3</v>
      </c>
      <c r="K4406" t="s">
        <v>38</v>
      </c>
      <c r="L4406" t="s">
        <v>26</v>
      </c>
      <c r="M4406">
        <v>642</v>
      </c>
      <c r="N4406">
        <v>8685</v>
      </c>
      <c r="O4406">
        <v>5</v>
      </c>
      <c r="P4406" t="s">
        <v>21</v>
      </c>
      <c r="Q4406" s="1">
        <v>44221</v>
      </c>
    </row>
    <row r="4407" spans="1:17" x14ac:dyDescent="0.3">
      <c r="A4407" t="s">
        <v>22</v>
      </c>
      <c r="B4407" t="s">
        <v>47</v>
      </c>
      <c r="C4407" t="s">
        <v>16</v>
      </c>
      <c r="D4407" t="s">
        <v>40</v>
      </c>
      <c r="E4407" t="s">
        <v>18</v>
      </c>
      <c r="F4407" s="9">
        <v>0.08</v>
      </c>
      <c r="G4407" s="10">
        <v>13233</v>
      </c>
      <c r="H4407">
        <v>7.13</v>
      </c>
      <c r="I4407" s="5">
        <f>ROUND(Marketing[[#This Row],[Clicks]]*Marketing[[#This Row],[Conversion_Rate]],0)</f>
        <v>50</v>
      </c>
      <c r="J4407" s="12">
        <f>Marketing[[#This Row],[Campaign_Cost]]/Marketing[[#This Row],[Customers]]</f>
        <v>264.66000000000003</v>
      </c>
      <c r="K4407" t="s">
        <v>51</v>
      </c>
      <c r="L4407" t="s">
        <v>39</v>
      </c>
      <c r="M4407">
        <v>628</v>
      </c>
      <c r="N4407">
        <v>9170</v>
      </c>
      <c r="O4407">
        <v>8</v>
      </c>
      <c r="P4407" t="s">
        <v>42</v>
      </c>
      <c r="Q4407" s="1">
        <v>44222</v>
      </c>
    </row>
    <row r="4408" spans="1:17" x14ac:dyDescent="0.3">
      <c r="A4408" t="s">
        <v>28</v>
      </c>
      <c r="B4408" t="s">
        <v>47</v>
      </c>
      <c r="C4408" t="s">
        <v>30</v>
      </c>
      <c r="D4408" t="s">
        <v>24</v>
      </c>
      <c r="E4408" t="s">
        <v>43</v>
      </c>
      <c r="F4408" s="9">
        <v>0.12</v>
      </c>
      <c r="G4408" s="10">
        <v>8498</v>
      </c>
      <c r="H4408">
        <v>2.27</v>
      </c>
      <c r="I4408" s="5">
        <f>ROUND(Marketing[[#This Row],[Clicks]]*Marketing[[#This Row],[Conversion_Rate]],0)</f>
        <v>19</v>
      </c>
      <c r="J4408" s="12">
        <f>Marketing[[#This Row],[Campaign_Cost]]/Marketing[[#This Row],[Customers]]</f>
        <v>447.26315789473682</v>
      </c>
      <c r="K4408" t="s">
        <v>19</v>
      </c>
      <c r="L4408" t="s">
        <v>50</v>
      </c>
      <c r="M4408">
        <v>157</v>
      </c>
      <c r="N4408">
        <v>8528</v>
      </c>
      <c r="O4408">
        <v>7</v>
      </c>
      <c r="P4408" t="s">
        <v>34</v>
      </c>
      <c r="Q4408" s="1">
        <v>44223</v>
      </c>
    </row>
    <row r="4409" spans="1:17" x14ac:dyDescent="0.3">
      <c r="A4409" t="s">
        <v>35</v>
      </c>
      <c r="B4409" t="s">
        <v>47</v>
      </c>
      <c r="C4409" t="s">
        <v>16</v>
      </c>
      <c r="D4409" t="s">
        <v>46</v>
      </c>
      <c r="E4409" t="s">
        <v>41</v>
      </c>
      <c r="F4409" s="9">
        <v>0.05</v>
      </c>
      <c r="G4409" s="10">
        <v>11622</v>
      </c>
      <c r="H4409">
        <v>3.73</v>
      </c>
      <c r="I4409" s="5">
        <f>ROUND(Marketing[[#This Row],[Clicks]]*Marketing[[#This Row],[Conversion_Rate]],0)</f>
        <v>45</v>
      </c>
      <c r="J4409" s="12">
        <f>Marketing[[#This Row],[Campaign_Cost]]/Marketing[[#This Row],[Customers]]</f>
        <v>258.26666666666665</v>
      </c>
      <c r="K4409" t="s">
        <v>38</v>
      </c>
      <c r="L4409" t="s">
        <v>20</v>
      </c>
      <c r="M4409">
        <v>896</v>
      </c>
      <c r="N4409">
        <v>8132</v>
      </c>
      <c r="O4409">
        <v>1</v>
      </c>
      <c r="P4409" t="s">
        <v>34</v>
      </c>
      <c r="Q4409" s="1">
        <v>44224</v>
      </c>
    </row>
    <row r="4410" spans="1:17" x14ac:dyDescent="0.3">
      <c r="A4410" t="s">
        <v>28</v>
      </c>
      <c r="B4410" t="s">
        <v>36</v>
      </c>
      <c r="C4410" t="s">
        <v>52</v>
      </c>
      <c r="D4410" t="s">
        <v>46</v>
      </c>
      <c r="E4410" t="s">
        <v>18</v>
      </c>
      <c r="F4410" s="9">
        <v>0.1</v>
      </c>
      <c r="G4410" s="10">
        <v>17059</v>
      </c>
      <c r="H4410">
        <v>3.89</v>
      </c>
      <c r="I4410" s="5">
        <f>ROUND(Marketing[[#This Row],[Clicks]]*Marketing[[#This Row],[Conversion_Rate]],0)</f>
        <v>36</v>
      </c>
      <c r="J4410" s="12">
        <f>Marketing[[#This Row],[Campaign_Cost]]/Marketing[[#This Row],[Customers]]</f>
        <v>473.86111111111109</v>
      </c>
      <c r="K4410" t="s">
        <v>51</v>
      </c>
      <c r="L4410" t="s">
        <v>39</v>
      </c>
      <c r="M4410">
        <v>362</v>
      </c>
      <c r="N4410">
        <v>9830</v>
      </c>
      <c r="O4410">
        <v>8</v>
      </c>
      <c r="P4410" t="s">
        <v>42</v>
      </c>
      <c r="Q4410" s="1">
        <v>44225</v>
      </c>
    </row>
    <row r="4411" spans="1:17" x14ac:dyDescent="0.3">
      <c r="A4411" t="s">
        <v>35</v>
      </c>
      <c r="B4411" t="s">
        <v>29</v>
      </c>
      <c r="C4411" t="s">
        <v>30</v>
      </c>
      <c r="D4411" t="s">
        <v>24</v>
      </c>
      <c r="E4411" t="s">
        <v>18</v>
      </c>
      <c r="F4411" s="9">
        <v>7.0000000000000007E-2</v>
      </c>
      <c r="G4411" s="10">
        <v>15297</v>
      </c>
      <c r="H4411">
        <v>7.75</v>
      </c>
      <c r="I4411" s="5">
        <f>ROUND(Marketing[[#This Row],[Clicks]]*Marketing[[#This Row],[Conversion_Rate]],0)</f>
        <v>57</v>
      </c>
      <c r="J4411" s="12">
        <f>Marketing[[#This Row],[Campaign_Cost]]/Marketing[[#This Row],[Customers]]</f>
        <v>268.36842105263156</v>
      </c>
      <c r="K4411" t="s">
        <v>38</v>
      </c>
      <c r="L4411" t="s">
        <v>33</v>
      </c>
      <c r="M4411">
        <v>820</v>
      </c>
      <c r="N4411">
        <v>1679</v>
      </c>
      <c r="O4411">
        <v>4</v>
      </c>
      <c r="P4411" t="s">
        <v>44</v>
      </c>
      <c r="Q4411" s="1">
        <v>44226</v>
      </c>
    </row>
    <row r="4412" spans="1:17" x14ac:dyDescent="0.3">
      <c r="A4412" t="s">
        <v>35</v>
      </c>
      <c r="B4412" t="s">
        <v>45</v>
      </c>
      <c r="C4412" t="s">
        <v>16</v>
      </c>
      <c r="D4412" t="s">
        <v>17</v>
      </c>
      <c r="E4412" t="s">
        <v>18</v>
      </c>
      <c r="F4412" s="9">
        <v>0.1</v>
      </c>
      <c r="G4412" s="10">
        <v>8611</v>
      </c>
      <c r="H4412">
        <v>3.52</v>
      </c>
      <c r="I4412" s="5">
        <f>ROUND(Marketing[[#This Row],[Clicks]]*Marketing[[#This Row],[Conversion_Rate]],0)</f>
        <v>39</v>
      </c>
      <c r="J4412" s="12">
        <f>Marketing[[#This Row],[Campaign_Cost]]/Marketing[[#This Row],[Customers]]</f>
        <v>220.7948717948718</v>
      </c>
      <c r="K4412" t="s">
        <v>38</v>
      </c>
      <c r="L4412" t="s">
        <v>26</v>
      </c>
      <c r="M4412">
        <v>390</v>
      </c>
      <c r="N4412">
        <v>9110</v>
      </c>
      <c r="O4412">
        <v>6</v>
      </c>
      <c r="P4412" t="s">
        <v>42</v>
      </c>
      <c r="Q4412" s="1">
        <v>44227</v>
      </c>
    </row>
    <row r="4413" spans="1:17" x14ac:dyDescent="0.3">
      <c r="A4413" t="s">
        <v>14</v>
      </c>
      <c r="B4413" t="s">
        <v>36</v>
      </c>
      <c r="C4413" t="s">
        <v>52</v>
      </c>
      <c r="D4413" t="s">
        <v>24</v>
      </c>
      <c r="E4413" t="s">
        <v>48</v>
      </c>
      <c r="F4413" s="9">
        <v>0.14000000000000001</v>
      </c>
      <c r="G4413" s="10">
        <v>6715</v>
      </c>
      <c r="H4413">
        <v>5.53</v>
      </c>
      <c r="I4413" s="5">
        <f>ROUND(Marketing[[#This Row],[Clicks]]*Marketing[[#This Row],[Conversion_Rate]],0)</f>
        <v>68</v>
      </c>
      <c r="J4413" s="12">
        <f>Marketing[[#This Row],[Campaign_Cost]]/Marketing[[#This Row],[Customers]]</f>
        <v>98.75</v>
      </c>
      <c r="K4413" t="s">
        <v>38</v>
      </c>
      <c r="L4413" t="s">
        <v>39</v>
      </c>
      <c r="M4413">
        <v>488</v>
      </c>
      <c r="N4413">
        <v>2307</v>
      </c>
      <c r="O4413">
        <v>9</v>
      </c>
      <c r="P4413" t="s">
        <v>44</v>
      </c>
      <c r="Q4413" s="1">
        <v>44228</v>
      </c>
    </row>
    <row r="4414" spans="1:17" x14ac:dyDescent="0.3">
      <c r="A4414" t="s">
        <v>49</v>
      </c>
      <c r="B4414" t="s">
        <v>36</v>
      </c>
      <c r="C4414" t="s">
        <v>16</v>
      </c>
      <c r="D4414" t="s">
        <v>24</v>
      </c>
      <c r="E4414" t="s">
        <v>43</v>
      </c>
      <c r="F4414" s="9">
        <v>0.02</v>
      </c>
      <c r="G4414" s="10">
        <v>6292</v>
      </c>
      <c r="H4414">
        <v>6.89</v>
      </c>
      <c r="I4414" s="5">
        <f>ROUND(Marketing[[#This Row],[Clicks]]*Marketing[[#This Row],[Conversion_Rate]],0)</f>
        <v>17</v>
      </c>
      <c r="J4414" s="12">
        <f>Marketing[[#This Row],[Campaign_Cost]]/Marketing[[#This Row],[Customers]]</f>
        <v>370.11764705882354</v>
      </c>
      <c r="K4414" t="s">
        <v>38</v>
      </c>
      <c r="L4414" t="s">
        <v>33</v>
      </c>
      <c r="M4414">
        <v>869</v>
      </c>
      <c r="N4414">
        <v>2805</v>
      </c>
      <c r="O4414">
        <v>8</v>
      </c>
      <c r="P4414" t="s">
        <v>27</v>
      </c>
      <c r="Q4414" s="1">
        <v>44229</v>
      </c>
    </row>
    <row r="4415" spans="1:17" x14ac:dyDescent="0.3">
      <c r="A4415" t="s">
        <v>22</v>
      </c>
      <c r="B4415" t="s">
        <v>29</v>
      </c>
      <c r="C4415" t="s">
        <v>16</v>
      </c>
      <c r="D4415" t="s">
        <v>40</v>
      </c>
      <c r="E4415" t="s">
        <v>41</v>
      </c>
      <c r="F4415" s="9">
        <v>0.03</v>
      </c>
      <c r="G4415" s="10">
        <v>10824</v>
      </c>
      <c r="H4415">
        <v>5.7</v>
      </c>
      <c r="I4415" s="5">
        <f>ROUND(Marketing[[#This Row],[Clicks]]*Marketing[[#This Row],[Conversion_Rate]],0)</f>
        <v>7</v>
      </c>
      <c r="J4415" s="12">
        <f>Marketing[[#This Row],[Campaign_Cost]]/Marketing[[#This Row],[Customers]]</f>
        <v>1546.2857142857142</v>
      </c>
      <c r="K4415" t="s">
        <v>19</v>
      </c>
      <c r="L4415" t="s">
        <v>50</v>
      </c>
      <c r="M4415">
        <v>247</v>
      </c>
      <c r="N4415">
        <v>9411</v>
      </c>
      <c r="O4415">
        <v>9</v>
      </c>
      <c r="P4415" t="s">
        <v>27</v>
      </c>
      <c r="Q4415" s="1">
        <v>44230</v>
      </c>
    </row>
    <row r="4416" spans="1:17" x14ac:dyDescent="0.3">
      <c r="A4416" t="s">
        <v>49</v>
      </c>
      <c r="B4416" t="s">
        <v>15</v>
      </c>
      <c r="C4416" t="s">
        <v>52</v>
      </c>
      <c r="D4416" t="s">
        <v>46</v>
      </c>
      <c r="E4416" t="s">
        <v>41</v>
      </c>
      <c r="F4416" s="9">
        <v>0.15</v>
      </c>
      <c r="G4416" s="10">
        <v>5643</v>
      </c>
      <c r="H4416">
        <v>2.57</v>
      </c>
      <c r="I4416" s="5">
        <f>ROUND(Marketing[[#This Row],[Clicks]]*Marketing[[#This Row],[Conversion_Rate]],0)</f>
        <v>135</v>
      </c>
      <c r="J4416" s="12">
        <f>Marketing[[#This Row],[Campaign_Cost]]/Marketing[[#This Row],[Customers]]</f>
        <v>41.8</v>
      </c>
      <c r="K4416" t="s">
        <v>19</v>
      </c>
      <c r="L4416" t="s">
        <v>39</v>
      </c>
      <c r="M4416">
        <v>901</v>
      </c>
      <c r="N4416">
        <v>7655</v>
      </c>
      <c r="O4416">
        <v>4</v>
      </c>
      <c r="P4416" t="s">
        <v>21</v>
      </c>
      <c r="Q4416" s="1">
        <v>44231</v>
      </c>
    </row>
    <row r="4417" spans="1:17" x14ac:dyDescent="0.3">
      <c r="A4417" t="s">
        <v>14</v>
      </c>
      <c r="B4417" t="s">
        <v>45</v>
      </c>
      <c r="C4417" t="s">
        <v>30</v>
      </c>
      <c r="D4417" t="s">
        <v>40</v>
      </c>
      <c r="E4417" t="s">
        <v>15</v>
      </c>
      <c r="F4417" s="9">
        <v>0.12</v>
      </c>
      <c r="G4417" s="10">
        <v>6345</v>
      </c>
      <c r="H4417">
        <v>6.85</v>
      </c>
      <c r="I4417" s="5">
        <f>ROUND(Marketing[[#This Row],[Clicks]]*Marketing[[#This Row],[Conversion_Rate]],0)</f>
        <v>21</v>
      </c>
      <c r="J4417" s="12">
        <f>Marketing[[#This Row],[Campaign_Cost]]/Marketing[[#This Row],[Customers]]</f>
        <v>302.14285714285717</v>
      </c>
      <c r="K4417" t="s">
        <v>32</v>
      </c>
      <c r="L4417" t="s">
        <v>26</v>
      </c>
      <c r="M4417">
        <v>179</v>
      </c>
      <c r="N4417">
        <v>6740</v>
      </c>
      <c r="O4417">
        <v>1</v>
      </c>
      <c r="P4417" t="s">
        <v>34</v>
      </c>
      <c r="Q4417" s="1">
        <v>44232</v>
      </c>
    </row>
    <row r="4418" spans="1:17" x14ac:dyDescent="0.3">
      <c r="A4418" t="s">
        <v>14</v>
      </c>
      <c r="B4418" t="s">
        <v>36</v>
      </c>
      <c r="C4418" t="s">
        <v>52</v>
      </c>
      <c r="D4418" t="s">
        <v>40</v>
      </c>
      <c r="E4418" t="s">
        <v>41</v>
      </c>
      <c r="F4418" s="9">
        <v>0.04</v>
      </c>
      <c r="G4418" s="10">
        <v>19053</v>
      </c>
      <c r="H4418">
        <v>3.45</v>
      </c>
      <c r="I4418" s="5">
        <f>ROUND(Marketing[[#This Row],[Clicks]]*Marketing[[#This Row],[Conversion_Rate]],0)</f>
        <v>27</v>
      </c>
      <c r="J4418" s="12">
        <f>Marketing[[#This Row],[Campaign_Cost]]/Marketing[[#This Row],[Customers]]</f>
        <v>705.66666666666663</v>
      </c>
      <c r="K4418" t="s">
        <v>25</v>
      </c>
      <c r="L4418" t="s">
        <v>50</v>
      </c>
      <c r="M4418">
        <v>666</v>
      </c>
      <c r="N4418">
        <v>7167</v>
      </c>
      <c r="O4418">
        <v>6</v>
      </c>
      <c r="P4418" t="s">
        <v>42</v>
      </c>
      <c r="Q4418" s="1">
        <v>44233</v>
      </c>
    </row>
    <row r="4419" spans="1:17" x14ac:dyDescent="0.3">
      <c r="A4419" t="s">
        <v>22</v>
      </c>
      <c r="B4419" t="s">
        <v>15</v>
      </c>
      <c r="C4419" t="s">
        <v>37</v>
      </c>
      <c r="D4419" t="s">
        <v>40</v>
      </c>
      <c r="E4419" t="s">
        <v>43</v>
      </c>
      <c r="F4419" s="9">
        <v>0.09</v>
      </c>
      <c r="G4419" s="10">
        <v>17831</v>
      </c>
      <c r="H4419">
        <v>4.8099999999999996</v>
      </c>
      <c r="I4419" s="5">
        <f>ROUND(Marketing[[#This Row],[Clicks]]*Marketing[[#This Row],[Conversion_Rate]],0)</f>
        <v>30</v>
      </c>
      <c r="J4419" s="12">
        <f>Marketing[[#This Row],[Campaign_Cost]]/Marketing[[#This Row],[Customers]]</f>
        <v>594.36666666666667</v>
      </c>
      <c r="K4419" t="s">
        <v>51</v>
      </c>
      <c r="L4419" t="s">
        <v>50</v>
      </c>
      <c r="M4419">
        <v>328</v>
      </c>
      <c r="N4419">
        <v>6353</v>
      </c>
      <c r="O4419">
        <v>8</v>
      </c>
      <c r="P4419" t="s">
        <v>34</v>
      </c>
      <c r="Q4419" s="1">
        <v>44234</v>
      </c>
    </row>
    <row r="4420" spans="1:17" x14ac:dyDescent="0.3">
      <c r="A4420" t="s">
        <v>22</v>
      </c>
      <c r="B4420" t="s">
        <v>47</v>
      </c>
      <c r="C4420" t="s">
        <v>23</v>
      </c>
      <c r="D4420" t="s">
        <v>46</v>
      </c>
      <c r="E4420" t="s">
        <v>41</v>
      </c>
      <c r="F4420" s="9">
        <v>0.05</v>
      </c>
      <c r="G4420" s="10">
        <v>7777</v>
      </c>
      <c r="H4420">
        <v>7.96</v>
      </c>
      <c r="I4420" s="5">
        <f>ROUND(Marketing[[#This Row],[Clicks]]*Marketing[[#This Row],[Conversion_Rate]],0)</f>
        <v>6</v>
      </c>
      <c r="J4420" s="12">
        <f>Marketing[[#This Row],[Campaign_Cost]]/Marketing[[#This Row],[Customers]]</f>
        <v>1296.1666666666667</v>
      </c>
      <c r="K4420" t="s">
        <v>32</v>
      </c>
      <c r="L4420" t="s">
        <v>26</v>
      </c>
      <c r="M4420">
        <v>115</v>
      </c>
      <c r="N4420">
        <v>5033</v>
      </c>
      <c r="O4420">
        <v>4</v>
      </c>
      <c r="P4420" t="s">
        <v>27</v>
      </c>
      <c r="Q4420" s="1">
        <v>44235</v>
      </c>
    </row>
    <row r="4421" spans="1:17" x14ac:dyDescent="0.3">
      <c r="A4421" t="s">
        <v>22</v>
      </c>
      <c r="B4421" t="s">
        <v>47</v>
      </c>
      <c r="C4421" t="s">
        <v>30</v>
      </c>
      <c r="D4421" t="s">
        <v>24</v>
      </c>
      <c r="E4421" t="s">
        <v>41</v>
      </c>
      <c r="F4421" s="9">
        <v>7.0000000000000007E-2</v>
      </c>
      <c r="G4421" s="10">
        <v>11278</v>
      </c>
      <c r="H4421">
        <v>6.25</v>
      </c>
      <c r="I4421" s="5">
        <f>ROUND(Marketing[[#This Row],[Clicks]]*Marketing[[#This Row],[Conversion_Rate]],0)</f>
        <v>52</v>
      </c>
      <c r="J4421" s="12">
        <f>Marketing[[#This Row],[Campaign_Cost]]/Marketing[[#This Row],[Customers]]</f>
        <v>216.88461538461539</v>
      </c>
      <c r="K4421" t="s">
        <v>19</v>
      </c>
      <c r="L4421" t="s">
        <v>26</v>
      </c>
      <c r="M4421">
        <v>739</v>
      </c>
      <c r="N4421">
        <v>8691</v>
      </c>
      <c r="O4421">
        <v>6</v>
      </c>
      <c r="P4421" t="s">
        <v>42</v>
      </c>
      <c r="Q4421" s="1">
        <v>44236</v>
      </c>
    </row>
    <row r="4422" spans="1:17" x14ac:dyDescent="0.3">
      <c r="A4422" t="s">
        <v>22</v>
      </c>
      <c r="B4422" t="s">
        <v>29</v>
      </c>
      <c r="C4422" t="s">
        <v>37</v>
      </c>
      <c r="D4422" t="s">
        <v>40</v>
      </c>
      <c r="E4422" t="s">
        <v>43</v>
      </c>
      <c r="F4422" s="9">
        <v>0.08</v>
      </c>
      <c r="G4422" s="10">
        <v>15010</v>
      </c>
      <c r="H4422">
        <v>2.46</v>
      </c>
      <c r="I4422" s="5">
        <f>ROUND(Marketing[[#This Row],[Clicks]]*Marketing[[#This Row],[Conversion_Rate]],0)</f>
        <v>49</v>
      </c>
      <c r="J4422" s="12">
        <f>Marketing[[#This Row],[Campaign_Cost]]/Marketing[[#This Row],[Customers]]</f>
        <v>306.32653061224488</v>
      </c>
      <c r="K4422" t="s">
        <v>25</v>
      </c>
      <c r="L4422" t="s">
        <v>20</v>
      </c>
      <c r="M4422">
        <v>617</v>
      </c>
      <c r="N4422">
        <v>9898</v>
      </c>
      <c r="O4422">
        <v>4</v>
      </c>
      <c r="P4422" t="s">
        <v>34</v>
      </c>
      <c r="Q4422" s="1">
        <v>44237</v>
      </c>
    </row>
    <row r="4423" spans="1:17" x14ac:dyDescent="0.3">
      <c r="A4423" t="s">
        <v>22</v>
      </c>
      <c r="B4423" t="s">
        <v>29</v>
      </c>
      <c r="C4423" t="s">
        <v>52</v>
      </c>
      <c r="D4423" t="s">
        <v>24</v>
      </c>
      <c r="E4423" t="s">
        <v>41</v>
      </c>
      <c r="F4423" s="9">
        <v>0.14000000000000001</v>
      </c>
      <c r="G4423" s="10">
        <v>10142</v>
      </c>
      <c r="H4423">
        <v>5.72</v>
      </c>
      <c r="I4423" s="5">
        <f>ROUND(Marketing[[#This Row],[Clicks]]*Marketing[[#This Row],[Conversion_Rate]],0)</f>
        <v>135</v>
      </c>
      <c r="J4423" s="12">
        <f>Marketing[[#This Row],[Campaign_Cost]]/Marketing[[#This Row],[Customers]]</f>
        <v>75.125925925925927</v>
      </c>
      <c r="K4423" t="s">
        <v>19</v>
      </c>
      <c r="L4423" t="s">
        <v>20</v>
      </c>
      <c r="M4423">
        <v>963</v>
      </c>
      <c r="N4423">
        <v>9250</v>
      </c>
      <c r="O4423">
        <v>2</v>
      </c>
      <c r="P4423" t="s">
        <v>44</v>
      </c>
      <c r="Q4423" s="1">
        <v>44238</v>
      </c>
    </row>
    <row r="4424" spans="1:17" x14ac:dyDescent="0.3">
      <c r="A4424" t="s">
        <v>22</v>
      </c>
      <c r="B4424" t="s">
        <v>36</v>
      </c>
      <c r="C4424" t="s">
        <v>37</v>
      </c>
      <c r="D4424" t="s">
        <v>46</v>
      </c>
      <c r="E4424" t="s">
        <v>48</v>
      </c>
      <c r="F4424" s="9">
        <v>0.11</v>
      </c>
      <c r="G4424" s="10">
        <v>18131</v>
      </c>
      <c r="H4424">
        <v>4.67</v>
      </c>
      <c r="I4424" s="5">
        <f>ROUND(Marketing[[#This Row],[Clicks]]*Marketing[[#This Row],[Conversion_Rate]],0)</f>
        <v>99</v>
      </c>
      <c r="J4424" s="12">
        <f>Marketing[[#This Row],[Campaign_Cost]]/Marketing[[#This Row],[Customers]]</f>
        <v>183.14141414141415</v>
      </c>
      <c r="K4424" t="s">
        <v>25</v>
      </c>
      <c r="L4424" t="s">
        <v>20</v>
      </c>
      <c r="M4424">
        <v>899</v>
      </c>
      <c r="N4424">
        <v>8154</v>
      </c>
      <c r="O4424">
        <v>2</v>
      </c>
      <c r="P4424" t="s">
        <v>27</v>
      </c>
      <c r="Q4424" s="1">
        <v>44239</v>
      </c>
    </row>
    <row r="4425" spans="1:17" x14ac:dyDescent="0.3">
      <c r="A4425" t="s">
        <v>22</v>
      </c>
      <c r="B4425" t="s">
        <v>47</v>
      </c>
      <c r="C4425" t="s">
        <v>52</v>
      </c>
      <c r="D4425" t="s">
        <v>46</v>
      </c>
      <c r="E4425" t="s">
        <v>43</v>
      </c>
      <c r="F4425" s="9">
        <v>0.01</v>
      </c>
      <c r="G4425" s="10">
        <v>7027</v>
      </c>
      <c r="H4425">
        <v>3.03</v>
      </c>
      <c r="I4425" s="5">
        <f>ROUND(Marketing[[#This Row],[Clicks]]*Marketing[[#This Row],[Conversion_Rate]],0)</f>
        <v>7</v>
      </c>
      <c r="J4425" s="12">
        <f>Marketing[[#This Row],[Campaign_Cost]]/Marketing[[#This Row],[Customers]]</f>
        <v>1003.8571428571429</v>
      </c>
      <c r="K4425" t="s">
        <v>38</v>
      </c>
      <c r="L4425" t="s">
        <v>50</v>
      </c>
      <c r="M4425">
        <v>666</v>
      </c>
      <c r="N4425">
        <v>7573</v>
      </c>
      <c r="O4425">
        <v>6</v>
      </c>
      <c r="P4425" t="s">
        <v>44</v>
      </c>
      <c r="Q4425" s="1">
        <v>44240</v>
      </c>
    </row>
    <row r="4426" spans="1:17" x14ac:dyDescent="0.3">
      <c r="A4426" t="s">
        <v>49</v>
      </c>
      <c r="B4426" t="s">
        <v>36</v>
      </c>
      <c r="C4426" t="s">
        <v>30</v>
      </c>
      <c r="D4426" t="s">
        <v>46</v>
      </c>
      <c r="E4426" t="s">
        <v>15</v>
      </c>
      <c r="F4426" s="9">
        <v>0.09</v>
      </c>
      <c r="G4426" s="10">
        <v>5979</v>
      </c>
      <c r="H4426">
        <v>2.72</v>
      </c>
      <c r="I4426" s="5">
        <f>ROUND(Marketing[[#This Row],[Clicks]]*Marketing[[#This Row],[Conversion_Rate]],0)</f>
        <v>17</v>
      </c>
      <c r="J4426" s="12">
        <f>Marketing[[#This Row],[Campaign_Cost]]/Marketing[[#This Row],[Customers]]</f>
        <v>351.70588235294116</v>
      </c>
      <c r="K4426" t="s">
        <v>38</v>
      </c>
      <c r="L4426" t="s">
        <v>39</v>
      </c>
      <c r="M4426">
        <v>187</v>
      </c>
      <c r="N4426">
        <v>2223</v>
      </c>
      <c r="O4426">
        <v>1</v>
      </c>
      <c r="P4426" t="s">
        <v>34</v>
      </c>
      <c r="Q4426" s="1">
        <v>44241</v>
      </c>
    </row>
    <row r="4427" spans="1:17" x14ac:dyDescent="0.3">
      <c r="A4427" t="s">
        <v>28</v>
      </c>
      <c r="B4427" t="s">
        <v>36</v>
      </c>
      <c r="C4427" t="s">
        <v>16</v>
      </c>
      <c r="D4427" t="s">
        <v>46</v>
      </c>
      <c r="E4427" t="s">
        <v>18</v>
      </c>
      <c r="F4427" s="9">
        <v>0.12</v>
      </c>
      <c r="G4427" s="10">
        <v>13168</v>
      </c>
      <c r="H4427">
        <v>5.95</v>
      </c>
      <c r="I4427" s="5">
        <f>ROUND(Marketing[[#This Row],[Clicks]]*Marketing[[#This Row],[Conversion_Rate]],0)</f>
        <v>58</v>
      </c>
      <c r="J4427" s="12">
        <f>Marketing[[#This Row],[Campaign_Cost]]/Marketing[[#This Row],[Customers]]</f>
        <v>227.0344827586207</v>
      </c>
      <c r="K4427" t="s">
        <v>32</v>
      </c>
      <c r="L4427" t="s">
        <v>20</v>
      </c>
      <c r="M4427">
        <v>481</v>
      </c>
      <c r="N4427">
        <v>6815</v>
      </c>
      <c r="O4427">
        <v>5</v>
      </c>
      <c r="P4427" t="s">
        <v>34</v>
      </c>
      <c r="Q4427" s="1">
        <v>44242</v>
      </c>
    </row>
    <row r="4428" spans="1:17" x14ac:dyDescent="0.3">
      <c r="A4428" t="s">
        <v>49</v>
      </c>
      <c r="B4428" t="s">
        <v>15</v>
      </c>
      <c r="C4428" t="s">
        <v>52</v>
      </c>
      <c r="D4428" t="s">
        <v>17</v>
      </c>
      <c r="E4428" t="s">
        <v>31</v>
      </c>
      <c r="F4428" s="9">
        <v>0.1</v>
      </c>
      <c r="G4428" s="10">
        <v>5195</v>
      </c>
      <c r="H4428">
        <v>3.81</v>
      </c>
      <c r="I4428" s="5">
        <f>ROUND(Marketing[[#This Row],[Clicks]]*Marketing[[#This Row],[Conversion_Rate]],0)</f>
        <v>55</v>
      </c>
      <c r="J4428" s="12">
        <f>Marketing[[#This Row],[Campaign_Cost]]/Marketing[[#This Row],[Customers]]</f>
        <v>94.454545454545453</v>
      </c>
      <c r="K4428" t="s">
        <v>51</v>
      </c>
      <c r="L4428" t="s">
        <v>33</v>
      </c>
      <c r="M4428">
        <v>546</v>
      </c>
      <c r="N4428">
        <v>6971</v>
      </c>
      <c r="O4428">
        <v>6</v>
      </c>
      <c r="P4428" t="s">
        <v>21</v>
      </c>
      <c r="Q4428" s="1">
        <v>44243</v>
      </c>
    </row>
    <row r="4429" spans="1:17" x14ac:dyDescent="0.3">
      <c r="A4429" t="s">
        <v>14</v>
      </c>
      <c r="B4429" t="s">
        <v>36</v>
      </c>
      <c r="C4429" t="s">
        <v>16</v>
      </c>
      <c r="D4429" t="s">
        <v>17</v>
      </c>
      <c r="E4429" t="s">
        <v>31</v>
      </c>
      <c r="F4429" s="9">
        <v>0.04</v>
      </c>
      <c r="G4429" s="10">
        <v>10459</v>
      </c>
      <c r="H4429">
        <v>4.3899999999999997</v>
      </c>
      <c r="I4429" s="5">
        <f>ROUND(Marketing[[#This Row],[Clicks]]*Marketing[[#This Row],[Conversion_Rate]],0)</f>
        <v>32</v>
      </c>
      <c r="J4429" s="12">
        <f>Marketing[[#This Row],[Campaign_Cost]]/Marketing[[#This Row],[Customers]]</f>
        <v>326.84375</v>
      </c>
      <c r="K4429" t="s">
        <v>38</v>
      </c>
      <c r="L4429" t="s">
        <v>39</v>
      </c>
      <c r="M4429">
        <v>797</v>
      </c>
      <c r="N4429">
        <v>7411</v>
      </c>
      <c r="O4429">
        <v>2</v>
      </c>
      <c r="P4429" t="s">
        <v>34</v>
      </c>
      <c r="Q4429" s="1">
        <v>44244</v>
      </c>
    </row>
    <row r="4430" spans="1:17" x14ac:dyDescent="0.3">
      <c r="A4430" t="s">
        <v>28</v>
      </c>
      <c r="B4430" t="s">
        <v>47</v>
      </c>
      <c r="C4430" t="s">
        <v>30</v>
      </c>
      <c r="D4430" t="s">
        <v>17</v>
      </c>
      <c r="E4430" t="s">
        <v>43</v>
      </c>
      <c r="F4430" s="9">
        <v>0.05</v>
      </c>
      <c r="G4430" s="10">
        <v>5775</v>
      </c>
      <c r="H4430">
        <v>7.18</v>
      </c>
      <c r="I4430" s="5">
        <f>ROUND(Marketing[[#This Row],[Clicks]]*Marketing[[#This Row],[Conversion_Rate]],0)</f>
        <v>33</v>
      </c>
      <c r="J4430" s="12">
        <f>Marketing[[#This Row],[Campaign_Cost]]/Marketing[[#This Row],[Customers]]</f>
        <v>175</v>
      </c>
      <c r="K4430" t="s">
        <v>32</v>
      </c>
      <c r="L4430" t="s">
        <v>50</v>
      </c>
      <c r="M4430">
        <v>658</v>
      </c>
      <c r="N4430">
        <v>2097</v>
      </c>
      <c r="O4430">
        <v>2</v>
      </c>
      <c r="P4430" t="s">
        <v>21</v>
      </c>
      <c r="Q4430" s="1">
        <v>44245</v>
      </c>
    </row>
    <row r="4431" spans="1:17" x14ac:dyDescent="0.3">
      <c r="A4431" t="s">
        <v>49</v>
      </c>
      <c r="B4431" t="s">
        <v>15</v>
      </c>
      <c r="C4431" t="s">
        <v>52</v>
      </c>
      <c r="D4431" t="s">
        <v>46</v>
      </c>
      <c r="E4431" t="s">
        <v>31</v>
      </c>
      <c r="F4431" s="9">
        <v>0.09</v>
      </c>
      <c r="G4431" s="10">
        <v>5609</v>
      </c>
      <c r="H4431">
        <v>3.91</v>
      </c>
      <c r="I4431" s="5">
        <f>ROUND(Marketing[[#This Row],[Clicks]]*Marketing[[#This Row],[Conversion_Rate]],0)</f>
        <v>69</v>
      </c>
      <c r="J4431" s="12">
        <f>Marketing[[#This Row],[Campaign_Cost]]/Marketing[[#This Row],[Customers]]</f>
        <v>81.289855072463766</v>
      </c>
      <c r="K4431" t="s">
        <v>19</v>
      </c>
      <c r="L4431" t="s">
        <v>33</v>
      </c>
      <c r="M4431">
        <v>764</v>
      </c>
      <c r="N4431">
        <v>3957</v>
      </c>
      <c r="O4431">
        <v>10</v>
      </c>
      <c r="P4431" t="s">
        <v>44</v>
      </c>
      <c r="Q4431" s="1">
        <v>44246</v>
      </c>
    </row>
    <row r="4432" spans="1:17" x14ac:dyDescent="0.3">
      <c r="A4432" t="s">
        <v>22</v>
      </c>
      <c r="B4432" t="s">
        <v>47</v>
      </c>
      <c r="C4432" t="s">
        <v>16</v>
      </c>
      <c r="D4432" t="s">
        <v>40</v>
      </c>
      <c r="E4432" t="s">
        <v>18</v>
      </c>
      <c r="F4432" s="9">
        <v>0.15</v>
      </c>
      <c r="G4432" s="10">
        <v>6503</v>
      </c>
      <c r="H4432">
        <v>5.72</v>
      </c>
      <c r="I4432" s="5">
        <f>ROUND(Marketing[[#This Row],[Clicks]]*Marketing[[#This Row],[Conversion_Rate]],0)</f>
        <v>134</v>
      </c>
      <c r="J4432" s="12">
        <f>Marketing[[#This Row],[Campaign_Cost]]/Marketing[[#This Row],[Customers]]</f>
        <v>48.529850746268657</v>
      </c>
      <c r="K4432" t="s">
        <v>25</v>
      </c>
      <c r="L4432" t="s">
        <v>26</v>
      </c>
      <c r="M4432">
        <v>895</v>
      </c>
      <c r="N4432">
        <v>5628</v>
      </c>
      <c r="O4432">
        <v>8</v>
      </c>
      <c r="P4432" t="s">
        <v>21</v>
      </c>
      <c r="Q4432" s="1">
        <v>44247</v>
      </c>
    </row>
    <row r="4433" spans="1:17" x14ac:dyDescent="0.3">
      <c r="A4433" t="s">
        <v>14</v>
      </c>
      <c r="B4433" t="s">
        <v>47</v>
      </c>
      <c r="C4433" t="s">
        <v>23</v>
      </c>
      <c r="D4433" t="s">
        <v>24</v>
      </c>
      <c r="E4433" t="s">
        <v>43</v>
      </c>
      <c r="F4433" s="9">
        <v>0.13</v>
      </c>
      <c r="G4433" s="10">
        <v>12576</v>
      </c>
      <c r="H4433">
        <v>7.5</v>
      </c>
      <c r="I4433" s="5">
        <f>ROUND(Marketing[[#This Row],[Clicks]]*Marketing[[#This Row],[Conversion_Rate]],0)</f>
        <v>77</v>
      </c>
      <c r="J4433" s="12">
        <f>Marketing[[#This Row],[Campaign_Cost]]/Marketing[[#This Row],[Customers]]</f>
        <v>163.32467532467533</v>
      </c>
      <c r="K4433" t="s">
        <v>25</v>
      </c>
      <c r="L4433" t="s">
        <v>50</v>
      </c>
      <c r="M4433">
        <v>596</v>
      </c>
      <c r="N4433">
        <v>2127</v>
      </c>
      <c r="O4433">
        <v>3</v>
      </c>
      <c r="P4433" t="s">
        <v>42</v>
      </c>
      <c r="Q4433" s="1">
        <v>44248</v>
      </c>
    </row>
    <row r="4434" spans="1:17" x14ac:dyDescent="0.3">
      <c r="A4434" t="s">
        <v>22</v>
      </c>
      <c r="B4434" t="s">
        <v>45</v>
      </c>
      <c r="C4434" t="s">
        <v>37</v>
      </c>
      <c r="D4434" t="s">
        <v>40</v>
      </c>
      <c r="E4434" t="s">
        <v>31</v>
      </c>
      <c r="F4434" s="9">
        <v>0.13</v>
      </c>
      <c r="G4434" s="10">
        <v>18577</v>
      </c>
      <c r="H4434">
        <v>7.66</v>
      </c>
      <c r="I4434" s="5">
        <f>ROUND(Marketing[[#This Row],[Clicks]]*Marketing[[#This Row],[Conversion_Rate]],0)</f>
        <v>36</v>
      </c>
      <c r="J4434" s="12">
        <f>Marketing[[#This Row],[Campaign_Cost]]/Marketing[[#This Row],[Customers]]</f>
        <v>516.02777777777783</v>
      </c>
      <c r="K4434" t="s">
        <v>51</v>
      </c>
      <c r="L4434" t="s">
        <v>20</v>
      </c>
      <c r="M4434">
        <v>275</v>
      </c>
      <c r="N4434">
        <v>9280</v>
      </c>
      <c r="O4434">
        <v>5</v>
      </c>
      <c r="P4434" t="s">
        <v>21</v>
      </c>
      <c r="Q4434" s="1">
        <v>44249</v>
      </c>
    </row>
    <row r="4435" spans="1:17" x14ac:dyDescent="0.3">
      <c r="A4435" t="s">
        <v>49</v>
      </c>
      <c r="B4435" t="s">
        <v>36</v>
      </c>
      <c r="C4435" t="s">
        <v>16</v>
      </c>
      <c r="D4435" t="s">
        <v>17</v>
      </c>
      <c r="E4435" t="s">
        <v>43</v>
      </c>
      <c r="F4435" s="9">
        <v>0.08</v>
      </c>
      <c r="G4435" s="10">
        <v>6261</v>
      </c>
      <c r="H4435">
        <v>2.25</v>
      </c>
      <c r="I4435" s="5">
        <f>ROUND(Marketing[[#This Row],[Clicks]]*Marketing[[#This Row],[Conversion_Rate]],0)</f>
        <v>50</v>
      </c>
      <c r="J4435" s="12">
        <f>Marketing[[#This Row],[Campaign_Cost]]/Marketing[[#This Row],[Customers]]</f>
        <v>125.22</v>
      </c>
      <c r="K4435" t="s">
        <v>38</v>
      </c>
      <c r="L4435" t="s">
        <v>20</v>
      </c>
      <c r="M4435">
        <v>622</v>
      </c>
      <c r="N4435">
        <v>8693</v>
      </c>
      <c r="O4435">
        <v>3</v>
      </c>
      <c r="P4435" t="s">
        <v>21</v>
      </c>
      <c r="Q4435" s="1">
        <v>44250</v>
      </c>
    </row>
    <row r="4436" spans="1:17" x14ac:dyDescent="0.3">
      <c r="A4436" t="s">
        <v>35</v>
      </c>
      <c r="B4436" t="s">
        <v>15</v>
      </c>
      <c r="C4436" t="s">
        <v>16</v>
      </c>
      <c r="D4436" t="s">
        <v>40</v>
      </c>
      <c r="E4436" t="s">
        <v>31</v>
      </c>
      <c r="F4436" s="9">
        <v>0.13</v>
      </c>
      <c r="G4436" s="10">
        <v>9138</v>
      </c>
      <c r="H4436">
        <v>2.85</v>
      </c>
      <c r="I4436" s="5">
        <f>ROUND(Marketing[[#This Row],[Clicks]]*Marketing[[#This Row],[Conversion_Rate]],0)</f>
        <v>93</v>
      </c>
      <c r="J4436" s="12">
        <f>Marketing[[#This Row],[Campaign_Cost]]/Marketing[[#This Row],[Customers]]</f>
        <v>98.258064516129039</v>
      </c>
      <c r="K4436" t="s">
        <v>19</v>
      </c>
      <c r="L4436" t="s">
        <v>39</v>
      </c>
      <c r="M4436">
        <v>717</v>
      </c>
      <c r="N4436">
        <v>3817</v>
      </c>
      <c r="O4436">
        <v>10</v>
      </c>
      <c r="P4436" t="s">
        <v>27</v>
      </c>
      <c r="Q4436" s="1">
        <v>44251</v>
      </c>
    </row>
    <row r="4437" spans="1:17" x14ac:dyDescent="0.3">
      <c r="A4437" t="s">
        <v>35</v>
      </c>
      <c r="B4437" t="s">
        <v>45</v>
      </c>
      <c r="C4437" t="s">
        <v>37</v>
      </c>
      <c r="D4437" t="s">
        <v>24</v>
      </c>
      <c r="E4437" t="s">
        <v>41</v>
      </c>
      <c r="F4437" s="9">
        <v>0.15</v>
      </c>
      <c r="G4437" s="10">
        <v>5884</v>
      </c>
      <c r="H4437">
        <v>2.0299999999999998</v>
      </c>
      <c r="I4437" s="5">
        <f>ROUND(Marketing[[#This Row],[Clicks]]*Marketing[[#This Row],[Conversion_Rate]],0)</f>
        <v>134</v>
      </c>
      <c r="J4437" s="12">
        <f>Marketing[[#This Row],[Campaign_Cost]]/Marketing[[#This Row],[Customers]]</f>
        <v>43.910447761194028</v>
      </c>
      <c r="K4437" t="s">
        <v>51</v>
      </c>
      <c r="L4437" t="s">
        <v>39</v>
      </c>
      <c r="M4437">
        <v>895</v>
      </c>
      <c r="N4437">
        <v>1617</v>
      </c>
      <c r="O4437">
        <v>9</v>
      </c>
      <c r="P4437" t="s">
        <v>27</v>
      </c>
      <c r="Q4437" s="1">
        <v>44252</v>
      </c>
    </row>
    <row r="4438" spans="1:17" x14ac:dyDescent="0.3">
      <c r="A4438" t="s">
        <v>35</v>
      </c>
      <c r="B4438" t="s">
        <v>47</v>
      </c>
      <c r="C4438" t="s">
        <v>37</v>
      </c>
      <c r="D4438" t="s">
        <v>17</v>
      </c>
      <c r="E4438" t="s">
        <v>18</v>
      </c>
      <c r="F4438" s="9">
        <v>0.09</v>
      </c>
      <c r="G4438" s="10">
        <v>15342</v>
      </c>
      <c r="H4438">
        <v>4.8</v>
      </c>
      <c r="I4438" s="5">
        <f>ROUND(Marketing[[#This Row],[Clicks]]*Marketing[[#This Row],[Conversion_Rate]],0)</f>
        <v>34</v>
      </c>
      <c r="J4438" s="12">
        <f>Marketing[[#This Row],[Campaign_Cost]]/Marketing[[#This Row],[Customers]]</f>
        <v>451.23529411764707</v>
      </c>
      <c r="K4438" t="s">
        <v>51</v>
      </c>
      <c r="L4438" t="s">
        <v>20</v>
      </c>
      <c r="M4438">
        <v>375</v>
      </c>
      <c r="N4438">
        <v>3460</v>
      </c>
      <c r="O4438">
        <v>2</v>
      </c>
      <c r="P4438" t="s">
        <v>27</v>
      </c>
      <c r="Q4438" s="1">
        <v>44253</v>
      </c>
    </row>
    <row r="4439" spans="1:17" x14ac:dyDescent="0.3">
      <c r="A4439" t="s">
        <v>35</v>
      </c>
      <c r="B4439" t="s">
        <v>45</v>
      </c>
      <c r="C4439" t="s">
        <v>16</v>
      </c>
      <c r="D4439" t="s">
        <v>46</v>
      </c>
      <c r="E4439" t="s">
        <v>48</v>
      </c>
      <c r="F4439" s="9">
        <v>0.02</v>
      </c>
      <c r="G4439" s="10">
        <v>6386</v>
      </c>
      <c r="H4439">
        <v>7.73</v>
      </c>
      <c r="I4439" s="5">
        <f>ROUND(Marketing[[#This Row],[Clicks]]*Marketing[[#This Row],[Conversion_Rate]],0)</f>
        <v>11</v>
      </c>
      <c r="J4439" s="12">
        <f>Marketing[[#This Row],[Campaign_Cost]]/Marketing[[#This Row],[Customers]]</f>
        <v>580.5454545454545</v>
      </c>
      <c r="K4439" t="s">
        <v>51</v>
      </c>
      <c r="L4439" t="s">
        <v>39</v>
      </c>
      <c r="M4439">
        <v>560</v>
      </c>
      <c r="N4439">
        <v>3564</v>
      </c>
      <c r="O4439">
        <v>9</v>
      </c>
      <c r="P4439" t="s">
        <v>44</v>
      </c>
      <c r="Q4439" s="1">
        <v>44254</v>
      </c>
    </row>
    <row r="4440" spans="1:17" x14ac:dyDescent="0.3">
      <c r="A4440" t="s">
        <v>49</v>
      </c>
      <c r="B4440" t="s">
        <v>47</v>
      </c>
      <c r="C4440" t="s">
        <v>23</v>
      </c>
      <c r="D4440" t="s">
        <v>24</v>
      </c>
      <c r="E4440" t="s">
        <v>18</v>
      </c>
      <c r="F4440" s="9">
        <v>0.05</v>
      </c>
      <c r="G4440" s="10">
        <v>18231</v>
      </c>
      <c r="H4440">
        <v>6.79</v>
      </c>
      <c r="I4440" s="5">
        <f>ROUND(Marketing[[#This Row],[Clicks]]*Marketing[[#This Row],[Conversion_Rate]],0)</f>
        <v>9</v>
      </c>
      <c r="J4440" s="12">
        <f>Marketing[[#This Row],[Campaign_Cost]]/Marketing[[#This Row],[Customers]]</f>
        <v>2025.6666666666667</v>
      </c>
      <c r="K4440" t="s">
        <v>38</v>
      </c>
      <c r="L4440" t="s">
        <v>33</v>
      </c>
      <c r="M4440">
        <v>185</v>
      </c>
      <c r="N4440">
        <v>1419</v>
      </c>
      <c r="O4440">
        <v>8</v>
      </c>
      <c r="P4440" t="s">
        <v>34</v>
      </c>
      <c r="Q4440" s="1">
        <v>44255</v>
      </c>
    </row>
    <row r="4441" spans="1:17" x14ac:dyDescent="0.3">
      <c r="A4441" t="s">
        <v>49</v>
      </c>
      <c r="B4441" t="s">
        <v>36</v>
      </c>
      <c r="C4441" t="s">
        <v>30</v>
      </c>
      <c r="D4441" t="s">
        <v>46</v>
      </c>
      <c r="E4441" t="s">
        <v>15</v>
      </c>
      <c r="F4441" s="9">
        <v>0.14000000000000001</v>
      </c>
      <c r="G4441" s="10">
        <v>7370</v>
      </c>
      <c r="H4441">
        <v>5.88</v>
      </c>
      <c r="I4441" s="5">
        <f>ROUND(Marketing[[#This Row],[Clicks]]*Marketing[[#This Row],[Conversion_Rate]],0)</f>
        <v>32</v>
      </c>
      <c r="J4441" s="12">
        <f>Marketing[[#This Row],[Campaign_Cost]]/Marketing[[#This Row],[Customers]]</f>
        <v>230.3125</v>
      </c>
      <c r="K4441" t="s">
        <v>19</v>
      </c>
      <c r="L4441" t="s">
        <v>50</v>
      </c>
      <c r="M4441">
        <v>231</v>
      </c>
      <c r="N4441">
        <v>3864</v>
      </c>
      <c r="O4441">
        <v>4</v>
      </c>
      <c r="P4441" t="s">
        <v>42</v>
      </c>
      <c r="Q4441" s="1">
        <v>44256</v>
      </c>
    </row>
    <row r="4442" spans="1:17" x14ac:dyDescent="0.3">
      <c r="A4442" t="s">
        <v>28</v>
      </c>
      <c r="B4442" t="s">
        <v>45</v>
      </c>
      <c r="C4442" t="s">
        <v>23</v>
      </c>
      <c r="D4442" t="s">
        <v>40</v>
      </c>
      <c r="E4442" t="s">
        <v>18</v>
      </c>
      <c r="F4442" s="9">
        <v>0.06</v>
      </c>
      <c r="G4442" s="10">
        <v>5778</v>
      </c>
      <c r="H4442">
        <v>6.67</v>
      </c>
      <c r="I4442" s="5">
        <f>ROUND(Marketing[[#This Row],[Clicks]]*Marketing[[#This Row],[Conversion_Rate]],0)</f>
        <v>43</v>
      </c>
      <c r="J4442" s="12">
        <f>Marketing[[#This Row],[Campaign_Cost]]/Marketing[[#This Row],[Customers]]</f>
        <v>134.37209302325581</v>
      </c>
      <c r="K4442" t="s">
        <v>38</v>
      </c>
      <c r="L4442" t="s">
        <v>50</v>
      </c>
      <c r="M4442">
        <v>719</v>
      </c>
      <c r="N4442">
        <v>6864</v>
      </c>
      <c r="O4442">
        <v>5</v>
      </c>
      <c r="P4442" t="s">
        <v>44</v>
      </c>
      <c r="Q4442" s="1">
        <v>44257</v>
      </c>
    </row>
    <row r="4443" spans="1:17" x14ac:dyDescent="0.3">
      <c r="A4443" t="s">
        <v>22</v>
      </c>
      <c r="B4443" t="s">
        <v>45</v>
      </c>
      <c r="C4443" t="s">
        <v>30</v>
      </c>
      <c r="D4443" t="s">
        <v>40</v>
      </c>
      <c r="E4443" t="s">
        <v>41</v>
      </c>
      <c r="F4443" s="9">
        <v>0.14000000000000001</v>
      </c>
      <c r="G4443" s="10">
        <v>7187</v>
      </c>
      <c r="H4443">
        <v>2.61</v>
      </c>
      <c r="I4443" s="5">
        <f>ROUND(Marketing[[#This Row],[Clicks]]*Marketing[[#This Row],[Conversion_Rate]],0)</f>
        <v>111</v>
      </c>
      <c r="J4443" s="12">
        <f>Marketing[[#This Row],[Campaign_Cost]]/Marketing[[#This Row],[Customers]]</f>
        <v>64.747747747747752</v>
      </c>
      <c r="K4443" t="s">
        <v>32</v>
      </c>
      <c r="L4443" t="s">
        <v>50</v>
      </c>
      <c r="M4443">
        <v>793</v>
      </c>
      <c r="N4443">
        <v>8212</v>
      </c>
      <c r="O4443">
        <v>10</v>
      </c>
      <c r="P4443" t="s">
        <v>44</v>
      </c>
      <c r="Q4443" s="1">
        <v>44258</v>
      </c>
    </row>
    <row r="4444" spans="1:17" x14ac:dyDescent="0.3">
      <c r="A4444" t="s">
        <v>35</v>
      </c>
      <c r="B4444" t="s">
        <v>45</v>
      </c>
      <c r="C4444" t="s">
        <v>16</v>
      </c>
      <c r="D4444" t="s">
        <v>17</v>
      </c>
      <c r="E4444" t="s">
        <v>31</v>
      </c>
      <c r="F4444" s="9">
        <v>0.02</v>
      </c>
      <c r="G4444" s="10">
        <v>10226</v>
      </c>
      <c r="H4444">
        <v>2.44</v>
      </c>
      <c r="I4444" s="5">
        <f>ROUND(Marketing[[#This Row],[Clicks]]*Marketing[[#This Row],[Conversion_Rate]],0)</f>
        <v>6</v>
      </c>
      <c r="J4444" s="12">
        <f>Marketing[[#This Row],[Campaign_Cost]]/Marketing[[#This Row],[Customers]]</f>
        <v>1704.3333333333333</v>
      </c>
      <c r="K4444" t="s">
        <v>51</v>
      </c>
      <c r="L4444" t="s">
        <v>26</v>
      </c>
      <c r="M4444">
        <v>305</v>
      </c>
      <c r="N4444">
        <v>6155</v>
      </c>
      <c r="O4444">
        <v>8</v>
      </c>
      <c r="P4444" t="s">
        <v>34</v>
      </c>
      <c r="Q4444" s="1">
        <v>44259</v>
      </c>
    </row>
    <row r="4445" spans="1:17" x14ac:dyDescent="0.3">
      <c r="A4445" t="s">
        <v>35</v>
      </c>
      <c r="B4445" t="s">
        <v>36</v>
      </c>
      <c r="C4445" t="s">
        <v>37</v>
      </c>
      <c r="D4445" t="s">
        <v>46</v>
      </c>
      <c r="E4445" t="s">
        <v>18</v>
      </c>
      <c r="F4445" s="9">
        <v>0.15</v>
      </c>
      <c r="G4445" s="10">
        <v>11783</v>
      </c>
      <c r="H4445">
        <v>6.2</v>
      </c>
      <c r="I4445" s="5">
        <f>ROUND(Marketing[[#This Row],[Clicks]]*Marketing[[#This Row],[Conversion_Rate]],0)</f>
        <v>84</v>
      </c>
      <c r="J4445" s="12">
        <f>Marketing[[#This Row],[Campaign_Cost]]/Marketing[[#This Row],[Customers]]</f>
        <v>140.27380952380952</v>
      </c>
      <c r="K4445" t="s">
        <v>32</v>
      </c>
      <c r="L4445" t="s">
        <v>20</v>
      </c>
      <c r="M4445">
        <v>560</v>
      </c>
      <c r="N4445">
        <v>1060</v>
      </c>
      <c r="O4445">
        <v>2</v>
      </c>
      <c r="P4445" t="s">
        <v>44</v>
      </c>
      <c r="Q4445" s="1">
        <v>44260</v>
      </c>
    </row>
    <row r="4446" spans="1:17" x14ac:dyDescent="0.3">
      <c r="A4446" t="s">
        <v>14</v>
      </c>
      <c r="B4446" t="s">
        <v>36</v>
      </c>
      <c r="C4446" t="s">
        <v>16</v>
      </c>
      <c r="D4446" t="s">
        <v>40</v>
      </c>
      <c r="E4446" t="s">
        <v>15</v>
      </c>
      <c r="F4446" s="9">
        <v>7.0000000000000007E-2</v>
      </c>
      <c r="G4446" s="10">
        <v>10473</v>
      </c>
      <c r="H4446">
        <v>5.83</v>
      </c>
      <c r="I4446" s="5">
        <f>ROUND(Marketing[[#This Row],[Clicks]]*Marketing[[#This Row],[Conversion_Rate]],0)</f>
        <v>13</v>
      </c>
      <c r="J4446" s="12">
        <f>Marketing[[#This Row],[Campaign_Cost]]/Marketing[[#This Row],[Customers]]</f>
        <v>805.61538461538464</v>
      </c>
      <c r="K4446" t="s">
        <v>51</v>
      </c>
      <c r="L4446" t="s">
        <v>26</v>
      </c>
      <c r="M4446">
        <v>185</v>
      </c>
      <c r="N4446">
        <v>3018</v>
      </c>
      <c r="O4446">
        <v>1</v>
      </c>
      <c r="P4446" t="s">
        <v>27</v>
      </c>
      <c r="Q4446" s="1">
        <v>44261</v>
      </c>
    </row>
    <row r="4447" spans="1:17" x14ac:dyDescent="0.3">
      <c r="A4447" t="s">
        <v>14</v>
      </c>
      <c r="B4447" t="s">
        <v>47</v>
      </c>
      <c r="C4447" t="s">
        <v>52</v>
      </c>
      <c r="D4447" t="s">
        <v>24</v>
      </c>
      <c r="E4447" t="s">
        <v>15</v>
      </c>
      <c r="F4447" s="9">
        <v>0.09</v>
      </c>
      <c r="G4447" s="10">
        <v>5169</v>
      </c>
      <c r="H4447">
        <v>6.87</v>
      </c>
      <c r="I4447" s="5">
        <f>ROUND(Marketing[[#This Row],[Clicks]]*Marketing[[#This Row],[Conversion_Rate]],0)</f>
        <v>18</v>
      </c>
      <c r="J4447" s="12">
        <f>Marketing[[#This Row],[Campaign_Cost]]/Marketing[[#This Row],[Customers]]</f>
        <v>287.16666666666669</v>
      </c>
      <c r="K4447" t="s">
        <v>32</v>
      </c>
      <c r="L4447" t="s">
        <v>26</v>
      </c>
      <c r="M4447">
        <v>205</v>
      </c>
      <c r="N4447">
        <v>9829</v>
      </c>
      <c r="O4447">
        <v>9</v>
      </c>
      <c r="P4447" t="s">
        <v>42</v>
      </c>
      <c r="Q4447" s="1">
        <v>44262</v>
      </c>
    </row>
    <row r="4448" spans="1:17" x14ac:dyDescent="0.3">
      <c r="A4448" t="s">
        <v>22</v>
      </c>
      <c r="B4448" t="s">
        <v>36</v>
      </c>
      <c r="C4448" t="s">
        <v>52</v>
      </c>
      <c r="D4448" t="s">
        <v>40</v>
      </c>
      <c r="E4448" t="s">
        <v>41</v>
      </c>
      <c r="F4448" s="9">
        <v>0.13</v>
      </c>
      <c r="G4448" s="10">
        <v>12259</v>
      </c>
      <c r="H4448">
        <v>2.62</v>
      </c>
      <c r="I4448" s="5">
        <f>ROUND(Marketing[[#This Row],[Clicks]]*Marketing[[#This Row],[Conversion_Rate]],0)</f>
        <v>26</v>
      </c>
      <c r="J4448" s="12">
        <f>Marketing[[#This Row],[Campaign_Cost]]/Marketing[[#This Row],[Customers]]</f>
        <v>471.5</v>
      </c>
      <c r="K4448" t="s">
        <v>51</v>
      </c>
      <c r="L4448" t="s">
        <v>50</v>
      </c>
      <c r="M4448">
        <v>197</v>
      </c>
      <c r="N4448">
        <v>6620</v>
      </c>
      <c r="O4448">
        <v>5</v>
      </c>
      <c r="P4448" t="s">
        <v>34</v>
      </c>
      <c r="Q4448" s="1">
        <v>44263</v>
      </c>
    </row>
    <row r="4449" spans="1:17" x14ac:dyDescent="0.3">
      <c r="A4449" t="s">
        <v>28</v>
      </c>
      <c r="B4449" t="s">
        <v>15</v>
      </c>
      <c r="C4449" t="s">
        <v>30</v>
      </c>
      <c r="D4449" t="s">
        <v>40</v>
      </c>
      <c r="E4449" t="s">
        <v>15</v>
      </c>
      <c r="F4449" s="9">
        <v>0.15</v>
      </c>
      <c r="G4449" s="10">
        <v>8174</v>
      </c>
      <c r="H4449">
        <v>3.08</v>
      </c>
      <c r="I4449" s="5">
        <f>ROUND(Marketing[[#This Row],[Clicks]]*Marketing[[#This Row],[Conversion_Rate]],0)</f>
        <v>148</v>
      </c>
      <c r="J4449" s="12">
        <f>Marketing[[#This Row],[Campaign_Cost]]/Marketing[[#This Row],[Customers]]</f>
        <v>55.229729729729726</v>
      </c>
      <c r="K4449" t="s">
        <v>19</v>
      </c>
      <c r="L4449" t="s">
        <v>20</v>
      </c>
      <c r="M4449">
        <v>988</v>
      </c>
      <c r="N4449">
        <v>2870</v>
      </c>
      <c r="O4449">
        <v>2</v>
      </c>
      <c r="P4449" t="s">
        <v>21</v>
      </c>
      <c r="Q4449" s="1">
        <v>44264</v>
      </c>
    </row>
    <row r="4450" spans="1:17" x14ac:dyDescent="0.3">
      <c r="A4450" t="s">
        <v>35</v>
      </c>
      <c r="B4450" t="s">
        <v>36</v>
      </c>
      <c r="C4450" t="s">
        <v>30</v>
      </c>
      <c r="D4450" t="s">
        <v>40</v>
      </c>
      <c r="E4450" t="s">
        <v>31</v>
      </c>
      <c r="F4450" s="9">
        <v>0.14000000000000001</v>
      </c>
      <c r="G4450" s="10">
        <v>10629</v>
      </c>
      <c r="H4450">
        <v>3.44</v>
      </c>
      <c r="I4450" s="5">
        <f>ROUND(Marketing[[#This Row],[Clicks]]*Marketing[[#This Row],[Conversion_Rate]],0)</f>
        <v>108</v>
      </c>
      <c r="J4450" s="12">
        <f>Marketing[[#This Row],[Campaign_Cost]]/Marketing[[#This Row],[Customers]]</f>
        <v>98.416666666666671</v>
      </c>
      <c r="K4450" t="s">
        <v>51</v>
      </c>
      <c r="L4450" t="s">
        <v>20</v>
      </c>
      <c r="M4450">
        <v>774</v>
      </c>
      <c r="N4450">
        <v>8675</v>
      </c>
      <c r="O4450">
        <v>3</v>
      </c>
      <c r="P4450" t="s">
        <v>44</v>
      </c>
      <c r="Q4450" s="1">
        <v>44265</v>
      </c>
    </row>
    <row r="4451" spans="1:17" x14ac:dyDescent="0.3">
      <c r="A4451" t="s">
        <v>14</v>
      </c>
      <c r="B4451" t="s">
        <v>15</v>
      </c>
      <c r="C4451" t="s">
        <v>37</v>
      </c>
      <c r="D4451" t="s">
        <v>40</v>
      </c>
      <c r="E4451" t="s">
        <v>48</v>
      </c>
      <c r="F4451" s="9">
        <v>0.13</v>
      </c>
      <c r="G4451" s="10">
        <v>5123</v>
      </c>
      <c r="H4451">
        <v>2.84</v>
      </c>
      <c r="I4451" s="5">
        <f>ROUND(Marketing[[#This Row],[Clicks]]*Marketing[[#This Row],[Conversion_Rate]],0)</f>
        <v>20</v>
      </c>
      <c r="J4451" s="12">
        <f>Marketing[[#This Row],[Campaign_Cost]]/Marketing[[#This Row],[Customers]]</f>
        <v>256.14999999999998</v>
      </c>
      <c r="K4451" t="s">
        <v>38</v>
      </c>
      <c r="L4451" t="s">
        <v>50</v>
      </c>
      <c r="M4451">
        <v>156</v>
      </c>
      <c r="N4451">
        <v>8239</v>
      </c>
      <c r="O4451">
        <v>9</v>
      </c>
      <c r="P4451" t="s">
        <v>21</v>
      </c>
      <c r="Q4451" s="1">
        <v>44266</v>
      </c>
    </row>
    <row r="4452" spans="1:17" x14ac:dyDescent="0.3">
      <c r="A4452" t="s">
        <v>28</v>
      </c>
      <c r="B4452" t="s">
        <v>45</v>
      </c>
      <c r="C4452" t="s">
        <v>52</v>
      </c>
      <c r="D4452" t="s">
        <v>24</v>
      </c>
      <c r="E4452" t="s">
        <v>43</v>
      </c>
      <c r="F4452" s="9">
        <v>0.14000000000000001</v>
      </c>
      <c r="G4452" s="10">
        <v>8725</v>
      </c>
      <c r="H4452">
        <v>6.69</v>
      </c>
      <c r="I4452" s="5">
        <f>ROUND(Marketing[[#This Row],[Clicks]]*Marketing[[#This Row],[Conversion_Rate]],0)</f>
        <v>67</v>
      </c>
      <c r="J4452" s="12">
        <f>Marketing[[#This Row],[Campaign_Cost]]/Marketing[[#This Row],[Customers]]</f>
        <v>130.22388059701493</v>
      </c>
      <c r="K4452" t="s">
        <v>38</v>
      </c>
      <c r="L4452" t="s">
        <v>33</v>
      </c>
      <c r="M4452">
        <v>475</v>
      </c>
      <c r="N4452">
        <v>3011</v>
      </c>
      <c r="O4452">
        <v>7</v>
      </c>
      <c r="P4452" t="s">
        <v>42</v>
      </c>
      <c r="Q4452" s="1">
        <v>44267</v>
      </c>
    </row>
    <row r="4453" spans="1:17" x14ac:dyDescent="0.3">
      <c r="A4453" t="s">
        <v>14</v>
      </c>
      <c r="B4453" t="s">
        <v>47</v>
      </c>
      <c r="C4453" t="s">
        <v>52</v>
      </c>
      <c r="D4453" t="s">
        <v>17</v>
      </c>
      <c r="E4453" t="s">
        <v>41</v>
      </c>
      <c r="F4453" s="9">
        <v>0.06</v>
      </c>
      <c r="G4453" s="10">
        <v>17381</v>
      </c>
      <c r="H4453">
        <v>7.72</v>
      </c>
      <c r="I4453" s="5">
        <f>ROUND(Marketing[[#This Row],[Clicks]]*Marketing[[#This Row],[Conversion_Rate]],0)</f>
        <v>9</v>
      </c>
      <c r="J4453" s="12">
        <f>Marketing[[#This Row],[Campaign_Cost]]/Marketing[[#This Row],[Customers]]</f>
        <v>1931.2222222222222</v>
      </c>
      <c r="K4453" t="s">
        <v>51</v>
      </c>
      <c r="L4453" t="s">
        <v>20</v>
      </c>
      <c r="M4453">
        <v>147</v>
      </c>
      <c r="N4453">
        <v>5098</v>
      </c>
      <c r="O4453">
        <v>7</v>
      </c>
      <c r="P4453" t="s">
        <v>21</v>
      </c>
      <c r="Q4453" s="1">
        <v>44268</v>
      </c>
    </row>
    <row r="4454" spans="1:17" x14ac:dyDescent="0.3">
      <c r="A4454" t="s">
        <v>22</v>
      </c>
      <c r="B4454" t="s">
        <v>45</v>
      </c>
      <c r="C4454" t="s">
        <v>52</v>
      </c>
      <c r="D4454" t="s">
        <v>46</v>
      </c>
      <c r="E4454" t="s">
        <v>43</v>
      </c>
      <c r="F4454" s="9">
        <v>0.09</v>
      </c>
      <c r="G4454" s="10">
        <v>8941</v>
      </c>
      <c r="H4454">
        <v>5.42</v>
      </c>
      <c r="I4454" s="5">
        <f>ROUND(Marketing[[#This Row],[Clicks]]*Marketing[[#This Row],[Conversion_Rate]],0)</f>
        <v>37</v>
      </c>
      <c r="J4454" s="12">
        <f>Marketing[[#This Row],[Campaign_Cost]]/Marketing[[#This Row],[Customers]]</f>
        <v>241.64864864864865</v>
      </c>
      <c r="K4454" t="s">
        <v>19</v>
      </c>
      <c r="L4454" t="s">
        <v>50</v>
      </c>
      <c r="M4454">
        <v>416</v>
      </c>
      <c r="N4454">
        <v>6391</v>
      </c>
      <c r="O4454">
        <v>5</v>
      </c>
      <c r="P4454" t="s">
        <v>27</v>
      </c>
      <c r="Q4454" s="1">
        <v>44269</v>
      </c>
    </row>
    <row r="4455" spans="1:17" x14ac:dyDescent="0.3">
      <c r="A4455" t="s">
        <v>14</v>
      </c>
      <c r="B4455" t="s">
        <v>45</v>
      </c>
      <c r="C4455" t="s">
        <v>23</v>
      </c>
      <c r="D4455" t="s">
        <v>24</v>
      </c>
      <c r="E4455" t="s">
        <v>15</v>
      </c>
      <c r="F4455" s="9">
        <v>0.03</v>
      </c>
      <c r="G4455" s="10">
        <v>14762</v>
      </c>
      <c r="H4455">
        <v>7.15</v>
      </c>
      <c r="I4455" s="5">
        <f>ROUND(Marketing[[#This Row],[Clicks]]*Marketing[[#This Row],[Conversion_Rate]],0)</f>
        <v>13</v>
      </c>
      <c r="J4455" s="12">
        <f>Marketing[[#This Row],[Campaign_Cost]]/Marketing[[#This Row],[Customers]]</f>
        <v>1135.5384615384614</v>
      </c>
      <c r="K4455" t="s">
        <v>51</v>
      </c>
      <c r="L4455" t="s">
        <v>20</v>
      </c>
      <c r="M4455">
        <v>428</v>
      </c>
      <c r="N4455">
        <v>1069</v>
      </c>
      <c r="O4455">
        <v>7</v>
      </c>
      <c r="P4455" t="s">
        <v>21</v>
      </c>
      <c r="Q4455" s="1">
        <v>44270</v>
      </c>
    </row>
    <row r="4456" spans="1:17" x14ac:dyDescent="0.3">
      <c r="A4456" t="s">
        <v>49</v>
      </c>
      <c r="B4456" t="s">
        <v>47</v>
      </c>
      <c r="C4456" t="s">
        <v>30</v>
      </c>
      <c r="D4456" t="s">
        <v>24</v>
      </c>
      <c r="E4456" t="s">
        <v>31</v>
      </c>
      <c r="F4456" s="9">
        <v>0.06</v>
      </c>
      <c r="G4456" s="10">
        <v>14125</v>
      </c>
      <c r="H4456">
        <v>7.22</v>
      </c>
      <c r="I4456" s="5">
        <f>ROUND(Marketing[[#This Row],[Clicks]]*Marketing[[#This Row],[Conversion_Rate]],0)</f>
        <v>43</v>
      </c>
      <c r="J4456" s="12">
        <f>Marketing[[#This Row],[Campaign_Cost]]/Marketing[[#This Row],[Customers]]</f>
        <v>328.48837209302326</v>
      </c>
      <c r="K4456" t="s">
        <v>38</v>
      </c>
      <c r="L4456" t="s">
        <v>39</v>
      </c>
      <c r="M4456">
        <v>722</v>
      </c>
      <c r="N4456">
        <v>9628</v>
      </c>
      <c r="O4456">
        <v>3</v>
      </c>
      <c r="P4456" t="s">
        <v>44</v>
      </c>
      <c r="Q4456" s="1">
        <v>44271</v>
      </c>
    </row>
    <row r="4457" spans="1:17" x14ac:dyDescent="0.3">
      <c r="A4457" t="s">
        <v>22</v>
      </c>
      <c r="B4457" t="s">
        <v>29</v>
      </c>
      <c r="C4457" t="s">
        <v>52</v>
      </c>
      <c r="D4457" t="s">
        <v>17</v>
      </c>
      <c r="E4457" t="s">
        <v>31</v>
      </c>
      <c r="F4457" s="9">
        <v>0.08</v>
      </c>
      <c r="G4457" s="10">
        <v>10908</v>
      </c>
      <c r="H4457">
        <v>2.17</v>
      </c>
      <c r="I4457" s="5">
        <f>ROUND(Marketing[[#This Row],[Clicks]]*Marketing[[#This Row],[Conversion_Rate]],0)</f>
        <v>29</v>
      </c>
      <c r="J4457" s="12">
        <f>Marketing[[#This Row],[Campaign_Cost]]/Marketing[[#This Row],[Customers]]</f>
        <v>376.13793103448273</v>
      </c>
      <c r="K4457" t="s">
        <v>32</v>
      </c>
      <c r="L4457" t="s">
        <v>26</v>
      </c>
      <c r="M4457">
        <v>363</v>
      </c>
      <c r="N4457">
        <v>7737</v>
      </c>
      <c r="O4457">
        <v>8</v>
      </c>
      <c r="P4457" t="s">
        <v>44</v>
      </c>
      <c r="Q4457" s="1">
        <v>44272</v>
      </c>
    </row>
    <row r="4458" spans="1:17" x14ac:dyDescent="0.3">
      <c r="A4458" t="s">
        <v>14</v>
      </c>
      <c r="B4458" t="s">
        <v>45</v>
      </c>
      <c r="C4458" t="s">
        <v>16</v>
      </c>
      <c r="D4458" t="s">
        <v>24</v>
      </c>
      <c r="E4458" t="s">
        <v>41</v>
      </c>
      <c r="F4458" s="9">
        <v>0.03</v>
      </c>
      <c r="G4458" s="10">
        <v>11099</v>
      </c>
      <c r="H4458">
        <v>2.6</v>
      </c>
      <c r="I4458" s="5">
        <f>ROUND(Marketing[[#This Row],[Clicks]]*Marketing[[#This Row],[Conversion_Rate]],0)</f>
        <v>13</v>
      </c>
      <c r="J4458" s="12">
        <f>Marketing[[#This Row],[Campaign_Cost]]/Marketing[[#This Row],[Customers]]</f>
        <v>853.76923076923072</v>
      </c>
      <c r="K4458" t="s">
        <v>51</v>
      </c>
      <c r="L4458" t="s">
        <v>50</v>
      </c>
      <c r="M4458">
        <v>425</v>
      </c>
      <c r="N4458">
        <v>3071</v>
      </c>
      <c r="O4458">
        <v>5</v>
      </c>
      <c r="P4458" t="s">
        <v>27</v>
      </c>
      <c r="Q4458" s="1">
        <v>44273</v>
      </c>
    </row>
    <row r="4459" spans="1:17" x14ac:dyDescent="0.3">
      <c r="A4459" t="s">
        <v>28</v>
      </c>
      <c r="B4459" t="s">
        <v>29</v>
      </c>
      <c r="C4459" t="s">
        <v>30</v>
      </c>
      <c r="D4459" t="s">
        <v>24</v>
      </c>
      <c r="E4459" t="s">
        <v>41</v>
      </c>
      <c r="F4459" s="9">
        <v>0.15</v>
      </c>
      <c r="G4459" s="10">
        <v>6253</v>
      </c>
      <c r="H4459">
        <v>5.38</v>
      </c>
      <c r="I4459" s="5">
        <f>ROUND(Marketing[[#This Row],[Clicks]]*Marketing[[#This Row],[Conversion_Rate]],0)</f>
        <v>110</v>
      </c>
      <c r="J4459" s="12">
        <f>Marketing[[#This Row],[Campaign_Cost]]/Marketing[[#This Row],[Customers]]</f>
        <v>56.845454545454544</v>
      </c>
      <c r="K4459" t="s">
        <v>51</v>
      </c>
      <c r="L4459" t="s">
        <v>33</v>
      </c>
      <c r="M4459">
        <v>732</v>
      </c>
      <c r="N4459">
        <v>7717</v>
      </c>
      <c r="O4459">
        <v>9</v>
      </c>
      <c r="P4459" t="s">
        <v>21</v>
      </c>
      <c r="Q4459" s="1">
        <v>44274</v>
      </c>
    </row>
    <row r="4460" spans="1:17" x14ac:dyDescent="0.3">
      <c r="A4460" t="s">
        <v>35</v>
      </c>
      <c r="B4460" t="s">
        <v>15</v>
      </c>
      <c r="C4460" t="s">
        <v>30</v>
      </c>
      <c r="D4460" t="s">
        <v>17</v>
      </c>
      <c r="E4460" t="s">
        <v>18</v>
      </c>
      <c r="F4460" s="9">
        <v>0.03</v>
      </c>
      <c r="G4460" s="10">
        <v>18813</v>
      </c>
      <c r="H4460">
        <v>3.55</v>
      </c>
      <c r="I4460" s="5">
        <f>ROUND(Marketing[[#This Row],[Clicks]]*Marketing[[#This Row],[Conversion_Rate]],0)</f>
        <v>24</v>
      </c>
      <c r="J4460" s="12">
        <f>Marketing[[#This Row],[Campaign_Cost]]/Marketing[[#This Row],[Customers]]</f>
        <v>783.875</v>
      </c>
      <c r="K4460" t="s">
        <v>25</v>
      </c>
      <c r="L4460" t="s">
        <v>26</v>
      </c>
      <c r="M4460">
        <v>811</v>
      </c>
      <c r="N4460">
        <v>6836</v>
      </c>
      <c r="O4460">
        <v>8</v>
      </c>
      <c r="P4460" t="s">
        <v>21</v>
      </c>
      <c r="Q4460" s="1">
        <v>44275</v>
      </c>
    </row>
    <row r="4461" spans="1:17" x14ac:dyDescent="0.3">
      <c r="A4461" t="s">
        <v>35</v>
      </c>
      <c r="B4461" t="s">
        <v>15</v>
      </c>
      <c r="C4461" t="s">
        <v>52</v>
      </c>
      <c r="D4461" t="s">
        <v>46</v>
      </c>
      <c r="E4461" t="s">
        <v>31</v>
      </c>
      <c r="F4461" s="9">
        <v>0.03</v>
      </c>
      <c r="G4461" s="10">
        <v>11236</v>
      </c>
      <c r="H4461">
        <v>2.59</v>
      </c>
      <c r="I4461" s="5">
        <f>ROUND(Marketing[[#This Row],[Clicks]]*Marketing[[#This Row],[Conversion_Rate]],0)</f>
        <v>18</v>
      </c>
      <c r="J4461" s="12">
        <f>Marketing[[#This Row],[Campaign_Cost]]/Marketing[[#This Row],[Customers]]</f>
        <v>624.22222222222217</v>
      </c>
      <c r="K4461" t="s">
        <v>32</v>
      </c>
      <c r="L4461" t="s">
        <v>39</v>
      </c>
      <c r="M4461">
        <v>599</v>
      </c>
      <c r="N4461">
        <v>6537</v>
      </c>
      <c r="O4461">
        <v>4</v>
      </c>
      <c r="P4461" t="s">
        <v>27</v>
      </c>
      <c r="Q4461" s="1">
        <v>44276</v>
      </c>
    </row>
    <row r="4462" spans="1:17" x14ac:dyDescent="0.3">
      <c r="A4462" t="s">
        <v>22</v>
      </c>
      <c r="B4462" t="s">
        <v>15</v>
      </c>
      <c r="C4462" t="s">
        <v>16</v>
      </c>
      <c r="D4462" t="s">
        <v>46</v>
      </c>
      <c r="E4462" t="s">
        <v>18</v>
      </c>
      <c r="F4462" s="9">
        <v>0.03</v>
      </c>
      <c r="G4462" s="10">
        <v>14551</v>
      </c>
      <c r="H4462">
        <v>2.54</v>
      </c>
      <c r="I4462" s="5">
        <f>ROUND(Marketing[[#This Row],[Clicks]]*Marketing[[#This Row],[Conversion_Rate]],0)</f>
        <v>15</v>
      </c>
      <c r="J4462" s="12">
        <f>Marketing[[#This Row],[Campaign_Cost]]/Marketing[[#This Row],[Customers]]</f>
        <v>970.06666666666672</v>
      </c>
      <c r="K4462" t="s">
        <v>51</v>
      </c>
      <c r="L4462" t="s">
        <v>20</v>
      </c>
      <c r="M4462">
        <v>489</v>
      </c>
      <c r="N4462">
        <v>8630</v>
      </c>
      <c r="O4462">
        <v>9</v>
      </c>
      <c r="P4462" t="s">
        <v>44</v>
      </c>
      <c r="Q4462" s="1">
        <v>44277</v>
      </c>
    </row>
    <row r="4463" spans="1:17" x14ac:dyDescent="0.3">
      <c r="A4463" t="s">
        <v>35</v>
      </c>
      <c r="B4463" t="s">
        <v>36</v>
      </c>
      <c r="C4463" t="s">
        <v>52</v>
      </c>
      <c r="D4463" t="s">
        <v>17</v>
      </c>
      <c r="E4463" t="s">
        <v>48</v>
      </c>
      <c r="F4463" s="9">
        <v>0.09</v>
      </c>
      <c r="G4463" s="10">
        <v>19381</v>
      </c>
      <c r="H4463">
        <v>3.45</v>
      </c>
      <c r="I4463" s="5">
        <f>ROUND(Marketing[[#This Row],[Clicks]]*Marketing[[#This Row],[Conversion_Rate]],0)</f>
        <v>31</v>
      </c>
      <c r="J4463" s="12">
        <f>Marketing[[#This Row],[Campaign_Cost]]/Marketing[[#This Row],[Customers]]</f>
        <v>625.19354838709683</v>
      </c>
      <c r="K4463" t="s">
        <v>19</v>
      </c>
      <c r="L4463" t="s">
        <v>33</v>
      </c>
      <c r="M4463">
        <v>348</v>
      </c>
      <c r="N4463">
        <v>9464</v>
      </c>
      <c r="O4463">
        <v>1</v>
      </c>
      <c r="P4463" t="s">
        <v>27</v>
      </c>
      <c r="Q4463" s="1">
        <v>44278</v>
      </c>
    </row>
    <row r="4464" spans="1:17" x14ac:dyDescent="0.3">
      <c r="A4464" t="s">
        <v>14</v>
      </c>
      <c r="B4464" t="s">
        <v>15</v>
      </c>
      <c r="C4464" t="s">
        <v>37</v>
      </c>
      <c r="D4464" t="s">
        <v>40</v>
      </c>
      <c r="E4464" t="s">
        <v>15</v>
      </c>
      <c r="F4464" s="9">
        <v>0.02</v>
      </c>
      <c r="G4464" s="10">
        <v>9568</v>
      </c>
      <c r="H4464">
        <v>6.37</v>
      </c>
      <c r="I4464" s="5">
        <f>ROUND(Marketing[[#This Row],[Clicks]]*Marketing[[#This Row],[Conversion_Rate]],0)</f>
        <v>11</v>
      </c>
      <c r="J4464" s="12">
        <f>Marketing[[#This Row],[Campaign_Cost]]/Marketing[[#This Row],[Customers]]</f>
        <v>869.81818181818187</v>
      </c>
      <c r="K4464" t="s">
        <v>32</v>
      </c>
      <c r="L4464" t="s">
        <v>26</v>
      </c>
      <c r="M4464">
        <v>525</v>
      </c>
      <c r="N4464">
        <v>1349</v>
      </c>
      <c r="O4464">
        <v>8</v>
      </c>
      <c r="P4464" t="s">
        <v>27</v>
      </c>
      <c r="Q4464" s="1">
        <v>44279</v>
      </c>
    </row>
    <row r="4465" spans="1:17" x14ac:dyDescent="0.3">
      <c r="A4465" t="s">
        <v>28</v>
      </c>
      <c r="B4465" t="s">
        <v>36</v>
      </c>
      <c r="C4465" t="s">
        <v>37</v>
      </c>
      <c r="D4465" t="s">
        <v>17</v>
      </c>
      <c r="E4465" t="s">
        <v>31</v>
      </c>
      <c r="F4465" s="9">
        <v>0.09</v>
      </c>
      <c r="G4465" s="10">
        <v>8359</v>
      </c>
      <c r="H4465">
        <v>4.9800000000000004</v>
      </c>
      <c r="I4465" s="5">
        <f>ROUND(Marketing[[#This Row],[Clicks]]*Marketing[[#This Row],[Conversion_Rate]],0)</f>
        <v>71</v>
      </c>
      <c r="J4465" s="12">
        <f>Marketing[[#This Row],[Campaign_Cost]]/Marketing[[#This Row],[Customers]]</f>
        <v>117.73239436619718</v>
      </c>
      <c r="K4465" t="s">
        <v>25</v>
      </c>
      <c r="L4465" t="s">
        <v>20</v>
      </c>
      <c r="M4465">
        <v>789</v>
      </c>
      <c r="N4465">
        <v>7787</v>
      </c>
      <c r="O4465">
        <v>9</v>
      </c>
      <c r="P4465" t="s">
        <v>44</v>
      </c>
      <c r="Q4465" s="1">
        <v>44280</v>
      </c>
    </row>
    <row r="4466" spans="1:17" x14ac:dyDescent="0.3">
      <c r="A4466" t="s">
        <v>35</v>
      </c>
      <c r="B4466" t="s">
        <v>45</v>
      </c>
      <c r="C4466" t="s">
        <v>30</v>
      </c>
      <c r="D4466" t="s">
        <v>24</v>
      </c>
      <c r="E4466" t="s">
        <v>15</v>
      </c>
      <c r="F4466" s="9">
        <v>0.1</v>
      </c>
      <c r="G4466" s="10">
        <v>16057</v>
      </c>
      <c r="H4466">
        <v>2.19</v>
      </c>
      <c r="I4466" s="5">
        <f>ROUND(Marketing[[#This Row],[Clicks]]*Marketing[[#This Row],[Conversion_Rate]],0)</f>
        <v>27</v>
      </c>
      <c r="J4466" s="12">
        <f>Marketing[[#This Row],[Campaign_Cost]]/Marketing[[#This Row],[Customers]]</f>
        <v>594.7037037037037</v>
      </c>
      <c r="K4466" t="s">
        <v>51</v>
      </c>
      <c r="L4466" t="s">
        <v>33</v>
      </c>
      <c r="M4466">
        <v>269</v>
      </c>
      <c r="N4466">
        <v>5709</v>
      </c>
      <c r="O4466">
        <v>2</v>
      </c>
      <c r="P4466" t="s">
        <v>27</v>
      </c>
      <c r="Q4466" s="1">
        <v>44281</v>
      </c>
    </row>
    <row r="4467" spans="1:17" x14ac:dyDescent="0.3">
      <c r="A4467" t="s">
        <v>22</v>
      </c>
      <c r="B4467" t="s">
        <v>45</v>
      </c>
      <c r="C4467" t="s">
        <v>23</v>
      </c>
      <c r="D4467" t="s">
        <v>46</v>
      </c>
      <c r="E4467" t="s">
        <v>15</v>
      </c>
      <c r="F4467" s="9">
        <v>0.06</v>
      </c>
      <c r="G4467" s="10">
        <v>9126</v>
      </c>
      <c r="H4467">
        <v>3.1</v>
      </c>
      <c r="I4467" s="5">
        <f>ROUND(Marketing[[#This Row],[Clicks]]*Marketing[[#This Row],[Conversion_Rate]],0)</f>
        <v>11</v>
      </c>
      <c r="J4467" s="12">
        <f>Marketing[[#This Row],[Campaign_Cost]]/Marketing[[#This Row],[Customers]]</f>
        <v>829.63636363636363</v>
      </c>
      <c r="K4467" t="s">
        <v>19</v>
      </c>
      <c r="L4467" t="s">
        <v>20</v>
      </c>
      <c r="M4467">
        <v>178</v>
      </c>
      <c r="N4467">
        <v>4068</v>
      </c>
      <c r="O4467">
        <v>10</v>
      </c>
      <c r="P4467" t="s">
        <v>44</v>
      </c>
      <c r="Q4467" s="1">
        <v>44282</v>
      </c>
    </row>
    <row r="4468" spans="1:17" x14ac:dyDescent="0.3">
      <c r="A4468" t="s">
        <v>22</v>
      </c>
      <c r="B4468" t="s">
        <v>15</v>
      </c>
      <c r="C4468" t="s">
        <v>23</v>
      </c>
      <c r="D4468" t="s">
        <v>46</v>
      </c>
      <c r="E4468" t="s">
        <v>31</v>
      </c>
      <c r="F4468" s="9">
        <v>0.02</v>
      </c>
      <c r="G4468" s="10">
        <v>7430</v>
      </c>
      <c r="H4468">
        <v>4.21</v>
      </c>
      <c r="I4468" s="5">
        <f>ROUND(Marketing[[#This Row],[Clicks]]*Marketing[[#This Row],[Conversion_Rate]],0)</f>
        <v>9</v>
      </c>
      <c r="J4468" s="12">
        <f>Marketing[[#This Row],[Campaign_Cost]]/Marketing[[#This Row],[Customers]]</f>
        <v>825.55555555555554</v>
      </c>
      <c r="K4468" t="s">
        <v>38</v>
      </c>
      <c r="L4468" t="s">
        <v>20</v>
      </c>
      <c r="M4468">
        <v>439</v>
      </c>
      <c r="N4468">
        <v>8167</v>
      </c>
      <c r="O4468">
        <v>2</v>
      </c>
      <c r="P4468" t="s">
        <v>34</v>
      </c>
      <c r="Q4468" s="1">
        <v>44283</v>
      </c>
    </row>
    <row r="4469" spans="1:17" x14ac:dyDescent="0.3">
      <c r="A4469" t="s">
        <v>14</v>
      </c>
      <c r="B4469" t="s">
        <v>29</v>
      </c>
      <c r="C4469" t="s">
        <v>52</v>
      </c>
      <c r="D4469" t="s">
        <v>46</v>
      </c>
      <c r="E4469" t="s">
        <v>31</v>
      </c>
      <c r="F4469" s="9">
        <v>7.0000000000000007E-2</v>
      </c>
      <c r="G4469" s="10">
        <v>9128</v>
      </c>
      <c r="H4469">
        <v>5.83</v>
      </c>
      <c r="I4469" s="5">
        <f>ROUND(Marketing[[#This Row],[Clicks]]*Marketing[[#This Row],[Conversion_Rate]],0)</f>
        <v>67</v>
      </c>
      <c r="J4469" s="12">
        <f>Marketing[[#This Row],[Campaign_Cost]]/Marketing[[#This Row],[Customers]]</f>
        <v>136.23880597014926</v>
      </c>
      <c r="K4469" t="s">
        <v>51</v>
      </c>
      <c r="L4469" t="s">
        <v>33</v>
      </c>
      <c r="M4469">
        <v>958</v>
      </c>
      <c r="N4469">
        <v>6402</v>
      </c>
      <c r="O4469">
        <v>8</v>
      </c>
      <c r="P4469" t="s">
        <v>34</v>
      </c>
      <c r="Q4469" s="1">
        <v>44284</v>
      </c>
    </row>
    <row r="4470" spans="1:17" x14ac:dyDescent="0.3">
      <c r="A4470" t="s">
        <v>49</v>
      </c>
      <c r="B4470" t="s">
        <v>45</v>
      </c>
      <c r="C4470" t="s">
        <v>52</v>
      </c>
      <c r="D4470" t="s">
        <v>24</v>
      </c>
      <c r="E4470" t="s">
        <v>41</v>
      </c>
      <c r="F4470" s="9">
        <v>0.14000000000000001</v>
      </c>
      <c r="G4470" s="10">
        <v>18198</v>
      </c>
      <c r="H4470">
        <v>3.7</v>
      </c>
      <c r="I4470" s="5">
        <f>ROUND(Marketing[[#This Row],[Clicks]]*Marketing[[#This Row],[Conversion_Rate]],0)</f>
        <v>67</v>
      </c>
      <c r="J4470" s="12">
        <f>Marketing[[#This Row],[Campaign_Cost]]/Marketing[[#This Row],[Customers]]</f>
        <v>271.61194029850748</v>
      </c>
      <c r="K4470" t="s">
        <v>32</v>
      </c>
      <c r="L4470" t="s">
        <v>50</v>
      </c>
      <c r="M4470">
        <v>476</v>
      </c>
      <c r="N4470">
        <v>7751</v>
      </c>
      <c r="O4470">
        <v>2</v>
      </c>
      <c r="P4470" t="s">
        <v>42</v>
      </c>
      <c r="Q4470" s="1">
        <v>44285</v>
      </c>
    </row>
    <row r="4471" spans="1:17" x14ac:dyDescent="0.3">
      <c r="A4471" t="s">
        <v>35</v>
      </c>
      <c r="B4471" t="s">
        <v>29</v>
      </c>
      <c r="C4471" t="s">
        <v>23</v>
      </c>
      <c r="D4471" t="s">
        <v>40</v>
      </c>
      <c r="E4471" t="s">
        <v>43</v>
      </c>
      <c r="F4471" s="9">
        <v>0.02</v>
      </c>
      <c r="G4471" s="10">
        <v>19851</v>
      </c>
      <c r="H4471">
        <v>6.63</v>
      </c>
      <c r="I4471" s="5">
        <f>ROUND(Marketing[[#This Row],[Clicks]]*Marketing[[#This Row],[Conversion_Rate]],0)</f>
        <v>18</v>
      </c>
      <c r="J4471" s="12">
        <f>Marketing[[#This Row],[Campaign_Cost]]/Marketing[[#This Row],[Customers]]</f>
        <v>1102.8333333333333</v>
      </c>
      <c r="K4471" t="s">
        <v>19</v>
      </c>
      <c r="L4471" t="s">
        <v>20</v>
      </c>
      <c r="M4471">
        <v>881</v>
      </c>
      <c r="N4471">
        <v>8181</v>
      </c>
      <c r="O4471">
        <v>10</v>
      </c>
      <c r="P4471" t="s">
        <v>27</v>
      </c>
      <c r="Q4471" s="1">
        <v>44286</v>
      </c>
    </row>
    <row r="4472" spans="1:17" x14ac:dyDescent="0.3">
      <c r="A4472" t="s">
        <v>22</v>
      </c>
      <c r="B4472" t="s">
        <v>47</v>
      </c>
      <c r="C4472" t="s">
        <v>52</v>
      </c>
      <c r="D4472" t="s">
        <v>40</v>
      </c>
      <c r="E4472" t="s">
        <v>43</v>
      </c>
      <c r="F4472" s="9">
        <v>0.15</v>
      </c>
      <c r="G4472" s="10">
        <v>12784</v>
      </c>
      <c r="H4472">
        <v>3.12</v>
      </c>
      <c r="I4472" s="5">
        <f>ROUND(Marketing[[#This Row],[Clicks]]*Marketing[[#This Row],[Conversion_Rate]],0)</f>
        <v>81</v>
      </c>
      <c r="J4472" s="12">
        <f>Marketing[[#This Row],[Campaign_Cost]]/Marketing[[#This Row],[Customers]]</f>
        <v>157.82716049382717</v>
      </c>
      <c r="K4472" t="s">
        <v>38</v>
      </c>
      <c r="L4472" t="s">
        <v>33</v>
      </c>
      <c r="M4472">
        <v>542</v>
      </c>
      <c r="N4472">
        <v>7693</v>
      </c>
      <c r="O4472">
        <v>9</v>
      </c>
      <c r="P4472" t="s">
        <v>34</v>
      </c>
      <c r="Q4472" s="1">
        <v>44287</v>
      </c>
    </row>
    <row r="4473" spans="1:17" x14ac:dyDescent="0.3">
      <c r="A4473" t="s">
        <v>28</v>
      </c>
      <c r="B4473" t="s">
        <v>45</v>
      </c>
      <c r="C4473" t="s">
        <v>16</v>
      </c>
      <c r="D4473" t="s">
        <v>24</v>
      </c>
      <c r="E4473" t="s">
        <v>31</v>
      </c>
      <c r="F4473" s="9">
        <v>0.03</v>
      </c>
      <c r="G4473" s="10">
        <v>11366</v>
      </c>
      <c r="H4473">
        <v>6.58</v>
      </c>
      <c r="I4473" s="5">
        <f>ROUND(Marketing[[#This Row],[Clicks]]*Marketing[[#This Row],[Conversion_Rate]],0)</f>
        <v>12</v>
      </c>
      <c r="J4473" s="12">
        <f>Marketing[[#This Row],[Campaign_Cost]]/Marketing[[#This Row],[Customers]]</f>
        <v>947.16666666666663</v>
      </c>
      <c r="K4473" t="s">
        <v>32</v>
      </c>
      <c r="L4473" t="s">
        <v>39</v>
      </c>
      <c r="M4473">
        <v>399</v>
      </c>
      <c r="N4473">
        <v>9887</v>
      </c>
      <c r="O4473">
        <v>6</v>
      </c>
      <c r="P4473" t="s">
        <v>34</v>
      </c>
      <c r="Q4473" s="1">
        <v>44288</v>
      </c>
    </row>
    <row r="4474" spans="1:17" x14ac:dyDescent="0.3">
      <c r="A4474" t="s">
        <v>35</v>
      </c>
      <c r="B4474" t="s">
        <v>45</v>
      </c>
      <c r="C4474" t="s">
        <v>30</v>
      </c>
      <c r="D4474" t="s">
        <v>17</v>
      </c>
      <c r="E4474" t="s">
        <v>18</v>
      </c>
      <c r="F4474" s="9">
        <v>0.15</v>
      </c>
      <c r="G4474" s="10">
        <v>6597</v>
      </c>
      <c r="H4474">
        <v>2.5499999999999998</v>
      </c>
      <c r="I4474" s="5">
        <f>ROUND(Marketing[[#This Row],[Clicks]]*Marketing[[#This Row],[Conversion_Rate]],0)</f>
        <v>75</v>
      </c>
      <c r="J4474" s="12">
        <f>Marketing[[#This Row],[Campaign_Cost]]/Marketing[[#This Row],[Customers]]</f>
        <v>87.96</v>
      </c>
      <c r="K4474" t="s">
        <v>51</v>
      </c>
      <c r="L4474" t="s">
        <v>39</v>
      </c>
      <c r="M4474">
        <v>503</v>
      </c>
      <c r="N4474">
        <v>5178</v>
      </c>
      <c r="O4474">
        <v>4</v>
      </c>
      <c r="P4474" t="s">
        <v>42</v>
      </c>
      <c r="Q4474" s="1">
        <v>44289</v>
      </c>
    </row>
    <row r="4475" spans="1:17" x14ac:dyDescent="0.3">
      <c r="A4475" t="s">
        <v>22</v>
      </c>
      <c r="B4475" t="s">
        <v>36</v>
      </c>
      <c r="C4475" t="s">
        <v>16</v>
      </c>
      <c r="D4475" t="s">
        <v>40</v>
      </c>
      <c r="E4475" t="s">
        <v>43</v>
      </c>
      <c r="F4475" s="9">
        <v>0.09</v>
      </c>
      <c r="G4475" s="10">
        <v>12773</v>
      </c>
      <c r="H4475">
        <v>7.92</v>
      </c>
      <c r="I4475" s="5">
        <f>ROUND(Marketing[[#This Row],[Clicks]]*Marketing[[#This Row],[Conversion_Rate]],0)</f>
        <v>42</v>
      </c>
      <c r="J4475" s="12">
        <f>Marketing[[#This Row],[Campaign_Cost]]/Marketing[[#This Row],[Customers]]</f>
        <v>304.11904761904759</v>
      </c>
      <c r="K4475" t="s">
        <v>25</v>
      </c>
      <c r="L4475" t="s">
        <v>26</v>
      </c>
      <c r="M4475">
        <v>462</v>
      </c>
      <c r="N4475">
        <v>3443</v>
      </c>
      <c r="O4475">
        <v>5</v>
      </c>
      <c r="P4475" t="s">
        <v>34</v>
      </c>
      <c r="Q4475" s="1">
        <v>44290</v>
      </c>
    </row>
    <row r="4476" spans="1:17" x14ac:dyDescent="0.3">
      <c r="A4476" t="s">
        <v>35</v>
      </c>
      <c r="B4476" t="s">
        <v>47</v>
      </c>
      <c r="C4476" t="s">
        <v>30</v>
      </c>
      <c r="D4476" t="s">
        <v>24</v>
      </c>
      <c r="E4476" t="s">
        <v>41</v>
      </c>
      <c r="F4476" s="9">
        <v>0.04</v>
      </c>
      <c r="G4476" s="10">
        <v>17215</v>
      </c>
      <c r="H4476">
        <v>6.45</v>
      </c>
      <c r="I4476" s="5">
        <f>ROUND(Marketing[[#This Row],[Clicks]]*Marketing[[#This Row],[Conversion_Rate]],0)</f>
        <v>18</v>
      </c>
      <c r="J4476" s="12">
        <f>Marketing[[#This Row],[Campaign_Cost]]/Marketing[[#This Row],[Customers]]</f>
        <v>956.38888888888891</v>
      </c>
      <c r="K4476" t="s">
        <v>38</v>
      </c>
      <c r="L4476" t="s">
        <v>33</v>
      </c>
      <c r="M4476">
        <v>454</v>
      </c>
      <c r="N4476">
        <v>3816</v>
      </c>
      <c r="O4476">
        <v>4</v>
      </c>
      <c r="P4476" t="s">
        <v>34</v>
      </c>
      <c r="Q4476" s="1">
        <v>44291</v>
      </c>
    </row>
    <row r="4477" spans="1:17" x14ac:dyDescent="0.3">
      <c r="A4477" t="s">
        <v>35</v>
      </c>
      <c r="B4477" t="s">
        <v>36</v>
      </c>
      <c r="C4477" t="s">
        <v>37</v>
      </c>
      <c r="D4477" t="s">
        <v>17</v>
      </c>
      <c r="E4477" t="s">
        <v>31</v>
      </c>
      <c r="F4477" s="9">
        <v>0.1</v>
      </c>
      <c r="G4477" s="10">
        <v>18827</v>
      </c>
      <c r="H4477">
        <v>6.21</v>
      </c>
      <c r="I4477" s="5">
        <f>ROUND(Marketing[[#This Row],[Clicks]]*Marketing[[#This Row],[Conversion_Rate]],0)</f>
        <v>14</v>
      </c>
      <c r="J4477" s="12">
        <f>Marketing[[#This Row],[Campaign_Cost]]/Marketing[[#This Row],[Customers]]</f>
        <v>1344.7857142857142</v>
      </c>
      <c r="K4477" t="s">
        <v>19</v>
      </c>
      <c r="L4477" t="s">
        <v>26</v>
      </c>
      <c r="M4477">
        <v>137</v>
      </c>
      <c r="N4477">
        <v>8931</v>
      </c>
      <c r="O4477">
        <v>5</v>
      </c>
      <c r="P4477" t="s">
        <v>27</v>
      </c>
      <c r="Q4477" s="1">
        <v>44292</v>
      </c>
    </row>
    <row r="4478" spans="1:17" x14ac:dyDescent="0.3">
      <c r="A4478" t="s">
        <v>14</v>
      </c>
      <c r="B4478" t="s">
        <v>15</v>
      </c>
      <c r="C4478" t="s">
        <v>37</v>
      </c>
      <c r="D4478" t="s">
        <v>40</v>
      </c>
      <c r="E4478" t="s">
        <v>18</v>
      </c>
      <c r="F4478" s="9">
        <v>0.12</v>
      </c>
      <c r="G4478" s="10">
        <v>12918</v>
      </c>
      <c r="H4478">
        <v>2.04</v>
      </c>
      <c r="I4478" s="5">
        <f>ROUND(Marketing[[#This Row],[Clicks]]*Marketing[[#This Row],[Conversion_Rate]],0)</f>
        <v>42</v>
      </c>
      <c r="J4478" s="12">
        <f>Marketing[[#This Row],[Campaign_Cost]]/Marketing[[#This Row],[Customers]]</f>
        <v>307.57142857142856</v>
      </c>
      <c r="K4478" t="s">
        <v>25</v>
      </c>
      <c r="L4478" t="s">
        <v>39</v>
      </c>
      <c r="M4478">
        <v>347</v>
      </c>
      <c r="N4478">
        <v>5536</v>
      </c>
      <c r="O4478">
        <v>5</v>
      </c>
      <c r="P4478" t="s">
        <v>44</v>
      </c>
      <c r="Q4478" s="1">
        <v>44293</v>
      </c>
    </row>
    <row r="4479" spans="1:17" x14ac:dyDescent="0.3">
      <c r="A4479" t="s">
        <v>28</v>
      </c>
      <c r="B4479" t="s">
        <v>29</v>
      </c>
      <c r="C4479" t="s">
        <v>23</v>
      </c>
      <c r="D4479" t="s">
        <v>40</v>
      </c>
      <c r="E4479" t="s">
        <v>31</v>
      </c>
      <c r="F4479" s="9">
        <v>0.11</v>
      </c>
      <c r="G4479" s="10">
        <v>14730</v>
      </c>
      <c r="H4479">
        <v>2.2000000000000002</v>
      </c>
      <c r="I4479" s="5">
        <f>ROUND(Marketing[[#This Row],[Clicks]]*Marketing[[#This Row],[Conversion_Rate]],0)</f>
        <v>70</v>
      </c>
      <c r="J4479" s="12">
        <f>Marketing[[#This Row],[Campaign_Cost]]/Marketing[[#This Row],[Customers]]</f>
        <v>210.42857142857142</v>
      </c>
      <c r="K4479" t="s">
        <v>38</v>
      </c>
      <c r="L4479" t="s">
        <v>26</v>
      </c>
      <c r="M4479">
        <v>639</v>
      </c>
      <c r="N4479">
        <v>3636</v>
      </c>
      <c r="O4479">
        <v>3</v>
      </c>
      <c r="P4479" t="s">
        <v>42</v>
      </c>
      <c r="Q4479" s="1">
        <v>44294</v>
      </c>
    </row>
    <row r="4480" spans="1:17" x14ac:dyDescent="0.3">
      <c r="A4480" t="s">
        <v>49</v>
      </c>
      <c r="B4480" t="s">
        <v>15</v>
      </c>
      <c r="C4480" t="s">
        <v>52</v>
      </c>
      <c r="D4480" t="s">
        <v>46</v>
      </c>
      <c r="E4480" t="s">
        <v>15</v>
      </c>
      <c r="F4480" s="9">
        <v>0.12</v>
      </c>
      <c r="G4480" s="10">
        <v>18762</v>
      </c>
      <c r="H4480">
        <v>7.93</v>
      </c>
      <c r="I4480" s="5">
        <f>ROUND(Marketing[[#This Row],[Clicks]]*Marketing[[#This Row],[Conversion_Rate]],0)</f>
        <v>107</v>
      </c>
      <c r="J4480" s="12">
        <f>Marketing[[#This Row],[Campaign_Cost]]/Marketing[[#This Row],[Customers]]</f>
        <v>175.34579439252337</v>
      </c>
      <c r="K4480" t="s">
        <v>51</v>
      </c>
      <c r="L4480" t="s">
        <v>50</v>
      </c>
      <c r="M4480">
        <v>895</v>
      </c>
      <c r="N4480">
        <v>3949</v>
      </c>
      <c r="O4480">
        <v>2</v>
      </c>
      <c r="P4480" t="s">
        <v>27</v>
      </c>
      <c r="Q4480" s="1">
        <v>44295</v>
      </c>
    </row>
    <row r="4481" spans="1:17" x14ac:dyDescent="0.3">
      <c r="A4481" t="s">
        <v>35</v>
      </c>
      <c r="B4481" t="s">
        <v>47</v>
      </c>
      <c r="C4481" t="s">
        <v>16</v>
      </c>
      <c r="D4481" t="s">
        <v>17</v>
      </c>
      <c r="E4481" t="s">
        <v>31</v>
      </c>
      <c r="F4481" s="9">
        <v>0.12</v>
      </c>
      <c r="G4481" s="10">
        <v>15888</v>
      </c>
      <c r="H4481">
        <v>2.19</v>
      </c>
      <c r="I4481" s="5">
        <f>ROUND(Marketing[[#This Row],[Clicks]]*Marketing[[#This Row],[Conversion_Rate]],0)</f>
        <v>112</v>
      </c>
      <c r="J4481" s="12">
        <f>Marketing[[#This Row],[Campaign_Cost]]/Marketing[[#This Row],[Customers]]</f>
        <v>141.85714285714286</v>
      </c>
      <c r="K4481" t="s">
        <v>51</v>
      </c>
      <c r="L4481" t="s">
        <v>26</v>
      </c>
      <c r="M4481">
        <v>937</v>
      </c>
      <c r="N4481">
        <v>8470</v>
      </c>
      <c r="O4481">
        <v>8</v>
      </c>
      <c r="P4481" t="s">
        <v>27</v>
      </c>
      <c r="Q4481" s="1">
        <v>44296</v>
      </c>
    </row>
    <row r="4482" spans="1:17" x14ac:dyDescent="0.3">
      <c r="A4482" t="s">
        <v>49</v>
      </c>
      <c r="B4482" t="s">
        <v>47</v>
      </c>
      <c r="C4482" t="s">
        <v>23</v>
      </c>
      <c r="D4482" t="s">
        <v>17</v>
      </c>
      <c r="E4482" t="s">
        <v>18</v>
      </c>
      <c r="F4482" s="9">
        <v>0.13</v>
      </c>
      <c r="G4482" s="10">
        <v>19599</v>
      </c>
      <c r="H4482">
        <v>4.25</v>
      </c>
      <c r="I4482" s="5">
        <f>ROUND(Marketing[[#This Row],[Clicks]]*Marketing[[#This Row],[Conversion_Rate]],0)</f>
        <v>25</v>
      </c>
      <c r="J4482" s="12">
        <f>Marketing[[#This Row],[Campaign_Cost]]/Marketing[[#This Row],[Customers]]</f>
        <v>783.96</v>
      </c>
      <c r="K4482" t="s">
        <v>51</v>
      </c>
      <c r="L4482" t="s">
        <v>26</v>
      </c>
      <c r="M4482">
        <v>195</v>
      </c>
      <c r="N4482">
        <v>8847</v>
      </c>
      <c r="O4482">
        <v>1</v>
      </c>
      <c r="P4482" t="s">
        <v>21</v>
      </c>
      <c r="Q4482" s="1">
        <v>44297</v>
      </c>
    </row>
    <row r="4483" spans="1:17" x14ac:dyDescent="0.3">
      <c r="A4483" t="s">
        <v>14</v>
      </c>
      <c r="B4483" t="s">
        <v>45</v>
      </c>
      <c r="C4483" t="s">
        <v>30</v>
      </c>
      <c r="D4483" t="s">
        <v>24</v>
      </c>
      <c r="E4483" t="s">
        <v>43</v>
      </c>
      <c r="F4483" s="9">
        <v>0.09</v>
      </c>
      <c r="G4483" s="10">
        <v>6364</v>
      </c>
      <c r="H4483">
        <v>5.26</v>
      </c>
      <c r="I4483" s="5">
        <f>ROUND(Marketing[[#This Row],[Clicks]]*Marketing[[#This Row],[Conversion_Rate]],0)</f>
        <v>27</v>
      </c>
      <c r="J4483" s="12">
        <f>Marketing[[#This Row],[Campaign_Cost]]/Marketing[[#This Row],[Customers]]</f>
        <v>235.7037037037037</v>
      </c>
      <c r="K4483" t="s">
        <v>51</v>
      </c>
      <c r="L4483" t="s">
        <v>50</v>
      </c>
      <c r="M4483">
        <v>298</v>
      </c>
      <c r="N4483">
        <v>1516</v>
      </c>
      <c r="O4483">
        <v>4</v>
      </c>
      <c r="P4483" t="s">
        <v>42</v>
      </c>
      <c r="Q4483" s="1">
        <v>44298</v>
      </c>
    </row>
    <row r="4484" spans="1:17" x14ac:dyDescent="0.3">
      <c r="A4484" t="s">
        <v>14</v>
      </c>
      <c r="B4484" t="s">
        <v>45</v>
      </c>
      <c r="C4484" t="s">
        <v>23</v>
      </c>
      <c r="D4484" t="s">
        <v>24</v>
      </c>
      <c r="E4484" t="s">
        <v>18</v>
      </c>
      <c r="F4484" s="9">
        <v>0.08</v>
      </c>
      <c r="G4484" s="10">
        <v>17674</v>
      </c>
      <c r="H4484">
        <v>3.78</v>
      </c>
      <c r="I4484" s="5">
        <f>ROUND(Marketing[[#This Row],[Clicks]]*Marketing[[#This Row],[Conversion_Rate]],0)</f>
        <v>21</v>
      </c>
      <c r="J4484" s="12">
        <f>Marketing[[#This Row],[Campaign_Cost]]/Marketing[[#This Row],[Customers]]</f>
        <v>841.61904761904759</v>
      </c>
      <c r="K4484" t="s">
        <v>32</v>
      </c>
      <c r="L4484" t="s">
        <v>39</v>
      </c>
      <c r="M4484">
        <v>266</v>
      </c>
      <c r="N4484">
        <v>6944</v>
      </c>
      <c r="O4484">
        <v>9</v>
      </c>
      <c r="P4484" t="s">
        <v>21</v>
      </c>
      <c r="Q4484" s="1">
        <v>44299</v>
      </c>
    </row>
    <row r="4485" spans="1:17" x14ac:dyDescent="0.3">
      <c r="A4485" t="s">
        <v>22</v>
      </c>
      <c r="B4485" t="s">
        <v>36</v>
      </c>
      <c r="C4485" t="s">
        <v>30</v>
      </c>
      <c r="D4485" t="s">
        <v>24</v>
      </c>
      <c r="E4485" t="s">
        <v>31</v>
      </c>
      <c r="F4485" s="9">
        <v>0.12</v>
      </c>
      <c r="G4485" s="10">
        <v>11529</v>
      </c>
      <c r="H4485">
        <v>6.09</v>
      </c>
      <c r="I4485" s="5">
        <f>ROUND(Marketing[[#This Row],[Clicks]]*Marketing[[#This Row],[Conversion_Rate]],0)</f>
        <v>36</v>
      </c>
      <c r="J4485" s="12">
        <f>Marketing[[#This Row],[Campaign_Cost]]/Marketing[[#This Row],[Customers]]</f>
        <v>320.25</v>
      </c>
      <c r="K4485" t="s">
        <v>51</v>
      </c>
      <c r="L4485" t="s">
        <v>20</v>
      </c>
      <c r="M4485">
        <v>297</v>
      </c>
      <c r="N4485">
        <v>2578</v>
      </c>
      <c r="O4485">
        <v>7</v>
      </c>
      <c r="P4485" t="s">
        <v>44</v>
      </c>
      <c r="Q4485" s="1">
        <v>44300</v>
      </c>
    </row>
    <row r="4486" spans="1:17" x14ac:dyDescent="0.3">
      <c r="A4486" t="s">
        <v>28</v>
      </c>
      <c r="B4486" t="s">
        <v>45</v>
      </c>
      <c r="C4486" t="s">
        <v>23</v>
      </c>
      <c r="D4486" t="s">
        <v>24</v>
      </c>
      <c r="E4486" t="s">
        <v>41</v>
      </c>
      <c r="F4486" s="9">
        <v>0.12</v>
      </c>
      <c r="G4486" s="10">
        <v>9857</v>
      </c>
      <c r="H4486">
        <v>4.42</v>
      </c>
      <c r="I4486" s="5">
        <f>ROUND(Marketing[[#This Row],[Clicks]]*Marketing[[#This Row],[Conversion_Rate]],0)</f>
        <v>38</v>
      </c>
      <c r="J4486" s="12">
        <f>Marketing[[#This Row],[Campaign_Cost]]/Marketing[[#This Row],[Customers]]</f>
        <v>259.39473684210526</v>
      </c>
      <c r="K4486" t="s">
        <v>32</v>
      </c>
      <c r="L4486" t="s">
        <v>50</v>
      </c>
      <c r="M4486">
        <v>316</v>
      </c>
      <c r="N4486">
        <v>2381</v>
      </c>
      <c r="O4486">
        <v>7</v>
      </c>
      <c r="P4486" t="s">
        <v>44</v>
      </c>
      <c r="Q4486" s="1">
        <v>44301</v>
      </c>
    </row>
    <row r="4487" spans="1:17" x14ac:dyDescent="0.3">
      <c r="A4487" t="s">
        <v>28</v>
      </c>
      <c r="B4487" t="s">
        <v>47</v>
      </c>
      <c r="C4487" t="s">
        <v>37</v>
      </c>
      <c r="D4487" t="s">
        <v>40</v>
      </c>
      <c r="E4487" t="s">
        <v>15</v>
      </c>
      <c r="F4487" s="9">
        <v>0.09</v>
      </c>
      <c r="G4487" s="10">
        <v>9418</v>
      </c>
      <c r="H4487">
        <v>2.0499999999999998</v>
      </c>
      <c r="I4487" s="5">
        <f>ROUND(Marketing[[#This Row],[Clicks]]*Marketing[[#This Row],[Conversion_Rate]],0)</f>
        <v>43</v>
      </c>
      <c r="J4487" s="12">
        <f>Marketing[[#This Row],[Campaign_Cost]]/Marketing[[#This Row],[Customers]]</f>
        <v>219.02325581395348</v>
      </c>
      <c r="K4487" t="s">
        <v>51</v>
      </c>
      <c r="L4487" t="s">
        <v>26</v>
      </c>
      <c r="M4487">
        <v>475</v>
      </c>
      <c r="N4487">
        <v>7918</v>
      </c>
      <c r="O4487">
        <v>6</v>
      </c>
      <c r="P4487" t="s">
        <v>27</v>
      </c>
      <c r="Q4487" s="1">
        <v>44302</v>
      </c>
    </row>
    <row r="4488" spans="1:17" x14ac:dyDescent="0.3">
      <c r="A4488" t="s">
        <v>28</v>
      </c>
      <c r="B4488" t="s">
        <v>36</v>
      </c>
      <c r="C4488" t="s">
        <v>23</v>
      </c>
      <c r="D4488" t="s">
        <v>46</v>
      </c>
      <c r="E4488" t="s">
        <v>48</v>
      </c>
      <c r="F4488" s="9">
        <v>0.14000000000000001</v>
      </c>
      <c r="G4488" s="10">
        <v>7314</v>
      </c>
      <c r="H4488">
        <v>7.28</v>
      </c>
      <c r="I4488" s="5">
        <f>ROUND(Marketing[[#This Row],[Clicks]]*Marketing[[#This Row],[Conversion_Rate]],0)</f>
        <v>68</v>
      </c>
      <c r="J4488" s="12">
        <f>Marketing[[#This Row],[Campaign_Cost]]/Marketing[[#This Row],[Customers]]</f>
        <v>107.55882352941177</v>
      </c>
      <c r="K4488" t="s">
        <v>25</v>
      </c>
      <c r="L4488" t="s">
        <v>33</v>
      </c>
      <c r="M4488">
        <v>485</v>
      </c>
      <c r="N4488">
        <v>5864</v>
      </c>
      <c r="O4488">
        <v>6</v>
      </c>
      <c r="P4488" t="s">
        <v>42</v>
      </c>
      <c r="Q4488" s="1">
        <v>44303</v>
      </c>
    </row>
    <row r="4489" spans="1:17" x14ac:dyDescent="0.3">
      <c r="A4489" t="s">
        <v>28</v>
      </c>
      <c r="B4489" t="s">
        <v>47</v>
      </c>
      <c r="C4489" t="s">
        <v>30</v>
      </c>
      <c r="D4489" t="s">
        <v>46</v>
      </c>
      <c r="E4489" t="s">
        <v>48</v>
      </c>
      <c r="F4489" s="9">
        <v>0.11</v>
      </c>
      <c r="G4489" s="10">
        <v>12696</v>
      </c>
      <c r="H4489">
        <v>6.48</v>
      </c>
      <c r="I4489" s="5">
        <f>ROUND(Marketing[[#This Row],[Clicks]]*Marketing[[#This Row],[Conversion_Rate]],0)</f>
        <v>98</v>
      </c>
      <c r="J4489" s="12">
        <f>Marketing[[#This Row],[Campaign_Cost]]/Marketing[[#This Row],[Customers]]</f>
        <v>129.55102040816325</v>
      </c>
      <c r="K4489" t="s">
        <v>38</v>
      </c>
      <c r="L4489" t="s">
        <v>39</v>
      </c>
      <c r="M4489">
        <v>894</v>
      </c>
      <c r="N4489">
        <v>7116</v>
      </c>
      <c r="O4489">
        <v>10</v>
      </c>
      <c r="P4489" t="s">
        <v>27</v>
      </c>
      <c r="Q4489" s="1">
        <v>44304</v>
      </c>
    </row>
    <row r="4490" spans="1:17" x14ac:dyDescent="0.3">
      <c r="A4490" t="s">
        <v>49</v>
      </c>
      <c r="B4490" t="s">
        <v>29</v>
      </c>
      <c r="C4490" t="s">
        <v>16</v>
      </c>
      <c r="D4490" t="s">
        <v>46</v>
      </c>
      <c r="E4490" t="s">
        <v>18</v>
      </c>
      <c r="F4490" s="9">
        <v>0.04</v>
      </c>
      <c r="G4490" s="10">
        <v>13591</v>
      </c>
      <c r="H4490">
        <v>7.45</v>
      </c>
      <c r="I4490" s="5">
        <f>ROUND(Marketing[[#This Row],[Clicks]]*Marketing[[#This Row],[Conversion_Rate]],0)</f>
        <v>25</v>
      </c>
      <c r="J4490" s="12">
        <f>Marketing[[#This Row],[Campaign_Cost]]/Marketing[[#This Row],[Customers]]</f>
        <v>543.64</v>
      </c>
      <c r="K4490" t="s">
        <v>19</v>
      </c>
      <c r="L4490" t="s">
        <v>26</v>
      </c>
      <c r="M4490">
        <v>621</v>
      </c>
      <c r="N4490">
        <v>2294</v>
      </c>
      <c r="O4490">
        <v>4</v>
      </c>
      <c r="P4490" t="s">
        <v>34</v>
      </c>
      <c r="Q4490" s="1">
        <v>44305</v>
      </c>
    </row>
    <row r="4491" spans="1:17" x14ac:dyDescent="0.3">
      <c r="A4491" t="s">
        <v>22</v>
      </c>
      <c r="B4491" t="s">
        <v>29</v>
      </c>
      <c r="C4491" t="s">
        <v>16</v>
      </c>
      <c r="D4491" t="s">
        <v>46</v>
      </c>
      <c r="E4491" t="s">
        <v>15</v>
      </c>
      <c r="F4491" s="9">
        <v>0.1</v>
      </c>
      <c r="G4491" s="10">
        <v>6264</v>
      </c>
      <c r="H4491">
        <v>7.32</v>
      </c>
      <c r="I4491" s="5">
        <f>ROUND(Marketing[[#This Row],[Clicks]]*Marketing[[#This Row],[Conversion_Rate]],0)</f>
        <v>80</v>
      </c>
      <c r="J4491" s="12">
        <f>Marketing[[#This Row],[Campaign_Cost]]/Marketing[[#This Row],[Customers]]</f>
        <v>78.3</v>
      </c>
      <c r="K4491" t="s">
        <v>38</v>
      </c>
      <c r="L4491" t="s">
        <v>50</v>
      </c>
      <c r="M4491">
        <v>797</v>
      </c>
      <c r="N4491">
        <v>2784</v>
      </c>
      <c r="O4491">
        <v>4</v>
      </c>
      <c r="P4491" t="s">
        <v>42</v>
      </c>
      <c r="Q4491" s="1">
        <v>44306</v>
      </c>
    </row>
    <row r="4492" spans="1:17" x14ac:dyDescent="0.3">
      <c r="A4492" t="s">
        <v>14</v>
      </c>
      <c r="B4492" t="s">
        <v>47</v>
      </c>
      <c r="C4492" t="s">
        <v>52</v>
      </c>
      <c r="D4492" t="s">
        <v>46</v>
      </c>
      <c r="E4492" t="s">
        <v>48</v>
      </c>
      <c r="F4492" s="9">
        <v>7.0000000000000007E-2</v>
      </c>
      <c r="G4492" s="10">
        <v>13671</v>
      </c>
      <c r="H4492">
        <v>5.34</v>
      </c>
      <c r="I4492" s="5">
        <f>ROUND(Marketing[[#This Row],[Clicks]]*Marketing[[#This Row],[Conversion_Rate]],0)</f>
        <v>58</v>
      </c>
      <c r="J4492" s="12">
        <f>Marketing[[#This Row],[Campaign_Cost]]/Marketing[[#This Row],[Customers]]</f>
        <v>235.70689655172413</v>
      </c>
      <c r="K4492" t="s">
        <v>25</v>
      </c>
      <c r="L4492" t="s">
        <v>33</v>
      </c>
      <c r="M4492">
        <v>832</v>
      </c>
      <c r="N4492">
        <v>7832</v>
      </c>
      <c r="O4492">
        <v>9</v>
      </c>
      <c r="P4492" t="s">
        <v>21</v>
      </c>
      <c r="Q4492" s="1">
        <v>44307</v>
      </c>
    </row>
    <row r="4493" spans="1:17" x14ac:dyDescent="0.3">
      <c r="A4493" t="s">
        <v>22</v>
      </c>
      <c r="B4493" t="s">
        <v>47</v>
      </c>
      <c r="C4493" t="s">
        <v>16</v>
      </c>
      <c r="D4493" t="s">
        <v>40</v>
      </c>
      <c r="E4493" t="s">
        <v>48</v>
      </c>
      <c r="F4493" s="9">
        <v>0.09</v>
      </c>
      <c r="G4493" s="10">
        <v>12479</v>
      </c>
      <c r="H4493">
        <v>3.38</v>
      </c>
      <c r="I4493" s="5">
        <f>ROUND(Marketing[[#This Row],[Clicks]]*Marketing[[#This Row],[Conversion_Rate]],0)</f>
        <v>48</v>
      </c>
      <c r="J4493" s="12">
        <f>Marketing[[#This Row],[Campaign_Cost]]/Marketing[[#This Row],[Customers]]</f>
        <v>259.97916666666669</v>
      </c>
      <c r="K4493" t="s">
        <v>38</v>
      </c>
      <c r="L4493" t="s">
        <v>39</v>
      </c>
      <c r="M4493">
        <v>530</v>
      </c>
      <c r="N4493">
        <v>5834</v>
      </c>
      <c r="O4493">
        <v>8</v>
      </c>
      <c r="P4493" t="s">
        <v>21</v>
      </c>
      <c r="Q4493" s="1">
        <v>44308</v>
      </c>
    </row>
    <row r="4494" spans="1:17" x14ac:dyDescent="0.3">
      <c r="A4494" t="s">
        <v>28</v>
      </c>
      <c r="B4494" t="s">
        <v>15</v>
      </c>
      <c r="C4494" t="s">
        <v>16</v>
      </c>
      <c r="D4494" t="s">
        <v>40</v>
      </c>
      <c r="E4494" t="s">
        <v>18</v>
      </c>
      <c r="F4494" s="9">
        <v>0.1</v>
      </c>
      <c r="G4494" s="10">
        <v>13996</v>
      </c>
      <c r="H4494">
        <v>4.2</v>
      </c>
      <c r="I4494" s="5">
        <f>ROUND(Marketing[[#This Row],[Clicks]]*Marketing[[#This Row],[Conversion_Rate]],0)</f>
        <v>71</v>
      </c>
      <c r="J4494" s="12">
        <f>Marketing[[#This Row],[Campaign_Cost]]/Marketing[[#This Row],[Customers]]</f>
        <v>197.12676056338029</v>
      </c>
      <c r="K4494" t="s">
        <v>38</v>
      </c>
      <c r="L4494" t="s">
        <v>26</v>
      </c>
      <c r="M4494">
        <v>714</v>
      </c>
      <c r="N4494">
        <v>9405</v>
      </c>
      <c r="O4494">
        <v>2</v>
      </c>
      <c r="P4494" t="s">
        <v>21</v>
      </c>
      <c r="Q4494" s="1">
        <v>44309</v>
      </c>
    </row>
    <row r="4495" spans="1:17" x14ac:dyDescent="0.3">
      <c r="A4495" t="s">
        <v>35</v>
      </c>
      <c r="B4495" t="s">
        <v>29</v>
      </c>
      <c r="C4495" t="s">
        <v>23</v>
      </c>
      <c r="D4495" t="s">
        <v>46</v>
      </c>
      <c r="E4495" t="s">
        <v>18</v>
      </c>
      <c r="F4495" s="9">
        <v>0.09</v>
      </c>
      <c r="G4495" s="10">
        <v>17881</v>
      </c>
      <c r="H4495">
        <v>6.59</v>
      </c>
      <c r="I4495" s="5">
        <f>ROUND(Marketing[[#This Row],[Clicks]]*Marketing[[#This Row],[Conversion_Rate]],0)</f>
        <v>71</v>
      </c>
      <c r="J4495" s="12">
        <f>Marketing[[#This Row],[Campaign_Cost]]/Marketing[[#This Row],[Customers]]</f>
        <v>251.8450704225352</v>
      </c>
      <c r="K4495" t="s">
        <v>38</v>
      </c>
      <c r="L4495" t="s">
        <v>50</v>
      </c>
      <c r="M4495">
        <v>793</v>
      </c>
      <c r="N4495">
        <v>2865</v>
      </c>
      <c r="O4495">
        <v>8</v>
      </c>
      <c r="P4495" t="s">
        <v>34</v>
      </c>
      <c r="Q4495" s="1">
        <v>44310</v>
      </c>
    </row>
    <row r="4496" spans="1:17" x14ac:dyDescent="0.3">
      <c r="A4496" t="s">
        <v>14</v>
      </c>
      <c r="B4496" t="s">
        <v>36</v>
      </c>
      <c r="C4496" t="s">
        <v>16</v>
      </c>
      <c r="D4496" t="s">
        <v>24</v>
      </c>
      <c r="E4496" t="s">
        <v>43</v>
      </c>
      <c r="F4496" s="9">
        <v>0.1</v>
      </c>
      <c r="G4496" s="10">
        <v>16144</v>
      </c>
      <c r="H4496">
        <v>6.95</v>
      </c>
      <c r="I4496" s="5">
        <f>ROUND(Marketing[[#This Row],[Clicks]]*Marketing[[#This Row],[Conversion_Rate]],0)</f>
        <v>19</v>
      </c>
      <c r="J4496" s="12">
        <f>Marketing[[#This Row],[Campaign_Cost]]/Marketing[[#This Row],[Customers]]</f>
        <v>849.68421052631584</v>
      </c>
      <c r="K4496" t="s">
        <v>38</v>
      </c>
      <c r="L4496" t="s">
        <v>50</v>
      </c>
      <c r="M4496">
        <v>186</v>
      </c>
      <c r="N4496">
        <v>4003</v>
      </c>
      <c r="O4496">
        <v>6</v>
      </c>
      <c r="P4496" t="s">
        <v>21</v>
      </c>
      <c r="Q4496" s="1">
        <v>44311</v>
      </c>
    </row>
    <row r="4497" spans="1:17" x14ac:dyDescent="0.3">
      <c r="A4497" t="s">
        <v>35</v>
      </c>
      <c r="B4497" t="s">
        <v>45</v>
      </c>
      <c r="C4497" t="s">
        <v>37</v>
      </c>
      <c r="D4497" t="s">
        <v>40</v>
      </c>
      <c r="E4497" t="s">
        <v>31</v>
      </c>
      <c r="F4497" s="9">
        <v>0.1</v>
      </c>
      <c r="G4497" s="10">
        <v>9290</v>
      </c>
      <c r="H4497">
        <v>2.21</v>
      </c>
      <c r="I4497" s="5">
        <f>ROUND(Marketing[[#This Row],[Clicks]]*Marketing[[#This Row],[Conversion_Rate]],0)</f>
        <v>47</v>
      </c>
      <c r="J4497" s="12">
        <f>Marketing[[#This Row],[Campaign_Cost]]/Marketing[[#This Row],[Customers]]</f>
        <v>197.65957446808511</v>
      </c>
      <c r="K4497" t="s">
        <v>38</v>
      </c>
      <c r="L4497" t="s">
        <v>20</v>
      </c>
      <c r="M4497">
        <v>474</v>
      </c>
      <c r="N4497">
        <v>2454</v>
      </c>
      <c r="O4497">
        <v>7</v>
      </c>
      <c r="P4497" t="s">
        <v>27</v>
      </c>
      <c r="Q4497" s="1">
        <v>44312</v>
      </c>
    </row>
    <row r="4498" spans="1:17" x14ac:dyDescent="0.3">
      <c r="A4498" t="s">
        <v>35</v>
      </c>
      <c r="B4498" t="s">
        <v>15</v>
      </c>
      <c r="C4498" t="s">
        <v>16</v>
      </c>
      <c r="D4498" t="s">
        <v>40</v>
      </c>
      <c r="E4498" t="s">
        <v>41</v>
      </c>
      <c r="F4498" s="9">
        <v>0.02</v>
      </c>
      <c r="G4498" s="10">
        <v>13329</v>
      </c>
      <c r="H4498">
        <v>3.99</v>
      </c>
      <c r="I4498" s="5">
        <f>ROUND(Marketing[[#This Row],[Clicks]]*Marketing[[#This Row],[Conversion_Rate]],0)</f>
        <v>9</v>
      </c>
      <c r="J4498" s="12">
        <f>Marketing[[#This Row],[Campaign_Cost]]/Marketing[[#This Row],[Customers]]</f>
        <v>1481</v>
      </c>
      <c r="K4498" t="s">
        <v>38</v>
      </c>
      <c r="L4498" t="s">
        <v>50</v>
      </c>
      <c r="M4498">
        <v>432</v>
      </c>
      <c r="N4498">
        <v>7653</v>
      </c>
      <c r="O4498">
        <v>3</v>
      </c>
      <c r="P4498" t="s">
        <v>34</v>
      </c>
      <c r="Q4498" s="1">
        <v>44313</v>
      </c>
    </row>
    <row r="4499" spans="1:17" x14ac:dyDescent="0.3">
      <c r="A4499" t="s">
        <v>35</v>
      </c>
      <c r="B4499" t="s">
        <v>36</v>
      </c>
      <c r="C4499" t="s">
        <v>30</v>
      </c>
      <c r="D4499" t="s">
        <v>17</v>
      </c>
      <c r="E4499" t="s">
        <v>18</v>
      </c>
      <c r="F4499" s="9">
        <v>0.08</v>
      </c>
      <c r="G4499" s="10">
        <v>10235</v>
      </c>
      <c r="H4499">
        <v>5.56</v>
      </c>
      <c r="I4499" s="5">
        <f>ROUND(Marketing[[#This Row],[Clicks]]*Marketing[[#This Row],[Conversion_Rate]],0)</f>
        <v>19</v>
      </c>
      <c r="J4499" s="12">
        <f>Marketing[[#This Row],[Campaign_Cost]]/Marketing[[#This Row],[Customers]]</f>
        <v>538.68421052631584</v>
      </c>
      <c r="K4499" t="s">
        <v>32</v>
      </c>
      <c r="L4499" t="s">
        <v>20</v>
      </c>
      <c r="M4499">
        <v>242</v>
      </c>
      <c r="N4499">
        <v>4048</v>
      </c>
      <c r="O4499">
        <v>8</v>
      </c>
      <c r="P4499" t="s">
        <v>27</v>
      </c>
      <c r="Q4499" s="1">
        <v>44314</v>
      </c>
    </row>
    <row r="4500" spans="1:17" x14ac:dyDescent="0.3">
      <c r="A4500" t="s">
        <v>35</v>
      </c>
      <c r="B4500" t="s">
        <v>45</v>
      </c>
      <c r="C4500" t="s">
        <v>30</v>
      </c>
      <c r="D4500" t="s">
        <v>46</v>
      </c>
      <c r="E4500" t="s">
        <v>15</v>
      </c>
      <c r="F4500" s="9">
        <v>0.09</v>
      </c>
      <c r="G4500" s="10">
        <v>8736</v>
      </c>
      <c r="H4500">
        <v>7.99</v>
      </c>
      <c r="I4500" s="5">
        <f>ROUND(Marketing[[#This Row],[Clicks]]*Marketing[[#This Row],[Conversion_Rate]],0)</f>
        <v>55</v>
      </c>
      <c r="J4500" s="12">
        <f>Marketing[[#This Row],[Campaign_Cost]]/Marketing[[#This Row],[Customers]]</f>
        <v>158.83636363636364</v>
      </c>
      <c r="K4500" t="s">
        <v>51</v>
      </c>
      <c r="L4500" t="s">
        <v>33</v>
      </c>
      <c r="M4500">
        <v>613</v>
      </c>
      <c r="N4500">
        <v>2991</v>
      </c>
      <c r="O4500">
        <v>3</v>
      </c>
      <c r="P4500" t="s">
        <v>44</v>
      </c>
      <c r="Q4500" s="1">
        <v>44315</v>
      </c>
    </row>
    <row r="4501" spans="1:17" x14ac:dyDescent="0.3">
      <c r="A4501" t="s">
        <v>14</v>
      </c>
      <c r="B4501" t="s">
        <v>47</v>
      </c>
      <c r="C4501" t="s">
        <v>30</v>
      </c>
      <c r="D4501" t="s">
        <v>24</v>
      </c>
      <c r="E4501" t="s">
        <v>18</v>
      </c>
      <c r="F4501" s="9">
        <v>0.1</v>
      </c>
      <c r="G4501" s="10">
        <v>16831</v>
      </c>
      <c r="H4501">
        <v>4.5999999999999996</v>
      </c>
      <c r="I4501" s="5">
        <f>ROUND(Marketing[[#This Row],[Clicks]]*Marketing[[#This Row],[Conversion_Rate]],0)</f>
        <v>67</v>
      </c>
      <c r="J4501" s="12">
        <f>Marketing[[#This Row],[Campaign_Cost]]/Marketing[[#This Row],[Customers]]</f>
        <v>251.20895522388059</v>
      </c>
      <c r="K4501" t="s">
        <v>51</v>
      </c>
      <c r="L4501" t="s">
        <v>33</v>
      </c>
      <c r="M4501">
        <v>669</v>
      </c>
      <c r="N4501">
        <v>1523</v>
      </c>
      <c r="O4501">
        <v>5</v>
      </c>
      <c r="P4501" t="s">
        <v>21</v>
      </c>
      <c r="Q4501" s="1">
        <v>44316</v>
      </c>
    </row>
    <row r="4502" spans="1:17" x14ac:dyDescent="0.3">
      <c r="A4502" t="s">
        <v>14</v>
      </c>
      <c r="B4502" t="s">
        <v>45</v>
      </c>
      <c r="C4502" t="s">
        <v>23</v>
      </c>
      <c r="D4502" t="s">
        <v>40</v>
      </c>
      <c r="E4502" t="s">
        <v>18</v>
      </c>
      <c r="F4502" s="9">
        <v>0.13</v>
      </c>
      <c r="G4502" s="10">
        <v>16760</v>
      </c>
      <c r="H4502">
        <v>7</v>
      </c>
      <c r="I4502" s="5">
        <f>ROUND(Marketing[[#This Row],[Clicks]]*Marketing[[#This Row],[Conversion_Rate]],0)</f>
        <v>66</v>
      </c>
      <c r="J4502" s="12">
        <f>Marketing[[#This Row],[Campaign_Cost]]/Marketing[[#This Row],[Customers]]</f>
        <v>253.93939393939394</v>
      </c>
      <c r="K4502" t="s">
        <v>51</v>
      </c>
      <c r="L4502" t="s">
        <v>20</v>
      </c>
      <c r="M4502">
        <v>511</v>
      </c>
      <c r="N4502">
        <v>8428</v>
      </c>
      <c r="O4502">
        <v>4</v>
      </c>
      <c r="P4502" t="s">
        <v>34</v>
      </c>
      <c r="Q4502" s="1">
        <v>44317</v>
      </c>
    </row>
    <row r="4503" spans="1:17" x14ac:dyDescent="0.3">
      <c r="A4503" t="s">
        <v>22</v>
      </c>
      <c r="B4503" t="s">
        <v>36</v>
      </c>
      <c r="C4503" t="s">
        <v>52</v>
      </c>
      <c r="D4503" t="s">
        <v>40</v>
      </c>
      <c r="E4503" t="s">
        <v>41</v>
      </c>
      <c r="F4503" s="9">
        <v>0.06</v>
      </c>
      <c r="G4503" s="10">
        <v>18667</v>
      </c>
      <c r="H4503">
        <v>7.59</v>
      </c>
      <c r="I4503" s="5">
        <f>ROUND(Marketing[[#This Row],[Clicks]]*Marketing[[#This Row],[Conversion_Rate]],0)</f>
        <v>32</v>
      </c>
      <c r="J4503" s="12">
        <f>Marketing[[#This Row],[Campaign_Cost]]/Marketing[[#This Row],[Customers]]</f>
        <v>583.34375</v>
      </c>
      <c r="K4503" t="s">
        <v>51</v>
      </c>
      <c r="L4503" t="s">
        <v>39</v>
      </c>
      <c r="M4503">
        <v>531</v>
      </c>
      <c r="N4503">
        <v>1269</v>
      </c>
      <c r="O4503">
        <v>5</v>
      </c>
      <c r="P4503" t="s">
        <v>27</v>
      </c>
      <c r="Q4503" s="1">
        <v>44318</v>
      </c>
    </row>
    <row r="4504" spans="1:17" x14ac:dyDescent="0.3">
      <c r="A4504" t="s">
        <v>49</v>
      </c>
      <c r="B4504" t="s">
        <v>29</v>
      </c>
      <c r="C4504" t="s">
        <v>16</v>
      </c>
      <c r="D4504" t="s">
        <v>40</v>
      </c>
      <c r="E4504" t="s">
        <v>31</v>
      </c>
      <c r="F4504" s="9">
        <v>0.1</v>
      </c>
      <c r="G4504" s="10">
        <v>9129</v>
      </c>
      <c r="H4504">
        <v>7.33</v>
      </c>
      <c r="I4504" s="5">
        <f>ROUND(Marketing[[#This Row],[Clicks]]*Marketing[[#This Row],[Conversion_Rate]],0)</f>
        <v>84</v>
      </c>
      <c r="J4504" s="12">
        <f>Marketing[[#This Row],[Campaign_Cost]]/Marketing[[#This Row],[Customers]]</f>
        <v>108.67857142857143</v>
      </c>
      <c r="K4504" t="s">
        <v>32</v>
      </c>
      <c r="L4504" t="s">
        <v>39</v>
      </c>
      <c r="M4504">
        <v>842</v>
      </c>
      <c r="N4504">
        <v>8084</v>
      </c>
      <c r="O4504">
        <v>10</v>
      </c>
      <c r="P4504" t="s">
        <v>42</v>
      </c>
      <c r="Q4504" s="1">
        <v>44319</v>
      </c>
    </row>
    <row r="4505" spans="1:17" x14ac:dyDescent="0.3">
      <c r="A4505" t="s">
        <v>35</v>
      </c>
      <c r="B4505" t="s">
        <v>15</v>
      </c>
      <c r="C4505" t="s">
        <v>23</v>
      </c>
      <c r="D4505" t="s">
        <v>46</v>
      </c>
      <c r="E4505" t="s">
        <v>48</v>
      </c>
      <c r="F4505" s="9">
        <v>0.11</v>
      </c>
      <c r="G4505" s="10">
        <v>6064</v>
      </c>
      <c r="H4505">
        <v>6.46</v>
      </c>
      <c r="I4505" s="5">
        <f>ROUND(Marketing[[#This Row],[Clicks]]*Marketing[[#This Row],[Conversion_Rate]],0)</f>
        <v>72</v>
      </c>
      <c r="J4505" s="12">
        <f>Marketing[[#This Row],[Campaign_Cost]]/Marketing[[#This Row],[Customers]]</f>
        <v>84.222222222222229</v>
      </c>
      <c r="K4505" t="s">
        <v>25</v>
      </c>
      <c r="L4505" t="s">
        <v>50</v>
      </c>
      <c r="M4505">
        <v>655</v>
      </c>
      <c r="N4505">
        <v>2293</v>
      </c>
      <c r="O4505">
        <v>4</v>
      </c>
      <c r="P4505" t="s">
        <v>21</v>
      </c>
      <c r="Q4505" s="1">
        <v>44320</v>
      </c>
    </row>
    <row r="4506" spans="1:17" x14ac:dyDescent="0.3">
      <c r="A4506" t="s">
        <v>35</v>
      </c>
      <c r="B4506" t="s">
        <v>47</v>
      </c>
      <c r="C4506" t="s">
        <v>52</v>
      </c>
      <c r="D4506" t="s">
        <v>24</v>
      </c>
      <c r="E4506" t="s">
        <v>31</v>
      </c>
      <c r="F4506" s="9">
        <v>0.05</v>
      </c>
      <c r="G4506" s="10">
        <v>18162</v>
      </c>
      <c r="H4506">
        <v>2.6</v>
      </c>
      <c r="I4506" s="5">
        <f>ROUND(Marketing[[#This Row],[Clicks]]*Marketing[[#This Row],[Conversion_Rate]],0)</f>
        <v>18</v>
      </c>
      <c r="J4506" s="12">
        <f>Marketing[[#This Row],[Campaign_Cost]]/Marketing[[#This Row],[Customers]]</f>
        <v>1009</v>
      </c>
      <c r="K4506" t="s">
        <v>38</v>
      </c>
      <c r="L4506" t="s">
        <v>39</v>
      </c>
      <c r="M4506">
        <v>368</v>
      </c>
      <c r="N4506">
        <v>3003</v>
      </c>
      <c r="O4506">
        <v>1</v>
      </c>
      <c r="P4506" t="s">
        <v>42</v>
      </c>
      <c r="Q4506" s="1">
        <v>44321</v>
      </c>
    </row>
    <row r="4507" spans="1:17" x14ac:dyDescent="0.3">
      <c r="A4507" t="s">
        <v>22</v>
      </c>
      <c r="B4507" t="s">
        <v>15</v>
      </c>
      <c r="C4507" t="s">
        <v>16</v>
      </c>
      <c r="D4507" t="s">
        <v>17</v>
      </c>
      <c r="E4507" t="s">
        <v>41</v>
      </c>
      <c r="F4507" s="9">
        <v>0.14000000000000001</v>
      </c>
      <c r="G4507" s="10">
        <v>7409</v>
      </c>
      <c r="H4507">
        <v>3.99</v>
      </c>
      <c r="I4507" s="5">
        <f>ROUND(Marketing[[#This Row],[Clicks]]*Marketing[[#This Row],[Conversion_Rate]],0)</f>
        <v>117</v>
      </c>
      <c r="J4507" s="12">
        <f>Marketing[[#This Row],[Campaign_Cost]]/Marketing[[#This Row],[Customers]]</f>
        <v>63.324786324786324</v>
      </c>
      <c r="K4507" t="s">
        <v>51</v>
      </c>
      <c r="L4507" t="s">
        <v>39</v>
      </c>
      <c r="M4507">
        <v>836</v>
      </c>
      <c r="N4507">
        <v>6021</v>
      </c>
      <c r="O4507">
        <v>2</v>
      </c>
      <c r="P4507" t="s">
        <v>42</v>
      </c>
      <c r="Q4507" s="1">
        <v>44322</v>
      </c>
    </row>
    <row r="4508" spans="1:17" x14ac:dyDescent="0.3">
      <c r="A4508" t="s">
        <v>28</v>
      </c>
      <c r="B4508" t="s">
        <v>15</v>
      </c>
      <c r="C4508" t="s">
        <v>37</v>
      </c>
      <c r="D4508" t="s">
        <v>24</v>
      </c>
      <c r="E4508" t="s">
        <v>48</v>
      </c>
      <c r="F4508" s="9">
        <v>0.02</v>
      </c>
      <c r="G4508" s="10">
        <v>5239</v>
      </c>
      <c r="H4508">
        <v>2.96</v>
      </c>
      <c r="I4508" s="5">
        <f>ROUND(Marketing[[#This Row],[Clicks]]*Marketing[[#This Row],[Conversion_Rate]],0)</f>
        <v>8</v>
      </c>
      <c r="J4508" s="12">
        <f>Marketing[[#This Row],[Campaign_Cost]]/Marketing[[#This Row],[Customers]]</f>
        <v>654.875</v>
      </c>
      <c r="K4508" t="s">
        <v>38</v>
      </c>
      <c r="L4508" t="s">
        <v>26</v>
      </c>
      <c r="M4508">
        <v>389</v>
      </c>
      <c r="N4508">
        <v>2753</v>
      </c>
      <c r="O4508">
        <v>6</v>
      </c>
      <c r="P4508" t="s">
        <v>34</v>
      </c>
      <c r="Q4508" s="1">
        <v>44323</v>
      </c>
    </row>
    <row r="4509" spans="1:17" x14ac:dyDescent="0.3">
      <c r="A4509" t="s">
        <v>14</v>
      </c>
      <c r="B4509" t="s">
        <v>47</v>
      </c>
      <c r="C4509" t="s">
        <v>30</v>
      </c>
      <c r="D4509" t="s">
        <v>24</v>
      </c>
      <c r="E4509" t="s">
        <v>31</v>
      </c>
      <c r="F4509" s="9">
        <v>7.0000000000000007E-2</v>
      </c>
      <c r="G4509" s="10">
        <v>10449</v>
      </c>
      <c r="H4509">
        <v>4.6900000000000004</v>
      </c>
      <c r="I4509" s="5">
        <f>ROUND(Marketing[[#This Row],[Clicks]]*Marketing[[#This Row],[Conversion_Rate]],0)</f>
        <v>8</v>
      </c>
      <c r="J4509" s="12">
        <f>Marketing[[#This Row],[Campaign_Cost]]/Marketing[[#This Row],[Customers]]</f>
        <v>1306.125</v>
      </c>
      <c r="K4509" t="s">
        <v>38</v>
      </c>
      <c r="L4509" t="s">
        <v>33</v>
      </c>
      <c r="M4509">
        <v>121</v>
      </c>
      <c r="N4509">
        <v>3417</v>
      </c>
      <c r="O4509">
        <v>3</v>
      </c>
      <c r="P4509" t="s">
        <v>42</v>
      </c>
      <c r="Q4509" s="1">
        <v>44324</v>
      </c>
    </row>
    <row r="4510" spans="1:17" x14ac:dyDescent="0.3">
      <c r="A4510" t="s">
        <v>22</v>
      </c>
      <c r="B4510" t="s">
        <v>29</v>
      </c>
      <c r="C4510" t="s">
        <v>37</v>
      </c>
      <c r="D4510" t="s">
        <v>17</v>
      </c>
      <c r="E4510" t="s">
        <v>48</v>
      </c>
      <c r="F4510" s="9">
        <v>0.12</v>
      </c>
      <c r="G4510" s="10">
        <v>19496</v>
      </c>
      <c r="H4510">
        <v>4.9400000000000004</v>
      </c>
      <c r="I4510" s="5">
        <f>ROUND(Marketing[[#This Row],[Clicks]]*Marketing[[#This Row],[Conversion_Rate]],0)</f>
        <v>120</v>
      </c>
      <c r="J4510" s="12">
        <f>Marketing[[#This Row],[Campaign_Cost]]/Marketing[[#This Row],[Customers]]</f>
        <v>162.46666666666667</v>
      </c>
      <c r="K4510" t="s">
        <v>38</v>
      </c>
      <c r="L4510" t="s">
        <v>50</v>
      </c>
      <c r="M4510">
        <v>998</v>
      </c>
      <c r="N4510">
        <v>7611</v>
      </c>
      <c r="O4510">
        <v>3</v>
      </c>
      <c r="P4510" t="s">
        <v>44</v>
      </c>
      <c r="Q4510" s="1">
        <v>44325</v>
      </c>
    </row>
    <row r="4511" spans="1:17" x14ac:dyDescent="0.3">
      <c r="A4511" t="s">
        <v>14</v>
      </c>
      <c r="B4511" t="s">
        <v>15</v>
      </c>
      <c r="C4511" t="s">
        <v>16</v>
      </c>
      <c r="D4511" t="s">
        <v>17</v>
      </c>
      <c r="E4511" t="s">
        <v>48</v>
      </c>
      <c r="F4511" s="9">
        <v>0.1</v>
      </c>
      <c r="G4511" s="10">
        <v>18169</v>
      </c>
      <c r="H4511">
        <v>6.05</v>
      </c>
      <c r="I4511" s="5">
        <f>ROUND(Marketing[[#This Row],[Clicks]]*Marketing[[#This Row],[Conversion_Rate]],0)</f>
        <v>77</v>
      </c>
      <c r="J4511" s="12">
        <f>Marketing[[#This Row],[Campaign_Cost]]/Marketing[[#This Row],[Customers]]</f>
        <v>235.96103896103895</v>
      </c>
      <c r="K4511" t="s">
        <v>38</v>
      </c>
      <c r="L4511" t="s">
        <v>26</v>
      </c>
      <c r="M4511">
        <v>766</v>
      </c>
      <c r="N4511">
        <v>9863</v>
      </c>
      <c r="O4511">
        <v>1</v>
      </c>
      <c r="P4511" t="s">
        <v>34</v>
      </c>
      <c r="Q4511" s="1">
        <v>44326</v>
      </c>
    </row>
    <row r="4512" spans="1:17" x14ac:dyDescent="0.3">
      <c r="A4512" t="s">
        <v>35</v>
      </c>
      <c r="B4512" t="s">
        <v>15</v>
      </c>
      <c r="C4512" t="s">
        <v>37</v>
      </c>
      <c r="D4512" t="s">
        <v>17</v>
      </c>
      <c r="E4512" t="s">
        <v>18</v>
      </c>
      <c r="F4512" s="9">
        <v>0.04</v>
      </c>
      <c r="G4512" s="10">
        <v>11767</v>
      </c>
      <c r="H4512">
        <v>6.88</v>
      </c>
      <c r="I4512" s="5">
        <f>ROUND(Marketing[[#This Row],[Clicks]]*Marketing[[#This Row],[Conversion_Rate]],0)</f>
        <v>27</v>
      </c>
      <c r="J4512" s="12">
        <f>Marketing[[#This Row],[Campaign_Cost]]/Marketing[[#This Row],[Customers]]</f>
        <v>435.81481481481484</v>
      </c>
      <c r="K4512" t="s">
        <v>51</v>
      </c>
      <c r="L4512" t="s">
        <v>26</v>
      </c>
      <c r="M4512">
        <v>684</v>
      </c>
      <c r="N4512">
        <v>9989</v>
      </c>
      <c r="O4512">
        <v>5</v>
      </c>
      <c r="P4512" t="s">
        <v>34</v>
      </c>
      <c r="Q4512" s="1">
        <v>44327</v>
      </c>
    </row>
    <row r="4513" spans="1:17" x14ac:dyDescent="0.3">
      <c r="A4513" t="s">
        <v>22</v>
      </c>
      <c r="B4513" t="s">
        <v>47</v>
      </c>
      <c r="C4513" t="s">
        <v>16</v>
      </c>
      <c r="D4513" t="s">
        <v>46</v>
      </c>
      <c r="E4513" t="s">
        <v>31</v>
      </c>
      <c r="F4513" s="9">
        <v>0.14000000000000001</v>
      </c>
      <c r="G4513" s="10">
        <v>18061</v>
      </c>
      <c r="H4513">
        <v>4.72</v>
      </c>
      <c r="I4513" s="5">
        <f>ROUND(Marketing[[#This Row],[Clicks]]*Marketing[[#This Row],[Conversion_Rate]],0)</f>
        <v>48</v>
      </c>
      <c r="J4513" s="12">
        <f>Marketing[[#This Row],[Campaign_Cost]]/Marketing[[#This Row],[Customers]]</f>
        <v>376.27083333333331</v>
      </c>
      <c r="K4513" t="s">
        <v>38</v>
      </c>
      <c r="L4513" t="s">
        <v>39</v>
      </c>
      <c r="M4513">
        <v>340</v>
      </c>
      <c r="N4513">
        <v>3926</v>
      </c>
      <c r="O4513">
        <v>3</v>
      </c>
      <c r="P4513" t="s">
        <v>34</v>
      </c>
      <c r="Q4513" s="1">
        <v>44328</v>
      </c>
    </row>
    <row r="4514" spans="1:17" x14ac:dyDescent="0.3">
      <c r="A4514" t="s">
        <v>28</v>
      </c>
      <c r="B4514" t="s">
        <v>29</v>
      </c>
      <c r="C4514" t="s">
        <v>52</v>
      </c>
      <c r="D4514" t="s">
        <v>46</v>
      </c>
      <c r="E4514" t="s">
        <v>18</v>
      </c>
      <c r="F4514" s="9">
        <v>0.03</v>
      </c>
      <c r="G4514" s="10">
        <v>5648</v>
      </c>
      <c r="H4514">
        <v>4.58</v>
      </c>
      <c r="I4514" s="5">
        <f>ROUND(Marketing[[#This Row],[Clicks]]*Marketing[[#This Row],[Conversion_Rate]],0)</f>
        <v>23</v>
      </c>
      <c r="J4514" s="12">
        <f>Marketing[[#This Row],[Campaign_Cost]]/Marketing[[#This Row],[Customers]]</f>
        <v>245.56521739130434</v>
      </c>
      <c r="K4514" t="s">
        <v>25</v>
      </c>
      <c r="L4514" t="s">
        <v>26</v>
      </c>
      <c r="M4514">
        <v>765</v>
      </c>
      <c r="N4514">
        <v>9433</v>
      </c>
      <c r="O4514">
        <v>2</v>
      </c>
      <c r="P4514" t="s">
        <v>21</v>
      </c>
      <c r="Q4514" s="1">
        <v>44329</v>
      </c>
    </row>
    <row r="4515" spans="1:17" x14ac:dyDescent="0.3">
      <c r="A4515" t="s">
        <v>28</v>
      </c>
      <c r="B4515" t="s">
        <v>36</v>
      </c>
      <c r="C4515" t="s">
        <v>37</v>
      </c>
      <c r="D4515" t="s">
        <v>24</v>
      </c>
      <c r="E4515" t="s">
        <v>48</v>
      </c>
      <c r="F4515" s="9">
        <v>0.04</v>
      </c>
      <c r="G4515" s="10">
        <v>18168</v>
      </c>
      <c r="H4515">
        <v>7.46</v>
      </c>
      <c r="I4515" s="5">
        <f>ROUND(Marketing[[#This Row],[Clicks]]*Marketing[[#This Row],[Conversion_Rate]],0)</f>
        <v>28</v>
      </c>
      <c r="J4515" s="12">
        <f>Marketing[[#This Row],[Campaign_Cost]]/Marketing[[#This Row],[Customers]]</f>
        <v>648.85714285714289</v>
      </c>
      <c r="K4515" t="s">
        <v>19</v>
      </c>
      <c r="L4515" t="s">
        <v>20</v>
      </c>
      <c r="M4515">
        <v>693</v>
      </c>
      <c r="N4515">
        <v>5943</v>
      </c>
      <c r="O4515">
        <v>5</v>
      </c>
      <c r="P4515" t="s">
        <v>44</v>
      </c>
      <c r="Q4515" s="1">
        <v>44330</v>
      </c>
    </row>
    <row r="4516" spans="1:17" x14ac:dyDescent="0.3">
      <c r="A4516" t="s">
        <v>22</v>
      </c>
      <c r="B4516" t="s">
        <v>45</v>
      </c>
      <c r="C4516" t="s">
        <v>30</v>
      </c>
      <c r="D4516" t="s">
        <v>24</v>
      </c>
      <c r="E4516" t="s">
        <v>43</v>
      </c>
      <c r="F4516" s="9">
        <v>7.0000000000000007E-2</v>
      </c>
      <c r="G4516" s="10">
        <v>16490</v>
      </c>
      <c r="H4516">
        <v>3.84</v>
      </c>
      <c r="I4516" s="5">
        <f>ROUND(Marketing[[#This Row],[Clicks]]*Marketing[[#This Row],[Conversion_Rate]],0)</f>
        <v>27</v>
      </c>
      <c r="J4516" s="12">
        <f>Marketing[[#This Row],[Campaign_Cost]]/Marketing[[#This Row],[Customers]]</f>
        <v>610.74074074074076</v>
      </c>
      <c r="K4516" t="s">
        <v>38</v>
      </c>
      <c r="L4516" t="s">
        <v>39</v>
      </c>
      <c r="M4516">
        <v>382</v>
      </c>
      <c r="N4516">
        <v>2539</v>
      </c>
      <c r="O4516">
        <v>9</v>
      </c>
      <c r="P4516" t="s">
        <v>42</v>
      </c>
      <c r="Q4516" s="1">
        <v>44331</v>
      </c>
    </row>
    <row r="4517" spans="1:17" x14ac:dyDescent="0.3">
      <c r="A4517" t="s">
        <v>28</v>
      </c>
      <c r="B4517" t="s">
        <v>36</v>
      </c>
      <c r="C4517" t="s">
        <v>52</v>
      </c>
      <c r="D4517" t="s">
        <v>46</v>
      </c>
      <c r="E4517" t="s">
        <v>18</v>
      </c>
      <c r="F4517" s="9">
        <v>0.08</v>
      </c>
      <c r="G4517" s="10">
        <v>18326</v>
      </c>
      <c r="H4517">
        <v>3.97</v>
      </c>
      <c r="I4517" s="5">
        <f>ROUND(Marketing[[#This Row],[Clicks]]*Marketing[[#This Row],[Conversion_Rate]],0)</f>
        <v>59</v>
      </c>
      <c r="J4517" s="12">
        <f>Marketing[[#This Row],[Campaign_Cost]]/Marketing[[#This Row],[Customers]]</f>
        <v>310.61016949152543</v>
      </c>
      <c r="K4517" t="s">
        <v>38</v>
      </c>
      <c r="L4517" t="s">
        <v>20</v>
      </c>
      <c r="M4517">
        <v>738</v>
      </c>
      <c r="N4517">
        <v>6708</v>
      </c>
      <c r="O4517">
        <v>8</v>
      </c>
      <c r="P4517" t="s">
        <v>42</v>
      </c>
      <c r="Q4517" s="1">
        <v>44332</v>
      </c>
    </row>
    <row r="4518" spans="1:17" x14ac:dyDescent="0.3">
      <c r="A4518" t="s">
        <v>28</v>
      </c>
      <c r="B4518" t="s">
        <v>45</v>
      </c>
      <c r="C4518" t="s">
        <v>52</v>
      </c>
      <c r="D4518" t="s">
        <v>40</v>
      </c>
      <c r="E4518" t="s">
        <v>15</v>
      </c>
      <c r="F4518" s="9">
        <v>0.05</v>
      </c>
      <c r="G4518" s="10">
        <v>7122</v>
      </c>
      <c r="H4518">
        <v>3.11</v>
      </c>
      <c r="I4518" s="5">
        <f>ROUND(Marketing[[#This Row],[Clicks]]*Marketing[[#This Row],[Conversion_Rate]],0)</f>
        <v>11</v>
      </c>
      <c r="J4518" s="12">
        <f>Marketing[[#This Row],[Campaign_Cost]]/Marketing[[#This Row],[Customers]]</f>
        <v>647.4545454545455</v>
      </c>
      <c r="K4518" t="s">
        <v>51</v>
      </c>
      <c r="L4518" t="s">
        <v>20</v>
      </c>
      <c r="M4518">
        <v>210</v>
      </c>
      <c r="N4518">
        <v>7367</v>
      </c>
      <c r="O4518">
        <v>5</v>
      </c>
      <c r="P4518" t="s">
        <v>21</v>
      </c>
      <c r="Q4518" s="1">
        <v>44333</v>
      </c>
    </row>
    <row r="4519" spans="1:17" x14ac:dyDescent="0.3">
      <c r="A4519" t="s">
        <v>14</v>
      </c>
      <c r="B4519" t="s">
        <v>45</v>
      </c>
      <c r="C4519" t="s">
        <v>37</v>
      </c>
      <c r="D4519" t="s">
        <v>40</v>
      </c>
      <c r="E4519" t="s">
        <v>41</v>
      </c>
      <c r="F4519" s="9">
        <v>0.01</v>
      </c>
      <c r="G4519" s="10">
        <v>18477</v>
      </c>
      <c r="H4519">
        <v>7.29</v>
      </c>
      <c r="I4519" s="5">
        <f>ROUND(Marketing[[#This Row],[Clicks]]*Marketing[[#This Row],[Conversion_Rate]],0)</f>
        <v>9</v>
      </c>
      <c r="J4519" s="12">
        <f>Marketing[[#This Row],[Campaign_Cost]]/Marketing[[#This Row],[Customers]]</f>
        <v>2053</v>
      </c>
      <c r="K4519" t="s">
        <v>38</v>
      </c>
      <c r="L4519" t="s">
        <v>39</v>
      </c>
      <c r="M4519">
        <v>925</v>
      </c>
      <c r="N4519">
        <v>9366</v>
      </c>
      <c r="O4519">
        <v>5</v>
      </c>
      <c r="P4519" t="s">
        <v>34</v>
      </c>
      <c r="Q4519" s="1">
        <v>44334</v>
      </c>
    </row>
    <row r="4520" spans="1:17" x14ac:dyDescent="0.3">
      <c r="A4520" t="s">
        <v>22</v>
      </c>
      <c r="B4520" t="s">
        <v>15</v>
      </c>
      <c r="C4520" t="s">
        <v>16</v>
      </c>
      <c r="D4520" t="s">
        <v>46</v>
      </c>
      <c r="E4520" t="s">
        <v>41</v>
      </c>
      <c r="F4520" s="9">
        <v>0.03</v>
      </c>
      <c r="G4520" s="10">
        <v>16000</v>
      </c>
      <c r="H4520">
        <v>2.5499999999999998</v>
      </c>
      <c r="I4520" s="5">
        <f>ROUND(Marketing[[#This Row],[Clicks]]*Marketing[[#This Row],[Conversion_Rate]],0)</f>
        <v>6</v>
      </c>
      <c r="J4520" s="12">
        <f>Marketing[[#This Row],[Campaign_Cost]]/Marketing[[#This Row],[Customers]]</f>
        <v>2666.6666666666665</v>
      </c>
      <c r="K4520" t="s">
        <v>25</v>
      </c>
      <c r="L4520" t="s">
        <v>20</v>
      </c>
      <c r="M4520">
        <v>215</v>
      </c>
      <c r="N4520">
        <v>1993</v>
      </c>
      <c r="O4520">
        <v>8</v>
      </c>
      <c r="P4520" t="s">
        <v>42</v>
      </c>
      <c r="Q4520" s="1">
        <v>44335</v>
      </c>
    </row>
    <row r="4521" spans="1:17" x14ac:dyDescent="0.3">
      <c r="A4521" t="s">
        <v>28</v>
      </c>
      <c r="B4521" t="s">
        <v>15</v>
      </c>
      <c r="C4521" t="s">
        <v>23</v>
      </c>
      <c r="D4521" t="s">
        <v>46</v>
      </c>
      <c r="E4521" t="s">
        <v>18</v>
      </c>
      <c r="F4521" s="9">
        <v>0.09</v>
      </c>
      <c r="G4521" s="10">
        <v>18089</v>
      </c>
      <c r="H4521">
        <v>5.61</v>
      </c>
      <c r="I4521" s="5">
        <f>ROUND(Marketing[[#This Row],[Clicks]]*Marketing[[#This Row],[Conversion_Rate]],0)</f>
        <v>54</v>
      </c>
      <c r="J4521" s="12">
        <f>Marketing[[#This Row],[Campaign_Cost]]/Marketing[[#This Row],[Customers]]</f>
        <v>334.98148148148147</v>
      </c>
      <c r="K4521" t="s">
        <v>25</v>
      </c>
      <c r="L4521" t="s">
        <v>33</v>
      </c>
      <c r="M4521">
        <v>598</v>
      </c>
      <c r="N4521">
        <v>4516</v>
      </c>
      <c r="O4521">
        <v>5</v>
      </c>
      <c r="P4521" t="s">
        <v>27</v>
      </c>
      <c r="Q4521" s="1">
        <v>44336</v>
      </c>
    </row>
    <row r="4522" spans="1:17" x14ac:dyDescent="0.3">
      <c r="A4522" t="s">
        <v>35</v>
      </c>
      <c r="B4522" t="s">
        <v>47</v>
      </c>
      <c r="C4522" t="s">
        <v>37</v>
      </c>
      <c r="D4522" t="s">
        <v>46</v>
      </c>
      <c r="E4522" t="s">
        <v>43</v>
      </c>
      <c r="F4522" s="9">
        <v>0.15</v>
      </c>
      <c r="G4522" s="10">
        <v>14284</v>
      </c>
      <c r="H4522">
        <v>2.88</v>
      </c>
      <c r="I4522" s="5">
        <f>ROUND(Marketing[[#This Row],[Clicks]]*Marketing[[#This Row],[Conversion_Rate]],0)</f>
        <v>45</v>
      </c>
      <c r="J4522" s="12">
        <f>Marketing[[#This Row],[Campaign_Cost]]/Marketing[[#This Row],[Customers]]</f>
        <v>317.42222222222222</v>
      </c>
      <c r="K4522" t="s">
        <v>25</v>
      </c>
      <c r="L4522" t="s">
        <v>50</v>
      </c>
      <c r="M4522">
        <v>300</v>
      </c>
      <c r="N4522">
        <v>6172</v>
      </c>
      <c r="O4522">
        <v>1</v>
      </c>
      <c r="P4522" t="s">
        <v>21</v>
      </c>
      <c r="Q4522" s="1">
        <v>44337</v>
      </c>
    </row>
    <row r="4523" spans="1:17" x14ac:dyDescent="0.3">
      <c r="A4523" t="s">
        <v>22</v>
      </c>
      <c r="B4523" t="s">
        <v>29</v>
      </c>
      <c r="C4523" t="s">
        <v>52</v>
      </c>
      <c r="D4523" t="s">
        <v>40</v>
      </c>
      <c r="E4523" t="s">
        <v>43</v>
      </c>
      <c r="F4523" s="9">
        <v>0.08</v>
      </c>
      <c r="G4523" s="10">
        <v>5998</v>
      </c>
      <c r="H4523">
        <v>4.4400000000000004</v>
      </c>
      <c r="I4523" s="5">
        <f>ROUND(Marketing[[#This Row],[Clicks]]*Marketing[[#This Row],[Conversion_Rate]],0)</f>
        <v>73</v>
      </c>
      <c r="J4523" s="12">
        <f>Marketing[[#This Row],[Campaign_Cost]]/Marketing[[#This Row],[Customers]]</f>
        <v>82.164383561643831</v>
      </c>
      <c r="K4523" t="s">
        <v>51</v>
      </c>
      <c r="L4523" t="s">
        <v>33</v>
      </c>
      <c r="M4523">
        <v>912</v>
      </c>
      <c r="N4523">
        <v>5079</v>
      </c>
      <c r="O4523">
        <v>3</v>
      </c>
      <c r="P4523" t="s">
        <v>44</v>
      </c>
      <c r="Q4523" s="1">
        <v>44338</v>
      </c>
    </row>
    <row r="4524" spans="1:17" x14ac:dyDescent="0.3">
      <c r="A4524" t="s">
        <v>28</v>
      </c>
      <c r="B4524" t="s">
        <v>15</v>
      </c>
      <c r="C4524" t="s">
        <v>52</v>
      </c>
      <c r="D4524" t="s">
        <v>24</v>
      </c>
      <c r="E4524" t="s">
        <v>41</v>
      </c>
      <c r="F4524" s="9">
        <v>0.12</v>
      </c>
      <c r="G4524" s="10">
        <v>17714</v>
      </c>
      <c r="H4524">
        <v>6.42</v>
      </c>
      <c r="I4524" s="5">
        <f>ROUND(Marketing[[#This Row],[Clicks]]*Marketing[[#This Row],[Conversion_Rate]],0)</f>
        <v>104</v>
      </c>
      <c r="J4524" s="12">
        <f>Marketing[[#This Row],[Campaign_Cost]]/Marketing[[#This Row],[Customers]]</f>
        <v>170.32692307692307</v>
      </c>
      <c r="K4524" t="s">
        <v>19</v>
      </c>
      <c r="L4524" t="s">
        <v>20</v>
      </c>
      <c r="M4524">
        <v>867</v>
      </c>
      <c r="N4524">
        <v>1941</v>
      </c>
      <c r="O4524">
        <v>2</v>
      </c>
      <c r="P4524" t="s">
        <v>21</v>
      </c>
      <c r="Q4524" s="1">
        <v>44339</v>
      </c>
    </row>
    <row r="4525" spans="1:17" x14ac:dyDescent="0.3">
      <c r="A4525" t="s">
        <v>22</v>
      </c>
      <c r="B4525" t="s">
        <v>29</v>
      </c>
      <c r="C4525" t="s">
        <v>23</v>
      </c>
      <c r="D4525" t="s">
        <v>17</v>
      </c>
      <c r="E4525" t="s">
        <v>43</v>
      </c>
      <c r="F4525" s="9">
        <v>0.09</v>
      </c>
      <c r="G4525" s="10">
        <v>16649</v>
      </c>
      <c r="H4525">
        <v>3.41</v>
      </c>
      <c r="I4525" s="5">
        <f>ROUND(Marketing[[#This Row],[Clicks]]*Marketing[[#This Row],[Conversion_Rate]],0)</f>
        <v>52</v>
      </c>
      <c r="J4525" s="12">
        <f>Marketing[[#This Row],[Campaign_Cost]]/Marketing[[#This Row],[Customers]]</f>
        <v>320.17307692307691</v>
      </c>
      <c r="K4525" t="s">
        <v>51</v>
      </c>
      <c r="L4525" t="s">
        <v>20</v>
      </c>
      <c r="M4525">
        <v>574</v>
      </c>
      <c r="N4525">
        <v>6964</v>
      </c>
      <c r="O4525">
        <v>9</v>
      </c>
      <c r="P4525" t="s">
        <v>21</v>
      </c>
      <c r="Q4525" s="1">
        <v>44340</v>
      </c>
    </row>
    <row r="4526" spans="1:17" x14ac:dyDescent="0.3">
      <c r="A4526" t="s">
        <v>14</v>
      </c>
      <c r="B4526" t="s">
        <v>15</v>
      </c>
      <c r="C4526" t="s">
        <v>23</v>
      </c>
      <c r="D4526" t="s">
        <v>17</v>
      </c>
      <c r="E4526" t="s">
        <v>43</v>
      </c>
      <c r="F4526" s="9">
        <v>0.13</v>
      </c>
      <c r="G4526" s="10">
        <v>15694</v>
      </c>
      <c r="H4526">
        <v>2.2400000000000002</v>
      </c>
      <c r="I4526" s="5">
        <f>ROUND(Marketing[[#This Row],[Clicks]]*Marketing[[#This Row],[Conversion_Rate]],0)</f>
        <v>87</v>
      </c>
      <c r="J4526" s="12">
        <f>Marketing[[#This Row],[Campaign_Cost]]/Marketing[[#This Row],[Customers]]</f>
        <v>180.39080459770116</v>
      </c>
      <c r="K4526" t="s">
        <v>25</v>
      </c>
      <c r="L4526" t="s">
        <v>26</v>
      </c>
      <c r="M4526">
        <v>669</v>
      </c>
      <c r="N4526">
        <v>4342</v>
      </c>
      <c r="O4526">
        <v>2</v>
      </c>
      <c r="P4526" t="s">
        <v>34</v>
      </c>
      <c r="Q4526" s="1">
        <v>44341</v>
      </c>
    </row>
    <row r="4527" spans="1:17" x14ac:dyDescent="0.3">
      <c r="A4527" t="s">
        <v>35</v>
      </c>
      <c r="B4527" t="s">
        <v>15</v>
      </c>
      <c r="C4527" t="s">
        <v>23</v>
      </c>
      <c r="D4527" t="s">
        <v>46</v>
      </c>
      <c r="E4527" t="s">
        <v>18</v>
      </c>
      <c r="F4527" s="9">
        <v>0.12</v>
      </c>
      <c r="G4527" s="10">
        <v>9376</v>
      </c>
      <c r="H4527">
        <v>5.36</v>
      </c>
      <c r="I4527" s="5">
        <f>ROUND(Marketing[[#This Row],[Clicks]]*Marketing[[#This Row],[Conversion_Rate]],0)</f>
        <v>55</v>
      </c>
      <c r="J4527" s="12">
        <f>Marketing[[#This Row],[Campaign_Cost]]/Marketing[[#This Row],[Customers]]</f>
        <v>170.47272727272727</v>
      </c>
      <c r="K4527" t="s">
        <v>51</v>
      </c>
      <c r="L4527" t="s">
        <v>50</v>
      </c>
      <c r="M4527">
        <v>456</v>
      </c>
      <c r="N4527">
        <v>7297</v>
      </c>
      <c r="O4527">
        <v>5</v>
      </c>
      <c r="P4527" t="s">
        <v>21</v>
      </c>
      <c r="Q4527" s="1">
        <v>44342</v>
      </c>
    </row>
    <row r="4528" spans="1:17" x14ac:dyDescent="0.3">
      <c r="A4528" t="s">
        <v>14</v>
      </c>
      <c r="B4528" t="s">
        <v>47</v>
      </c>
      <c r="C4528" t="s">
        <v>23</v>
      </c>
      <c r="D4528" t="s">
        <v>17</v>
      </c>
      <c r="E4528" t="s">
        <v>48</v>
      </c>
      <c r="F4528" s="9">
        <v>0.13</v>
      </c>
      <c r="G4528" s="10">
        <v>16166</v>
      </c>
      <c r="H4528">
        <v>3.99</v>
      </c>
      <c r="I4528" s="5">
        <f>ROUND(Marketing[[#This Row],[Clicks]]*Marketing[[#This Row],[Conversion_Rate]],0)</f>
        <v>75</v>
      </c>
      <c r="J4528" s="12">
        <f>Marketing[[#This Row],[Campaign_Cost]]/Marketing[[#This Row],[Customers]]</f>
        <v>215.54666666666665</v>
      </c>
      <c r="K4528" t="s">
        <v>38</v>
      </c>
      <c r="L4528" t="s">
        <v>33</v>
      </c>
      <c r="M4528">
        <v>574</v>
      </c>
      <c r="N4528">
        <v>3946</v>
      </c>
      <c r="O4528">
        <v>3</v>
      </c>
      <c r="P4528" t="s">
        <v>44</v>
      </c>
      <c r="Q4528" s="1">
        <v>44343</v>
      </c>
    </row>
    <row r="4529" spans="1:17" x14ac:dyDescent="0.3">
      <c r="A4529" t="s">
        <v>35</v>
      </c>
      <c r="B4529" t="s">
        <v>47</v>
      </c>
      <c r="C4529" t="s">
        <v>52</v>
      </c>
      <c r="D4529" t="s">
        <v>17</v>
      </c>
      <c r="E4529" t="s">
        <v>15</v>
      </c>
      <c r="F4529" s="9">
        <v>0.13</v>
      </c>
      <c r="G4529" s="10">
        <v>10160</v>
      </c>
      <c r="H4529">
        <v>5.29</v>
      </c>
      <c r="I4529" s="5">
        <f>ROUND(Marketing[[#This Row],[Clicks]]*Marketing[[#This Row],[Conversion_Rate]],0)</f>
        <v>78</v>
      </c>
      <c r="J4529" s="12">
        <f>Marketing[[#This Row],[Campaign_Cost]]/Marketing[[#This Row],[Customers]]</f>
        <v>130.25641025641025</v>
      </c>
      <c r="K4529" t="s">
        <v>38</v>
      </c>
      <c r="L4529" t="s">
        <v>33</v>
      </c>
      <c r="M4529">
        <v>602</v>
      </c>
      <c r="N4529">
        <v>8271</v>
      </c>
      <c r="O4529">
        <v>4</v>
      </c>
      <c r="P4529" t="s">
        <v>27</v>
      </c>
      <c r="Q4529" s="1">
        <v>44344</v>
      </c>
    </row>
    <row r="4530" spans="1:17" x14ac:dyDescent="0.3">
      <c r="A4530" t="s">
        <v>28</v>
      </c>
      <c r="B4530" t="s">
        <v>45</v>
      </c>
      <c r="C4530" t="s">
        <v>23</v>
      </c>
      <c r="D4530" t="s">
        <v>17</v>
      </c>
      <c r="E4530" t="s">
        <v>18</v>
      </c>
      <c r="F4530" s="9">
        <v>0.02</v>
      </c>
      <c r="G4530" s="10">
        <v>10565</v>
      </c>
      <c r="H4530">
        <v>4.9800000000000004</v>
      </c>
      <c r="I4530" s="5">
        <f>ROUND(Marketing[[#This Row],[Clicks]]*Marketing[[#This Row],[Conversion_Rate]],0)</f>
        <v>11</v>
      </c>
      <c r="J4530" s="12">
        <f>Marketing[[#This Row],[Campaign_Cost]]/Marketing[[#This Row],[Customers]]</f>
        <v>960.4545454545455</v>
      </c>
      <c r="K4530" t="s">
        <v>25</v>
      </c>
      <c r="L4530" t="s">
        <v>39</v>
      </c>
      <c r="M4530">
        <v>564</v>
      </c>
      <c r="N4530">
        <v>5944</v>
      </c>
      <c r="O4530">
        <v>5</v>
      </c>
      <c r="P4530" t="s">
        <v>27</v>
      </c>
      <c r="Q4530" s="1">
        <v>44345</v>
      </c>
    </row>
    <row r="4531" spans="1:17" x14ac:dyDescent="0.3">
      <c r="A4531" t="s">
        <v>28</v>
      </c>
      <c r="B4531" t="s">
        <v>36</v>
      </c>
      <c r="C4531" t="s">
        <v>37</v>
      </c>
      <c r="D4531" t="s">
        <v>40</v>
      </c>
      <c r="E4531" t="s">
        <v>43</v>
      </c>
      <c r="F4531" s="9">
        <v>7.0000000000000007E-2</v>
      </c>
      <c r="G4531" s="10">
        <v>13322</v>
      </c>
      <c r="H4531">
        <v>3.95</v>
      </c>
      <c r="I4531" s="5">
        <f>ROUND(Marketing[[#This Row],[Clicks]]*Marketing[[#This Row],[Conversion_Rate]],0)</f>
        <v>43</v>
      </c>
      <c r="J4531" s="12">
        <f>Marketing[[#This Row],[Campaign_Cost]]/Marketing[[#This Row],[Customers]]</f>
        <v>309.81395348837208</v>
      </c>
      <c r="K4531" t="s">
        <v>25</v>
      </c>
      <c r="L4531" t="s">
        <v>20</v>
      </c>
      <c r="M4531">
        <v>611</v>
      </c>
      <c r="N4531">
        <v>9552</v>
      </c>
      <c r="O4531">
        <v>2</v>
      </c>
      <c r="P4531" t="s">
        <v>44</v>
      </c>
      <c r="Q4531" s="1">
        <v>44346</v>
      </c>
    </row>
    <row r="4532" spans="1:17" x14ac:dyDescent="0.3">
      <c r="A4532" t="s">
        <v>49</v>
      </c>
      <c r="B4532" t="s">
        <v>36</v>
      </c>
      <c r="C4532" t="s">
        <v>23</v>
      </c>
      <c r="D4532" t="s">
        <v>17</v>
      </c>
      <c r="E4532" t="s">
        <v>48</v>
      </c>
      <c r="F4532" s="9">
        <v>0.04</v>
      </c>
      <c r="G4532" s="10">
        <v>15278</v>
      </c>
      <c r="H4532">
        <v>3.55</v>
      </c>
      <c r="I4532" s="5">
        <f>ROUND(Marketing[[#This Row],[Clicks]]*Marketing[[#This Row],[Conversion_Rate]],0)</f>
        <v>32</v>
      </c>
      <c r="J4532" s="12">
        <f>Marketing[[#This Row],[Campaign_Cost]]/Marketing[[#This Row],[Customers]]</f>
        <v>477.4375</v>
      </c>
      <c r="K4532" t="s">
        <v>25</v>
      </c>
      <c r="L4532" t="s">
        <v>20</v>
      </c>
      <c r="M4532">
        <v>804</v>
      </c>
      <c r="N4532">
        <v>4915</v>
      </c>
      <c r="O4532">
        <v>6</v>
      </c>
      <c r="P4532" t="s">
        <v>27</v>
      </c>
      <c r="Q4532" s="1">
        <v>44347</v>
      </c>
    </row>
    <row r="4533" spans="1:17" x14ac:dyDescent="0.3">
      <c r="A4533" t="s">
        <v>14</v>
      </c>
      <c r="B4533" t="s">
        <v>29</v>
      </c>
      <c r="C4533" t="s">
        <v>30</v>
      </c>
      <c r="D4533" t="s">
        <v>24</v>
      </c>
      <c r="E4533" t="s">
        <v>41</v>
      </c>
      <c r="F4533" s="9">
        <v>0.13</v>
      </c>
      <c r="G4533" s="10">
        <v>10254</v>
      </c>
      <c r="H4533">
        <v>2.17</v>
      </c>
      <c r="I4533" s="5">
        <f>ROUND(Marketing[[#This Row],[Clicks]]*Marketing[[#This Row],[Conversion_Rate]],0)</f>
        <v>96</v>
      </c>
      <c r="J4533" s="12">
        <f>Marketing[[#This Row],[Campaign_Cost]]/Marketing[[#This Row],[Customers]]</f>
        <v>106.8125</v>
      </c>
      <c r="K4533" t="s">
        <v>51</v>
      </c>
      <c r="L4533" t="s">
        <v>20</v>
      </c>
      <c r="M4533">
        <v>738</v>
      </c>
      <c r="N4533">
        <v>3574</v>
      </c>
      <c r="O4533">
        <v>1</v>
      </c>
      <c r="P4533" t="s">
        <v>21</v>
      </c>
      <c r="Q4533" s="1">
        <v>44348</v>
      </c>
    </row>
    <row r="4534" spans="1:17" x14ac:dyDescent="0.3">
      <c r="A4534" t="s">
        <v>49</v>
      </c>
      <c r="B4534" t="s">
        <v>47</v>
      </c>
      <c r="C4534" t="s">
        <v>23</v>
      </c>
      <c r="D4534" t="s">
        <v>17</v>
      </c>
      <c r="E4534" t="s">
        <v>43</v>
      </c>
      <c r="F4534" s="9">
        <v>0.15</v>
      </c>
      <c r="G4534" s="10">
        <v>9004</v>
      </c>
      <c r="H4534">
        <v>5.93</v>
      </c>
      <c r="I4534" s="5">
        <f>ROUND(Marketing[[#This Row],[Clicks]]*Marketing[[#This Row],[Conversion_Rate]],0)</f>
        <v>22</v>
      </c>
      <c r="J4534" s="12">
        <f>Marketing[[#This Row],[Campaign_Cost]]/Marketing[[#This Row],[Customers]]</f>
        <v>409.27272727272725</v>
      </c>
      <c r="K4534" t="s">
        <v>51</v>
      </c>
      <c r="L4534" t="s">
        <v>26</v>
      </c>
      <c r="M4534">
        <v>145</v>
      </c>
      <c r="N4534">
        <v>8382</v>
      </c>
      <c r="O4534">
        <v>5</v>
      </c>
      <c r="P4534" t="s">
        <v>34</v>
      </c>
      <c r="Q4534" s="1">
        <v>44349</v>
      </c>
    </row>
    <row r="4535" spans="1:17" x14ac:dyDescent="0.3">
      <c r="A4535" t="s">
        <v>49</v>
      </c>
      <c r="B4535" t="s">
        <v>45</v>
      </c>
      <c r="C4535" t="s">
        <v>52</v>
      </c>
      <c r="D4535" t="s">
        <v>17</v>
      </c>
      <c r="E4535" t="s">
        <v>48</v>
      </c>
      <c r="F4535" s="9">
        <v>7.0000000000000007E-2</v>
      </c>
      <c r="G4535" s="10">
        <v>14945</v>
      </c>
      <c r="H4535">
        <v>7.92</v>
      </c>
      <c r="I4535" s="5">
        <f>ROUND(Marketing[[#This Row],[Clicks]]*Marketing[[#This Row],[Conversion_Rate]],0)</f>
        <v>51</v>
      </c>
      <c r="J4535" s="12">
        <f>Marketing[[#This Row],[Campaign_Cost]]/Marketing[[#This Row],[Customers]]</f>
        <v>293.03921568627453</v>
      </c>
      <c r="K4535" t="s">
        <v>32</v>
      </c>
      <c r="L4535" t="s">
        <v>20</v>
      </c>
      <c r="M4535">
        <v>735</v>
      </c>
      <c r="N4535">
        <v>7403</v>
      </c>
      <c r="O4535">
        <v>9</v>
      </c>
      <c r="P4535" t="s">
        <v>34</v>
      </c>
      <c r="Q4535" s="1">
        <v>44350</v>
      </c>
    </row>
    <row r="4536" spans="1:17" x14ac:dyDescent="0.3">
      <c r="A4536" t="s">
        <v>22</v>
      </c>
      <c r="B4536" t="s">
        <v>45</v>
      </c>
      <c r="C4536" t="s">
        <v>37</v>
      </c>
      <c r="D4536" t="s">
        <v>17</v>
      </c>
      <c r="E4536" t="s">
        <v>15</v>
      </c>
      <c r="F4536" s="9">
        <v>0.01</v>
      </c>
      <c r="G4536" s="10">
        <v>11112</v>
      </c>
      <c r="H4536">
        <v>3.62</v>
      </c>
      <c r="I4536" s="5">
        <f>ROUND(Marketing[[#This Row],[Clicks]]*Marketing[[#This Row],[Conversion_Rate]],0)</f>
        <v>8</v>
      </c>
      <c r="J4536" s="12">
        <f>Marketing[[#This Row],[Campaign_Cost]]/Marketing[[#This Row],[Customers]]</f>
        <v>1389</v>
      </c>
      <c r="K4536" t="s">
        <v>25</v>
      </c>
      <c r="L4536" t="s">
        <v>39</v>
      </c>
      <c r="M4536">
        <v>775</v>
      </c>
      <c r="N4536">
        <v>4511</v>
      </c>
      <c r="O4536">
        <v>7</v>
      </c>
      <c r="P4536" t="s">
        <v>42</v>
      </c>
      <c r="Q4536" s="1">
        <v>44351</v>
      </c>
    </row>
    <row r="4537" spans="1:17" x14ac:dyDescent="0.3">
      <c r="A4537" t="s">
        <v>22</v>
      </c>
      <c r="B4537" t="s">
        <v>45</v>
      </c>
      <c r="C4537" t="s">
        <v>16</v>
      </c>
      <c r="D4537" t="s">
        <v>17</v>
      </c>
      <c r="E4537" t="s">
        <v>18</v>
      </c>
      <c r="F4537" s="9">
        <v>0.12</v>
      </c>
      <c r="G4537" s="10">
        <v>15783</v>
      </c>
      <c r="H4537">
        <v>3.94</v>
      </c>
      <c r="I4537" s="5">
        <f>ROUND(Marketing[[#This Row],[Clicks]]*Marketing[[#This Row],[Conversion_Rate]],0)</f>
        <v>80</v>
      </c>
      <c r="J4537" s="12">
        <f>Marketing[[#This Row],[Campaign_Cost]]/Marketing[[#This Row],[Customers]]</f>
        <v>197.28749999999999</v>
      </c>
      <c r="K4537" t="s">
        <v>51</v>
      </c>
      <c r="L4537" t="s">
        <v>20</v>
      </c>
      <c r="M4537">
        <v>669</v>
      </c>
      <c r="N4537">
        <v>6426</v>
      </c>
      <c r="O4537">
        <v>6</v>
      </c>
      <c r="P4537" t="s">
        <v>34</v>
      </c>
      <c r="Q4537" s="1">
        <v>44352</v>
      </c>
    </row>
    <row r="4538" spans="1:17" x14ac:dyDescent="0.3">
      <c r="A4538" t="s">
        <v>35</v>
      </c>
      <c r="B4538" t="s">
        <v>47</v>
      </c>
      <c r="C4538" t="s">
        <v>30</v>
      </c>
      <c r="D4538" t="s">
        <v>24</v>
      </c>
      <c r="E4538" t="s">
        <v>31</v>
      </c>
      <c r="F4538" s="9">
        <v>0.01</v>
      </c>
      <c r="G4538" s="10">
        <v>7042</v>
      </c>
      <c r="H4538">
        <v>6.49</v>
      </c>
      <c r="I4538" s="5">
        <f>ROUND(Marketing[[#This Row],[Clicks]]*Marketing[[#This Row],[Conversion_Rate]],0)</f>
        <v>8</v>
      </c>
      <c r="J4538" s="12">
        <f>Marketing[[#This Row],[Campaign_Cost]]/Marketing[[#This Row],[Customers]]</f>
        <v>880.25</v>
      </c>
      <c r="K4538" t="s">
        <v>32</v>
      </c>
      <c r="L4538" t="s">
        <v>20</v>
      </c>
      <c r="M4538">
        <v>752</v>
      </c>
      <c r="N4538">
        <v>3060</v>
      </c>
      <c r="O4538">
        <v>6</v>
      </c>
      <c r="P4538" t="s">
        <v>44</v>
      </c>
      <c r="Q4538" s="1">
        <v>44353</v>
      </c>
    </row>
    <row r="4539" spans="1:17" x14ac:dyDescent="0.3">
      <c r="A4539" t="s">
        <v>14</v>
      </c>
      <c r="B4539" t="s">
        <v>45</v>
      </c>
      <c r="C4539" t="s">
        <v>23</v>
      </c>
      <c r="D4539" t="s">
        <v>40</v>
      </c>
      <c r="E4539" t="s">
        <v>43</v>
      </c>
      <c r="F4539" s="9">
        <v>0.01</v>
      </c>
      <c r="G4539" s="10">
        <v>18610</v>
      </c>
      <c r="H4539">
        <v>5.66</v>
      </c>
      <c r="I4539" s="5">
        <f>ROUND(Marketing[[#This Row],[Clicks]]*Marketing[[#This Row],[Conversion_Rate]],0)</f>
        <v>8</v>
      </c>
      <c r="J4539" s="12">
        <f>Marketing[[#This Row],[Campaign_Cost]]/Marketing[[#This Row],[Customers]]</f>
        <v>2326.25</v>
      </c>
      <c r="K4539" t="s">
        <v>25</v>
      </c>
      <c r="L4539" t="s">
        <v>33</v>
      </c>
      <c r="M4539">
        <v>832</v>
      </c>
      <c r="N4539">
        <v>8362</v>
      </c>
      <c r="O4539">
        <v>9</v>
      </c>
      <c r="P4539" t="s">
        <v>27</v>
      </c>
      <c r="Q4539" s="1">
        <v>44354</v>
      </c>
    </row>
    <row r="4540" spans="1:17" x14ac:dyDescent="0.3">
      <c r="A4540" t="s">
        <v>49</v>
      </c>
      <c r="B4540" t="s">
        <v>29</v>
      </c>
      <c r="C4540" t="s">
        <v>52</v>
      </c>
      <c r="D4540" t="s">
        <v>17</v>
      </c>
      <c r="E4540" t="s">
        <v>18</v>
      </c>
      <c r="F4540" s="9">
        <v>7.0000000000000007E-2</v>
      </c>
      <c r="G4540" s="10">
        <v>17692</v>
      </c>
      <c r="H4540">
        <v>2.74</v>
      </c>
      <c r="I4540" s="5">
        <f>ROUND(Marketing[[#This Row],[Clicks]]*Marketing[[#This Row],[Conversion_Rate]],0)</f>
        <v>48</v>
      </c>
      <c r="J4540" s="12">
        <f>Marketing[[#This Row],[Campaign_Cost]]/Marketing[[#This Row],[Customers]]</f>
        <v>368.58333333333331</v>
      </c>
      <c r="K4540" t="s">
        <v>32</v>
      </c>
      <c r="L4540" t="s">
        <v>33</v>
      </c>
      <c r="M4540">
        <v>691</v>
      </c>
      <c r="N4540">
        <v>6461</v>
      </c>
      <c r="O4540">
        <v>8</v>
      </c>
      <c r="P4540" t="s">
        <v>34</v>
      </c>
      <c r="Q4540" s="1">
        <v>44355</v>
      </c>
    </row>
    <row r="4541" spans="1:17" x14ac:dyDescent="0.3">
      <c r="A4541" t="s">
        <v>14</v>
      </c>
      <c r="B4541" t="s">
        <v>15</v>
      </c>
      <c r="C4541" t="s">
        <v>23</v>
      </c>
      <c r="D4541" t="s">
        <v>24</v>
      </c>
      <c r="E4541" t="s">
        <v>31</v>
      </c>
      <c r="F4541" s="9">
        <v>0.15</v>
      </c>
      <c r="G4541" s="10">
        <v>19616</v>
      </c>
      <c r="H4541">
        <v>3.71</v>
      </c>
      <c r="I4541" s="5">
        <f>ROUND(Marketing[[#This Row],[Clicks]]*Marketing[[#This Row],[Conversion_Rate]],0)</f>
        <v>47</v>
      </c>
      <c r="J4541" s="12">
        <f>Marketing[[#This Row],[Campaign_Cost]]/Marketing[[#This Row],[Customers]]</f>
        <v>417.36170212765956</v>
      </c>
      <c r="K4541" t="s">
        <v>38</v>
      </c>
      <c r="L4541" t="s">
        <v>39</v>
      </c>
      <c r="M4541">
        <v>311</v>
      </c>
      <c r="N4541">
        <v>2854</v>
      </c>
      <c r="O4541">
        <v>9</v>
      </c>
      <c r="P4541" t="s">
        <v>44</v>
      </c>
      <c r="Q4541" s="1">
        <v>44356</v>
      </c>
    </row>
    <row r="4542" spans="1:17" x14ac:dyDescent="0.3">
      <c r="A4542" t="s">
        <v>14</v>
      </c>
      <c r="B4542" t="s">
        <v>15</v>
      </c>
      <c r="C4542" t="s">
        <v>23</v>
      </c>
      <c r="D4542" t="s">
        <v>46</v>
      </c>
      <c r="E4542" t="s">
        <v>48</v>
      </c>
      <c r="F4542" s="9">
        <v>0.08</v>
      </c>
      <c r="G4542" s="10">
        <v>17421</v>
      </c>
      <c r="H4542">
        <v>6.52</v>
      </c>
      <c r="I4542" s="5">
        <f>ROUND(Marketing[[#This Row],[Clicks]]*Marketing[[#This Row],[Conversion_Rate]],0)</f>
        <v>18</v>
      </c>
      <c r="J4542" s="12">
        <f>Marketing[[#This Row],[Campaign_Cost]]/Marketing[[#This Row],[Customers]]</f>
        <v>967.83333333333337</v>
      </c>
      <c r="K4542" t="s">
        <v>19</v>
      </c>
      <c r="L4542" t="s">
        <v>50</v>
      </c>
      <c r="M4542">
        <v>227</v>
      </c>
      <c r="N4542">
        <v>2455</v>
      </c>
      <c r="O4542">
        <v>9</v>
      </c>
      <c r="P4542" t="s">
        <v>27</v>
      </c>
      <c r="Q4542" s="1">
        <v>44357</v>
      </c>
    </row>
    <row r="4543" spans="1:17" x14ac:dyDescent="0.3">
      <c r="A4543" t="s">
        <v>28</v>
      </c>
      <c r="B4543" t="s">
        <v>15</v>
      </c>
      <c r="C4543" t="s">
        <v>16</v>
      </c>
      <c r="D4543" t="s">
        <v>17</v>
      </c>
      <c r="E4543" t="s">
        <v>15</v>
      </c>
      <c r="F4543" s="9">
        <v>0.08</v>
      </c>
      <c r="G4543" s="10">
        <v>11824</v>
      </c>
      <c r="H4543">
        <v>5.52</v>
      </c>
      <c r="I4543" s="5">
        <f>ROUND(Marketing[[#This Row],[Clicks]]*Marketing[[#This Row],[Conversion_Rate]],0)</f>
        <v>43</v>
      </c>
      <c r="J4543" s="12">
        <f>Marketing[[#This Row],[Campaign_Cost]]/Marketing[[#This Row],[Customers]]</f>
        <v>274.97674418604652</v>
      </c>
      <c r="K4543" t="s">
        <v>51</v>
      </c>
      <c r="L4543" t="s">
        <v>26</v>
      </c>
      <c r="M4543">
        <v>541</v>
      </c>
      <c r="N4543">
        <v>1351</v>
      </c>
      <c r="O4543">
        <v>8</v>
      </c>
      <c r="P4543" t="s">
        <v>21</v>
      </c>
      <c r="Q4543" s="1">
        <v>44358</v>
      </c>
    </row>
    <row r="4544" spans="1:17" x14ac:dyDescent="0.3">
      <c r="A4544" t="s">
        <v>14</v>
      </c>
      <c r="B4544" t="s">
        <v>15</v>
      </c>
      <c r="C4544" t="s">
        <v>23</v>
      </c>
      <c r="D4544" t="s">
        <v>40</v>
      </c>
      <c r="E4544" t="s">
        <v>18</v>
      </c>
      <c r="F4544" s="9">
        <v>0.14000000000000001</v>
      </c>
      <c r="G4544" s="10">
        <v>18304</v>
      </c>
      <c r="H4544">
        <v>7.4</v>
      </c>
      <c r="I4544" s="5">
        <f>ROUND(Marketing[[#This Row],[Clicks]]*Marketing[[#This Row],[Conversion_Rate]],0)</f>
        <v>15</v>
      </c>
      <c r="J4544" s="12">
        <f>Marketing[[#This Row],[Campaign_Cost]]/Marketing[[#This Row],[Customers]]</f>
        <v>1220.2666666666667</v>
      </c>
      <c r="K4544" t="s">
        <v>19</v>
      </c>
      <c r="L4544" t="s">
        <v>50</v>
      </c>
      <c r="M4544">
        <v>104</v>
      </c>
      <c r="N4544">
        <v>2848</v>
      </c>
      <c r="O4544">
        <v>8</v>
      </c>
      <c r="P4544" t="s">
        <v>21</v>
      </c>
      <c r="Q4544" s="1">
        <v>44359</v>
      </c>
    </row>
    <row r="4545" spans="1:17" x14ac:dyDescent="0.3">
      <c r="A4545" t="s">
        <v>35</v>
      </c>
      <c r="B4545" t="s">
        <v>47</v>
      </c>
      <c r="C4545" t="s">
        <v>16</v>
      </c>
      <c r="D4545" t="s">
        <v>17</v>
      </c>
      <c r="E4545" t="s">
        <v>41</v>
      </c>
      <c r="F4545" s="9">
        <v>0.04</v>
      </c>
      <c r="G4545" s="10">
        <v>16444</v>
      </c>
      <c r="H4545">
        <v>7.8</v>
      </c>
      <c r="I4545" s="5">
        <f>ROUND(Marketing[[#This Row],[Clicks]]*Marketing[[#This Row],[Conversion_Rate]],0)</f>
        <v>18</v>
      </c>
      <c r="J4545" s="12">
        <f>Marketing[[#This Row],[Campaign_Cost]]/Marketing[[#This Row],[Customers]]</f>
        <v>913.55555555555554</v>
      </c>
      <c r="K4545" t="s">
        <v>25</v>
      </c>
      <c r="L4545" t="s">
        <v>26</v>
      </c>
      <c r="M4545">
        <v>443</v>
      </c>
      <c r="N4545">
        <v>8101</v>
      </c>
      <c r="O4545">
        <v>3</v>
      </c>
      <c r="P4545" t="s">
        <v>27</v>
      </c>
      <c r="Q4545" s="1">
        <v>44360</v>
      </c>
    </row>
    <row r="4546" spans="1:17" x14ac:dyDescent="0.3">
      <c r="A4546" t="s">
        <v>14</v>
      </c>
      <c r="B4546" t="s">
        <v>15</v>
      </c>
      <c r="C4546" t="s">
        <v>30</v>
      </c>
      <c r="D4546" t="s">
        <v>24</v>
      </c>
      <c r="E4546" t="s">
        <v>48</v>
      </c>
      <c r="F4546" s="9">
        <v>0.14000000000000001</v>
      </c>
      <c r="G4546" s="10">
        <v>19753</v>
      </c>
      <c r="H4546">
        <v>2.04</v>
      </c>
      <c r="I4546" s="5">
        <f>ROUND(Marketing[[#This Row],[Clicks]]*Marketing[[#This Row],[Conversion_Rate]],0)</f>
        <v>73</v>
      </c>
      <c r="J4546" s="12">
        <f>Marketing[[#This Row],[Campaign_Cost]]/Marketing[[#This Row],[Customers]]</f>
        <v>270.58904109589042</v>
      </c>
      <c r="K4546" t="s">
        <v>32</v>
      </c>
      <c r="L4546" t="s">
        <v>20</v>
      </c>
      <c r="M4546">
        <v>523</v>
      </c>
      <c r="N4546">
        <v>7091</v>
      </c>
      <c r="O4546">
        <v>3</v>
      </c>
      <c r="P4546" t="s">
        <v>44</v>
      </c>
      <c r="Q4546" s="1">
        <v>44361</v>
      </c>
    </row>
    <row r="4547" spans="1:17" x14ac:dyDescent="0.3">
      <c r="A4547" t="s">
        <v>22</v>
      </c>
      <c r="B4547" t="s">
        <v>45</v>
      </c>
      <c r="C4547" t="s">
        <v>30</v>
      </c>
      <c r="D4547" t="s">
        <v>17</v>
      </c>
      <c r="E4547" t="s">
        <v>31</v>
      </c>
      <c r="F4547" s="9">
        <v>7.0000000000000007E-2</v>
      </c>
      <c r="G4547" s="10">
        <v>7583</v>
      </c>
      <c r="H4547">
        <v>6.73</v>
      </c>
      <c r="I4547" s="5">
        <f>ROUND(Marketing[[#This Row],[Clicks]]*Marketing[[#This Row],[Conversion_Rate]],0)</f>
        <v>13</v>
      </c>
      <c r="J4547" s="12">
        <f>Marketing[[#This Row],[Campaign_Cost]]/Marketing[[#This Row],[Customers]]</f>
        <v>583.30769230769226</v>
      </c>
      <c r="K4547" t="s">
        <v>38</v>
      </c>
      <c r="L4547" t="s">
        <v>39</v>
      </c>
      <c r="M4547">
        <v>187</v>
      </c>
      <c r="N4547">
        <v>8796</v>
      </c>
      <c r="O4547">
        <v>5</v>
      </c>
      <c r="P4547" t="s">
        <v>34</v>
      </c>
      <c r="Q4547" s="1">
        <v>44362</v>
      </c>
    </row>
    <row r="4548" spans="1:17" x14ac:dyDescent="0.3">
      <c r="A4548" t="s">
        <v>28</v>
      </c>
      <c r="B4548" t="s">
        <v>47</v>
      </c>
      <c r="C4548" t="s">
        <v>52</v>
      </c>
      <c r="D4548" t="s">
        <v>24</v>
      </c>
      <c r="E4548" t="s">
        <v>31</v>
      </c>
      <c r="F4548" s="9">
        <v>0.13</v>
      </c>
      <c r="G4548" s="10">
        <v>11038</v>
      </c>
      <c r="H4548">
        <v>5.53</v>
      </c>
      <c r="I4548" s="5">
        <f>ROUND(Marketing[[#This Row],[Clicks]]*Marketing[[#This Row],[Conversion_Rate]],0)</f>
        <v>48</v>
      </c>
      <c r="J4548" s="12">
        <f>Marketing[[#This Row],[Campaign_Cost]]/Marketing[[#This Row],[Customers]]</f>
        <v>229.95833333333334</v>
      </c>
      <c r="K4548" t="s">
        <v>38</v>
      </c>
      <c r="L4548" t="s">
        <v>26</v>
      </c>
      <c r="M4548">
        <v>373</v>
      </c>
      <c r="N4548">
        <v>8786</v>
      </c>
      <c r="O4548">
        <v>10</v>
      </c>
      <c r="P4548" t="s">
        <v>44</v>
      </c>
      <c r="Q4548" s="1">
        <v>44363</v>
      </c>
    </row>
    <row r="4549" spans="1:17" x14ac:dyDescent="0.3">
      <c r="A4549" t="s">
        <v>22</v>
      </c>
      <c r="B4549" t="s">
        <v>15</v>
      </c>
      <c r="C4549" t="s">
        <v>16</v>
      </c>
      <c r="D4549" t="s">
        <v>46</v>
      </c>
      <c r="E4549" t="s">
        <v>31</v>
      </c>
      <c r="F4549" s="9">
        <v>0.09</v>
      </c>
      <c r="G4549" s="10">
        <v>11167</v>
      </c>
      <c r="H4549">
        <v>2.31</v>
      </c>
      <c r="I4549" s="5">
        <f>ROUND(Marketing[[#This Row],[Clicks]]*Marketing[[#This Row],[Conversion_Rate]],0)</f>
        <v>15</v>
      </c>
      <c r="J4549" s="12">
        <f>Marketing[[#This Row],[Campaign_Cost]]/Marketing[[#This Row],[Customers]]</f>
        <v>744.4666666666667</v>
      </c>
      <c r="K4549" t="s">
        <v>38</v>
      </c>
      <c r="L4549" t="s">
        <v>26</v>
      </c>
      <c r="M4549">
        <v>167</v>
      </c>
      <c r="N4549">
        <v>9968</v>
      </c>
      <c r="O4549">
        <v>8</v>
      </c>
      <c r="P4549" t="s">
        <v>44</v>
      </c>
      <c r="Q4549" s="1">
        <v>44364</v>
      </c>
    </row>
    <row r="4550" spans="1:17" x14ac:dyDescent="0.3">
      <c r="A4550" t="s">
        <v>35</v>
      </c>
      <c r="B4550" t="s">
        <v>29</v>
      </c>
      <c r="C4550" t="s">
        <v>37</v>
      </c>
      <c r="D4550" t="s">
        <v>17</v>
      </c>
      <c r="E4550" t="s">
        <v>18</v>
      </c>
      <c r="F4550" s="9">
        <v>0.13</v>
      </c>
      <c r="G4550" s="10">
        <v>8241</v>
      </c>
      <c r="H4550">
        <v>5.09</v>
      </c>
      <c r="I4550" s="5">
        <f>ROUND(Marketing[[#This Row],[Clicks]]*Marketing[[#This Row],[Conversion_Rate]],0)</f>
        <v>43</v>
      </c>
      <c r="J4550" s="12">
        <f>Marketing[[#This Row],[Campaign_Cost]]/Marketing[[#This Row],[Customers]]</f>
        <v>191.65116279069767</v>
      </c>
      <c r="K4550" t="s">
        <v>25</v>
      </c>
      <c r="L4550" t="s">
        <v>20</v>
      </c>
      <c r="M4550">
        <v>332</v>
      </c>
      <c r="N4550">
        <v>9058</v>
      </c>
      <c r="O4550">
        <v>1</v>
      </c>
      <c r="P4550" t="s">
        <v>21</v>
      </c>
      <c r="Q4550" s="1">
        <v>44365</v>
      </c>
    </row>
    <row r="4551" spans="1:17" x14ac:dyDescent="0.3">
      <c r="A4551" t="s">
        <v>14</v>
      </c>
      <c r="B4551" t="s">
        <v>15</v>
      </c>
      <c r="C4551" t="s">
        <v>37</v>
      </c>
      <c r="D4551" t="s">
        <v>40</v>
      </c>
      <c r="E4551" t="s">
        <v>41</v>
      </c>
      <c r="F4551" s="9">
        <v>0.08</v>
      </c>
      <c r="G4551" s="10">
        <v>6534</v>
      </c>
      <c r="H4551">
        <v>7.78</v>
      </c>
      <c r="I4551" s="5">
        <f>ROUND(Marketing[[#This Row],[Clicks]]*Marketing[[#This Row],[Conversion_Rate]],0)</f>
        <v>53</v>
      </c>
      <c r="J4551" s="12">
        <f>Marketing[[#This Row],[Campaign_Cost]]/Marketing[[#This Row],[Customers]]</f>
        <v>123.28301886792453</v>
      </c>
      <c r="K4551" t="s">
        <v>38</v>
      </c>
      <c r="L4551" t="s">
        <v>20</v>
      </c>
      <c r="M4551">
        <v>667</v>
      </c>
      <c r="N4551">
        <v>3937</v>
      </c>
      <c r="O4551">
        <v>9</v>
      </c>
      <c r="P4551" t="s">
        <v>42</v>
      </c>
      <c r="Q4551" s="1">
        <v>44366</v>
      </c>
    </row>
    <row r="4552" spans="1:17" x14ac:dyDescent="0.3">
      <c r="A4552" t="s">
        <v>22</v>
      </c>
      <c r="B4552" t="s">
        <v>45</v>
      </c>
      <c r="C4552" t="s">
        <v>30</v>
      </c>
      <c r="D4552" t="s">
        <v>46</v>
      </c>
      <c r="E4552" t="s">
        <v>15</v>
      </c>
      <c r="F4552" s="9">
        <v>0.08</v>
      </c>
      <c r="G4552" s="10">
        <v>15737</v>
      </c>
      <c r="H4552">
        <v>7.47</v>
      </c>
      <c r="I4552" s="5">
        <f>ROUND(Marketing[[#This Row],[Clicks]]*Marketing[[#This Row],[Conversion_Rate]],0)</f>
        <v>14</v>
      </c>
      <c r="J4552" s="12">
        <f>Marketing[[#This Row],[Campaign_Cost]]/Marketing[[#This Row],[Customers]]</f>
        <v>1124.0714285714287</v>
      </c>
      <c r="K4552" t="s">
        <v>32</v>
      </c>
      <c r="L4552" t="s">
        <v>20</v>
      </c>
      <c r="M4552">
        <v>172</v>
      </c>
      <c r="N4552">
        <v>2492</v>
      </c>
      <c r="O4552">
        <v>2</v>
      </c>
      <c r="P4552" t="s">
        <v>21</v>
      </c>
      <c r="Q4552" s="1">
        <v>44367</v>
      </c>
    </row>
    <row r="4553" spans="1:17" x14ac:dyDescent="0.3">
      <c r="A4553" t="s">
        <v>28</v>
      </c>
      <c r="B4553" t="s">
        <v>29</v>
      </c>
      <c r="C4553" t="s">
        <v>37</v>
      </c>
      <c r="D4553" t="s">
        <v>46</v>
      </c>
      <c r="E4553" t="s">
        <v>43</v>
      </c>
      <c r="F4553" s="9">
        <v>0.08</v>
      </c>
      <c r="G4553" s="10">
        <v>19596</v>
      </c>
      <c r="H4553">
        <v>7.69</v>
      </c>
      <c r="I4553" s="5">
        <f>ROUND(Marketing[[#This Row],[Clicks]]*Marketing[[#This Row],[Conversion_Rate]],0)</f>
        <v>35</v>
      </c>
      <c r="J4553" s="12">
        <f>Marketing[[#This Row],[Campaign_Cost]]/Marketing[[#This Row],[Customers]]</f>
        <v>559.88571428571424</v>
      </c>
      <c r="K4553" t="s">
        <v>38</v>
      </c>
      <c r="L4553" t="s">
        <v>50</v>
      </c>
      <c r="M4553">
        <v>438</v>
      </c>
      <c r="N4553">
        <v>4866</v>
      </c>
      <c r="O4553">
        <v>10</v>
      </c>
      <c r="P4553" t="s">
        <v>44</v>
      </c>
      <c r="Q4553" s="1">
        <v>44368</v>
      </c>
    </row>
    <row r="4554" spans="1:17" x14ac:dyDescent="0.3">
      <c r="A4554" t="s">
        <v>35</v>
      </c>
      <c r="B4554" t="s">
        <v>15</v>
      </c>
      <c r="C4554" t="s">
        <v>52</v>
      </c>
      <c r="D4554" t="s">
        <v>24</v>
      </c>
      <c r="E4554" t="s">
        <v>43</v>
      </c>
      <c r="F4554" s="9">
        <v>0.08</v>
      </c>
      <c r="G4554" s="10">
        <v>15298</v>
      </c>
      <c r="H4554">
        <v>6.48</v>
      </c>
      <c r="I4554" s="5">
        <f>ROUND(Marketing[[#This Row],[Clicks]]*Marketing[[#This Row],[Conversion_Rate]],0)</f>
        <v>64</v>
      </c>
      <c r="J4554" s="12">
        <f>Marketing[[#This Row],[Campaign_Cost]]/Marketing[[#This Row],[Customers]]</f>
        <v>239.03125</v>
      </c>
      <c r="K4554" t="s">
        <v>25</v>
      </c>
      <c r="L4554" t="s">
        <v>20</v>
      </c>
      <c r="M4554">
        <v>797</v>
      </c>
      <c r="N4554">
        <v>8836</v>
      </c>
      <c r="O4554">
        <v>1</v>
      </c>
      <c r="P4554" t="s">
        <v>44</v>
      </c>
      <c r="Q4554" s="1">
        <v>44369</v>
      </c>
    </row>
    <row r="4555" spans="1:17" x14ac:dyDescent="0.3">
      <c r="A4555" t="s">
        <v>35</v>
      </c>
      <c r="B4555" t="s">
        <v>45</v>
      </c>
      <c r="C4555" t="s">
        <v>52</v>
      </c>
      <c r="D4555" t="s">
        <v>46</v>
      </c>
      <c r="E4555" t="s">
        <v>15</v>
      </c>
      <c r="F4555" s="9">
        <v>0.06</v>
      </c>
      <c r="G4555" s="10">
        <v>19147</v>
      </c>
      <c r="H4555">
        <v>2.57</v>
      </c>
      <c r="I4555" s="5">
        <f>ROUND(Marketing[[#This Row],[Clicks]]*Marketing[[#This Row],[Conversion_Rate]],0)</f>
        <v>15</v>
      </c>
      <c r="J4555" s="12">
        <f>Marketing[[#This Row],[Campaign_Cost]]/Marketing[[#This Row],[Customers]]</f>
        <v>1276.4666666666667</v>
      </c>
      <c r="K4555" t="s">
        <v>19</v>
      </c>
      <c r="L4555" t="s">
        <v>20</v>
      </c>
      <c r="M4555">
        <v>248</v>
      </c>
      <c r="N4555">
        <v>4421</v>
      </c>
      <c r="O4555">
        <v>10</v>
      </c>
      <c r="P4555" t="s">
        <v>42</v>
      </c>
      <c r="Q4555" s="1">
        <v>44370</v>
      </c>
    </row>
    <row r="4556" spans="1:17" x14ac:dyDescent="0.3">
      <c r="A4556" t="s">
        <v>22</v>
      </c>
      <c r="B4556" t="s">
        <v>36</v>
      </c>
      <c r="C4556" t="s">
        <v>37</v>
      </c>
      <c r="D4556" t="s">
        <v>46</v>
      </c>
      <c r="E4556" t="s">
        <v>15</v>
      </c>
      <c r="F4556" s="9">
        <v>0.12</v>
      </c>
      <c r="G4556" s="10">
        <v>6748</v>
      </c>
      <c r="H4556">
        <v>5.74</v>
      </c>
      <c r="I4556" s="5">
        <f>ROUND(Marketing[[#This Row],[Clicks]]*Marketing[[#This Row],[Conversion_Rate]],0)</f>
        <v>23</v>
      </c>
      <c r="J4556" s="12">
        <f>Marketing[[#This Row],[Campaign_Cost]]/Marketing[[#This Row],[Customers]]</f>
        <v>293.39130434782606</v>
      </c>
      <c r="K4556" t="s">
        <v>25</v>
      </c>
      <c r="L4556" t="s">
        <v>26</v>
      </c>
      <c r="M4556">
        <v>190</v>
      </c>
      <c r="N4556">
        <v>6385</v>
      </c>
      <c r="O4556">
        <v>7</v>
      </c>
      <c r="P4556" t="s">
        <v>44</v>
      </c>
      <c r="Q4556" s="1">
        <v>44371</v>
      </c>
    </row>
    <row r="4557" spans="1:17" x14ac:dyDescent="0.3">
      <c r="A4557" t="s">
        <v>22</v>
      </c>
      <c r="B4557" t="s">
        <v>47</v>
      </c>
      <c r="C4557" t="s">
        <v>23</v>
      </c>
      <c r="D4557" t="s">
        <v>24</v>
      </c>
      <c r="E4557" t="s">
        <v>43</v>
      </c>
      <c r="F4557" s="9">
        <v>0.05</v>
      </c>
      <c r="G4557" s="10">
        <v>10266</v>
      </c>
      <c r="H4557">
        <v>7.7</v>
      </c>
      <c r="I4557" s="5">
        <f>ROUND(Marketing[[#This Row],[Clicks]]*Marketing[[#This Row],[Conversion_Rate]],0)</f>
        <v>33</v>
      </c>
      <c r="J4557" s="12">
        <f>Marketing[[#This Row],[Campaign_Cost]]/Marketing[[#This Row],[Customers]]</f>
        <v>311.09090909090907</v>
      </c>
      <c r="K4557" t="s">
        <v>32</v>
      </c>
      <c r="L4557" t="s">
        <v>33</v>
      </c>
      <c r="M4557">
        <v>656</v>
      </c>
      <c r="N4557">
        <v>5559</v>
      </c>
      <c r="O4557">
        <v>2</v>
      </c>
      <c r="P4557" t="s">
        <v>21</v>
      </c>
      <c r="Q4557" s="1">
        <v>44372</v>
      </c>
    </row>
    <row r="4558" spans="1:17" x14ac:dyDescent="0.3">
      <c r="A4558" t="s">
        <v>49</v>
      </c>
      <c r="B4558" t="s">
        <v>29</v>
      </c>
      <c r="C4558" t="s">
        <v>37</v>
      </c>
      <c r="D4558" t="s">
        <v>40</v>
      </c>
      <c r="E4558" t="s">
        <v>15</v>
      </c>
      <c r="F4558" s="9">
        <v>0.09</v>
      </c>
      <c r="G4558" s="10">
        <v>9077</v>
      </c>
      <c r="H4558">
        <v>2.5499999999999998</v>
      </c>
      <c r="I4558" s="5">
        <f>ROUND(Marketing[[#This Row],[Clicks]]*Marketing[[#This Row],[Conversion_Rate]],0)</f>
        <v>80</v>
      </c>
      <c r="J4558" s="12">
        <f>Marketing[[#This Row],[Campaign_Cost]]/Marketing[[#This Row],[Customers]]</f>
        <v>113.46250000000001</v>
      </c>
      <c r="K4558" t="s">
        <v>19</v>
      </c>
      <c r="L4558" t="s">
        <v>39</v>
      </c>
      <c r="M4558">
        <v>893</v>
      </c>
      <c r="N4558">
        <v>6417</v>
      </c>
      <c r="O4558">
        <v>4</v>
      </c>
      <c r="P4558" t="s">
        <v>27</v>
      </c>
      <c r="Q4558" s="1">
        <v>44373</v>
      </c>
    </row>
    <row r="4559" spans="1:17" x14ac:dyDescent="0.3">
      <c r="A4559" t="s">
        <v>14</v>
      </c>
      <c r="B4559" t="s">
        <v>47</v>
      </c>
      <c r="C4559" t="s">
        <v>16</v>
      </c>
      <c r="D4559" t="s">
        <v>17</v>
      </c>
      <c r="E4559" t="s">
        <v>31</v>
      </c>
      <c r="F4559" s="9">
        <v>0.05</v>
      </c>
      <c r="G4559" s="10">
        <v>8129</v>
      </c>
      <c r="H4559">
        <v>4.8099999999999996</v>
      </c>
      <c r="I4559" s="5">
        <f>ROUND(Marketing[[#This Row],[Clicks]]*Marketing[[#This Row],[Conversion_Rate]],0)</f>
        <v>44</v>
      </c>
      <c r="J4559" s="12">
        <f>Marketing[[#This Row],[Campaign_Cost]]/Marketing[[#This Row],[Customers]]</f>
        <v>184.75</v>
      </c>
      <c r="K4559" t="s">
        <v>51</v>
      </c>
      <c r="L4559" t="s">
        <v>39</v>
      </c>
      <c r="M4559">
        <v>875</v>
      </c>
      <c r="N4559">
        <v>8062</v>
      </c>
      <c r="O4559">
        <v>9</v>
      </c>
      <c r="P4559" t="s">
        <v>44</v>
      </c>
      <c r="Q4559" s="1">
        <v>44374</v>
      </c>
    </row>
    <row r="4560" spans="1:17" x14ac:dyDescent="0.3">
      <c r="A4560" t="s">
        <v>35</v>
      </c>
      <c r="B4560" t="s">
        <v>45</v>
      </c>
      <c r="C4560" t="s">
        <v>37</v>
      </c>
      <c r="D4560" t="s">
        <v>17</v>
      </c>
      <c r="E4560" t="s">
        <v>18</v>
      </c>
      <c r="F4560" s="9">
        <v>0.13</v>
      </c>
      <c r="G4560" s="10">
        <v>19546</v>
      </c>
      <c r="H4560">
        <v>3.59</v>
      </c>
      <c r="I4560" s="5">
        <f>ROUND(Marketing[[#This Row],[Clicks]]*Marketing[[#This Row],[Conversion_Rate]],0)</f>
        <v>69</v>
      </c>
      <c r="J4560" s="12">
        <f>Marketing[[#This Row],[Campaign_Cost]]/Marketing[[#This Row],[Customers]]</f>
        <v>283.27536231884056</v>
      </c>
      <c r="K4560" t="s">
        <v>32</v>
      </c>
      <c r="L4560" t="s">
        <v>39</v>
      </c>
      <c r="M4560">
        <v>529</v>
      </c>
      <c r="N4560">
        <v>1877</v>
      </c>
      <c r="O4560">
        <v>10</v>
      </c>
      <c r="P4560" t="s">
        <v>42</v>
      </c>
      <c r="Q4560" s="1">
        <v>44375</v>
      </c>
    </row>
    <row r="4561" spans="1:17" x14ac:dyDescent="0.3">
      <c r="A4561" t="s">
        <v>49</v>
      </c>
      <c r="B4561" t="s">
        <v>29</v>
      </c>
      <c r="C4561" t="s">
        <v>16</v>
      </c>
      <c r="D4561" t="s">
        <v>24</v>
      </c>
      <c r="E4561" t="s">
        <v>43</v>
      </c>
      <c r="F4561" s="9">
        <v>0.03</v>
      </c>
      <c r="G4561" s="10">
        <v>10364</v>
      </c>
      <c r="H4561">
        <v>2.4500000000000002</v>
      </c>
      <c r="I4561" s="5">
        <f>ROUND(Marketing[[#This Row],[Clicks]]*Marketing[[#This Row],[Conversion_Rate]],0)</f>
        <v>30</v>
      </c>
      <c r="J4561" s="12">
        <f>Marketing[[#This Row],[Campaign_Cost]]/Marketing[[#This Row],[Customers]]</f>
        <v>345.46666666666664</v>
      </c>
      <c r="K4561" t="s">
        <v>25</v>
      </c>
      <c r="L4561" t="s">
        <v>39</v>
      </c>
      <c r="M4561">
        <v>993</v>
      </c>
      <c r="N4561">
        <v>9406</v>
      </c>
      <c r="O4561">
        <v>2</v>
      </c>
      <c r="P4561" t="s">
        <v>34</v>
      </c>
      <c r="Q4561" s="1">
        <v>44376</v>
      </c>
    </row>
    <row r="4562" spans="1:17" x14ac:dyDescent="0.3">
      <c r="A4562" t="s">
        <v>22</v>
      </c>
      <c r="B4562" t="s">
        <v>29</v>
      </c>
      <c r="C4562" t="s">
        <v>16</v>
      </c>
      <c r="D4562" t="s">
        <v>40</v>
      </c>
      <c r="E4562" t="s">
        <v>31</v>
      </c>
      <c r="F4562" s="9">
        <v>0.03</v>
      </c>
      <c r="G4562" s="10">
        <v>17384</v>
      </c>
      <c r="H4562">
        <v>2.39</v>
      </c>
      <c r="I4562" s="5">
        <f>ROUND(Marketing[[#This Row],[Clicks]]*Marketing[[#This Row],[Conversion_Rate]],0)</f>
        <v>19</v>
      </c>
      <c r="J4562" s="12">
        <f>Marketing[[#This Row],[Campaign_Cost]]/Marketing[[#This Row],[Customers]]</f>
        <v>914.9473684210526</v>
      </c>
      <c r="K4562" t="s">
        <v>38</v>
      </c>
      <c r="L4562" t="s">
        <v>39</v>
      </c>
      <c r="M4562">
        <v>626</v>
      </c>
      <c r="N4562">
        <v>2748</v>
      </c>
      <c r="O4562">
        <v>6</v>
      </c>
      <c r="P4562" t="s">
        <v>21</v>
      </c>
      <c r="Q4562" s="1">
        <v>44377</v>
      </c>
    </row>
    <row r="4563" spans="1:17" x14ac:dyDescent="0.3">
      <c r="A4563" t="s">
        <v>35</v>
      </c>
      <c r="B4563" t="s">
        <v>36</v>
      </c>
      <c r="C4563" t="s">
        <v>16</v>
      </c>
      <c r="D4563" t="s">
        <v>24</v>
      </c>
      <c r="E4563" t="s">
        <v>18</v>
      </c>
      <c r="F4563" s="9">
        <v>0.09</v>
      </c>
      <c r="G4563" s="10">
        <v>13341</v>
      </c>
      <c r="H4563">
        <v>7.26</v>
      </c>
      <c r="I4563" s="5">
        <f>ROUND(Marketing[[#This Row],[Clicks]]*Marketing[[#This Row],[Conversion_Rate]],0)</f>
        <v>39</v>
      </c>
      <c r="J4563" s="12">
        <f>Marketing[[#This Row],[Campaign_Cost]]/Marketing[[#This Row],[Customers]]</f>
        <v>342.07692307692309</v>
      </c>
      <c r="K4563" t="s">
        <v>32</v>
      </c>
      <c r="L4563" t="s">
        <v>50</v>
      </c>
      <c r="M4563">
        <v>437</v>
      </c>
      <c r="N4563">
        <v>8714</v>
      </c>
      <c r="O4563">
        <v>3</v>
      </c>
      <c r="P4563" t="s">
        <v>34</v>
      </c>
      <c r="Q4563" s="1">
        <v>44378</v>
      </c>
    </row>
    <row r="4564" spans="1:17" x14ac:dyDescent="0.3">
      <c r="A4564" t="s">
        <v>28</v>
      </c>
      <c r="B4564" t="s">
        <v>47</v>
      </c>
      <c r="C4564" t="s">
        <v>30</v>
      </c>
      <c r="D4564" t="s">
        <v>46</v>
      </c>
      <c r="E4564" t="s">
        <v>43</v>
      </c>
      <c r="F4564" s="9">
        <v>0.1</v>
      </c>
      <c r="G4564" s="10">
        <v>6503</v>
      </c>
      <c r="H4564">
        <v>5.89</v>
      </c>
      <c r="I4564" s="5">
        <f>ROUND(Marketing[[#This Row],[Clicks]]*Marketing[[#This Row],[Conversion_Rate]],0)</f>
        <v>22</v>
      </c>
      <c r="J4564" s="12">
        <f>Marketing[[#This Row],[Campaign_Cost]]/Marketing[[#This Row],[Customers]]</f>
        <v>295.59090909090907</v>
      </c>
      <c r="K4564" t="s">
        <v>19</v>
      </c>
      <c r="L4564" t="s">
        <v>26</v>
      </c>
      <c r="M4564">
        <v>224</v>
      </c>
      <c r="N4564">
        <v>5316</v>
      </c>
      <c r="O4564">
        <v>5</v>
      </c>
      <c r="P4564" t="s">
        <v>42</v>
      </c>
      <c r="Q4564" s="1">
        <v>44379</v>
      </c>
    </row>
    <row r="4565" spans="1:17" x14ac:dyDescent="0.3">
      <c r="A4565" t="s">
        <v>49</v>
      </c>
      <c r="B4565" t="s">
        <v>15</v>
      </c>
      <c r="C4565" t="s">
        <v>37</v>
      </c>
      <c r="D4565" t="s">
        <v>17</v>
      </c>
      <c r="E4565" t="s">
        <v>41</v>
      </c>
      <c r="F4565" s="9">
        <v>0.09</v>
      </c>
      <c r="G4565" s="10">
        <v>18057</v>
      </c>
      <c r="H4565">
        <v>4.5599999999999996</v>
      </c>
      <c r="I4565" s="5">
        <f>ROUND(Marketing[[#This Row],[Clicks]]*Marketing[[#This Row],[Conversion_Rate]],0)</f>
        <v>49</v>
      </c>
      <c r="J4565" s="12">
        <f>Marketing[[#This Row],[Campaign_Cost]]/Marketing[[#This Row],[Customers]]</f>
        <v>368.51020408163265</v>
      </c>
      <c r="K4565" t="s">
        <v>32</v>
      </c>
      <c r="L4565" t="s">
        <v>20</v>
      </c>
      <c r="M4565">
        <v>540</v>
      </c>
      <c r="N4565">
        <v>7324</v>
      </c>
      <c r="O4565">
        <v>6</v>
      </c>
      <c r="P4565" t="s">
        <v>34</v>
      </c>
      <c r="Q4565" s="1">
        <v>44380</v>
      </c>
    </row>
    <row r="4566" spans="1:17" x14ac:dyDescent="0.3">
      <c r="A4566" t="s">
        <v>49</v>
      </c>
      <c r="B4566" t="s">
        <v>47</v>
      </c>
      <c r="C4566" t="s">
        <v>52</v>
      </c>
      <c r="D4566" t="s">
        <v>40</v>
      </c>
      <c r="E4566" t="s">
        <v>31</v>
      </c>
      <c r="F4566" s="9">
        <v>0.09</v>
      </c>
      <c r="G4566" s="10">
        <v>10879</v>
      </c>
      <c r="H4566">
        <v>6.22</v>
      </c>
      <c r="I4566" s="5">
        <f>ROUND(Marketing[[#This Row],[Clicks]]*Marketing[[#This Row],[Conversion_Rate]],0)</f>
        <v>49</v>
      </c>
      <c r="J4566" s="12">
        <f>Marketing[[#This Row],[Campaign_Cost]]/Marketing[[#This Row],[Customers]]</f>
        <v>222.0204081632653</v>
      </c>
      <c r="K4566" t="s">
        <v>25</v>
      </c>
      <c r="L4566" t="s">
        <v>20</v>
      </c>
      <c r="M4566">
        <v>542</v>
      </c>
      <c r="N4566">
        <v>5588</v>
      </c>
      <c r="O4566">
        <v>7</v>
      </c>
      <c r="P4566" t="s">
        <v>21</v>
      </c>
      <c r="Q4566" s="1">
        <v>44381</v>
      </c>
    </row>
    <row r="4567" spans="1:17" x14ac:dyDescent="0.3">
      <c r="A4567" t="s">
        <v>14</v>
      </c>
      <c r="B4567" t="s">
        <v>15</v>
      </c>
      <c r="C4567" t="s">
        <v>30</v>
      </c>
      <c r="D4567" t="s">
        <v>40</v>
      </c>
      <c r="E4567" t="s">
        <v>41</v>
      </c>
      <c r="F4567" s="9">
        <v>0.05</v>
      </c>
      <c r="G4567" s="10">
        <v>15128</v>
      </c>
      <c r="H4567">
        <v>7.54</v>
      </c>
      <c r="I4567" s="5">
        <f>ROUND(Marketing[[#This Row],[Clicks]]*Marketing[[#This Row],[Conversion_Rate]],0)</f>
        <v>19</v>
      </c>
      <c r="J4567" s="12">
        <f>Marketing[[#This Row],[Campaign_Cost]]/Marketing[[#This Row],[Customers]]</f>
        <v>796.21052631578948</v>
      </c>
      <c r="K4567" t="s">
        <v>51</v>
      </c>
      <c r="L4567" t="s">
        <v>26</v>
      </c>
      <c r="M4567">
        <v>375</v>
      </c>
      <c r="N4567">
        <v>2403</v>
      </c>
      <c r="O4567">
        <v>3</v>
      </c>
      <c r="P4567" t="s">
        <v>44</v>
      </c>
      <c r="Q4567" s="1">
        <v>44382</v>
      </c>
    </row>
    <row r="4568" spans="1:17" x14ac:dyDescent="0.3">
      <c r="A4568" t="s">
        <v>22</v>
      </c>
      <c r="B4568" t="s">
        <v>47</v>
      </c>
      <c r="C4568" t="s">
        <v>52</v>
      </c>
      <c r="D4568" t="s">
        <v>40</v>
      </c>
      <c r="E4568" t="s">
        <v>18</v>
      </c>
      <c r="F4568" s="9">
        <v>0.15</v>
      </c>
      <c r="G4568" s="10">
        <v>17254</v>
      </c>
      <c r="H4568">
        <v>6.79</v>
      </c>
      <c r="I4568" s="5">
        <f>ROUND(Marketing[[#This Row],[Clicks]]*Marketing[[#This Row],[Conversion_Rate]],0)</f>
        <v>35</v>
      </c>
      <c r="J4568" s="12">
        <f>Marketing[[#This Row],[Campaign_Cost]]/Marketing[[#This Row],[Customers]]</f>
        <v>492.97142857142859</v>
      </c>
      <c r="K4568" t="s">
        <v>32</v>
      </c>
      <c r="L4568" t="s">
        <v>50</v>
      </c>
      <c r="M4568">
        <v>230</v>
      </c>
      <c r="N4568">
        <v>8724</v>
      </c>
      <c r="O4568">
        <v>10</v>
      </c>
      <c r="P4568" t="s">
        <v>34</v>
      </c>
      <c r="Q4568" s="1">
        <v>44383</v>
      </c>
    </row>
    <row r="4569" spans="1:17" x14ac:dyDescent="0.3">
      <c r="A4569" t="s">
        <v>35</v>
      </c>
      <c r="B4569" t="s">
        <v>36</v>
      </c>
      <c r="C4569" t="s">
        <v>16</v>
      </c>
      <c r="D4569" t="s">
        <v>46</v>
      </c>
      <c r="E4569" t="s">
        <v>41</v>
      </c>
      <c r="F4569" s="9">
        <v>0.15</v>
      </c>
      <c r="G4569" s="10">
        <v>8698</v>
      </c>
      <c r="H4569">
        <v>7.97</v>
      </c>
      <c r="I4569" s="5">
        <f>ROUND(Marketing[[#This Row],[Clicks]]*Marketing[[#This Row],[Conversion_Rate]],0)</f>
        <v>61</v>
      </c>
      <c r="J4569" s="12">
        <f>Marketing[[#This Row],[Campaign_Cost]]/Marketing[[#This Row],[Customers]]</f>
        <v>142.59016393442624</v>
      </c>
      <c r="K4569" t="s">
        <v>19</v>
      </c>
      <c r="L4569" t="s">
        <v>50</v>
      </c>
      <c r="M4569">
        <v>409</v>
      </c>
      <c r="N4569">
        <v>6370</v>
      </c>
      <c r="O4569">
        <v>10</v>
      </c>
      <c r="P4569" t="s">
        <v>27</v>
      </c>
      <c r="Q4569" s="1">
        <v>44384</v>
      </c>
    </row>
    <row r="4570" spans="1:17" x14ac:dyDescent="0.3">
      <c r="A4570" t="s">
        <v>49</v>
      </c>
      <c r="B4570" t="s">
        <v>47</v>
      </c>
      <c r="C4570" t="s">
        <v>52</v>
      </c>
      <c r="D4570" t="s">
        <v>24</v>
      </c>
      <c r="E4570" t="s">
        <v>15</v>
      </c>
      <c r="F4570" s="9">
        <v>0.09</v>
      </c>
      <c r="G4570" s="10">
        <v>18094</v>
      </c>
      <c r="H4570">
        <v>4.87</v>
      </c>
      <c r="I4570" s="5">
        <f>ROUND(Marketing[[#This Row],[Clicks]]*Marketing[[#This Row],[Conversion_Rate]],0)</f>
        <v>75</v>
      </c>
      <c r="J4570" s="12">
        <f>Marketing[[#This Row],[Campaign_Cost]]/Marketing[[#This Row],[Customers]]</f>
        <v>241.25333333333333</v>
      </c>
      <c r="K4570" t="s">
        <v>25</v>
      </c>
      <c r="L4570" t="s">
        <v>33</v>
      </c>
      <c r="M4570">
        <v>834</v>
      </c>
      <c r="N4570">
        <v>3655</v>
      </c>
      <c r="O4570">
        <v>8</v>
      </c>
      <c r="P4570" t="s">
        <v>27</v>
      </c>
      <c r="Q4570" s="1">
        <v>44385</v>
      </c>
    </row>
    <row r="4571" spans="1:17" x14ac:dyDescent="0.3">
      <c r="A4571" t="s">
        <v>22</v>
      </c>
      <c r="B4571" t="s">
        <v>15</v>
      </c>
      <c r="C4571" t="s">
        <v>23</v>
      </c>
      <c r="D4571" t="s">
        <v>40</v>
      </c>
      <c r="E4571" t="s">
        <v>48</v>
      </c>
      <c r="F4571" s="9">
        <v>0.11</v>
      </c>
      <c r="G4571" s="10">
        <v>14722</v>
      </c>
      <c r="H4571">
        <v>5.84</v>
      </c>
      <c r="I4571" s="5">
        <f>ROUND(Marketing[[#This Row],[Clicks]]*Marketing[[#This Row],[Conversion_Rate]],0)</f>
        <v>41</v>
      </c>
      <c r="J4571" s="12">
        <f>Marketing[[#This Row],[Campaign_Cost]]/Marketing[[#This Row],[Customers]]</f>
        <v>359.07317073170731</v>
      </c>
      <c r="K4571" t="s">
        <v>38</v>
      </c>
      <c r="L4571" t="s">
        <v>39</v>
      </c>
      <c r="M4571">
        <v>369</v>
      </c>
      <c r="N4571">
        <v>3159</v>
      </c>
      <c r="O4571">
        <v>5</v>
      </c>
      <c r="P4571" t="s">
        <v>34</v>
      </c>
      <c r="Q4571" s="1">
        <v>44386</v>
      </c>
    </row>
    <row r="4572" spans="1:17" x14ac:dyDescent="0.3">
      <c r="A4572" t="s">
        <v>49</v>
      </c>
      <c r="B4572" t="s">
        <v>36</v>
      </c>
      <c r="C4572" t="s">
        <v>52</v>
      </c>
      <c r="D4572" t="s">
        <v>46</v>
      </c>
      <c r="E4572" t="s">
        <v>31</v>
      </c>
      <c r="F4572" s="9">
        <v>0.09</v>
      </c>
      <c r="G4572" s="10">
        <v>8348</v>
      </c>
      <c r="H4572">
        <v>7.97</v>
      </c>
      <c r="I4572" s="5">
        <f>ROUND(Marketing[[#This Row],[Clicks]]*Marketing[[#This Row],[Conversion_Rate]],0)</f>
        <v>74</v>
      </c>
      <c r="J4572" s="12">
        <f>Marketing[[#This Row],[Campaign_Cost]]/Marketing[[#This Row],[Customers]]</f>
        <v>112.81081081081081</v>
      </c>
      <c r="K4572" t="s">
        <v>51</v>
      </c>
      <c r="L4572" t="s">
        <v>39</v>
      </c>
      <c r="M4572">
        <v>818</v>
      </c>
      <c r="N4572">
        <v>7461</v>
      </c>
      <c r="O4572">
        <v>3</v>
      </c>
      <c r="P4572" t="s">
        <v>27</v>
      </c>
      <c r="Q4572" s="1">
        <v>44387</v>
      </c>
    </row>
    <row r="4573" spans="1:17" x14ac:dyDescent="0.3">
      <c r="A4573" t="s">
        <v>35</v>
      </c>
      <c r="B4573" t="s">
        <v>15</v>
      </c>
      <c r="C4573" t="s">
        <v>37</v>
      </c>
      <c r="D4573" t="s">
        <v>24</v>
      </c>
      <c r="E4573" t="s">
        <v>15</v>
      </c>
      <c r="F4573" s="9">
        <v>0.04</v>
      </c>
      <c r="G4573" s="10">
        <v>10964</v>
      </c>
      <c r="H4573">
        <v>3.54</v>
      </c>
      <c r="I4573" s="5">
        <f>ROUND(Marketing[[#This Row],[Clicks]]*Marketing[[#This Row],[Conversion_Rate]],0)</f>
        <v>24</v>
      </c>
      <c r="J4573" s="12">
        <f>Marketing[[#This Row],[Campaign_Cost]]/Marketing[[#This Row],[Customers]]</f>
        <v>456.83333333333331</v>
      </c>
      <c r="K4573" t="s">
        <v>32</v>
      </c>
      <c r="L4573" t="s">
        <v>39</v>
      </c>
      <c r="M4573">
        <v>590</v>
      </c>
      <c r="N4573">
        <v>5954</v>
      </c>
      <c r="O4573">
        <v>4</v>
      </c>
      <c r="P4573" t="s">
        <v>42</v>
      </c>
      <c r="Q4573" s="1">
        <v>44388</v>
      </c>
    </row>
    <row r="4574" spans="1:17" x14ac:dyDescent="0.3">
      <c r="A4574" t="s">
        <v>28</v>
      </c>
      <c r="B4574" t="s">
        <v>45</v>
      </c>
      <c r="C4574" t="s">
        <v>23</v>
      </c>
      <c r="D4574" t="s">
        <v>17</v>
      </c>
      <c r="E4574" t="s">
        <v>18</v>
      </c>
      <c r="F4574" s="9">
        <v>0.12</v>
      </c>
      <c r="G4574" s="10">
        <v>8838</v>
      </c>
      <c r="H4574">
        <v>2.65</v>
      </c>
      <c r="I4574" s="5">
        <f>ROUND(Marketing[[#This Row],[Clicks]]*Marketing[[#This Row],[Conversion_Rate]],0)</f>
        <v>108</v>
      </c>
      <c r="J4574" s="12">
        <f>Marketing[[#This Row],[Campaign_Cost]]/Marketing[[#This Row],[Customers]]</f>
        <v>81.833333333333329</v>
      </c>
      <c r="K4574" t="s">
        <v>51</v>
      </c>
      <c r="L4574" t="s">
        <v>26</v>
      </c>
      <c r="M4574">
        <v>899</v>
      </c>
      <c r="N4574">
        <v>5850</v>
      </c>
      <c r="O4574">
        <v>3</v>
      </c>
      <c r="P4574" t="s">
        <v>44</v>
      </c>
      <c r="Q4574" s="1">
        <v>44389</v>
      </c>
    </row>
    <row r="4575" spans="1:17" x14ac:dyDescent="0.3">
      <c r="A4575" t="s">
        <v>28</v>
      </c>
      <c r="B4575" t="s">
        <v>36</v>
      </c>
      <c r="C4575" t="s">
        <v>52</v>
      </c>
      <c r="D4575" t="s">
        <v>46</v>
      </c>
      <c r="E4575" t="s">
        <v>15</v>
      </c>
      <c r="F4575" s="9">
        <v>0.1</v>
      </c>
      <c r="G4575" s="10">
        <v>11086</v>
      </c>
      <c r="H4575">
        <v>6.35</v>
      </c>
      <c r="I4575" s="5">
        <f>ROUND(Marketing[[#This Row],[Clicks]]*Marketing[[#This Row],[Conversion_Rate]],0)</f>
        <v>83</v>
      </c>
      <c r="J4575" s="12">
        <f>Marketing[[#This Row],[Campaign_Cost]]/Marketing[[#This Row],[Customers]]</f>
        <v>133.56626506024097</v>
      </c>
      <c r="K4575" t="s">
        <v>19</v>
      </c>
      <c r="L4575" t="s">
        <v>20</v>
      </c>
      <c r="M4575">
        <v>831</v>
      </c>
      <c r="N4575">
        <v>7088</v>
      </c>
      <c r="O4575">
        <v>2</v>
      </c>
      <c r="P4575" t="s">
        <v>27</v>
      </c>
      <c r="Q4575" s="1">
        <v>44390</v>
      </c>
    </row>
    <row r="4576" spans="1:17" x14ac:dyDescent="0.3">
      <c r="A4576" t="s">
        <v>28</v>
      </c>
      <c r="B4576" t="s">
        <v>47</v>
      </c>
      <c r="C4576" t="s">
        <v>23</v>
      </c>
      <c r="D4576" t="s">
        <v>46</v>
      </c>
      <c r="E4576" t="s">
        <v>43</v>
      </c>
      <c r="F4576" s="9">
        <v>0.14000000000000001</v>
      </c>
      <c r="G4576" s="10">
        <v>16123</v>
      </c>
      <c r="H4576">
        <v>7.03</v>
      </c>
      <c r="I4576" s="5">
        <f>ROUND(Marketing[[#This Row],[Clicks]]*Marketing[[#This Row],[Conversion_Rate]],0)</f>
        <v>52</v>
      </c>
      <c r="J4576" s="12">
        <f>Marketing[[#This Row],[Campaign_Cost]]/Marketing[[#This Row],[Customers]]</f>
        <v>310.05769230769232</v>
      </c>
      <c r="K4576" t="s">
        <v>25</v>
      </c>
      <c r="L4576" t="s">
        <v>26</v>
      </c>
      <c r="M4576">
        <v>369</v>
      </c>
      <c r="N4576">
        <v>3426</v>
      </c>
      <c r="O4576">
        <v>1</v>
      </c>
      <c r="P4576" t="s">
        <v>44</v>
      </c>
      <c r="Q4576" s="1">
        <v>44391</v>
      </c>
    </row>
    <row r="4577" spans="1:17" x14ac:dyDescent="0.3">
      <c r="A4577" t="s">
        <v>22</v>
      </c>
      <c r="B4577" t="s">
        <v>45</v>
      </c>
      <c r="C4577" t="s">
        <v>16</v>
      </c>
      <c r="D4577" t="s">
        <v>46</v>
      </c>
      <c r="E4577" t="s">
        <v>41</v>
      </c>
      <c r="F4577" s="9">
        <v>0.13</v>
      </c>
      <c r="G4577" s="10">
        <v>11528</v>
      </c>
      <c r="H4577">
        <v>4.95</v>
      </c>
      <c r="I4577" s="5">
        <f>ROUND(Marketing[[#This Row],[Clicks]]*Marketing[[#This Row],[Conversion_Rate]],0)</f>
        <v>67</v>
      </c>
      <c r="J4577" s="12">
        <f>Marketing[[#This Row],[Campaign_Cost]]/Marketing[[#This Row],[Customers]]</f>
        <v>172.0597014925373</v>
      </c>
      <c r="K4577" t="s">
        <v>38</v>
      </c>
      <c r="L4577" t="s">
        <v>20</v>
      </c>
      <c r="M4577">
        <v>519</v>
      </c>
      <c r="N4577">
        <v>5896</v>
      </c>
      <c r="O4577">
        <v>7</v>
      </c>
      <c r="P4577" t="s">
        <v>21</v>
      </c>
      <c r="Q4577" s="1">
        <v>44392</v>
      </c>
    </row>
    <row r="4578" spans="1:17" x14ac:dyDescent="0.3">
      <c r="A4578" t="s">
        <v>35</v>
      </c>
      <c r="B4578" t="s">
        <v>47</v>
      </c>
      <c r="C4578" t="s">
        <v>16</v>
      </c>
      <c r="D4578" t="s">
        <v>40</v>
      </c>
      <c r="E4578" t="s">
        <v>31</v>
      </c>
      <c r="F4578" s="9">
        <v>0.12</v>
      </c>
      <c r="G4578" s="10">
        <v>15431</v>
      </c>
      <c r="H4578">
        <v>6.49</v>
      </c>
      <c r="I4578" s="5">
        <f>ROUND(Marketing[[#This Row],[Clicks]]*Marketing[[#This Row],[Conversion_Rate]],0)</f>
        <v>54</v>
      </c>
      <c r="J4578" s="12">
        <f>Marketing[[#This Row],[Campaign_Cost]]/Marketing[[#This Row],[Customers]]</f>
        <v>285.75925925925924</v>
      </c>
      <c r="K4578" t="s">
        <v>51</v>
      </c>
      <c r="L4578" t="s">
        <v>33</v>
      </c>
      <c r="M4578">
        <v>447</v>
      </c>
      <c r="N4578">
        <v>2975</v>
      </c>
      <c r="O4578">
        <v>9</v>
      </c>
      <c r="P4578" t="s">
        <v>27</v>
      </c>
      <c r="Q4578" s="1">
        <v>44393</v>
      </c>
    </row>
    <row r="4579" spans="1:17" x14ac:dyDescent="0.3">
      <c r="A4579" t="s">
        <v>35</v>
      </c>
      <c r="B4579" t="s">
        <v>36</v>
      </c>
      <c r="C4579" t="s">
        <v>23</v>
      </c>
      <c r="D4579" t="s">
        <v>46</v>
      </c>
      <c r="E4579" t="s">
        <v>48</v>
      </c>
      <c r="F4579" s="9">
        <v>0.02</v>
      </c>
      <c r="G4579" s="10">
        <v>13015</v>
      </c>
      <c r="H4579">
        <v>6.81</v>
      </c>
      <c r="I4579" s="5">
        <f>ROUND(Marketing[[#This Row],[Clicks]]*Marketing[[#This Row],[Conversion_Rate]],0)</f>
        <v>17</v>
      </c>
      <c r="J4579" s="12">
        <f>Marketing[[#This Row],[Campaign_Cost]]/Marketing[[#This Row],[Customers]]</f>
        <v>765.58823529411768</v>
      </c>
      <c r="K4579" t="s">
        <v>32</v>
      </c>
      <c r="L4579" t="s">
        <v>20</v>
      </c>
      <c r="M4579">
        <v>830</v>
      </c>
      <c r="N4579">
        <v>1704</v>
      </c>
      <c r="O4579">
        <v>3</v>
      </c>
      <c r="P4579" t="s">
        <v>21</v>
      </c>
      <c r="Q4579" s="1">
        <v>44394</v>
      </c>
    </row>
    <row r="4580" spans="1:17" x14ac:dyDescent="0.3">
      <c r="A4580" t="s">
        <v>22</v>
      </c>
      <c r="B4580" t="s">
        <v>45</v>
      </c>
      <c r="C4580" t="s">
        <v>30</v>
      </c>
      <c r="D4580" t="s">
        <v>40</v>
      </c>
      <c r="E4580" t="s">
        <v>48</v>
      </c>
      <c r="F4580" s="9">
        <v>0.02</v>
      </c>
      <c r="G4580" s="10">
        <v>16687</v>
      </c>
      <c r="H4580">
        <v>4.5199999999999996</v>
      </c>
      <c r="I4580" s="5">
        <f>ROUND(Marketing[[#This Row],[Clicks]]*Marketing[[#This Row],[Conversion_Rate]],0)</f>
        <v>2</v>
      </c>
      <c r="J4580" s="12">
        <f>Marketing[[#This Row],[Campaign_Cost]]/Marketing[[#This Row],[Customers]]</f>
        <v>8343.5</v>
      </c>
      <c r="K4580" t="s">
        <v>51</v>
      </c>
      <c r="L4580" t="s">
        <v>50</v>
      </c>
      <c r="M4580">
        <v>111</v>
      </c>
      <c r="N4580">
        <v>1397</v>
      </c>
      <c r="O4580">
        <v>5</v>
      </c>
      <c r="P4580" t="s">
        <v>42</v>
      </c>
      <c r="Q4580" s="1">
        <v>44395</v>
      </c>
    </row>
    <row r="4581" spans="1:17" x14ac:dyDescent="0.3">
      <c r="A4581" t="s">
        <v>35</v>
      </c>
      <c r="B4581" t="s">
        <v>45</v>
      </c>
      <c r="C4581" t="s">
        <v>37</v>
      </c>
      <c r="D4581" t="s">
        <v>17</v>
      </c>
      <c r="E4581" t="s">
        <v>18</v>
      </c>
      <c r="F4581" s="9">
        <v>0.06</v>
      </c>
      <c r="G4581" s="10">
        <v>6438</v>
      </c>
      <c r="H4581">
        <v>2.33</v>
      </c>
      <c r="I4581" s="5">
        <f>ROUND(Marketing[[#This Row],[Clicks]]*Marketing[[#This Row],[Conversion_Rate]],0)</f>
        <v>43</v>
      </c>
      <c r="J4581" s="12">
        <f>Marketing[[#This Row],[Campaign_Cost]]/Marketing[[#This Row],[Customers]]</f>
        <v>149.72093023255815</v>
      </c>
      <c r="K4581" t="s">
        <v>38</v>
      </c>
      <c r="L4581" t="s">
        <v>50</v>
      </c>
      <c r="M4581">
        <v>718</v>
      </c>
      <c r="N4581">
        <v>1619</v>
      </c>
      <c r="O4581">
        <v>8</v>
      </c>
      <c r="P4581" t="s">
        <v>27</v>
      </c>
      <c r="Q4581" s="1">
        <v>44396</v>
      </c>
    </row>
    <row r="4582" spans="1:17" x14ac:dyDescent="0.3">
      <c r="A4582" t="s">
        <v>35</v>
      </c>
      <c r="B4582" t="s">
        <v>47</v>
      </c>
      <c r="C4582" t="s">
        <v>16</v>
      </c>
      <c r="D4582" t="s">
        <v>17</v>
      </c>
      <c r="E4582" t="s">
        <v>15</v>
      </c>
      <c r="F4582" s="9">
        <v>0.02</v>
      </c>
      <c r="G4582" s="10">
        <v>8266</v>
      </c>
      <c r="H4582">
        <v>7.11</v>
      </c>
      <c r="I4582" s="5">
        <f>ROUND(Marketing[[#This Row],[Clicks]]*Marketing[[#This Row],[Conversion_Rate]],0)</f>
        <v>2</v>
      </c>
      <c r="J4582" s="12">
        <f>Marketing[[#This Row],[Campaign_Cost]]/Marketing[[#This Row],[Customers]]</f>
        <v>4133</v>
      </c>
      <c r="K4582" t="s">
        <v>32</v>
      </c>
      <c r="L4582" t="s">
        <v>26</v>
      </c>
      <c r="M4582">
        <v>103</v>
      </c>
      <c r="N4582">
        <v>9760</v>
      </c>
      <c r="O4582">
        <v>10</v>
      </c>
      <c r="P4582" t="s">
        <v>34</v>
      </c>
      <c r="Q4582" s="1">
        <v>44397</v>
      </c>
    </row>
    <row r="4583" spans="1:17" x14ac:dyDescent="0.3">
      <c r="A4583" t="s">
        <v>22</v>
      </c>
      <c r="B4583" t="s">
        <v>36</v>
      </c>
      <c r="C4583" t="s">
        <v>23</v>
      </c>
      <c r="D4583" t="s">
        <v>24</v>
      </c>
      <c r="E4583" t="s">
        <v>18</v>
      </c>
      <c r="F4583" s="9">
        <v>0.14000000000000001</v>
      </c>
      <c r="G4583" s="10">
        <v>18576</v>
      </c>
      <c r="H4583">
        <v>3.43</v>
      </c>
      <c r="I4583" s="5">
        <f>ROUND(Marketing[[#This Row],[Clicks]]*Marketing[[#This Row],[Conversion_Rate]],0)</f>
        <v>24</v>
      </c>
      <c r="J4583" s="12">
        <f>Marketing[[#This Row],[Campaign_Cost]]/Marketing[[#This Row],[Customers]]</f>
        <v>774</v>
      </c>
      <c r="K4583" t="s">
        <v>32</v>
      </c>
      <c r="L4583" t="s">
        <v>26</v>
      </c>
      <c r="M4583">
        <v>173</v>
      </c>
      <c r="N4583">
        <v>9790</v>
      </c>
      <c r="O4583">
        <v>4</v>
      </c>
      <c r="P4583" t="s">
        <v>42</v>
      </c>
      <c r="Q4583" s="1">
        <v>44398</v>
      </c>
    </row>
    <row r="4584" spans="1:17" x14ac:dyDescent="0.3">
      <c r="A4584" t="s">
        <v>14</v>
      </c>
      <c r="B4584" t="s">
        <v>45</v>
      </c>
      <c r="C4584" t="s">
        <v>30</v>
      </c>
      <c r="D4584" t="s">
        <v>40</v>
      </c>
      <c r="E4584" t="s">
        <v>41</v>
      </c>
      <c r="F4584" s="9">
        <v>7.0000000000000007E-2</v>
      </c>
      <c r="G4584" s="10">
        <v>15230</v>
      </c>
      <c r="H4584">
        <v>7.81</v>
      </c>
      <c r="I4584" s="5">
        <f>ROUND(Marketing[[#This Row],[Clicks]]*Marketing[[#This Row],[Conversion_Rate]],0)</f>
        <v>17</v>
      </c>
      <c r="J4584" s="12">
        <f>Marketing[[#This Row],[Campaign_Cost]]/Marketing[[#This Row],[Customers]]</f>
        <v>895.88235294117646</v>
      </c>
      <c r="K4584" t="s">
        <v>51</v>
      </c>
      <c r="L4584" t="s">
        <v>39</v>
      </c>
      <c r="M4584">
        <v>249</v>
      </c>
      <c r="N4584">
        <v>9028</v>
      </c>
      <c r="O4584">
        <v>3</v>
      </c>
      <c r="P4584" t="s">
        <v>27</v>
      </c>
      <c r="Q4584" s="1">
        <v>44399</v>
      </c>
    </row>
    <row r="4585" spans="1:17" x14ac:dyDescent="0.3">
      <c r="A4585" t="s">
        <v>49</v>
      </c>
      <c r="B4585" t="s">
        <v>29</v>
      </c>
      <c r="C4585" t="s">
        <v>16</v>
      </c>
      <c r="D4585" t="s">
        <v>17</v>
      </c>
      <c r="E4585" t="s">
        <v>18</v>
      </c>
      <c r="F4585" s="9">
        <v>7.0000000000000007E-2</v>
      </c>
      <c r="G4585" s="10">
        <v>8651</v>
      </c>
      <c r="H4585">
        <v>6.43</v>
      </c>
      <c r="I4585" s="5">
        <f>ROUND(Marketing[[#This Row],[Clicks]]*Marketing[[#This Row],[Conversion_Rate]],0)</f>
        <v>34</v>
      </c>
      <c r="J4585" s="12">
        <f>Marketing[[#This Row],[Campaign_Cost]]/Marketing[[#This Row],[Customers]]</f>
        <v>254.44117647058823</v>
      </c>
      <c r="K4585" t="s">
        <v>19</v>
      </c>
      <c r="L4585" t="s">
        <v>33</v>
      </c>
      <c r="M4585">
        <v>482</v>
      </c>
      <c r="N4585">
        <v>8767</v>
      </c>
      <c r="O4585">
        <v>4</v>
      </c>
      <c r="P4585" t="s">
        <v>21</v>
      </c>
      <c r="Q4585" s="1">
        <v>44400</v>
      </c>
    </row>
    <row r="4586" spans="1:17" x14ac:dyDescent="0.3">
      <c r="A4586" t="s">
        <v>35</v>
      </c>
      <c r="B4586" t="s">
        <v>47</v>
      </c>
      <c r="C4586" t="s">
        <v>37</v>
      </c>
      <c r="D4586" t="s">
        <v>46</v>
      </c>
      <c r="E4586" t="s">
        <v>18</v>
      </c>
      <c r="F4586" s="9">
        <v>0.12</v>
      </c>
      <c r="G4586" s="10">
        <v>6091</v>
      </c>
      <c r="H4586">
        <v>2.0299999999999998</v>
      </c>
      <c r="I4586" s="5">
        <f>ROUND(Marketing[[#This Row],[Clicks]]*Marketing[[#This Row],[Conversion_Rate]],0)</f>
        <v>20</v>
      </c>
      <c r="J4586" s="12">
        <f>Marketing[[#This Row],[Campaign_Cost]]/Marketing[[#This Row],[Customers]]</f>
        <v>304.55</v>
      </c>
      <c r="K4586" t="s">
        <v>25</v>
      </c>
      <c r="L4586" t="s">
        <v>50</v>
      </c>
      <c r="M4586">
        <v>163</v>
      </c>
      <c r="N4586">
        <v>2958</v>
      </c>
      <c r="O4586">
        <v>8</v>
      </c>
      <c r="P4586" t="s">
        <v>34</v>
      </c>
      <c r="Q4586" s="1">
        <v>44401</v>
      </c>
    </row>
    <row r="4587" spans="1:17" x14ac:dyDescent="0.3">
      <c r="A4587" t="s">
        <v>28</v>
      </c>
      <c r="B4587" t="s">
        <v>29</v>
      </c>
      <c r="C4587" t="s">
        <v>23</v>
      </c>
      <c r="D4587" t="s">
        <v>46</v>
      </c>
      <c r="E4587" t="s">
        <v>31</v>
      </c>
      <c r="F4587" s="9">
        <v>7.0000000000000007E-2</v>
      </c>
      <c r="G4587" s="10">
        <v>6314</v>
      </c>
      <c r="H4587">
        <v>2.44</v>
      </c>
      <c r="I4587" s="5">
        <f>ROUND(Marketing[[#This Row],[Clicks]]*Marketing[[#This Row],[Conversion_Rate]],0)</f>
        <v>25</v>
      </c>
      <c r="J4587" s="12">
        <f>Marketing[[#This Row],[Campaign_Cost]]/Marketing[[#This Row],[Customers]]</f>
        <v>252.56</v>
      </c>
      <c r="K4587" t="s">
        <v>32</v>
      </c>
      <c r="L4587" t="s">
        <v>26</v>
      </c>
      <c r="M4587">
        <v>356</v>
      </c>
      <c r="N4587">
        <v>8422</v>
      </c>
      <c r="O4587">
        <v>1</v>
      </c>
      <c r="P4587" t="s">
        <v>34</v>
      </c>
      <c r="Q4587" s="1">
        <v>44402</v>
      </c>
    </row>
    <row r="4588" spans="1:17" x14ac:dyDescent="0.3">
      <c r="A4588" t="s">
        <v>35</v>
      </c>
      <c r="B4588" t="s">
        <v>47</v>
      </c>
      <c r="C4588" t="s">
        <v>52</v>
      </c>
      <c r="D4588" t="s">
        <v>40</v>
      </c>
      <c r="E4588" t="s">
        <v>41</v>
      </c>
      <c r="F4588" s="9">
        <v>0.09</v>
      </c>
      <c r="G4588" s="10">
        <v>14938</v>
      </c>
      <c r="H4588">
        <v>7.9</v>
      </c>
      <c r="I4588" s="5">
        <f>ROUND(Marketing[[#This Row],[Clicks]]*Marketing[[#This Row],[Conversion_Rate]],0)</f>
        <v>29</v>
      </c>
      <c r="J4588" s="12">
        <f>Marketing[[#This Row],[Campaign_Cost]]/Marketing[[#This Row],[Customers]]</f>
        <v>515.10344827586209</v>
      </c>
      <c r="K4588" t="s">
        <v>25</v>
      </c>
      <c r="L4588" t="s">
        <v>50</v>
      </c>
      <c r="M4588">
        <v>321</v>
      </c>
      <c r="N4588">
        <v>6470</v>
      </c>
      <c r="O4588">
        <v>6</v>
      </c>
      <c r="P4588" t="s">
        <v>21</v>
      </c>
      <c r="Q4588" s="1">
        <v>44403</v>
      </c>
    </row>
    <row r="4589" spans="1:17" x14ac:dyDescent="0.3">
      <c r="A4589" t="s">
        <v>22</v>
      </c>
      <c r="B4589" t="s">
        <v>15</v>
      </c>
      <c r="C4589" t="s">
        <v>16</v>
      </c>
      <c r="D4589" t="s">
        <v>24</v>
      </c>
      <c r="E4589" t="s">
        <v>43</v>
      </c>
      <c r="F4589" s="9">
        <v>0.05</v>
      </c>
      <c r="G4589" s="10">
        <v>15758</v>
      </c>
      <c r="H4589">
        <v>3.91</v>
      </c>
      <c r="I4589" s="5">
        <f>ROUND(Marketing[[#This Row],[Clicks]]*Marketing[[#This Row],[Conversion_Rate]],0)</f>
        <v>19</v>
      </c>
      <c r="J4589" s="12">
        <f>Marketing[[#This Row],[Campaign_Cost]]/Marketing[[#This Row],[Customers]]</f>
        <v>829.36842105263156</v>
      </c>
      <c r="K4589" t="s">
        <v>51</v>
      </c>
      <c r="L4589" t="s">
        <v>39</v>
      </c>
      <c r="M4589">
        <v>372</v>
      </c>
      <c r="N4589">
        <v>1246</v>
      </c>
      <c r="O4589">
        <v>8</v>
      </c>
      <c r="P4589" t="s">
        <v>21</v>
      </c>
      <c r="Q4589" s="1">
        <v>44404</v>
      </c>
    </row>
    <row r="4590" spans="1:17" x14ac:dyDescent="0.3">
      <c r="A4590" t="s">
        <v>14</v>
      </c>
      <c r="B4590" t="s">
        <v>45</v>
      </c>
      <c r="C4590" t="s">
        <v>37</v>
      </c>
      <c r="D4590" t="s">
        <v>24</v>
      </c>
      <c r="E4590" t="s">
        <v>31</v>
      </c>
      <c r="F4590" s="9">
        <v>0.12</v>
      </c>
      <c r="G4590" s="10">
        <v>12991</v>
      </c>
      <c r="H4590">
        <v>4.12</v>
      </c>
      <c r="I4590" s="5">
        <f>ROUND(Marketing[[#This Row],[Clicks]]*Marketing[[#This Row],[Conversion_Rate]],0)</f>
        <v>87</v>
      </c>
      <c r="J4590" s="12">
        <f>Marketing[[#This Row],[Campaign_Cost]]/Marketing[[#This Row],[Customers]]</f>
        <v>149.32183908045977</v>
      </c>
      <c r="K4590" t="s">
        <v>51</v>
      </c>
      <c r="L4590" t="s">
        <v>33</v>
      </c>
      <c r="M4590">
        <v>724</v>
      </c>
      <c r="N4590">
        <v>7828</v>
      </c>
      <c r="O4590">
        <v>10</v>
      </c>
      <c r="P4590" t="s">
        <v>34</v>
      </c>
      <c r="Q4590" s="1">
        <v>44405</v>
      </c>
    </row>
    <row r="4591" spans="1:17" x14ac:dyDescent="0.3">
      <c r="A4591" t="s">
        <v>35</v>
      </c>
      <c r="B4591" t="s">
        <v>45</v>
      </c>
      <c r="C4591" t="s">
        <v>37</v>
      </c>
      <c r="D4591" t="s">
        <v>24</v>
      </c>
      <c r="E4591" t="s">
        <v>43</v>
      </c>
      <c r="F4591" s="9">
        <v>0.09</v>
      </c>
      <c r="G4591" s="10">
        <v>15432</v>
      </c>
      <c r="H4591">
        <v>3.12</v>
      </c>
      <c r="I4591" s="5">
        <f>ROUND(Marketing[[#This Row],[Clicks]]*Marketing[[#This Row],[Conversion_Rate]],0)</f>
        <v>14</v>
      </c>
      <c r="J4591" s="12">
        <f>Marketing[[#This Row],[Campaign_Cost]]/Marketing[[#This Row],[Customers]]</f>
        <v>1102.2857142857142</v>
      </c>
      <c r="K4591" t="s">
        <v>19</v>
      </c>
      <c r="L4591" t="s">
        <v>33</v>
      </c>
      <c r="M4591">
        <v>151</v>
      </c>
      <c r="N4591">
        <v>4133</v>
      </c>
      <c r="O4591">
        <v>7</v>
      </c>
      <c r="P4591" t="s">
        <v>27</v>
      </c>
      <c r="Q4591" s="1">
        <v>44406</v>
      </c>
    </row>
    <row r="4592" spans="1:17" x14ac:dyDescent="0.3">
      <c r="A4592" t="s">
        <v>49</v>
      </c>
      <c r="B4592" t="s">
        <v>29</v>
      </c>
      <c r="C4592" t="s">
        <v>37</v>
      </c>
      <c r="D4592" t="s">
        <v>24</v>
      </c>
      <c r="E4592" t="s">
        <v>18</v>
      </c>
      <c r="F4592" s="9">
        <v>0.03</v>
      </c>
      <c r="G4592" s="10">
        <v>15010</v>
      </c>
      <c r="H4592">
        <v>4.26</v>
      </c>
      <c r="I4592" s="5">
        <f>ROUND(Marketing[[#This Row],[Clicks]]*Marketing[[#This Row],[Conversion_Rate]],0)</f>
        <v>11</v>
      </c>
      <c r="J4592" s="12">
        <f>Marketing[[#This Row],[Campaign_Cost]]/Marketing[[#This Row],[Customers]]</f>
        <v>1364.5454545454545</v>
      </c>
      <c r="K4592" t="s">
        <v>51</v>
      </c>
      <c r="L4592" t="s">
        <v>39</v>
      </c>
      <c r="M4592">
        <v>381</v>
      </c>
      <c r="N4592">
        <v>6020</v>
      </c>
      <c r="O4592">
        <v>1</v>
      </c>
      <c r="P4592" t="s">
        <v>27</v>
      </c>
      <c r="Q4592" s="1">
        <v>44407</v>
      </c>
    </row>
    <row r="4593" spans="1:17" x14ac:dyDescent="0.3">
      <c r="A4593" t="s">
        <v>35</v>
      </c>
      <c r="B4593" t="s">
        <v>47</v>
      </c>
      <c r="C4593" t="s">
        <v>52</v>
      </c>
      <c r="D4593" t="s">
        <v>24</v>
      </c>
      <c r="E4593" t="s">
        <v>15</v>
      </c>
      <c r="F4593" s="9">
        <v>0.06</v>
      </c>
      <c r="G4593" s="10">
        <v>5994</v>
      </c>
      <c r="H4593">
        <v>7.05</v>
      </c>
      <c r="I4593" s="5">
        <f>ROUND(Marketing[[#This Row],[Clicks]]*Marketing[[#This Row],[Conversion_Rate]],0)</f>
        <v>51</v>
      </c>
      <c r="J4593" s="12">
        <f>Marketing[[#This Row],[Campaign_Cost]]/Marketing[[#This Row],[Customers]]</f>
        <v>117.52941176470588</v>
      </c>
      <c r="K4593" t="s">
        <v>38</v>
      </c>
      <c r="L4593" t="s">
        <v>26</v>
      </c>
      <c r="M4593">
        <v>858</v>
      </c>
      <c r="N4593">
        <v>1935</v>
      </c>
      <c r="O4593">
        <v>4</v>
      </c>
      <c r="P4593" t="s">
        <v>42</v>
      </c>
      <c r="Q4593" s="1">
        <v>44408</v>
      </c>
    </row>
    <row r="4594" spans="1:17" x14ac:dyDescent="0.3">
      <c r="A4594" t="s">
        <v>22</v>
      </c>
      <c r="B4594" t="s">
        <v>45</v>
      </c>
      <c r="C4594" t="s">
        <v>16</v>
      </c>
      <c r="D4594" t="s">
        <v>40</v>
      </c>
      <c r="E4594" t="s">
        <v>15</v>
      </c>
      <c r="F4594" s="9">
        <v>0.12</v>
      </c>
      <c r="G4594" s="10">
        <v>14291</v>
      </c>
      <c r="H4594">
        <v>5.58</v>
      </c>
      <c r="I4594" s="5">
        <f>ROUND(Marketing[[#This Row],[Clicks]]*Marketing[[#This Row],[Conversion_Rate]],0)</f>
        <v>42</v>
      </c>
      <c r="J4594" s="12">
        <f>Marketing[[#This Row],[Campaign_Cost]]/Marketing[[#This Row],[Customers]]</f>
        <v>340.26190476190476</v>
      </c>
      <c r="K4594" t="s">
        <v>32</v>
      </c>
      <c r="L4594" t="s">
        <v>20</v>
      </c>
      <c r="M4594">
        <v>347</v>
      </c>
      <c r="N4594">
        <v>2331</v>
      </c>
      <c r="O4594">
        <v>7</v>
      </c>
      <c r="P4594" t="s">
        <v>27</v>
      </c>
      <c r="Q4594" s="1">
        <v>44409</v>
      </c>
    </row>
    <row r="4595" spans="1:17" x14ac:dyDescent="0.3">
      <c r="A4595" t="s">
        <v>22</v>
      </c>
      <c r="B4595" t="s">
        <v>15</v>
      </c>
      <c r="C4595" t="s">
        <v>23</v>
      </c>
      <c r="D4595" t="s">
        <v>17</v>
      </c>
      <c r="E4595" t="s">
        <v>31</v>
      </c>
      <c r="F4595" s="9">
        <v>0.12</v>
      </c>
      <c r="G4595" s="10">
        <v>5388</v>
      </c>
      <c r="H4595">
        <v>5.82</v>
      </c>
      <c r="I4595" s="5">
        <f>ROUND(Marketing[[#This Row],[Clicks]]*Marketing[[#This Row],[Conversion_Rate]],0)</f>
        <v>75</v>
      </c>
      <c r="J4595" s="12">
        <f>Marketing[[#This Row],[Campaign_Cost]]/Marketing[[#This Row],[Customers]]</f>
        <v>71.84</v>
      </c>
      <c r="K4595" t="s">
        <v>38</v>
      </c>
      <c r="L4595" t="s">
        <v>20</v>
      </c>
      <c r="M4595">
        <v>628</v>
      </c>
      <c r="N4595">
        <v>9414</v>
      </c>
      <c r="O4595">
        <v>4</v>
      </c>
      <c r="P4595" t="s">
        <v>44</v>
      </c>
      <c r="Q4595" s="1">
        <v>44410</v>
      </c>
    </row>
    <row r="4596" spans="1:17" x14ac:dyDescent="0.3">
      <c r="A4596" t="s">
        <v>28</v>
      </c>
      <c r="B4596" t="s">
        <v>36</v>
      </c>
      <c r="C4596" t="s">
        <v>37</v>
      </c>
      <c r="D4596" t="s">
        <v>40</v>
      </c>
      <c r="E4596" t="s">
        <v>48</v>
      </c>
      <c r="F4596" s="9">
        <v>0.09</v>
      </c>
      <c r="G4596" s="10">
        <v>5209</v>
      </c>
      <c r="H4596">
        <v>7.16</v>
      </c>
      <c r="I4596" s="5">
        <f>ROUND(Marketing[[#This Row],[Clicks]]*Marketing[[#This Row],[Conversion_Rate]],0)</f>
        <v>12</v>
      </c>
      <c r="J4596" s="12">
        <f>Marketing[[#This Row],[Campaign_Cost]]/Marketing[[#This Row],[Customers]]</f>
        <v>434.08333333333331</v>
      </c>
      <c r="K4596" t="s">
        <v>19</v>
      </c>
      <c r="L4596" t="s">
        <v>33</v>
      </c>
      <c r="M4596">
        <v>134</v>
      </c>
      <c r="N4596">
        <v>6652</v>
      </c>
      <c r="O4596">
        <v>5</v>
      </c>
      <c r="P4596" t="s">
        <v>27</v>
      </c>
      <c r="Q4596" s="1">
        <v>44411</v>
      </c>
    </row>
    <row r="4597" spans="1:17" x14ac:dyDescent="0.3">
      <c r="A4597" t="s">
        <v>49</v>
      </c>
      <c r="B4597" t="s">
        <v>15</v>
      </c>
      <c r="C4597" t="s">
        <v>37</v>
      </c>
      <c r="D4597" t="s">
        <v>17</v>
      </c>
      <c r="E4597" t="s">
        <v>15</v>
      </c>
      <c r="F4597" s="9">
        <v>0.06</v>
      </c>
      <c r="G4597" s="10">
        <v>6169</v>
      </c>
      <c r="H4597">
        <v>6.04</v>
      </c>
      <c r="I4597" s="5">
        <f>ROUND(Marketing[[#This Row],[Clicks]]*Marketing[[#This Row],[Conversion_Rate]],0)</f>
        <v>28</v>
      </c>
      <c r="J4597" s="12">
        <f>Marketing[[#This Row],[Campaign_Cost]]/Marketing[[#This Row],[Customers]]</f>
        <v>220.32142857142858</v>
      </c>
      <c r="K4597" t="s">
        <v>51</v>
      </c>
      <c r="L4597" t="s">
        <v>50</v>
      </c>
      <c r="M4597">
        <v>466</v>
      </c>
      <c r="N4597">
        <v>4560</v>
      </c>
      <c r="O4597">
        <v>2</v>
      </c>
      <c r="P4597" t="s">
        <v>34</v>
      </c>
      <c r="Q4597" s="1">
        <v>44412</v>
      </c>
    </row>
    <row r="4598" spans="1:17" x14ac:dyDescent="0.3">
      <c r="A4598" t="s">
        <v>14</v>
      </c>
      <c r="B4598" t="s">
        <v>36</v>
      </c>
      <c r="C4598" t="s">
        <v>16</v>
      </c>
      <c r="D4598" t="s">
        <v>24</v>
      </c>
      <c r="E4598" t="s">
        <v>43</v>
      </c>
      <c r="F4598" s="9">
        <v>0.13</v>
      </c>
      <c r="G4598" s="10">
        <v>19435</v>
      </c>
      <c r="H4598">
        <v>6.4</v>
      </c>
      <c r="I4598" s="5">
        <f>ROUND(Marketing[[#This Row],[Clicks]]*Marketing[[#This Row],[Conversion_Rate]],0)</f>
        <v>49</v>
      </c>
      <c r="J4598" s="12">
        <f>Marketing[[#This Row],[Campaign_Cost]]/Marketing[[#This Row],[Customers]]</f>
        <v>396.63265306122452</v>
      </c>
      <c r="K4598" t="s">
        <v>32</v>
      </c>
      <c r="L4598" t="s">
        <v>39</v>
      </c>
      <c r="M4598">
        <v>375</v>
      </c>
      <c r="N4598">
        <v>6834</v>
      </c>
      <c r="O4598">
        <v>6</v>
      </c>
      <c r="P4598" t="s">
        <v>34</v>
      </c>
      <c r="Q4598" s="1">
        <v>44413</v>
      </c>
    </row>
    <row r="4599" spans="1:17" x14ac:dyDescent="0.3">
      <c r="A4599" t="s">
        <v>22</v>
      </c>
      <c r="B4599" t="s">
        <v>36</v>
      </c>
      <c r="C4599" t="s">
        <v>23</v>
      </c>
      <c r="D4599" t="s">
        <v>40</v>
      </c>
      <c r="E4599" t="s">
        <v>15</v>
      </c>
      <c r="F4599" s="9">
        <v>0.04</v>
      </c>
      <c r="G4599" s="10">
        <v>5356</v>
      </c>
      <c r="H4599">
        <v>3.8</v>
      </c>
      <c r="I4599" s="5">
        <f>ROUND(Marketing[[#This Row],[Clicks]]*Marketing[[#This Row],[Conversion_Rate]],0)</f>
        <v>35</v>
      </c>
      <c r="J4599" s="12">
        <f>Marketing[[#This Row],[Campaign_Cost]]/Marketing[[#This Row],[Customers]]</f>
        <v>153.02857142857144</v>
      </c>
      <c r="K4599" t="s">
        <v>32</v>
      </c>
      <c r="L4599" t="s">
        <v>50</v>
      </c>
      <c r="M4599">
        <v>876</v>
      </c>
      <c r="N4599">
        <v>5729</v>
      </c>
      <c r="O4599">
        <v>1</v>
      </c>
      <c r="P4599" t="s">
        <v>34</v>
      </c>
      <c r="Q4599" s="1">
        <v>44414</v>
      </c>
    </row>
    <row r="4600" spans="1:17" x14ac:dyDescent="0.3">
      <c r="A4600" t="s">
        <v>14</v>
      </c>
      <c r="B4600" t="s">
        <v>47</v>
      </c>
      <c r="C4600" t="s">
        <v>30</v>
      </c>
      <c r="D4600" t="s">
        <v>40</v>
      </c>
      <c r="E4600" t="s">
        <v>15</v>
      </c>
      <c r="F4600" s="9">
        <v>0.04</v>
      </c>
      <c r="G4600" s="10">
        <v>19585</v>
      </c>
      <c r="H4600">
        <v>5.98</v>
      </c>
      <c r="I4600" s="5">
        <f>ROUND(Marketing[[#This Row],[Clicks]]*Marketing[[#This Row],[Conversion_Rate]],0)</f>
        <v>36</v>
      </c>
      <c r="J4600" s="12">
        <f>Marketing[[#This Row],[Campaign_Cost]]/Marketing[[#This Row],[Customers]]</f>
        <v>544.02777777777783</v>
      </c>
      <c r="K4600" t="s">
        <v>25</v>
      </c>
      <c r="L4600" t="s">
        <v>33</v>
      </c>
      <c r="M4600">
        <v>904</v>
      </c>
      <c r="N4600">
        <v>3179</v>
      </c>
      <c r="O4600">
        <v>3</v>
      </c>
      <c r="P4600" t="s">
        <v>34</v>
      </c>
      <c r="Q4600" s="1">
        <v>44415</v>
      </c>
    </row>
    <row r="4601" spans="1:17" x14ac:dyDescent="0.3">
      <c r="A4601" t="s">
        <v>35</v>
      </c>
      <c r="B4601" t="s">
        <v>47</v>
      </c>
      <c r="C4601" t="s">
        <v>52</v>
      </c>
      <c r="D4601" t="s">
        <v>24</v>
      </c>
      <c r="E4601" t="s">
        <v>15</v>
      </c>
      <c r="F4601" s="9">
        <v>0.05</v>
      </c>
      <c r="G4601" s="10">
        <v>11084</v>
      </c>
      <c r="H4601">
        <v>5.68</v>
      </c>
      <c r="I4601" s="5">
        <f>ROUND(Marketing[[#This Row],[Clicks]]*Marketing[[#This Row],[Conversion_Rate]],0)</f>
        <v>6</v>
      </c>
      <c r="J4601" s="12">
        <f>Marketing[[#This Row],[Campaign_Cost]]/Marketing[[#This Row],[Customers]]</f>
        <v>1847.3333333333333</v>
      </c>
      <c r="K4601" t="s">
        <v>32</v>
      </c>
      <c r="L4601" t="s">
        <v>39</v>
      </c>
      <c r="M4601">
        <v>119</v>
      </c>
      <c r="N4601">
        <v>9942</v>
      </c>
      <c r="O4601">
        <v>9</v>
      </c>
      <c r="P4601" t="s">
        <v>21</v>
      </c>
      <c r="Q4601" s="1">
        <v>44416</v>
      </c>
    </row>
    <row r="4602" spans="1:17" x14ac:dyDescent="0.3">
      <c r="A4602" t="s">
        <v>49</v>
      </c>
      <c r="B4602" t="s">
        <v>47</v>
      </c>
      <c r="C4602" t="s">
        <v>23</v>
      </c>
      <c r="D4602" t="s">
        <v>46</v>
      </c>
      <c r="E4602" t="s">
        <v>43</v>
      </c>
      <c r="F4602" s="9">
        <v>0.08</v>
      </c>
      <c r="G4602" s="10">
        <v>14932</v>
      </c>
      <c r="H4602">
        <v>4.03</v>
      </c>
      <c r="I4602" s="5">
        <f>ROUND(Marketing[[#This Row],[Clicks]]*Marketing[[#This Row],[Conversion_Rate]],0)</f>
        <v>59</v>
      </c>
      <c r="J4602" s="12">
        <f>Marketing[[#This Row],[Campaign_Cost]]/Marketing[[#This Row],[Customers]]</f>
        <v>253.08474576271186</v>
      </c>
      <c r="K4602" t="s">
        <v>38</v>
      </c>
      <c r="L4602" t="s">
        <v>26</v>
      </c>
      <c r="M4602">
        <v>737</v>
      </c>
      <c r="N4602">
        <v>6393</v>
      </c>
      <c r="O4602">
        <v>4</v>
      </c>
      <c r="P4602" t="s">
        <v>27</v>
      </c>
      <c r="Q4602" s="1">
        <v>44417</v>
      </c>
    </row>
    <row r="4603" spans="1:17" x14ac:dyDescent="0.3">
      <c r="A4603" t="s">
        <v>49</v>
      </c>
      <c r="B4603" t="s">
        <v>29</v>
      </c>
      <c r="C4603" t="s">
        <v>52</v>
      </c>
      <c r="D4603" t="s">
        <v>40</v>
      </c>
      <c r="E4603" t="s">
        <v>18</v>
      </c>
      <c r="F4603" s="9">
        <v>0.14000000000000001</v>
      </c>
      <c r="G4603" s="10">
        <v>16562</v>
      </c>
      <c r="H4603">
        <v>4.25</v>
      </c>
      <c r="I4603" s="5">
        <f>ROUND(Marketing[[#This Row],[Clicks]]*Marketing[[#This Row],[Conversion_Rate]],0)</f>
        <v>93</v>
      </c>
      <c r="J4603" s="12">
        <f>Marketing[[#This Row],[Campaign_Cost]]/Marketing[[#This Row],[Customers]]</f>
        <v>178.08602150537635</v>
      </c>
      <c r="K4603" t="s">
        <v>51</v>
      </c>
      <c r="L4603" t="s">
        <v>39</v>
      </c>
      <c r="M4603">
        <v>662</v>
      </c>
      <c r="N4603">
        <v>6013</v>
      </c>
      <c r="O4603">
        <v>3</v>
      </c>
      <c r="P4603" t="s">
        <v>27</v>
      </c>
      <c r="Q4603" s="1">
        <v>44418</v>
      </c>
    </row>
    <row r="4604" spans="1:17" x14ac:dyDescent="0.3">
      <c r="A4604" t="s">
        <v>49</v>
      </c>
      <c r="B4604" t="s">
        <v>47</v>
      </c>
      <c r="C4604" t="s">
        <v>16</v>
      </c>
      <c r="D4604" t="s">
        <v>40</v>
      </c>
      <c r="E4604" t="s">
        <v>48</v>
      </c>
      <c r="F4604" s="9">
        <v>0.03</v>
      </c>
      <c r="G4604" s="10">
        <v>7740</v>
      </c>
      <c r="H4604">
        <v>3.78</v>
      </c>
      <c r="I4604" s="5">
        <f>ROUND(Marketing[[#This Row],[Clicks]]*Marketing[[#This Row],[Conversion_Rate]],0)</f>
        <v>11</v>
      </c>
      <c r="J4604" s="12">
        <f>Marketing[[#This Row],[Campaign_Cost]]/Marketing[[#This Row],[Customers]]</f>
        <v>703.63636363636363</v>
      </c>
      <c r="K4604" t="s">
        <v>32</v>
      </c>
      <c r="L4604" t="s">
        <v>26</v>
      </c>
      <c r="M4604">
        <v>376</v>
      </c>
      <c r="N4604">
        <v>7658</v>
      </c>
      <c r="O4604">
        <v>5</v>
      </c>
      <c r="P4604" t="s">
        <v>42</v>
      </c>
      <c r="Q4604" s="1">
        <v>44419</v>
      </c>
    </row>
    <row r="4605" spans="1:17" x14ac:dyDescent="0.3">
      <c r="A4605" t="s">
        <v>35</v>
      </c>
      <c r="B4605" t="s">
        <v>15</v>
      </c>
      <c r="C4605" t="s">
        <v>37</v>
      </c>
      <c r="D4605" t="s">
        <v>17</v>
      </c>
      <c r="E4605" t="s">
        <v>18</v>
      </c>
      <c r="F4605" s="9">
        <v>0.09</v>
      </c>
      <c r="G4605" s="10">
        <v>10804</v>
      </c>
      <c r="H4605">
        <v>5.3</v>
      </c>
      <c r="I4605" s="5">
        <f>ROUND(Marketing[[#This Row],[Clicks]]*Marketing[[#This Row],[Conversion_Rate]],0)</f>
        <v>32</v>
      </c>
      <c r="J4605" s="12">
        <f>Marketing[[#This Row],[Campaign_Cost]]/Marketing[[#This Row],[Customers]]</f>
        <v>337.625</v>
      </c>
      <c r="K4605" t="s">
        <v>25</v>
      </c>
      <c r="L4605" t="s">
        <v>39</v>
      </c>
      <c r="M4605">
        <v>356</v>
      </c>
      <c r="N4605">
        <v>8770</v>
      </c>
      <c r="O4605">
        <v>1</v>
      </c>
      <c r="P4605" t="s">
        <v>42</v>
      </c>
      <c r="Q4605" s="1">
        <v>44420</v>
      </c>
    </row>
    <row r="4606" spans="1:17" x14ac:dyDescent="0.3">
      <c r="A4606" t="s">
        <v>28</v>
      </c>
      <c r="B4606" t="s">
        <v>36</v>
      </c>
      <c r="C4606" t="s">
        <v>23</v>
      </c>
      <c r="D4606" t="s">
        <v>46</v>
      </c>
      <c r="E4606" t="s">
        <v>31</v>
      </c>
      <c r="F4606" s="9">
        <v>0.04</v>
      </c>
      <c r="G4606" s="10">
        <v>15722</v>
      </c>
      <c r="H4606">
        <v>7.05</v>
      </c>
      <c r="I4606" s="5">
        <f>ROUND(Marketing[[#This Row],[Clicks]]*Marketing[[#This Row],[Conversion_Rate]],0)</f>
        <v>29</v>
      </c>
      <c r="J4606" s="12">
        <f>Marketing[[#This Row],[Campaign_Cost]]/Marketing[[#This Row],[Customers]]</f>
        <v>542.13793103448279</v>
      </c>
      <c r="K4606" t="s">
        <v>38</v>
      </c>
      <c r="L4606" t="s">
        <v>33</v>
      </c>
      <c r="M4606">
        <v>724</v>
      </c>
      <c r="N4606">
        <v>6004</v>
      </c>
      <c r="O4606">
        <v>9</v>
      </c>
      <c r="P4606" t="s">
        <v>44</v>
      </c>
      <c r="Q4606" s="1">
        <v>44421</v>
      </c>
    </row>
    <row r="4607" spans="1:17" x14ac:dyDescent="0.3">
      <c r="A4607" t="s">
        <v>14</v>
      </c>
      <c r="B4607" t="s">
        <v>45</v>
      </c>
      <c r="C4607" t="s">
        <v>30</v>
      </c>
      <c r="D4607" t="s">
        <v>40</v>
      </c>
      <c r="E4607" t="s">
        <v>41</v>
      </c>
      <c r="F4607" s="9">
        <v>0.12</v>
      </c>
      <c r="G4607" s="10">
        <v>13222</v>
      </c>
      <c r="H4607">
        <v>5.2</v>
      </c>
      <c r="I4607" s="5">
        <f>ROUND(Marketing[[#This Row],[Clicks]]*Marketing[[#This Row],[Conversion_Rate]],0)</f>
        <v>61</v>
      </c>
      <c r="J4607" s="12">
        <f>Marketing[[#This Row],[Campaign_Cost]]/Marketing[[#This Row],[Customers]]</f>
        <v>216.75409836065575</v>
      </c>
      <c r="K4607" t="s">
        <v>25</v>
      </c>
      <c r="L4607" t="s">
        <v>33</v>
      </c>
      <c r="M4607">
        <v>508</v>
      </c>
      <c r="N4607">
        <v>2195</v>
      </c>
      <c r="O4607">
        <v>7</v>
      </c>
      <c r="P4607" t="s">
        <v>42</v>
      </c>
      <c r="Q4607" s="1">
        <v>44422</v>
      </c>
    </row>
    <row r="4608" spans="1:17" x14ac:dyDescent="0.3">
      <c r="A4608" t="s">
        <v>49</v>
      </c>
      <c r="B4608" t="s">
        <v>15</v>
      </c>
      <c r="C4608" t="s">
        <v>37</v>
      </c>
      <c r="D4608" t="s">
        <v>40</v>
      </c>
      <c r="E4608" t="s">
        <v>48</v>
      </c>
      <c r="F4608" s="9">
        <v>0.11</v>
      </c>
      <c r="G4608" s="10">
        <v>18750</v>
      </c>
      <c r="H4608">
        <v>3.79</v>
      </c>
      <c r="I4608" s="5">
        <f>ROUND(Marketing[[#This Row],[Clicks]]*Marketing[[#This Row],[Conversion_Rate]],0)</f>
        <v>17</v>
      </c>
      <c r="J4608" s="12">
        <f>Marketing[[#This Row],[Campaign_Cost]]/Marketing[[#This Row],[Customers]]</f>
        <v>1102.9411764705883</v>
      </c>
      <c r="K4608" t="s">
        <v>32</v>
      </c>
      <c r="L4608" t="s">
        <v>26</v>
      </c>
      <c r="M4608">
        <v>150</v>
      </c>
      <c r="N4608">
        <v>3631</v>
      </c>
      <c r="O4608">
        <v>2</v>
      </c>
      <c r="P4608" t="s">
        <v>34</v>
      </c>
      <c r="Q4608" s="1">
        <v>44423</v>
      </c>
    </row>
    <row r="4609" spans="1:17" x14ac:dyDescent="0.3">
      <c r="A4609" t="s">
        <v>49</v>
      </c>
      <c r="B4609" t="s">
        <v>36</v>
      </c>
      <c r="C4609" t="s">
        <v>16</v>
      </c>
      <c r="D4609" t="s">
        <v>46</v>
      </c>
      <c r="E4609" t="s">
        <v>15</v>
      </c>
      <c r="F4609" s="9">
        <v>7.0000000000000007E-2</v>
      </c>
      <c r="G4609" s="10">
        <v>14103</v>
      </c>
      <c r="H4609">
        <v>2.2599999999999998</v>
      </c>
      <c r="I4609" s="5">
        <f>ROUND(Marketing[[#This Row],[Clicks]]*Marketing[[#This Row],[Conversion_Rate]],0)</f>
        <v>17</v>
      </c>
      <c r="J4609" s="12">
        <f>Marketing[[#This Row],[Campaign_Cost]]/Marketing[[#This Row],[Customers]]</f>
        <v>829.58823529411768</v>
      </c>
      <c r="K4609" t="s">
        <v>25</v>
      </c>
      <c r="L4609" t="s">
        <v>26</v>
      </c>
      <c r="M4609">
        <v>236</v>
      </c>
      <c r="N4609">
        <v>6998</v>
      </c>
      <c r="O4609">
        <v>6</v>
      </c>
      <c r="P4609" t="s">
        <v>44</v>
      </c>
      <c r="Q4609" s="1">
        <v>44424</v>
      </c>
    </row>
    <row r="4610" spans="1:17" x14ac:dyDescent="0.3">
      <c r="A4610" t="s">
        <v>35</v>
      </c>
      <c r="B4610" t="s">
        <v>45</v>
      </c>
      <c r="C4610" t="s">
        <v>37</v>
      </c>
      <c r="D4610" t="s">
        <v>24</v>
      </c>
      <c r="E4610" t="s">
        <v>18</v>
      </c>
      <c r="F4610" s="9">
        <v>0.12</v>
      </c>
      <c r="G4610" s="10">
        <v>6424</v>
      </c>
      <c r="H4610">
        <v>7.36</v>
      </c>
      <c r="I4610" s="5">
        <f>ROUND(Marketing[[#This Row],[Clicks]]*Marketing[[#This Row],[Conversion_Rate]],0)</f>
        <v>119</v>
      </c>
      <c r="J4610" s="12">
        <f>Marketing[[#This Row],[Campaign_Cost]]/Marketing[[#This Row],[Customers]]</f>
        <v>53.983193277310924</v>
      </c>
      <c r="K4610" t="s">
        <v>38</v>
      </c>
      <c r="L4610" t="s">
        <v>33</v>
      </c>
      <c r="M4610">
        <v>990</v>
      </c>
      <c r="N4610">
        <v>2444</v>
      </c>
      <c r="O4610">
        <v>6</v>
      </c>
      <c r="P4610" t="s">
        <v>27</v>
      </c>
      <c r="Q4610" s="1">
        <v>44425</v>
      </c>
    </row>
    <row r="4611" spans="1:17" x14ac:dyDescent="0.3">
      <c r="A4611" t="s">
        <v>28</v>
      </c>
      <c r="B4611" t="s">
        <v>45</v>
      </c>
      <c r="C4611" t="s">
        <v>16</v>
      </c>
      <c r="D4611" t="s">
        <v>17</v>
      </c>
      <c r="E4611" t="s">
        <v>18</v>
      </c>
      <c r="F4611" s="9">
        <v>0.08</v>
      </c>
      <c r="G4611" s="10">
        <v>15650</v>
      </c>
      <c r="H4611">
        <v>5.0199999999999996</v>
      </c>
      <c r="I4611" s="5">
        <f>ROUND(Marketing[[#This Row],[Clicks]]*Marketing[[#This Row],[Conversion_Rate]],0)</f>
        <v>9</v>
      </c>
      <c r="J4611" s="12">
        <f>Marketing[[#This Row],[Campaign_Cost]]/Marketing[[#This Row],[Customers]]</f>
        <v>1738.8888888888889</v>
      </c>
      <c r="K4611" t="s">
        <v>19</v>
      </c>
      <c r="L4611" t="s">
        <v>39</v>
      </c>
      <c r="M4611">
        <v>111</v>
      </c>
      <c r="N4611">
        <v>2418</v>
      </c>
      <c r="O4611">
        <v>1</v>
      </c>
      <c r="P4611" t="s">
        <v>42</v>
      </c>
      <c r="Q4611" s="1">
        <v>44426</v>
      </c>
    </row>
    <row r="4612" spans="1:17" x14ac:dyDescent="0.3">
      <c r="A4612" t="s">
        <v>28</v>
      </c>
      <c r="B4612" t="s">
        <v>45</v>
      </c>
      <c r="C4612" t="s">
        <v>30</v>
      </c>
      <c r="D4612" t="s">
        <v>17</v>
      </c>
      <c r="E4612" t="s">
        <v>31</v>
      </c>
      <c r="F4612" s="9">
        <v>0.09</v>
      </c>
      <c r="G4612" s="10">
        <v>15918</v>
      </c>
      <c r="H4612">
        <v>3.32</v>
      </c>
      <c r="I4612" s="5">
        <f>ROUND(Marketing[[#This Row],[Clicks]]*Marketing[[#This Row],[Conversion_Rate]],0)</f>
        <v>27</v>
      </c>
      <c r="J4612" s="12">
        <f>Marketing[[#This Row],[Campaign_Cost]]/Marketing[[#This Row],[Customers]]</f>
        <v>589.55555555555554</v>
      </c>
      <c r="K4612" t="s">
        <v>25</v>
      </c>
      <c r="L4612" t="s">
        <v>20</v>
      </c>
      <c r="M4612">
        <v>300</v>
      </c>
      <c r="N4612">
        <v>9550</v>
      </c>
      <c r="O4612">
        <v>7</v>
      </c>
      <c r="P4612" t="s">
        <v>27</v>
      </c>
      <c r="Q4612" s="1">
        <v>44427</v>
      </c>
    </row>
    <row r="4613" spans="1:17" x14ac:dyDescent="0.3">
      <c r="A4613" t="s">
        <v>49</v>
      </c>
      <c r="B4613" t="s">
        <v>15</v>
      </c>
      <c r="C4613" t="s">
        <v>52</v>
      </c>
      <c r="D4613" t="s">
        <v>24</v>
      </c>
      <c r="E4613" t="s">
        <v>43</v>
      </c>
      <c r="F4613" s="9">
        <v>0.11</v>
      </c>
      <c r="G4613" s="10">
        <v>5002</v>
      </c>
      <c r="H4613">
        <v>7.27</v>
      </c>
      <c r="I4613" s="5">
        <f>ROUND(Marketing[[#This Row],[Clicks]]*Marketing[[#This Row],[Conversion_Rate]],0)</f>
        <v>24</v>
      </c>
      <c r="J4613" s="12">
        <f>Marketing[[#This Row],[Campaign_Cost]]/Marketing[[#This Row],[Customers]]</f>
        <v>208.41666666666666</v>
      </c>
      <c r="K4613" t="s">
        <v>32</v>
      </c>
      <c r="L4613" t="s">
        <v>39</v>
      </c>
      <c r="M4613">
        <v>215</v>
      </c>
      <c r="N4613">
        <v>6044</v>
      </c>
      <c r="O4613">
        <v>4</v>
      </c>
      <c r="P4613" t="s">
        <v>27</v>
      </c>
      <c r="Q4613" s="1">
        <v>44428</v>
      </c>
    </row>
    <row r="4614" spans="1:17" x14ac:dyDescent="0.3">
      <c r="A4614" t="s">
        <v>14</v>
      </c>
      <c r="B4614" t="s">
        <v>15</v>
      </c>
      <c r="C4614" t="s">
        <v>16</v>
      </c>
      <c r="D4614" t="s">
        <v>46</v>
      </c>
      <c r="E4614" t="s">
        <v>48</v>
      </c>
      <c r="F4614" s="9">
        <v>0.08</v>
      </c>
      <c r="G4614" s="10">
        <v>16250</v>
      </c>
      <c r="H4614">
        <v>3.82</v>
      </c>
      <c r="I4614" s="5">
        <f>ROUND(Marketing[[#This Row],[Clicks]]*Marketing[[#This Row],[Conversion_Rate]],0)</f>
        <v>48</v>
      </c>
      <c r="J4614" s="12">
        <f>Marketing[[#This Row],[Campaign_Cost]]/Marketing[[#This Row],[Customers]]</f>
        <v>338.54166666666669</v>
      </c>
      <c r="K4614" t="s">
        <v>38</v>
      </c>
      <c r="L4614" t="s">
        <v>26</v>
      </c>
      <c r="M4614">
        <v>602</v>
      </c>
      <c r="N4614">
        <v>7677</v>
      </c>
      <c r="O4614">
        <v>9</v>
      </c>
      <c r="P4614" t="s">
        <v>42</v>
      </c>
      <c r="Q4614" s="1">
        <v>44429</v>
      </c>
    </row>
    <row r="4615" spans="1:17" x14ac:dyDescent="0.3">
      <c r="A4615" t="s">
        <v>14</v>
      </c>
      <c r="B4615" t="s">
        <v>29</v>
      </c>
      <c r="C4615" t="s">
        <v>37</v>
      </c>
      <c r="D4615" t="s">
        <v>24</v>
      </c>
      <c r="E4615" t="s">
        <v>43</v>
      </c>
      <c r="F4615" s="9">
        <v>0.02</v>
      </c>
      <c r="G4615" s="10">
        <v>9405</v>
      </c>
      <c r="H4615">
        <v>7.73</v>
      </c>
      <c r="I4615" s="5">
        <f>ROUND(Marketing[[#This Row],[Clicks]]*Marketing[[#This Row],[Conversion_Rate]],0)</f>
        <v>10</v>
      </c>
      <c r="J4615" s="12">
        <f>Marketing[[#This Row],[Campaign_Cost]]/Marketing[[#This Row],[Customers]]</f>
        <v>940.5</v>
      </c>
      <c r="K4615" t="s">
        <v>25</v>
      </c>
      <c r="L4615" t="s">
        <v>33</v>
      </c>
      <c r="M4615">
        <v>511</v>
      </c>
      <c r="N4615">
        <v>2028</v>
      </c>
      <c r="O4615">
        <v>5</v>
      </c>
      <c r="P4615" t="s">
        <v>44</v>
      </c>
      <c r="Q4615" s="1">
        <v>44430</v>
      </c>
    </row>
    <row r="4616" spans="1:17" x14ac:dyDescent="0.3">
      <c r="A4616" t="s">
        <v>22</v>
      </c>
      <c r="B4616" t="s">
        <v>15</v>
      </c>
      <c r="C4616" t="s">
        <v>23</v>
      </c>
      <c r="D4616" t="s">
        <v>40</v>
      </c>
      <c r="E4616" t="s">
        <v>43</v>
      </c>
      <c r="F4616" s="9">
        <v>0.01</v>
      </c>
      <c r="G4616" s="10">
        <v>19716</v>
      </c>
      <c r="H4616">
        <v>7.34</v>
      </c>
      <c r="I4616" s="5">
        <f>ROUND(Marketing[[#This Row],[Clicks]]*Marketing[[#This Row],[Conversion_Rate]],0)</f>
        <v>3</v>
      </c>
      <c r="J4616" s="12">
        <f>Marketing[[#This Row],[Campaign_Cost]]/Marketing[[#This Row],[Customers]]</f>
        <v>6572</v>
      </c>
      <c r="K4616" t="s">
        <v>38</v>
      </c>
      <c r="L4616" t="s">
        <v>20</v>
      </c>
      <c r="M4616">
        <v>345</v>
      </c>
      <c r="N4616">
        <v>2704</v>
      </c>
      <c r="O4616">
        <v>10</v>
      </c>
      <c r="P4616" t="s">
        <v>34</v>
      </c>
      <c r="Q4616" s="1">
        <v>44431</v>
      </c>
    </row>
    <row r="4617" spans="1:17" x14ac:dyDescent="0.3">
      <c r="A4617" t="s">
        <v>22</v>
      </c>
      <c r="B4617" t="s">
        <v>15</v>
      </c>
      <c r="C4617" t="s">
        <v>37</v>
      </c>
      <c r="D4617" t="s">
        <v>24</v>
      </c>
      <c r="E4617" t="s">
        <v>15</v>
      </c>
      <c r="F4617" s="9">
        <v>0.09</v>
      </c>
      <c r="G4617" s="10">
        <v>12494</v>
      </c>
      <c r="H4617">
        <v>6.93</v>
      </c>
      <c r="I4617" s="5">
        <f>ROUND(Marketing[[#This Row],[Clicks]]*Marketing[[#This Row],[Conversion_Rate]],0)</f>
        <v>43</v>
      </c>
      <c r="J4617" s="12">
        <f>Marketing[[#This Row],[Campaign_Cost]]/Marketing[[#This Row],[Customers]]</f>
        <v>290.55813953488371</v>
      </c>
      <c r="K4617" t="s">
        <v>38</v>
      </c>
      <c r="L4617" t="s">
        <v>20</v>
      </c>
      <c r="M4617">
        <v>478</v>
      </c>
      <c r="N4617">
        <v>7483</v>
      </c>
      <c r="O4617">
        <v>1</v>
      </c>
      <c r="P4617" t="s">
        <v>27</v>
      </c>
      <c r="Q4617" s="1">
        <v>44432</v>
      </c>
    </row>
    <row r="4618" spans="1:17" x14ac:dyDescent="0.3">
      <c r="A4618" t="s">
        <v>22</v>
      </c>
      <c r="B4618" t="s">
        <v>29</v>
      </c>
      <c r="C4618" t="s">
        <v>30</v>
      </c>
      <c r="D4618" t="s">
        <v>17</v>
      </c>
      <c r="E4618" t="s">
        <v>48</v>
      </c>
      <c r="F4618" s="9">
        <v>0.11</v>
      </c>
      <c r="G4618" s="10">
        <v>8449</v>
      </c>
      <c r="H4618">
        <v>6.32</v>
      </c>
      <c r="I4618" s="5">
        <f>ROUND(Marketing[[#This Row],[Clicks]]*Marketing[[#This Row],[Conversion_Rate]],0)</f>
        <v>91</v>
      </c>
      <c r="J4618" s="12">
        <f>Marketing[[#This Row],[Campaign_Cost]]/Marketing[[#This Row],[Customers]]</f>
        <v>92.84615384615384</v>
      </c>
      <c r="K4618" t="s">
        <v>25</v>
      </c>
      <c r="L4618" t="s">
        <v>33</v>
      </c>
      <c r="M4618">
        <v>831</v>
      </c>
      <c r="N4618">
        <v>8686</v>
      </c>
      <c r="O4618">
        <v>2</v>
      </c>
      <c r="P4618" t="s">
        <v>21</v>
      </c>
      <c r="Q4618" s="1">
        <v>44433</v>
      </c>
    </row>
    <row r="4619" spans="1:17" x14ac:dyDescent="0.3">
      <c r="A4619" t="s">
        <v>49</v>
      </c>
      <c r="B4619" t="s">
        <v>47</v>
      </c>
      <c r="C4619" t="s">
        <v>16</v>
      </c>
      <c r="D4619" t="s">
        <v>40</v>
      </c>
      <c r="E4619" t="s">
        <v>48</v>
      </c>
      <c r="F4619" s="9">
        <v>0.15</v>
      </c>
      <c r="G4619" s="10">
        <v>10844</v>
      </c>
      <c r="H4619">
        <v>4.2</v>
      </c>
      <c r="I4619" s="5">
        <f>ROUND(Marketing[[#This Row],[Clicks]]*Marketing[[#This Row],[Conversion_Rate]],0)</f>
        <v>20</v>
      </c>
      <c r="J4619" s="12">
        <f>Marketing[[#This Row],[Campaign_Cost]]/Marketing[[#This Row],[Customers]]</f>
        <v>542.20000000000005</v>
      </c>
      <c r="K4619" t="s">
        <v>19</v>
      </c>
      <c r="L4619" t="s">
        <v>50</v>
      </c>
      <c r="M4619">
        <v>135</v>
      </c>
      <c r="N4619">
        <v>9278</v>
      </c>
      <c r="O4619">
        <v>2</v>
      </c>
      <c r="P4619" t="s">
        <v>34</v>
      </c>
      <c r="Q4619" s="1">
        <v>44434</v>
      </c>
    </row>
    <row r="4620" spans="1:17" x14ac:dyDescent="0.3">
      <c r="A4620" t="s">
        <v>22</v>
      </c>
      <c r="B4620" t="s">
        <v>15</v>
      </c>
      <c r="C4620" t="s">
        <v>52</v>
      </c>
      <c r="D4620" t="s">
        <v>24</v>
      </c>
      <c r="E4620" t="s">
        <v>43</v>
      </c>
      <c r="F4620" s="9">
        <v>0.06</v>
      </c>
      <c r="G4620" s="10">
        <v>18070</v>
      </c>
      <c r="H4620">
        <v>4.75</v>
      </c>
      <c r="I4620" s="5">
        <f>ROUND(Marketing[[#This Row],[Clicks]]*Marketing[[#This Row],[Conversion_Rate]],0)</f>
        <v>9</v>
      </c>
      <c r="J4620" s="12">
        <f>Marketing[[#This Row],[Campaign_Cost]]/Marketing[[#This Row],[Customers]]</f>
        <v>2007.7777777777778</v>
      </c>
      <c r="K4620" t="s">
        <v>51</v>
      </c>
      <c r="L4620" t="s">
        <v>39</v>
      </c>
      <c r="M4620">
        <v>144</v>
      </c>
      <c r="N4620">
        <v>9507</v>
      </c>
      <c r="O4620">
        <v>10</v>
      </c>
      <c r="P4620" t="s">
        <v>42</v>
      </c>
      <c r="Q4620" s="1">
        <v>44435</v>
      </c>
    </row>
    <row r="4621" spans="1:17" x14ac:dyDescent="0.3">
      <c r="A4621" t="s">
        <v>35</v>
      </c>
      <c r="B4621" t="s">
        <v>15</v>
      </c>
      <c r="C4621" t="s">
        <v>16</v>
      </c>
      <c r="D4621" t="s">
        <v>24</v>
      </c>
      <c r="E4621" t="s">
        <v>41</v>
      </c>
      <c r="F4621" s="9">
        <v>0.05</v>
      </c>
      <c r="G4621" s="10">
        <v>9390</v>
      </c>
      <c r="H4621">
        <v>7.11</v>
      </c>
      <c r="I4621" s="5">
        <f>ROUND(Marketing[[#This Row],[Clicks]]*Marketing[[#This Row],[Conversion_Rate]],0)</f>
        <v>16</v>
      </c>
      <c r="J4621" s="12">
        <f>Marketing[[#This Row],[Campaign_Cost]]/Marketing[[#This Row],[Customers]]</f>
        <v>586.875</v>
      </c>
      <c r="K4621" t="s">
        <v>51</v>
      </c>
      <c r="L4621" t="s">
        <v>39</v>
      </c>
      <c r="M4621">
        <v>311</v>
      </c>
      <c r="N4621">
        <v>9809</v>
      </c>
      <c r="O4621">
        <v>1</v>
      </c>
      <c r="P4621" t="s">
        <v>42</v>
      </c>
      <c r="Q4621" s="1">
        <v>44436</v>
      </c>
    </row>
    <row r="4622" spans="1:17" x14ac:dyDescent="0.3">
      <c r="A4622" t="s">
        <v>28</v>
      </c>
      <c r="B4622" t="s">
        <v>36</v>
      </c>
      <c r="C4622" t="s">
        <v>23</v>
      </c>
      <c r="D4622" t="s">
        <v>24</v>
      </c>
      <c r="E4622" t="s">
        <v>43</v>
      </c>
      <c r="F4622" s="9">
        <v>0.04</v>
      </c>
      <c r="G4622" s="10">
        <v>13482</v>
      </c>
      <c r="H4622">
        <v>6.46</v>
      </c>
      <c r="I4622" s="5">
        <f>ROUND(Marketing[[#This Row],[Clicks]]*Marketing[[#This Row],[Conversion_Rate]],0)</f>
        <v>18</v>
      </c>
      <c r="J4622" s="12">
        <f>Marketing[[#This Row],[Campaign_Cost]]/Marketing[[#This Row],[Customers]]</f>
        <v>749</v>
      </c>
      <c r="K4622" t="s">
        <v>32</v>
      </c>
      <c r="L4622" t="s">
        <v>20</v>
      </c>
      <c r="M4622">
        <v>458</v>
      </c>
      <c r="N4622">
        <v>5048</v>
      </c>
      <c r="O4622">
        <v>5</v>
      </c>
      <c r="P4622" t="s">
        <v>34</v>
      </c>
      <c r="Q4622" s="1">
        <v>44437</v>
      </c>
    </row>
    <row r="4623" spans="1:17" x14ac:dyDescent="0.3">
      <c r="A4623" t="s">
        <v>14</v>
      </c>
      <c r="B4623" t="s">
        <v>36</v>
      </c>
      <c r="C4623" t="s">
        <v>16</v>
      </c>
      <c r="D4623" t="s">
        <v>17</v>
      </c>
      <c r="E4623" t="s">
        <v>15</v>
      </c>
      <c r="F4623" s="9">
        <v>0.02</v>
      </c>
      <c r="G4623" s="10">
        <v>8698</v>
      </c>
      <c r="H4623">
        <v>4.4000000000000004</v>
      </c>
      <c r="I4623" s="5">
        <f>ROUND(Marketing[[#This Row],[Clicks]]*Marketing[[#This Row],[Conversion_Rate]],0)</f>
        <v>9</v>
      </c>
      <c r="J4623" s="12">
        <f>Marketing[[#This Row],[Campaign_Cost]]/Marketing[[#This Row],[Customers]]</f>
        <v>966.44444444444446</v>
      </c>
      <c r="K4623" t="s">
        <v>38</v>
      </c>
      <c r="L4623" t="s">
        <v>50</v>
      </c>
      <c r="M4623">
        <v>433</v>
      </c>
      <c r="N4623">
        <v>8359</v>
      </c>
      <c r="O4623">
        <v>4</v>
      </c>
      <c r="P4623" t="s">
        <v>27</v>
      </c>
      <c r="Q4623" s="1">
        <v>44438</v>
      </c>
    </row>
    <row r="4624" spans="1:17" x14ac:dyDescent="0.3">
      <c r="A4624" t="s">
        <v>35</v>
      </c>
      <c r="B4624" t="s">
        <v>47</v>
      </c>
      <c r="C4624" t="s">
        <v>30</v>
      </c>
      <c r="D4624" t="s">
        <v>46</v>
      </c>
      <c r="E4624" t="s">
        <v>15</v>
      </c>
      <c r="F4624" s="9">
        <v>0.04</v>
      </c>
      <c r="G4624" s="10">
        <v>14217</v>
      </c>
      <c r="H4624">
        <v>5.63</v>
      </c>
      <c r="I4624" s="5">
        <f>ROUND(Marketing[[#This Row],[Clicks]]*Marketing[[#This Row],[Conversion_Rate]],0)</f>
        <v>10</v>
      </c>
      <c r="J4624" s="12">
        <f>Marketing[[#This Row],[Campaign_Cost]]/Marketing[[#This Row],[Customers]]</f>
        <v>1421.7</v>
      </c>
      <c r="K4624" t="s">
        <v>38</v>
      </c>
      <c r="L4624" t="s">
        <v>33</v>
      </c>
      <c r="M4624">
        <v>246</v>
      </c>
      <c r="N4624">
        <v>1769</v>
      </c>
      <c r="O4624">
        <v>9</v>
      </c>
      <c r="P4624" t="s">
        <v>34</v>
      </c>
      <c r="Q4624" s="1">
        <v>44439</v>
      </c>
    </row>
    <row r="4625" spans="1:17" x14ac:dyDescent="0.3">
      <c r="A4625" t="s">
        <v>35</v>
      </c>
      <c r="B4625" t="s">
        <v>15</v>
      </c>
      <c r="C4625" t="s">
        <v>30</v>
      </c>
      <c r="D4625" t="s">
        <v>40</v>
      </c>
      <c r="E4625" t="s">
        <v>18</v>
      </c>
      <c r="F4625" s="9">
        <v>0.05</v>
      </c>
      <c r="G4625" s="10">
        <v>8126</v>
      </c>
      <c r="H4625">
        <v>2.5499999999999998</v>
      </c>
      <c r="I4625" s="5">
        <f>ROUND(Marketing[[#This Row],[Clicks]]*Marketing[[#This Row],[Conversion_Rate]],0)</f>
        <v>27</v>
      </c>
      <c r="J4625" s="12">
        <f>Marketing[[#This Row],[Campaign_Cost]]/Marketing[[#This Row],[Customers]]</f>
        <v>300.96296296296299</v>
      </c>
      <c r="K4625" t="s">
        <v>19</v>
      </c>
      <c r="L4625" t="s">
        <v>50</v>
      </c>
      <c r="M4625">
        <v>530</v>
      </c>
      <c r="N4625">
        <v>5393</v>
      </c>
      <c r="O4625">
        <v>4</v>
      </c>
      <c r="P4625" t="s">
        <v>27</v>
      </c>
      <c r="Q4625" s="1">
        <v>44440</v>
      </c>
    </row>
    <row r="4626" spans="1:17" x14ac:dyDescent="0.3">
      <c r="A4626" t="s">
        <v>49</v>
      </c>
      <c r="B4626" t="s">
        <v>36</v>
      </c>
      <c r="C4626" t="s">
        <v>37</v>
      </c>
      <c r="D4626" t="s">
        <v>24</v>
      </c>
      <c r="E4626" t="s">
        <v>15</v>
      </c>
      <c r="F4626" s="9">
        <v>0.13</v>
      </c>
      <c r="G4626" s="10">
        <v>12729</v>
      </c>
      <c r="H4626">
        <v>7.67</v>
      </c>
      <c r="I4626" s="5">
        <f>ROUND(Marketing[[#This Row],[Clicks]]*Marketing[[#This Row],[Conversion_Rate]],0)</f>
        <v>14</v>
      </c>
      <c r="J4626" s="12">
        <f>Marketing[[#This Row],[Campaign_Cost]]/Marketing[[#This Row],[Customers]]</f>
        <v>909.21428571428567</v>
      </c>
      <c r="K4626" t="s">
        <v>25</v>
      </c>
      <c r="L4626" t="s">
        <v>20</v>
      </c>
      <c r="M4626">
        <v>111</v>
      </c>
      <c r="N4626">
        <v>1467</v>
      </c>
      <c r="O4626">
        <v>4</v>
      </c>
      <c r="P4626" t="s">
        <v>42</v>
      </c>
      <c r="Q4626" s="1">
        <v>44441</v>
      </c>
    </row>
    <row r="4627" spans="1:17" x14ac:dyDescent="0.3">
      <c r="A4627" t="s">
        <v>14</v>
      </c>
      <c r="B4627" t="s">
        <v>45</v>
      </c>
      <c r="C4627" t="s">
        <v>23</v>
      </c>
      <c r="D4627" t="s">
        <v>46</v>
      </c>
      <c r="E4627" t="s">
        <v>41</v>
      </c>
      <c r="F4627" s="9">
        <v>0.03</v>
      </c>
      <c r="G4627" s="10">
        <v>12975</v>
      </c>
      <c r="H4627">
        <v>6.89</v>
      </c>
      <c r="I4627" s="5">
        <f>ROUND(Marketing[[#This Row],[Clicks]]*Marketing[[#This Row],[Conversion_Rate]],0)</f>
        <v>12</v>
      </c>
      <c r="J4627" s="12">
        <f>Marketing[[#This Row],[Campaign_Cost]]/Marketing[[#This Row],[Customers]]</f>
        <v>1081.25</v>
      </c>
      <c r="K4627" t="s">
        <v>32</v>
      </c>
      <c r="L4627" t="s">
        <v>50</v>
      </c>
      <c r="M4627">
        <v>409</v>
      </c>
      <c r="N4627">
        <v>5503</v>
      </c>
      <c r="O4627">
        <v>3</v>
      </c>
      <c r="P4627" t="s">
        <v>44</v>
      </c>
      <c r="Q4627" s="1">
        <v>44442</v>
      </c>
    </row>
    <row r="4628" spans="1:17" x14ac:dyDescent="0.3">
      <c r="A4628" t="s">
        <v>22</v>
      </c>
      <c r="B4628" t="s">
        <v>29</v>
      </c>
      <c r="C4628" t="s">
        <v>30</v>
      </c>
      <c r="D4628" t="s">
        <v>24</v>
      </c>
      <c r="E4628" t="s">
        <v>48</v>
      </c>
      <c r="F4628" s="9">
        <v>0.06</v>
      </c>
      <c r="G4628" s="10">
        <v>19063</v>
      </c>
      <c r="H4628">
        <v>3.59</v>
      </c>
      <c r="I4628" s="5">
        <f>ROUND(Marketing[[#This Row],[Clicks]]*Marketing[[#This Row],[Conversion_Rate]],0)</f>
        <v>14</v>
      </c>
      <c r="J4628" s="12">
        <f>Marketing[[#This Row],[Campaign_Cost]]/Marketing[[#This Row],[Customers]]</f>
        <v>1361.6428571428571</v>
      </c>
      <c r="K4628" t="s">
        <v>32</v>
      </c>
      <c r="L4628" t="s">
        <v>33</v>
      </c>
      <c r="M4628">
        <v>237</v>
      </c>
      <c r="N4628">
        <v>5948</v>
      </c>
      <c r="O4628">
        <v>7</v>
      </c>
      <c r="P4628" t="s">
        <v>21</v>
      </c>
      <c r="Q4628" s="1">
        <v>44443</v>
      </c>
    </row>
    <row r="4629" spans="1:17" x14ac:dyDescent="0.3">
      <c r="A4629" t="s">
        <v>14</v>
      </c>
      <c r="B4629" t="s">
        <v>15</v>
      </c>
      <c r="C4629" t="s">
        <v>30</v>
      </c>
      <c r="D4629" t="s">
        <v>46</v>
      </c>
      <c r="E4629" t="s">
        <v>48</v>
      </c>
      <c r="F4629" s="9">
        <v>0.04</v>
      </c>
      <c r="G4629" s="10">
        <v>16411</v>
      </c>
      <c r="H4629">
        <v>4.2699999999999996</v>
      </c>
      <c r="I4629" s="5">
        <f>ROUND(Marketing[[#This Row],[Clicks]]*Marketing[[#This Row],[Conversion_Rate]],0)</f>
        <v>8</v>
      </c>
      <c r="J4629" s="12">
        <f>Marketing[[#This Row],[Campaign_Cost]]/Marketing[[#This Row],[Customers]]</f>
        <v>2051.375</v>
      </c>
      <c r="K4629" t="s">
        <v>25</v>
      </c>
      <c r="L4629" t="s">
        <v>33</v>
      </c>
      <c r="M4629">
        <v>194</v>
      </c>
      <c r="N4629">
        <v>2016</v>
      </c>
      <c r="O4629">
        <v>4</v>
      </c>
      <c r="P4629" t="s">
        <v>27</v>
      </c>
      <c r="Q4629" s="1">
        <v>44444</v>
      </c>
    </row>
    <row r="4630" spans="1:17" x14ac:dyDescent="0.3">
      <c r="A4630" t="s">
        <v>35</v>
      </c>
      <c r="B4630" t="s">
        <v>15</v>
      </c>
      <c r="C4630" t="s">
        <v>16</v>
      </c>
      <c r="D4630" t="s">
        <v>40</v>
      </c>
      <c r="E4630" t="s">
        <v>43</v>
      </c>
      <c r="F4630" s="9">
        <v>7.0000000000000007E-2</v>
      </c>
      <c r="G4630" s="10">
        <v>17076</v>
      </c>
      <c r="H4630">
        <v>7</v>
      </c>
      <c r="I4630" s="5">
        <f>ROUND(Marketing[[#This Row],[Clicks]]*Marketing[[#This Row],[Conversion_Rate]],0)</f>
        <v>29</v>
      </c>
      <c r="J4630" s="12">
        <f>Marketing[[#This Row],[Campaign_Cost]]/Marketing[[#This Row],[Customers]]</f>
        <v>588.82758620689651</v>
      </c>
      <c r="K4630" t="s">
        <v>51</v>
      </c>
      <c r="L4630" t="s">
        <v>39</v>
      </c>
      <c r="M4630">
        <v>414</v>
      </c>
      <c r="N4630">
        <v>4717</v>
      </c>
      <c r="O4630">
        <v>9</v>
      </c>
      <c r="P4630" t="s">
        <v>21</v>
      </c>
      <c r="Q4630" s="1">
        <v>44445</v>
      </c>
    </row>
    <row r="4631" spans="1:17" x14ac:dyDescent="0.3">
      <c r="A4631" t="s">
        <v>28</v>
      </c>
      <c r="B4631" t="s">
        <v>15</v>
      </c>
      <c r="C4631" t="s">
        <v>30</v>
      </c>
      <c r="D4631" t="s">
        <v>17</v>
      </c>
      <c r="E4631" t="s">
        <v>43</v>
      </c>
      <c r="F4631" s="9">
        <v>0.11</v>
      </c>
      <c r="G4631" s="10">
        <v>11105</v>
      </c>
      <c r="H4631">
        <v>5.3</v>
      </c>
      <c r="I4631" s="5">
        <f>ROUND(Marketing[[#This Row],[Clicks]]*Marketing[[#This Row],[Conversion_Rate]],0)</f>
        <v>49</v>
      </c>
      <c r="J4631" s="12">
        <f>Marketing[[#This Row],[Campaign_Cost]]/Marketing[[#This Row],[Customers]]</f>
        <v>226.63265306122449</v>
      </c>
      <c r="K4631" t="s">
        <v>51</v>
      </c>
      <c r="L4631" t="s">
        <v>33</v>
      </c>
      <c r="M4631">
        <v>444</v>
      </c>
      <c r="N4631">
        <v>1742</v>
      </c>
      <c r="O4631">
        <v>6</v>
      </c>
      <c r="P4631" t="s">
        <v>34</v>
      </c>
      <c r="Q4631" s="1">
        <v>44446</v>
      </c>
    </row>
    <row r="4632" spans="1:17" x14ac:dyDescent="0.3">
      <c r="A4632" t="s">
        <v>49</v>
      </c>
      <c r="B4632" t="s">
        <v>45</v>
      </c>
      <c r="C4632" t="s">
        <v>37</v>
      </c>
      <c r="D4632" t="s">
        <v>24</v>
      </c>
      <c r="E4632" t="s">
        <v>18</v>
      </c>
      <c r="F4632" s="9">
        <v>0.1</v>
      </c>
      <c r="G4632" s="10">
        <v>13030</v>
      </c>
      <c r="H4632">
        <v>3.43</v>
      </c>
      <c r="I4632" s="5">
        <f>ROUND(Marketing[[#This Row],[Clicks]]*Marketing[[#This Row],[Conversion_Rate]],0)</f>
        <v>11</v>
      </c>
      <c r="J4632" s="12">
        <f>Marketing[[#This Row],[Campaign_Cost]]/Marketing[[#This Row],[Customers]]</f>
        <v>1184.5454545454545</v>
      </c>
      <c r="K4632" t="s">
        <v>51</v>
      </c>
      <c r="L4632" t="s">
        <v>20</v>
      </c>
      <c r="M4632">
        <v>112</v>
      </c>
      <c r="N4632">
        <v>8814</v>
      </c>
      <c r="O4632">
        <v>7</v>
      </c>
      <c r="P4632" t="s">
        <v>34</v>
      </c>
      <c r="Q4632" s="1">
        <v>44447</v>
      </c>
    </row>
    <row r="4633" spans="1:17" x14ac:dyDescent="0.3">
      <c r="A4633" t="s">
        <v>49</v>
      </c>
      <c r="B4633" t="s">
        <v>15</v>
      </c>
      <c r="C4633" t="s">
        <v>37</v>
      </c>
      <c r="D4633" t="s">
        <v>40</v>
      </c>
      <c r="E4633" t="s">
        <v>15</v>
      </c>
      <c r="F4633" s="9">
        <v>0.05</v>
      </c>
      <c r="G4633" s="10">
        <v>8861</v>
      </c>
      <c r="H4633">
        <v>4.8</v>
      </c>
      <c r="I4633" s="5">
        <f>ROUND(Marketing[[#This Row],[Clicks]]*Marketing[[#This Row],[Conversion_Rate]],0)</f>
        <v>22</v>
      </c>
      <c r="J4633" s="12">
        <f>Marketing[[#This Row],[Campaign_Cost]]/Marketing[[#This Row],[Customers]]</f>
        <v>402.77272727272725</v>
      </c>
      <c r="K4633" t="s">
        <v>32</v>
      </c>
      <c r="L4633" t="s">
        <v>39</v>
      </c>
      <c r="M4633">
        <v>431</v>
      </c>
      <c r="N4633">
        <v>1606</v>
      </c>
      <c r="O4633">
        <v>8</v>
      </c>
      <c r="P4633" t="s">
        <v>34</v>
      </c>
      <c r="Q4633" s="1">
        <v>44448</v>
      </c>
    </row>
    <row r="4634" spans="1:17" x14ac:dyDescent="0.3">
      <c r="A4634" t="s">
        <v>22</v>
      </c>
      <c r="B4634" t="s">
        <v>36</v>
      </c>
      <c r="C4634" t="s">
        <v>23</v>
      </c>
      <c r="D4634" t="s">
        <v>40</v>
      </c>
      <c r="E4634" t="s">
        <v>43</v>
      </c>
      <c r="F4634" s="9">
        <v>0.1</v>
      </c>
      <c r="G4634" s="10">
        <v>19493</v>
      </c>
      <c r="H4634">
        <v>3.44</v>
      </c>
      <c r="I4634" s="5">
        <f>ROUND(Marketing[[#This Row],[Clicks]]*Marketing[[#This Row],[Conversion_Rate]],0)</f>
        <v>92</v>
      </c>
      <c r="J4634" s="12">
        <f>Marketing[[#This Row],[Campaign_Cost]]/Marketing[[#This Row],[Customers]]</f>
        <v>211.88043478260869</v>
      </c>
      <c r="K4634" t="s">
        <v>38</v>
      </c>
      <c r="L4634" t="s">
        <v>33</v>
      </c>
      <c r="M4634">
        <v>923</v>
      </c>
      <c r="N4634">
        <v>1489</v>
      </c>
      <c r="O4634">
        <v>6</v>
      </c>
      <c r="P4634" t="s">
        <v>44</v>
      </c>
      <c r="Q4634" s="1">
        <v>44449</v>
      </c>
    </row>
    <row r="4635" spans="1:17" x14ac:dyDescent="0.3">
      <c r="A4635" t="s">
        <v>49</v>
      </c>
      <c r="B4635" t="s">
        <v>15</v>
      </c>
      <c r="C4635" t="s">
        <v>52</v>
      </c>
      <c r="D4635" t="s">
        <v>46</v>
      </c>
      <c r="E4635" t="s">
        <v>18</v>
      </c>
      <c r="F4635" s="9">
        <v>0.14000000000000001</v>
      </c>
      <c r="G4635" s="10">
        <v>19911</v>
      </c>
      <c r="H4635">
        <v>3.86</v>
      </c>
      <c r="I4635" s="5">
        <f>ROUND(Marketing[[#This Row],[Clicks]]*Marketing[[#This Row],[Conversion_Rate]],0)</f>
        <v>114</v>
      </c>
      <c r="J4635" s="12">
        <f>Marketing[[#This Row],[Campaign_Cost]]/Marketing[[#This Row],[Customers]]</f>
        <v>174.65789473684211</v>
      </c>
      <c r="K4635" t="s">
        <v>25</v>
      </c>
      <c r="L4635" t="s">
        <v>26</v>
      </c>
      <c r="M4635">
        <v>815</v>
      </c>
      <c r="N4635">
        <v>9988</v>
      </c>
      <c r="O4635">
        <v>7</v>
      </c>
      <c r="P4635" t="s">
        <v>34</v>
      </c>
      <c r="Q4635" s="1">
        <v>44450</v>
      </c>
    </row>
    <row r="4636" spans="1:17" x14ac:dyDescent="0.3">
      <c r="A4636" t="s">
        <v>28</v>
      </c>
      <c r="B4636" t="s">
        <v>29</v>
      </c>
      <c r="C4636" t="s">
        <v>23</v>
      </c>
      <c r="D4636" t="s">
        <v>24</v>
      </c>
      <c r="E4636" t="s">
        <v>43</v>
      </c>
      <c r="F4636" s="9">
        <v>7.0000000000000007E-2</v>
      </c>
      <c r="G4636" s="10">
        <v>14868</v>
      </c>
      <c r="H4636">
        <v>5.79</v>
      </c>
      <c r="I4636" s="5">
        <f>ROUND(Marketing[[#This Row],[Clicks]]*Marketing[[#This Row],[Conversion_Rate]],0)</f>
        <v>55</v>
      </c>
      <c r="J4636" s="12">
        <f>Marketing[[#This Row],[Campaign_Cost]]/Marketing[[#This Row],[Customers]]</f>
        <v>270.32727272727271</v>
      </c>
      <c r="K4636" t="s">
        <v>51</v>
      </c>
      <c r="L4636" t="s">
        <v>20</v>
      </c>
      <c r="M4636">
        <v>782</v>
      </c>
      <c r="N4636">
        <v>7092</v>
      </c>
      <c r="O4636">
        <v>9</v>
      </c>
      <c r="P4636" t="s">
        <v>27</v>
      </c>
      <c r="Q4636" s="1">
        <v>44451</v>
      </c>
    </row>
    <row r="4637" spans="1:17" x14ac:dyDescent="0.3">
      <c r="A4637" t="s">
        <v>28</v>
      </c>
      <c r="B4637" t="s">
        <v>45</v>
      </c>
      <c r="C4637" t="s">
        <v>37</v>
      </c>
      <c r="D4637" t="s">
        <v>24</v>
      </c>
      <c r="E4637" t="s">
        <v>41</v>
      </c>
      <c r="F4637" s="9">
        <v>0.05</v>
      </c>
      <c r="G4637" s="10">
        <v>8423</v>
      </c>
      <c r="H4637">
        <v>5.62</v>
      </c>
      <c r="I4637" s="5">
        <f>ROUND(Marketing[[#This Row],[Clicks]]*Marketing[[#This Row],[Conversion_Rate]],0)</f>
        <v>8</v>
      </c>
      <c r="J4637" s="12">
        <f>Marketing[[#This Row],[Campaign_Cost]]/Marketing[[#This Row],[Customers]]</f>
        <v>1052.875</v>
      </c>
      <c r="K4637" t="s">
        <v>32</v>
      </c>
      <c r="L4637" t="s">
        <v>39</v>
      </c>
      <c r="M4637">
        <v>152</v>
      </c>
      <c r="N4637">
        <v>1769</v>
      </c>
      <c r="O4637">
        <v>7</v>
      </c>
      <c r="P4637" t="s">
        <v>42</v>
      </c>
      <c r="Q4637" s="1">
        <v>44452</v>
      </c>
    </row>
    <row r="4638" spans="1:17" x14ac:dyDescent="0.3">
      <c r="A4638" t="s">
        <v>28</v>
      </c>
      <c r="B4638" t="s">
        <v>15</v>
      </c>
      <c r="C4638" t="s">
        <v>52</v>
      </c>
      <c r="D4638" t="s">
        <v>46</v>
      </c>
      <c r="E4638" t="s">
        <v>15</v>
      </c>
      <c r="F4638" s="9">
        <v>7.0000000000000007E-2</v>
      </c>
      <c r="G4638" s="10">
        <v>16770</v>
      </c>
      <c r="H4638">
        <v>5.17</v>
      </c>
      <c r="I4638" s="5">
        <f>ROUND(Marketing[[#This Row],[Clicks]]*Marketing[[#This Row],[Conversion_Rate]],0)</f>
        <v>49</v>
      </c>
      <c r="J4638" s="12">
        <f>Marketing[[#This Row],[Campaign_Cost]]/Marketing[[#This Row],[Customers]]</f>
        <v>342.24489795918367</v>
      </c>
      <c r="K4638" t="s">
        <v>32</v>
      </c>
      <c r="L4638" t="s">
        <v>33</v>
      </c>
      <c r="M4638">
        <v>693</v>
      </c>
      <c r="N4638">
        <v>9239</v>
      </c>
      <c r="O4638">
        <v>9</v>
      </c>
      <c r="P4638" t="s">
        <v>27</v>
      </c>
      <c r="Q4638" s="1">
        <v>44453</v>
      </c>
    </row>
    <row r="4639" spans="1:17" x14ac:dyDescent="0.3">
      <c r="A4639" t="s">
        <v>14</v>
      </c>
      <c r="B4639" t="s">
        <v>29</v>
      </c>
      <c r="C4639" t="s">
        <v>30</v>
      </c>
      <c r="D4639" t="s">
        <v>46</v>
      </c>
      <c r="E4639" t="s">
        <v>18</v>
      </c>
      <c r="F4639" s="9">
        <v>0.13</v>
      </c>
      <c r="G4639" s="10">
        <v>5722</v>
      </c>
      <c r="H4639">
        <v>2.38</v>
      </c>
      <c r="I4639" s="5">
        <f>ROUND(Marketing[[#This Row],[Clicks]]*Marketing[[#This Row],[Conversion_Rate]],0)</f>
        <v>56</v>
      </c>
      <c r="J4639" s="12">
        <f>Marketing[[#This Row],[Campaign_Cost]]/Marketing[[#This Row],[Customers]]</f>
        <v>102.17857142857143</v>
      </c>
      <c r="K4639" t="s">
        <v>25</v>
      </c>
      <c r="L4639" t="s">
        <v>33</v>
      </c>
      <c r="M4639">
        <v>434</v>
      </c>
      <c r="N4639">
        <v>8459</v>
      </c>
      <c r="O4639">
        <v>1</v>
      </c>
      <c r="P4639" t="s">
        <v>42</v>
      </c>
      <c r="Q4639" s="1">
        <v>44454</v>
      </c>
    </row>
    <row r="4640" spans="1:17" x14ac:dyDescent="0.3">
      <c r="A4640" t="s">
        <v>28</v>
      </c>
      <c r="B4640" t="s">
        <v>15</v>
      </c>
      <c r="C4640" t="s">
        <v>23</v>
      </c>
      <c r="D4640" t="s">
        <v>24</v>
      </c>
      <c r="E4640" t="s">
        <v>41</v>
      </c>
      <c r="F4640" s="9">
        <v>0.13</v>
      </c>
      <c r="G4640" s="10">
        <v>12602</v>
      </c>
      <c r="H4640">
        <v>6.25</v>
      </c>
      <c r="I4640" s="5">
        <f>ROUND(Marketing[[#This Row],[Clicks]]*Marketing[[#This Row],[Conversion_Rate]],0)</f>
        <v>59</v>
      </c>
      <c r="J4640" s="12">
        <f>Marketing[[#This Row],[Campaign_Cost]]/Marketing[[#This Row],[Customers]]</f>
        <v>213.59322033898306</v>
      </c>
      <c r="K4640" t="s">
        <v>32</v>
      </c>
      <c r="L4640" t="s">
        <v>50</v>
      </c>
      <c r="M4640">
        <v>450</v>
      </c>
      <c r="N4640">
        <v>9068</v>
      </c>
      <c r="O4640">
        <v>8</v>
      </c>
      <c r="P4640" t="s">
        <v>42</v>
      </c>
      <c r="Q4640" s="1">
        <v>44455</v>
      </c>
    </row>
    <row r="4641" spans="1:17" x14ac:dyDescent="0.3">
      <c r="A4641" t="s">
        <v>14</v>
      </c>
      <c r="B4641" t="s">
        <v>47</v>
      </c>
      <c r="C4641" t="s">
        <v>30</v>
      </c>
      <c r="D4641" t="s">
        <v>40</v>
      </c>
      <c r="E4641" t="s">
        <v>41</v>
      </c>
      <c r="F4641" s="9">
        <v>7.0000000000000007E-2</v>
      </c>
      <c r="G4641" s="10">
        <v>14600</v>
      </c>
      <c r="H4641">
        <v>4.3099999999999996</v>
      </c>
      <c r="I4641" s="5">
        <f>ROUND(Marketing[[#This Row],[Clicks]]*Marketing[[#This Row],[Conversion_Rate]],0)</f>
        <v>23</v>
      </c>
      <c r="J4641" s="12">
        <f>Marketing[[#This Row],[Campaign_Cost]]/Marketing[[#This Row],[Customers]]</f>
        <v>634.78260869565213</v>
      </c>
      <c r="K4641" t="s">
        <v>51</v>
      </c>
      <c r="L4641" t="s">
        <v>39</v>
      </c>
      <c r="M4641">
        <v>323</v>
      </c>
      <c r="N4641">
        <v>2171</v>
      </c>
      <c r="O4641">
        <v>1</v>
      </c>
      <c r="P4641" t="s">
        <v>34</v>
      </c>
      <c r="Q4641" s="1">
        <v>44456</v>
      </c>
    </row>
    <row r="4642" spans="1:17" x14ac:dyDescent="0.3">
      <c r="A4642" t="s">
        <v>14</v>
      </c>
      <c r="B4642" t="s">
        <v>15</v>
      </c>
      <c r="C4642" t="s">
        <v>52</v>
      </c>
      <c r="D4642" t="s">
        <v>40</v>
      </c>
      <c r="E4642" t="s">
        <v>31</v>
      </c>
      <c r="F4642" s="9">
        <v>0.11</v>
      </c>
      <c r="G4642" s="10">
        <v>10911</v>
      </c>
      <c r="H4642">
        <v>4.01</v>
      </c>
      <c r="I4642" s="5">
        <f>ROUND(Marketing[[#This Row],[Clicks]]*Marketing[[#This Row],[Conversion_Rate]],0)</f>
        <v>100</v>
      </c>
      <c r="J4642" s="12">
        <f>Marketing[[#This Row],[Campaign_Cost]]/Marketing[[#This Row],[Customers]]</f>
        <v>109.11</v>
      </c>
      <c r="K4642" t="s">
        <v>51</v>
      </c>
      <c r="L4642" t="s">
        <v>50</v>
      </c>
      <c r="M4642">
        <v>912</v>
      </c>
      <c r="N4642">
        <v>6358</v>
      </c>
      <c r="O4642">
        <v>1</v>
      </c>
      <c r="P4642" t="s">
        <v>34</v>
      </c>
      <c r="Q4642" s="1">
        <v>44457</v>
      </c>
    </row>
    <row r="4643" spans="1:17" x14ac:dyDescent="0.3">
      <c r="A4643" t="s">
        <v>35</v>
      </c>
      <c r="B4643" t="s">
        <v>47</v>
      </c>
      <c r="C4643" t="s">
        <v>37</v>
      </c>
      <c r="D4643" t="s">
        <v>46</v>
      </c>
      <c r="E4643" t="s">
        <v>48</v>
      </c>
      <c r="F4643" s="9">
        <v>0.05</v>
      </c>
      <c r="G4643" s="10">
        <v>13695</v>
      </c>
      <c r="H4643">
        <v>4.74</v>
      </c>
      <c r="I4643" s="5">
        <f>ROUND(Marketing[[#This Row],[Clicks]]*Marketing[[#This Row],[Conversion_Rate]],0)</f>
        <v>16</v>
      </c>
      <c r="J4643" s="12">
        <f>Marketing[[#This Row],[Campaign_Cost]]/Marketing[[#This Row],[Customers]]</f>
        <v>855.9375</v>
      </c>
      <c r="K4643" t="s">
        <v>51</v>
      </c>
      <c r="L4643" t="s">
        <v>33</v>
      </c>
      <c r="M4643">
        <v>325</v>
      </c>
      <c r="N4643">
        <v>6397</v>
      </c>
      <c r="O4643">
        <v>9</v>
      </c>
      <c r="P4643" t="s">
        <v>21</v>
      </c>
      <c r="Q4643" s="1">
        <v>44458</v>
      </c>
    </row>
    <row r="4644" spans="1:17" x14ac:dyDescent="0.3">
      <c r="A4644" t="s">
        <v>14</v>
      </c>
      <c r="B4644" t="s">
        <v>29</v>
      </c>
      <c r="C4644" t="s">
        <v>16</v>
      </c>
      <c r="D4644" t="s">
        <v>46</v>
      </c>
      <c r="E4644" t="s">
        <v>31</v>
      </c>
      <c r="F4644" s="9">
        <v>7.0000000000000007E-2</v>
      </c>
      <c r="G4644" s="10">
        <v>12192</v>
      </c>
      <c r="H4644">
        <v>4.87</v>
      </c>
      <c r="I4644" s="5">
        <f>ROUND(Marketing[[#This Row],[Clicks]]*Marketing[[#This Row],[Conversion_Rate]],0)</f>
        <v>49</v>
      </c>
      <c r="J4644" s="12">
        <f>Marketing[[#This Row],[Campaign_Cost]]/Marketing[[#This Row],[Customers]]</f>
        <v>248.81632653061226</v>
      </c>
      <c r="K4644" t="s">
        <v>19</v>
      </c>
      <c r="L4644" t="s">
        <v>26</v>
      </c>
      <c r="M4644">
        <v>696</v>
      </c>
      <c r="N4644">
        <v>3287</v>
      </c>
      <c r="O4644">
        <v>1</v>
      </c>
      <c r="P4644" t="s">
        <v>34</v>
      </c>
      <c r="Q4644" s="1">
        <v>44459</v>
      </c>
    </row>
    <row r="4645" spans="1:17" x14ac:dyDescent="0.3">
      <c r="A4645" t="s">
        <v>35</v>
      </c>
      <c r="B4645" t="s">
        <v>45</v>
      </c>
      <c r="C4645" t="s">
        <v>52</v>
      </c>
      <c r="D4645" t="s">
        <v>46</v>
      </c>
      <c r="E4645" t="s">
        <v>31</v>
      </c>
      <c r="F4645" s="9">
        <v>0.11</v>
      </c>
      <c r="G4645" s="10">
        <v>9205</v>
      </c>
      <c r="H4645">
        <v>5.87</v>
      </c>
      <c r="I4645" s="5">
        <f>ROUND(Marketing[[#This Row],[Clicks]]*Marketing[[#This Row],[Conversion_Rate]],0)</f>
        <v>50</v>
      </c>
      <c r="J4645" s="12">
        <f>Marketing[[#This Row],[Campaign_Cost]]/Marketing[[#This Row],[Customers]]</f>
        <v>184.1</v>
      </c>
      <c r="K4645" t="s">
        <v>19</v>
      </c>
      <c r="L4645" t="s">
        <v>33</v>
      </c>
      <c r="M4645">
        <v>458</v>
      </c>
      <c r="N4645">
        <v>8373</v>
      </c>
      <c r="O4645">
        <v>6</v>
      </c>
      <c r="P4645" t="s">
        <v>27</v>
      </c>
      <c r="Q4645" s="1">
        <v>44460</v>
      </c>
    </row>
    <row r="4646" spans="1:17" x14ac:dyDescent="0.3">
      <c r="A4646" t="s">
        <v>35</v>
      </c>
      <c r="B4646" t="s">
        <v>15</v>
      </c>
      <c r="C4646" t="s">
        <v>16</v>
      </c>
      <c r="D4646" t="s">
        <v>17</v>
      </c>
      <c r="E4646" t="s">
        <v>31</v>
      </c>
      <c r="F4646" s="9">
        <v>0.06</v>
      </c>
      <c r="G4646" s="10">
        <v>18311</v>
      </c>
      <c r="H4646">
        <v>2.06</v>
      </c>
      <c r="I4646" s="5">
        <f>ROUND(Marketing[[#This Row],[Clicks]]*Marketing[[#This Row],[Conversion_Rate]],0)</f>
        <v>14</v>
      </c>
      <c r="J4646" s="12">
        <f>Marketing[[#This Row],[Campaign_Cost]]/Marketing[[#This Row],[Customers]]</f>
        <v>1307.9285714285713</v>
      </c>
      <c r="K4646" t="s">
        <v>25</v>
      </c>
      <c r="L4646" t="s">
        <v>50</v>
      </c>
      <c r="M4646">
        <v>230</v>
      </c>
      <c r="N4646">
        <v>2093</v>
      </c>
      <c r="O4646">
        <v>3</v>
      </c>
      <c r="P4646" t="s">
        <v>42</v>
      </c>
      <c r="Q4646" s="1">
        <v>44461</v>
      </c>
    </row>
    <row r="4647" spans="1:17" x14ac:dyDescent="0.3">
      <c r="A4647" t="s">
        <v>14</v>
      </c>
      <c r="B4647" t="s">
        <v>29</v>
      </c>
      <c r="C4647" t="s">
        <v>52</v>
      </c>
      <c r="D4647" t="s">
        <v>24</v>
      </c>
      <c r="E4647" t="s">
        <v>18</v>
      </c>
      <c r="F4647" s="9">
        <v>0.02</v>
      </c>
      <c r="G4647" s="10">
        <v>13909</v>
      </c>
      <c r="H4647">
        <v>6.94</v>
      </c>
      <c r="I4647" s="5">
        <f>ROUND(Marketing[[#This Row],[Clicks]]*Marketing[[#This Row],[Conversion_Rate]],0)</f>
        <v>7</v>
      </c>
      <c r="J4647" s="12">
        <f>Marketing[[#This Row],[Campaign_Cost]]/Marketing[[#This Row],[Customers]]</f>
        <v>1987</v>
      </c>
      <c r="K4647" t="s">
        <v>51</v>
      </c>
      <c r="L4647" t="s">
        <v>39</v>
      </c>
      <c r="M4647">
        <v>359</v>
      </c>
      <c r="N4647">
        <v>4915</v>
      </c>
      <c r="O4647">
        <v>2</v>
      </c>
      <c r="P4647" t="s">
        <v>34</v>
      </c>
      <c r="Q4647" s="1">
        <v>44462</v>
      </c>
    </row>
    <row r="4648" spans="1:17" x14ac:dyDescent="0.3">
      <c r="A4648" t="s">
        <v>35</v>
      </c>
      <c r="B4648" t="s">
        <v>45</v>
      </c>
      <c r="C4648" t="s">
        <v>16</v>
      </c>
      <c r="D4648" t="s">
        <v>17</v>
      </c>
      <c r="E4648" t="s">
        <v>43</v>
      </c>
      <c r="F4648" s="9">
        <v>0.02</v>
      </c>
      <c r="G4648" s="10">
        <v>7644</v>
      </c>
      <c r="H4648">
        <v>5.62</v>
      </c>
      <c r="I4648" s="5">
        <f>ROUND(Marketing[[#This Row],[Clicks]]*Marketing[[#This Row],[Conversion_Rate]],0)</f>
        <v>5</v>
      </c>
      <c r="J4648" s="12">
        <f>Marketing[[#This Row],[Campaign_Cost]]/Marketing[[#This Row],[Customers]]</f>
        <v>1528.8</v>
      </c>
      <c r="K4648" t="s">
        <v>38</v>
      </c>
      <c r="L4648" t="s">
        <v>39</v>
      </c>
      <c r="M4648">
        <v>249</v>
      </c>
      <c r="N4648">
        <v>2107</v>
      </c>
      <c r="O4648">
        <v>2</v>
      </c>
      <c r="P4648" t="s">
        <v>44</v>
      </c>
      <c r="Q4648" s="1">
        <v>44463</v>
      </c>
    </row>
    <row r="4649" spans="1:17" x14ac:dyDescent="0.3">
      <c r="A4649" t="s">
        <v>35</v>
      </c>
      <c r="B4649" t="s">
        <v>45</v>
      </c>
      <c r="C4649" t="s">
        <v>30</v>
      </c>
      <c r="D4649" t="s">
        <v>17</v>
      </c>
      <c r="E4649" t="s">
        <v>31</v>
      </c>
      <c r="F4649" s="9">
        <v>0.1</v>
      </c>
      <c r="G4649" s="10">
        <v>16685</v>
      </c>
      <c r="H4649">
        <v>5.52</v>
      </c>
      <c r="I4649" s="5">
        <f>ROUND(Marketing[[#This Row],[Clicks]]*Marketing[[#This Row],[Conversion_Rate]],0)</f>
        <v>13</v>
      </c>
      <c r="J4649" s="12">
        <f>Marketing[[#This Row],[Campaign_Cost]]/Marketing[[#This Row],[Customers]]</f>
        <v>1283.4615384615386</v>
      </c>
      <c r="K4649" t="s">
        <v>32</v>
      </c>
      <c r="L4649" t="s">
        <v>39</v>
      </c>
      <c r="M4649">
        <v>125</v>
      </c>
      <c r="N4649">
        <v>9489</v>
      </c>
      <c r="O4649">
        <v>9</v>
      </c>
      <c r="P4649" t="s">
        <v>42</v>
      </c>
      <c r="Q4649" s="1">
        <v>44464</v>
      </c>
    </row>
    <row r="4650" spans="1:17" x14ac:dyDescent="0.3">
      <c r="A4650" t="s">
        <v>22</v>
      </c>
      <c r="B4650" t="s">
        <v>45</v>
      </c>
      <c r="C4650" t="s">
        <v>52</v>
      </c>
      <c r="D4650" t="s">
        <v>40</v>
      </c>
      <c r="E4650" t="s">
        <v>18</v>
      </c>
      <c r="F4650" s="9">
        <v>0.04</v>
      </c>
      <c r="G4650" s="10">
        <v>9252</v>
      </c>
      <c r="H4650">
        <v>4.2699999999999996</v>
      </c>
      <c r="I4650" s="5">
        <f>ROUND(Marketing[[#This Row],[Clicks]]*Marketing[[#This Row],[Conversion_Rate]],0)</f>
        <v>24</v>
      </c>
      <c r="J4650" s="12">
        <f>Marketing[[#This Row],[Campaign_Cost]]/Marketing[[#This Row],[Customers]]</f>
        <v>385.5</v>
      </c>
      <c r="K4650" t="s">
        <v>25</v>
      </c>
      <c r="L4650" t="s">
        <v>33</v>
      </c>
      <c r="M4650">
        <v>599</v>
      </c>
      <c r="N4650">
        <v>9458</v>
      </c>
      <c r="O4650">
        <v>2</v>
      </c>
      <c r="P4650" t="s">
        <v>27</v>
      </c>
      <c r="Q4650" s="1">
        <v>44465</v>
      </c>
    </row>
    <row r="4651" spans="1:17" x14ac:dyDescent="0.3">
      <c r="A4651" t="s">
        <v>28</v>
      </c>
      <c r="B4651" t="s">
        <v>45</v>
      </c>
      <c r="C4651" t="s">
        <v>37</v>
      </c>
      <c r="D4651" t="s">
        <v>17</v>
      </c>
      <c r="E4651" t="s">
        <v>31</v>
      </c>
      <c r="F4651" s="9">
        <v>0.03</v>
      </c>
      <c r="G4651" s="10">
        <v>5783</v>
      </c>
      <c r="H4651">
        <v>7.81</v>
      </c>
      <c r="I4651" s="5">
        <f>ROUND(Marketing[[#This Row],[Clicks]]*Marketing[[#This Row],[Conversion_Rate]],0)</f>
        <v>13</v>
      </c>
      <c r="J4651" s="12">
        <f>Marketing[[#This Row],[Campaign_Cost]]/Marketing[[#This Row],[Customers]]</f>
        <v>444.84615384615387</v>
      </c>
      <c r="K4651" t="s">
        <v>38</v>
      </c>
      <c r="L4651" t="s">
        <v>26</v>
      </c>
      <c r="M4651">
        <v>439</v>
      </c>
      <c r="N4651">
        <v>3942</v>
      </c>
      <c r="O4651">
        <v>8</v>
      </c>
      <c r="P4651" t="s">
        <v>21</v>
      </c>
      <c r="Q4651" s="1">
        <v>44466</v>
      </c>
    </row>
    <row r="4652" spans="1:17" x14ac:dyDescent="0.3">
      <c r="A4652" t="s">
        <v>35</v>
      </c>
      <c r="B4652" t="s">
        <v>15</v>
      </c>
      <c r="C4652" t="s">
        <v>16</v>
      </c>
      <c r="D4652" t="s">
        <v>24</v>
      </c>
      <c r="E4652" t="s">
        <v>31</v>
      </c>
      <c r="F4652" s="9">
        <v>0.05</v>
      </c>
      <c r="G4652" s="10">
        <v>8132</v>
      </c>
      <c r="H4652">
        <v>4.74</v>
      </c>
      <c r="I4652" s="5">
        <f>ROUND(Marketing[[#This Row],[Clicks]]*Marketing[[#This Row],[Conversion_Rate]],0)</f>
        <v>31</v>
      </c>
      <c r="J4652" s="12">
        <f>Marketing[[#This Row],[Campaign_Cost]]/Marketing[[#This Row],[Customers]]</f>
        <v>262.32258064516128</v>
      </c>
      <c r="K4652" t="s">
        <v>32</v>
      </c>
      <c r="L4652" t="s">
        <v>33</v>
      </c>
      <c r="M4652">
        <v>626</v>
      </c>
      <c r="N4652">
        <v>5686</v>
      </c>
      <c r="O4652">
        <v>3</v>
      </c>
      <c r="P4652" t="s">
        <v>27</v>
      </c>
      <c r="Q4652" s="1">
        <v>44467</v>
      </c>
    </row>
    <row r="4653" spans="1:17" x14ac:dyDescent="0.3">
      <c r="A4653" t="s">
        <v>28</v>
      </c>
      <c r="B4653" t="s">
        <v>15</v>
      </c>
      <c r="C4653" t="s">
        <v>37</v>
      </c>
      <c r="D4653" t="s">
        <v>24</v>
      </c>
      <c r="E4653" t="s">
        <v>48</v>
      </c>
      <c r="F4653" s="9">
        <v>0.14000000000000001</v>
      </c>
      <c r="G4653" s="10">
        <v>10239</v>
      </c>
      <c r="H4653">
        <v>4.5599999999999996</v>
      </c>
      <c r="I4653" s="5">
        <f>ROUND(Marketing[[#This Row],[Clicks]]*Marketing[[#This Row],[Conversion_Rate]],0)</f>
        <v>77</v>
      </c>
      <c r="J4653" s="12">
        <f>Marketing[[#This Row],[Campaign_Cost]]/Marketing[[#This Row],[Customers]]</f>
        <v>132.97402597402598</v>
      </c>
      <c r="K4653" t="s">
        <v>25</v>
      </c>
      <c r="L4653" t="s">
        <v>33</v>
      </c>
      <c r="M4653">
        <v>548</v>
      </c>
      <c r="N4653">
        <v>4316</v>
      </c>
      <c r="O4653">
        <v>8</v>
      </c>
      <c r="P4653" t="s">
        <v>44</v>
      </c>
      <c r="Q4653" s="1">
        <v>44468</v>
      </c>
    </row>
    <row r="4654" spans="1:17" x14ac:dyDescent="0.3">
      <c r="A4654" t="s">
        <v>28</v>
      </c>
      <c r="B4654" t="s">
        <v>47</v>
      </c>
      <c r="C4654" t="s">
        <v>52</v>
      </c>
      <c r="D4654" t="s">
        <v>24</v>
      </c>
      <c r="E4654" t="s">
        <v>43</v>
      </c>
      <c r="F4654" s="9">
        <v>0.14000000000000001</v>
      </c>
      <c r="G4654" s="10">
        <v>17338</v>
      </c>
      <c r="H4654">
        <v>2.5499999999999998</v>
      </c>
      <c r="I4654" s="5">
        <f>ROUND(Marketing[[#This Row],[Clicks]]*Marketing[[#This Row],[Conversion_Rate]],0)</f>
        <v>139</v>
      </c>
      <c r="J4654" s="12">
        <f>Marketing[[#This Row],[Campaign_Cost]]/Marketing[[#This Row],[Customers]]</f>
        <v>124.73381294964028</v>
      </c>
      <c r="K4654" t="s">
        <v>32</v>
      </c>
      <c r="L4654" t="s">
        <v>26</v>
      </c>
      <c r="M4654">
        <v>993</v>
      </c>
      <c r="N4654">
        <v>3826</v>
      </c>
      <c r="O4654">
        <v>6</v>
      </c>
      <c r="P4654" t="s">
        <v>34</v>
      </c>
      <c r="Q4654" s="1">
        <v>44469</v>
      </c>
    </row>
    <row r="4655" spans="1:17" x14ac:dyDescent="0.3">
      <c r="A4655" t="s">
        <v>49</v>
      </c>
      <c r="B4655" t="s">
        <v>29</v>
      </c>
      <c r="C4655" t="s">
        <v>23</v>
      </c>
      <c r="D4655" t="s">
        <v>24</v>
      </c>
      <c r="E4655" t="s">
        <v>48</v>
      </c>
      <c r="F4655" s="9">
        <v>0.1</v>
      </c>
      <c r="G4655" s="10">
        <v>16670</v>
      </c>
      <c r="H4655">
        <v>5.62</v>
      </c>
      <c r="I4655" s="5">
        <f>ROUND(Marketing[[#This Row],[Clicks]]*Marketing[[#This Row],[Conversion_Rate]],0)</f>
        <v>12</v>
      </c>
      <c r="J4655" s="12">
        <f>Marketing[[#This Row],[Campaign_Cost]]/Marketing[[#This Row],[Customers]]</f>
        <v>1389.1666666666667</v>
      </c>
      <c r="K4655" t="s">
        <v>38</v>
      </c>
      <c r="L4655" t="s">
        <v>26</v>
      </c>
      <c r="M4655">
        <v>124</v>
      </c>
      <c r="N4655">
        <v>5598</v>
      </c>
      <c r="O4655">
        <v>9</v>
      </c>
      <c r="P4655" t="s">
        <v>21</v>
      </c>
      <c r="Q4655" s="1">
        <v>44470</v>
      </c>
    </row>
    <row r="4656" spans="1:17" x14ac:dyDescent="0.3">
      <c r="A4656" t="s">
        <v>35</v>
      </c>
      <c r="B4656" t="s">
        <v>47</v>
      </c>
      <c r="C4656" t="s">
        <v>23</v>
      </c>
      <c r="D4656" t="s">
        <v>24</v>
      </c>
      <c r="E4656" t="s">
        <v>41</v>
      </c>
      <c r="F4656" s="9">
        <v>0.01</v>
      </c>
      <c r="G4656" s="10">
        <v>12827</v>
      </c>
      <c r="H4656">
        <v>6.98</v>
      </c>
      <c r="I4656" s="5">
        <f>ROUND(Marketing[[#This Row],[Clicks]]*Marketing[[#This Row],[Conversion_Rate]],0)</f>
        <v>2</v>
      </c>
      <c r="J4656" s="12">
        <f>Marketing[[#This Row],[Campaign_Cost]]/Marketing[[#This Row],[Customers]]</f>
        <v>6413.5</v>
      </c>
      <c r="K4656" t="s">
        <v>38</v>
      </c>
      <c r="L4656" t="s">
        <v>20</v>
      </c>
      <c r="M4656">
        <v>154</v>
      </c>
      <c r="N4656">
        <v>7991</v>
      </c>
      <c r="O4656">
        <v>10</v>
      </c>
      <c r="P4656" t="s">
        <v>44</v>
      </c>
      <c r="Q4656" s="1">
        <v>44471</v>
      </c>
    </row>
    <row r="4657" spans="1:17" x14ac:dyDescent="0.3">
      <c r="A4657" t="s">
        <v>22</v>
      </c>
      <c r="B4657" t="s">
        <v>36</v>
      </c>
      <c r="C4657" t="s">
        <v>16</v>
      </c>
      <c r="D4657" t="s">
        <v>46</v>
      </c>
      <c r="E4657" t="s">
        <v>18</v>
      </c>
      <c r="F4657" s="9">
        <v>0.03</v>
      </c>
      <c r="G4657" s="10">
        <v>11356</v>
      </c>
      <c r="H4657">
        <v>6.06</v>
      </c>
      <c r="I4657" s="5">
        <f>ROUND(Marketing[[#This Row],[Clicks]]*Marketing[[#This Row],[Conversion_Rate]],0)</f>
        <v>27</v>
      </c>
      <c r="J4657" s="12">
        <f>Marketing[[#This Row],[Campaign_Cost]]/Marketing[[#This Row],[Customers]]</f>
        <v>420.59259259259261</v>
      </c>
      <c r="K4657" t="s">
        <v>38</v>
      </c>
      <c r="L4657" t="s">
        <v>20</v>
      </c>
      <c r="M4657">
        <v>892</v>
      </c>
      <c r="N4657">
        <v>6321</v>
      </c>
      <c r="O4657">
        <v>8</v>
      </c>
      <c r="P4657" t="s">
        <v>21</v>
      </c>
      <c r="Q4657" s="1">
        <v>44472</v>
      </c>
    </row>
    <row r="4658" spans="1:17" x14ac:dyDescent="0.3">
      <c r="A4658" t="s">
        <v>49</v>
      </c>
      <c r="B4658" t="s">
        <v>15</v>
      </c>
      <c r="C4658" t="s">
        <v>23</v>
      </c>
      <c r="D4658" t="s">
        <v>17</v>
      </c>
      <c r="E4658" t="s">
        <v>41</v>
      </c>
      <c r="F4658" s="9">
        <v>0.04</v>
      </c>
      <c r="G4658" s="10">
        <v>16424</v>
      </c>
      <c r="H4658">
        <v>6.03</v>
      </c>
      <c r="I4658" s="5">
        <f>ROUND(Marketing[[#This Row],[Clicks]]*Marketing[[#This Row],[Conversion_Rate]],0)</f>
        <v>39</v>
      </c>
      <c r="J4658" s="12">
        <f>Marketing[[#This Row],[Campaign_Cost]]/Marketing[[#This Row],[Customers]]</f>
        <v>421.12820512820514</v>
      </c>
      <c r="K4658" t="s">
        <v>32</v>
      </c>
      <c r="L4658" t="s">
        <v>20</v>
      </c>
      <c r="M4658">
        <v>970</v>
      </c>
      <c r="N4658">
        <v>2158</v>
      </c>
      <c r="O4658">
        <v>1</v>
      </c>
      <c r="P4658" t="s">
        <v>42</v>
      </c>
      <c r="Q4658" s="1">
        <v>44473</v>
      </c>
    </row>
    <row r="4659" spans="1:17" x14ac:dyDescent="0.3">
      <c r="A4659" t="s">
        <v>35</v>
      </c>
      <c r="B4659" t="s">
        <v>47</v>
      </c>
      <c r="C4659" t="s">
        <v>23</v>
      </c>
      <c r="D4659" t="s">
        <v>46</v>
      </c>
      <c r="E4659" t="s">
        <v>43</v>
      </c>
      <c r="F4659" s="9">
        <v>0.06</v>
      </c>
      <c r="G4659" s="10">
        <v>18952</v>
      </c>
      <c r="H4659">
        <v>4.09</v>
      </c>
      <c r="I4659" s="5">
        <f>ROUND(Marketing[[#This Row],[Clicks]]*Marketing[[#This Row],[Conversion_Rate]],0)</f>
        <v>27</v>
      </c>
      <c r="J4659" s="12">
        <f>Marketing[[#This Row],[Campaign_Cost]]/Marketing[[#This Row],[Customers]]</f>
        <v>701.92592592592598</v>
      </c>
      <c r="K4659" t="s">
        <v>51</v>
      </c>
      <c r="L4659" t="s">
        <v>33</v>
      </c>
      <c r="M4659">
        <v>450</v>
      </c>
      <c r="N4659">
        <v>3966</v>
      </c>
      <c r="O4659">
        <v>1</v>
      </c>
      <c r="P4659" t="s">
        <v>27</v>
      </c>
      <c r="Q4659" s="1">
        <v>44474</v>
      </c>
    </row>
    <row r="4660" spans="1:17" x14ac:dyDescent="0.3">
      <c r="A4660" t="s">
        <v>49</v>
      </c>
      <c r="B4660" t="s">
        <v>36</v>
      </c>
      <c r="C4660" t="s">
        <v>37</v>
      </c>
      <c r="D4660" t="s">
        <v>17</v>
      </c>
      <c r="E4660" t="s">
        <v>18</v>
      </c>
      <c r="F4660" s="9">
        <v>0.12</v>
      </c>
      <c r="G4660" s="10">
        <v>18019</v>
      </c>
      <c r="H4660">
        <v>7.45</v>
      </c>
      <c r="I4660" s="5">
        <f>ROUND(Marketing[[#This Row],[Clicks]]*Marketing[[#This Row],[Conversion_Rate]],0)</f>
        <v>26</v>
      </c>
      <c r="J4660" s="12">
        <f>Marketing[[#This Row],[Campaign_Cost]]/Marketing[[#This Row],[Customers]]</f>
        <v>693.03846153846155</v>
      </c>
      <c r="K4660" t="s">
        <v>51</v>
      </c>
      <c r="L4660" t="s">
        <v>20</v>
      </c>
      <c r="M4660">
        <v>217</v>
      </c>
      <c r="N4660">
        <v>5326</v>
      </c>
      <c r="O4660">
        <v>7</v>
      </c>
      <c r="P4660" t="s">
        <v>42</v>
      </c>
      <c r="Q4660" s="1">
        <v>44475</v>
      </c>
    </row>
    <row r="4661" spans="1:17" x14ac:dyDescent="0.3">
      <c r="A4661" t="s">
        <v>22</v>
      </c>
      <c r="B4661" t="s">
        <v>15</v>
      </c>
      <c r="C4661" t="s">
        <v>30</v>
      </c>
      <c r="D4661" t="s">
        <v>17</v>
      </c>
      <c r="E4661" t="s">
        <v>48</v>
      </c>
      <c r="F4661" s="9">
        <v>0.03</v>
      </c>
      <c r="G4661" s="10">
        <v>12486</v>
      </c>
      <c r="H4661">
        <v>2.48</v>
      </c>
      <c r="I4661" s="5">
        <f>ROUND(Marketing[[#This Row],[Clicks]]*Marketing[[#This Row],[Conversion_Rate]],0)</f>
        <v>17</v>
      </c>
      <c r="J4661" s="12">
        <f>Marketing[[#This Row],[Campaign_Cost]]/Marketing[[#This Row],[Customers]]</f>
        <v>734.47058823529414</v>
      </c>
      <c r="K4661" t="s">
        <v>32</v>
      </c>
      <c r="L4661" t="s">
        <v>33</v>
      </c>
      <c r="M4661">
        <v>580</v>
      </c>
      <c r="N4661">
        <v>7902</v>
      </c>
      <c r="O4661">
        <v>3</v>
      </c>
      <c r="P4661" t="s">
        <v>34</v>
      </c>
      <c r="Q4661" s="1">
        <v>44476</v>
      </c>
    </row>
    <row r="4662" spans="1:17" x14ac:dyDescent="0.3">
      <c r="A4662" t="s">
        <v>35</v>
      </c>
      <c r="B4662" t="s">
        <v>47</v>
      </c>
      <c r="C4662" t="s">
        <v>52</v>
      </c>
      <c r="D4662" t="s">
        <v>17</v>
      </c>
      <c r="E4662" t="s">
        <v>31</v>
      </c>
      <c r="F4662" s="9">
        <v>0.05</v>
      </c>
      <c r="G4662" s="10">
        <v>19006</v>
      </c>
      <c r="H4662">
        <v>5.68</v>
      </c>
      <c r="I4662" s="5">
        <f>ROUND(Marketing[[#This Row],[Clicks]]*Marketing[[#This Row],[Conversion_Rate]],0)</f>
        <v>24</v>
      </c>
      <c r="J4662" s="12">
        <f>Marketing[[#This Row],[Campaign_Cost]]/Marketing[[#This Row],[Customers]]</f>
        <v>791.91666666666663</v>
      </c>
      <c r="K4662" t="s">
        <v>32</v>
      </c>
      <c r="L4662" t="s">
        <v>20</v>
      </c>
      <c r="M4662">
        <v>483</v>
      </c>
      <c r="N4662">
        <v>4111</v>
      </c>
      <c r="O4662">
        <v>5</v>
      </c>
      <c r="P4662" t="s">
        <v>42</v>
      </c>
      <c r="Q4662" s="1">
        <v>44477</v>
      </c>
    </row>
    <row r="4663" spans="1:17" x14ac:dyDescent="0.3">
      <c r="A4663" t="s">
        <v>14</v>
      </c>
      <c r="B4663" t="s">
        <v>45</v>
      </c>
      <c r="C4663" t="s">
        <v>16</v>
      </c>
      <c r="D4663" t="s">
        <v>17</v>
      </c>
      <c r="E4663" t="s">
        <v>48</v>
      </c>
      <c r="F4663" s="9">
        <v>0.06</v>
      </c>
      <c r="G4663" s="10">
        <v>7937</v>
      </c>
      <c r="H4663">
        <v>5.05</v>
      </c>
      <c r="I4663" s="5">
        <f>ROUND(Marketing[[#This Row],[Clicks]]*Marketing[[#This Row],[Conversion_Rate]],0)</f>
        <v>33</v>
      </c>
      <c r="J4663" s="12">
        <f>Marketing[[#This Row],[Campaign_Cost]]/Marketing[[#This Row],[Customers]]</f>
        <v>240.5151515151515</v>
      </c>
      <c r="K4663" t="s">
        <v>38</v>
      </c>
      <c r="L4663" t="s">
        <v>50</v>
      </c>
      <c r="M4663">
        <v>551</v>
      </c>
      <c r="N4663">
        <v>7904</v>
      </c>
      <c r="O4663">
        <v>1</v>
      </c>
      <c r="P4663" t="s">
        <v>21</v>
      </c>
      <c r="Q4663" s="1">
        <v>44478</v>
      </c>
    </row>
    <row r="4664" spans="1:17" x14ac:dyDescent="0.3">
      <c r="A4664" t="s">
        <v>14</v>
      </c>
      <c r="B4664" t="s">
        <v>29</v>
      </c>
      <c r="C4664" t="s">
        <v>16</v>
      </c>
      <c r="D4664" t="s">
        <v>46</v>
      </c>
      <c r="E4664" t="s">
        <v>15</v>
      </c>
      <c r="F4664" s="9">
        <v>0.1</v>
      </c>
      <c r="G4664" s="10">
        <v>16454</v>
      </c>
      <c r="H4664">
        <v>4.4400000000000004</v>
      </c>
      <c r="I4664" s="5">
        <f>ROUND(Marketing[[#This Row],[Clicks]]*Marketing[[#This Row],[Conversion_Rate]],0)</f>
        <v>81</v>
      </c>
      <c r="J4664" s="12">
        <f>Marketing[[#This Row],[Campaign_Cost]]/Marketing[[#This Row],[Customers]]</f>
        <v>203.1358024691358</v>
      </c>
      <c r="K4664" t="s">
        <v>38</v>
      </c>
      <c r="L4664" t="s">
        <v>50</v>
      </c>
      <c r="M4664">
        <v>805</v>
      </c>
      <c r="N4664">
        <v>6895</v>
      </c>
      <c r="O4664">
        <v>1</v>
      </c>
      <c r="P4664" t="s">
        <v>34</v>
      </c>
      <c r="Q4664" s="1">
        <v>44479</v>
      </c>
    </row>
    <row r="4665" spans="1:17" x14ac:dyDescent="0.3">
      <c r="A4665" t="s">
        <v>28</v>
      </c>
      <c r="B4665" t="s">
        <v>47</v>
      </c>
      <c r="C4665" t="s">
        <v>23</v>
      </c>
      <c r="D4665" t="s">
        <v>46</v>
      </c>
      <c r="E4665" t="s">
        <v>15</v>
      </c>
      <c r="F4665" s="9">
        <v>0.09</v>
      </c>
      <c r="G4665" s="10">
        <v>10597</v>
      </c>
      <c r="H4665">
        <v>2.04</v>
      </c>
      <c r="I4665" s="5">
        <f>ROUND(Marketing[[#This Row],[Clicks]]*Marketing[[#This Row],[Conversion_Rate]],0)</f>
        <v>18</v>
      </c>
      <c r="J4665" s="12">
        <f>Marketing[[#This Row],[Campaign_Cost]]/Marketing[[#This Row],[Customers]]</f>
        <v>588.72222222222217</v>
      </c>
      <c r="K4665" t="s">
        <v>51</v>
      </c>
      <c r="L4665" t="s">
        <v>26</v>
      </c>
      <c r="M4665">
        <v>203</v>
      </c>
      <c r="N4665">
        <v>3827</v>
      </c>
      <c r="O4665">
        <v>4</v>
      </c>
      <c r="P4665" t="s">
        <v>42</v>
      </c>
      <c r="Q4665" s="1">
        <v>44480</v>
      </c>
    </row>
    <row r="4666" spans="1:17" x14ac:dyDescent="0.3">
      <c r="A4666" t="s">
        <v>49</v>
      </c>
      <c r="B4666" t="s">
        <v>36</v>
      </c>
      <c r="C4666" t="s">
        <v>37</v>
      </c>
      <c r="D4666" t="s">
        <v>46</v>
      </c>
      <c r="E4666" t="s">
        <v>15</v>
      </c>
      <c r="F4666" s="9">
        <v>0.05</v>
      </c>
      <c r="G4666" s="10">
        <v>11501</v>
      </c>
      <c r="H4666">
        <v>4.58</v>
      </c>
      <c r="I4666" s="5">
        <f>ROUND(Marketing[[#This Row],[Clicks]]*Marketing[[#This Row],[Conversion_Rate]],0)</f>
        <v>12</v>
      </c>
      <c r="J4666" s="12">
        <f>Marketing[[#This Row],[Campaign_Cost]]/Marketing[[#This Row],[Customers]]</f>
        <v>958.41666666666663</v>
      </c>
      <c r="K4666" t="s">
        <v>25</v>
      </c>
      <c r="L4666" t="s">
        <v>20</v>
      </c>
      <c r="M4666">
        <v>232</v>
      </c>
      <c r="N4666">
        <v>9144</v>
      </c>
      <c r="O4666">
        <v>9</v>
      </c>
      <c r="P4666" t="s">
        <v>21</v>
      </c>
      <c r="Q4666" s="1">
        <v>44481</v>
      </c>
    </row>
    <row r="4667" spans="1:17" x14ac:dyDescent="0.3">
      <c r="A4667" t="s">
        <v>28</v>
      </c>
      <c r="B4667" t="s">
        <v>15</v>
      </c>
      <c r="C4667" t="s">
        <v>23</v>
      </c>
      <c r="D4667" t="s">
        <v>24</v>
      </c>
      <c r="E4667" t="s">
        <v>31</v>
      </c>
      <c r="F4667" s="9">
        <v>0.02</v>
      </c>
      <c r="G4667" s="10">
        <v>10105</v>
      </c>
      <c r="H4667">
        <v>5.89</v>
      </c>
      <c r="I4667" s="5">
        <f>ROUND(Marketing[[#This Row],[Clicks]]*Marketing[[#This Row],[Conversion_Rate]],0)</f>
        <v>12</v>
      </c>
      <c r="J4667" s="12">
        <f>Marketing[[#This Row],[Campaign_Cost]]/Marketing[[#This Row],[Customers]]</f>
        <v>842.08333333333337</v>
      </c>
      <c r="K4667" t="s">
        <v>32</v>
      </c>
      <c r="L4667" t="s">
        <v>50</v>
      </c>
      <c r="M4667">
        <v>588</v>
      </c>
      <c r="N4667">
        <v>6909</v>
      </c>
      <c r="O4667">
        <v>3</v>
      </c>
      <c r="P4667" t="s">
        <v>27</v>
      </c>
      <c r="Q4667" s="1">
        <v>44482</v>
      </c>
    </row>
    <row r="4668" spans="1:17" x14ac:dyDescent="0.3">
      <c r="A4668" t="s">
        <v>28</v>
      </c>
      <c r="B4668" t="s">
        <v>29</v>
      </c>
      <c r="C4668" t="s">
        <v>30</v>
      </c>
      <c r="D4668" t="s">
        <v>17</v>
      </c>
      <c r="E4668" t="s">
        <v>41</v>
      </c>
      <c r="F4668" s="9">
        <v>0.12</v>
      </c>
      <c r="G4668" s="10">
        <v>8812</v>
      </c>
      <c r="H4668">
        <v>7.47</v>
      </c>
      <c r="I4668" s="5">
        <f>ROUND(Marketing[[#This Row],[Clicks]]*Marketing[[#This Row],[Conversion_Rate]],0)</f>
        <v>108</v>
      </c>
      <c r="J4668" s="12">
        <f>Marketing[[#This Row],[Campaign_Cost]]/Marketing[[#This Row],[Customers]]</f>
        <v>81.592592592592595</v>
      </c>
      <c r="K4668" t="s">
        <v>25</v>
      </c>
      <c r="L4668" t="s">
        <v>50</v>
      </c>
      <c r="M4668">
        <v>898</v>
      </c>
      <c r="N4668">
        <v>4084</v>
      </c>
      <c r="O4668">
        <v>8</v>
      </c>
      <c r="P4668" t="s">
        <v>21</v>
      </c>
      <c r="Q4668" s="1">
        <v>44483</v>
      </c>
    </row>
    <row r="4669" spans="1:17" x14ac:dyDescent="0.3">
      <c r="A4669" t="s">
        <v>35</v>
      </c>
      <c r="B4669" t="s">
        <v>15</v>
      </c>
      <c r="C4669" t="s">
        <v>30</v>
      </c>
      <c r="D4669" t="s">
        <v>40</v>
      </c>
      <c r="E4669" t="s">
        <v>48</v>
      </c>
      <c r="F4669" s="9">
        <v>7.0000000000000007E-2</v>
      </c>
      <c r="G4669" s="10">
        <v>15329</v>
      </c>
      <c r="H4669">
        <v>3.08</v>
      </c>
      <c r="I4669" s="5">
        <f>ROUND(Marketing[[#This Row],[Clicks]]*Marketing[[#This Row],[Conversion_Rate]],0)</f>
        <v>60</v>
      </c>
      <c r="J4669" s="12">
        <f>Marketing[[#This Row],[Campaign_Cost]]/Marketing[[#This Row],[Customers]]</f>
        <v>255.48333333333332</v>
      </c>
      <c r="K4669" t="s">
        <v>38</v>
      </c>
      <c r="L4669" t="s">
        <v>33</v>
      </c>
      <c r="M4669">
        <v>862</v>
      </c>
      <c r="N4669">
        <v>3820</v>
      </c>
      <c r="O4669">
        <v>10</v>
      </c>
      <c r="P4669" t="s">
        <v>21</v>
      </c>
      <c r="Q4669" s="1">
        <v>44484</v>
      </c>
    </row>
    <row r="4670" spans="1:17" x14ac:dyDescent="0.3">
      <c r="A4670" t="s">
        <v>28</v>
      </c>
      <c r="B4670" t="s">
        <v>29</v>
      </c>
      <c r="C4670" t="s">
        <v>23</v>
      </c>
      <c r="D4670" t="s">
        <v>24</v>
      </c>
      <c r="E4670" t="s">
        <v>48</v>
      </c>
      <c r="F4670" s="9">
        <v>0.13</v>
      </c>
      <c r="G4670" s="10">
        <v>5651</v>
      </c>
      <c r="H4670">
        <v>7.22</v>
      </c>
      <c r="I4670" s="5">
        <f>ROUND(Marketing[[#This Row],[Clicks]]*Marketing[[#This Row],[Conversion_Rate]],0)</f>
        <v>43</v>
      </c>
      <c r="J4670" s="12">
        <f>Marketing[[#This Row],[Campaign_Cost]]/Marketing[[#This Row],[Customers]]</f>
        <v>131.41860465116278</v>
      </c>
      <c r="K4670" t="s">
        <v>25</v>
      </c>
      <c r="L4670" t="s">
        <v>50</v>
      </c>
      <c r="M4670">
        <v>333</v>
      </c>
      <c r="N4670">
        <v>6210</v>
      </c>
      <c r="O4670">
        <v>7</v>
      </c>
      <c r="P4670" t="s">
        <v>34</v>
      </c>
      <c r="Q4670" s="1">
        <v>44485</v>
      </c>
    </row>
    <row r="4671" spans="1:17" x14ac:dyDescent="0.3">
      <c r="A4671" t="s">
        <v>22</v>
      </c>
      <c r="B4671" t="s">
        <v>15</v>
      </c>
      <c r="C4671" t="s">
        <v>30</v>
      </c>
      <c r="D4671" t="s">
        <v>17</v>
      </c>
      <c r="E4671" t="s">
        <v>15</v>
      </c>
      <c r="F4671" s="9">
        <v>0.02</v>
      </c>
      <c r="G4671" s="10">
        <v>10300</v>
      </c>
      <c r="H4671">
        <v>7.65</v>
      </c>
      <c r="I4671" s="5">
        <f>ROUND(Marketing[[#This Row],[Clicks]]*Marketing[[#This Row],[Conversion_Rate]],0)</f>
        <v>6</v>
      </c>
      <c r="J4671" s="12">
        <f>Marketing[[#This Row],[Campaign_Cost]]/Marketing[[#This Row],[Customers]]</f>
        <v>1716.6666666666667</v>
      </c>
      <c r="K4671" t="s">
        <v>51</v>
      </c>
      <c r="L4671" t="s">
        <v>39</v>
      </c>
      <c r="M4671">
        <v>306</v>
      </c>
      <c r="N4671">
        <v>8805</v>
      </c>
      <c r="O4671">
        <v>9</v>
      </c>
      <c r="P4671" t="s">
        <v>44</v>
      </c>
      <c r="Q4671" s="1">
        <v>44486</v>
      </c>
    </row>
    <row r="4672" spans="1:17" x14ac:dyDescent="0.3">
      <c r="A4672" t="s">
        <v>49</v>
      </c>
      <c r="B4672" t="s">
        <v>15</v>
      </c>
      <c r="C4672" t="s">
        <v>52</v>
      </c>
      <c r="D4672" t="s">
        <v>40</v>
      </c>
      <c r="E4672" t="s">
        <v>15</v>
      </c>
      <c r="F4672" s="9">
        <v>0.06</v>
      </c>
      <c r="G4672" s="10">
        <v>16955</v>
      </c>
      <c r="H4672">
        <v>2.61</v>
      </c>
      <c r="I4672" s="5">
        <f>ROUND(Marketing[[#This Row],[Clicks]]*Marketing[[#This Row],[Conversion_Rate]],0)</f>
        <v>25</v>
      </c>
      <c r="J4672" s="12">
        <f>Marketing[[#This Row],[Campaign_Cost]]/Marketing[[#This Row],[Customers]]</f>
        <v>678.2</v>
      </c>
      <c r="K4672" t="s">
        <v>32</v>
      </c>
      <c r="L4672" t="s">
        <v>39</v>
      </c>
      <c r="M4672">
        <v>409</v>
      </c>
      <c r="N4672">
        <v>7953</v>
      </c>
      <c r="O4672">
        <v>5</v>
      </c>
      <c r="P4672" t="s">
        <v>42</v>
      </c>
      <c r="Q4672" s="1">
        <v>44487</v>
      </c>
    </row>
    <row r="4673" spans="1:17" x14ac:dyDescent="0.3">
      <c r="A4673" t="s">
        <v>49</v>
      </c>
      <c r="B4673" t="s">
        <v>47</v>
      </c>
      <c r="C4673" t="s">
        <v>37</v>
      </c>
      <c r="D4673" t="s">
        <v>24</v>
      </c>
      <c r="E4673" t="s">
        <v>18</v>
      </c>
      <c r="F4673" s="9">
        <v>7.0000000000000007E-2</v>
      </c>
      <c r="G4673" s="10">
        <v>11205</v>
      </c>
      <c r="H4673">
        <v>3.51</v>
      </c>
      <c r="I4673" s="5">
        <f>ROUND(Marketing[[#This Row],[Clicks]]*Marketing[[#This Row],[Conversion_Rate]],0)</f>
        <v>58</v>
      </c>
      <c r="J4673" s="12">
        <f>Marketing[[#This Row],[Campaign_Cost]]/Marketing[[#This Row],[Customers]]</f>
        <v>193.18965517241378</v>
      </c>
      <c r="K4673" t="s">
        <v>19</v>
      </c>
      <c r="L4673" t="s">
        <v>26</v>
      </c>
      <c r="M4673">
        <v>830</v>
      </c>
      <c r="N4673">
        <v>5263</v>
      </c>
      <c r="O4673">
        <v>1</v>
      </c>
      <c r="P4673" t="s">
        <v>27</v>
      </c>
      <c r="Q4673" s="1">
        <v>44488</v>
      </c>
    </row>
    <row r="4674" spans="1:17" x14ac:dyDescent="0.3">
      <c r="A4674" t="s">
        <v>49</v>
      </c>
      <c r="B4674" t="s">
        <v>29</v>
      </c>
      <c r="C4674" t="s">
        <v>37</v>
      </c>
      <c r="D4674" t="s">
        <v>40</v>
      </c>
      <c r="E4674" t="s">
        <v>43</v>
      </c>
      <c r="F4674" s="9">
        <v>7.0000000000000007E-2</v>
      </c>
      <c r="G4674" s="10">
        <v>10354</v>
      </c>
      <c r="H4674">
        <v>7.39</v>
      </c>
      <c r="I4674" s="5">
        <f>ROUND(Marketing[[#This Row],[Clicks]]*Marketing[[#This Row],[Conversion_Rate]],0)</f>
        <v>61</v>
      </c>
      <c r="J4674" s="12">
        <f>Marketing[[#This Row],[Campaign_Cost]]/Marketing[[#This Row],[Customers]]</f>
        <v>169.73770491803279</v>
      </c>
      <c r="K4674" t="s">
        <v>32</v>
      </c>
      <c r="L4674" t="s">
        <v>50</v>
      </c>
      <c r="M4674">
        <v>876</v>
      </c>
      <c r="N4674">
        <v>4551</v>
      </c>
      <c r="O4674">
        <v>4</v>
      </c>
      <c r="P4674" t="s">
        <v>21</v>
      </c>
      <c r="Q4674" s="1">
        <v>44489</v>
      </c>
    </row>
    <row r="4675" spans="1:17" x14ac:dyDescent="0.3">
      <c r="A4675" t="s">
        <v>22</v>
      </c>
      <c r="B4675" t="s">
        <v>47</v>
      </c>
      <c r="C4675" t="s">
        <v>37</v>
      </c>
      <c r="D4675" t="s">
        <v>46</v>
      </c>
      <c r="E4675" t="s">
        <v>48</v>
      </c>
      <c r="F4675" s="9">
        <v>0.09</v>
      </c>
      <c r="G4675" s="10">
        <v>12302</v>
      </c>
      <c r="H4675">
        <v>2.57</v>
      </c>
      <c r="I4675" s="5">
        <f>ROUND(Marketing[[#This Row],[Clicks]]*Marketing[[#This Row],[Conversion_Rate]],0)</f>
        <v>61</v>
      </c>
      <c r="J4675" s="12">
        <f>Marketing[[#This Row],[Campaign_Cost]]/Marketing[[#This Row],[Customers]]</f>
        <v>201.67213114754099</v>
      </c>
      <c r="K4675" t="s">
        <v>32</v>
      </c>
      <c r="L4675" t="s">
        <v>33</v>
      </c>
      <c r="M4675">
        <v>678</v>
      </c>
      <c r="N4675">
        <v>3605</v>
      </c>
      <c r="O4675">
        <v>9</v>
      </c>
      <c r="P4675" t="s">
        <v>34</v>
      </c>
      <c r="Q4675" s="1">
        <v>44490</v>
      </c>
    </row>
    <row r="4676" spans="1:17" x14ac:dyDescent="0.3">
      <c r="A4676" t="s">
        <v>49</v>
      </c>
      <c r="B4676" t="s">
        <v>36</v>
      </c>
      <c r="C4676" t="s">
        <v>16</v>
      </c>
      <c r="D4676" t="s">
        <v>24</v>
      </c>
      <c r="E4676" t="s">
        <v>18</v>
      </c>
      <c r="F4676" s="9">
        <v>0.09</v>
      </c>
      <c r="G4676" s="10">
        <v>18622</v>
      </c>
      <c r="H4676">
        <v>3.03</v>
      </c>
      <c r="I4676" s="5">
        <f>ROUND(Marketing[[#This Row],[Clicks]]*Marketing[[#This Row],[Conversion_Rate]],0)</f>
        <v>78</v>
      </c>
      <c r="J4676" s="12">
        <f>Marketing[[#This Row],[Campaign_Cost]]/Marketing[[#This Row],[Customers]]</f>
        <v>238.74358974358975</v>
      </c>
      <c r="K4676" t="s">
        <v>38</v>
      </c>
      <c r="L4676" t="s">
        <v>39</v>
      </c>
      <c r="M4676">
        <v>871</v>
      </c>
      <c r="N4676">
        <v>2970</v>
      </c>
      <c r="O4676">
        <v>3</v>
      </c>
      <c r="P4676" t="s">
        <v>27</v>
      </c>
      <c r="Q4676" s="1">
        <v>44491</v>
      </c>
    </row>
    <row r="4677" spans="1:17" x14ac:dyDescent="0.3">
      <c r="A4677" t="s">
        <v>14</v>
      </c>
      <c r="B4677" t="s">
        <v>45</v>
      </c>
      <c r="C4677" t="s">
        <v>30</v>
      </c>
      <c r="D4677" t="s">
        <v>40</v>
      </c>
      <c r="E4677" t="s">
        <v>41</v>
      </c>
      <c r="F4677" s="9">
        <v>0.12</v>
      </c>
      <c r="G4677" s="10">
        <v>15821</v>
      </c>
      <c r="H4677">
        <v>4.2300000000000004</v>
      </c>
      <c r="I4677" s="5">
        <f>ROUND(Marketing[[#This Row],[Clicks]]*Marketing[[#This Row],[Conversion_Rate]],0)</f>
        <v>116</v>
      </c>
      <c r="J4677" s="12">
        <f>Marketing[[#This Row],[Campaign_Cost]]/Marketing[[#This Row],[Customers]]</f>
        <v>136.38793103448276</v>
      </c>
      <c r="K4677" t="s">
        <v>19</v>
      </c>
      <c r="L4677" t="s">
        <v>50</v>
      </c>
      <c r="M4677">
        <v>965</v>
      </c>
      <c r="N4677">
        <v>1879</v>
      </c>
      <c r="O4677">
        <v>10</v>
      </c>
      <c r="P4677" t="s">
        <v>21</v>
      </c>
      <c r="Q4677" s="1">
        <v>44492</v>
      </c>
    </row>
    <row r="4678" spans="1:17" x14ac:dyDescent="0.3">
      <c r="A4678" t="s">
        <v>35</v>
      </c>
      <c r="B4678" t="s">
        <v>36</v>
      </c>
      <c r="C4678" t="s">
        <v>23</v>
      </c>
      <c r="D4678" t="s">
        <v>24</v>
      </c>
      <c r="E4678" t="s">
        <v>15</v>
      </c>
      <c r="F4678" s="9">
        <v>7.0000000000000007E-2</v>
      </c>
      <c r="G4678" s="10">
        <v>9101</v>
      </c>
      <c r="H4678">
        <v>6.47</v>
      </c>
      <c r="I4678" s="5">
        <f>ROUND(Marketing[[#This Row],[Clicks]]*Marketing[[#This Row],[Conversion_Rate]],0)</f>
        <v>70</v>
      </c>
      <c r="J4678" s="12">
        <f>Marketing[[#This Row],[Campaign_Cost]]/Marketing[[#This Row],[Customers]]</f>
        <v>130.01428571428571</v>
      </c>
      <c r="K4678" t="s">
        <v>25</v>
      </c>
      <c r="L4678" t="s">
        <v>20</v>
      </c>
      <c r="M4678">
        <v>1000</v>
      </c>
      <c r="N4678">
        <v>1421</v>
      </c>
      <c r="O4678">
        <v>2</v>
      </c>
      <c r="P4678" t="s">
        <v>42</v>
      </c>
      <c r="Q4678" s="1">
        <v>44493</v>
      </c>
    </row>
    <row r="4679" spans="1:17" x14ac:dyDescent="0.3">
      <c r="A4679" t="s">
        <v>28</v>
      </c>
      <c r="B4679" t="s">
        <v>36</v>
      </c>
      <c r="C4679" t="s">
        <v>23</v>
      </c>
      <c r="D4679" t="s">
        <v>24</v>
      </c>
      <c r="E4679" t="s">
        <v>43</v>
      </c>
      <c r="F4679" s="9">
        <v>0.08</v>
      </c>
      <c r="G4679" s="10">
        <v>9928</v>
      </c>
      <c r="H4679">
        <v>5.84</v>
      </c>
      <c r="I4679" s="5">
        <f>ROUND(Marketing[[#This Row],[Clicks]]*Marketing[[#This Row],[Conversion_Rate]],0)</f>
        <v>35</v>
      </c>
      <c r="J4679" s="12">
        <f>Marketing[[#This Row],[Campaign_Cost]]/Marketing[[#This Row],[Customers]]</f>
        <v>283.65714285714284</v>
      </c>
      <c r="K4679" t="s">
        <v>19</v>
      </c>
      <c r="L4679" t="s">
        <v>20</v>
      </c>
      <c r="M4679">
        <v>437</v>
      </c>
      <c r="N4679">
        <v>6618</v>
      </c>
      <c r="O4679">
        <v>1</v>
      </c>
      <c r="P4679" t="s">
        <v>42</v>
      </c>
      <c r="Q4679" s="1">
        <v>44494</v>
      </c>
    </row>
    <row r="4680" spans="1:17" x14ac:dyDescent="0.3">
      <c r="A4680" t="s">
        <v>28</v>
      </c>
      <c r="B4680" t="s">
        <v>47</v>
      </c>
      <c r="C4680" t="s">
        <v>23</v>
      </c>
      <c r="D4680" t="s">
        <v>40</v>
      </c>
      <c r="E4680" t="s">
        <v>41</v>
      </c>
      <c r="F4680" s="9">
        <v>0.13</v>
      </c>
      <c r="G4680" s="10">
        <v>10750</v>
      </c>
      <c r="H4680">
        <v>7.65</v>
      </c>
      <c r="I4680" s="5">
        <f>ROUND(Marketing[[#This Row],[Clicks]]*Marketing[[#This Row],[Conversion_Rate]],0)</f>
        <v>34</v>
      </c>
      <c r="J4680" s="12">
        <f>Marketing[[#This Row],[Campaign_Cost]]/Marketing[[#This Row],[Customers]]</f>
        <v>316.1764705882353</v>
      </c>
      <c r="K4680" t="s">
        <v>19</v>
      </c>
      <c r="L4680" t="s">
        <v>39</v>
      </c>
      <c r="M4680">
        <v>265</v>
      </c>
      <c r="N4680">
        <v>4727</v>
      </c>
      <c r="O4680">
        <v>9</v>
      </c>
      <c r="P4680" t="s">
        <v>34</v>
      </c>
      <c r="Q4680" s="1">
        <v>44495</v>
      </c>
    </row>
    <row r="4681" spans="1:17" x14ac:dyDescent="0.3">
      <c r="A4681" t="s">
        <v>14</v>
      </c>
      <c r="B4681" t="s">
        <v>29</v>
      </c>
      <c r="C4681" t="s">
        <v>52</v>
      </c>
      <c r="D4681" t="s">
        <v>24</v>
      </c>
      <c r="E4681" t="s">
        <v>31</v>
      </c>
      <c r="F4681" s="9">
        <v>0.14000000000000001</v>
      </c>
      <c r="G4681" s="10">
        <v>12695</v>
      </c>
      <c r="H4681">
        <v>3.5</v>
      </c>
      <c r="I4681" s="5">
        <f>ROUND(Marketing[[#This Row],[Clicks]]*Marketing[[#This Row],[Conversion_Rate]],0)</f>
        <v>79</v>
      </c>
      <c r="J4681" s="12">
        <f>Marketing[[#This Row],[Campaign_Cost]]/Marketing[[#This Row],[Customers]]</f>
        <v>160.69620253164558</v>
      </c>
      <c r="K4681" t="s">
        <v>19</v>
      </c>
      <c r="L4681" t="s">
        <v>26</v>
      </c>
      <c r="M4681">
        <v>562</v>
      </c>
      <c r="N4681">
        <v>9633</v>
      </c>
      <c r="O4681">
        <v>3</v>
      </c>
      <c r="P4681" t="s">
        <v>21</v>
      </c>
      <c r="Q4681" s="1">
        <v>44496</v>
      </c>
    </row>
    <row r="4682" spans="1:17" x14ac:dyDescent="0.3">
      <c r="A4682" t="s">
        <v>14</v>
      </c>
      <c r="B4682" t="s">
        <v>45</v>
      </c>
      <c r="C4682" t="s">
        <v>23</v>
      </c>
      <c r="D4682" t="s">
        <v>17</v>
      </c>
      <c r="E4682" t="s">
        <v>41</v>
      </c>
      <c r="F4682" s="9">
        <v>0.14000000000000001</v>
      </c>
      <c r="G4682" s="10">
        <v>10867</v>
      </c>
      <c r="H4682">
        <v>7.31</v>
      </c>
      <c r="I4682" s="5">
        <f>ROUND(Marketing[[#This Row],[Clicks]]*Marketing[[#This Row],[Conversion_Rate]],0)</f>
        <v>120</v>
      </c>
      <c r="J4682" s="12">
        <f>Marketing[[#This Row],[Campaign_Cost]]/Marketing[[#This Row],[Customers]]</f>
        <v>90.558333333333337</v>
      </c>
      <c r="K4682" t="s">
        <v>19</v>
      </c>
      <c r="L4682" t="s">
        <v>33</v>
      </c>
      <c r="M4682">
        <v>854</v>
      </c>
      <c r="N4682">
        <v>8088</v>
      </c>
      <c r="O4682">
        <v>4</v>
      </c>
      <c r="P4682" t="s">
        <v>21</v>
      </c>
      <c r="Q4682" s="1">
        <v>44497</v>
      </c>
    </row>
    <row r="4683" spans="1:17" x14ac:dyDescent="0.3">
      <c r="A4683" t="s">
        <v>28</v>
      </c>
      <c r="B4683" t="s">
        <v>45</v>
      </c>
      <c r="C4683" t="s">
        <v>52</v>
      </c>
      <c r="D4683" t="s">
        <v>46</v>
      </c>
      <c r="E4683" t="s">
        <v>18</v>
      </c>
      <c r="F4683" s="9">
        <v>0.05</v>
      </c>
      <c r="G4683" s="10">
        <v>6160</v>
      </c>
      <c r="H4683">
        <v>7.62</v>
      </c>
      <c r="I4683" s="5">
        <f>ROUND(Marketing[[#This Row],[Clicks]]*Marketing[[#This Row],[Conversion_Rate]],0)</f>
        <v>38</v>
      </c>
      <c r="J4683" s="12">
        <f>Marketing[[#This Row],[Campaign_Cost]]/Marketing[[#This Row],[Customers]]</f>
        <v>162.10526315789474</v>
      </c>
      <c r="K4683" t="s">
        <v>19</v>
      </c>
      <c r="L4683" t="s">
        <v>39</v>
      </c>
      <c r="M4683">
        <v>759</v>
      </c>
      <c r="N4683">
        <v>1656</v>
      </c>
      <c r="O4683">
        <v>4</v>
      </c>
      <c r="P4683" t="s">
        <v>21</v>
      </c>
      <c r="Q4683" s="1">
        <v>44498</v>
      </c>
    </row>
    <row r="4684" spans="1:17" x14ac:dyDescent="0.3">
      <c r="A4684" t="s">
        <v>22</v>
      </c>
      <c r="B4684" t="s">
        <v>29</v>
      </c>
      <c r="C4684" t="s">
        <v>37</v>
      </c>
      <c r="D4684" t="s">
        <v>17</v>
      </c>
      <c r="E4684" t="s">
        <v>15</v>
      </c>
      <c r="F4684" s="9">
        <v>0.08</v>
      </c>
      <c r="G4684" s="10">
        <v>12071</v>
      </c>
      <c r="H4684">
        <v>4.51</v>
      </c>
      <c r="I4684" s="5">
        <f>ROUND(Marketing[[#This Row],[Clicks]]*Marketing[[#This Row],[Conversion_Rate]],0)</f>
        <v>9</v>
      </c>
      <c r="J4684" s="12">
        <f>Marketing[[#This Row],[Campaign_Cost]]/Marketing[[#This Row],[Customers]]</f>
        <v>1341.2222222222222</v>
      </c>
      <c r="K4684" t="s">
        <v>38</v>
      </c>
      <c r="L4684" t="s">
        <v>39</v>
      </c>
      <c r="M4684">
        <v>117</v>
      </c>
      <c r="N4684">
        <v>7702</v>
      </c>
      <c r="O4684">
        <v>10</v>
      </c>
      <c r="P4684" t="s">
        <v>42</v>
      </c>
      <c r="Q4684" s="1">
        <v>44499</v>
      </c>
    </row>
    <row r="4685" spans="1:17" x14ac:dyDescent="0.3">
      <c r="A4685" t="s">
        <v>49</v>
      </c>
      <c r="B4685" t="s">
        <v>29</v>
      </c>
      <c r="C4685" t="s">
        <v>23</v>
      </c>
      <c r="D4685" t="s">
        <v>40</v>
      </c>
      <c r="E4685" t="s">
        <v>48</v>
      </c>
      <c r="F4685" s="9">
        <v>0.04</v>
      </c>
      <c r="G4685" s="10">
        <v>7360</v>
      </c>
      <c r="H4685">
        <v>5.21</v>
      </c>
      <c r="I4685" s="5">
        <f>ROUND(Marketing[[#This Row],[Clicks]]*Marketing[[#This Row],[Conversion_Rate]],0)</f>
        <v>9</v>
      </c>
      <c r="J4685" s="12">
        <f>Marketing[[#This Row],[Campaign_Cost]]/Marketing[[#This Row],[Customers]]</f>
        <v>817.77777777777783</v>
      </c>
      <c r="K4685" t="s">
        <v>25</v>
      </c>
      <c r="L4685" t="s">
        <v>20</v>
      </c>
      <c r="M4685">
        <v>218</v>
      </c>
      <c r="N4685">
        <v>8049</v>
      </c>
      <c r="O4685">
        <v>9</v>
      </c>
      <c r="P4685" t="s">
        <v>27</v>
      </c>
      <c r="Q4685" s="1">
        <v>44500</v>
      </c>
    </row>
    <row r="4686" spans="1:17" x14ac:dyDescent="0.3">
      <c r="A4686" t="s">
        <v>35</v>
      </c>
      <c r="B4686" t="s">
        <v>15</v>
      </c>
      <c r="C4686" t="s">
        <v>52</v>
      </c>
      <c r="D4686" t="s">
        <v>46</v>
      </c>
      <c r="E4686" t="s">
        <v>18</v>
      </c>
      <c r="F4686" s="9">
        <v>7.0000000000000007E-2</v>
      </c>
      <c r="G4686" s="10">
        <v>17509</v>
      </c>
      <c r="H4686">
        <v>5.29</v>
      </c>
      <c r="I4686" s="5">
        <f>ROUND(Marketing[[#This Row],[Clicks]]*Marketing[[#This Row],[Conversion_Rate]],0)</f>
        <v>26</v>
      </c>
      <c r="J4686" s="12">
        <f>Marketing[[#This Row],[Campaign_Cost]]/Marketing[[#This Row],[Customers]]</f>
        <v>673.42307692307691</v>
      </c>
      <c r="K4686" t="s">
        <v>32</v>
      </c>
      <c r="L4686" t="s">
        <v>50</v>
      </c>
      <c r="M4686">
        <v>372</v>
      </c>
      <c r="N4686">
        <v>6292</v>
      </c>
      <c r="O4686">
        <v>6</v>
      </c>
      <c r="P4686" t="s">
        <v>34</v>
      </c>
      <c r="Q4686" s="1">
        <v>44501</v>
      </c>
    </row>
    <row r="4687" spans="1:17" x14ac:dyDescent="0.3">
      <c r="A4687" t="s">
        <v>35</v>
      </c>
      <c r="B4687" t="s">
        <v>45</v>
      </c>
      <c r="C4687" t="s">
        <v>37</v>
      </c>
      <c r="D4687" t="s">
        <v>40</v>
      </c>
      <c r="E4687" t="s">
        <v>15</v>
      </c>
      <c r="F4687" s="9">
        <v>7.0000000000000007E-2</v>
      </c>
      <c r="G4687" s="10">
        <v>18502</v>
      </c>
      <c r="H4687">
        <v>4.8899999999999997</v>
      </c>
      <c r="I4687" s="5">
        <f>ROUND(Marketing[[#This Row],[Clicks]]*Marketing[[#This Row],[Conversion_Rate]],0)</f>
        <v>15</v>
      </c>
      <c r="J4687" s="12">
        <f>Marketing[[#This Row],[Campaign_Cost]]/Marketing[[#This Row],[Customers]]</f>
        <v>1233.4666666666667</v>
      </c>
      <c r="K4687" t="s">
        <v>25</v>
      </c>
      <c r="L4687" t="s">
        <v>20</v>
      </c>
      <c r="M4687">
        <v>221</v>
      </c>
      <c r="N4687">
        <v>4428</v>
      </c>
      <c r="O4687">
        <v>6</v>
      </c>
      <c r="P4687" t="s">
        <v>42</v>
      </c>
      <c r="Q4687" s="1">
        <v>44502</v>
      </c>
    </row>
    <row r="4688" spans="1:17" x14ac:dyDescent="0.3">
      <c r="A4688" t="s">
        <v>49</v>
      </c>
      <c r="B4688" t="s">
        <v>45</v>
      </c>
      <c r="C4688" t="s">
        <v>16</v>
      </c>
      <c r="D4688" t="s">
        <v>40</v>
      </c>
      <c r="E4688" t="s">
        <v>41</v>
      </c>
      <c r="F4688" s="9">
        <v>0.06</v>
      </c>
      <c r="G4688" s="10">
        <v>5500</v>
      </c>
      <c r="H4688">
        <v>7.05</v>
      </c>
      <c r="I4688" s="5">
        <f>ROUND(Marketing[[#This Row],[Clicks]]*Marketing[[#This Row],[Conversion_Rate]],0)</f>
        <v>21</v>
      </c>
      <c r="J4688" s="12">
        <f>Marketing[[#This Row],[Campaign_Cost]]/Marketing[[#This Row],[Customers]]</f>
        <v>261.90476190476193</v>
      </c>
      <c r="K4688" t="s">
        <v>25</v>
      </c>
      <c r="L4688" t="s">
        <v>26</v>
      </c>
      <c r="M4688">
        <v>344</v>
      </c>
      <c r="N4688">
        <v>3215</v>
      </c>
      <c r="O4688">
        <v>8</v>
      </c>
      <c r="P4688" t="s">
        <v>21</v>
      </c>
      <c r="Q4688" s="1">
        <v>44503</v>
      </c>
    </row>
    <row r="4689" spans="1:17" x14ac:dyDescent="0.3">
      <c r="A4689" t="s">
        <v>35</v>
      </c>
      <c r="B4689" t="s">
        <v>29</v>
      </c>
      <c r="C4689" t="s">
        <v>52</v>
      </c>
      <c r="D4689" t="s">
        <v>17</v>
      </c>
      <c r="E4689" t="s">
        <v>41</v>
      </c>
      <c r="F4689" s="9">
        <v>0.08</v>
      </c>
      <c r="G4689" s="10">
        <v>13992</v>
      </c>
      <c r="H4689">
        <v>6.98</v>
      </c>
      <c r="I4689" s="5">
        <f>ROUND(Marketing[[#This Row],[Clicks]]*Marketing[[#This Row],[Conversion_Rate]],0)</f>
        <v>35</v>
      </c>
      <c r="J4689" s="12">
        <f>Marketing[[#This Row],[Campaign_Cost]]/Marketing[[#This Row],[Customers]]</f>
        <v>399.77142857142854</v>
      </c>
      <c r="K4689" t="s">
        <v>38</v>
      </c>
      <c r="L4689" t="s">
        <v>20</v>
      </c>
      <c r="M4689">
        <v>441</v>
      </c>
      <c r="N4689">
        <v>7135</v>
      </c>
      <c r="O4689">
        <v>7</v>
      </c>
      <c r="P4689" t="s">
        <v>21</v>
      </c>
      <c r="Q4689" s="1">
        <v>44504</v>
      </c>
    </row>
    <row r="4690" spans="1:17" x14ac:dyDescent="0.3">
      <c r="A4690" t="s">
        <v>14</v>
      </c>
      <c r="B4690" t="s">
        <v>47</v>
      </c>
      <c r="C4690" t="s">
        <v>37</v>
      </c>
      <c r="D4690" t="s">
        <v>17</v>
      </c>
      <c r="E4690" t="s">
        <v>18</v>
      </c>
      <c r="F4690" s="9">
        <v>0.11</v>
      </c>
      <c r="G4690" s="10">
        <v>10979</v>
      </c>
      <c r="H4690">
        <v>5.92</v>
      </c>
      <c r="I4690" s="5">
        <f>ROUND(Marketing[[#This Row],[Clicks]]*Marketing[[#This Row],[Conversion_Rate]],0)</f>
        <v>27</v>
      </c>
      <c r="J4690" s="12">
        <f>Marketing[[#This Row],[Campaign_Cost]]/Marketing[[#This Row],[Customers]]</f>
        <v>406.62962962962962</v>
      </c>
      <c r="K4690" t="s">
        <v>51</v>
      </c>
      <c r="L4690" t="s">
        <v>26</v>
      </c>
      <c r="M4690">
        <v>245</v>
      </c>
      <c r="N4690">
        <v>2792</v>
      </c>
      <c r="O4690">
        <v>7</v>
      </c>
      <c r="P4690" t="s">
        <v>27</v>
      </c>
      <c r="Q4690" s="1">
        <v>44505</v>
      </c>
    </row>
    <row r="4691" spans="1:17" x14ac:dyDescent="0.3">
      <c r="A4691" t="s">
        <v>35</v>
      </c>
      <c r="B4691" t="s">
        <v>15</v>
      </c>
      <c r="C4691" t="s">
        <v>52</v>
      </c>
      <c r="D4691" t="s">
        <v>46</v>
      </c>
      <c r="E4691" t="s">
        <v>15</v>
      </c>
      <c r="F4691" s="9">
        <v>0.14000000000000001</v>
      </c>
      <c r="G4691" s="10">
        <v>8666</v>
      </c>
      <c r="H4691">
        <v>2.2599999999999998</v>
      </c>
      <c r="I4691" s="5">
        <f>ROUND(Marketing[[#This Row],[Clicks]]*Marketing[[#This Row],[Conversion_Rate]],0)</f>
        <v>103</v>
      </c>
      <c r="J4691" s="12">
        <f>Marketing[[#This Row],[Campaign_Cost]]/Marketing[[#This Row],[Customers]]</f>
        <v>84.135922330097088</v>
      </c>
      <c r="K4691" t="s">
        <v>25</v>
      </c>
      <c r="L4691" t="s">
        <v>50</v>
      </c>
      <c r="M4691">
        <v>734</v>
      </c>
      <c r="N4691">
        <v>3123</v>
      </c>
      <c r="O4691">
        <v>7</v>
      </c>
      <c r="P4691" t="s">
        <v>21</v>
      </c>
      <c r="Q4691" s="1">
        <v>44506</v>
      </c>
    </row>
    <row r="4692" spans="1:17" x14ac:dyDescent="0.3">
      <c r="A4692" t="s">
        <v>14</v>
      </c>
      <c r="B4692" t="s">
        <v>36</v>
      </c>
      <c r="C4692" t="s">
        <v>30</v>
      </c>
      <c r="D4692" t="s">
        <v>40</v>
      </c>
      <c r="E4692" t="s">
        <v>43</v>
      </c>
      <c r="F4692" s="9">
        <v>0.05</v>
      </c>
      <c r="G4692" s="10">
        <v>18322</v>
      </c>
      <c r="H4692">
        <v>2.21</v>
      </c>
      <c r="I4692" s="5">
        <f>ROUND(Marketing[[#This Row],[Clicks]]*Marketing[[#This Row],[Conversion_Rate]],0)</f>
        <v>5</v>
      </c>
      <c r="J4692" s="12">
        <f>Marketing[[#This Row],[Campaign_Cost]]/Marketing[[#This Row],[Customers]]</f>
        <v>3664.4</v>
      </c>
      <c r="K4692" t="s">
        <v>38</v>
      </c>
      <c r="L4692" t="s">
        <v>20</v>
      </c>
      <c r="M4692">
        <v>104</v>
      </c>
      <c r="N4692">
        <v>9850</v>
      </c>
      <c r="O4692">
        <v>6</v>
      </c>
      <c r="P4692" t="s">
        <v>21</v>
      </c>
      <c r="Q4692" s="1">
        <v>44507</v>
      </c>
    </row>
    <row r="4693" spans="1:17" x14ac:dyDescent="0.3">
      <c r="A4693" t="s">
        <v>35</v>
      </c>
      <c r="B4693" t="s">
        <v>15</v>
      </c>
      <c r="C4693" t="s">
        <v>30</v>
      </c>
      <c r="D4693" t="s">
        <v>46</v>
      </c>
      <c r="E4693" t="s">
        <v>48</v>
      </c>
      <c r="F4693" s="9">
        <v>0.06</v>
      </c>
      <c r="G4693" s="10">
        <v>11736</v>
      </c>
      <c r="H4693">
        <v>2.81</v>
      </c>
      <c r="I4693" s="5">
        <f>ROUND(Marketing[[#This Row],[Clicks]]*Marketing[[#This Row],[Conversion_Rate]],0)</f>
        <v>36</v>
      </c>
      <c r="J4693" s="12">
        <f>Marketing[[#This Row],[Campaign_Cost]]/Marketing[[#This Row],[Customers]]</f>
        <v>326</v>
      </c>
      <c r="K4693" t="s">
        <v>25</v>
      </c>
      <c r="L4693" t="s">
        <v>39</v>
      </c>
      <c r="M4693">
        <v>595</v>
      </c>
      <c r="N4693">
        <v>1374</v>
      </c>
      <c r="O4693">
        <v>4</v>
      </c>
      <c r="P4693" t="s">
        <v>21</v>
      </c>
      <c r="Q4693" s="1">
        <v>44508</v>
      </c>
    </row>
    <row r="4694" spans="1:17" x14ac:dyDescent="0.3">
      <c r="A4694" t="s">
        <v>35</v>
      </c>
      <c r="B4694" t="s">
        <v>15</v>
      </c>
      <c r="C4694" t="s">
        <v>30</v>
      </c>
      <c r="D4694" t="s">
        <v>46</v>
      </c>
      <c r="E4694" t="s">
        <v>15</v>
      </c>
      <c r="F4694" s="9">
        <v>0.01</v>
      </c>
      <c r="G4694" s="10">
        <v>6484</v>
      </c>
      <c r="H4694">
        <v>5.63</v>
      </c>
      <c r="I4694" s="5">
        <f>ROUND(Marketing[[#This Row],[Clicks]]*Marketing[[#This Row],[Conversion_Rate]],0)</f>
        <v>7</v>
      </c>
      <c r="J4694" s="12">
        <f>Marketing[[#This Row],[Campaign_Cost]]/Marketing[[#This Row],[Customers]]</f>
        <v>926.28571428571433</v>
      </c>
      <c r="K4694" t="s">
        <v>25</v>
      </c>
      <c r="L4694" t="s">
        <v>50</v>
      </c>
      <c r="M4694">
        <v>654</v>
      </c>
      <c r="N4694">
        <v>7564</v>
      </c>
      <c r="O4694">
        <v>8</v>
      </c>
      <c r="P4694" t="s">
        <v>27</v>
      </c>
      <c r="Q4694" s="1">
        <v>44509</v>
      </c>
    </row>
    <row r="4695" spans="1:17" x14ac:dyDescent="0.3">
      <c r="A4695" t="s">
        <v>35</v>
      </c>
      <c r="B4695" t="s">
        <v>47</v>
      </c>
      <c r="C4695" t="s">
        <v>23</v>
      </c>
      <c r="D4695" t="s">
        <v>17</v>
      </c>
      <c r="E4695" t="s">
        <v>43</v>
      </c>
      <c r="F4695" s="9">
        <v>0.09</v>
      </c>
      <c r="G4695" s="10">
        <v>7293</v>
      </c>
      <c r="H4695">
        <v>4.1500000000000004</v>
      </c>
      <c r="I4695" s="5">
        <f>ROUND(Marketing[[#This Row],[Clicks]]*Marketing[[#This Row],[Conversion_Rate]],0)</f>
        <v>37</v>
      </c>
      <c r="J4695" s="12">
        <f>Marketing[[#This Row],[Campaign_Cost]]/Marketing[[#This Row],[Customers]]</f>
        <v>197.1081081081081</v>
      </c>
      <c r="K4695" t="s">
        <v>19</v>
      </c>
      <c r="L4695" t="s">
        <v>20</v>
      </c>
      <c r="M4695">
        <v>414</v>
      </c>
      <c r="N4695">
        <v>1420</v>
      </c>
      <c r="O4695">
        <v>5</v>
      </c>
      <c r="P4695" t="s">
        <v>44</v>
      </c>
      <c r="Q4695" s="1">
        <v>44510</v>
      </c>
    </row>
    <row r="4696" spans="1:17" x14ac:dyDescent="0.3">
      <c r="A4696" t="s">
        <v>22</v>
      </c>
      <c r="B4696" t="s">
        <v>45</v>
      </c>
      <c r="C4696" t="s">
        <v>37</v>
      </c>
      <c r="D4696" t="s">
        <v>40</v>
      </c>
      <c r="E4696" t="s">
        <v>31</v>
      </c>
      <c r="F4696" s="9">
        <v>0.02</v>
      </c>
      <c r="G4696" s="10">
        <v>18069</v>
      </c>
      <c r="H4696">
        <v>6.58</v>
      </c>
      <c r="I4696" s="5">
        <f>ROUND(Marketing[[#This Row],[Clicks]]*Marketing[[#This Row],[Conversion_Rate]],0)</f>
        <v>16</v>
      </c>
      <c r="J4696" s="12">
        <f>Marketing[[#This Row],[Campaign_Cost]]/Marketing[[#This Row],[Customers]]</f>
        <v>1129.3125</v>
      </c>
      <c r="K4696" t="s">
        <v>38</v>
      </c>
      <c r="L4696" t="s">
        <v>33</v>
      </c>
      <c r="M4696">
        <v>809</v>
      </c>
      <c r="N4696">
        <v>1640</v>
      </c>
      <c r="O4696">
        <v>2</v>
      </c>
      <c r="P4696" t="s">
        <v>42</v>
      </c>
      <c r="Q4696" s="1">
        <v>44511</v>
      </c>
    </row>
    <row r="4697" spans="1:17" x14ac:dyDescent="0.3">
      <c r="A4697" t="s">
        <v>35</v>
      </c>
      <c r="B4697" t="s">
        <v>15</v>
      </c>
      <c r="C4697" t="s">
        <v>52</v>
      </c>
      <c r="D4697" t="s">
        <v>17</v>
      </c>
      <c r="E4697" t="s">
        <v>31</v>
      </c>
      <c r="F4697" s="9">
        <v>0.1</v>
      </c>
      <c r="G4697" s="10">
        <v>18841</v>
      </c>
      <c r="H4697">
        <v>7.31</v>
      </c>
      <c r="I4697" s="5">
        <f>ROUND(Marketing[[#This Row],[Clicks]]*Marketing[[#This Row],[Conversion_Rate]],0)</f>
        <v>22</v>
      </c>
      <c r="J4697" s="12">
        <f>Marketing[[#This Row],[Campaign_Cost]]/Marketing[[#This Row],[Customers]]</f>
        <v>856.40909090909088</v>
      </c>
      <c r="K4697" t="s">
        <v>38</v>
      </c>
      <c r="L4697" t="s">
        <v>39</v>
      </c>
      <c r="M4697">
        <v>215</v>
      </c>
      <c r="N4697">
        <v>8071</v>
      </c>
      <c r="O4697">
        <v>9</v>
      </c>
      <c r="P4697" t="s">
        <v>34</v>
      </c>
      <c r="Q4697" s="1">
        <v>44512</v>
      </c>
    </row>
    <row r="4698" spans="1:17" x14ac:dyDescent="0.3">
      <c r="A4698" t="s">
        <v>22</v>
      </c>
      <c r="B4698" t="s">
        <v>45</v>
      </c>
      <c r="C4698" t="s">
        <v>30</v>
      </c>
      <c r="D4698" t="s">
        <v>40</v>
      </c>
      <c r="E4698" t="s">
        <v>15</v>
      </c>
      <c r="F4698" s="9">
        <v>0.06</v>
      </c>
      <c r="G4698" s="10">
        <v>5101</v>
      </c>
      <c r="H4698">
        <v>7.12</v>
      </c>
      <c r="I4698" s="5">
        <f>ROUND(Marketing[[#This Row],[Clicks]]*Marketing[[#This Row],[Conversion_Rate]],0)</f>
        <v>49</v>
      </c>
      <c r="J4698" s="12">
        <f>Marketing[[#This Row],[Campaign_Cost]]/Marketing[[#This Row],[Customers]]</f>
        <v>104.10204081632654</v>
      </c>
      <c r="K4698" t="s">
        <v>51</v>
      </c>
      <c r="L4698" t="s">
        <v>20</v>
      </c>
      <c r="M4698">
        <v>820</v>
      </c>
      <c r="N4698">
        <v>6595</v>
      </c>
      <c r="O4698">
        <v>10</v>
      </c>
      <c r="P4698" t="s">
        <v>34</v>
      </c>
      <c r="Q4698" s="1">
        <v>44513</v>
      </c>
    </row>
    <row r="4699" spans="1:17" x14ac:dyDescent="0.3">
      <c r="A4699" t="s">
        <v>22</v>
      </c>
      <c r="B4699" t="s">
        <v>45</v>
      </c>
      <c r="C4699" t="s">
        <v>23</v>
      </c>
      <c r="D4699" t="s">
        <v>17</v>
      </c>
      <c r="E4699" t="s">
        <v>41</v>
      </c>
      <c r="F4699" s="9">
        <v>0.08</v>
      </c>
      <c r="G4699" s="10">
        <v>17578</v>
      </c>
      <c r="H4699">
        <v>7.02</v>
      </c>
      <c r="I4699" s="5">
        <f>ROUND(Marketing[[#This Row],[Clicks]]*Marketing[[#This Row],[Conversion_Rate]],0)</f>
        <v>43</v>
      </c>
      <c r="J4699" s="12">
        <f>Marketing[[#This Row],[Campaign_Cost]]/Marketing[[#This Row],[Customers]]</f>
        <v>408.7906976744186</v>
      </c>
      <c r="K4699" t="s">
        <v>25</v>
      </c>
      <c r="L4699" t="s">
        <v>50</v>
      </c>
      <c r="M4699">
        <v>542</v>
      </c>
      <c r="N4699">
        <v>8194</v>
      </c>
      <c r="O4699">
        <v>4</v>
      </c>
      <c r="P4699" t="s">
        <v>42</v>
      </c>
      <c r="Q4699" s="1">
        <v>44514</v>
      </c>
    </row>
    <row r="4700" spans="1:17" x14ac:dyDescent="0.3">
      <c r="A4700" t="s">
        <v>22</v>
      </c>
      <c r="B4700" t="s">
        <v>47</v>
      </c>
      <c r="C4700" t="s">
        <v>30</v>
      </c>
      <c r="D4700" t="s">
        <v>17</v>
      </c>
      <c r="E4700" t="s">
        <v>48</v>
      </c>
      <c r="F4700" s="9">
        <v>0.08</v>
      </c>
      <c r="G4700" s="10">
        <v>10580</v>
      </c>
      <c r="H4700">
        <v>3.31</v>
      </c>
      <c r="I4700" s="5">
        <f>ROUND(Marketing[[#This Row],[Clicks]]*Marketing[[#This Row],[Conversion_Rate]],0)</f>
        <v>63</v>
      </c>
      <c r="J4700" s="12">
        <f>Marketing[[#This Row],[Campaign_Cost]]/Marketing[[#This Row],[Customers]]</f>
        <v>167.93650793650792</v>
      </c>
      <c r="K4700" t="s">
        <v>32</v>
      </c>
      <c r="L4700" t="s">
        <v>39</v>
      </c>
      <c r="M4700">
        <v>791</v>
      </c>
      <c r="N4700">
        <v>3012</v>
      </c>
      <c r="O4700">
        <v>6</v>
      </c>
      <c r="P4700" t="s">
        <v>27</v>
      </c>
      <c r="Q4700" s="1">
        <v>44515</v>
      </c>
    </row>
    <row r="4701" spans="1:17" x14ac:dyDescent="0.3">
      <c r="A4701" t="s">
        <v>14</v>
      </c>
      <c r="B4701" t="s">
        <v>36</v>
      </c>
      <c r="C4701" t="s">
        <v>23</v>
      </c>
      <c r="D4701" t="s">
        <v>40</v>
      </c>
      <c r="E4701" t="s">
        <v>41</v>
      </c>
      <c r="F4701" s="9">
        <v>0.1</v>
      </c>
      <c r="G4701" s="10">
        <v>16005</v>
      </c>
      <c r="H4701">
        <v>5.33</v>
      </c>
      <c r="I4701" s="5">
        <f>ROUND(Marketing[[#This Row],[Clicks]]*Marketing[[#This Row],[Conversion_Rate]],0)</f>
        <v>93</v>
      </c>
      <c r="J4701" s="12">
        <f>Marketing[[#This Row],[Campaign_Cost]]/Marketing[[#This Row],[Customers]]</f>
        <v>172.09677419354838</v>
      </c>
      <c r="K4701" t="s">
        <v>32</v>
      </c>
      <c r="L4701" t="s">
        <v>26</v>
      </c>
      <c r="M4701">
        <v>929</v>
      </c>
      <c r="N4701">
        <v>5361</v>
      </c>
      <c r="O4701">
        <v>10</v>
      </c>
      <c r="P4701" t="s">
        <v>21</v>
      </c>
      <c r="Q4701" s="1">
        <v>44516</v>
      </c>
    </row>
    <row r="4702" spans="1:17" x14ac:dyDescent="0.3">
      <c r="A4702" t="s">
        <v>28</v>
      </c>
      <c r="B4702" t="s">
        <v>29</v>
      </c>
      <c r="C4702" t="s">
        <v>37</v>
      </c>
      <c r="D4702" t="s">
        <v>46</v>
      </c>
      <c r="E4702" t="s">
        <v>15</v>
      </c>
      <c r="F4702" s="9">
        <v>0.02</v>
      </c>
      <c r="G4702" s="10">
        <v>9701</v>
      </c>
      <c r="H4702">
        <v>4.87</v>
      </c>
      <c r="I4702" s="5">
        <f>ROUND(Marketing[[#This Row],[Clicks]]*Marketing[[#This Row],[Conversion_Rate]],0)</f>
        <v>18</v>
      </c>
      <c r="J4702" s="12">
        <f>Marketing[[#This Row],[Campaign_Cost]]/Marketing[[#This Row],[Customers]]</f>
        <v>538.94444444444446</v>
      </c>
      <c r="K4702" t="s">
        <v>19</v>
      </c>
      <c r="L4702" t="s">
        <v>33</v>
      </c>
      <c r="M4702">
        <v>924</v>
      </c>
      <c r="N4702">
        <v>6041</v>
      </c>
      <c r="O4702">
        <v>3</v>
      </c>
      <c r="P4702" t="s">
        <v>44</v>
      </c>
      <c r="Q4702" s="1">
        <v>44517</v>
      </c>
    </row>
    <row r="4703" spans="1:17" x14ac:dyDescent="0.3">
      <c r="A4703" t="s">
        <v>35</v>
      </c>
      <c r="B4703" t="s">
        <v>29</v>
      </c>
      <c r="C4703" t="s">
        <v>37</v>
      </c>
      <c r="D4703" t="s">
        <v>40</v>
      </c>
      <c r="E4703" t="s">
        <v>48</v>
      </c>
      <c r="F4703" s="9">
        <v>0.1</v>
      </c>
      <c r="G4703" s="10">
        <v>13744</v>
      </c>
      <c r="H4703">
        <v>2.33</v>
      </c>
      <c r="I4703" s="5">
        <f>ROUND(Marketing[[#This Row],[Clicks]]*Marketing[[#This Row],[Conversion_Rate]],0)</f>
        <v>55</v>
      </c>
      <c r="J4703" s="12">
        <f>Marketing[[#This Row],[Campaign_Cost]]/Marketing[[#This Row],[Customers]]</f>
        <v>249.8909090909091</v>
      </c>
      <c r="K4703" t="s">
        <v>51</v>
      </c>
      <c r="L4703" t="s">
        <v>20</v>
      </c>
      <c r="M4703">
        <v>554</v>
      </c>
      <c r="N4703">
        <v>6560</v>
      </c>
      <c r="O4703">
        <v>3</v>
      </c>
      <c r="P4703" t="s">
        <v>44</v>
      </c>
      <c r="Q4703" s="1">
        <v>44518</v>
      </c>
    </row>
    <row r="4704" spans="1:17" x14ac:dyDescent="0.3">
      <c r="A4704" t="s">
        <v>14</v>
      </c>
      <c r="B4704" t="s">
        <v>47</v>
      </c>
      <c r="C4704" t="s">
        <v>30</v>
      </c>
      <c r="D4704" t="s">
        <v>24</v>
      </c>
      <c r="E4704" t="s">
        <v>15</v>
      </c>
      <c r="F4704" s="9">
        <v>0.02</v>
      </c>
      <c r="G4704" s="10">
        <v>12218</v>
      </c>
      <c r="H4704">
        <v>4.62</v>
      </c>
      <c r="I4704" s="5">
        <f>ROUND(Marketing[[#This Row],[Clicks]]*Marketing[[#This Row],[Conversion_Rate]],0)</f>
        <v>15</v>
      </c>
      <c r="J4704" s="12">
        <f>Marketing[[#This Row],[Campaign_Cost]]/Marketing[[#This Row],[Customers]]</f>
        <v>814.5333333333333</v>
      </c>
      <c r="K4704" t="s">
        <v>19</v>
      </c>
      <c r="L4704" t="s">
        <v>20</v>
      </c>
      <c r="M4704">
        <v>773</v>
      </c>
      <c r="N4704">
        <v>2668</v>
      </c>
      <c r="O4704">
        <v>7</v>
      </c>
      <c r="P4704" t="s">
        <v>27</v>
      </c>
      <c r="Q4704" s="1">
        <v>44519</v>
      </c>
    </row>
    <row r="4705" spans="1:17" x14ac:dyDescent="0.3">
      <c r="A4705" t="s">
        <v>49</v>
      </c>
      <c r="B4705" t="s">
        <v>15</v>
      </c>
      <c r="C4705" t="s">
        <v>52</v>
      </c>
      <c r="D4705" t="s">
        <v>46</v>
      </c>
      <c r="E4705" t="s">
        <v>41</v>
      </c>
      <c r="F4705" s="9">
        <v>0.06</v>
      </c>
      <c r="G4705" s="10">
        <v>10206</v>
      </c>
      <c r="H4705">
        <v>3.85</v>
      </c>
      <c r="I4705" s="5">
        <f>ROUND(Marketing[[#This Row],[Clicks]]*Marketing[[#This Row],[Conversion_Rate]],0)</f>
        <v>60</v>
      </c>
      <c r="J4705" s="12">
        <f>Marketing[[#This Row],[Campaign_Cost]]/Marketing[[#This Row],[Customers]]</f>
        <v>170.1</v>
      </c>
      <c r="K4705" t="s">
        <v>25</v>
      </c>
      <c r="L4705" t="s">
        <v>39</v>
      </c>
      <c r="M4705">
        <v>992</v>
      </c>
      <c r="N4705">
        <v>4474</v>
      </c>
      <c r="O4705">
        <v>3</v>
      </c>
      <c r="P4705" t="s">
        <v>21</v>
      </c>
      <c r="Q4705" s="1">
        <v>44520</v>
      </c>
    </row>
    <row r="4706" spans="1:17" x14ac:dyDescent="0.3">
      <c r="A4706" t="s">
        <v>35</v>
      </c>
      <c r="B4706" t="s">
        <v>47</v>
      </c>
      <c r="C4706" t="s">
        <v>23</v>
      </c>
      <c r="D4706" t="s">
        <v>40</v>
      </c>
      <c r="E4706" t="s">
        <v>15</v>
      </c>
      <c r="F4706" s="9">
        <v>0.15</v>
      </c>
      <c r="G4706" s="10">
        <v>13282</v>
      </c>
      <c r="H4706">
        <v>7.28</v>
      </c>
      <c r="I4706" s="5">
        <f>ROUND(Marketing[[#This Row],[Clicks]]*Marketing[[#This Row],[Conversion_Rate]],0)</f>
        <v>94</v>
      </c>
      <c r="J4706" s="12">
        <f>Marketing[[#This Row],[Campaign_Cost]]/Marketing[[#This Row],[Customers]]</f>
        <v>141.29787234042553</v>
      </c>
      <c r="K4706" t="s">
        <v>19</v>
      </c>
      <c r="L4706" t="s">
        <v>33</v>
      </c>
      <c r="M4706">
        <v>629</v>
      </c>
      <c r="N4706">
        <v>4179</v>
      </c>
      <c r="O4706">
        <v>2</v>
      </c>
      <c r="P4706" t="s">
        <v>27</v>
      </c>
      <c r="Q4706" s="1">
        <v>44521</v>
      </c>
    </row>
    <row r="4707" spans="1:17" x14ac:dyDescent="0.3">
      <c r="A4707" t="s">
        <v>22</v>
      </c>
      <c r="B4707" t="s">
        <v>15</v>
      </c>
      <c r="C4707" t="s">
        <v>37</v>
      </c>
      <c r="D4707" t="s">
        <v>40</v>
      </c>
      <c r="E4707" t="s">
        <v>18</v>
      </c>
      <c r="F4707" s="9">
        <v>0.03</v>
      </c>
      <c r="G4707" s="10">
        <v>14077</v>
      </c>
      <c r="H4707">
        <v>5.91</v>
      </c>
      <c r="I4707" s="5">
        <f>ROUND(Marketing[[#This Row],[Clicks]]*Marketing[[#This Row],[Conversion_Rate]],0)</f>
        <v>16</v>
      </c>
      <c r="J4707" s="12">
        <f>Marketing[[#This Row],[Campaign_Cost]]/Marketing[[#This Row],[Customers]]</f>
        <v>879.8125</v>
      </c>
      <c r="K4707" t="s">
        <v>32</v>
      </c>
      <c r="L4707" t="s">
        <v>20</v>
      </c>
      <c r="M4707">
        <v>549</v>
      </c>
      <c r="N4707">
        <v>8153</v>
      </c>
      <c r="O4707">
        <v>4</v>
      </c>
      <c r="P4707" t="s">
        <v>27</v>
      </c>
      <c r="Q4707" s="1">
        <v>44522</v>
      </c>
    </row>
    <row r="4708" spans="1:17" x14ac:dyDescent="0.3">
      <c r="A4708" t="s">
        <v>14</v>
      </c>
      <c r="B4708" t="s">
        <v>29</v>
      </c>
      <c r="C4708" t="s">
        <v>37</v>
      </c>
      <c r="D4708" t="s">
        <v>46</v>
      </c>
      <c r="E4708" t="s">
        <v>43</v>
      </c>
      <c r="F4708" s="9">
        <v>0.12</v>
      </c>
      <c r="G4708" s="10">
        <v>18171</v>
      </c>
      <c r="H4708">
        <v>5.64</v>
      </c>
      <c r="I4708" s="5">
        <f>ROUND(Marketing[[#This Row],[Clicks]]*Marketing[[#This Row],[Conversion_Rate]],0)</f>
        <v>80</v>
      </c>
      <c r="J4708" s="12">
        <f>Marketing[[#This Row],[Campaign_Cost]]/Marketing[[#This Row],[Customers]]</f>
        <v>227.13749999999999</v>
      </c>
      <c r="K4708" t="s">
        <v>25</v>
      </c>
      <c r="L4708" t="s">
        <v>26</v>
      </c>
      <c r="M4708">
        <v>667</v>
      </c>
      <c r="N4708">
        <v>3408</v>
      </c>
      <c r="O4708">
        <v>8</v>
      </c>
      <c r="P4708" t="s">
        <v>34</v>
      </c>
      <c r="Q4708" s="1">
        <v>44523</v>
      </c>
    </row>
    <row r="4709" spans="1:17" x14ac:dyDescent="0.3">
      <c r="A4709" t="s">
        <v>22</v>
      </c>
      <c r="B4709" t="s">
        <v>47</v>
      </c>
      <c r="C4709" t="s">
        <v>23</v>
      </c>
      <c r="D4709" t="s">
        <v>24</v>
      </c>
      <c r="E4709" t="s">
        <v>15</v>
      </c>
      <c r="F4709" s="9">
        <v>0.05</v>
      </c>
      <c r="G4709" s="10">
        <v>17193</v>
      </c>
      <c r="H4709">
        <v>3.39</v>
      </c>
      <c r="I4709" s="5">
        <f>ROUND(Marketing[[#This Row],[Clicks]]*Marketing[[#This Row],[Conversion_Rate]],0)</f>
        <v>17</v>
      </c>
      <c r="J4709" s="12">
        <f>Marketing[[#This Row],[Campaign_Cost]]/Marketing[[#This Row],[Customers]]</f>
        <v>1011.3529411764706</v>
      </c>
      <c r="K4709" t="s">
        <v>25</v>
      </c>
      <c r="L4709" t="s">
        <v>39</v>
      </c>
      <c r="M4709">
        <v>332</v>
      </c>
      <c r="N4709">
        <v>6630</v>
      </c>
      <c r="O4709">
        <v>1</v>
      </c>
      <c r="P4709" t="s">
        <v>34</v>
      </c>
      <c r="Q4709" s="1">
        <v>44524</v>
      </c>
    </row>
    <row r="4710" spans="1:17" x14ac:dyDescent="0.3">
      <c r="A4710" t="s">
        <v>35</v>
      </c>
      <c r="B4710" t="s">
        <v>47</v>
      </c>
      <c r="C4710" t="s">
        <v>52</v>
      </c>
      <c r="D4710" t="s">
        <v>40</v>
      </c>
      <c r="E4710" t="s">
        <v>18</v>
      </c>
      <c r="F4710" s="9">
        <v>0.01</v>
      </c>
      <c r="G4710" s="10">
        <v>12656</v>
      </c>
      <c r="H4710">
        <v>3.59</v>
      </c>
      <c r="I4710" s="5">
        <f>ROUND(Marketing[[#This Row],[Clicks]]*Marketing[[#This Row],[Conversion_Rate]],0)</f>
        <v>1</v>
      </c>
      <c r="J4710" s="12">
        <f>Marketing[[#This Row],[Campaign_Cost]]/Marketing[[#This Row],[Customers]]</f>
        <v>12656</v>
      </c>
      <c r="K4710" t="s">
        <v>38</v>
      </c>
      <c r="L4710" t="s">
        <v>39</v>
      </c>
      <c r="M4710">
        <v>134</v>
      </c>
      <c r="N4710">
        <v>1800</v>
      </c>
      <c r="O4710">
        <v>6</v>
      </c>
      <c r="P4710" t="s">
        <v>27</v>
      </c>
      <c r="Q4710" s="1">
        <v>44525</v>
      </c>
    </row>
    <row r="4711" spans="1:17" x14ac:dyDescent="0.3">
      <c r="A4711" t="s">
        <v>35</v>
      </c>
      <c r="B4711" t="s">
        <v>45</v>
      </c>
      <c r="C4711" t="s">
        <v>37</v>
      </c>
      <c r="D4711" t="s">
        <v>46</v>
      </c>
      <c r="E4711" t="s">
        <v>18</v>
      </c>
      <c r="F4711" s="9">
        <v>0.01</v>
      </c>
      <c r="G4711" s="10">
        <v>5460</v>
      </c>
      <c r="H4711">
        <v>3.72</v>
      </c>
      <c r="I4711" s="5">
        <f>ROUND(Marketing[[#This Row],[Clicks]]*Marketing[[#This Row],[Conversion_Rate]],0)</f>
        <v>2</v>
      </c>
      <c r="J4711" s="12">
        <f>Marketing[[#This Row],[Campaign_Cost]]/Marketing[[#This Row],[Customers]]</f>
        <v>2730</v>
      </c>
      <c r="K4711" t="s">
        <v>38</v>
      </c>
      <c r="L4711" t="s">
        <v>33</v>
      </c>
      <c r="M4711">
        <v>200</v>
      </c>
      <c r="N4711">
        <v>4688</v>
      </c>
      <c r="O4711">
        <v>10</v>
      </c>
      <c r="P4711" t="s">
        <v>27</v>
      </c>
      <c r="Q4711" s="1">
        <v>44526</v>
      </c>
    </row>
    <row r="4712" spans="1:17" x14ac:dyDescent="0.3">
      <c r="A4712" t="s">
        <v>28</v>
      </c>
      <c r="B4712" t="s">
        <v>29</v>
      </c>
      <c r="C4712" t="s">
        <v>37</v>
      </c>
      <c r="D4712" t="s">
        <v>46</v>
      </c>
      <c r="E4712" t="s">
        <v>43</v>
      </c>
      <c r="F4712" s="9">
        <v>0.06</v>
      </c>
      <c r="G4712" s="10">
        <v>13343</v>
      </c>
      <c r="H4712">
        <v>2.14</v>
      </c>
      <c r="I4712" s="5">
        <f>ROUND(Marketing[[#This Row],[Clicks]]*Marketing[[#This Row],[Conversion_Rate]],0)</f>
        <v>18</v>
      </c>
      <c r="J4712" s="12">
        <f>Marketing[[#This Row],[Campaign_Cost]]/Marketing[[#This Row],[Customers]]</f>
        <v>741.27777777777783</v>
      </c>
      <c r="K4712" t="s">
        <v>19</v>
      </c>
      <c r="L4712" t="s">
        <v>50</v>
      </c>
      <c r="M4712">
        <v>294</v>
      </c>
      <c r="N4712">
        <v>1875</v>
      </c>
      <c r="O4712">
        <v>9</v>
      </c>
      <c r="P4712" t="s">
        <v>42</v>
      </c>
      <c r="Q4712" s="1">
        <v>44527</v>
      </c>
    </row>
    <row r="4713" spans="1:17" x14ac:dyDescent="0.3">
      <c r="A4713" t="s">
        <v>49</v>
      </c>
      <c r="B4713" t="s">
        <v>47</v>
      </c>
      <c r="C4713" t="s">
        <v>52</v>
      </c>
      <c r="D4713" t="s">
        <v>46</v>
      </c>
      <c r="E4713" t="s">
        <v>15</v>
      </c>
      <c r="F4713" s="9">
        <v>0.13</v>
      </c>
      <c r="G4713" s="10">
        <v>6509</v>
      </c>
      <c r="H4713">
        <v>2.57</v>
      </c>
      <c r="I4713" s="5">
        <f>ROUND(Marketing[[#This Row],[Clicks]]*Marketing[[#This Row],[Conversion_Rate]],0)</f>
        <v>80</v>
      </c>
      <c r="J4713" s="12">
        <f>Marketing[[#This Row],[Campaign_Cost]]/Marketing[[#This Row],[Customers]]</f>
        <v>81.362499999999997</v>
      </c>
      <c r="K4713" t="s">
        <v>19</v>
      </c>
      <c r="L4713" t="s">
        <v>50</v>
      </c>
      <c r="M4713">
        <v>619</v>
      </c>
      <c r="N4713">
        <v>4583</v>
      </c>
      <c r="O4713">
        <v>4</v>
      </c>
      <c r="P4713" t="s">
        <v>27</v>
      </c>
      <c r="Q4713" s="1">
        <v>44528</v>
      </c>
    </row>
    <row r="4714" spans="1:17" x14ac:dyDescent="0.3">
      <c r="A4714" t="s">
        <v>35</v>
      </c>
      <c r="B4714" t="s">
        <v>36</v>
      </c>
      <c r="C4714" t="s">
        <v>30</v>
      </c>
      <c r="D4714" t="s">
        <v>40</v>
      </c>
      <c r="E4714" t="s">
        <v>15</v>
      </c>
      <c r="F4714" s="9">
        <v>0.08</v>
      </c>
      <c r="G4714" s="10">
        <v>9445</v>
      </c>
      <c r="H4714">
        <v>5.67</v>
      </c>
      <c r="I4714" s="5">
        <f>ROUND(Marketing[[#This Row],[Clicks]]*Marketing[[#This Row],[Conversion_Rate]],0)</f>
        <v>28</v>
      </c>
      <c r="J4714" s="12">
        <f>Marketing[[#This Row],[Campaign_Cost]]/Marketing[[#This Row],[Customers]]</f>
        <v>337.32142857142856</v>
      </c>
      <c r="K4714" t="s">
        <v>51</v>
      </c>
      <c r="L4714" t="s">
        <v>33</v>
      </c>
      <c r="M4714">
        <v>350</v>
      </c>
      <c r="N4714">
        <v>8869</v>
      </c>
      <c r="O4714">
        <v>1</v>
      </c>
      <c r="P4714" t="s">
        <v>42</v>
      </c>
      <c r="Q4714" s="1">
        <v>44529</v>
      </c>
    </row>
    <row r="4715" spans="1:17" x14ac:dyDescent="0.3">
      <c r="A4715" t="s">
        <v>35</v>
      </c>
      <c r="B4715" t="s">
        <v>47</v>
      </c>
      <c r="C4715" t="s">
        <v>30</v>
      </c>
      <c r="D4715" t="s">
        <v>17</v>
      </c>
      <c r="E4715" t="s">
        <v>48</v>
      </c>
      <c r="F4715" s="9">
        <v>0.06</v>
      </c>
      <c r="G4715" s="10">
        <v>13395</v>
      </c>
      <c r="H4715">
        <v>2.12</v>
      </c>
      <c r="I4715" s="5">
        <f>ROUND(Marketing[[#This Row],[Clicks]]*Marketing[[#This Row],[Conversion_Rate]],0)</f>
        <v>45</v>
      </c>
      <c r="J4715" s="12">
        <f>Marketing[[#This Row],[Campaign_Cost]]/Marketing[[#This Row],[Customers]]</f>
        <v>297.66666666666669</v>
      </c>
      <c r="K4715" t="s">
        <v>25</v>
      </c>
      <c r="L4715" t="s">
        <v>26</v>
      </c>
      <c r="M4715">
        <v>745</v>
      </c>
      <c r="N4715">
        <v>7483</v>
      </c>
      <c r="O4715">
        <v>7</v>
      </c>
      <c r="P4715" t="s">
        <v>42</v>
      </c>
      <c r="Q4715" s="1">
        <v>44530</v>
      </c>
    </row>
    <row r="4716" spans="1:17" x14ac:dyDescent="0.3">
      <c r="A4716" t="s">
        <v>14</v>
      </c>
      <c r="B4716" t="s">
        <v>29</v>
      </c>
      <c r="C4716" t="s">
        <v>37</v>
      </c>
      <c r="D4716" t="s">
        <v>40</v>
      </c>
      <c r="E4716" t="s">
        <v>48</v>
      </c>
      <c r="F4716" s="9">
        <v>0.15</v>
      </c>
      <c r="G4716" s="10">
        <v>6290</v>
      </c>
      <c r="H4716">
        <v>6.16</v>
      </c>
      <c r="I4716" s="5">
        <f>ROUND(Marketing[[#This Row],[Clicks]]*Marketing[[#This Row],[Conversion_Rate]],0)</f>
        <v>42</v>
      </c>
      <c r="J4716" s="12">
        <f>Marketing[[#This Row],[Campaign_Cost]]/Marketing[[#This Row],[Customers]]</f>
        <v>149.76190476190476</v>
      </c>
      <c r="K4716" t="s">
        <v>25</v>
      </c>
      <c r="L4716" t="s">
        <v>33</v>
      </c>
      <c r="M4716">
        <v>283</v>
      </c>
      <c r="N4716">
        <v>2626</v>
      </c>
      <c r="O4716">
        <v>2</v>
      </c>
      <c r="P4716" t="s">
        <v>27</v>
      </c>
      <c r="Q4716" s="1">
        <v>44531</v>
      </c>
    </row>
    <row r="4717" spans="1:17" x14ac:dyDescent="0.3">
      <c r="A4717" t="s">
        <v>14</v>
      </c>
      <c r="B4717" t="s">
        <v>45</v>
      </c>
      <c r="C4717" t="s">
        <v>16</v>
      </c>
      <c r="D4717" t="s">
        <v>40</v>
      </c>
      <c r="E4717" t="s">
        <v>48</v>
      </c>
      <c r="F4717" s="9">
        <v>0.11</v>
      </c>
      <c r="G4717" s="10">
        <v>16369</v>
      </c>
      <c r="H4717">
        <v>3.05</v>
      </c>
      <c r="I4717" s="5">
        <f>ROUND(Marketing[[#This Row],[Clicks]]*Marketing[[#This Row],[Conversion_Rate]],0)</f>
        <v>97</v>
      </c>
      <c r="J4717" s="12">
        <f>Marketing[[#This Row],[Campaign_Cost]]/Marketing[[#This Row],[Customers]]</f>
        <v>168.75257731958763</v>
      </c>
      <c r="K4717" t="s">
        <v>32</v>
      </c>
      <c r="L4717" t="s">
        <v>26</v>
      </c>
      <c r="M4717">
        <v>886</v>
      </c>
      <c r="N4717">
        <v>7465</v>
      </c>
      <c r="O4717">
        <v>6</v>
      </c>
      <c r="P4717" t="s">
        <v>27</v>
      </c>
      <c r="Q4717" s="1">
        <v>44532</v>
      </c>
    </row>
    <row r="4718" spans="1:17" x14ac:dyDescent="0.3">
      <c r="A4718" t="s">
        <v>35</v>
      </c>
      <c r="B4718" t="s">
        <v>47</v>
      </c>
      <c r="C4718" t="s">
        <v>30</v>
      </c>
      <c r="D4718" t="s">
        <v>40</v>
      </c>
      <c r="E4718" t="s">
        <v>41</v>
      </c>
      <c r="F4718" s="9">
        <v>0.01</v>
      </c>
      <c r="G4718" s="10">
        <v>15994</v>
      </c>
      <c r="H4718">
        <v>2.02</v>
      </c>
      <c r="I4718" s="5">
        <f>ROUND(Marketing[[#This Row],[Clicks]]*Marketing[[#This Row],[Conversion_Rate]],0)</f>
        <v>6</v>
      </c>
      <c r="J4718" s="12">
        <f>Marketing[[#This Row],[Campaign_Cost]]/Marketing[[#This Row],[Customers]]</f>
        <v>2665.6666666666665</v>
      </c>
      <c r="K4718" t="s">
        <v>38</v>
      </c>
      <c r="L4718" t="s">
        <v>26</v>
      </c>
      <c r="M4718">
        <v>604</v>
      </c>
      <c r="N4718">
        <v>9195</v>
      </c>
      <c r="O4718">
        <v>5</v>
      </c>
      <c r="P4718" t="s">
        <v>44</v>
      </c>
      <c r="Q4718" s="1">
        <v>44533</v>
      </c>
    </row>
    <row r="4719" spans="1:17" x14ac:dyDescent="0.3">
      <c r="A4719" t="s">
        <v>49</v>
      </c>
      <c r="B4719" t="s">
        <v>29</v>
      </c>
      <c r="C4719" t="s">
        <v>16</v>
      </c>
      <c r="D4719" t="s">
        <v>46</v>
      </c>
      <c r="E4719" t="s">
        <v>31</v>
      </c>
      <c r="F4719" s="9">
        <v>0.05</v>
      </c>
      <c r="G4719" s="10">
        <v>11035</v>
      </c>
      <c r="H4719">
        <v>4.29</v>
      </c>
      <c r="I4719" s="5">
        <f>ROUND(Marketing[[#This Row],[Clicks]]*Marketing[[#This Row],[Conversion_Rate]],0)</f>
        <v>5</v>
      </c>
      <c r="J4719" s="12">
        <f>Marketing[[#This Row],[Campaign_Cost]]/Marketing[[#This Row],[Customers]]</f>
        <v>2207</v>
      </c>
      <c r="K4719" t="s">
        <v>51</v>
      </c>
      <c r="L4719" t="s">
        <v>39</v>
      </c>
      <c r="M4719">
        <v>101</v>
      </c>
      <c r="N4719">
        <v>2329</v>
      </c>
      <c r="O4719">
        <v>3</v>
      </c>
      <c r="P4719" t="s">
        <v>42</v>
      </c>
      <c r="Q4719" s="1">
        <v>44534</v>
      </c>
    </row>
    <row r="4720" spans="1:17" x14ac:dyDescent="0.3">
      <c r="A4720" t="s">
        <v>35</v>
      </c>
      <c r="B4720" t="s">
        <v>36</v>
      </c>
      <c r="C4720" t="s">
        <v>37</v>
      </c>
      <c r="D4720" t="s">
        <v>40</v>
      </c>
      <c r="E4720" t="s">
        <v>41</v>
      </c>
      <c r="F4720" s="9">
        <v>0.14000000000000001</v>
      </c>
      <c r="G4720" s="10">
        <v>8693</v>
      </c>
      <c r="H4720">
        <v>2.76</v>
      </c>
      <c r="I4720" s="5">
        <f>ROUND(Marketing[[#This Row],[Clicks]]*Marketing[[#This Row],[Conversion_Rate]],0)</f>
        <v>14</v>
      </c>
      <c r="J4720" s="12">
        <f>Marketing[[#This Row],[Campaign_Cost]]/Marketing[[#This Row],[Customers]]</f>
        <v>620.92857142857144</v>
      </c>
      <c r="K4720" t="s">
        <v>19</v>
      </c>
      <c r="L4720" t="s">
        <v>50</v>
      </c>
      <c r="M4720">
        <v>100</v>
      </c>
      <c r="N4720">
        <v>9533</v>
      </c>
      <c r="O4720">
        <v>2</v>
      </c>
      <c r="P4720" t="s">
        <v>21</v>
      </c>
      <c r="Q4720" s="1">
        <v>44535</v>
      </c>
    </row>
    <row r="4721" spans="1:17" x14ac:dyDescent="0.3">
      <c r="A4721" t="s">
        <v>28</v>
      </c>
      <c r="B4721" t="s">
        <v>15</v>
      </c>
      <c r="C4721" t="s">
        <v>37</v>
      </c>
      <c r="D4721" t="s">
        <v>46</v>
      </c>
      <c r="E4721" t="s">
        <v>31</v>
      </c>
      <c r="F4721" s="9">
        <v>0.03</v>
      </c>
      <c r="G4721" s="10">
        <v>19030</v>
      </c>
      <c r="H4721">
        <v>3.01</v>
      </c>
      <c r="I4721" s="5">
        <f>ROUND(Marketing[[#This Row],[Clicks]]*Marketing[[#This Row],[Conversion_Rate]],0)</f>
        <v>22</v>
      </c>
      <c r="J4721" s="12">
        <f>Marketing[[#This Row],[Campaign_Cost]]/Marketing[[#This Row],[Customers]]</f>
        <v>865</v>
      </c>
      <c r="K4721" t="s">
        <v>32</v>
      </c>
      <c r="L4721" t="s">
        <v>26</v>
      </c>
      <c r="M4721">
        <v>735</v>
      </c>
      <c r="N4721">
        <v>5442</v>
      </c>
      <c r="O4721">
        <v>6</v>
      </c>
      <c r="P4721" t="s">
        <v>21</v>
      </c>
      <c r="Q4721" s="1">
        <v>44536</v>
      </c>
    </row>
    <row r="4722" spans="1:17" x14ac:dyDescent="0.3">
      <c r="A4722" t="s">
        <v>14</v>
      </c>
      <c r="B4722" t="s">
        <v>47</v>
      </c>
      <c r="C4722" t="s">
        <v>30</v>
      </c>
      <c r="D4722" t="s">
        <v>46</v>
      </c>
      <c r="E4722" t="s">
        <v>31</v>
      </c>
      <c r="F4722" s="9">
        <v>0.08</v>
      </c>
      <c r="G4722" s="10">
        <v>18334</v>
      </c>
      <c r="H4722">
        <v>5.49</v>
      </c>
      <c r="I4722" s="5">
        <f>ROUND(Marketing[[#This Row],[Clicks]]*Marketing[[#This Row],[Conversion_Rate]],0)</f>
        <v>72</v>
      </c>
      <c r="J4722" s="12">
        <f>Marketing[[#This Row],[Campaign_Cost]]/Marketing[[#This Row],[Customers]]</f>
        <v>254.63888888888889</v>
      </c>
      <c r="K4722" t="s">
        <v>51</v>
      </c>
      <c r="L4722" t="s">
        <v>26</v>
      </c>
      <c r="M4722">
        <v>902</v>
      </c>
      <c r="N4722">
        <v>6104</v>
      </c>
      <c r="O4722">
        <v>10</v>
      </c>
      <c r="P4722" t="s">
        <v>42</v>
      </c>
      <c r="Q4722" s="1">
        <v>44537</v>
      </c>
    </row>
    <row r="4723" spans="1:17" x14ac:dyDescent="0.3">
      <c r="A4723" t="s">
        <v>49</v>
      </c>
      <c r="B4723" t="s">
        <v>45</v>
      </c>
      <c r="C4723" t="s">
        <v>52</v>
      </c>
      <c r="D4723" t="s">
        <v>24</v>
      </c>
      <c r="E4723" t="s">
        <v>15</v>
      </c>
      <c r="F4723" s="9">
        <v>0.02</v>
      </c>
      <c r="G4723" s="10">
        <v>14268</v>
      </c>
      <c r="H4723">
        <v>5.35</v>
      </c>
      <c r="I4723" s="5">
        <f>ROUND(Marketing[[#This Row],[Clicks]]*Marketing[[#This Row],[Conversion_Rate]],0)</f>
        <v>10</v>
      </c>
      <c r="J4723" s="12">
        <f>Marketing[[#This Row],[Campaign_Cost]]/Marketing[[#This Row],[Customers]]</f>
        <v>1426.8</v>
      </c>
      <c r="K4723" t="s">
        <v>32</v>
      </c>
      <c r="L4723" t="s">
        <v>20</v>
      </c>
      <c r="M4723">
        <v>487</v>
      </c>
      <c r="N4723">
        <v>2444</v>
      </c>
      <c r="O4723">
        <v>5</v>
      </c>
      <c r="P4723" t="s">
        <v>44</v>
      </c>
      <c r="Q4723" s="1">
        <v>44538</v>
      </c>
    </row>
    <row r="4724" spans="1:17" x14ac:dyDescent="0.3">
      <c r="A4724" t="s">
        <v>49</v>
      </c>
      <c r="B4724" t="s">
        <v>15</v>
      </c>
      <c r="C4724" t="s">
        <v>37</v>
      </c>
      <c r="D4724" t="s">
        <v>24</v>
      </c>
      <c r="E4724" t="s">
        <v>41</v>
      </c>
      <c r="F4724" s="9">
        <v>0.05</v>
      </c>
      <c r="G4724" s="10">
        <v>11808</v>
      </c>
      <c r="H4724">
        <v>6.39</v>
      </c>
      <c r="I4724" s="5">
        <f>ROUND(Marketing[[#This Row],[Clicks]]*Marketing[[#This Row],[Conversion_Rate]],0)</f>
        <v>41</v>
      </c>
      <c r="J4724" s="12">
        <f>Marketing[[#This Row],[Campaign_Cost]]/Marketing[[#This Row],[Customers]]</f>
        <v>288</v>
      </c>
      <c r="K4724" t="s">
        <v>51</v>
      </c>
      <c r="L4724" t="s">
        <v>50</v>
      </c>
      <c r="M4724">
        <v>822</v>
      </c>
      <c r="N4724">
        <v>4994</v>
      </c>
      <c r="O4724">
        <v>8</v>
      </c>
      <c r="P4724" t="s">
        <v>34</v>
      </c>
      <c r="Q4724" s="1">
        <v>44539</v>
      </c>
    </row>
    <row r="4725" spans="1:17" x14ac:dyDescent="0.3">
      <c r="A4725" t="s">
        <v>49</v>
      </c>
      <c r="B4725" t="s">
        <v>29</v>
      </c>
      <c r="C4725" t="s">
        <v>52</v>
      </c>
      <c r="D4725" t="s">
        <v>17</v>
      </c>
      <c r="E4725" t="s">
        <v>15</v>
      </c>
      <c r="F4725" s="9">
        <v>0.1</v>
      </c>
      <c r="G4725" s="10">
        <v>7480</v>
      </c>
      <c r="H4725">
        <v>6.12</v>
      </c>
      <c r="I4725" s="5">
        <f>ROUND(Marketing[[#This Row],[Clicks]]*Marketing[[#This Row],[Conversion_Rate]],0)</f>
        <v>14</v>
      </c>
      <c r="J4725" s="12">
        <f>Marketing[[#This Row],[Campaign_Cost]]/Marketing[[#This Row],[Customers]]</f>
        <v>534.28571428571433</v>
      </c>
      <c r="K4725" t="s">
        <v>19</v>
      </c>
      <c r="L4725" t="s">
        <v>39</v>
      </c>
      <c r="M4725">
        <v>141</v>
      </c>
      <c r="N4725">
        <v>3388</v>
      </c>
      <c r="O4725">
        <v>9</v>
      </c>
      <c r="P4725" t="s">
        <v>21</v>
      </c>
      <c r="Q4725" s="1">
        <v>44540</v>
      </c>
    </row>
    <row r="4726" spans="1:17" x14ac:dyDescent="0.3">
      <c r="A4726" t="s">
        <v>14</v>
      </c>
      <c r="B4726" t="s">
        <v>47</v>
      </c>
      <c r="C4726" t="s">
        <v>52</v>
      </c>
      <c r="D4726" t="s">
        <v>24</v>
      </c>
      <c r="E4726" t="s">
        <v>43</v>
      </c>
      <c r="F4726" s="9">
        <v>0.09</v>
      </c>
      <c r="G4726" s="10">
        <v>17463</v>
      </c>
      <c r="H4726">
        <v>3.61</v>
      </c>
      <c r="I4726" s="5">
        <f>ROUND(Marketing[[#This Row],[Clicks]]*Marketing[[#This Row],[Conversion_Rate]],0)</f>
        <v>32</v>
      </c>
      <c r="J4726" s="12">
        <f>Marketing[[#This Row],[Campaign_Cost]]/Marketing[[#This Row],[Customers]]</f>
        <v>545.71875</v>
      </c>
      <c r="K4726" t="s">
        <v>38</v>
      </c>
      <c r="L4726" t="s">
        <v>20</v>
      </c>
      <c r="M4726">
        <v>354</v>
      </c>
      <c r="N4726">
        <v>2023</v>
      </c>
      <c r="O4726">
        <v>8</v>
      </c>
      <c r="P4726" t="s">
        <v>21</v>
      </c>
      <c r="Q4726" s="1">
        <v>44541</v>
      </c>
    </row>
    <row r="4727" spans="1:17" x14ac:dyDescent="0.3">
      <c r="A4727" t="s">
        <v>14</v>
      </c>
      <c r="B4727" t="s">
        <v>15</v>
      </c>
      <c r="C4727" t="s">
        <v>16</v>
      </c>
      <c r="D4727" t="s">
        <v>24</v>
      </c>
      <c r="E4727" t="s">
        <v>15</v>
      </c>
      <c r="F4727" s="9">
        <v>0.06</v>
      </c>
      <c r="G4727" s="10">
        <v>5553</v>
      </c>
      <c r="H4727">
        <v>4.74</v>
      </c>
      <c r="I4727" s="5">
        <f>ROUND(Marketing[[#This Row],[Clicks]]*Marketing[[#This Row],[Conversion_Rate]],0)</f>
        <v>48</v>
      </c>
      <c r="J4727" s="12">
        <f>Marketing[[#This Row],[Campaign_Cost]]/Marketing[[#This Row],[Customers]]</f>
        <v>115.6875</v>
      </c>
      <c r="K4727" t="s">
        <v>25</v>
      </c>
      <c r="L4727" t="s">
        <v>20</v>
      </c>
      <c r="M4727">
        <v>806</v>
      </c>
      <c r="N4727">
        <v>4292</v>
      </c>
      <c r="O4727">
        <v>7</v>
      </c>
      <c r="P4727" t="s">
        <v>21</v>
      </c>
      <c r="Q4727" s="1">
        <v>44542</v>
      </c>
    </row>
    <row r="4728" spans="1:17" x14ac:dyDescent="0.3">
      <c r="A4728" t="s">
        <v>35</v>
      </c>
      <c r="B4728" t="s">
        <v>29</v>
      </c>
      <c r="C4728" t="s">
        <v>52</v>
      </c>
      <c r="D4728" t="s">
        <v>24</v>
      </c>
      <c r="E4728" t="s">
        <v>43</v>
      </c>
      <c r="F4728" s="9">
        <v>0.08</v>
      </c>
      <c r="G4728" s="10">
        <v>7447</v>
      </c>
      <c r="H4728">
        <v>7.76</v>
      </c>
      <c r="I4728" s="5">
        <f>ROUND(Marketing[[#This Row],[Clicks]]*Marketing[[#This Row],[Conversion_Rate]],0)</f>
        <v>22</v>
      </c>
      <c r="J4728" s="12">
        <f>Marketing[[#This Row],[Campaign_Cost]]/Marketing[[#This Row],[Customers]]</f>
        <v>338.5</v>
      </c>
      <c r="K4728" t="s">
        <v>32</v>
      </c>
      <c r="L4728" t="s">
        <v>50</v>
      </c>
      <c r="M4728">
        <v>277</v>
      </c>
      <c r="N4728">
        <v>6869</v>
      </c>
      <c r="O4728">
        <v>7</v>
      </c>
      <c r="P4728" t="s">
        <v>21</v>
      </c>
      <c r="Q4728" s="1">
        <v>44543</v>
      </c>
    </row>
    <row r="4729" spans="1:17" x14ac:dyDescent="0.3">
      <c r="A4729" t="s">
        <v>22</v>
      </c>
      <c r="B4729" t="s">
        <v>36</v>
      </c>
      <c r="C4729" t="s">
        <v>23</v>
      </c>
      <c r="D4729" t="s">
        <v>24</v>
      </c>
      <c r="E4729" t="s">
        <v>18</v>
      </c>
      <c r="F4729" s="9">
        <v>0.03</v>
      </c>
      <c r="G4729" s="10">
        <v>5209</v>
      </c>
      <c r="H4729">
        <v>6.27</v>
      </c>
      <c r="I4729" s="5">
        <f>ROUND(Marketing[[#This Row],[Clicks]]*Marketing[[#This Row],[Conversion_Rate]],0)</f>
        <v>21</v>
      </c>
      <c r="J4729" s="12">
        <f>Marketing[[#This Row],[Campaign_Cost]]/Marketing[[#This Row],[Customers]]</f>
        <v>248.04761904761904</v>
      </c>
      <c r="K4729" t="s">
        <v>19</v>
      </c>
      <c r="L4729" t="s">
        <v>20</v>
      </c>
      <c r="M4729">
        <v>696</v>
      </c>
      <c r="N4729">
        <v>4457</v>
      </c>
      <c r="O4729">
        <v>6</v>
      </c>
      <c r="P4729" t="s">
        <v>44</v>
      </c>
      <c r="Q4729" s="1">
        <v>44544</v>
      </c>
    </row>
    <row r="4730" spans="1:17" x14ac:dyDescent="0.3">
      <c r="A4730" t="s">
        <v>35</v>
      </c>
      <c r="B4730" t="s">
        <v>15</v>
      </c>
      <c r="C4730" t="s">
        <v>37</v>
      </c>
      <c r="D4730" t="s">
        <v>40</v>
      </c>
      <c r="E4730" t="s">
        <v>41</v>
      </c>
      <c r="F4730" s="9">
        <v>0.11</v>
      </c>
      <c r="G4730" s="10">
        <v>12538</v>
      </c>
      <c r="H4730">
        <v>3.61</v>
      </c>
      <c r="I4730" s="5">
        <f>ROUND(Marketing[[#This Row],[Clicks]]*Marketing[[#This Row],[Conversion_Rate]],0)</f>
        <v>51</v>
      </c>
      <c r="J4730" s="12">
        <f>Marketing[[#This Row],[Campaign_Cost]]/Marketing[[#This Row],[Customers]]</f>
        <v>245.84313725490196</v>
      </c>
      <c r="K4730" t="s">
        <v>19</v>
      </c>
      <c r="L4730" t="s">
        <v>20</v>
      </c>
      <c r="M4730">
        <v>467</v>
      </c>
      <c r="N4730">
        <v>6144</v>
      </c>
      <c r="O4730">
        <v>7</v>
      </c>
      <c r="P4730" t="s">
        <v>27</v>
      </c>
      <c r="Q4730" s="1">
        <v>44545</v>
      </c>
    </row>
    <row r="4731" spans="1:17" x14ac:dyDescent="0.3">
      <c r="A4731" t="s">
        <v>22</v>
      </c>
      <c r="B4731" t="s">
        <v>29</v>
      </c>
      <c r="C4731" t="s">
        <v>16</v>
      </c>
      <c r="D4731" t="s">
        <v>17</v>
      </c>
      <c r="E4731" t="s">
        <v>48</v>
      </c>
      <c r="F4731" s="9">
        <v>0.03</v>
      </c>
      <c r="G4731" s="10">
        <v>16050</v>
      </c>
      <c r="H4731">
        <v>2.71</v>
      </c>
      <c r="I4731" s="5">
        <f>ROUND(Marketing[[#This Row],[Clicks]]*Marketing[[#This Row],[Conversion_Rate]],0)</f>
        <v>10</v>
      </c>
      <c r="J4731" s="12">
        <f>Marketing[[#This Row],[Campaign_Cost]]/Marketing[[#This Row],[Customers]]</f>
        <v>1605</v>
      </c>
      <c r="K4731" t="s">
        <v>32</v>
      </c>
      <c r="L4731" t="s">
        <v>33</v>
      </c>
      <c r="M4731">
        <v>325</v>
      </c>
      <c r="N4731">
        <v>5248</v>
      </c>
      <c r="O4731">
        <v>5</v>
      </c>
      <c r="P4731" t="s">
        <v>21</v>
      </c>
      <c r="Q4731" s="1">
        <v>44546</v>
      </c>
    </row>
    <row r="4732" spans="1:17" x14ac:dyDescent="0.3">
      <c r="A4732" t="s">
        <v>28</v>
      </c>
      <c r="B4732" t="s">
        <v>47</v>
      </c>
      <c r="C4732" t="s">
        <v>16</v>
      </c>
      <c r="D4732" t="s">
        <v>46</v>
      </c>
      <c r="E4732" t="s">
        <v>41</v>
      </c>
      <c r="F4732" s="9">
        <v>0.06</v>
      </c>
      <c r="G4732" s="10">
        <v>17021</v>
      </c>
      <c r="H4732">
        <v>7.39</v>
      </c>
      <c r="I4732" s="5">
        <f>ROUND(Marketing[[#This Row],[Clicks]]*Marketing[[#This Row],[Conversion_Rate]],0)</f>
        <v>23</v>
      </c>
      <c r="J4732" s="12">
        <f>Marketing[[#This Row],[Campaign_Cost]]/Marketing[[#This Row],[Customers]]</f>
        <v>740.04347826086962</v>
      </c>
      <c r="K4732" t="s">
        <v>19</v>
      </c>
      <c r="L4732" t="s">
        <v>50</v>
      </c>
      <c r="M4732">
        <v>380</v>
      </c>
      <c r="N4732">
        <v>2196</v>
      </c>
      <c r="O4732">
        <v>8</v>
      </c>
      <c r="P4732" t="s">
        <v>42</v>
      </c>
      <c r="Q4732" s="1">
        <v>44547</v>
      </c>
    </row>
    <row r="4733" spans="1:17" x14ac:dyDescent="0.3">
      <c r="A4733" t="s">
        <v>35</v>
      </c>
      <c r="B4733" t="s">
        <v>29</v>
      </c>
      <c r="C4733" t="s">
        <v>30</v>
      </c>
      <c r="D4733" t="s">
        <v>40</v>
      </c>
      <c r="E4733" t="s">
        <v>18</v>
      </c>
      <c r="F4733" s="9">
        <v>0.12</v>
      </c>
      <c r="G4733" s="10">
        <v>5832</v>
      </c>
      <c r="H4733">
        <v>7.21</v>
      </c>
      <c r="I4733" s="5">
        <f>ROUND(Marketing[[#This Row],[Clicks]]*Marketing[[#This Row],[Conversion_Rate]],0)</f>
        <v>34</v>
      </c>
      <c r="J4733" s="12">
        <f>Marketing[[#This Row],[Campaign_Cost]]/Marketing[[#This Row],[Customers]]</f>
        <v>171.52941176470588</v>
      </c>
      <c r="K4733" t="s">
        <v>25</v>
      </c>
      <c r="L4733" t="s">
        <v>26</v>
      </c>
      <c r="M4733">
        <v>281</v>
      </c>
      <c r="N4733">
        <v>1452</v>
      </c>
      <c r="O4733">
        <v>4</v>
      </c>
      <c r="P4733" t="s">
        <v>34</v>
      </c>
      <c r="Q4733" s="1">
        <v>44548</v>
      </c>
    </row>
    <row r="4734" spans="1:17" x14ac:dyDescent="0.3">
      <c r="A4734" t="s">
        <v>35</v>
      </c>
      <c r="B4734" t="s">
        <v>45</v>
      </c>
      <c r="C4734" t="s">
        <v>52</v>
      </c>
      <c r="D4734" t="s">
        <v>17</v>
      </c>
      <c r="E4734" t="s">
        <v>31</v>
      </c>
      <c r="F4734" s="9">
        <v>0.14000000000000001</v>
      </c>
      <c r="G4734" s="10">
        <v>8112</v>
      </c>
      <c r="H4734">
        <v>4.8099999999999996</v>
      </c>
      <c r="I4734" s="5">
        <f>ROUND(Marketing[[#This Row],[Clicks]]*Marketing[[#This Row],[Conversion_Rate]],0)</f>
        <v>67</v>
      </c>
      <c r="J4734" s="12">
        <f>Marketing[[#This Row],[Campaign_Cost]]/Marketing[[#This Row],[Customers]]</f>
        <v>121.07462686567165</v>
      </c>
      <c r="K4734" t="s">
        <v>32</v>
      </c>
      <c r="L4734" t="s">
        <v>39</v>
      </c>
      <c r="M4734">
        <v>478</v>
      </c>
      <c r="N4734">
        <v>4804</v>
      </c>
      <c r="O4734">
        <v>8</v>
      </c>
      <c r="P4734" t="s">
        <v>42</v>
      </c>
      <c r="Q4734" s="1">
        <v>44549</v>
      </c>
    </row>
    <row r="4735" spans="1:17" x14ac:dyDescent="0.3">
      <c r="A4735" t="s">
        <v>14</v>
      </c>
      <c r="B4735" t="s">
        <v>45</v>
      </c>
      <c r="C4735" t="s">
        <v>23</v>
      </c>
      <c r="D4735" t="s">
        <v>40</v>
      </c>
      <c r="E4735" t="s">
        <v>43</v>
      </c>
      <c r="F4735" s="9">
        <v>0.1</v>
      </c>
      <c r="G4735" s="10">
        <v>18562</v>
      </c>
      <c r="H4735">
        <v>2.56</v>
      </c>
      <c r="I4735" s="5">
        <f>ROUND(Marketing[[#This Row],[Clicks]]*Marketing[[#This Row],[Conversion_Rate]],0)</f>
        <v>55</v>
      </c>
      <c r="J4735" s="12">
        <f>Marketing[[#This Row],[Campaign_Cost]]/Marketing[[#This Row],[Customers]]</f>
        <v>337.4909090909091</v>
      </c>
      <c r="K4735" t="s">
        <v>51</v>
      </c>
      <c r="L4735" t="s">
        <v>20</v>
      </c>
      <c r="M4735">
        <v>550</v>
      </c>
      <c r="N4735">
        <v>9751</v>
      </c>
      <c r="O4735">
        <v>5</v>
      </c>
      <c r="P4735" t="s">
        <v>27</v>
      </c>
      <c r="Q4735" s="1">
        <v>44550</v>
      </c>
    </row>
    <row r="4736" spans="1:17" x14ac:dyDescent="0.3">
      <c r="A4736" t="s">
        <v>14</v>
      </c>
      <c r="B4736" t="s">
        <v>36</v>
      </c>
      <c r="C4736" t="s">
        <v>37</v>
      </c>
      <c r="D4736" t="s">
        <v>46</v>
      </c>
      <c r="E4736" t="s">
        <v>48</v>
      </c>
      <c r="F4736" s="9">
        <v>0.08</v>
      </c>
      <c r="G4736" s="10">
        <v>9410</v>
      </c>
      <c r="H4736">
        <v>5.77</v>
      </c>
      <c r="I4736" s="5">
        <f>ROUND(Marketing[[#This Row],[Clicks]]*Marketing[[#This Row],[Conversion_Rate]],0)</f>
        <v>14</v>
      </c>
      <c r="J4736" s="12">
        <f>Marketing[[#This Row],[Campaign_Cost]]/Marketing[[#This Row],[Customers]]</f>
        <v>672.14285714285711</v>
      </c>
      <c r="K4736" t="s">
        <v>38</v>
      </c>
      <c r="L4736" t="s">
        <v>39</v>
      </c>
      <c r="M4736">
        <v>179</v>
      </c>
      <c r="N4736">
        <v>5819</v>
      </c>
      <c r="O4736">
        <v>1</v>
      </c>
      <c r="P4736" t="s">
        <v>34</v>
      </c>
      <c r="Q4736" s="1">
        <v>44551</v>
      </c>
    </row>
    <row r="4737" spans="1:17" x14ac:dyDescent="0.3">
      <c r="A4737" t="s">
        <v>28</v>
      </c>
      <c r="B4737" t="s">
        <v>45</v>
      </c>
      <c r="C4737" t="s">
        <v>23</v>
      </c>
      <c r="D4737" t="s">
        <v>24</v>
      </c>
      <c r="E4737" t="s">
        <v>41</v>
      </c>
      <c r="F4737" s="9">
        <v>0.11</v>
      </c>
      <c r="G4737" s="10">
        <v>18810</v>
      </c>
      <c r="H4737">
        <v>6.91</v>
      </c>
      <c r="I4737" s="5">
        <f>ROUND(Marketing[[#This Row],[Clicks]]*Marketing[[#This Row],[Conversion_Rate]],0)</f>
        <v>34</v>
      </c>
      <c r="J4737" s="12">
        <f>Marketing[[#This Row],[Campaign_Cost]]/Marketing[[#This Row],[Customers]]</f>
        <v>553.23529411764707</v>
      </c>
      <c r="K4737" t="s">
        <v>38</v>
      </c>
      <c r="L4737" t="s">
        <v>39</v>
      </c>
      <c r="M4737">
        <v>307</v>
      </c>
      <c r="N4737">
        <v>9876</v>
      </c>
      <c r="O4737">
        <v>4</v>
      </c>
      <c r="P4737" t="s">
        <v>44</v>
      </c>
      <c r="Q4737" s="1">
        <v>44552</v>
      </c>
    </row>
    <row r="4738" spans="1:17" x14ac:dyDescent="0.3">
      <c r="A4738" t="s">
        <v>14</v>
      </c>
      <c r="B4738" t="s">
        <v>36</v>
      </c>
      <c r="C4738" t="s">
        <v>30</v>
      </c>
      <c r="D4738" t="s">
        <v>46</v>
      </c>
      <c r="E4738" t="s">
        <v>48</v>
      </c>
      <c r="F4738" s="9">
        <v>0.12</v>
      </c>
      <c r="G4738" s="10">
        <v>13439</v>
      </c>
      <c r="H4738">
        <v>5.93</v>
      </c>
      <c r="I4738" s="5">
        <f>ROUND(Marketing[[#This Row],[Clicks]]*Marketing[[#This Row],[Conversion_Rate]],0)</f>
        <v>72</v>
      </c>
      <c r="J4738" s="12">
        <f>Marketing[[#This Row],[Campaign_Cost]]/Marketing[[#This Row],[Customers]]</f>
        <v>186.65277777777777</v>
      </c>
      <c r="K4738" t="s">
        <v>19</v>
      </c>
      <c r="L4738" t="s">
        <v>50</v>
      </c>
      <c r="M4738">
        <v>601</v>
      </c>
      <c r="N4738">
        <v>1301</v>
      </c>
      <c r="O4738">
        <v>8</v>
      </c>
      <c r="P4738" t="s">
        <v>21</v>
      </c>
      <c r="Q4738" s="1">
        <v>44553</v>
      </c>
    </row>
    <row r="4739" spans="1:17" x14ac:dyDescent="0.3">
      <c r="A4739" t="s">
        <v>14</v>
      </c>
      <c r="B4739" t="s">
        <v>29</v>
      </c>
      <c r="C4739" t="s">
        <v>30</v>
      </c>
      <c r="D4739" t="s">
        <v>46</v>
      </c>
      <c r="E4739" t="s">
        <v>48</v>
      </c>
      <c r="F4739" s="9">
        <v>0.08</v>
      </c>
      <c r="G4739" s="10">
        <v>14249</v>
      </c>
      <c r="H4739">
        <v>3.61</v>
      </c>
      <c r="I4739" s="5">
        <f>ROUND(Marketing[[#This Row],[Clicks]]*Marketing[[#This Row],[Conversion_Rate]],0)</f>
        <v>71</v>
      </c>
      <c r="J4739" s="12">
        <f>Marketing[[#This Row],[Campaign_Cost]]/Marketing[[#This Row],[Customers]]</f>
        <v>200.69014084507043</v>
      </c>
      <c r="K4739" t="s">
        <v>51</v>
      </c>
      <c r="L4739" t="s">
        <v>26</v>
      </c>
      <c r="M4739">
        <v>885</v>
      </c>
      <c r="N4739">
        <v>1204</v>
      </c>
      <c r="O4739">
        <v>2</v>
      </c>
      <c r="P4739" t="s">
        <v>21</v>
      </c>
      <c r="Q4739" s="1">
        <v>44554</v>
      </c>
    </row>
    <row r="4740" spans="1:17" x14ac:dyDescent="0.3">
      <c r="A4740" t="s">
        <v>35</v>
      </c>
      <c r="B4740" t="s">
        <v>47</v>
      </c>
      <c r="C4740" t="s">
        <v>16</v>
      </c>
      <c r="D4740" t="s">
        <v>46</v>
      </c>
      <c r="E4740" t="s">
        <v>48</v>
      </c>
      <c r="F4740" s="9">
        <v>0.04</v>
      </c>
      <c r="G4740" s="10">
        <v>14925</v>
      </c>
      <c r="H4740">
        <v>3.95</v>
      </c>
      <c r="I4740" s="5">
        <f>ROUND(Marketing[[#This Row],[Clicks]]*Marketing[[#This Row],[Conversion_Rate]],0)</f>
        <v>22</v>
      </c>
      <c r="J4740" s="12">
        <f>Marketing[[#This Row],[Campaign_Cost]]/Marketing[[#This Row],[Customers]]</f>
        <v>678.40909090909088</v>
      </c>
      <c r="K4740" t="s">
        <v>32</v>
      </c>
      <c r="L4740" t="s">
        <v>33</v>
      </c>
      <c r="M4740">
        <v>560</v>
      </c>
      <c r="N4740">
        <v>7810</v>
      </c>
      <c r="O4740">
        <v>4</v>
      </c>
      <c r="P4740" t="s">
        <v>42</v>
      </c>
      <c r="Q4740" s="1">
        <v>44555</v>
      </c>
    </row>
    <row r="4741" spans="1:17" x14ac:dyDescent="0.3">
      <c r="A4741" t="s">
        <v>22</v>
      </c>
      <c r="B4741" t="s">
        <v>47</v>
      </c>
      <c r="C4741" t="s">
        <v>52</v>
      </c>
      <c r="D4741" t="s">
        <v>24</v>
      </c>
      <c r="E4741" t="s">
        <v>48</v>
      </c>
      <c r="F4741" s="9">
        <v>0.1</v>
      </c>
      <c r="G4741" s="10">
        <v>16891</v>
      </c>
      <c r="H4741">
        <v>3.08</v>
      </c>
      <c r="I4741" s="5">
        <f>ROUND(Marketing[[#This Row],[Clicks]]*Marketing[[#This Row],[Conversion_Rate]],0)</f>
        <v>98</v>
      </c>
      <c r="J4741" s="12">
        <f>Marketing[[#This Row],[Campaign_Cost]]/Marketing[[#This Row],[Customers]]</f>
        <v>172.35714285714286</v>
      </c>
      <c r="K4741" t="s">
        <v>32</v>
      </c>
      <c r="L4741" t="s">
        <v>50</v>
      </c>
      <c r="M4741">
        <v>975</v>
      </c>
      <c r="N4741">
        <v>7525</v>
      </c>
      <c r="O4741">
        <v>7</v>
      </c>
      <c r="P4741" t="s">
        <v>27</v>
      </c>
      <c r="Q4741" s="1">
        <v>44556</v>
      </c>
    </row>
    <row r="4742" spans="1:17" x14ac:dyDescent="0.3">
      <c r="A4742" t="s">
        <v>35</v>
      </c>
      <c r="B4742" t="s">
        <v>15</v>
      </c>
      <c r="C4742" t="s">
        <v>37</v>
      </c>
      <c r="D4742" t="s">
        <v>24</v>
      </c>
      <c r="E4742" t="s">
        <v>18</v>
      </c>
      <c r="F4742" s="9">
        <v>0.01</v>
      </c>
      <c r="G4742" s="10">
        <v>6018</v>
      </c>
      <c r="H4742">
        <v>5.75</v>
      </c>
      <c r="I4742" s="5">
        <f>ROUND(Marketing[[#This Row],[Clicks]]*Marketing[[#This Row],[Conversion_Rate]],0)</f>
        <v>9</v>
      </c>
      <c r="J4742" s="12">
        <f>Marketing[[#This Row],[Campaign_Cost]]/Marketing[[#This Row],[Customers]]</f>
        <v>668.66666666666663</v>
      </c>
      <c r="K4742" t="s">
        <v>38</v>
      </c>
      <c r="L4742" t="s">
        <v>33</v>
      </c>
      <c r="M4742">
        <v>925</v>
      </c>
      <c r="N4742">
        <v>4704</v>
      </c>
      <c r="O4742">
        <v>1</v>
      </c>
      <c r="P4742" t="s">
        <v>42</v>
      </c>
      <c r="Q4742" s="1">
        <v>44557</v>
      </c>
    </row>
    <row r="4743" spans="1:17" x14ac:dyDescent="0.3">
      <c r="A4743" t="s">
        <v>14</v>
      </c>
      <c r="B4743" t="s">
        <v>15</v>
      </c>
      <c r="C4743" t="s">
        <v>23</v>
      </c>
      <c r="D4743" t="s">
        <v>40</v>
      </c>
      <c r="E4743" t="s">
        <v>43</v>
      </c>
      <c r="F4743" s="9">
        <v>0.12</v>
      </c>
      <c r="G4743" s="10">
        <v>5367</v>
      </c>
      <c r="H4743">
        <v>7.16</v>
      </c>
      <c r="I4743" s="5">
        <f>ROUND(Marketing[[#This Row],[Clicks]]*Marketing[[#This Row],[Conversion_Rate]],0)</f>
        <v>60</v>
      </c>
      <c r="J4743" s="12">
        <f>Marketing[[#This Row],[Campaign_Cost]]/Marketing[[#This Row],[Customers]]</f>
        <v>89.45</v>
      </c>
      <c r="K4743" t="s">
        <v>32</v>
      </c>
      <c r="L4743" t="s">
        <v>50</v>
      </c>
      <c r="M4743">
        <v>496</v>
      </c>
      <c r="N4743">
        <v>3570</v>
      </c>
      <c r="O4743">
        <v>9</v>
      </c>
      <c r="P4743" t="s">
        <v>27</v>
      </c>
      <c r="Q4743" s="1">
        <v>44558</v>
      </c>
    </row>
    <row r="4744" spans="1:17" x14ac:dyDescent="0.3">
      <c r="A4744" t="s">
        <v>35</v>
      </c>
      <c r="B4744" t="s">
        <v>29</v>
      </c>
      <c r="C4744" t="s">
        <v>23</v>
      </c>
      <c r="D4744" t="s">
        <v>17</v>
      </c>
      <c r="E4744" t="s">
        <v>18</v>
      </c>
      <c r="F4744" s="9">
        <v>0.1</v>
      </c>
      <c r="G4744" s="10">
        <v>16646</v>
      </c>
      <c r="H4744">
        <v>3.04</v>
      </c>
      <c r="I4744" s="5">
        <f>ROUND(Marketing[[#This Row],[Clicks]]*Marketing[[#This Row],[Conversion_Rate]],0)</f>
        <v>37</v>
      </c>
      <c r="J4744" s="12">
        <f>Marketing[[#This Row],[Campaign_Cost]]/Marketing[[#This Row],[Customers]]</f>
        <v>449.89189189189187</v>
      </c>
      <c r="K4744" t="s">
        <v>19</v>
      </c>
      <c r="L4744" t="s">
        <v>50</v>
      </c>
      <c r="M4744">
        <v>370</v>
      </c>
      <c r="N4744">
        <v>3955</v>
      </c>
      <c r="O4744">
        <v>8</v>
      </c>
      <c r="P4744" t="s">
        <v>21</v>
      </c>
      <c r="Q4744" s="1">
        <v>44559</v>
      </c>
    </row>
    <row r="4745" spans="1:17" x14ac:dyDescent="0.3">
      <c r="A4745" t="s">
        <v>28</v>
      </c>
      <c r="B4745" t="s">
        <v>15</v>
      </c>
      <c r="C4745" t="s">
        <v>52</v>
      </c>
      <c r="D4745" t="s">
        <v>40</v>
      </c>
      <c r="E4745" t="s">
        <v>18</v>
      </c>
      <c r="F4745" s="9">
        <v>0.08</v>
      </c>
      <c r="G4745" s="10">
        <v>9721</v>
      </c>
      <c r="H4745">
        <v>4.29</v>
      </c>
      <c r="I4745" s="5">
        <f>ROUND(Marketing[[#This Row],[Clicks]]*Marketing[[#This Row],[Conversion_Rate]],0)</f>
        <v>12</v>
      </c>
      <c r="J4745" s="12">
        <f>Marketing[[#This Row],[Campaign_Cost]]/Marketing[[#This Row],[Customers]]</f>
        <v>810.08333333333337</v>
      </c>
      <c r="K4745" t="s">
        <v>51</v>
      </c>
      <c r="L4745" t="s">
        <v>39</v>
      </c>
      <c r="M4745">
        <v>147</v>
      </c>
      <c r="N4745">
        <v>8418</v>
      </c>
      <c r="O4745">
        <v>3</v>
      </c>
      <c r="P4745" t="s">
        <v>42</v>
      </c>
      <c r="Q4745" s="1">
        <v>44560</v>
      </c>
    </row>
    <row r="4746" spans="1:17" x14ac:dyDescent="0.3">
      <c r="A4746" t="s">
        <v>14</v>
      </c>
      <c r="B4746" t="s">
        <v>45</v>
      </c>
      <c r="C4746" t="s">
        <v>16</v>
      </c>
      <c r="D4746" t="s">
        <v>24</v>
      </c>
      <c r="E4746" t="s">
        <v>41</v>
      </c>
      <c r="F4746" s="9">
        <v>0.08</v>
      </c>
      <c r="G4746" s="10">
        <v>15110</v>
      </c>
      <c r="H4746">
        <v>2.08</v>
      </c>
      <c r="I4746" s="5">
        <f>ROUND(Marketing[[#This Row],[Clicks]]*Marketing[[#This Row],[Conversion_Rate]],0)</f>
        <v>49</v>
      </c>
      <c r="J4746" s="12">
        <f>Marketing[[#This Row],[Campaign_Cost]]/Marketing[[#This Row],[Customers]]</f>
        <v>308.36734693877548</v>
      </c>
      <c r="K4746" t="s">
        <v>25</v>
      </c>
      <c r="L4746" t="s">
        <v>33</v>
      </c>
      <c r="M4746">
        <v>618</v>
      </c>
      <c r="N4746">
        <v>3944</v>
      </c>
      <c r="O4746">
        <v>2</v>
      </c>
      <c r="P4746" t="s">
        <v>42</v>
      </c>
      <c r="Q4746" s="1">
        <v>44561</v>
      </c>
    </row>
    <row r="4747" spans="1:17" x14ac:dyDescent="0.3">
      <c r="A4747" t="s">
        <v>49</v>
      </c>
      <c r="B4747" t="s">
        <v>47</v>
      </c>
      <c r="C4747" t="s">
        <v>37</v>
      </c>
      <c r="D4747" t="s">
        <v>40</v>
      </c>
      <c r="E4747" t="s">
        <v>43</v>
      </c>
      <c r="F4747" s="9">
        <v>0.11</v>
      </c>
      <c r="G4747" s="10">
        <v>19851</v>
      </c>
      <c r="H4747">
        <v>7.58</v>
      </c>
      <c r="I4747" s="5">
        <f>ROUND(Marketing[[#This Row],[Clicks]]*Marketing[[#This Row],[Conversion_Rate]],0)</f>
        <v>46</v>
      </c>
      <c r="J4747" s="12">
        <f>Marketing[[#This Row],[Campaign_Cost]]/Marketing[[#This Row],[Customers]]</f>
        <v>431.54347826086956</v>
      </c>
      <c r="K4747" t="s">
        <v>25</v>
      </c>
      <c r="L4747" t="s">
        <v>20</v>
      </c>
      <c r="M4747">
        <v>417</v>
      </c>
      <c r="N4747">
        <v>6956</v>
      </c>
      <c r="O4747">
        <v>10</v>
      </c>
      <c r="P4747" t="s">
        <v>21</v>
      </c>
      <c r="Q4747" s="1">
        <v>44197</v>
      </c>
    </row>
    <row r="4748" spans="1:17" x14ac:dyDescent="0.3">
      <c r="A4748" t="s">
        <v>14</v>
      </c>
      <c r="B4748" t="s">
        <v>36</v>
      </c>
      <c r="C4748" t="s">
        <v>52</v>
      </c>
      <c r="D4748" t="s">
        <v>40</v>
      </c>
      <c r="E4748" t="s">
        <v>18</v>
      </c>
      <c r="F4748" s="9">
        <v>0.08</v>
      </c>
      <c r="G4748" s="10">
        <v>8952</v>
      </c>
      <c r="H4748">
        <v>4.49</v>
      </c>
      <c r="I4748" s="5">
        <f>ROUND(Marketing[[#This Row],[Clicks]]*Marketing[[#This Row],[Conversion_Rate]],0)</f>
        <v>46</v>
      </c>
      <c r="J4748" s="12">
        <f>Marketing[[#This Row],[Campaign_Cost]]/Marketing[[#This Row],[Customers]]</f>
        <v>194.60869565217391</v>
      </c>
      <c r="K4748" t="s">
        <v>19</v>
      </c>
      <c r="L4748" t="s">
        <v>50</v>
      </c>
      <c r="M4748">
        <v>575</v>
      </c>
      <c r="N4748">
        <v>6516</v>
      </c>
      <c r="O4748">
        <v>8</v>
      </c>
      <c r="P4748" t="s">
        <v>44</v>
      </c>
      <c r="Q4748" s="1">
        <v>44198</v>
      </c>
    </row>
    <row r="4749" spans="1:17" x14ac:dyDescent="0.3">
      <c r="A4749" t="s">
        <v>49</v>
      </c>
      <c r="B4749" t="s">
        <v>29</v>
      </c>
      <c r="C4749" t="s">
        <v>52</v>
      </c>
      <c r="D4749" t="s">
        <v>40</v>
      </c>
      <c r="E4749" t="s">
        <v>41</v>
      </c>
      <c r="F4749" s="9">
        <v>0.13</v>
      </c>
      <c r="G4749" s="10">
        <v>14819</v>
      </c>
      <c r="H4749">
        <v>5.77</v>
      </c>
      <c r="I4749" s="5">
        <f>ROUND(Marketing[[#This Row],[Clicks]]*Marketing[[#This Row],[Conversion_Rate]],0)</f>
        <v>34</v>
      </c>
      <c r="J4749" s="12">
        <f>Marketing[[#This Row],[Campaign_Cost]]/Marketing[[#This Row],[Customers]]</f>
        <v>435.85294117647061</v>
      </c>
      <c r="K4749" t="s">
        <v>19</v>
      </c>
      <c r="L4749" t="s">
        <v>50</v>
      </c>
      <c r="M4749">
        <v>261</v>
      </c>
      <c r="N4749">
        <v>3112</v>
      </c>
      <c r="O4749">
        <v>5</v>
      </c>
      <c r="P4749" t="s">
        <v>42</v>
      </c>
      <c r="Q4749" s="1">
        <v>44199</v>
      </c>
    </row>
    <row r="4750" spans="1:17" x14ac:dyDescent="0.3">
      <c r="A4750" t="s">
        <v>28</v>
      </c>
      <c r="B4750" t="s">
        <v>36</v>
      </c>
      <c r="C4750" t="s">
        <v>37</v>
      </c>
      <c r="D4750" t="s">
        <v>46</v>
      </c>
      <c r="E4750" t="s">
        <v>41</v>
      </c>
      <c r="F4750" s="9">
        <v>0.15</v>
      </c>
      <c r="G4750" s="10">
        <v>15853</v>
      </c>
      <c r="H4750">
        <v>3.55</v>
      </c>
      <c r="I4750" s="5">
        <f>ROUND(Marketing[[#This Row],[Clicks]]*Marketing[[#This Row],[Conversion_Rate]],0)</f>
        <v>111</v>
      </c>
      <c r="J4750" s="12">
        <f>Marketing[[#This Row],[Campaign_Cost]]/Marketing[[#This Row],[Customers]]</f>
        <v>142.81981981981983</v>
      </c>
      <c r="K4750" t="s">
        <v>51</v>
      </c>
      <c r="L4750" t="s">
        <v>50</v>
      </c>
      <c r="M4750">
        <v>737</v>
      </c>
      <c r="N4750">
        <v>9908</v>
      </c>
      <c r="O4750">
        <v>1</v>
      </c>
      <c r="P4750" t="s">
        <v>44</v>
      </c>
      <c r="Q4750" s="1">
        <v>44200</v>
      </c>
    </row>
    <row r="4751" spans="1:17" x14ac:dyDescent="0.3">
      <c r="A4751" t="s">
        <v>49</v>
      </c>
      <c r="B4751" t="s">
        <v>15</v>
      </c>
      <c r="C4751" t="s">
        <v>30</v>
      </c>
      <c r="D4751" t="s">
        <v>40</v>
      </c>
      <c r="E4751" t="s">
        <v>31</v>
      </c>
      <c r="F4751" s="9">
        <v>0.05</v>
      </c>
      <c r="G4751" s="10">
        <v>16577</v>
      </c>
      <c r="H4751">
        <v>2.11</v>
      </c>
      <c r="I4751" s="5">
        <f>ROUND(Marketing[[#This Row],[Clicks]]*Marketing[[#This Row],[Conversion_Rate]],0)</f>
        <v>26</v>
      </c>
      <c r="J4751" s="12">
        <f>Marketing[[#This Row],[Campaign_Cost]]/Marketing[[#This Row],[Customers]]</f>
        <v>637.57692307692309</v>
      </c>
      <c r="K4751" t="s">
        <v>19</v>
      </c>
      <c r="L4751" t="s">
        <v>33</v>
      </c>
      <c r="M4751">
        <v>523</v>
      </c>
      <c r="N4751">
        <v>9564</v>
      </c>
      <c r="O4751">
        <v>5</v>
      </c>
      <c r="P4751" t="s">
        <v>21</v>
      </c>
      <c r="Q4751" s="1">
        <v>44201</v>
      </c>
    </row>
    <row r="4752" spans="1:17" x14ac:dyDescent="0.3">
      <c r="A4752" t="s">
        <v>22</v>
      </c>
      <c r="B4752" t="s">
        <v>36</v>
      </c>
      <c r="C4752" t="s">
        <v>16</v>
      </c>
      <c r="D4752" t="s">
        <v>40</v>
      </c>
      <c r="E4752" t="s">
        <v>15</v>
      </c>
      <c r="F4752" s="9">
        <v>0.05</v>
      </c>
      <c r="G4752" s="10">
        <v>8756</v>
      </c>
      <c r="H4752">
        <v>7.22</v>
      </c>
      <c r="I4752" s="5">
        <f>ROUND(Marketing[[#This Row],[Clicks]]*Marketing[[#This Row],[Conversion_Rate]],0)</f>
        <v>21</v>
      </c>
      <c r="J4752" s="12">
        <f>Marketing[[#This Row],[Campaign_Cost]]/Marketing[[#This Row],[Customers]]</f>
        <v>416.95238095238096</v>
      </c>
      <c r="K4752" t="s">
        <v>19</v>
      </c>
      <c r="L4752" t="s">
        <v>50</v>
      </c>
      <c r="M4752">
        <v>427</v>
      </c>
      <c r="N4752">
        <v>4953</v>
      </c>
      <c r="O4752">
        <v>5</v>
      </c>
      <c r="P4752" t="s">
        <v>27</v>
      </c>
      <c r="Q4752" s="1">
        <v>44202</v>
      </c>
    </row>
    <row r="4753" spans="1:17" x14ac:dyDescent="0.3">
      <c r="A4753" t="s">
        <v>14</v>
      </c>
      <c r="B4753" t="s">
        <v>36</v>
      </c>
      <c r="C4753" t="s">
        <v>52</v>
      </c>
      <c r="D4753" t="s">
        <v>17</v>
      </c>
      <c r="E4753" t="s">
        <v>48</v>
      </c>
      <c r="F4753" s="9">
        <v>7.0000000000000007E-2</v>
      </c>
      <c r="G4753" s="10">
        <v>12779</v>
      </c>
      <c r="H4753">
        <v>6.38</v>
      </c>
      <c r="I4753" s="5">
        <f>ROUND(Marketing[[#This Row],[Clicks]]*Marketing[[#This Row],[Conversion_Rate]],0)</f>
        <v>67</v>
      </c>
      <c r="J4753" s="12">
        <f>Marketing[[#This Row],[Campaign_Cost]]/Marketing[[#This Row],[Customers]]</f>
        <v>190.73134328358208</v>
      </c>
      <c r="K4753" t="s">
        <v>51</v>
      </c>
      <c r="L4753" t="s">
        <v>39</v>
      </c>
      <c r="M4753">
        <v>964</v>
      </c>
      <c r="N4753">
        <v>3785</v>
      </c>
      <c r="O4753">
        <v>1</v>
      </c>
      <c r="P4753" t="s">
        <v>27</v>
      </c>
      <c r="Q4753" s="1">
        <v>44203</v>
      </c>
    </row>
    <row r="4754" spans="1:17" x14ac:dyDescent="0.3">
      <c r="A4754" t="s">
        <v>14</v>
      </c>
      <c r="B4754" t="s">
        <v>15</v>
      </c>
      <c r="C4754" t="s">
        <v>16</v>
      </c>
      <c r="D4754" t="s">
        <v>17</v>
      </c>
      <c r="E4754" t="s">
        <v>41</v>
      </c>
      <c r="F4754" s="9">
        <v>0.04</v>
      </c>
      <c r="G4754" s="10">
        <v>11701</v>
      </c>
      <c r="H4754">
        <v>2.27</v>
      </c>
      <c r="I4754" s="5">
        <f>ROUND(Marketing[[#This Row],[Clicks]]*Marketing[[#This Row],[Conversion_Rate]],0)</f>
        <v>14</v>
      </c>
      <c r="J4754" s="12">
        <f>Marketing[[#This Row],[Campaign_Cost]]/Marketing[[#This Row],[Customers]]</f>
        <v>835.78571428571433</v>
      </c>
      <c r="K4754" t="s">
        <v>32</v>
      </c>
      <c r="L4754" t="s">
        <v>33</v>
      </c>
      <c r="M4754">
        <v>344</v>
      </c>
      <c r="N4754">
        <v>8814</v>
      </c>
      <c r="O4754">
        <v>5</v>
      </c>
      <c r="P4754" t="s">
        <v>27</v>
      </c>
      <c r="Q4754" s="1">
        <v>44204</v>
      </c>
    </row>
    <row r="4755" spans="1:17" x14ac:dyDescent="0.3">
      <c r="A4755" t="s">
        <v>35</v>
      </c>
      <c r="B4755" t="s">
        <v>36</v>
      </c>
      <c r="C4755" t="s">
        <v>52</v>
      </c>
      <c r="D4755" t="s">
        <v>24</v>
      </c>
      <c r="E4755" t="s">
        <v>48</v>
      </c>
      <c r="F4755" s="9">
        <v>0.05</v>
      </c>
      <c r="G4755" s="10">
        <v>9378</v>
      </c>
      <c r="H4755">
        <v>7.19</v>
      </c>
      <c r="I4755" s="5">
        <f>ROUND(Marketing[[#This Row],[Clicks]]*Marketing[[#This Row],[Conversion_Rate]],0)</f>
        <v>39</v>
      </c>
      <c r="J4755" s="12">
        <f>Marketing[[#This Row],[Campaign_Cost]]/Marketing[[#This Row],[Customers]]</f>
        <v>240.46153846153845</v>
      </c>
      <c r="K4755" t="s">
        <v>51</v>
      </c>
      <c r="L4755" t="s">
        <v>39</v>
      </c>
      <c r="M4755">
        <v>788</v>
      </c>
      <c r="N4755">
        <v>2450</v>
      </c>
      <c r="O4755">
        <v>7</v>
      </c>
      <c r="P4755" t="s">
        <v>44</v>
      </c>
      <c r="Q4755" s="1">
        <v>44205</v>
      </c>
    </row>
    <row r="4756" spans="1:17" x14ac:dyDescent="0.3">
      <c r="A4756" t="s">
        <v>49</v>
      </c>
      <c r="B4756" t="s">
        <v>36</v>
      </c>
      <c r="C4756" t="s">
        <v>16</v>
      </c>
      <c r="D4756" t="s">
        <v>17</v>
      </c>
      <c r="E4756" t="s">
        <v>15</v>
      </c>
      <c r="F4756" s="9">
        <v>0.11</v>
      </c>
      <c r="G4756" s="10">
        <v>19704</v>
      </c>
      <c r="H4756">
        <v>6.2</v>
      </c>
      <c r="I4756" s="5">
        <f>ROUND(Marketing[[#This Row],[Clicks]]*Marketing[[#This Row],[Conversion_Rate]],0)</f>
        <v>95</v>
      </c>
      <c r="J4756" s="12">
        <f>Marketing[[#This Row],[Campaign_Cost]]/Marketing[[#This Row],[Customers]]</f>
        <v>207.41052631578947</v>
      </c>
      <c r="K4756" t="s">
        <v>19</v>
      </c>
      <c r="L4756" t="s">
        <v>26</v>
      </c>
      <c r="M4756">
        <v>866</v>
      </c>
      <c r="N4756">
        <v>5819</v>
      </c>
      <c r="O4756">
        <v>4</v>
      </c>
      <c r="P4756" t="s">
        <v>42</v>
      </c>
      <c r="Q4756" s="1">
        <v>44206</v>
      </c>
    </row>
    <row r="4757" spans="1:17" x14ac:dyDescent="0.3">
      <c r="A4757" t="s">
        <v>28</v>
      </c>
      <c r="B4757" t="s">
        <v>36</v>
      </c>
      <c r="C4757" t="s">
        <v>16</v>
      </c>
      <c r="D4757" t="s">
        <v>17</v>
      </c>
      <c r="E4757" t="s">
        <v>31</v>
      </c>
      <c r="F4757" s="9">
        <v>0.14000000000000001</v>
      </c>
      <c r="G4757" s="10">
        <v>7799</v>
      </c>
      <c r="H4757">
        <v>4.1500000000000004</v>
      </c>
      <c r="I4757" s="5">
        <f>ROUND(Marketing[[#This Row],[Clicks]]*Marketing[[#This Row],[Conversion_Rate]],0)</f>
        <v>17</v>
      </c>
      <c r="J4757" s="12">
        <f>Marketing[[#This Row],[Campaign_Cost]]/Marketing[[#This Row],[Customers]]</f>
        <v>458.76470588235293</v>
      </c>
      <c r="K4757" t="s">
        <v>19</v>
      </c>
      <c r="L4757" t="s">
        <v>33</v>
      </c>
      <c r="M4757">
        <v>122</v>
      </c>
      <c r="N4757">
        <v>1622</v>
      </c>
      <c r="O4757">
        <v>7</v>
      </c>
      <c r="P4757" t="s">
        <v>27</v>
      </c>
      <c r="Q4757" s="1">
        <v>44207</v>
      </c>
    </row>
    <row r="4758" spans="1:17" x14ac:dyDescent="0.3">
      <c r="A4758" t="s">
        <v>49</v>
      </c>
      <c r="B4758" t="s">
        <v>36</v>
      </c>
      <c r="C4758" t="s">
        <v>37</v>
      </c>
      <c r="D4758" t="s">
        <v>24</v>
      </c>
      <c r="E4758" t="s">
        <v>18</v>
      </c>
      <c r="F4758" s="9">
        <v>0.12</v>
      </c>
      <c r="G4758" s="10">
        <v>19871</v>
      </c>
      <c r="H4758">
        <v>2.34</v>
      </c>
      <c r="I4758" s="5">
        <f>ROUND(Marketing[[#This Row],[Clicks]]*Marketing[[#This Row],[Conversion_Rate]],0)</f>
        <v>114</v>
      </c>
      <c r="J4758" s="12">
        <f>Marketing[[#This Row],[Campaign_Cost]]/Marketing[[#This Row],[Customers]]</f>
        <v>174.30701754385964</v>
      </c>
      <c r="K4758" t="s">
        <v>51</v>
      </c>
      <c r="L4758" t="s">
        <v>26</v>
      </c>
      <c r="M4758">
        <v>954</v>
      </c>
      <c r="N4758">
        <v>8550</v>
      </c>
      <c r="O4758">
        <v>3</v>
      </c>
      <c r="P4758" t="s">
        <v>34</v>
      </c>
      <c r="Q4758" s="1">
        <v>44208</v>
      </c>
    </row>
    <row r="4759" spans="1:17" x14ac:dyDescent="0.3">
      <c r="A4759" t="s">
        <v>49</v>
      </c>
      <c r="B4759" t="s">
        <v>45</v>
      </c>
      <c r="C4759" t="s">
        <v>52</v>
      </c>
      <c r="D4759" t="s">
        <v>17</v>
      </c>
      <c r="E4759" t="s">
        <v>31</v>
      </c>
      <c r="F4759" s="9">
        <v>0.15</v>
      </c>
      <c r="G4759" s="10">
        <v>18042</v>
      </c>
      <c r="H4759">
        <v>6.58</v>
      </c>
      <c r="I4759" s="5">
        <f>ROUND(Marketing[[#This Row],[Clicks]]*Marketing[[#This Row],[Conversion_Rate]],0)</f>
        <v>140</v>
      </c>
      <c r="J4759" s="12">
        <f>Marketing[[#This Row],[Campaign_Cost]]/Marketing[[#This Row],[Customers]]</f>
        <v>128.87142857142857</v>
      </c>
      <c r="K4759" t="s">
        <v>32</v>
      </c>
      <c r="L4759" t="s">
        <v>20</v>
      </c>
      <c r="M4759">
        <v>935</v>
      </c>
      <c r="N4759">
        <v>1848</v>
      </c>
      <c r="O4759">
        <v>8</v>
      </c>
      <c r="P4759" t="s">
        <v>42</v>
      </c>
      <c r="Q4759" s="1">
        <v>44209</v>
      </c>
    </row>
    <row r="4760" spans="1:17" x14ac:dyDescent="0.3">
      <c r="A4760" t="s">
        <v>14</v>
      </c>
      <c r="B4760" t="s">
        <v>29</v>
      </c>
      <c r="C4760" t="s">
        <v>52</v>
      </c>
      <c r="D4760" t="s">
        <v>17</v>
      </c>
      <c r="E4760" t="s">
        <v>48</v>
      </c>
      <c r="F4760" s="9">
        <v>0.06</v>
      </c>
      <c r="G4760" s="10">
        <v>19868</v>
      </c>
      <c r="H4760">
        <v>6.09</v>
      </c>
      <c r="I4760" s="5">
        <f>ROUND(Marketing[[#This Row],[Clicks]]*Marketing[[#This Row],[Conversion_Rate]],0)</f>
        <v>28</v>
      </c>
      <c r="J4760" s="12">
        <f>Marketing[[#This Row],[Campaign_Cost]]/Marketing[[#This Row],[Customers]]</f>
        <v>709.57142857142856</v>
      </c>
      <c r="K4760" t="s">
        <v>25</v>
      </c>
      <c r="L4760" t="s">
        <v>33</v>
      </c>
      <c r="M4760">
        <v>464</v>
      </c>
      <c r="N4760">
        <v>4067</v>
      </c>
      <c r="O4760">
        <v>3</v>
      </c>
      <c r="P4760" t="s">
        <v>34</v>
      </c>
      <c r="Q4760" s="1">
        <v>44210</v>
      </c>
    </row>
    <row r="4761" spans="1:17" x14ac:dyDescent="0.3">
      <c r="A4761" t="s">
        <v>35</v>
      </c>
      <c r="B4761" t="s">
        <v>36</v>
      </c>
      <c r="C4761" t="s">
        <v>52</v>
      </c>
      <c r="D4761" t="s">
        <v>40</v>
      </c>
      <c r="E4761" t="s">
        <v>15</v>
      </c>
      <c r="F4761" s="9">
        <v>0.08</v>
      </c>
      <c r="G4761" s="10">
        <v>15591</v>
      </c>
      <c r="H4761">
        <v>5.64</v>
      </c>
      <c r="I4761" s="5">
        <f>ROUND(Marketing[[#This Row],[Clicks]]*Marketing[[#This Row],[Conversion_Rate]],0)</f>
        <v>67</v>
      </c>
      <c r="J4761" s="12">
        <f>Marketing[[#This Row],[Campaign_Cost]]/Marketing[[#This Row],[Customers]]</f>
        <v>232.70149253731344</v>
      </c>
      <c r="K4761" t="s">
        <v>51</v>
      </c>
      <c r="L4761" t="s">
        <v>20</v>
      </c>
      <c r="M4761">
        <v>841</v>
      </c>
      <c r="N4761">
        <v>3182</v>
      </c>
      <c r="O4761">
        <v>3</v>
      </c>
      <c r="P4761" t="s">
        <v>42</v>
      </c>
      <c r="Q4761" s="1">
        <v>44211</v>
      </c>
    </row>
    <row r="4762" spans="1:17" x14ac:dyDescent="0.3">
      <c r="A4762" t="s">
        <v>14</v>
      </c>
      <c r="B4762" t="s">
        <v>47</v>
      </c>
      <c r="C4762" t="s">
        <v>30</v>
      </c>
      <c r="D4762" t="s">
        <v>17</v>
      </c>
      <c r="E4762" t="s">
        <v>18</v>
      </c>
      <c r="F4762" s="9">
        <v>0.15</v>
      </c>
      <c r="G4762" s="10">
        <v>11243</v>
      </c>
      <c r="H4762">
        <v>3.52</v>
      </c>
      <c r="I4762" s="5">
        <f>ROUND(Marketing[[#This Row],[Clicks]]*Marketing[[#This Row],[Conversion_Rate]],0)</f>
        <v>135</v>
      </c>
      <c r="J4762" s="12">
        <f>Marketing[[#This Row],[Campaign_Cost]]/Marketing[[#This Row],[Customers]]</f>
        <v>83.281481481481478</v>
      </c>
      <c r="K4762" t="s">
        <v>51</v>
      </c>
      <c r="L4762" t="s">
        <v>20</v>
      </c>
      <c r="M4762">
        <v>902</v>
      </c>
      <c r="N4762">
        <v>1369</v>
      </c>
      <c r="O4762">
        <v>2</v>
      </c>
      <c r="P4762" t="s">
        <v>34</v>
      </c>
      <c r="Q4762" s="1">
        <v>44212</v>
      </c>
    </row>
    <row r="4763" spans="1:17" x14ac:dyDescent="0.3">
      <c r="A4763" t="s">
        <v>14</v>
      </c>
      <c r="B4763" t="s">
        <v>15</v>
      </c>
      <c r="C4763" t="s">
        <v>37</v>
      </c>
      <c r="D4763" t="s">
        <v>40</v>
      </c>
      <c r="E4763" t="s">
        <v>43</v>
      </c>
      <c r="F4763" s="9">
        <v>0.13</v>
      </c>
      <c r="G4763" s="10">
        <v>19034</v>
      </c>
      <c r="H4763">
        <v>5.74</v>
      </c>
      <c r="I4763" s="5">
        <f>ROUND(Marketing[[#This Row],[Clicks]]*Marketing[[#This Row],[Conversion_Rate]],0)</f>
        <v>42</v>
      </c>
      <c r="J4763" s="12">
        <f>Marketing[[#This Row],[Campaign_Cost]]/Marketing[[#This Row],[Customers]]</f>
        <v>453.1904761904762</v>
      </c>
      <c r="K4763" t="s">
        <v>38</v>
      </c>
      <c r="L4763" t="s">
        <v>39</v>
      </c>
      <c r="M4763">
        <v>323</v>
      </c>
      <c r="N4763">
        <v>8963</v>
      </c>
      <c r="O4763">
        <v>8</v>
      </c>
      <c r="P4763" t="s">
        <v>27</v>
      </c>
      <c r="Q4763" s="1">
        <v>44213</v>
      </c>
    </row>
    <row r="4764" spans="1:17" x14ac:dyDescent="0.3">
      <c r="A4764" t="s">
        <v>14</v>
      </c>
      <c r="B4764" t="s">
        <v>36</v>
      </c>
      <c r="C4764" t="s">
        <v>52</v>
      </c>
      <c r="D4764" t="s">
        <v>17</v>
      </c>
      <c r="E4764" t="s">
        <v>43</v>
      </c>
      <c r="F4764" s="9">
        <v>0.14000000000000001</v>
      </c>
      <c r="G4764" s="10">
        <v>19897</v>
      </c>
      <c r="H4764">
        <v>3.11</v>
      </c>
      <c r="I4764" s="5">
        <f>ROUND(Marketing[[#This Row],[Clicks]]*Marketing[[#This Row],[Conversion_Rate]],0)</f>
        <v>140</v>
      </c>
      <c r="J4764" s="12">
        <f>Marketing[[#This Row],[Campaign_Cost]]/Marketing[[#This Row],[Customers]]</f>
        <v>142.12142857142857</v>
      </c>
      <c r="K4764" t="s">
        <v>38</v>
      </c>
      <c r="L4764" t="s">
        <v>33</v>
      </c>
      <c r="M4764">
        <v>1000</v>
      </c>
      <c r="N4764">
        <v>7562</v>
      </c>
      <c r="O4764">
        <v>9</v>
      </c>
      <c r="P4764" t="s">
        <v>44</v>
      </c>
      <c r="Q4764" s="1">
        <v>44214</v>
      </c>
    </row>
    <row r="4765" spans="1:17" x14ac:dyDescent="0.3">
      <c r="A4765" t="s">
        <v>14</v>
      </c>
      <c r="B4765" t="s">
        <v>45</v>
      </c>
      <c r="C4765" t="s">
        <v>23</v>
      </c>
      <c r="D4765" t="s">
        <v>40</v>
      </c>
      <c r="E4765" t="s">
        <v>48</v>
      </c>
      <c r="F4765" s="9">
        <v>0.04</v>
      </c>
      <c r="G4765" s="10">
        <v>15844</v>
      </c>
      <c r="H4765">
        <v>3.27</v>
      </c>
      <c r="I4765" s="5">
        <f>ROUND(Marketing[[#This Row],[Clicks]]*Marketing[[#This Row],[Conversion_Rate]],0)</f>
        <v>17</v>
      </c>
      <c r="J4765" s="12">
        <f>Marketing[[#This Row],[Campaign_Cost]]/Marketing[[#This Row],[Customers]]</f>
        <v>932</v>
      </c>
      <c r="K4765" t="s">
        <v>38</v>
      </c>
      <c r="L4765" t="s">
        <v>33</v>
      </c>
      <c r="M4765">
        <v>428</v>
      </c>
      <c r="N4765">
        <v>4905</v>
      </c>
      <c r="O4765">
        <v>5</v>
      </c>
      <c r="P4765" t="s">
        <v>34</v>
      </c>
      <c r="Q4765" s="1">
        <v>44215</v>
      </c>
    </row>
    <row r="4766" spans="1:17" x14ac:dyDescent="0.3">
      <c r="A4766" t="s">
        <v>28</v>
      </c>
      <c r="B4766" t="s">
        <v>36</v>
      </c>
      <c r="C4766" t="s">
        <v>52</v>
      </c>
      <c r="D4766" t="s">
        <v>24</v>
      </c>
      <c r="E4766" t="s">
        <v>31</v>
      </c>
      <c r="F4766" s="9">
        <v>7.0000000000000007E-2</v>
      </c>
      <c r="G4766" s="10">
        <v>5274</v>
      </c>
      <c r="H4766">
        <v>2.88</v>
      </c>
      <c r="I4766" s="5">
        <f>ROUND(Marketing[[#This Row],[Clicks]]*Marketing[[#This Row],[Conversion_Rate]],0)</f>
        <v>58</v>
      </c>
      <c r="J4766" s="12">
        <f>Marketing[[#This Row],[Campaign_Cost]]/Marketing[[#This Row],[Customers]]</f>
        <v>90.931034482758619</v>
      </c>
      <c r="K4766" t="s">
        <v>19</v>
      </c>
      <c r="L4766" t="s">
        <v>50</v>
      </c>
      <c r="M4766">
        <v>822</v>
      </c>
      <c r="N4766">
        <v>3765</v>
      </c>
      <c r="O4766">
        <v>6</v>
      </c>
      <c r="P4766" t="s">
        <v>21</v>
      </c>
      <c r="Q4766" s="1">
        <v>44216</v>
      </c>
    </row>
    <row r="4767" spans="1:17" x14ac:dyDescent="0.3">
      <c r="A4767" t="s">
        <v>14</v>
      </c>
      <c r="B4767" t="s">
        <v>47</v>
      </c>
      <c r="C4767" t="s">
        <v>16</v>
      </c>
      <c r="D4767" t="s">
        <v>17</v>
      </c>
      <c r="E4767" t="s">
        <v>18</v>
      </c>
      <c r="F4767" s="9">
        <v>0.11</v>
      </c>
      <c r="G4767" s="10">
        <v>8194</v>
      </c>
      <c r="H4767">
        <v>6.17</v>
      </c>
      <c r="I4767" s="5">
        <f>ROUND(Marketing[[#This Row],[Clicks]]*Marketing[[#This Row],[Conversion_Rate]],0)</f>
        <v>43</v>
      </c>
      <c r="J4767" s="12">
        <f>Marketing[[#This Row],[Campaign_Cost]]/Marketing[[#This Row],[Customers]]</f>
        <v>190.55813953488371</v>
      </c>
      <c r="K4767" t="s">
        <v>25</v>
      </c>
      <c r="L4767" t="s">
        <v>39</v>
      </c>
      <c r="M4767">
        <v>388</v>
      </c>
      <c r="N4767">
        <v>6664</v>
      </c>
      <c r="O4767">
        <v>8</v>
      </c>
      <c r="P4767" t="s">
        <v>42</v>
      </c>
      <c r="Q4767" s="1">
        <v>44217</v>
      </c>
    </row>
    <row r="4768" spans="1:17" x14ac:dyDescent="0.3">
      <c r="A4768" t="s">
        <v>14</v>
      </c>
      <c r="B4768" t="s">
        <v>47</v>
      </c>
      <c r="C4768" t="s">
        <v>23</v>
      </c>
      <c r="D4768" t="s">
        <v>24</v>
      </c>
      <c r="E4768" t="s">
        <v>41</v>
      </c>
      <c r="F4768" s="9">
        <v>0.13</v>
      </c>
      <c r="G4768" s="10">
        <v>13688</v>
      </c>
      <c r="H4768">
        <v>2.3199999999999998</v>
      </c>
      <c r="I4768" s="5">
        <f>ROUND(Marketing[[#This Row],[Clicks]]*Marketing[[#This Row],[Conversion_Rate]],0)</f>
        <v>96</v>
      </c>
      <c r="J4768" s="12">
        <f>Marketing[[#This Row],[Campaign_Cost]]/Marketing[[#This Row],[Customers]]</f>
        <v>142.58333333333334</v>
      </c>
      <c r="K4768" t="s">
        <v>38</v>
      </c>
      <c r="L4768" t="s">
        <v>39</v>
      </c>
      <c r="M4768">
        <v>738</v>
      </c>
      <c r="N4768">
        <v>1907</v>
      </c>
      <c r="O4768">
        <v>4</v>
      </c>
      <c r="P4768" t="s">
        <v>21</v>
      </c>
      <c r="Q4768" s="1">
        <v>44218</v>
      </c>
    </row>
    <row r="4769" spans="1:17" x14ac:dyDescent="0.3">
      <c r="A4769" t="s">
        <v>14</v>
      </c>
      <c r="B4769" t="s">
        <v>47</v>
      </c>
      <c r="C4769" t="s">
        <v>16</v>
      </c>
      <c r="D4769" t="s">
        <v>46</v>
      </c>
      <c r="E4769" t="s">
        <v>31</v>
      </c>
      <c r="F4769" s="9">
        <v>0.08</v>
      </c>
      <c r="G4769" s="10">
        <v>10925</v>
      </c>
      <c r="H4769">
        <v>7.34</v>
      </c>
      <c r="I4769" s="5">
        <f>ROUND(Marketing[[#This Row],[Clicks]]*Marketing[[#This Row],[Conversion_Rate]],0)</f>
        <v>50</v>
      </c>
      <c r="J4769" s="12">
        <f>Marketing[[#This Row],[Campaign_Cost]]/Marketing[[#This Row],[Customers]]</f>
        <v>218.5</v>
      </c>
      <c r="K4769" t="s">
        <v>25</v>
      </c>
      <c r="L4769" t="s">
        <v>50</v>
      </c>
      <c r="M4769">
        <v>630</v>
      </c>
      <c r="N4769">
        <v>9941</v>
      </c>
      <c r="O4769">
        <v>3</v>
      </c>
      <c r="P4769" t="s">
        <v>42</v>
      </c>
      <c r="Q4769" s="1">
        <v>44219</v>
      </c>
    </row>
    <row r="4770" spans="1:17" x14ac:dyDescent="0.3">
      <c r="A4770" t="s">
        <v>35</v>
      </c>
      <c r="B4770" t="s">
        <v>36</v>
      </c>
      <c r="C4770" t="s">
        <v>52</v>
      </c>
      <c r="D4770" t="s">
        <v>40</v>
      </c>
      <c r="E4770" t="s">
        <v>15</v>
      </c>
      <c r="F4770" s="9">
        <v>0.04</v>
      </c>
      <c r="G4770" s="10">
        <v>13117</v>
      </c>
      <c r="H4770">
        <v>2.15</v>
      </c>
      <c r="I4770" s="5">
        <f>ROUND(Marketing[[#This Row],[Clicks]]*Marketing[[#This Row],[Conversion_Rate]],0)</f>
        <v>21</v>
      </c>
      <c r="J4770" s="12">
        <f>Marketing[[#This Row],[Campaign_Cost]]/Marketing[[#This Row],[Customers]]</f>
        <v>624.61904761904759</v>
      </c>
      <c r="K4770" t="s">
        <v>19</v>
      </c>
      <c r="L4770" t="s">
        <v>33</v>
      </c>
      <c r="M4770">
        <v>522</v>
      </c>
      <c r="N4770">
        <v>3555</v>
      </c>
      <c r="O4770">
        <v>5</v>
      </c>
      <c r="P4770" t="s">
        <v>44</v>
      </c>
      <c r="Q4770" s="1">
        <v>44220</v>
      </c>
    </row>
    <row r="4771" spans="1:17" x14ac:dyDescent="0.3">
      <c r="A4771" t="s">
        <v>28</v>
      </c>
      <c r="B4771" t="s">
        <v>47</v>
      </c>
      <c r="C4771" t="s">
        <v>37</v>
      </c>
      <c r="D4771" t="s">
        <v>40</v>
      </c>
      <c r="E4771" t="s">
        <v>15</v>
      </c>
      <c r="F4771" s="9">
        <v>0.1</v>
      </c>
      <c r="G4771" s="10">
        <v>15559</v>
      </c>
      <c r="H4771">
        <v>2.3199999999999998</v>
      </c>
      <c r="I4771" s="5">
        <f>ROUND(Marketing[[#This Row],[Clicks]]*Marketing[[#This Row],[Conversion_Rate]],0)</f>
        <v>40</v>
      </c>
      <c r="J4771" s="12">
        <f>Marketing[[#This Row],[Campaign_Cost]]/Marketing[[#This Row],[Customers]]</f>
        <v>388.97500000000002</v>
      </c>
      <c r="K4771" t="s">
        <v>19</v>
      </c>
      <c r="L4771" t="s">
        <v>50</v>
      </c>
      <c r="M4771">
        <v>399</v>
      </c>
      <c r="N4771">
        <v>6565</v>
      </c>
      <c r="O4771">
        <v>5</v>
      </c>
      <c r="P4771" t="s">
        <v>27</v>
      </c>
      <c r="Q4771" s="1">
        <v>44221</v>
      </c>
    </row>
    <row r="4772" spans="1:17" x14ac:dyDescent="0.3">
      <c r="A4772" t="s">
        <v>28</v>
      </c>
      <c r="B4772" t="s">
        <v>47</v>
      </c>
      <c r="C4772" t="s">
        <v>23</v>
      </c>
      <c r="D4772" t="s">
        <v>17</v>
      </c>
      <c r="E4772" t="s">
        <v>18</v>
      </c>
      <c r="F4772" s="9">
        <v>0.02</v>
      </c>
      <c r="G4772" s="10">
        <v>6511</v>
      </c>
      <c r="H4772">
        <v>3.07</v>
      </c>
      <c r="I4772" s="5">
        <f>ROUND(Marketing[[#This Row],[Clicks]]*Marketing[[#This Row],[Conversion_Rate]],0)</f>
        <v>9</v>
      </c>
      <c r="J4772" s="12">
        <f>Marketing[[#This Row],[Campaign_Cost]]/Marketing[[#This Row],[Customers]]</f>
        <v>723.44444444444446</v>
      </c>
      <c r="K4772" t="s">
        <v>25</v>
      </c>
      <c r="L4772" t="s">
        <v>26</v>
      </c>
      <c r="M4772">
        <v>438</v>
      </c>
      <c r="N4772">
        <v>7878</v>
      </c>
      <c r="O4772">
        <v>9</v>
      </c>
      <c r="P4772" t="s">
        <v>44</v>
      </c>
      <c r="Q4772" s="1">
        <v>44222</v>
      </c>
    </row>
    <row r="4773" spans="1:17" x14ac:dyDescent="0.3">
      <c r="A4773" t="s">
        <v>14</v>
      </c>
      <c r="B4773" t="s">
        <v>36</v>
      </c>
      <c r="C4773" t="s">
        <v>23</v>
      </c>
      <c r="D4773" t="s">
        <v>17</v>
      </c>
      <c r="E4773" t="s">
        <v>43</v>
      </c>
      <c r="F4773" s="9">
        <v>0.13</v>
      </c>
      <c r="G4773" s="10">
        <v>16931</v>
      </c>
      <c r="H4773">
        <v>3.55</v>
      </c>
      <c r="I4773" s="5">
        <f>ROUND(Marketing[[#This Row],[Clicks]]*Marketing[[#This Row],[Conversion_Rate]],0)</f>
        <v>41</v>
      </c>
      <c r="J4773" s="12">
        <f>Marketing[[#This Row],[Campaign_Cost]]/Marketing[[#This Row],[Customers]]</f>
        <v>412.95121951219511</v>
      </c>
      <c r="K4773" t="s">
        <v>19</v>
      </c>
      <c r="L4773" t="s">
        <v>39</v>
      </c>
      <c r="M4773">
        <v>313</v>
      </c>
      <c r="N4773">
        <v>7853</v>
      </c>
      <c r="O4773">
        <v>4</v>
      </c>
      <c r="P4773" t="s">
        <v>27</v>
      </c>
      <c r="Q4773" s="1">
        <v>44223</v>
      </c>
    </row>
    <row r="4774" spans="1:17" x14ac:dyDescent="0.3">
      <c r="A4774" t="s">
        <v>35</v>
      </c>
      <c r="B4774" t="s">
        <v>47</v>
      </c>
      <c r="C4774" t="s">
        <v>16</v>
      </c>
      <c r="D4774" t="s">
        <v>17</v>
      </c>
      <c r="E4774" t="s">
        <v>41</v>
      </c>
      <c r="F4774" s="9">
        <v>7.0000000000000007E-2</v>
      </c>
      <c r="G4774" s="10">
        <v>12362</v>
      </c>
      <c r="H4774">
        <v>2.58</v>
      </c>
      <c r="I4774" s="5">
        <f>ROUND(Marketing[[#This Row],[Clicks]]*Marketing[[#This Row],[Conversion_Rate]],0)</f>
        <v>69</v>
      </c>
      <c r="J4774" s="12">
        <f>Marketing[[#This Row],[Campaign_Cost]]/Marketing[[#This Row],[Customers]]</f>
        <v>179.15942028985506</v>
      </c>
      <c r="K4774" t="s">
        <v>38</v>
      </c>
      <c r="L4774" t="s">
        <v>39</v>
      </c>
      <c r="M4774">
        <v>986</v>
      </c>
      <c r="N4774">
        <v>9375</v>
      </c>
      <c r="O4774">
        <v>8</v>
      </c>
      <c r="P4774" t="s">
        <v>21</v>
      </c>
      <c r="Q4774" s="1">
        <v>44224</v>
      </c>
    </row>
    <row r="4775" spans="1:17" x14ac:dyDescent="0.3">
      <c r="A4775" t="s">
        <v>49</v>
      </c>
      <c r="B4775" t="s">
        <v>45</v>
      </c>
      <c r="C4775" t="s">
        <v>23</v>
      </c>
      <c r="D4775" t="s">
        <v>40</v>
      </c>
      <c r="E4775" t="s">
        <v>31</v>
      </c>
      <c r="F4775" s="9">
        <v>0.04</v>
      </c>
      <c r="G4775" s="10">
        <v>14636</v>
      </c>
      <c r="H4775">
        <v>3.3</v>
      </c>
      <c r="I4775" s="5">
        <f>ROUND(Marketing[[#This Row],[Clicks]]*Marketing[[#This Row],[Conversion_Rate]],0)</f>
        <v>19</v>
      </c>
      <c r="J4775" s="12">
        <f>Marketing[[#This Row],[Campaign_Cost]]/Marketing[[#This Row],[Customers]]</f>
        <v>770.31578947368416</v>
      </c>
      <c r="K4775" t="s">
        <v>32</v>
      </c>
      <c r="L4775" t="s">
        <v>39</v>
      </c>
      <c r="M4775">
        <v>476</v>
      </c>
      <c r="N4775">
        <v>1296</v>
      </c>
      <c r="O4775">
        <v>5</v>
      </c>
      <c r="P4775" t="s">
        <v>42</v>
      </c>
      <c r="Q4775" s="1">
        <v>44225</v>
      </c>
    </row>
    <row r="4776" spans="1:17" x14ac:dyDescent="0.3">
      <c r="A4776" t="s">
        <v>35</v>
      </c>
      <c r="B4776" t="s">
        <v>29</v>
      </c>
      <c r="C4776" t="s">
        <v>16</v>
      </c>
      <c r="D4776" t="s">
        <v>40</v>
      </c>
      <c r="E4776" t="s">
        <v>18</v>
      </c>
      <c r="F4776" s="9">
        <v>0.15</v>
      </c>
      <c r="G4776" s="10">
        <v>8099</v>
      </c>
      <c r="H4776">
        <v>4.5199999999999996</v>
      </c>
      <c r="I4776" s="5">
        <f>ROUND(Marketing[[#This Row],[Clicks]]*Marketing[[#This Row],[Conversion_Rate]],0)</f>
        <v>71</v>
      </c>
      <c r="J4776" s="12">
        <f>Marketing[[#This Row],[Campaign_Cost]]/Marketing[[#This Row],[Customers]]</f>
        <v>114.07042253521126</v>
      </c>
      <c r="K4776" t="s">
        <v>32</v>
      </c>
      <c r="L4776" t="s">
        <v>26</v>
      </c>
      <c r="M4776">
        <v>475</v>
      </c>
      <c r="N4776">
        <v>5760</v>
      </c>
      <c r="O4776">
        <v>2</v>
      </c>
      <c r="P4776" t="s">
        <v>27</v>
      </c>
      <c r="Q4776" s="1">
        <v>44226</v>
      </c>
    </row>
    <row r="4777" spans="1:17" x14ac:dyDescent="0.3">
      <c r="A4777" t="s">
        <v>14</v>
      </c>
      <c r="B4777" t="s">
        <v>45</v>
      </c>
      <c r="C4777" t="s">
        <v>30</v>
      </c>
      <c r="D4777" t="s">
        <v>46</v>
      </c>
      <c r="E4777" t="s">
        <v>31</v>
      </c>
      <c r="F4777" s="9">
        <v>0.14000000000000001</v>
      </c>
      <c r="G4777" s="10">
        <v>9369</v>
      </c>
      <c r="H4777">
        <v>4.1100000000000003</v>
      </c>
      <c r="I4777" s="5">
        <f>ROUND(Marketing[[#This Row],[Clicks]]*Marketing[[#This Row],[Conversion_Rate]],0)</f>
        <v>82</v>
      </c>
      <c r="J4777" s="12">
        <f>Marketing[[#This Row],[Campaign_Cost]]/Marketing[[#This Row],[Customers]]</f>
        <v>114.2560975609756</v>
      </c>
      <c r="K4777" t="s">
        <v>51</v>
      </c>
      <c r="L4777" t="s">
        <v>33</v>
      </c>
      <c r="M4777">
        <v>585</v>
      </c>
      <c r="N4777">
        <v>3649</v>
      </c>
      <c r="O4777">
        <v>5</v>
      </c>
      <c r="P4777" t="s">
        <v>21</v>
      </c>
      <c r="Q4777" s="1">
        <v>44227</v>
      </c>
    </row>
    <row r="4778" spans="1:17" x14ac:dyDescent="0.3">
      <c r="A4778" t="s">
        <v>28</v>
      </c>
      <c r="B4778" t="s">
        <v>36</v>
      </c>
      <c r="C4778" t="s">
        <v>23</v>
      </c>
      <c r="D4778" t="s">
        <v>46</v>
      </c>
      <c r="E4778" t="s">
        <v>31</v>
      </c>
      <c r="F4778" s="9">
        <v>0.13</v>
      </c>
      <c r="G4778" s="10">
        <v>16031</v>
      </c>
      <c r="H4778">
        <v>2.2999999999999998</v>
      </c>
      <c r="I4778" s="5">
        <f>ROUND(Marketing[[#This Row],[Clicks]]*Marketing[[#This Row],[Conversion_Rate]],0)</f>
        <v>100</v>
      </c>
      <c r="J4778" s="12">
        <f>Marketing[[#This Row],[Campaign_Cost]]/Marketing[[#This Row],[Customers]]</f>
        <v>160.31</v>
      </c>
      <c r="K4778" t="s">
        <v>19</v>
      </c>
      <c r="L4778" t="s">
        <v>20</v>
      </c>
      <c r="M4778">
        <v>767</v>
      </c>
      <c r="N4778">
        <v>2048</v>
      </c>
      <c r="O4778">
        <v>1</v>
      </c>
      <c r="P4778" t="s">
        <v>34</v>
      </c>
      <c r="Q4778" s="1">
        <v>44228</v>
      </c>
    </row>
    <row r="4779" spans="1:17" x14ac:dyDescent="0.3">
      <c r="A4779" t="s">
        <v>22</v>
      </c>
      <c r="B4779" t="s">
        <v>45</v>
      </c>
      <c r="C4779" t="s">
        <v>37</v>
      </c>
      <c r="D4779" t="s">
        <v>17</v>
      </c>
      <c r="E4779" t="s">
        <v>41</v>
      </c>
      <c r="F4779" s="9">
        <v>0.04</v>
      </c>
      <c r="G4779" s="10">
        <v>10745</v>
      </c>
      <c r="H4779">
        <v>2.78</v>
      </c>
      <c r="I4779" s="5">
        <f>ROUND(Marketing[[#This Row],[Clicks]]*Marketing[[#This Row],[Conversion_Rate]],0)</f>
        <v>39</v>
      </c>
      <c r="J4779" s="12">
        <f>Marketing[[#This Row],[Campaign_Cost]]/Marketing[[#This Row],[Customers]]</f>
        <v>275.5128205128205</v>
      </c>
      <c r="K4779" t="s">
        <v>38</v>
      </c>
      <c r="L4779" t="s">
        <v>39</v>
      </c>
      <c r="M4779">
        <v>969</v>
      </c>
      <c r="N4779">
        <v>8136</v>
      </c>
      <c r="O4779">
        <v>6</v>
      </c>
      <c r="P4779" t="s">
        <v>27</v>
      </c>
      <c r="Q4779" s="1">
        <v>44229</v>
      </c>
    </row>
    <row r="4780" spans="1:17" x14ac:dyDescent="0.3">
      <c r="A4780" t="s">
        <v>35</v>
      </c>
      <c r="B4780" t="s">
        <v>45</v>
      </c>
      <c r="C4780" t="s">
        <v>37</v>
      </c>
      <c r="D4780" t="s">
        <v>24</v>
      </c>
      <c r="E4780" t="s">
        <v>41</v>
      </c>
      <c r="F4780" s="9">
        <v>0.01</v>
      </c>
      <c r="G4780" s="10">
        <v>13890</v>
      </c>
      <c r="H4780">
        <v>2.86</v>
      </c>
      <c r="I4780" s="5">
        <f>ROUND(Marketing[[#This Row],[Clicks]]*Marketing[[#This Row],[Conversion_Rate]],0)</f>
        <v>3</v>
      </c>
      <c r="J4780" s="12">
        <f>Marketing[[#This Row],[Campaign_Cost]]/Marketing[[#This Row],[Customers]]</f>
        <v>4630</v>
      </c>
      <c r="K4780" t="s">
        <v>19</v>
      </c>
      <c r="L4780" t="s">
        <v>39</v>
      </c>
      <c r="M4780">
        <v>321</v>
      </c>
      <c r="N4780">
        <v>4560</v>
      </c>
      <c r="O4780">
        <v>1</v>
      </c>
      <c r="P4780" t="s">
        <v>34</v>
      </c>
      <c r="Q4780" s="1">
        <v>44230</v>
      </c>
    </row>
    <row r="4781" spans="1:17" x14ac:dyDescent="0.3">
      <c r="A4781" t="s">
        <v>28</v>
      </c>
      <c r="B4781" t="s">
        <v>15</v>
      </c>
      <c r="C4781" t="s">
        <v>30</v>
      </c>
      <c r="D4781" t="s">
        <v>24</v>
      </c>
      <c r="E4781" t="s">
        <v>15</v>
      </c>
      <c r="F4781" s="9">
        <v>0.08</v>
      </c>
      <c r="G4781" s="10">
        <v>5505</v>
      </c>
      <c r="H4781">
        <v>7.39</v>
      </c>
      <c r="I4781" s="5">
        <f>ROUND(Marketing[[#This Row],[Clicks]]*Marketing[[#This Row],[Conversion_Rate]],0)</f>
        <v>13</v>
      </c>
      <c r="J4781" s="12">
        <f>Marketing[[#This Row],[Campaign_Cost]]/Marketing[[#This Row],[Customers]]</f>
        <v>423.46153846153845</v>
      </c>
      <c r="K4781" t="s">
        <v>38</v>
      </c>
      <c r="L4781" t="s">
        <v>33</v>
      </c>
      <c r="M4781">
        <v>157</v>
      </c>
      <c r="N4781">
        <v>5539</v>
      </c>
      <c r="O4781">
        <v>5</v>
      </c>
      <c r="P4781" t="s">
        <v>27</v>
      </c>
      <c r="Q4781" s="1">
        <v>44231</v>
      </c>
    </row>
    <row r="4782" spans="1:17" x14ac:dyDescent="0.3">
      <c r="A4782" t="s">
        <v>22</v>
      </c>
      <c r="B4782" t="s">
        <v>47</v>
      </c>
      <c r="C4782" t="s">
        <v>30</v>
      </c>
      <c r="D4782" t="s">
        <v>24</v>
      </c>
      <c r="E4782" t="s">
        <v>15</v>
      </c>
      <c r="F4782" s="9">
        <v>7.0000000000000007E-2</v>
      </c>
      <c r="G4782" s="10">
        <v>18092</v>
      </c>
      <c r="H4782">
        <v>3.73</v>
      </c>
      <c r="I4782" s="5">
        <f>ROUND(Marketing[[#This Row],[Clicks]]*Marketing[[#This Row],[Conversion_Rate]],0)</f>
        <v>39</v>
      </c>
      <c r="J4782" s="12">
        <f>Marketing[[#This Row],[Campaign_Cost]]/Marketing[[#This Row],[Customers]]</f>
        <v>463.89743589743591</v>
      </c>
      <c r="K4782" t="s">
        <v>19</v>
      </c>
      <c r="L4782" t="s">
        <v>33</v>
      </c>
      <c r="M4782">
        <v>556</v>
      </c>
      <c r="N4782">
        <v>8280</v>
      </c>
      <c r="O4782">
        <v>1</v>
      </c>
      <c r="P4782" t="s">
        <v>34</v>
      </c>
      <c r="Q4782" s="1">
        <v>44232</v>
      </c>
    </row>
    <row r="4783" spans="1:17" x14ac:dyDescent="0.3">
      <c r="A4783" t="s">
        <v>14</v>
      </c>
      <c r="B4783" t="s">
        <v>29</v>
      </c>
      <c r="C4783" t="s">
        <v>16</v>
      </c>
      <c r="D4783" t="s">
        <v>24</v>
      </c>
      <c r="E4783" t="s">
        <v>48</v>
      </c>
      <c r="F4783" s="9">
        <v>0.11</v>
      </c>
      <c r="G4783" s="10">
        <v>17600</v>
      </c>
      <c r="H4783">
        <v>6.56</v>
      </c>
      <c r="I4783" s="5">
        <f>ROUND(Marketing[[#This Row],[Clicks]]*Marketing[[#This Row],[Conversion_Rate]],0)</f>
        <v>20</v>
      </c>
      <c r="J4783" s="12">
        <f>Marketing[[#This Row],[Campaign_Cost]]/Marketing[[#This Row],[Customers]]</f>
        <v>880</v>
      </c>
      <c r="K4783" t="s">
        <v>51</v>
      </c>
      <c r="L4783" t="s">
        <v>50</v>
      </c>
      <c r="M4783">
        <v>178</v>
      </c>
      <c r="N4783">
        <v>2246</v>
      </c>
      <c r="O4783">
        <v>6</v>
      </c>
      <c r="P4783" t="s">
        <v>21</v>
      </c>
      <c r="Q4783" s="1">
        <v>44233</v>
      </c>
    </row>
    <row r="4784" spans="1:17" x14ac:dyDescent="0.3">
      <c r="A4784" t="s">
        <v>28</v>
      </c>
      <c r="B4784" t="s">
        <v>45</v>
      </c>
      <c r="C4784" t="s">
        <v>37</v>
      </c>
      <c r="D4784" t="s">
        <v>24</v>
      </c>
      <c r="E4784" t="s">
        <v>41</v>
      </c>
      <c r="F4784" s="9">
        <v>0.05</v>
      </c>
      <c r="G4784" s="10">
        <v>14322</v>
      </c>
      <c r="H4784">
        <v>2.92</v>
      </c>
      <c r="I4784" s="5">
        <f>ROUND(Marketing[[#This Row],[Clicks]]*Marketing[[#This Row],[Conversion_Rate]],0)</f>
        <v>29</v>
      </c>
      <c r="J4784" s="12">
        <f>Marketing[[#This Row],[Campaign_Cost]]/Marketing[[#This Row],[Customers]]</f>
        <v>493.86206896551727</v>
      </c>
      <c r="K4784" t="s">
        <v>32</v>
      </c>
      <c r="L4784" t="s">
        <v>20</v>
      </c>
      <c r="M4784">
        <v>579</v>
      </c>
      <c r="N4784">
        <v>6047</v>
      </c>
      <c r="O4784">
        <v>7</v>
      </c>
      <c r="P4784" t="s">
        <v>34</v>
      </c>
      <c r="Q4784" s="1">
        <v>44234</v>
      </c>
    </row>
    <row r="4785" spans="1:17" x14ac:dyDescent="0.3">
      <c r="A4785" t="s">
        <v>35</v>
      </c>
      <c r="B4785" t="s">
        <v>29</v>
      </c>
      <c r="C4785" t="s">
        <v>30</v>
      </c>
      <c r="D4785" t="s">
        <v>40</v>
      </c>
      <c r="E4785" t="s">
        <v>15</v>
      </c>
      <c r="F4785" s="9">
        <v>0.14000000000000001</v>
      </c>
      <c r="G4785" s="10">
        <v>16706</v>
      </c>
      <c r="H4785">
        <v>4.34</v>
      </c>
      <c r="I4785" s="5">
        <f>ROUND(Marketing[[#This Row],[Clicks]]*Marketing[[#This Row],[Conversion_Rate]],0)</f>
        <v>49</v>
      </c>
      <c r="J4785" s="12">
        <f>Marketing[[#This Row],[Campaign_Cost]]/Marketing[[#This Row],[Customers]]</f>
        <v>340.9387755102041</v>
      </c>
      <c r="K4785" t="s">
        <v>25</v>
      </c>
      <c r="L4785" t="s">
        <v>33</v>
      </c>
      <c r="M4785">
        <v>349</v>
      </c>
      <c r="N4785">
        <v>5435</v>
      </c>
      <c r="O4785">
        <v>8</v>
      </c>
      <c r="P4785" t="s">
        <v>34</v>
      </c>
      <c r="Q4785" s="1">
        <v>44235</v>
      </c>
    </row>
    <row r="4786" spans="1:17" x14ac:dyDescent="0.3">
      <c r="A4786" t="s">
        <v>22</v>
      </c>
      <c r="B4786" t="s">
        <v>29</v>
      </c>
      <c r="C4786" t="s">
        <v>52</v>
      </c>
      <c r="D4786" t="s">
        <v>40</v>
      </c>
      <c r="E4786" t="s">
        <v>48</v>
      </c>
      <c r="F4786" s="9">
        <v>0.13</v>
      </c>
      <c r="G4786" s="10">
        <v>19959</v>
      </c>
      <c r="H4786">
        <v>5.72</v>
      </c>
      <c r="I4786" s="5">
        <f>ROUND(Marketing[[#This Row],[Clicks]]*Marketing[[#This Row],[Conversion_Rate]],0)</f>
        <v>112</v>
      </c>
      <c r="J4786" s="12">
        <f>Marketing[[#This Row],[Campaign_Cost]]/Marketing[[#This Row],[Customers]]</f>
        <v>178.20535714285714</v>
      </c>
      <c r="K4786" t="s">
        <v>19</v>
      </c>
      <c r="L4786" t="s">
        <v>50</v>
      </c>
      <c r="M4786">
        <v>858</v>
      </c>
      <c r="N4786">
        <v>9084</v>
      </c>
      <c r="O4786">
        <v>7</v>
      </c>
      <c r="P4786" t="s">
        <v>21</v>
      </c>
      <c r="Q4786" s="1">
        <v>44236</v>
      </c>
    </row>
    <row r="4787" spans="1:17" x14ac:dyDescent="0.3">
      <c r="A4787" t="s">
        <v>22</v>
      </c>
      <c r="B4787" t="s">
        <v>29</v>
      </c>
      <c r="C4787" t="s">
        <v>52</v>
      </c>
      <c r="D4787" t="s">
        <v>24</v>
      </c>
      <c r="E4787" t="s">
        <v>18</v>
      </c>
      <c r="F4787" s="9">
        <v>0.06</v>
      </c>
      <c r="G4787" s="10">
        <v>10644</v>
      </c>
      <c r="H4787">
        <v>2.2200000000000002</v>
      </c>
      <c r="I4787" s="5">
        <f>ROUND(Marketing[[#This Row],[Clicks]]*Marketing[[#This Row],[Conversion_Rate]],0)</f>
        <v>16</v>
      </c>
      <c r="J4787" s="12">
        <f>Marketing[[#This Row],[Campaign_Cost]]/Marketing[[#This Row],[Customers]]</f>
        <v>665.25</v>
      </c>
      <c r="K4787" t="s">
        <v>25</v>
      </c>
      <c r="L4787" t="s">
        <v>26</v>
      </c>
      <c r="M4787">
        <v>259</v>
      </c>
      <c r="N4787">
        <v>5064</v>
      </c>
      <c r="O4787">
        <v>2</v>
      </c>
      <c r="P4787" t="s">
        <v>44</v>
      </c>
      <c r="Q4787" s="1">
        <v>44237</v>
      </c>
    </row>
    <row r="4788" spans="1:17" x14ac:dyDescent="0.3">
      <c r="A4788" t="s">
        <v>28</v>
      </c>
      <c r="B4788" t="s">
        <v>15</v>
      </c>
      <c r="C4788" t="s">
        <v>30</v>
      </c>
      <c r="D4788" t="s">
        <v>24</v>
      </c>
      <c r="E4788" t="s">
        <v>18</v>
      </c>
      <c r="F4788" s="9">
        <v>0.05</v>
      </c>
      <c r="G4788" s="10">
        <v>10932</v>
      </c>
      <c r="H4788">
        <v>3.01</v>
      </c>
      <c r="I4788" s="5">
        <f>ROUND(Marketing[[#This Row],[Clicks]]*Marketing[[#This Row],[Conversion_Rate]],0)</f>
        <v>43</v>
      </c>
      <c r="J4788" s="12">
        <f>Marketing[[#This Row],[Campaign_Cost]]/Marketing[[#This Row],[Customers]]</f>
        <v>254.23255813953489</v>
      </c>
      <c r="K4788" t="s">
        <v>38</v>
      </c>
      <c r="L4788" t="s">
        <v>50</v>
      </c>
      <c r="M4788">
        <v>858</v>
      </c>
      <c r="N4788">
        <v>9250</v>
      </c>
      <c r="O4788">
        <v>3</v>
      </c>
      <c r="P4788" t="s">
        <v>44</v>
      </c>
      <c r="Q4788" s="1">
        <v>44238</v>
      </c>
    </row>
    <row r="4789" spans="1:17" x14ac:dyDescent="0.3">
      <c r="A4789" t="s">
        <v>35</v>
      </c>
      <c r="B4789" t="s">
        <v>15</v>
      </c>
      <c r="C4789" t="s">
        <v>30</v>
      </c>
      <c r="D4789" t="s">
        <v>40</v>
      </c>
      <c r="E4789" t="s">
        <v>31</v>
      </c>
      <c r="F4789" s="9">
        <v>0.1</v>
      </c>
      <c r="G4789" s="10">
        <v>16311</v>
      </c>
      <c r="H4789">
        <v>6.29</v>
      </c>
      <c r="I4789" s="5">
        <f>ROUND(Marketing[[#This Row],[Clicks]]*Marketing[[#This Row],[Conversion_Rate]],0)</f>
        <v>74</v>
      </c>
      <c r="J4789" s="12">
        <f>Marketing[[#This Row],[Campaign_Cost]]/Marketing[[#This Row],[Customers]]</f>
        <v>220.41891891891891</v>
      </c>
      <c r="K4789" t="s">
        <v>25</v>
      </c>
      <c r="L4789" t="s">
        <v>33</v>
      </c>
      <c r="M4789">
        <v>735</v>
      </c>
      <c r="N4789">
        <v>9176</v>
      </c>
      <c r="O4789">
        <v>9</v>
      </c>
      <c r="P4789" t="s">
        <v>21</v>
      </c>
      <c r="Q4789" s="1">
        <v>44239</v>
      </c>
    </row>
    <row r="4790" spans="1:17" x14ac:dyDescent="0.3">
      <c r="A4790" t="s">
        <v>49</v>
      </c>
      <c r="B4790" t="s">
        <v>36</v>
      </c>
      <c r="C4790" t="s">
        <v>37</v>
      </c>
      <c r="D4790" t="s">
        <v>17</v>
      </c>
      <c r="E4790" t="s">
        <v>48</v>
      </c>
      <c r="F4790" s="9">
        <v>0.02</v>
      </c>
      <c r="G4790" s="10">
        <v>10784</v>
      </c>
      <c r="H4790">
        <v>4.74</v>
      </c>
      <c r="I4790" s="5">
        <f>ROUND(Marketing[[#This Row],[Clicks]]*Marketing[[#This Row],[Conversion_Rate]],0)</f>
        <v>6</v>
      </c>
      <c r="J4790" s="12">
        <f>Marketing[[#This Row],[Campaign_Cost]]/Marketing[[#This Row],[Customers]]</f>
        <v>1797.3333333333333</v>
      </c>
      <c r="K4790" t="s">
        <v>51</v>
      </c>
      <c r="L4790" t="s">
        <v>39</v>
      </c>
      <c r="M4790">
        <v>307</v>
      </c>
      <c r="N4790">
        <v>4965</v>
      </c>
      <c r="O4790">
        <v>6</v>
      </c>
      <c r="P4790" t="s">
        <v>34</v>
      </c>
      <c r="Q4790" s="1">
        <v>44240</v>
      </c>
    </row>
    <row r="4791" spans="1:17" x14ac:dyDescent="0.3">
      <c r="A4791" t="s">
        <v>28</v>
      </c>
      <c r="B4791" t="s">
        <v>36</v>
      </c>
      <c r="C4791" t="s">
        <v>23</v>
      </c>
      <c r="D4791" t="s">
        <v>17</v>
      </c>
      <c r="E4791" t="s">
        <v>41</v>
      </c>
      <c r="F4791" s="9">
        <v>0.14000000000000001</v>
      </c>
      <c r="G4791" s="10">
        <v>14783</v>
      </c>
      <c r="H4791">
        <v>2.58</v>
      </c>
      <c r="I4791" s="5">
        <f>ROUND(Marketing[[#This Row],[Clicks]]*Marketing[[#This Row],[Conversion_Rate]],0)</f>
        <v>83</v>
      </c>
      <c r="J4791" s="12">
        <f>Marketing[[#This Row],[Campaign_Cost]]/Marketing[[#This Row],[Customers]]</f>
        <v>178.10843373493975</v>
      </c>
      <c r="K4791" t="s">
        <v>51</v>
      </c>
      <c r="L4791" t="s">
        <v>26</v>
      </c>
      <c r="M4791">
        <v>593</v>
      </c>
      <c r="N4791">
        <v>4359</v>
      </c>
      <c r="O4791">
        <v>4</v>
      </c>
      <c r="P4791" t="s">
        <v>21</v>
      </c>
      <c r="Q4791" s="1">
        <v>44241</v>
      </c>
    </row>
    <row r="4792" spans="1:17" x14ac:dyDescent="0.3">
      <c r="A4792" t="s">
        <v>35</v>
      </c>
      <c r="B4792" t="s">
        <v>36</v>
      </c>
      <c r="C4792" t="s">
        <v>37</v>
      </c>
      <c r="D4792" t="s">
        <v>40</v>
      </c>
      <c r="E4792" t="s">
        <v>48</v>
      </c>
      <c r="F4792" s="9">
        <v>0.09</v>
      </c>
      <c r="G4792" s="10">
        <v>5838</v>
      </c>
      <c r="H4792">
        <v>3.23</v>
      </c>
      <c r="I4792" s="5">
        <f>ROUND(Marketing[[#This Row],[Clicks]]*Marketing[[#This Row],[Conversion_Rate]],0)</f>
        <v>37</v>
      </c>
      <c r="J4792" s="12">
        <f>Marketing[[#This Row],[Campaign_Cost]]/Marketing[[#This Row],[Customers]]</f>
        <v>157.78378378378378</v>
      </c>
      <c r="K4792" t="s">
        <v>32</v>
      </c>
      <c r="L4792" t="s">
        <v>26</v>
      </c>
      <c r="M4792">
        <v>406</v>
      </c>
      <c r="N4792">
        <v>5676</v>
      </c>
      <c r="O4792">
        <v>3</v>
      </c>
      <c r="P4792" t="s">
        <v>21</v>
      </c>
      <c r="Q4792" s="1">
        <v>44242</v>
      </c>
    </row>
    <row r="4793" spans="1:17" x14ac:dyDescent="0.3">
      <c r="A4793" t="s">
        <v>22</v>
      </c>
      <c r="B4793" t="s">
        <v>15</v>
      </c>
      <c r="C4793" t="s">
        <v>16</v>
      </c>
      <c r="D4793" t="s">
        <v>40</v>
      </c>
      <c r="E4793" t="s">
        <v>18</v>
      </c>
      <c r="F4793" s="9">
        <v>0.06</v>
      </c>
      <c r="G4793" s="10">
        <v>15292</v>
      </c>
      <c r="H4793">
        <v>6.44</v>
      </c>
      <c r="I4793" s="5">
        <f>ROUND(Marketing[[#This Row],[Clicks]]*Marketing[[#This Row],[Conversion_Rate]],0)</f>
        <v>33</v>
      </c>
      <c r="J4793" s="12">
        <f>Marketing[[#This Row],[Campaign_Cost]]/Marketing[[#This Row],[Customers]]</f>
        <v>463.39393939393938</v>
      </c>
      <c r="K4793" t="s">
        <v>25</v>
      </c>
      <c r="L4793" t="s">
        <v>39</v>
      </c>
      <c r="M4793">
        <v>558</v>
      </c>
      <c r="N4793">
        <v>5274</v>
      </c>
      <c r="O4793">
        <v>3</v>
      </c>
      <c r="P4793" t="s">
        <v>21</v>
      </c>
      <c r="Q4793" s="1">
        <v>44243</v>
      </c>
    </row>
    <row r="4794" spans="1:17" x14ac:dyDescent="0.3">
      <c r="A4794" t="s">
        <v>49</v>
      </c>
      <c r="B4794" t="s">
        <v>15</v>
      </c>
      <c r="C4794" t="s">
        <v>16</v>
      </c>
      <c r="D4794" t="s">
        <v>17</v>
      </c>
      <c r="E4794" t="s">
        <v>48</v>
      </c>
      <c r="F4794" s="9">
        <v>0.08</v>
      </c>
      <c r="G4794" s="10">
        <v>14824</v>
      </c>
      <c r="H4794">
        <v>5.33</v>
      </c>
      <c r="I4794" s="5">
        <f>ROUND(Marketing[[#This Row],[Clicks]]*Marketing[[#This Row],[Conversion_Rate]],0)</f>
        <v>54</v>
      </c>
      <c r="J4794" s="12">
        <f>Marketing[[#This Row],[Campaign_Cost]]/Marketing[[#This Row],[Customers]]</f>
        <v>274.51851851851853</v>
      </c>
      <c r="K4794" t="s">
        <v>25</v>
      </c>
      <c r="L4794" t="s">
        <v>39</v>
      </c>
      <c r="M4794">
        <v>672</v>
      </c>
      <c r="N4794">
        <v>9664</v>
      </c>
      <c r="O4794">
        <v>8</v>
      </c>
      <c r="P4794" t="s">
        <v>27</v>
      </c>
      <c r="Q4794" s="1">
        <v>44244</v>
      </c>
    </row>
    <row r="4795" spans="1:17" x14ac:dyDescent="0.3">
      <c r="A4795" t="s">
        <v>35</v>
      </c>
      <c r="B4795" t="s">
        <v>36</v>
      </c>
      <c r="C4795" t="s">
        <v>23</v>
      </c>
      <c r="D4795" t="s">
        <v>17</v>
      </c>
      <c r="E4795" t="s">
        <v>48</v>
      </c>
      <c r="F4795" s="9">
        <v>0.09</v>
      </c>
      <c r="G4795" s="10">
        <v>19774</v>
      </c>
      <c r="H4795">
        <v>7.13</v>
      </c>
      <c r="I4795" s="5">
        <f>ROUND(Marketing[[#This Row],[Clicks]]*Marketing[[#This Row],[Conversion_Rate]],0)</f>
        <v>48</v>
      </c>
      <c r="J4795" s="12">
        <f>Marketing[[#This Row],[Campaign_Cost]]/Marketing[[#This Row],[Customers]]</f>
        <v>411.95833333333331</v>
      </c>
      <c r="K4795" t="s">
        <v>32</v>
      </c>
      <c r="L4795" t="s">
        <v>20</v>
      </c>
      <c r="M4795">
        <v>531</v>
      </c>
      <c r="N4795">
        <v>7873</v>
      </c>
      <c r="O4795">
        <v>4</v>
      </c>
      <c r="P4795" t="s">
        <v>42</v>
      </c>
      <c r="Q4795" s="1">
        <v>44245</v>
      </c>
    </row>
    <row r="4796" spans="1:17" x14ac:dyDescent="0.3">
      <c r="A4796" t="s">
        <v>28</v>
      </c>
      <c r="B4796" t="s">
        <v>15</v>
      </c>
      <c r="C4796" t="s">
        <v>16</v>
      </c>
      <c r="D4796" t="s">
        <v>40</v>
      </c>
      <c r="E4796" t="s">
        <v>15</v>
      </c>
      <c r="F4796" s="9">
        <v>0.06</v>
      </c>
      <c r="G4796" s="10">
        <v>5057</v>
      </c>
      <c r="H4796">
        <v>6.64</v>
      </c>
      <c r="I4796" s="5">
        <f>ROUND(Marketing[[#This Row],[Clicks]]*Marketing[[#This Row],[Conversion_Rate]],0)</f>
        <v>8</v>
      </c>
      <c r="J4796" s="12">
        <f>Marketing[[#This Row],[Campaign_Cost]]/Marketing[[#This Row],[Customers]]</f>
        <v>632.125</v>
      </c>
      <c r="K4796" t="s">
        <v>32</v>
      </c>
      <c r="L4796" t="s">
        <v>50</v>
      </c>
      <c r="M4796">
        <v>137</v>
      </c>
      <c r="N4796">
        <v>3449</v>
      </c>
      <c r="O4796">
        <v>5</v>
      </c>
      <c r="P4796" t="s">
        <v>21</v>
      </c>
      <c r="Q4796" s="1">
        <v>44246</v>
      </c>
    </row>
    <row r="4797" spans="1:17" x14ac:dyDescent="0.3">
      <c r="A4797" t="s">
        <v>22</v>
      </c>
      <c r="B4797" t="s">
        <v>15</v>
      </c>
      <c r="C4797" t="s">
        <v>16</v>
      </c>
      <c r="D4797" t="s">
        <v>17</v>
      </c>
      <c r="E4797" t="s">
        <v>18</v>
      </c>
      <c r="F4797" s="9">
        <v>0.03</v>
      </c>
      <c r="G4797" s="10">
        <v>17556</v>
      </c>
      <c r="H4797">
        <v>4.01</v>
      </c>
      <c r="I4797" s="5">
        <f>ROUND(Marketing[[#This Row],[Clicks]]*Marketing[[#This Row],[Conversion_Rate]],0)</f>
        <v>13</v>
      </c>
      <c r="J4797" s="12">
        <f>Marketing[[#This Row],[Campaign_Cost]]/Marketing[[#This Row],[Customers]]</f>
        <v>1350.4615384615386</v>
      </c>
      <c r="K4797" t="s">
        <v>32</v>
      </c>
      <c r="L4797" t="s">
        <v>39</v>
      </c>
      <c r="M4797">
        <v>448</v>
      </c>
      <c r="N4797">
        <v>5883</v>
      </c>
      <c r="O4797">
        <v>8</v>
      </c>
      <c r="P4797" t="s">
        <v>21</v>
      </c>
      <c r="Q4797" s="1">
        <v>44247</v>
      </c>
    </row>
    <row r="4798" spans="1:17" x14ac:dyDescent="0.3">
      <c r="A4798" t="s">
        <v>14</v>
      </c>
      <c r="B4798" t="s">
        <v>47</v>
      </c>
      <c r="C4798" t="s">
        <v>23</v>
      </c>
      <c r="D4798" t="s">
        <v>40</v>
      </c>
      <c r="E4798" t="s">
        <v>31</v>
      </c>
      <c r="F4798" s="9">
        <v>0.02</v>
      </c>
      <c r="G4798" s="10">
        <v>11801</v>
      </c>
      <c r="H4798">
        <v>2.9</v>
      </c>
      <c r="I4798" s="5">
        <f>ROUND(Marketing[[#This Row],[Clicks]]*Marketing[[#This Row],[Conversion_Rate]],0)</f>
        <v>19</v>
      </c>
      <c r="J4798" s="12">
        <f>Marketing[[#This Row],[Campaign_Cost]]/Marketing[[#This Row],[Customers]]</f>
        <v>621.10526315789468</v>
      </c>
      <c r="K4798" t="s">
        <v>51</v>
      </c>
      <c r="L4798" t="s">
        <v>50</v>
      </c>
      <c r="M4798">
        <v>940</v>
      </c>
      <c r="N4798">
        <v>1853</v>
      </c>
      <c r="O4798">
        <v>7</v>
      </c>
      <c r="P4798" t="s">
        <v>42</v>
      </c>
      <c r="Q4798" s="1">
        <v>44248</v>
      </c>
    </row>
    <row r="4799" spans="1:17" x14ac:dyDescent="0.3">
      <c r="A4799" t="s">
        <v>35</v>
      </c>
      <c r="B4799" t="s">
        <v>15</v>
      </c>
      <c r="C4799" t="s">
        <v>23</v>
      </c>
      <c r="D4799" t="s">
        <v>46</v>
      </c>
      <c r="E4799" t="s">
        <v>48</v>
      </c>
      <c r="F4799" s="9">
        <v>0.1</v>
      </c>
      <c r="G4799" s="10">
        <v>12450</v>
      </c>
      <c r="H4799">
        <v>3.34</v>
      </c>
      <c r="I4799" s="5">
        <f>ROUND(Marketing[[#This Row],[Clicks]]*Marketing[[#This Row],[Conversion_Rate]],0)</f>
        <v>12</v>
      </c>
      <c r="J4799" s="12">
        <f>Marketing[[#This Row],[Campaign_Cost]]/Marketing[[#This Row],[Customers]]</f>
        <v>1037.5</v>
      </c>
      <c r="K4799" t="s">
        <v>32</v>
      </c>
      <c r="L4799" t="s">
        <v>50</v>
      </c>
      <c r="M4799">
        <v>116</v>
      </c>
      <c r="N4799">
        <v>8716</v>
      </c>
      <c r="O4799">
        <v>10</v>
      </c>
      <c r="P4799" t="s">
        <v>34</v>
      </c>
      <c r="Q4799" s="1">
        <v>44249</v>
      </c>
    </row>
    <row r="4800" spans="1:17" x14ac:dyDescent="0.3">
      <c r="A4800" t="s">
        <v>35</v>
      </c>
      <c r="B4800" t="s">
        <v>29</v>
      </c>
      <c r="C4800" t="s">
        <v>30</v>
      </c>
      <c r="D4800" t="s">
        <v>40</v>
      </c>
      <c r="E4800" t="s">
        <v>18</v>
      </c>
      <c r="F4800" s="9">
        <v>0.11</v>
      </c>
      <c r="G4800" s="10">
        <v>5146</v>
      </c>
      <c r="H4800">
        <v>7.44</v>
      </c>
      <c r="I4800" s="5">
        <f>ROUND(Marketing[[#This Row],[Clicks]]*Marketing[[#This Row],[Conversion_Rate]],0)</f>
        <v>97</v>
      </c>
      <c r="J4800" s="12">
        <f>Marketing[[#This Row],[Campaign_Cost]]/Marketing[[#This Row],[Customers]]</f>
        <v>53.051546391752581</v>
      </c>
      <c r="K4800" t="s">
        <v>19</v>
      </c>
      <c r="L4800" t="s">
        <v>20</v>
      </c>
      <c r="M4800">
        <v>886</v>
      </c>
      <c r="N4800">
        <v>1052</v>
      </c>
      <c r="O4800">
        <v>8</v>
      </c>
      <c r="P4800" t="s">
        <v>27</v>
      </c>
      <c r="Q4800" s="1">
        <v>44250</v>
      </c>
    </row>
    <row r="4801" spans="1:17" x14ac:dyDescent="0.3">
      <c r="A4801" t="s">
        <v>14</v>
      </c>
      <c r="B4801" t="s">
        <v>29</v>
      </c>
      <c r="C4801" t="s">
        <v>37</v>
      </c>
      <c r="D4801" t="s">
        <v>46</v>
      </c>
      <c r="E4801" t="s">
        <v>43</v>
      </c>
      <c r="F4801" s="9">
        <v>0.08</v>
      </c>
      <c r="G4801" s="10">
        <v>8135</v>
      </c>
      <c r="H4801">
        <v>3.93</v>
      </c>
      <c r="I4801" s="5">
        <f>ROUND(Marketing[[#This Row],[Clicks]]*Marketing[[#This Row],[Conversion_Rate]],0)</f>
        <v>60</v>
      </c>
      <c r="J4801" s="12">
        <f>Marketing[[#This Row],[Campaign_Cost]]/Marketing[[#This Row],[Customers]]</f>
        <v>135.58333333333334</v>
      </c>
      <c r="K4801" t="s">
        <v>38</v>
      </c>
      <c r="L4801" t="s">
        <v>20</v>
      </c>
      <c r="M4801">
        <v>745</v>
      </c>
      <c r="N4801">
        <v>4359</v>
      </c>
      <c r="O4801">
        <v>5</v>
      </c>
      <c r="P4801" t="s">
        <v>34</v>
      </c>
      <c r="Q4801" s="1">
        <v>44251</v>
      </c>
    </row>
    <row r="4802" spans="1:17" x14ac:dyDescent="0.3">
      <c r="A4802" t="s">
        <v>22</v>
      </c>
      <c r="B4802" t="s">
        <v>45</v>
      </c>
      <c r="C4802" t="s">
        <v>16</v>
      </c>
      <c r="D4802" t="s">
        <v>24</v>
      </c>
      <c r="E4802" t="s">
        <v>18</v>
      </c>
      <c r="F4802" s="9">
        <v>0.05</v>
      </c>
      <c r="G4802" s="10">
        <v>11317</v>
      </c>
      <c r="H4802">
        <v>6.19</v>
      </c>
      <c r="I4802" s="5">
        <f>ROUND(Marketing[[#This Row],[Clicks]]*Marketing[[#This Row],[Conversion_Rate]],0)</f>
        <v>30</v>
      </c>
      <c r="J4802" s="12">
        <f>Marketing[[#This Row],[Campaign_Cost]]/Marketing[[#This Row],[Customers]]</f>
        <v>377.23333333333335</v>
      </c>
      <c r="K4802" t="s">
        <v>32</v>
      </c>
      <c r="L4802" t="s">
        <v>39</v>
      </c>
      <c r="M4802">
        <v>604</v>
      </c>
      <c r="N4802">
        <v>7520</v>
      </c>
      <c r="O4802">
        <v>4</v>
      </c>
      <c r="P4802" t="s">
        <v>34</v>
      </c>
      <c r="Q4802" s="1">
        <v>44252</v>
      </c>
    </row>
    <row r="4803" spans="1:17" x14ac:dyDescent="0.3">
      <c r="A4803" t="s">
        <v>28</v>
      </c>
      <c r="B4803" t="s">
        <v>45</v>
      </c>
      <c r="C4803" t="s">
        <v>37</v>
      </c>
      <c r="D4803" t="s">
        <v>24</v>
      </c>
      <c r="E4803" t="s">
        <v>43</v>
      </c>
      <c r="F4803" s="9">
        <v>0.1</v>
      </c>
      <c r="G4803" s="10">
        <v>18391</v>
      </c>
      <c r="H4803">
        <v>6.95</v>
      </c>
      <c r="I4803" s="5">
        <f>ROUND(Marketing[[#This Row],[Clicks]]*Marketing[[#This Row],[Conversion_Rate]],0)</f>
        <v>11</v>
      </c>
      <c r="J4803" s="12">
        <f>Marketing[[#This Row],[Campaign_Cost]]/Marketing[[#This Row],[Customers]]</f>
        <v>1671.909090909091</v>
      </c>
      <c r="K4803" t="s">
        <v>19</v>
      </c>
      <c r="L4803" t="s">
        <v>39</v>
      </c>
      <c r="M4803">
        <v>114</v>
      </c>
      <c r="N4803">
        <v>6497</v>
      </c>
      <c r="O4803">
        <v>3</v>
      </c>
      <c r="P4803" t="s">
        <v>27</v>
      </c>
      <c r="Q4803" s="1">
        <v>44253</v>
      </c>
    </row>
    <row r="4804" spans="1:17" x14ac:dyDescent="0.3">
      <c r="A4804" t="s">
        <v>22</v>
      </c>
      <c r="B4804" t="s">
        <v>29</v>
      </c>
      <c r="C4804" t="s">
        <v>16</v>
      </c>
      <c r="D4804" t="s">
        <v>17</v>
      </c>
      <c r="E4804" t="s">
        <v>18</v>
      </c>
      <c r="F4804" s="9">
        <v>0.15</v>
      </c>
      <c r="G4804" s="10">
        <v>7746</v>
      </c>
      <c r="H4804">
        <v>7</v>
      </c>
      <c r="I4804" s="5">
        <f>ROUND(Marketing[[#This Row],[Clicks]]*Marketing[[#This Row],[Conversion_Rate]],0)</f>
        <v>141</v>
      </c>
      <c r="J4804" s="12">
        <f>Marketing[[#This Row],[Campaign_Cost]]/Marketing[[#This Row],[Customers]]</f>
        <v>54.936170212765958</v>
      </c>
      <c r="K4804" t="s">
        <v>32</v>
      </c>
      <c r="L4804" t="s">
        <v>50</v>
      </c>
      <c r="M4804">
        <v>941</v>
      </c>
      <c r="N4804">
        <v>7577</v>
      </c>
      <c r="O4804">
        <v>9</v>
      </c>
      <c r="P4804" t="s">
        <v>34</v>
      </c>
      <c r="Q4804" s="1">
        <v>44254</v>
      </c>
    </row>
    <row r="4805" spans="1:17" x14ac:dyDescent="0.3">
      <c r="A4805" t="s">
        <v>28</v>
      </c>
      <c r="B4805" t="s">
        <v>15</v>
      </c>
      <c r="C4805" t="s">
        <v>52</v>
      </c>
      <c r="D4805" t="s">
        <v>46</v>
      </c>
      <c r="E4805" t="s">
        <v>18</v>
      </c>
      <c r="F4805" s="9">
        <v>0.12</v>
      </c>
      <c r="G4805" s="10">
        <v>5116</v>
      </c>
      <c r="H4805">
        <v>2.72</v>
      </c>
      <c r="I4805" s="5">
        <f>ROUND(Marketing[[#This Row],[Clicks]]*Marketing[[#This Row],[Conversion_Rate]],0)</f>
        <v>76</v>
      </c>
      <c r="J4805" s="12">
        <f>Marketing[[#This Row],[Campaign_Cost]]/Marketing[[#This Row],[Customers]]</f>
        <v>67.315789473684205</v>
      </c>
      <c r="K4805" t="s">
        <v>51</v>
      </c>
      <c r="L4805" t="s">
        <v>20</v>
      </c>
      <c r="M4805">
        <v>634</v>
      </c>
      <c r="N4805">
        <v>3846</v>
      </c>
      <c r="O4805">
        <v>10</v>
      </c>
      <c r="P4805" t="s">
        <v>34</v>
      </c>
      <c r="Q4805" s="1">
        <v>44255</v>
      </c>
    </row>
    <row r="4806" spans="1:17" x14ac:dyDescent="0.3">
      <c r="A4806" t="s">
        <v>14</v>
      </c>
      <c r="B4806" t="s">
        <v>47</v>
      </c>
      <c r="C4806" t="s">
        <v>30</v>
      </c>
      <c r="D4806" t="s">
        <v>40</v>
      </c>
      <c r="E4806" t="s">
        <v>43</v>
      </c>
      <c r="F4806" s="9">
        <v>0.14000000000000001</v>
      </c>
      <c r="G4806" s="10">
        <v>6640</v>
      </c>
      <c r="H4806">
        <v>6.44</v>
      </c>
      <c r="I4806" s="5">
        <f>ROUND(Marketing[[#This Row],[Clicks]]*Marketing[[#This Row],[Conversion_Rate]],0)</f>
        <v>123</v>
      </c>
      <c r="J4806" s="12">
        <f>Marketing[[#This Row],[Campaign_Cost]]/Marketing[[#This Row],[Customers]]</f>
        <v>53.983739837398375</v>
      </c>
      <c r="K4806" t="s">
        <v>38</v>
      </c>
      <c r="L4806" t="s">
        <v>50</v>
      </c>
      <c r="M4806">
        <v>875</v>
      </c>
      <c r="N4806">
        <v>5060</v>
      </c>
      <c r="O4806">
        <v>2</v>
      </c>
      <c r="P4806" t="s">
        <v>44</v>
      </c>
      <c r="Q4806" s="1">
        <v>44256</v>
      </c>
    </row>
    <row r="4807" spans="1:17" x14ac:dyDescent="0.3">
      <c r="A4807" t="s">
        <v>35</v>
      </c>
      <c r="B4807" t="s">
        <v>47</v>
      </c>
      <c r="C4807" t="s">
        <v>37</v>
      </c>
      <c r="D4807" t="s">
        <v>46</v>
      </c>
      <c r="E4807" t="s">
        <v>41</v>
      </c>
      <c r="F4807" s="9">
        <v>0.09</v>
      </c>
      <c r="G4807" s="10">
        <v>13305</v>
      </c>
      <c r="H4807">
        <v>5.44</v>
      </c>
      <c r="I4807" s="5">
        <f>ROUND(Marketing[[#This Row],[Clicks]]*Marketing[[#This Row],[Conversion_Rate]],0)</f>
        <v>37</v>
      </c>
      <c r="J4807" s="12">
        <f>Marketing[[#This Row],[Campaign_Cost]]/Marketing[[#This Row],[Customers]]</f>
        <v>359.59459459459458</v>
      </c>
      <c r="K4807" t="s">
        <v>51</v>
      </c>
      <c r="L4807" t="s">
        <v>20</v>
      </c>
      <c r="M4807">
        <v>411</v>
      </c>
      <c r="N4807">
        <v>1653</v>
      </c>
      <c r="O4807">
        <v>6</v>
      </c>
      <c r="P4807" t="s">
        <v>27</v>
      </c>
      <c r="Q4807" s="1">
        <v>44257</v>
      </c>
    </row>
    <row r="4808" spans="1:17" x14ac:dyDescent="0.3">
      <c r="A4808" t="s">
        <v>14</v>
      </c>
      <c r="B4808" t="s">
        <v>36</v>
      </c>
      <c r="C4808" t="s">
        <v>52</v>
      </c>
      <c r="D4808" t="s">
        <v>46</v>
      </c>
      <c r="E4808" t="s">
        <v>15</v>
      </c>
      <c r="F4808" s="9">
        <v>7.0000000000000007E-2</v>
      </c>
      <c r="G4808" s="10">
        <v>19811</v>
      </c>
      <c r="H4808">
        <v>6.14</v>
      </c>
      <c r="I4808" s="5">
        <f>ROUND(Marketing[[#This Row],[Clicks]]*Marketing[[#This Row],[Conversion_Rate]],0)</f>
        <v>17</v>
      </c>
      <c r="J4808" s="12">
        <f>Marketing[[#This Row],[Campaign_Cost]]/Marketing[[#This Row],[Customers]]</f>
        <v>1165.3529411764705</v>
      </c>
      <c r="K4808" t="s">
        <v>19</v>
      </c>
      <c r="L4808" t="s">
        <v>20</v>
      </c>
      <c r="M4808">
        <v>244</v>
      </c>
      <c r="N4808">
        <v>8512</v>
      </c>
      <c r="O4808">
        <v>2</v>
      </c>
      <c r="P4808" t="s">
        <v>27</v>
      </c>
      <c r="Q4808" s="1">
        <v>44258</v>
      </c>
    </row>
    <row r="4809" spans="1:17" x14ac:dyDescent="0.3">
      <c r="A4809" t="s">
        <v>14</v>
      </c>
      <c r="B4809" t="s">
        <v>47</v>
      </c>
      <c r="C4809" t="s">
        <v>37</v>
      </c>
      <c r="D4809" t="s">
        <v>17</v>
      </c>
      <c r="E4809" t="s">
        <v>41</v>
      </c>
      <c r="F4809" s="9">
        <v>0.11</v>
      </c>
      <c r="G4809" s="10">
        <v>7035</v>
      </c>
      <c r="H4809">
        <v>4.16</v>
      </c>
      <c r="I4809" s="5">
        <f>ROUND(Marketing[[#This Row],[Clicks]]*Marketing[[#This Row],[Conversion_Rate]],0)</f>
        <v>88</v>
      </c>
      <c r="J4809" s="12">
        <f>Marketing[[#This Row],[Campaign_Cost]]/Marketing[[#This Row],[Customers]]</f>
        <v>79.943181818181813</v>
      </c>
      <c r="K4809" t="s">
        <v>32</v>
      </c>
      <c r="L4809" t="s">
        <v>20</v>
      </c>
      <c r="M4809">
        <v>799</v>
      </c>
      <c r="N4809">
        <v>2938</v>
      </c>
      <c r="O4809">
        <v>9</v>
      </c>
      <c r="P4809" t="s">
        <v>34</v>
      </c>
      <c r="Q4809" s="1">
        <v>44259</v>
      </c>
    </row>
    <row r="4810" spans="1:17" x14ac:dyDescent="0.3">
      <c r="A4810" t="s">
        <v>49</v>
      </c>
      <c r="B4810" t="s">
        <v>45</v>
      </c>
      <c r="C4810" t="s">
        <v>16</v>
      </c>
      <c r="D4810" t="s">
        <v>17</v>
      </c>
      <c r="E4810" t="s">
        <v>15</v>
      </c>
      <c r="F4810" s="9">
        <v>0.09</v>
      </c>
      <c r="G4810" s="10">
        <v>14616</v>
      </c>
      <c r="H4810">
        <v>4.7</v>
      </c>
      <c r="I4810" s="5">
        <f>ROUND(Marketing[[#This Row],[Clicks]]*Marketing[[#This Row],[Conversion_Rate]],0)</f>
        <v>12</v>
      </c>
      <c r="J4810" s="12">
        <f>Marketing[[#This Row],[Campaign_Cost]]/Marketing[[#This Row],[Customers]]</f>
        <v>1218</v>
      </c>
      <c r="K4810" t="s">
        <v>32</v>
      </c>
      <c r="L4810" t="s">
        <v>39</v>
      </c>
      <c r="M4810">
        <v>135</v>
      </c>
      <c r="N4810">
        <v>3950</v>
      </c>
      <c r="O4810">
        <v>4</v>
      </c>
      <c r="P4810" t="s">
        <v>44</v>
      </c>
      <c r="Q4810" s="1">
        <v>44260</v>
      </c>
    </row>
    <row r="4811" spans="1:17" x14ac:dyDescent="0.3">
      <c r="A4811" t="s">
        <v>14</v>
      </c>
      <c r="B4811" t="s">
        <v>45</v>
      </c>
      <c r="C4811" t="s">
        <v>23</v>
      </c>
      <c r="D4811" t="s">
        <v>24</v>
      </c>
      <c r="E4811" t="s">
        <v>48</v>
      </c>
      <c r="F4811" s="9">
        <v>0.01</v>
      </c>
      <c r="G4811" s="10">
        <v>6289</v>
      </c>
      <c r="H4811">
        <v>4.24</v>
      </c>
      <c r="I4811" s="5">
        <f>ROUND(Marketing[[#This Row],[Clicks]]*Marketing[[#This Row],[Conversion_Rate]],0)</f>
        <v>6</v>
      </c>
      <c r="J4811" s="12">
        <f>Marketing[[#This Row],[Campaign_Cost]]/Marketing[[#This Row],[Customers]]</f>
        <v>1048.1666666666667</v>
      </c>
      <c r="K4811" t="s">
        <v>38</v>
      </c>
      <c r="L4811" t="s">
        <v>33</v>
      </c>
      <c r="M4811">
        <v>627</v>
      </c>
      <c r="N4811">
        <v>7254</v>
      </c>
      <c r="O4811">
        <v>4</v>
      </c>
      <c r="P4811" t="s">
        <v>44</v>
      </c>
      <c r="Q4811" s="1">
        <v>44261</v>
      </c>
    </row>
    <row r="4812" spans="1:17" x14ac:dyDescent="0.3">
      <c r="A4812" t="s">
        <v>22</v>
      </c>
      <c r="B4812" t="s">
        <v>45</v>
      </c>
      <c r="C4812" t="s">
        <v>16</v>
      </c>
      <c r="D4812" t="s">
        <v>46</v>
      </c>
      <c r="E4812" t="s">
        <v>18</v>
      </c>
      <c r="F4812" s="9">
        <v>0.11</v>
      </c>
      <c r="G4812" s="10">
        <v>17628</v>
      </c>
      <c r="H4812">
        <v>6.93</v>
      </c>
      <c r="I4812" s="5">
        <f>ROUND(Marketing[[#This Row],[Clicks]]*Marketing[[#This Row],[Conversion_Rate]],0)</f>
        <v>105</v>
      </c>
      <c r="J4812" s="12">
        <f>Marketing[[#This Row],[Campaign_Cost]]/Marketing[[#This Row],[Customers]]</f>
        <v>167.88571428571427</v>
      </c>
      <c r="K4812" t="s">
        <v>38</v>
      </c>
      <c r="L4812" t="s">
        <v>33</v>
      </c>
      <c r="M4812">
        <v>957</v>
      </c>
      <c r="N4812">
        <v>3335</v>
      </c>
      <c r="O4812">
        <v>4</v>
      </c>
      <c r="P4812" t="s">
        <v>42</v>
      </c>
      <c r="Q4812" s="1">
        <v>44262</v>
      </c>
    </row>
    <row r="4813" spans="1:17" x14ac:dyDescent="0.3">
      <c r="A4813" t="s">
        <v>22</v>
      </c>
      <c r="B4813" t="s">
        <v>36</v>
      </c>
      <c r="C4813" t="s">
        <v>23</v>
      </c>
      <c r="D4813" t="s">
        <v>40</v>
      </c>
      <c r="E4813" t="s">
        <v>43</v>
      </c>
      <c r="F4813" s="9">
        <v>0.01</v>
      </c>
      <c r="G4813" s="10">
        <v>17529</v>
      </c>
      <c r="H4813">
        <v>4.9000000000000004</v>
      </c>
      <c r="I4813" s="5">
        <f>ROUND(Marketing[[#This Row],[Clicks]]*Marketing[[#This Row],[Conversion_Rate]],0)</f>
        <v>8</v>
      </c>
      <c r="J4813" s="12">
        <f>Marketing[[#This Row],[Campaign_Cost]]/Marketing[[#This Row],[Customers]]</f>
        <v>2191.125</v>
      </c>
      <c r="K4813" t="s">
        <v>51</v>
      </c>
      <c r="L4813" t="s">
        <v>33</v>
      </c>
      <c r="M4813">
        <v>764</v>
      </c>
      <c r="N4813">
        <v>7134</v>
      </c>
      <c r="O4813">
        <v>2</v>
      </c>
      <c r="P4813" t="s">
        <v>27</v>
      </c>
      <c r="Q4813" s="1">
        <v>44263</v>
      </c>
    </row>
    <row r="4814" spans="1:17" x14ac:dyDescent="0.3">
      <c r="A4814" t="s">
        <v>22</v>
      </c>
      <c r="B4814" t="s">
        <v>47</v>
      </c>
      <c r="C4814" t="s">
        <v>37</v>
      </c>
      <c r="D4814" t="s">
        <v>24</v>
      </c>
      <c r="E4814" t="s">
        <v>48</v>
      </c>
      <c r="F4814" s="9">
        <v>0.11</v>
      </c>
      <c r="G4814" s="10">
        <v>11992</v>
      </c>
      <c r="H4814">
        <v>7.6</v>
      </c>
      <c r="I4814" s="5">
        <f>ROUND(Marketing[[#This Row],[Clicks]]*Marketing[[#This Row],[Conversion_Rate]],0)</f>
        <v>88</v>
      </c>
      <c r="J4814" s="12">
        <f>Marketing[[#This Row],[Campaign_Cost]]/Marketing[[#This Row],[Customers]]</f>
        <v>136.27272727272728</v>
      </c>
      <c r="K4814" t="s">
        <v>38</v>
      </c>
      <c r="L4814" t="s">
        <v>26</v>
      </c>
      <c r="M4814">
        <v>800</v>
      </c>
      <c r="N4814">
        <v>2127</v>
      </c>
      <c r="O4814">
        <v>2</v>
      </c>
      <c r="P4814" t="s">
        <v>42</v>
      </c>
      <c r="Q4814" s="1">
        <v>44264</v>
      </c>
    </row>
    <row r="4815" spans="1:17" x14ac:dyDescent="0.3">
      <c r="A4815" t="s">
        <v>28</v>
      </c>
      <c r="B4815" t="s">
        <v>36</v>
      </c>
      <c r="C4815" t="s">
        <v>52</v>
      </c>
      <c r="D4815" t="s">
        <v>40</v>
      </c>
      <c r="E4815" t="s">
        <v>48</v>
      </c>
      <c r="F4815" s="9">
        <v>0.14000000000000001</v>
      </c>
      <c r="G4815" s="10">
        <v>14109</v>
      </c>
      <c r="H4815">
        <v>2.27</v>
      </c>
      <c r="I4815" s="5">
        <f>ROUND(Marketing[[#This Row],[Clicks]]*Marketing[[#This Row],[Conversion_Rate]],0)</f>
        <v>80</v>
      </c>
      <c r="J4815" s="12">
        <f>Marketing[[#This Row],[Campaign_Cost]]/Marketing[[#This Row],[Customers]]</f>
        <v>176.36250000000001</v>
      </c>
      <c r="K4815" t="s">
        <v>38</v>
      </c>
      <c r="L4815" t="s">
        <v>39</v>
      </c>
      <c r="M4815">
        <v>570</v>
      </c>
      <c r="N4815">
        <v>7457</v>
      </c>
      <c r="O4815">
        <v>7</v>
      </c>
      <c r="P4815" t="s">
        <v>42</v>
      </c>
      <c r="Q4815" s="1">
        <v>44265</v>
      </c>
    </row>
    <row r="4816" spans="1:17" x14ac:dyDescent="0.3">
      <c r="A4816" t="s">
        <v>22</v>
      </c>
      <c r="B4816" t="s">
        <v>15</v>
      </c>
      <c r="C4816" t="s">
        <v>52</v>
      </c>
      <c r="D4816" t="s">
        <v>46</v>
      </c>
      <c r="E4816" t="s">
        <v>43</v>
      </c>
      <c r="F4816" s="9">
        <v>0.14000000000000001</v>
      </c>
      <c r="G4816" s="10">
        <v>16094</v>
      </c>
      <c r="H4816">
        <v>5.84</v>
      </c>
      <c r="I4816" s="5">
        <f>ROUND(Marketing[[#This Row],[Clicks]]*Marketing[[#This Row],[Conversion_Rate]],0)</f>
        <v>88</v>
      </c>
      <c r="J4816" s="12">
        <f>Marketing[[#This Row],[Campaign_Cost]]/Marketing[[#This Row],[Customers]]</f>
        <v>182.88636363636363</v>
      </c>
      <c r="K4816" t="s">
        <v>51</v>
      </c>
      <c r="L4816" t="s">
        <v>50</v>
      </c>
      <c r="M4816">
        <v>631</v>
      </c>
      <c r="N4816">
        <v>5691</v>
      </c>
      <c r="O4816">
        <v>8</v>
      </c>
      <c r="P4816" t="s">
        <v>42</v>
      </c>
      <c r="Q4816" s="1">
        <v>44266</v>
      </c>
    </row>
    <row r="4817" spans="1:17" x14ac:dyDescent="0.3">
      <c r="A4817" t="s">
        <v>14</v>
      </c>
      <c r="B4817" t="s">
        <v>47</v>
      </c>
      <c r="C4817" t="s">
        <v>30</v>
      </c>
      <c r="D4817" t="s">
        <v>46</v>
      </c>
      <c r="E4817" t="s">
        <v>43</v>
      </c>
      <c r="F4817" s="9">
        <v>0.03</v>
      </c>
      <c r="G4817" s="10">
        <v>17093</v>
      </c>
      <c r="H4817">
        <v>5.74</v>
      </c>
      <c r="I4817" s="5">
        <f>ROUND(Marketing[[#This Row],[Clicks]]*Marketing[[#This Row],[Conversion_Rate]],0)</f>
        <v>27</v>
      </c>
      <c r="J4817" s="12">
        <f>Marketing[[#This Row],[Campaign_Cost]]/Marketing[[#This Row],[Customers]]</f>
        <v>633.07407407407402</v>
      </c>
      <c r="K4817" t="s">
        <v>19</v>
      </c>
      <c r="L4817" t="s">
        <v>20</v>
      </c>
      <c r="M4817">
        <v>904</v>
      </c>
      <c r="N4817">
        <v>7993</v>
      </c>
      <c r="O4817">
        <v>10</v>
      </c>
      <c r="P4817" t="s">
        <v>27</v>
      </c>
      <c r="Q4817" s="1">
        <v>44267</v>
      </c>
    </row>
    <row r="4818" spans="1:17" x14ac:dyDescent="0.3">
      <c r="A4818" t="s">
        <v>22</v>
      </c>
      <c r="B4818" t="s">
        <v>47</v>
      </c>
      <c r="C4818" t="s">
        <v>37</v>
      </c>
      <c r="D4818" t="s">
        <v>40</v>
      </c>
      <c r="E4818" t="s">
        <v>48</v>
      </c>
      <c r="F4818" s="9">
        <v>0.11</v>
      </c>
      <c r="G4818" s="10">
        <v>13339</v>
      </c>
      <c r="H4818">
        <v>6.35</v>
      </c>
      <c r="I4818" s="5">
        <f>ROUND(Marketing[[#This Row],[Clicks]]*Marketing[[#This Row],[Conversion_Rate]],0)</f>
        <v>65</v>
      </c>
      <c r="J4818" s="12">
        <f>Marketing[[#This Row],[Campaign_Cost]]/Marketing[[#This Row],[Customers]]</f>
        <v>205.21538461538461</v>
      </c>
      <c r="K4818" t="s">
        <v>25</v>
      </c>
      <c r="L4818" t="s">
        <v>20</v>
      </c>
      <c r="M4818">
        <v>595</v>
      </c>
      <c r="N4818">
        <v>1998</v>
      </c>
      <c r="O4818">
        <v>7</v>
      </c>
      <c r="P4818" t="s">
        <v>27</v>
      </c>
      <c r="Q4818" s="1">
        <v>44268</v>
      </c>
    </row>
    <row r="4819" spans="1:17" x14ac:dyDescent="0.3">
      <c r="A4819" t="s">
        <v>49</v>
      </c>
      <c r="B4819" t="s">
        <v>29</v>
      </c>
      <c r="C4819" t="s">
        <v>30</v>
      </c>
      <c r="D4819" t="s">
        <v>46</v>
      </c>
      <c r="E4819" t="s">
        <v>15</v>
      </c>
      <c r="F4819" s="9">
        <v>7.0000000000000007E-2</v>
      </c>
      <c r="G4819" s="10">
        <v>17346</v>
      </c>
      <c r="H4819">
        <v>7.64</v>
      </c>
      <c r="I4819" s="5">
        <f>ROUND(Marketing[[#This Row],[Clicks]]*Marketing[[#This Row],[Conversion_Rate]],0)</f>
        <v>16</v>
      </c>
      <c r="J4819" s="12">
        <f>Marketing[[#This Row],[Campaign_Cost]]/Marketing[[#This Row],[Customers]]</f>
        <v>1084.125</v>
      </c>
      <c r="K4819" t="s">
        <v>19</v>
      </c>
      <c r="L4819" t="s">
        <v>50</v>
      </c>
      <c r="M4819">
        <v>228</v>
      </c>
      <c r="N4819">
        <v>7839</v>
      </c>
      <c r="O4819">
        <v>5</v>
      </c>
      <c r="P4819" t="s">
        <v>42</v>
      </c>
      <c r="Q4819" s="1">
        <v>44269</v>
      </c>
    </row>
    <row r="4820" spans="1:17" x14ac:dyDescent="0.3">
      <c r="A4820" t="s">
        <v>22</v>
      </c>
      <c r="B4820" t="s">
        <v>45</v>
      </c>
      <c r="C4820" t="s">
        <v>52</v>
      </c>
      <c r="D4820" t="s">
        <v>17</v>
      </c>
      <c r="E4820" t="s">
        <v>15</v>
      </c>
      <c r="F4820" s="9">
        <v>7.0000000000000007E-2</v>
      </c>
      <c r="G4820" s="10">
        <v>6085</v>
      </c>
      <c r="H4820">
        <v>4.47</v>
      </c>
      <c r="I4820" s="5">
        <f>ROUND(Marketing[[#This Row],[Clicks]]*Marketing[[#This Row],[Conversion_Rate]],0)</f>
        <v>69</v>
      </c>
      <c r="J4820" s="12">
        <f>Marketing[[#This Row],[Campaign_Cost]]/Marketing[[#This Row],[Customers]]</f>
        <v>88.188405797101453</v>
      </c>
      <c r="K4820" t="s">
        <v>38</v>
      </c>
      <c r="L4820" t="s">
        <v>33</v>
      </c>
      <c r="M4820">
        <v>989</v>
      </c>
      <c r="N4820">
        <v>5468</v>
      </c>
      <c r="O4820">
        <v>3</v>
      </c>
      <c r="P4820" t="s">
        <v>27</v>
      </c>
      <c r="Q4820" s="1">
        <v>44270</v>
      </c>
    </row>
    <row r="4821" spans="1:17" x14ac:dyDescent="0.3">
      <c r="A4821" t="s">
        <v>14</v>
      </c>
      <c r="B4821" t="s">
        <v>15</v>
      </c>
      <c r="C4821" t="s">
        <v>30</v>
      </c>
      <c r="D4821" t="s">
        <v>46</v>
      </c>
      <c r="E4821" t="s">
        <v>15</v>
      </c>
      <c r="F4821" s="9">
        <v>0.14000000000000001</v>
      </c>
      <c r="G4821" s="10">
        <v>14303</v>
      </c>
      <c r="H4821">
        <v>7.08</v>
      </c>
      <c r="I4821" s="5">
        <f>ROUND(Marketing[[#This Row],[Clicks]]*Marketing[[#This Row],[Conversion_Rate]],0)</f>
        <v>56</v>
      </c>
      <c r="J4821" s="12">
        <f>Marketing[[#This Row],[Campaign_Cost]]/Marketing[[#This Row],[Customers]]</f>
        <v>255.41071428571428</v>
      </c>
      <c r="K4821" t="s">
        <v>32</v>
      </c>
      <c r="L4821" t="s">
        <v>20</v>
      </c>
      <c r="M4821">
        <v>399</v>
      </c>
      <c r="N4821">
        <v>5010</v>
      </c>
      <c r="O4821">
        <v>8</v>
      </c>
      <c r="P4821" t="s">
        <v>27</v>
      </c>
      <c r="Q4821" s="1">
        <v>44271</v>
      </c>
    </row>
    <row r="4822" spans="1:17" x14ac:dyDescent="0.3">
      <c r="A4822" t="s">
        <v>49</v>
      </c>
      <c r="B4822" t="s">
        <v>45</v>
      </c>
      <c r="C4822" t="s">
        <v>23</v>
      </c>
      <c r="D4822" t="s">
        <v>24</v>
      </c>
      <c r="E4822" t="s">
        <v>31</v>
      </c>
      <c r="F4822" s="9">
        <v>0.08</v>
      </c>
      <c r="G4822" s="10">
        <v>15711</v>
      </c>
      <c r="H4822">
        <v>4.93</v>
      </c>
      <c r="I4822" s="5">
        <f>ROUND(Marketing[[#This Row],[Clicks]]*Marketing[[#This Row],[Conversion_Rate]],0)</f>
        <v>56</v>
      </c>
      <c r="J4822" s="12">
        <f>Marketing[[#This Row],[Campaign_Cost]]/Marketing[[#This Row],[Customers]]</f>
        <v>280.55357142857144</v>
      </c>
      <c r="K4822" t="s">
        <v>19</v>
      </c>
      <c r="L4822" t="s">
        <v>20</v>
      </c>
      <c r="M4822">
        <v>695</v>
      </c>
      <c r="N4822">
        <v>8219</v>
      </c>
      <c r="O4822">
        <v>1</v>
      </c>
      <c r="P4822" t="s">
        <v>21</v>
      </c>
      <c r="Q4822" s="1">
        <v>44272</v>
      </c>
    </row>
    <row r="4823" spans="1:17" x14ac:dyDescent="0.3">
      <c r="A4823" t="s">
        <v>14</v>
      </c>
      <c r="B4823" t="s">
        <v>47</v>
      </c>
      <c r="C4823" t="s">
        <v>37</v>
      </c>
      <c r="D4823" t="s">
        <v>24</v>
      </c>
      <c r="E4823" t="s">
        <v>18</v>
      </c>
      <c r="F4823" s="9">
        <v>0.04</v>
      </c>
      <c r="G4823" s="10">
        <v>5944</v>
      </c>
      <c r="H4823">
        <v>2.19</v>
      </c>
      <c r="I4823" s="5">
        <f>ROUND(Marketing[[#This Row],[Clicks]]*Marketing[[#This Row],[Conversion_Rate]],0)</f>
        <v>25</v>
      </c>
      <c r="J4823" s="12">
        <f>Marketing[[#This Row],[Campaign_Cost]]/Marketing[[#This Row],[Customers]]</f>
        <v>237.76</v>
      </c>
      <c r="K4823" t="s">
        <v>19</v>
      </c>
      <c r="L4823" t="s">
        <v>26</v>
      </c>
      <c r="M4823">
        <v>618</v>
      </c>
      <c r="N4823">
        <v>3964</v>
      </c>
      <c r="O4823">
        <v>10</v>
      </c>
      <c r="P4823" t="s">
        <v>27</v>
      </c>
      <c r="Q4823" s="1">
        <v>44273</v>
      </c>
    </row>
    <row r="4824" spans="1:17" x14ac:dyDescent="0.3">
      <c r="A4824" t="s">
        <v>14</v>
      </c>
      <c r="B4824" t="s">
        <v>45</v>
      </c>
      <c r="C4824" t="s">
        <v>37</v>
      </c>
      <c r="D4824" t="s">
        <v>17</v>
      </c>
      <c r="E4824" t="s">
        <v>18</v>
      </c>
      <c r="F4824" s="9">
        <v>0.05</v>
      </c>
      <c r="G4824" s="10">
        <v>5552</v>
      </c>
      <c r="H4824">
        <v>6.73</v>
      </c>
      <c r="I4824" s="5">
        <f>ROUND(Marketing[[#This Row],[Clicks]]*Marketing[[#This Row],[Conversion_Rate]],0)</f>
        <v>44</v>
      </c>
      <c r="J4824" s="12">
        <f>Marketing[[#This Row],[Campaign_Cost]]/Marketing[[#This Row],[Customers]]</f>
        <v>126.18181818181819</v>
      </c>
      <c r="K4824" t="s">
        <v>51</v>
      </c>
      <c r="L4824" t="s">
        <v>26</v>
      </c>
      <c r="M4824">
        <v>877</v>
      </c>
      <c r="N4824">
        <v>8665</v>
      </c>
      <c r="O4824">
        <v>3</v>
      </c>
      <c r="P4824" t="s">
        <v>27</v>
      </c>
      <c r="Q4824" s="1">
        <v>44274</v>
      </c>
    </row>
    <row r="4825" spans="1:17" x14ac:dyDescent="0.3">
      <c r="A4825" t="s">
        <v>49</v>
      </c>
      <c r="B4825" t="s">
        <v>36</v>
      </c>
      <c r="C4825" t="s">
        <v>23</v>
      </c>
      <c r="D4825" t="s">
        <v>24</v>
      </c>
      <c r="E4825" t="s">
        <v>43</v>
      </c>
      <c r="F4825" s="9">
        <v>0.12</v>
      </c>
      <c r="G4825" s="10">
        <v>14258</v>
      </c>
      <c r="H4825">
        <v>2.78</v>
      </c>
      <c r="I4825" s="5">
        <f>ROUND(Marketing[[#This Row],[Clicks]]*Marketing[[#This Row],[Conversion_Rate]],0)</f>
        <v>73</v>
      </c>
      <c r="J4825" s="12">
        <f>Marketing[[#This Row],[Campaign_Cost]]/Marketing[[#This Row],[Customers]]</f>
        <v>195.31506849315068</v>
      </c>
      <c r="K4825" t="s">
        <v>51</v>
      </c>
      <c r="L4825" t="s">
        <v>39</v>
      </c>
      <c r="M4825">
        <v>607</v>
      </c>
      <c r="N4825">
        <v>9349</v>
      </c>
      <c r="O4825">
        <v>9</v>
      </c>
      <c r="P4825" t="s">
        <v>34</v>
      </c>
      <c r="Q4825" s="1">
        <v>44275</v>
      </c>
    </row>
    <row r="4826" spans="1:17" x14ac:dyDescent="0.3">
      <c r="A4826" t="s">
        <v>14</v>
      </c>
      <c r="B4826" t="s">
        <v>45</v>
      </c>
      <c r="C4826" t="s">
        <v>23</v>
      </c>
      <c r="D4826" t="s">
        <v>46</v>
      </c>
      <c r="E4826" t="s">
        <v>15</v>
      </c>
      <c r="F4826" s="9">
        <v>0.06</v>
      </c>
      <c r="G4826" s="10">
        <v>10014</v>
      </c>
      <c r="H4826">
        <v>2.93</v>
      </c>
      <c r="I4826" s="5">
        <f>ROUND(Marketing[[#This Row],[Clicks]]*Marketing[[#This Row],[Conversion_Rate]],0)</f>
        <v>53</v>
      </c>
      <c r="J4826" s="12">
        <f>Marketing[[#This Row],[Campaign_Cost]]/Marketing[[#This Row],[Customers]]</f>
        <v>188.9433962264151</v>
      </c>
      <c r="K4826" t="s">
        <v>32</v>
      </c>
      <c r="L4826" t="s">
        <v>39</v>
      </c>
      <c r="M4826">
        <v>878</v>
      </c>
      <c r="N4826">
        <v>5531</v>
      </c>
      <c r="O4826">
        <v>9</v>
      </c>
      <c r="P4826" t="s">
        <v>21</v>
      </c>
      <c r="Q4826" s="1">
        <v>44276</v>
      </c>
    </row>
    <row r="4827" spans="1:17" x14ac:dyDescent="0.3">
      <c r="A4827" t="s">
        <v>49</v>
      </c>
      <c r="B4827" t="s">
        <v>15</v>
      </c>
      <c r="C4827" t="s">
        <v>30</v>
      </c>
      <c r="D4827" t="s">
        <v>40</v>
      </c>
      <c r="E4827" t="s">
        <v>15</v>
      </c>
      <c r="F4827" s="9">
        <v>0.04</v>
      </c>
      <c r="G4827" s="10">
        <v>13759</v>
      </c>
      <c r="H4827">
        <v>4.37</v>
      </c>
      <c r="I4827" s="5">
        <f>ROUND(Marketing[[#This Row],[Clicks]]*Marketing[[#This Row],[Conversion_Rate]],0)</f>
        <v>23</v>
      </c>
      <c r="J4827" s="12">
        <f>Marketing[[#This Row],[Campaign_Cost]]/Marketing[[#This Row],[Customers]]</f>
        <v>598.21739130434787</v>
      </c>
      <c r="K4827" t="s">
        <v>38</v>
      </c>
      <c r="L4827" t="s">
        <v>33</v>
      </c>
      <c r="M4827">
        <v>579</v>
      </c>
      <c r="N4827">
        <v>9444</v>
      </c>
      <c r="O4827">
        <v>7</v>
      </c>
      <c r="P4827" t="s">
        <v>27</v>
      </c>
      <c r="Q4827" s="1">
        <v>44277</v>
      </c>
    </row>
    <row r="4828" spans="1:17" x14ac:dyDescent="0.3">
      <c r="A4828" t="s">
        <v>49</v>
      </c>
      <c r="B4828" t="s">
        <v>29</v>
      </c>
      <c r="C4828" t="s">
        <v>52</v>
      </c>
      <c r="D4828" t="s">
        <v>40</v>
      </c>
      <c r="E4828" t="s">
        <v>48</v>
      </c>
      <c r="F4828" s="9">
        <v>0.13</v>
      </c>
      <c r="G4828" s="10">
        <v>9152</v>
      </c>
      <c r="H4828">
        <v>3.48</v>
      </c>
      <c r="I4828" s="5">
        <f>ROUND(Marketing[[#This Row],[Clicks]]*Marketing[[#This Row],[Conversion_Rate]],0)</f>
        <v>87</v>
      </c>
      <c r="J4828" s="12">
        <f>Marketing[[#This Row],[Campaign_Cost]]/Marketing[[#This Row],[Customers]]</f>
        <v>105.19540229885058</v>
      </c>
      <c r="K4828" t="s">
        <v>51</v>
      </c>
      <c r="L4828" t="s">
        <v>26</v>
      </c>
      <c r="M4828">
        <v>670</v>
      </c>
      <c r="N4828">
        <v>3461</v>
      </c>
      <c r="O4828">
        <v>7</v>
      </c>
      <c r="P4828" t="s">
        <v>44</v>
      </c>
      <c r="Q4828" s="1">
        <v>44278</v>
      </c>
    </row>
    <row r="4829" spans="1:17" x14ac:dyDescent="0.3">
      <c r="A4829" t="s">
        <v>35</v>
      </c>
      <c r="B4829" t="s">
        <v>47</v>
      </c>
      <c r="C4829" t="s">
        <v>52</v>
      </c>
      <c r="D4829" t="s">
        <v>24</v>
      </c>
      <c r="E4829" t="s">
        <v>41</v>
      </c>
      <c r="F4829" s="9">
        <v>0.06</v>
      </c>
      <c r="G4829" s="10">
        <v>9112</v>
      </c>
      <c r="H4829">
        <v>4.5</v>
      </c>
      <c r="I4829" s="5">
        <f>ROUND(Marketing[[#This Row],[Clicks]]*Marketing[[#This Row],[Conversion_Rate]],0)</f>
        <v>30</v>
      </c>
      <c r="J4829" s="12">
        <f>Marketing[[#This Row],[Campaign_Cost]]/Marketing[[#This Row],[Customers]]</f>
        <v>303.73333333333335</v>
      </c>
      <c r="K4829" t="s">
        <v>51</v>
      </c>
      <c r="L4829" t="s">
        <v>26</v>
      </c>
      <c r="M4829">
        <v>506</v>
      </c>
      <c r="N4829">
        <v>2174</v>
      </c>
      <c r="O4829">
        <v>1</v>
      </c>
      <c r="P4829" t="s">
        <v>34</v>
      </c>
      <c r="Q4829" s="1">
        <v>44279</v>
      </c>
    </row>
    <row r="4830" spans="1:17" x14ac:dyDescent="0.3">
      <c r="A4830" t="s">
        <v>49</v>
      </c>
      <c r="B4830" t="s">
        <v>36</v>
      </c>
      <c r="C4830" t="s">
        <v>23</v>
      </c>
      <c r="D4830" t="s">
        <v>46</v>
      </c>
      <c r="E4830" t="s">
        <v>15</v>
      </c>
      <c r="F4830" s="9">
        <v>0.13</v>
      </c>
      <c r="G4830" s="10">
        <v>11939</v>
      </c>
      <c r="H4830">
        <v>7.39</v>
      </c>
      <c r="I4830" s="5">
        <f>ROUND(Marketing[[#This Row],[Clicks]]*Marketing[[#This Row],[Conversion_Rate]],0)</f>
        <v>119</v>
      </c>
      <c r="J4830" s="12">
        <f>Marketing[[#This Row],[Campaign_Cost]]/Marketing[[#This Row],[Customers]]</f>
        <v>100.32773109243698</v>
      </c>
      <c r="K4830" t="s">
        <v>38</v>
      </c>
      <c r="L4830" t="s">
        <v>39</v>
      </c>
      <c r="M4830">
        <v>918</v>
      </c>
      <c r="N4830">
        <v>6552</v>
      </c>
      <c r="O4830">
        <v>4</v>
      </c>
      <c r="P4830" t="s">
        <v>34</v>
      </c>
      <c r="Q4830" s="1">
        <v>44280</v>
      </c>
    </row>
    <row r="4831" spans="1:17" x14ac:dyDescent="0.3">
      <c r="A4831" t="s">
        <v>22</v>
      </c>
      <c r="B4831" t="s">
        <v>36</v>
      </c>
      <c r="C4831" t="s">
        <v>52</v>
      </c>
      <c r="D4831" t="s">
        <v>24</v>
      </c>
      <c r="E4831" t="s">
        <v>15</v>
      </c>
      <c r="F4831" s="9">
        <v>0.01</v>
      </c>
      <c r="G4831" s="10">
        <v>12238</v>
      </c>
      <c r="H4831">
        <v>7.39</v>
      </c>
      <c r="I4831" s="5">
        <f>ROUND(Marketing[[#This Row],[Clicks]]*Marketing[[#This Row],[Conversion_Rate]],0)</f>
        <v>7</v>
      </c>
      <c r="J4831" s="12">
        <f>Marketing[[#This Row],[Campaign_Cost]]/Marketing[[#This Row],[Customers]]</f>
        <v>1748.2857142857142</v>
      </c>
      <c r="K4831" t="s">
        <v>38</v>
      </c>
      <c r="L4831" t="s">
        <v>33</v>
      </c>
      <c r="M4831">
        <v>694</v>
      </c>
      <c r="N4831">
        <v>8810</v>
      </c>
      <c r="O4831">
        <v>7</v>
      </c>
      <c r="P4831" t="s">
        <v>34</v>
      </c>
      <c r="Q4831" s="1">
        <v>44281</v>
      </c>
    </row>
    <row r="4832" spans="1:17" x14ac:dyDescent="0.3">
      <c r="A4832" t="s">
        <v>14</v>
      </c>
      <c r="B4832" t="s">
        <v>47</v>
      </c>
      <c r="C4832" t="s">
        <v>37</v>
      </c>
      <c r="D4832" t="s">
        <v>17</v>
      </c>
      <c r="E4832" t="s">
        <v>31</v>
      </c>
      <c r="F4832" s="9">
        <v>0.13</v>
      </c>
      <c r="G4832" s="10">
        <v>5860</v>
      </c>
      <c r="H4832">
        <v>7.07</v>
      </c>
      <c r="I4832" s="5">
        <f>ROUND(Marketing[[#This Row],[Clicks]]*Marketing[[#This Row],[Conversion_Rate]],0)</f>
        <v>69</v>
      </c>
      <c r="J4832" s="12">
        <f>Marketing[[#This Row],[Campaign_Cost]]/Marketing[[#This Row],[Customers]]</f>
        <v>84.927536231884062</v>
      </c>
      <c r="K4832" t="s">
        <v>32</v>
      </c>
      <c r="L4832" t="s">
        <v>20</v>
      </c>
      <c r="M4832">
        <v>533</v>
      </c>
      <c r="N4832">
        <v>3688</v>
      </c>
      <c r="O4832">
        <v>1</v>
      </c>
      <c r="P4832" t="s">
        <v>21</v>
      </c>
      <c r="Q4832" s="1">
        <v>44282</v>
      </c>
    </row>
    <row r="4833" spans="1:17" x14ac:dyDescent="0.3">
      <c r="A4833" t="s">
        <v>49</v>
      </c>
      <c r="B4833" t="s">
        <v>29</v>
      </c>
      <c r="C4833" t="s">
        <v>30</v>
      </c>
      <c r="D4833" t="s">
        <v>46</v>
      </c>
      <c r="E4833" t="s">
        <v>41</v>
      </c>
      <c r="F4833" s="9">
        <v>7.0000000000000007E-2</v>
      </c>
      <c r="G4833" s="10">
        <v>5849</v>
      </c>
      <c r="H4833">
        <v>5.18</v>
      </c>
      <c r="I4833" s="5">
        <f>ROUND(Marketing[[#This Row],[Clicks]]*Marketing[[#This Row],[Conversion_Rate]],0)</f>
        <v>18</v>
      </c>
      <c r="J4833" s="12">
        <f>Marketing[[#This Row],[Campaign_Cost]]/Marketing[[#This Row],[Customers]]</f>
        <v>324.94444444444446</v>
      </c>
      <c r="K4833" t="s">
        <v>19</v>
      </c>
      <c r="L4833" t="s">
        <v>26</v>
      </c>
      <c r="M4833">
        <v>261</v>
      </c>
      <c r="N4833">
        <v>6252</v>
      </c>
      <c r="O4833">
        <v>5</v>
      </c>
      <c r="P4833" t="s">
        <v>27</v>
      </c>
      <c r="Q4833" s="1">
        <v>44283</v>
      </c>
    </row>
    <row r="4834" spans="1:17" x14ac:dyDescent="0.3">
      <c r="A4834" t="s">
        <v>28</v>
      </c>
      <c r="B4834" t="s">
        <v>36</v>
      </c>
      <c r="C4834" t="s">
        <v>30</v>
      </c>
      <c r="D4834" t="s">
        <v>40</v>
      </c>
      <c r="E4834" t="s">
        <v>43</v>
      </c>
      <c r="F4834" s="9">
        <v>0.01</v>
      </c>
      <c r="G4834" s="10">
        <v>16233</v>
      </c>
      <c r="H4834">
        <v>5.74</v>
      </c>
      <c r="I4834" s="5">
        <f>ROUND(Marketing[[#This Row],[Clicks]]*Marketing[[#This Row],[Conversion_Rate]],0)</f>
        <v>10</v>
      </c>
      <c r="J4834" s="12">
        <f>Marketing[[#This Row],[Campaign_Cost]]/Marketing[[#This Row],[Customers]]</f>
        <v>1623.3</v>
      </c>
      <c r="K4834" t="s">
        <v>25</v>
      </c>
      <c r="L4834" t="s">
        <v>26</v>
      </c>
      <c r="M4834">
        <v>960</v>
      </c>
      <c r="N4834">
        <v>1211</v>
      </c>
      <c r="O4834">
        <v>4</v>
      </c>
      <c r="P4834" t="s">
        <v>21</v>
      </c>
      <c r="Q4834" s="1">
        <v>44284</v>
      </c>
    </row>
    <row r="4835" spans="1:17" x14ac:dyDescent="0.3">
      <c r="A4835" t="s">
        <v>35</v>
      </c>
      <c r="B4835" t="s">
        <v>45</v>
      </c>
      <c r="C4835" t="s">
        <v>52</v>
      </c>
      <c r="D4835" t="s">
        <v>40</v>
      </c>
      <c r="E4835" t="s">
        <v>41</v>
      </c>
      <c r="F4835" s="9">
        <v>0.04</v>
      </c>
      <c r="G4835" s="10">
        <v>18749</v>
      </c>
      <c r="H4835">
        <v>3.93</v>
      </c>
      <c r="I4835" s="5">
        <f>ROUND(Marketing[[#This Row],[Clicks]]*Marketing[[#This Row],[Conversion_Rate]],0)</f>
        <v>9</v>
      </c>
      <c r="J4835" s="12">
        <f>Marketing[[#This Row],[Campaign_Cost]]/Marketing[[#This Row],[Customers]]</f>
        <v>2083.2222222222222</v>
      </c>
      <c r="K4835" t="s">
        <v>51</v>
      </c>
      <c r="L4835" t="s">
        <v>33</v>
      </c>
      <c r="M4835">
        <v>232</v>
      </c>
      <c r="N4835">
        <v>2772</v>
      </c>
      <c r="O4835">
        <v>10</v>
      </c>
      <c r="P4835" t="s">
        <v>42</v>
      </c>
      <c r="Q4835" s="1">
        <v>44285</v>
      </c>
    </row>
    <row r="4836" spans="1:17" x14ac:dyDescent="0.3">
      <c r="A4836" t="s">
        <v>14</v>
      </c>
      <c r="B4836" t="s">
        <v>29</v>
      </c>
      <c r="C4836" t="s">
        <v>30</v>
      </c>
      <c r="D4836" t="s">
        <v>40</v>
      </c>
      <c r="E4836" t="s">
        <v>18</v>
      </c>
      <c r="F4836" s="9">
        <v>0.02</v>
      </c>
      <c r="G4836" s="10">
        <v>14214</v>
      </c>
      <c r="H4836">
        <v>3.08</v>
      </c>
      <c r="I4836" s="5">
        <f>ROUND(Marketing[[#This Row],[Clicks]]*Marketing[[#This Row],[Conversion_Rate]],0)</f>
        <v>15</v>
      </c>
      <c r="J4836" s="12">
        <f>Marketing[[#This Row],[Campaign_Cost]]/Marketing[[#This Row],[Customers]]</f>
        <v>947.6</v>
      </c>
      <c r="K4836" t="s">
        <v>32</v>
      </c>
      <c r="L4836" t="s">
        <v>20</v>
      </c>
      <c r="M4836">
        <v>760</v>
      </c>
      <c r="N4836">
        <v>9247</v>
      </c>
      <c r="O4836">
        <v>9</v>
      </c>
      <c r="P4836" t="s">
        <v>42</v>
      </c>
      <c r="Q4836" s="1">
        <v>44286</v>
      </c>
    </row>
    <row r="4837" spans="1:17" x14ac:dyDescent="0.3">
      <c r="A4837" t="s">
        <v>49</v>
      </c>
      <c r="B4837" t="s">
        <v>15</v>
      </c>
      <c r="C4837" t="s">
        <v>30</v>
      </c>
      <c r="D4837" t="s">
        <v>24</v>
      </c>
      <c r="E4837" t="s">
        <v>43</v>
      </c>
      <c r="F4837" s="9">
        <v>0.04</v>
      </c>
      <c r="G4837" s="10">
        <v>7253</v>
      </c>
      <c r="H4837">
        <v>5.13</v>
      </c>
      <c r="I4837" s="5">
        <f>ROUND(Marketing[[#This Row],[Clicks]]*Marketing[[#This Row],[Conversion_Rate]],0)</f>
        <v>36</v>
      </c>
      <c r="J4837" s="12">
        <f>Marketing[[#This Row],[Campaign_Cost]]/Marketing[[#This Row],[Customers]]</f>
        <v>201.47222222222223</v>
      </c>
      <c r="K4837" t="s">
        <v>25</v>
      </c>
      <c r="L4837" t="s">
        <v>33</v>
      </c>
      <c r="M4837">
        <v>904</v>
      </c>
      <c r="N4837">
        <v>5594</v>
      </c>
      <c r="O4837">
        <v>9</v>
      </c>
      <c r="P4837" t="s">
        <v>44</v>
      </c>
      <c r="Q4837" s="1">
        <v>44287</v>
      </c>
    </row>
    <row r="4838" spans="1:17" x14ac:dyDescent="0.3">
      <c r="A4838" t="s">
        <v>49</v>
      </c>
      <c r="B4838" t="s">
        <v>45</v>
      </c>
      <c r="C4838" t="s">
        <v>23</v>
      </c>
      <c r="D4838" t="s">
        <v>17</v>
      </c>
      <c r="E4838" t="s">
        <v>18</v>
      </c>
      <c r="F4838" s="9">
        <v>0.06</v>
      </c>
      <c r="G4838" s="10">
        <v>13311</v>
      </c>
      <c r="H4838">
        <v>6.78</v>
      </c>
      <c r="I4838" s="5">
        <f>ROUND(Marketing[[#This Row],[Clicks]]*Marketing[[#This Row],[Conversion_Rate]],0)</f>
        <v>17</v>
      </c>
      <c r="J4838" s="12">
        <f>Marketing[[#This Row],[Campaign_Cost]]/Marketing[[#This Row],[Customers]]</f>
        <v>783</v>
      </c>
      <c r="K4838" t="s">
        <v>38</v>
      </c>
      <c r="L4838" t="s">
        <v>20</v>
      </c>
      <c r="M4838">
        <v>286</v>
      </c>
      <c r="N4838">
        <v>1425</v>
      </c>
      <c r="O4838">
        <v>4</v>
      </c>
      <c r="P4838" t="s">
        <v>27</v>
      </c>
      <c r="Q4838" s="1">
        <v>44288</v>
      </c>
    </row>
    <row r="4839" spans="1:17" x14ac:dyDescent="0.3">
      <c r="A4839" t="s">
        <v>22</v>
      </c>
      <c r="B4839" t="s">
        <v>47</v>
      </c>
      <c r="C4839" t="s">
        <v>16</v>
      </c>
      <c r="D4839" t="s">
        <v>17</v>
      </c>
      <c r="E4839" t="s">
        <v>31</v>
      </c>
      <c r="F4839" s="9">
        <v>0.1</v>
      </c>
      <c r="G4839" s="10">
        <v>16417</v>
      </c>
      <c r="H4839">
        <v>7.77</v>
      </c>
      <c r="I4839" s="5">
        <f>ROUND(Marketing[[#This Row],[Clicks]]*Marketing[[#This Row],[Conversion_Rate]],0)</f>
        <v>40</v>
      </c>
      <c r="J4839" s="12">
        <f>Marketing[[#This Row],[Campaign_Cost]]/Marketing[[#This Row],[Customers]]</f>
        <v>410.42500000000001</v>
      </c>
      <c r="K4839" t="s">
        <v>19</v>
      </c>
      <c r="L4839" t="s">
        <v>20</v>
      </c>
      <c r="M4839">
        <v>399</v>
      </c>
      <c r="N4839">
        <v>8065</v>
      </c>
      <c r="O4839">
        <v>8</v>
      </c>
      <c r="P4839" t="s">
        <v>21</v>
      </c>
      <c r="Q4839" s="1">
        <v>44289</v>
      </c>
    </row>
    <row r="4840" spans="1:17" x14ac:dyDescent="0.3">
      <c r="A4840" t="s">
        <v>49</v>
      </c>
      <c r="B4840" t="s">
        <v>47</v>
      </c>
      <c r="C4840" t="s">
        <v>16</v>
      </c>
      <c r="D4840" t="s">
        <v>40</v>
      </c>
      <c r="E4840" t="s">
        <v>18</v>
      </c>
      <c r="F4840" s="9">
        <v>0.1</v>
      </c>
      <c r="G4840" s="10">
        <v>12291</v>
      </c>
      <c r="H4840">
        <v>5.84</v>
      </c>
      <c r="I4840" s="5">
        <f>ROUND(Marketing[[#This Row],[Clicks]]*Marketing[[#This Row],[Conversion_Rate]],0)</f>
        <v>47</v>
      </c>
      <c r="J4840" s="12">
        <f>Marketing[[#This Row],[Campaign_Cost]]/Marketing[[#This Row],[Customers]]</f>
        <v>261.51063829787233</v>
      </c>
      <c r="K4840" t="s">
        <v>32</v>
      </c>
      <c r="L4840" t="s">
        <v>26</v>
      </c>
      <c r="M4840">
        <v>471</v>
      </c>
      <c r="N4840">
        <v>6196</v>
      </c>
      <c r="O4840">
        <v>10</v>
      </c>
      <c r="P4840" t="s">
        <v>34</v>
      </c>
      <c r="Q4840" s="1">
        <v>44290</v>
      </c>
    </row>
    <row r="4841" spans="1:17" x14ac:dyDescent="0.3">
      <c r="A4841" t="s">
        <v>49</v>
      </c>
      <c r="B4841" t="s">
        <v>36</v>
      </c>
      <c r="C4841" t="s">
        <v>23</v>
      </c>
      <c r="D4841" t="s">
        <v>17</v>
      </c>
      <c r="E4841" t="s">
        <v>18</v>
      </c>
      <c r="F4841" s="9">
        <v>0.05</v>
      </c>
      <c r="G4841" s="10">
        <v>11095</v>
      </c>
      <c r="H4841">
        <v>4.1100000000000003</v>
      </c>
      <c r="I4841" s="5">
        <f>ROUND(Marketing[[#This Row],[Clicks]]*Marketing[[#This Row],[Conversion_Rate]],0)</f>
        <v>12</v>
      </c>
      <c r="J4841" s="12">
        <f>Marketing[[#This Row],[Campaign_Cost]]/Marketing[[#This Row],[Customers]]</f>
        <v>924.58333333333337</v>
      </c>
      <c r="K4841" t="s">
        <v>19</v>
      </c>
      <c r="L4841" t="s">
        <v>39</v>
      </c>
      <c r="M4841">
        <v>230</v>
      </c>
      <c r="N4841">
        <v>6438</v>
      </c>
      <c r="O4841">
        <v>4</v>
      </c>
      <c r="P4841" t="s">
        <v>42</v>
      </c>
      <c r="Q4841" s="1">
        <v>44291</v>
      </c>
    </row>
    <row r="4842" spans="1:17" x14ac:dyDescent="0.3">
      <c r="A4842" t="s">
        <v>28</v>
      </c>
      <c r="B4842" t="s">
        <v>47</v>
      </c>
      <c r="C4842" t="s">
        <v>52</v>
      </c>
      <c r="D4842" t="s">
        <v>40</v>
      </c>
      <c r="E4842" t="s">
        <v>41</v>
      </c>
      <c r="F4842" s="9">
        <v>0.13</v>
      </c>
      <c r="G4842" s="10">
        <v>11268</v>
      </c>
      <c r="H4842">
        <v>2.2000000000000002</v>
      </c>
      <c r="I4842" s="5">
        <f>ROUND(Marketing[[#This Row],[Clicks]]*Marketing[[#This Row],[Conversion_Rate]],0)</f>
        <v>20</v>
      </c>
      <c r="J4842" s="12">
        <f>Marketing[[#This Row],[Campaign_Cost]]/Marketing[[#This Row],[Customers]]</f>
        <v>563.4</v>
      </c>
      <c r="K4842" t="s">
        <v>32</v>
      </c>
      <c r="L4842" t="s">
        <v>39</v>
      </c>
      <c r="M4842">
        <v>157</v>
      </c>
      <c r="N4842">
        <v>5613</v>
      </c>
      <c r="O4842">
        <v>6</v>
      </c>
      <c r="P4842" t="s">
        <v>44</v>
      </c>
      <c r="Q4842" s="1">
        <v>44292</v>
      </c>
    </row>
    <row r="4843" spans="1:17" x14ac:dyDescent="0.3">
      <c r="A4843" t="s">
        <v>35</v>
      </c>
      <c r="B4843" t="s">
        <v>47</v>
      </c>
      <c r="C4843" t="s">
        <v>52</v>
      </c>
      <c r="D4843" t="s">
        <v>17</v>
      </c>
      <c r="E4843" t="s">
        <v>15</v>
      </c>
      <c r="F4843" s="9">
        <v>0.12</v>
      </c>
      <c r="G4843" s="10">
        <v>12587</v>
      </c>
      <c r="H4843">
        <v>2.89</v>
      </c>
      <c r="I4843" s="5">
        <f>ROUND(Marketing[[#This Row],[Clicks]]*Marketing[[#This Row],[Conversion_Rate]],0)</f>
        <v>97</v>
      </c>
      <c r="J4843" s="12">
        <f>Marketing[[#This Row],[Campaign_Cost]]/Marketing[[#This Row],[Customers]]</f>
        <v>129.76288659793815</v>
      </c>
      <c r="K4843" t="s">
        <v>19</v>
      </c>
      <c r="L4843" t="s">
        <v>39</v>
      </c>
      <c r="M4843">
        <v>809</v>
      </c>
      <c r="N4843">
        <v>7144</v>
      </c>
      <c r="O4843">
        <v>4</v>
      </c>
      <c r="P4843" t="s">
        <v>34</v>
      </c>
      <c r="Q4843" s="1">
        <v>44293</v>
      </c>
    </row>
    <row r="4844" spans="1:17" x14ac:dyDescent="0.3">
      <c r="A4844" t="s">
        <v>14</v>
      </c>
      <c r="B4844" t="s">
        <v>15</v>
      </c>
      <c r="C4844" t="s">
        <v>30</v>
      </c>
      <c r="D4844" t="s">
        <v>46</v>
      </c>
      <c r="E4844" t="s">
        <v>31</v>
      </c>
      <c r="F4844" s="9">
        <v>0.08</v>
      </c>
      <c r="G4844" s="10">
        <v>7401</v>
      </c>
      <c r="H4844">
        <v>6.64</v>
      </c>
      <c r="I4844" s="5">
        <f>ROUND(Marketing[[#This Row],[Clicks]]*Marketing[[#This Row],[Conversion_Rate]],0)</f>
        <v>72</v>
      </c>
      <c r="J4844" s="12">
        <f>Marketing[[#This Row],[Campaign_Cost]]/Marketing[[#This Row],[Customers]]</f>
        <v>102.79166666666667</v>
      </c>
      <c r="K4844" t="s">
        <v>32</v>
      </c>
      <c r="L4844" t="s">
        <v>50</v>
      </c>
      <c r="M4844">
        <v>904</v>
      </c>
      <c r="N4844">
        <v>5675</v>
      </c>
      <c r="O4844">
        <v>9</v>
      </c>
      <c r="P4844" t="s">
        <v>34</v>
      </c>
      <c r="Q4844" s="1">
        <v>44294</v>
      </c>
    </row>
    <row r="4845" spans="1:17" x14ac:dyDescent="0.3">
      <c r="A4845" t="s">
        <v>28</v>
      </c>
      <c r="B4845" t="s">
        <v>29</v>
      </c>
      <c r="C4845" t="s">
        <v>30</v>
      </c>
      <c r="D4845" t="s">
        <v>17</v>
      </c>
      <c r="E4845" t="s">
        <v>48</v>
      </c>
      <c r="F4845" s="9">
        <v>0.11</v>
      </c>
      <c r="G4845" s="10">
        <v>19421</v>
      </c>
      <c r="H4845">
        <v>7.24</v>
      </c>
      <c r="I4845" s="5">
        <f>ROUND(Marketing[[#This Row],[Clicks]]*Marketing[[#This Row],[Conversion_Rate]],0)</f>
        <v>110</v>
      </c>
      <c r="J4845" s="12">
        <f>Marketing[[#This Row],[Campaign_Cost]]/Marketing[[#This Row],[Customers]]</f>
        <v>176.55454545454546</v>
      </c>
      <c r="K4845" t="s">
        <v>25</v>
      </c>
      <c r="L4845" t="s">
        <v>20</v>
      </c>
      <c r="M4845">
        <v>997</v>
      </c>
      <c r="N4845">
        <v>2845</v>
      </c>
      <c r="O4845">
        <v>10</v>
      </c>
      <c r="P4845" t="s">
        <v>34</v>
      </c>
      <c r="Q4845" s="1">
        <v>44295</v>
      </c>
    </row>
    <row r="4846" spans="1:17" x14ac:dyDescent="0.3">
      <c r="A4846" t="s">
        <v>22</v>
      </c>
      <c r="B4846" t="s">
        <v>29</v>
      </c>
      <c r="C4846" t="s">
        <v>23</v>
      </c>
      <c r="D4846" t="s">
        <v>17</v>
      </c>
      <c r="E4846" t="s">
        <v>43</v>
      </c>
      <c r="F4846" s="9">
        <v>0.08</v>
      </c>
      <c r="G4846" s="10">
        <v>10741</v>
      </c>
      <c r="H4846">
        <v>2.3199999999999998</v>
      </c>
      <c r="I4846" s="5">
        <f>ROUND(Marketing[[#This Row],[Clicks]]*Marketing[[#This Row],[Conversion_Rate]],0)</f>
        <v>24</v>
      </c>
      <c r="J4846" s="12">
        <f>Marketing[[#This Row],[Campaign_Cost]]/Marketing[[#This Row],[Customers]]</f>
        <v>447.54166666666669</v>
      </c>
      <c r="K4846" t="s">
        <v>19</v>
      </c>
      <c r="L4846" t="s">
        <v>33</v>
      </c>
      <c r="M4846">
        <v>294</v>
      </c>
      <c r="N4846">
        <v>4312</v>
      </c>
      <c r="O4846">
        <v>5</v>
      </c>
      <c r="P4846" t="s">
        <v>21</v>
      </c>
      <c r="Q4846" s="1">
        <v>44296</v>
      </c>
    </row>
    <row r="4847" spans="1:17" x14ac:dyDescent="0.3">
      <c r="A4847" t="s">
        <v>35</v>
      </c>
      <c r="B4847" t="s">
        <v>36</v>
      </c>
      <c r="C4847" t="s">
        <v>30</v>
      </c>
      <c r="D4847" t="s">
        <v>40</v>
      </c>
      <c r="E4847" t="s">
        <v>48</v>
      </c>
      <c r="F4847" s="9">
        <v>0.03</v>
      </c>
      <c r="G4847" s="10">
        <v>17670</v>
      </c>
      <c r="H4847">
        <v>3.73</v>
      </c>
      <c r="I4847" s="5">
        <f>ROUND(Marketing[[#This Row],[Clicks]]*Marketing[[#This Row],[Conversion_Rate]],0)</f>
        <v>21</v>
      </c>
      <c r="J4847" s="12">
        <f>Marketing[[#This Row],[Campaign_Cost]]/Marketing[[#This Row],[Customers]]</f>
        <v>841.42857142857144</v>
      </c>
      <c r="K4847" t="s">
        <v>51</v>
      </c>
      <c r="L4847" t="s">
        <v>33</v>
      </c>
      <c r="M4847">
        <v>696</v>
      </c>
      <c r="N4847">
        <v>7484</v>
      </c>
      <c r="O4847">
        <v>6</v>
      </c>
      <c r="P4847" t="s">
        <v>44</v>
      </c>
      <c r="Q4847" s="1">
        <v>44297</v>
      </c>
    </row>
    <row r="4848" spans="1:17" x14ac:dyDescent="0.3">
      <c r="A4848" t="s">
        <v>14</v>
      </c>
      <c r="B4848" t="s">
        <v>29</v>
      </c>
      <c r="C4848" t="s">
        <v>52</v>
      </c>
      <c r="D4848" t="s">
        <v>40</v>
      </c>
      <c r="E4848" t="s">
        <v>48</v>
      </c>
      <c r="F4848" s="9">
        <v>0.05</v>
      </c>
      <c r="G4848" s="10">
        <v>10767</v>
      </c>
      <c r="H4848">
        <v>6.76</v>
      </c>
      <c r="I4848" s="5">
        <f>ROUND(Marketing[[#This Row],[Clicks]]*Marketing[[#This Row],[Conversion_Rate]],0)</f>
        <v>28</v>
      </c>
      <c r="J4848" s="12">
        <f>Marketing[[#This Row],[Campaign_Cost]]/Marketing[[#This Row],[Customers]]</f>
        <v>384.53571428571428</v>
      </c>
      <c r="K4848" t="s">
        <v>19</v>
      </c>
      <c r="L4848" t="s">
        <v>26</v>
      </c>
      <c r="M4848">
        <v>568</v>
      </c>
      <c r="N4848">
        <v>4276</v>
      </c>
      <c r="O4848">
        <v>10</v>
      </c>
      <c r="P4848" t="s">
        <v>27</v>
      </c>
      <c r="Q4848" s="1">
        <v>44298</v>
      </c>
    </row>
    <row r="4849" spans="1:17" x14ac:dyDescent="0.3">
      <c r="A4849" t="s">
        <v>14</v>
      </c>
      <c r="B4849" t="s">
        <v>29</v>
      </c>
      <c r="C4849" t="s">
        <v>52</v>
      </c>
      <c r="D4849" t="s">
        <v>17</v>
      </c>
      <c r="E4849" t="s">
        <v>18</v>
      </c>
      <c r="F4849" s="9">
        <v>0.04</v>
      </c>
      <c r="G4849" s="10">
        <v>14569</v>
      </c>
      <c r="H4849">
        <v>5.21</v>
      </c>
      <c r="I4849" s="5">
        <f>ROUND(Marketing[[#This Row],[Clicks]]*Marketing[[#This Row],[Conversion_Rate]],0)</f>
        <v>36</v>
      </c>
      <c r="J4849" s="12">
        <f>Marketing[[#This Row],[Campaign_Cost]]/Marketing[[#This Row],[Customers]]</f>
        <v>404.69444444444446</v>
      </c>
      <c r="K4849" t="s">
        <v>25</v>
      </c>
      <c r="L4849" t="s">
        <v>39</v>
      </c>
      <c r="M4849">
        <v>902</v>
      </c>
      <c r="N4849">
        <v>8502</v>
      </c>
      <c r="O4849">
        <v>6</v>
      </c>
      <c r="P4849" t="s">
        <v>21</v>
      </c>
      <c r="Q4849" s="1">
        <v>44299</v>
      </c>
    </row>
    <row r="4850" spans="1:17" x14ac:dyDescent="0.3">
      <c r="A4850" t="s">
        <v>28</v>
      </c>
      <c r="B4850" t="s">
        <v>45</v>
      </c>
      <c r="C4850" t="s">
        <v>23</v>
      </c>
      <c r="D4850" t="s">
        <v>46</v>
      </c>
      <c r="E4850" t="s">
        <v>41</v>
      </c>
      <c r="F4850" s="9">
        <v>0.08</v>
      </c>
      <c r="G4850" s="10">
        <v>5440</v>
      </c>
      <c r="H4850">
        <v>6.57</v>
      </c>
      <c r="I4850" s="5">
        <f>ROUND(Marketing[[#This Row],[Clicks]]*Marketing[[#This Row],[Conversion_Rate]],0)</f>
        <v>68</v>
      </c>
      <c r="J4850" s="12">
        <f>Marketing[[#This Row],[Campaign_Cost]]/Marketing[[#This Row],[Customers]]</f>
        <v>80</v>
      </c>
      <c r="K4850" t="s">
        <v>32</v>
      </c>
      <c r="L4850" t="s">
        <v>26</v>
      </c>
      <c r="M4850">
        <v>846</v>
      </c>
      <c r="N4850">
        <v>4353</v>
      </c>
      <c r="O4850">
        <v>3</v>
      </c>
      <c r="P4850" t="s">
        <v>42</v>
      </c>
      <c r="Q4850" s="1">
        <v>44300</v>
      </c>
    </row>
    <row r="4851" spans="1:17" x14ac:dyDescent="0.3">
      <c r="A4851" t="s">
        <v>49</v>
      </c>
      <c r="B4851" t="s">
        <v>45</v>
      </c>
      <c r="C4851" t="s">
        <v>16</v>
      </c>
      <c r="D4851" t="s">
        <v>46</v>
      </c>
      <c r="E4851" t="s">
        <v>43</v>
      </c>
      <c r="F4851" s="9">
        <v>0.13</v>
      </c>
      <c r="G4851" s="10">
        <v>19212</v>
      </c>
      <c r="H4851">
        <v>7.8</v>
      </c>
      <c r="I4851" s="5">
        <f>ROUND(Marketing[[#This Row],[Clicks]]*Marketing[[#This Row],[Conversion_Rate]],0)</f>
        <v>59</v>
      </c>
      <c r="J4851" s="12">
        <f>Marketing[[#This Row],[Campaign_Cost]]/Marketing[[#This Row],[Customers]]</f>
        <v>325.62711864406782</v>
      </c>
      <c r="K4851" t="s">
        <v>19</v>
      </c>
      <c r="L4851" t="s">
        <v>33</v>
      </c>
      <c r="M4851">
        <v>454</v>
      </c>
      <c r="N4851">
        <v>1222</v>
      </c>
      <c r="O4851">
        <v>5</v>
      </c>
      <c r="P4851" t="s">
        <v>34</v>
      </c>
      <c r="Q4851" s="1">
        <v>44301</v>
      </c>
    </row>
    <row r="4852" spans="1:17" x14ac:dyDescent="0.3">
      <c r="A4852" t="s">
        <v>22</v>
      </c>
      <c r="B4852" t="s">
        <v>36</v>
      </c>
      <c r="C4852" t="s">
        <v>16</v>
      </c>
      <c r="D4852" t="s">
        <v>24</v>
      </c>
      <c r="E4852" t="s">
        <v>43</v>
      </c>
      <c r="F4852" s="9">
        <v>0.15</v>
      </c>
      <c r="G4852" s="10">
        <v>12879</v>
      </c>
      <c r="H4852">
        <v>5.97</v>
      </c>
      <c r="I4852" s="5">
        <f>ROUND(Marketing[[#This Row],[Clicks]]*Marketing[[#This Row],[Conversion_Rate]],0)</f>
        <v>136</v>
      </c>
      <c r="J4852" s="12">
        <f>Marketing[[#This Row],[Campaign_Cost]]/Marketing[[#This Row],[Customers]]</f>
        <v>94.69852941176471</v>
      </c>
      <c r="K4852" t="s">
        <v>19</v>
      </c>
      <c r="L4852" t="s">
        <v>26</v>
      </c>
      <c r="M4852">
        <v>908</v>
      </c>
      <c r="N4852">
        <v>4566</v>
      </c>
      <c r="O4852">
        <v>1</v>
      </c>
      <c r="P4852" t="s">
        <v>21</v>
      </c>
      <c r="Q4852" s="1">
        <v>44302</v>
      </c>
    </row>
    <row r="4853" spans="1:17" x14ac:dyDescent="0.3">
      <c r="A4853" t="s">
        <v>35</v>
      </c>
      <c r="B4853" t="s">
        <v>15</v>
      </c>
      <c r="C4853" t="s">
        <v>16</v>
      </c>
      <c r="D4853" t="s">
        <v>24</v>
      </c>
      <c r="E4853" t="s">
        <v>41</v>
      </c>
      <c r="F4853" s="9">
        <v>0.13</v>
      </c>
      <c r="G4853" s="10">
        <v>15916</v>
      </c>
      <c r="H4853">
        <v>4.16</v>
      </c>
      <c r="I4853" s="5">
        <f>ROUND(Marketing[[#This Row],[Clicks]]*Marketing[[#This Row],[Conversion_Rate]],0)</f>
        <v>67</v>
      </c>
      <c r="J4853" s="12">
        <f>Marketing[[#This Row],[Campaign_Cost]]/Marketing[[#This Row],[Customers]]</f>
        <v>237.55223880597015</v>
      </c>
      <c r="K4853" t="s">
        <v>32</v>
      </c>
      <c r="L4853" t="s">
        <v>33</v>
      </c>
      <c r="M4853">
        <v>514</v>
      </c>
      <c r="N4853">
        <v>2545</v>
      </c>
      <c r="O4853">
        <v>4</v>
      </c>
      <c r="P4853" t="s">
        <v>27</v>
      </c>
      <c r="Q4853" s="1">
        <v>44303</v>
      </c>
    </row>
    <row r="4854" spans="1:17" x14ac:dyDescent="0.3">
      <c r="A4854" t="s">
        <v>14</v>
      </c>
      <c r="B4854" t="s">
        <v>29</v>
      </c>
      <c r="C4854" t="s">
        <v>52</v>
      </c>
      <c r="D4854" t="s">
        <v>40</v>
      </c>
      <c r="E4854" t="s">
        <v>18</v>
      </c>
      <c r="F4854" s="9">
        <v>0.1</v>
      </c>
      <c r="G4854" s="10">
        <v>15267</v>
      </c>
      <c r="H4854">
        <v>3.32</v>
      </c>
      <c r="I4854" s="5">
        <f>ROUND(Marketing[[#This Row],[Clicks]]*Marketing[[#This Row],[Conversion_Rate]],0)</f>
        <v>69</v>
      </c>
      <c r="J4854" s="12">
        <f>Marketing[[#This Row],[Campaign_Cost]]/Marketing[[#This Row],[Customers]]</f>
        <v>221.2608695652174</v>
      </c>
      <c r="K4854" t="s">
        <v>32</v>
      </c>
      <c r="L4854" t="s">
        <v>39</v>
      </c>
      <c r="M4854">
        <v>685</v>
      </c>
      <c r="N4854">
        <v>3881</v>
      </c>
      <c r="O4854">
        <v>2</v>
      </c>
      <c r="P4854" t="s">
        <v>34</v>
      </c>
      <c r="Q4854" s="1">
        <v>44304</v>
      </c>
    </row>
    <row r="4855" spans="1:17" x14ac:dyDescent="0.3">
      <c r="A4855" t="s">
        <v>14</v>
      </c>
      <c r="B4855" t="s">
        <v>36</v>
      </c>
      <c r="C4855" t="s">
        <v>30</v>
      </c>
      <c r="D4855" t="s">
        <v>17</v>
      </c>
      <c r="E4855" t="s">
        <v>31</v>
      </c>
      <c r="F4855" s="9">
        <v>0.04</v>
      </c>
      <c r="G4855" s="10">
        <v>13618</v>
      </c>
      <c r="H4855">
        <v>2.4900000000000002</v>
      </c>
      <c r="I4855" s="5">
        <f>ROUND(Marketing[[#This Row],[Clicks]]*Marketing[[#This Row],[Conversion_Rate]],0)</f>
        <v>38</v>
      </c>
      <c r="J4855" s="12">
        <f>Marketing[[#This Row],[Campaign_Cost]]/Marketing[[#This Row],[Customers]]</f>
        <v>358.36842105263156</v>
      </c>
      <c r="K4855" t="s">
        <v>32</v>
      </c>
      <c r="L4855" t="s">
        <v>33</v>
      </c>
      <c r="M4855">
        <v>958</v>
      </c>
      <c r="N4855">
        <v>3549</v>
      </c>
      <c r="O4855">
        <v>2</v>
      </c>
      <c r="P4855" t="s">
        <v>34</v>
      </c>
      <c r="Q4855" s="1">
        <v>44305</v>
      </c>
    </row>
    <row r="4856" spans="1:17" x14ac:dyDescent="0.3">
      <c r="A4856" t="s">
        <v>14</v>
      </c>
      <c r="B4856" t="s">
        <v>36</v>
      </c>
      <c r="C4856" t="s">
        <v>30</v>
      </c>
      <c r="D4856" t="s">
        <v>46</v>
      </c>
      <c r="E4856" t="s">
        <v>43</v>
      </c>
      <c r="F4856" s="9">
        <v>0.1</v>
      </c>
      <c r="G4856" s="10">
        <v>12476</v>
      </c>
      <c r="H4856">
        <v>4.88</v>
      </c>
      <c r="I4856" s="5">
        <f>ROUND(Marketing[[#This Row],[Clicks]]*Marketing[[#This Row],[Conversion_Rate]],0)</f>
        <v>62</v>
      </c>
      <c r="J4856" s="12">
        <f>Marketing[[#This Row],[Campaign_Cost]]/Marketing[[#This Row],[Customers]]</f>
        <v>201.2258064516129</v>
      </c>
      <c r="K4856" t="s">
        <v>25</v>
      </c>
      <c r="L4856" t="s">
        <v>50</v>
      </c>
      <c r="M4856">
        <v>622</v>
      </c>
      <c r="N4856">
        <v>4726</v>
      </c>
      <c r="O4856">
        <v>2</v>
      </c>
      <c r="P4856" t="s">
        <v>44</v>
      </c>
      <c r="Q4856" s="1">
        <v>44306</v>
      </c>
    </row>
    <row r="4857" spans="1:17" x14ac:dyDescent="0.3">
      <c r="A4857" t="s">
        <v>28</v>
      </c>
      <c r="B4857" t="s">
        <v>15</v>
      </c>
      <c r="C4857" t="s">
        <v>16</v>
      </c>
      <c r="D4857" t="s">
        <v>40</v>
      </c>
      <c r="E4857" t="s">
        <v>48</v>
      </c>
      <c r="F4857" s="9">
        <v>0.05</v>
      </c>
      <c r="G4857" s="10">
        <v>7077</v>
      </c>
      <c r="H4857">
        <v>6.38</v>
      </c>
      <c r="I4857" s="5">
        <f>ROUND(Marketing[[#This Row],[Clicks]]*Marketing[[#This Row],[Conversion_Rate]],0)</f>
        <v>15</v>
      </c>
      <c r="J4857" s="12">
        <f>Marketing[[#This Row],[Campaign_Cost]]/Marketing[[#This Row],[Customers]]</f>
        <v>471.8</v>
      </c>
      <c r="K4857" t="s">
        <v>38</v>
      </c>
      <c r="L4857" t="s">
        <v>20</v>
      </c>
      <c r="M4857">
        <v>307</v>
      </c>
      <c r="N4857">
        <v>2460</v>
      </c>
      <c r="O4857">
        <v>4</v>
      </c>
      <c r="P4857" t="s">
        <v>44</v>
      </c>
      <c r="Q4857" s="1">
        <v>44307</v>
      </c>
    </row>
    <row r="4858" spans="1:17" x14ac:dyDescent="0.3">
      <c r="A4858" t="s">
        <v>28</v>
      </c>
      <c r="B4858" t="s">
        <v>36</v>
      </c>
      <c r="C4858" t="s">
        <v>52</v>
      </c>
      <c r="D4858" t="s">
        <v>24</v>
      </c>
      <c r="E4858" t="s">
        <v>48</v>
      </c>
      <c r="F4858" s="9">
        <v>0.13</v>
      </c>
      <c r="G4858" s="10">
        <v>15513</v>
      </c>
      <c r="H4858">
        <v>2.69</v>
      </c>
      <c r="I4858" s="5">
        <f>ROUND(Marketing[[#This Row],[Clicks]]*Marketing[[#This Row],[Conversion_Rate]],0)</f>
        <v>48</v>
      </c>
      <c r="J4858" s="12">
        <f>Marketing[[#This Row],[Campaign_Cost]]/Marketing[[#This Row],[Customers]]</f>
        <v>323.1875</v>
      </c>
      <c r="K4858" t="s">
        <v>19</v>
      </c>
      <c r="L4858" t="s">
        <v>26</v>
      </c>
      <c r="M4858">
        <v>369</v>
      </c>
      <c r="N4858">
        <v>9667</v>
      </c>
      <c r="O4858">
        <v>7</v>
      </c>
      <c r="P4858" t="s">
        <v>21</v>
      </c>
      <c r="Q4858" s="1">
        <v>44308</v>
      </c>
    </row>
    <row r="4859" spans="1:17" x14ac:dyDescent="0.3">
      <c r="A4859" t="s">
        <v>22</v>
      </c>
      <c r="B4859" t="s">
        <v>36</v>
      </c>
      <c r="C4859" t="s">
        <v>23</v>
      </c>
      <c r="D4859" t="s">
        <v>17</v>
      </c>
      <c r="E4859" t="s">
        <v>18</v>
      </c>
      <c r="F4859" s="9">
        <v>0.12</v>
      </c>
      <c r="G4859" s="10">
        <v>12382</v>
      </c>
      <c r="H4859">
        <v>3.54</v>
      </c>
      <c r="I4859" s="5">
        <f>ROUND(Marketing[[#This Row],[Clicks]]*Marketing[[#This Row],[Conversion_Rate]],0)</f>
        <v>107</v>
      </c>
      <c r="J4859" s="12">
        <f>Marketing[[#This Row],[Campaign_Cost]]/Marketing[[#This Row],[Customers]]</f>
        <v>115.71962616822429</v>
      </c>
      <c r="K4859" t="s">
        <v>51</v>
      </c>
      <c r="L4859" t="s">
        <v>33</v>
      </c>
      <c r="M4859">
        <v>895</v>
      </c>
      <c r="N4859">
        <v>6709</v>
      </c>
      <c r="O4859">
        <v>6</v>
      </c>
      <c r="P4859" t="s">
        <v>34</v>
      </c>
      <c r="Q4859" s="1">
        <v>44309</v>
      </c>
    </row>
    <row r="4860" spans="1:17" x14ac:dyDescent="0.3">
      <c r="A4860" t="s">
        <v>14</v>
      </c>
      <c r="B4860" t="s">
        <v>47</v>
      </c>
      <c r="C4860" t="s">
        <v>16</v>
      </c>
      <c r="D4860" t="s">
        <v>46</v>
      </c>
      <c r="E4860" t="s">
        <v>15</v>
      </c>
      <c r="F4860" s="9">
        <v>0.03</v>
      </c>
      <c r="G4860" s="10">
        <v>15093</v>
      </c>
      <c r="H4860">
        <v>3.09</v>
      </c>
      <c r="I4860" s="5">
        <f>ROUND(Marketing[[#This Row],[Clicks]]*Marketing[[#This Row],[Conversion_Rate]],0)</f>
        <v>18</v>
      </c>
      <c r="J4860" s="12">
        <f>Marketing[[#This Row],[Campaign_Cost]]/Marketing[[#This Row],[Customers]]</f>
        <v>838.5</v>
      </c>
      <c r="K4860" t="s">
        <v>32</v>
      </c>
      <c r="L4860" t="s">
        <v>39</v>
      </c>
      <c r="M4860">
        <v>609</v>
      </c>
      <c r="N4860">
        <v>3917</v>
      </c>
      <c r="O4860">
        <v>3</v>
      </c>
      <c r="P4860" t="s">
        <v>21</v>
      </c>
      <c r="Q4860" s="1">
        <v>44310</v>
      </c>
    </row>
    <row r="4861" spans="1:17" x14ac:dyDescent="0.3">
      <c r="A4861" t="s">
        <v>49</v>
      </c>
      <c r="B4861" t="s">
        <v>36</v>
      </c>
      <c r="C4861" t="s">
        <v>30</v>
      </c>
      <c r="D4861" t="s">
        <v>17</v>
      </c>
      <c r="E4861" t="s">
        <v>31</v>
      </c>
      <c r="F4861" s="9">
        <v>0.1</v>
      </c>
      <c r="G4861" s="10">
        <v>16304</v>
      </c>
      <c r="H4861">
        <v>7.95</v>
      </c>
      <c r="I4861" s="5">
        <f>ROUND(Marketing[[#This Row],[Clicks]]*Marketing[[#This Row],[Conversion_Rate]],0)</f>
        <v>46</v>
      </c>
      <c r="J4861" s="12">
        <f>Marketing[[#This Row],[Campaign_Cost]]/Marketing[[#This Row],[Customers]]</f>
        <v>354.43478260869563</v>
      </c>
      <c r="K4861" t="s">
        <v>38</v>
      </c>
      <c r="L4861" t="s">
        <v>39</v>
      </c>
      <c r="M4861">
        <v>461</v>
      </c>
      <c r="N4861">
        <v>3184</v>
      </c>
      <c r="O4861">
        <v>2</v>
      </c>
      <c r="P4861" t="s">
        <v>44</v>
      </c>
      <c r="Q4861" s="1">
        <v>44311</v>
      </c>
    </row>
    <row r="4862" spans="1:17" x14ac:dyDescent="0.3">
      <c r="A4862" t="s">
        <v>49</v>
      </c>
      <c r="B4862" t="s">
        <v>47</v>
      </c>
      <c r="C4862" t="s">
        <v>52</v>
      </c>
      <c r="D4862" t="s">
        <v>17</v>
      </c>
      <c r="E4862" t="s">
        <v>41</v>
      </c>
      <c r="F4862" s="9">
        <v>0.11</v>
      </c>
      <c r="G4862" s="10">
        <v>13818</v>
      </c>
      <c r="H4862">
        <v>6.81</v>
      </c>
      <c r="I4862" s="5">
        <f>ROUND(Marketing[[#This Row],[Clicks]]*Marketing[[#This Row],[Conversion_Rate]],0)</f>
        <v>25</v>
      </c>
      <c r="J4862" s="12">
        <f>Marketing[[#This Row],[Campaign_Cost]]/Marketing[[#This Row],[Customers]]</f>
        <v>552.72</v>
      </c>
      <c r="K4862" t="s">
        <v>25</v>
      </c>
      <c r="L4862" t="s">
        <v>26</v>
      </c>
      <c r="M4862">
        <v>228</v>
      </c>
      <c r="N4862">
        <v>9730</v>
      </c>
      <c r="O4862">
        <v>2</v>
      </c>
      <c r="P4862" t="s">
        <v>42</v>
      </c>
      <c r="Q4862" s="1">
        <v>44312</v>
      </c>
    </row>
    <row r="4863" spans="1:17" x14ac:dyDescent="0.3">
      <c r="A4863" t="s">
        <v>22</v>
      </c>
      <c r="B4863" t="s">
        <v>47</v>
      </c>
      <c r="C4863" t="s">
        <v>37</v>
      </c>
      <c r="D4863" t="s">
        <v>17</v>
      </c>
      <c r="E4863" t="s">
        <v>31</v>
      </c>
      <c r="F4863" s="9">
        <v>0.12</v>
      </c>
      <c r="G4863" s="10">
        <v>5054</v>
      </c>
      <c r="H4863">
        <v>3.9</v>
      </c>
      <c r="I4863" s="5">
        <f>ROUND(Marketing[[#This Row],[Clicks]]*Marketing[[#This Row],[Conversion_Rate]],0)</f>
        <v>28</v>
      </c>
      <c r="J4863" s="12">
        <f>Marketing[[#This Row],[Campaign_Cost]]/Marketing[[#This Row],[Customers]]</f>
        <v>180.5</v>
      </c>
      <c r="K4863" t="s">
        <v>51</v>
      </c>
      <c r="L4863" t="s">
        <v>33</v>
      </c>
      <c r="M4863">
        <v>237</v>
      </c>
      <c r="N4863">
        <v>4676</v>
      </c>
      <c r="O4863">
        <v>3</v>
      </c>
      <c r="P4863" t="s">
        <v>42</v>
      </c>
      <c r="Q4863" s="1">
        <v>44313</v>
      </c>
    </row>
    <row r="4864" spans="1:17" x14ac:dyDescent="0.3">
      <c r="A4864" t="s">
        <v>14</v>
      </c>
      <c r="B4864" t="s">
        <v>45</v>
      </c>
      <c r="C4864" t="s">
        <v>23</v>
      </c>
      <c r="D4864" t="s">
        <v>24</v>
      </c>
      <c r="E4864" t="s">
        <v>31</v>
      </c>
      <c r="F4864" s="9">
        <v>0.13</v>
      </c>
      <c r="G4864" s="10">
        <v>10332</v>
      </c>
      <c r="H4864">
        <v>5.53</v>
      </c>
      <c r="I4864" s="5">
        <f>ROUND(Marketing[[#This Row],[Clicks]]*Marketing[[#This Row],[Conversion_Rate]],0)</f>
        <v>127</v>
      </c>
      <c r="J4864" s="12">
        <f>Marketing[[#This Row],[Campaign_Cost]]/Marketing[[#This Row],[Customers]]</f>
        <v>81.354330708661422</v>
      </c>
      <c r="K4864" t="s">
        <v>51</v>
      </c>
      <c r="L4864" t="s">
        <v>50</v>
      </c>
      <c r="M4864">
        <v>977</v>
      </c>
      <c r="N4864">
        <v>9271</v>
      </c>
      <c r="O4864">
        <v>10</v>
      </c>
      <c r="P4864" t="s">
        <v>21</v>
      </c>
      <c r="Q4864" s="1">
        <v>44314</v>
      </c>
    </row>
    <row r="4865" spans="1:17" x14ac:dyDescent="0.3">
      <c r="A4865" t="s">
        <v>22</v>
      </c>
      <c r="B4865" t="s">
        <v>15</v>
      </c>
      <c r="C4865" t="s">
        <v>52</v>
      </c>
      <c r="D4865" t="s">
        <v>24</v>
      </c>
      <c r="E4865" t="s">
        <v>31</v>
      </c>
      <c r="F4865" s="9">
        <v>0.12</v>
      </c>
      <c r="G4865" s="10">
        <v>16910</v>
      </c>
      <c r="H4865">
        <v>2.94</v>
      </c>
      <c r="I4865" s="5">
        <f>ROUND(Marketing[[#This Row],[Clicks]]*Marketing[[#This Row],[Conversion_Rate]],0)</f>
        <v>66</v>
      </c>
      <c r="J4865" s="12">
        <f>Marketing[[#This Row],[Campaign_Cost]]/Marketing[[#This Row],[Customers]]</f>
        <v>256.21212121212119</v>
      </c>
      <c r="K4865" t="s">
        <v>32</v>
      </c>
      <c r="L4865" t="s">
        <v>50</v>
      </c>
      <c r="M4865">
        <v>552</v>
      </c>
      <c r="N4865">
        <v>9231</v>
      </c>
      <c r="O4865">
        <v>2</v>
      </c>
      <c r="P4865" t="s">
        <v>27</v>
      </c>
      <c r="Q4865" s="1">
        <v>44315</v>
      </c>
    </row>
    <row r="4866" spans="1:17" x14ac:dyDescent="0.3">
      <c r="A4866" t="s">
        <v>22</v>
      </c>
      <c r="B4866" t="s">
        <v>15</v>
      </c>
      <c r="C4866" t="s">
        <v>52</v>
      </c>
      <c r="D4866" t="s">
        <v>24</v>
      </c>
      <c r="E4866" t="s">
        <v>41</v>
      </c>
      <c r="F4866" s="9">
        <v>0.04</v>
      </c>
      <c r="G4866" s="10">
        <v>17781</v>
      </c>
      <c r="H4866">
        <v>4.53</v>
      </c>
      <c r="I4866" s="5">
        <f>ROUND(Marketing[[#This Row],[Clicks]]*Marketing[[#This Row],[Conversion_Rate]],0)</f>
        <v>7</v>
      </c>
      <c r="J4866" s="12">
        <f>Marketing[[#This Row],[Campaign_Cost]]/Marketing[[#This Row],[Customers]]</f>
        <v>2540.1428571428573</v>
      </c>
      <c r="K4866" t="s">
        <v>25</v>
      </c>
      <c r="L4866" t="s">
        <v>26</v>
      </c>
      <c r="M4866">
        <v>177</v>
      </c>
      <c r="N4866">
        <v>5540</v>
      </c>
      <c r="O4866">
        <v>1</v>
      </c>
      <c r="P4866" t="s">
        <v>27</v>
      </c>
      <c r="Q4866" s="1">
        <v>44316</v>
      </c>
    </row>
    <row r="4867" spans="1:17" x14ac:dyDescent="0.3">
      <c r="A4867" t="s">
        <v>35</v>
      </c>
      <c r="B4867" t="s">
        <v>47</v>
      </c>
      <c r="C4867" t="s">
        <v>37</v>
      </c>
      <c r="D4867" t="s">
        <v>24</v>
      </c>
      <c r="E4867" t="s">
        <v>31</v>
      </c>
      <c r="F4867" s="9">
        <v>0.03</v>
      </c>
      <c r="G4867" s="10">
        <v>10697</v>
      </c>
      <c r="H4867">
        <v>4.21</v>
      </c>
      <c r="I4867" s="5">
        <f>ROUND(Marketing[[#This Row],[Clicks]]*Marketing[[#This Row],[Conversion_Rate]],0)</f>
        <v>29</v>
      </c>
      <c r="J4867" s="12">
        <f>Marketing[[#This Row],[Campaign_Cost]]/Marketing[[#This Row],[Customers]]</f>
        <v>368.86206896551727</v>
      </c>
      <c r="K4867" t="s">
        <v>51</v>
      </c>
      <c r="L4867" t="s">
        <v>33</v>
      </c>
      <c r="M4867">
        <v>969</v>
      </c>
      <c r="N4867">
        <v>3904</v>
      </c>
      <c r="O4867">
        <v>7</v>
      </c>
      <c r="P4867" t="s">
        <v>27</v>
      </c>
      <c r="Q4867" s="1">
        <v>44317</v>
      </c>
    </row>
    <row r="4868" spans="1:17" x14ac:dyDescent="0.3">
      <c r="A4868" t="s">
        <v>22</v>
      </c>
      <c r="B4868" t="s">
        <v>47</v>
      </c>
      <c r="C4868" t="s">
        <v>23</v>
      </c>
      <c r="D4868" t="s">
        <v>24</v>
      </c>
      <c r="E4868" t="s">
        <v>43</v>
      </c>
      <c r="F4868" s="9">
        <v>0.09</v>
      </c>
      <c r="G4868" s="10">
        <v>11181</v>
      </c>
      <c r="H4868">
        <v>4.0999999999999996</v>
      </c>
      <c r="I4868" s="5">
        <f>ROUND(Marketing[[#This Row],[Clicks]]*Marketing[[#This Row],[Conversion_Rate]],0)</f>
        <v>14</v>
      </c>
      <c r="J4868" s="12">
        <f>Marketing[[#This Row],[Campaign_Cost]]/Marketing[[#This Row],[Customers]]</f>
        <v>798.64285714285711</v>
      </c>
      <c r="K4868" t="s">
        <v>51</v>
      </c>
      <c r="L4868" t="s">
        <v>20</v>
      </c>
      <c r="M4868">
        <v>160</v>
      </c>
      <c r="N4868">
        <v>2233</v>
      </c>
      <c r="O4868">
        <v>1</v>
      </c>
      <c r="P4868" t="s">
        <v>34</v>
      </c>
      <c r="Q4868" s="1">
        <v>44318</v>
      </c>
    </row>
    <row r="4869" spans="1:17" x14ac:dyDescent="0.3">
      <c r="A4869" t="s">
        <v>22</v>
      </c>
      <c r="B4869" t="s">
        <v>36</v>
      </c>
      <c r="C4869" t="s">
        <v>37</v>
      </c>
      <c r="D4869" t="s">
        <v>24</v>
      </c>
      <c r="E4869" t="s">
        <v>18</v>
      </c>
      <c r="F4869" s="9">
        <v>0.04</v>
      </c>
      <c r="G4869" s="10">
        <v>16221</v>
      </c>
      <c r="H4869">
        <v>2.78</v>
      </c>
      <c r="I4869" s="5">
        <f>ROUND(Marketing[[#This Row],[Clicks]]*Marketing[[#This Row],[Conversion_Rate]],0)</f>
        <v>18</v>
      </c>
      <c r="J4869" s="12">
        <f>Marketing[[#This Row],[Campaign_Cost]]/Marketing[[#This Row],[Customers]]</f>
        <v>901.16666666666663</v>
      </c>
      <c r="K4869" t="s">
        <v>38</v>
      </c>
      <c r="L4869" t="s">
        <v>39</v>
      </c>
      <c r="M4869">
        <v>444</v>
      </c>
      <c r="N4869">
        <v>4832</v>
      </c>
      <c r="O4869">
        <v>2</v>
      </c>
      <c r="P4869" t="s">
        <v>27</v>
      </c>
      <c r="Q4869" s="1">
        <v>44319</v>
      </c>
    </row>
    <row r="4870" spans="1:17" x14ac:dyDescent="0.3">
      <c r="A4870" t="s">
        <v>14</v>
      </c>
      <c r="B4870" t="s">
        <v>47</v>
      </c>
      <c r="C4870" t="s">
        <v>37</v>
      </c>
      <c r="D4870" t="s">
        <v>24</v>
      </c>
      <c r="E4870" t="s">
        <v>18</v>
      </c>
      <c r="F4870" s="9">
        <v>0.04</v>
      </c>
      <c r="G4870" s="10">
        <v>5870</v>
      </c>
      <c r="H4870">
        <v>6.16</v>
      </c>
      <c r="I4870" s="5">
        <f>ROUND(Marketing[[#This Row],[Clicks]]*Marketing[[#This Row],[Conversion_Rate]],0)</f>
        <v>16</v>
      </c>
      <c r="J4870" s="12">
        <f>Marketing[[#This Row],[Campaign_Cost]]/Marketing[[#This Row],[Customers]]</f>
        <v>366.875</v>
      </c>
      <c r="K4870" t="s">
        <v>51</v>
      </c>
      <c r="L4870" t="s">
        <v>33</v>
      </c>
      <c r="M4870">
        <v>407</v>
      </c>
      <c r="N4870">
        <v>6039</v>
      </c>
      <c r="O4870">
        <v>7</v>
      </c>
      <c r="P4870" t="s">
        <v>21</v>
      </c>
      <c r="Q4870" s="1">
        <v>44320</v>
      </c>
    </row>
    <row r="4871" spans="1:17" x14ac:dyDescent="0.3">
      <c r="A4871" t="s">
        <v>35</v>
      </c>
      <c r="B4871" t="s">
        <v>29</v>
      </c>
      <c r="C4871" t="s">
        <v>23</v>
      </c>
      <c r="D4871" t="s">
        <v>24</v>
      </c>
      <c r="E4871" t="s">
        <v>31</v>
      </c>
      <c r="F4871" s="9">
        <v>0.15</v>
      </c>
      <c r="G4871" s="10">
        <v>13940</v>
      </c>
      <c r="H4871">
        <v>6.06</v>
      </c>
      <c r="I4871" s="5">
        <f>ROUND(Marketing[[#This Row],[Clicks]]*Marketing[[#This Row],[Conversion_Rate]],0)</f>
        <v>134</v>
      </c>
      <c r="J4871" s="12">
        <f>Marketing[[#This Row],[Campaign_Cost]]/Marketing[[#This Row],[Customers]]</f>
        <v>104.02985074626865</v>
      </c>
      <c r="K4871" t="s">
        <v>25</v>
      </c>
      <c r="L4871" t="s">
        <v>50</v>
      </c>
      <c r="M4871">
        <v>896</v>
      </c>
      <c r="N4871">
        <v>6558</v>
      </c>
      <c r="O4871">
        <v>2</v>
      </c>
      <c r="P4871" t="s">
        <v>34</v>
      </c>
      <c r="Q4871" s="1">
        <v>44321</v>
      </c>
    </row>
    <row r="4872" spans="1:17" x14ac:dyDescent="0.3">
      <c r="A4872" t="s">
        <v>14</v>
      </c>
      <c r="B4872" t="s">
        <v>36</v>
      </c>
      <c r="C4872" t="s">
        <v>30</v>
      </c>
      <c r="D4872" t="s">
        <v>24</v>
      </c>
      <c r="E4872" t="s">
        <v>18</v>
      </c>
      <c r="F4872" s="9">
        <v>0.1</v>
      </c>
      <c r="G4872" s="10">
        <v>18998</v>
      </c>
      <c r="H4872">
        <v>6.75</v>
      </c>
      <c r="I4872" s="5">
        <f>ROUND(Marketing[[#This Row],[Clicks]]*Marketing[[#This Row],[Conversion_Rate]],0)</f>
        <v>66</v>
      </c>
      <c r="J4872" s="12">
        <f>Marketing[[#This Row],[Campaign_Cost]]/Marketing[[#This Row],[Customers]]</f>
        <v>287.84848484848487</v>
      </c>
      <c r="K4872" t="s">
        <v>25</v>
      </c>
      <c r="L4872" t="s">
        <v>26</v>
      </c>
      <c r="M4872">
        <v>659</v>
      </c>
      <c r="N4872">
        <v>2482</v>
      </c>
      <c r="O4872">
        <v>6</v>
      </c>
      <c r="P4872" t="s">
        <v>21</v>
      </c>
      <c r="Q4872" s="1">
        <v>44322</v>
      </c>
    </row>
    <row r="4873" spans="1:17" x14ac:dyDescent="0.3">
      <c r="A4873" t="s">
        <v>22</v>
      </c>
      <c r="B4873" t="s">
        <v>36</v>
      </c>
      <c r="C4873" t="s">
        <v>52</v>
      </c>
      <c r="D4873" t="s">
        <v>46</v>
      </c>
      <c r="E4873" t="s">
        <v>18</v>
      </c>
      <c r="F4873" s="9">
        <v>0.14000000000000001</v>
      </c>
      <c r="G4873" s="10">
        <v>8165</v>
      </c>
      <c r="H4873">
        <v>6.38</v>
      </c>
      <c r="I4873" s="5">
        <f>ROUND(Marketing[[#This Row],[Clicks]]*Marketing[[#This Row],[Conversion_Rate]],0)</f>
        <v>33</v>
      </c>
      <c r="J4873" s="12">
        <f>Marketing[[#This Row],[Campaign_Cost]]/Marketing[[#This Row],[Customers]]</f>
        <v>247.42424242424244</v>
      </c>
      <c r="K4873" t="s">
        <v>38</v>
      </c>
      <c r="L4873" t="s">
        <v>26</v>
      </c>
      <c r="M4873">
        <v>235</v>
      </c>
      <c r="N4873">
        <v>5439</v>
      </c>
      <c r="O4873">
        <v>5</v>
      </c>
      <c r="P4873" t="s">
        <v>21</v>
      </c>
      <c r="Q4873" s="1">
        <v>44323</v>
      </c>
    </row>
    <row r="4874" spans="1:17" x14ac:dyDescent="0.3">
      <c r="A4874" t="s">
        <v>35</v>
      </c>
      <c r="B4874" t="s">
        <v>45</v>
      </c>
      <c r="C4874" t="s">
        <v>23</v>
      </c>
      <c r="D4874" t="s">
        <v>46</v>
      </c>
      <c r="E4874" t="s">
        <v>48</v>
      </c>
      <c r="F4874" s="9">
        <v>0.02</v>
      </c>
      <c r="G4874" s="10">
        <v>18707</v>
      </c>
      <c r="H4874">
        <v>2.9</v>
      </c>
      <c r="I4874" s="5">
        <f>ROUND(Marketing[[#This Row],[Clicks]]*Marketing[[#This Row],[Conversion_Rate]],0)</f>
        <v>7</v>
      </c>
      <c r="J4874" s="12">
        <f>Marketing[[#This Row],[Campaign_Cost]]/Marketing[[#This Row],[Customers]]</f>
        <v>2672.4285714285716</v>
      </c>
      <c r="K4874" t="s">
        <v>25</v>
      </c>
      <c r="L4874" t="s">
        <v>20</v>
      </c>
      <c r="M4874">
        <v>357</v>
      </c>
      <c r="N4874">
        <v>1936</v>
      </c>
      <c r="O4874">
        <v>4</v>
      </c>
      <c r="P4874" t="s">
        <v>44</v>
      </c>
      <c r="Q4874" s="1">
        <v>44324</v>
      </c>
    </row>
    <row r="4875" spans="1:17" x14ac:dyDescent="0.3">
      <c r="A4875" t="s">
        <v>28</v>
      </c>
      <c r="B4875" t="s">
        <v>45</v>
      </c>
      <c r="C4875" t="s">
        <v>30</v>
      </c>
      <c r="D4875" t="s">
        <v>46</v>
      </c>
      <c r="E4875" t="s">
        <v>15</v>
      </c>
      <c r="F4875" s="9">
        <v>0.05</v>
      </c>
      <c r="G4875" s="10">
        <v>16162</v>
      </c>
      <c r="H4875">
        <v>7.88</v>
      </c>
      <c r="I4875" s="5">
        <f>ROUND(Marketing[[#This Row],[Clicks]]*Marketing[[#This Row],[Conversion_Rate]],0)</f>
        <v>12</v>
      </c>
      <c r="J4875" s="12">
        <f>Marketing[[#This Row],[Campaign_Cost]]/Marketing[[#This Row],[Customers]]</f>
        <v>1346.8333333333333</v>
      </c>
      <c r="K4875" t="s">
        <v>32</v>
      </c>
      <c r="L4875" t="s">
        <v>50</v>
      </c>
      <c r="M4875">
        <v>245</v>
      </c>
      <c r="N4875">
        <v>6068</v>
      </c>
      <c r="O4875">
        <v>9</v>
      </c>
      <c r="P4875" t="s">
        <v>42</v>
      </c>
      <c r="Q4875" s="1">
        <v>44325</v>
      </c>
    </row>
    <row r="4876" spans="1:17" x14ac:dyDescent="0.3">
      <c r="A4876" t="s">
        <v>49</v>
      </c>
      <c r="B4876" t="s">
        <v>15</v>
      </c>
      <c r="C4876" t="s">
        <v>30</v>
      </c>
      <c r="D4876" t="s">
        <v>17</v>
      </c>
      <c r="E4876" t="s">
        <v>15</v>
      </c>
      <c r="F4876" s="9">
        <v>0.13</v>
      </c>
      <c r="G4876" s="10">
        <v>10213</v>
      </c>
      <c r="H4876">
        <v>7.62</v>
      </c>
      <c r="I4876" s="5">
        <f>ROUND(Marketing[[#This Row],[Clicks]]*Marketing[[#This Row],[Conversion_Rate]],0)</f>
        <v>58</v>
      </c>
      <c r="J4876" s="12">
        <f>Marketing[[#This Row],[Campaign_Cost]]/Marketing[[#This Row],[Customers]]</f>
        <v>176.08620689655172</v>
      </c>
      <c r="K4876" t="s">
        <v>32</v>
      </c>
      <c r="L4876" t="s">
        <v>20</v>
      </c>
      <c r="M4876">
        <v>449</v>
      </c>
      <c r="N4876">
        <v>7289</v>
      </c>
      <c r="O4876">
        <v>1</v>
      </c>
      <c r="P4876" t="s">
        <v>34</v>
      </c>
      <c r="Q4876" s="1">
        <v>44326</v>
      </c>
    </row>
    <row r="4877" spans="1:17" x14ac:dyDescent="0.3">
      <c r="A4877" t="s">
        <v>14</v>
      </c>
      <c r="B4877" t="s">
        <v>29</v>
      </c>
      <c r="C4877" t="s">
        <v>23</v>
      </c>
      <c r="D4877" t="s">
        <v>17</v>
      </c>
      <c r="E4877" t="s">
        <v>31</v>
      </c>
      <c r="F4877" s="9">
        <v>0.12</v>
      </c>
      <c r="G4877" s="10">
        <v>12453</v>
      </c>
      <c r="H4877">
        <v>4.08</v>
      </c>
      <c r="I4877" s="5">
        <f>ROUND(Marketing[[#This Row],[Clicks]]*Marketing[[#This Row],[Conversion_Rate]],0)</f>
        <v>22</v>
      </c>
      <c r="J4877" s="12">
        <f>Marketing[[#This Row],[Campaign_Cost]]/Marketing[[#This Row],[Customers]]</f>
        <v>566.0454545454545</v>
      </c>
      <c r="K4877" t="s">
        <v>32</v>
      </c>
      <c r="L4877" t="s">
        <v>39</v>
      </c>
      <c r="M4877">
        <v>182</v>
      </c>
      <c r="N4877">
        <v>8940</v>
      </c>
      <c r="O4877">
        <v>3</v>
      </c>
      <c r="P4877" t="s">
        <v>21</v>
      </c>
      <c r="Q4877" s="1">
        <v>44327</v>
      </c>
    </row>
    <row r="4878" spans="1:17" x14ac:dyDescent="0.3">
      <c r="A4878" t="s">
        <v>28</v>
      </c>
      <c r="B4878" t="s">
        <v>15</v>
      </c>
      <c r="C4878" t="s">
        <v>52</v>
      </c>
      <c r="D4878" t="s">
        <v>17</v>
      </c>
      <c r="E4878" t="s">
        <v>31</v>
      </c>
      <c r="F4878" s="9">
        <v>0.04</v>
      </c>
      <c r="G4878" s="10">
        <v>9692</v>
      </c>
      <c r="H4878">
        <v>7.67</v>
      </c>
      <c r="I4878" s="5">
        <f>ROUND(Marketing[[#This Row],[Clicks]]*Marketing[[#This Row],[Conversion_Rate]],0)</f>
        <v>20</v>
      </c>
      <c r="J4878" s="12">
        <f>Marketing[[#This Row],[Campaign_Cost]]/Marketing[[#This Row],[Customers]]</f>
        <v>484.6</v>
      </c>
      <c r="K4878" t="s">
        <v>32</v>
      </c>
      <c r="L4878" t="s">
        <v>50</v>
      </c>
      <c r="M4878">
        <v>498</v>
      </c>
      <c r="N4878">
        <v>9083</v>
      </c>
      <c r="O4878">
        <v>1</v>
      </c>
      <c r="P4878" t="s">
        <v>27</v>
      </c>
      <c r="Q4878" s="1">
        <v>44328</v>
      </c>
    </row>
    <row r="4879" spans="1:17" x14ac:dyDescent="0.3">
      <c r="A4879" t="s">
        <v>35</v>
      </c>
      <c r="B4879" t="s">
        <v>29</v>
      </c>
      <c r="C4879" t="s">
        <v>16</v>
      </c>
      <c r="D4879" t="s">
        <v>46</v>
      </c>
      <c r="E4879" t="s">
        <v>41</v>
      </c>
      <c r="F4879" s="9">
        <v>0.08</v>
      </c>
      <c r="G4879" s="10">
        <v>12016</v>
      </c>
      <c r="H4879">
        <v>3.33</v>
      </c>
      <c r="I4879" s="5">
        <f>ROUND(Marketing[[#This Row],[Clicks]]*Marketing[[#This Row],[Conversion_Rate]],0)</f>
        <v>38</v>
      </c>
      <c r="J4879" s="12">
        <f>Marketing[[#This Row],[Campaign_Cost]]/Marketing[[#This Row],[Customers]]</f>
        <v>316.21052631578948</v>
      </c>
      <c r="K4879" t="s">
        <v>25</v>
      </c>
      <c r="L4879" t="s">
        <v>20</v>
      </c>
      <c r="M4879">
        <v>480</v>
      </c>
      <c r="N4879">
        <v>9432</v>
      </c>
      <c r="O4879">
        <v>6</v>
      </c>
      <c r="P4879" t="s">
        <v>21</v>
      </c>
      <c r="Q4879" s="1">
        <v>44329</v>
      </c>
    </row>
    <row r="4880" spans="1:17" x14ac:dyDescent="0.3">
      <c r="A4880" t="s">
        <v>49</v>
      </c>
      <c r="B4880" t="s">
        <v>29</v>
      </c>
      <c r="C4880" t="s">
        <v>16</v>
      </c>
      <c r="D4880" t="s">
        <v>40</v>
      </c>
      <c r="E4880" t="s">
        <v>48</v>
      </c>
      <c r="F4880" s="9">
        <v>0.08</v>
      </c>
      <c r="G4880" s="10">
        <v>16364</v>
      </c>
      <c r="H4880">
        <v>4.9000000000000004</v>
      </c>
      <c r="I4880" s="5">
        <f>ROUND(Marketing[[#This Row],[Clicks]]*Marketing[[#This Row],[Conversion_Rate]],0)</f>
        <v>68</v>
      </c>
      <c r="J4880" s="12">
        <f>Marketing[[#This Row],[Campaign_Cost]]/Marketing[[#This Row],[Customers]]</f>
        <v>240.64705882352942</v>
      </c>
      <c r="K4880" t="s">
        <v>19</v>
      </c>
      <c r="L4880" t="s">
        <v>50</v>
      </c>
      <c r="M4880">
        <v>850</v>
      </c>
      <c r="N4880">
        <v>3534</v>
      </c>
      <c r="O4880">
        <v>9</v>
      </c>
      <c r="P4880" t="s">
        <v>44</v>
      </c>
      <c r="Q4880" s="1">
        <v>44330</v>
      </c>
    </row>
    <row r="4881" spans="1:17" x14ac:dyDescent="0.3">
      <c r="A4881" t="s">
        <v>28</v>
      </c>
      <c r="B4881" t="s">
        <v>36</v>
      </c>
      <c r="C4881" t="s">
        <v>30</v>
      </c>
      <c r="D4881" t="s">
        <v>17</v>
      </c>
      <c r="E4881" t="s">
        <v>48</v>
      </c>
      <c r="F4881" s="9">
        <v>0.11</v>
      </c>
      <c r="G4881" s="10">
        <v>7436</v>
      </c>
      <c r="H4881">
        <v>5.27</v>
      </c>
      <c r="I4881" s="5">
        <f>ROUND(Marketing[[#This Row],[Clicks]]*Marketing[[#This Row],[Conversion_Rate]],0)</f>
        <v>72</v>
      </c>
      <c r="J4881" s="12">
        <f>Marketing[[#This Row],[Campaign_Cost]]/Marketing[[#This Row],[Customers]]</f>
        <v>103.27777777777777</v>
      </c>
      <c r="K4881" t="s">
        <v>51</v>
      </c>
      <c r="L4881" t="s">
        <v>39</v>
      </c>
      <c r="M4881">
        <v>654</v>
      </c>
      <c r="N4881">
        <v>3026</v>
      </c>
      <c r="O4881">
        <v>10</v>
      </c>
      <c r="P4881" t="s">
        <v>21</v>
      </c>
      <c r="Q4881" s="1">
        <v>44331</v>
      </c>
    </row>
    <row r="4882" spans="1:17" x14ac:dyDescent="0.3">
      <c r="A4882" t="s">
        <v>22</v>
      </c>
      <c r="B4882" t="s">
        <v>47</v>
      </c>
      <c r="C4882" t="s">
        <v>16</v>
      </c>
      <c r="D4882" t="s">
        <v>40</v>
      </c>
      <c r="E4882" t="s">
        <v>41</v>
      </c>
      <c r="F4882" s="9">
        <v>0.02</v>
      </c>
      <c r="G4882" s="10">
        <v>10631</v>
      </c>
      <c r="H4882">
        <v>5.62</v>
      </c>
      <c r="I4882" s="5">
        <f>ROUND(Marketing[[#This Row],[Clicks]]*Marketing[[#This Row],[Conversion_Rate]],0)</f>
        <v>13</v>
      </c>
      <c r="J4882" s="12">
        <f>Marketing[[#This Row],[Campaign_Cost]]/Marketing[[#This Row],[Customers]]</f>
        <v>817.76923076923072</v>
      </c>
      <c r="K4882" t="s">
        <v>19</v>
      </c>
      <c r="L4882" t="s">
        <v>39</v>
      </c>
      <c r="M4882">
        <v>634</v>
      </c>
      <c r="N4882">
        <v>7016</v>
      </c>
      <c r="O4882">
        <v>5</v>
      </c>
      <c r="P4882" t="s">
        <v>44</v>
      </c>
      <c r="Q4882" s="1">
        <v>44332</v>
      </c>
    </row>
    <row r="4883" spans="1:17" x14ac:dyDescent="0.3">
      <c r="A4883" t="s">
        <v>22</v>
      </c>
      <c r="B4883" t="s">
        <v>29</v>
      </c>
      <c r="C4883" t="s">
        <v>16</v>
      </c>
      <c r="D4883" t="s">
        <v>46</v>
      </c>
      <c r="E4883" t="s">
        <v>18</v>
      </c>
      <c r="F4883" s="9">
        <v>0.01</v>
      </c>
      <c r="G4883" s="10">
        <v>18533</v>
      </c>
      <c r="H4883">
        <v>7.39</v>
      </c>
      <c r="I4883" s="5">
        <f>ROUND(Marketing[[#This Row],[Clicks]]*Marketing[[#This Row],[Conversion_Rate]],0)</f>
        <v>4</v>
      </c>
      <c r="J4883" s="12">
        <f>Marketing[[#This Row],[Campaign_Cost]]/Marketing[[#This Row],[Customers]]</f>
        <v>4633.25</v>
      </c>
      <c r="K4883" t="s">
        <v>32</v>
      </c>
      <c r="L4883" t="s">
        <v>50</v>
      </c>
      <c r="M4883">
        <v>383</v>
      </c>
      <c r="N4883">
        <v>4139</v>
      </c>
      <c r="O4883">
        <v>9</v>
      </c>
      <c r="P4883" t="s">
        <v>44</v>
      </c>
      <c r="Q4883" s="1">
        <v>44333</v>
      </c>
    </row>
    <row r="4884" spans="1:17" x14ac:dyDescent="0.3">
      <c r="A4884" t="s">
        <v>14</v>
      </c>
      <c r="B4884" t="s">
        <v>29</v>
      </c>
      <c r="C4884" t="s">
        <v>30</v>
      </c>
      <c r="D4884" t="s">
        <v>40</v>
      </c>
      <c r="E4884" t="s">
        <v>18</v>
      </c>
      <c r="F4884" s="9">
        <v>0.11</v>
      </c>
      <c r="G4884" s="10">
        <v>7848</v>
      </c>
      <c r="H4884">
        <v>5.87</v>
      </c>
      <c r="I4884" s="5">
        <f>ROUND(Marketing[[#This Row],[Clicks]]*Marketing[[#This Row],[Conversion_Rate]],0)</f>
        <v>26</v>
      </c>
      <c r="J4884" s="12">
        <f>Marketing[[#This Row],[Campaign_Cost]]/Marketing[[#This Row],[Customers]]</f>
        <v>301.84615384615387</v>
      </c>
      <c r="K4884" t="s">
        <v>25</v>
      </c>
      <c r="L4884" t="s">
        <v>50</v>
      </c>
      <c r="M4884">
        <v>233</v>
      </c>
      <c r="N4884">
        <v>3505</v>
      </c>
      <c r="O4884">
        <v>3</v>
      </c>
      <c r="P4884" t="s">
        <v>42</v>
      </c>
      <c r="Q4884" s="1">
        <v>44334</v>
      </c>
    </row>
    <row r="4885" spans="1:17" x14ac:dyDescent="0.3">
      <c r="A4885" t="s">
        <v>28</v>
      </c>
      <c r="B4885" t="s">
        <v>15</v>
      </c>
      <c r="C4885" t="s">
        <v>16</v>
      </c>
      <c r="D4885" t="s">
        <v>40</v>
      </c>
      <c r="E4885" t="s">
        <v>43</v>
      </c>
      <c r="F4885" s="9">
        <v>0.11</v>
      </c>
      <c r="G4885" s="10">
        <v>10364</v>
      </c>
      <c r="H4885">
        <v>3.63</v>
      </c>
      <c r="I4885" s="5">
        <f>ROUND(Marketing[[#This Row],[Clicks]]*Marketing[[#This Row],[Conversion_Rate]],0)</f>
        <v>44</v>
      </c>
      <c r="J4885" s="12">
        <f>Marketing[[#This Row],[Campaign_Cost]]/Marketing[[#This Row],[Customers]]</f>
        <v>235.54545454545453</v>
      </c>
      <c r="K4885" t="s">
        <v>38</v>
      </c>
      <c r="L4885" t="s">
        <v>50</v>
      </c>
      <c r="M4885">
        <v>402</v>
      </c>
      <c r="N4885">
        <v>9332</v>
      </c>
      <c r="O4885">
        <v>7</v>
      </c>
      <c r="P4885" t="s">
        <v>27</v>
      </c>
      <c r="Q4885" s="1">
        <v>44335</v>
      </c>
    </row>
    <row r="4886" spans="1:17" x14ac:dyDescent="0.3">
      <c r="A4886" t="s">
        <v>35</v>
      </c>
      <c r="B4886" t="s">
        <v>47</v>
      </c>
      <c r="C4886" t="s">
        <v>23</v>
      </c>
      <c r="D4886" t="s">
        <v>46</v>
      </c>
      <c r="E4886" t="s">
        <v>15</v>
      </c>
      <c r="F4886" s="9">
        <v>0.12</v>
      </c>
      <c r="G4886" s="10">
        <v>17466</v>
      </c>
      <c r="H4886">
        <v>2.21</v>
      </c>
      <c r="I4886" s="5">
        <f>ROUND(Marketing[[#This Row],[Clicks]]*Marketing[[#This Row],[Conversion_Rate]],0)</f>
        <v>66</v>
      </c>
      <c r="J4886" s="12">
        <f>Marketing[[#This Row],[Campaign_Cost]]/Marketing[[#This Row],[Customers]]</f>
        <v>264.63636363636363</v>
      </c>
      <c r="K4886" t="s">
        <v>19</v>
      </c>
      <c r="L4886" t="s">
        <v>33</v>
      </c>
      <c r="M4886">
        <v>552</v>
      </c>
      <c r="N4886">
        <v>8913</v>
      </c>
      <c r="O4886">
        <v>1</v>
      </c>
      <c r="P4886" t="s">
        <v>42</v>
      </c>
      <c r="Q4886" s="1">
        <v>44336</v>
      </c>
    </row>
    <row r="4887" spans="1:17" x14ac:dyDescent="0.3">
      <c r="A4887" t="s">
        <v>22</v>
      </c>
      <c r="B4887" t="s">
        <v>47</v>
      </c>
      <c r="C4887" t="s">
        <v>52</v>
      </c>
      <c r="D4887" t="s">
        <v>17</v>
      </c>
      <c r="E4887" t="s">
        <v>18</v>
      </c>
      <c r="F4887" s="9">
        <v>0.11</v>
      </c>
      <c r="G4887" s="10">
        <v>5779</v>
      </c>
      <c r="H4887">
        <v>5.36</v>
      </c>
      <c r="I4887" s="5">
        <f>ROUND(Marketing[[#This Row],[Clicks]]*Marketing[[#This Row],[Conversion_Rate]],0)</f>
        <v>37</v>
      </c>
      <c r="J4887" s="12">
        <f>Marketing[[#This Row],[Campaign_Cost]]/Marketing[[#This Row],[Customers]]</f>
        <v>156.18918918918919</v>
      </c>
      <c r="K4887" t="s">
        <v>19</v>
      </c>
      <c r="L4887" t="s">
        <v>33</v>
      </c>
      <c r="M4887">
        <v>339</v>
      </c>
      <c r="N4887">
        <v>6285</v>
      </c>
      <c r="O4887">
        <v>8</v>
      </c>
      <c r="P4887" t="s">
        <v>34</v>
      </c>
      <c r="Q4887" s="1">
        <v>44337</v>
      </c>
    </row>
    <row r="4888" spans="1:17" x14ac:dyDescent="0.3">
      <c r="A4888" t="s">
        <v>22</v>
      </c>
      <c r="B4888" t="s">
        <v>45</v>
      </c>
      <c r="C4888" t="s">
        <v>37</v>
      </c>
      <c r="D4888" t="s">
        <v>46</v>
      </c>
      <c r="E4888" t="s">
        <v>43</v>
      </c>
      <c r="F4888" s="9">
        <v>0.13</v>
      </c>
      <c r="G4888" s="10">
        <v>14312</v>
      </c>
      <c r="H4888">
        <v>4.25</v>
      </c>
      <c r="I4888" s="5">
        <f>ROUND(Marketing[[#This Row],[Clicks]]*Marketing[[#This Row],[Conversion_Rate]],0)</f>
        <v>99</v>
      </c>
      <c r="J4888" s="12">
        <f>Marketing[[#This Row],[Campaign_Cost]]/Marketing[[#This Row],[Customers]]</f>
        <v>144.56565656565655</v>
      </c>
      <c r="K4888" t="s">
        <v>38</v>
      </c>
      <c r="L4888" t="s">
        <v>20</v>
      </c>
      <c r="M4888">
        <v>759</v>
      </c>
      <c r="N4888">
        <v>9969</v>
      </c>
      <c r="O4888">
        <v>4</v>
      </c>
      <c r="P4888" t="s">
        <v>27</v>
      </c>
      <c r="Q4888" s="1">
        <v>44338</v>
      </c>
    </row>
    <row r="4889" spans="1:17" x14ac:dyDescent="0.3">
      <c r="A4889" t="s">
        <v>28</v>
      </c>
      <c r="B4889" t="s">
        <v>29</v>
      </c>
      <c r="C4889" t="s">
        <v>52</v>
      </c>
      <c r="D4889" t="s">
        <v>46</v>
      </c>
      <c r="E4889" t="s">
        <v>31</v>
      </c>
      <c r="F4889" s="9">
        <v>7.0000000000000007E-2</v>
      </c>
      <c r="G4889" s="10">
        <v>12020</v>
      </c>
      <c r="H4889">
        <v>6.98</v>
      </c>
      <c r="I4889" s="5">
        <f>ROUND(Marketing[[#This Row],[Clicks]]*Marketing[[#This Row],[Conversion_Rate]],0)</f>
        <v>12</v>
      </c>
      <c r="J4889" s="12">
        <f>Marketing[[#This Row],[Campaign_Cost]]/Marketing[[#This Row],[Customers]]</f>
        <v>1001.6666666666666</v>
      </c>
      <c r="K4889" t="s">
        <v>51</v>
      </c>
      <c r="L4889" t="s">
        <v>26</v>
      </c>
      <c r="M4889">
        <v>173</v>
      </c>
      <c r="N4889">
        <v>2232</v>
      </c>
      <c r="O4889">
        <v>6</v>
      </c>
      <c r="P4889" t="s">
        <v>42</v>
      </c>
      <c r="Q4889" s="1">
        <v>44339</v>
      </c>
    </row>
    <row r="4890" spans="1:17" x14ac:dyDescent="0.3">
      <c r="A4890" t="s">
        <v>14</v>
      </c>
      <c r="B4890" t="s">
        <v>29</v>
      </c>
      <c r="C4890" t="s">
        <v>52</v>
      </c>
      <c r="D4890" t="s">
        <v>17</v>
      </c>
      <c r="E4890" t="s">
        <v>18</v>
      </c>
      <c r="F4890" s="9">
        <v>0.03</v>
      </c>
      <c r="G4890" s="10">
        <v>11714</v>
      </c>
      <c r="H4890">
        <v>4.9000000000000004</v>
      </c>
      <c r="I4890" s="5">
        <f>ROUND(Marketing[[#This Row],[Clicks]]*Marketing[[#This Row],[Conversion_Rate]],0)</f>
        <v>12</v>
      </c>
      <c r="J4890" s="12">
        <f>Marketing[[#This Row],[Campaign_Cost]]/Marketing[[#This Row],[Customers]]</f>
        <v>976.16666666666663</v>
      </c>
      <c r="K4890" t="s">
        <v>32</v>
      </c>
      <c r="L4890" t="s">
        <v>50</v>
      </c>
      <c r="M4890">
        <v>393</v>
      </c>
      <c r="N4890">
        <v>1707</v>
      </c>
      <c r="O4890">
        <v>7</v>
      </c>
      <c r="P4890" t="s">
        <v>42</v>
      </c>
      <c r="Q4890" s="1">
        <v>44340</v>
      </c>
    </row>
    <row r="4891" spans="1:17" x14ac:dyDescent="0.3">
      <c r="A4891" t="s">
        <v>49</v>
      </c>
      <c r="B4891" t="s">
        <v>15</v>
      </c>
      <c r="C4891" t="s">
        <v>30</v>
      </c>
      <c r="D4891" t="s">
        <v>17</v>
      </c>
      <c r="E4891" t="s">
        <v>31</v>
      </c>
      <c r="F4891" s="9">
        <v>0.12</v>
      </c>
      <c r="G4891" s="10">
        <v>15450</v>
      </c>
      <c r="H4891">
        <v>7.48</v>
      </c>
      <c r="I4891" s="5">
        <f>ROUND(Marketing[[#This Row],[Clicks]]*Marketing[[#This Row],[Conversion_Rate]],0)</f>
        <v>61</v>
      </c>
      <c r="J4891" s="12">
        <f>Marketing[[#This Row],[Campaign_Cost]]/Marketing[[#This Row],[Customers]]</f>
        <v>253.27868852459017</v>
      </c>
      <c r="K4891" t="s">
        <v>51</v>
      </c>
      <c r="L4891" t="s">
        <v>20</v>
      </c>
      <c r="M4891">
        <v>510</v>
      </c>
      <c r="N4891">
        <v>3587</v>
      </c>
      <c r="O4891">
        <v>6</v>
      </c>
      <c r="P4891" t="s">
        <v>27</v>
      </c>
      <c r="Q4891" s="1">
        <v>44341</v>
      </c>
    </row>
    <row r="4892" spans="1:17" x14ac:dyDescent="0.3">
      <c r="A4892" t="s">
        <v>28</v>
      </c>
      <c r="B4892" t="s">
        <v>45</v>
      </c>
      <c r="C4892" t="s">
        <v>16</v>
      </c>
      <c r="D4892" t="s">
        <v>24</v>
      </c>
      <c r="E4892" t="s">
        <v>31</v>
      </c>
      <c r="F4892" s="9">
        <v>0.08</v>
      </c>
      <c r="G4892" s="10">
        <v>19288</v>
      </c>
      <c r="H4892">
        <v>3.34</v>
      </c>
      <c r="I4892" s="5">
        <f>ROUND(Marketing[[#This Row],[Clicks]]*Marketing[[#This Row],[Conversion_Rate]],0)</f>
        <v>25</v>
      </c>
      <c r="J4892" s="12">
        <f>Marketing[[#This Row],[Campaign_Cost]]/Marketing[[#This Row],[Customers]]</f>
        <v>771.52</v>
      </c>
      <c r="K4892" t="s">
        <v>25</v>
      </c>
      <c r="L4892" t="s">
        <v>50</v>
      </c>
      <c r="M4892">
        <v>307</v>
      </c>
      <c r="N4892">
        <v>2196</v>
      </c>
      <c r="O4892">
        <v>9</v>
      </c>
      <c r="P4892" t="s">
        <v>44</v>
      </c>
      <c r="Q4892" s="1">
        <v>44342</v>
      </c>
    </row>
    <row r="4893" spans="1:17" x14ac:dyDescent="0.3">
      <c r="A4893" t="s">
        <v>49</v>
      </c>
      <c r="B4893" t="s">
        <v>29</v>
      </c>
      <c r="C4893" t="s">
        <v>30</v>
      </c>
      <c r="D4893" t="s">
        <v>46</v>
      </c>
      <c r="E4893" t="s">
        <v>15</v>
      </c>
      <c r="F4893" s="9">
        <v>0.03</v>
      </c>
      <c r="G4893" s="10">
        <v>18398</v>
      </c>
      <c r="H4893">
        <v>2.27</v>
      </c>
      <c r="I4893" s="5">
        <f>ROUND(Marketing[[#This Row],[Clicks]]*Marketing[[#This Row],[Conversion_Rate]],0)</f>
        <v>29</v>
      </c>
      <c r="J4893" s="12">
        <f>Marketing[[#This Row],[Campaign_Cost]]/Marketing[[#This Row],[Customers]]</f>
        <v>634.41379310344826</v>
      </c>
      <c r="K4893" t="s">
        <v>51</v>
      </c>
      <c r="L4893" t="s">
        <v>50</v>
      </c>
      <c r="M4893">
        <v>952</v>
      </c>
      <c r="N4893">
        <v>8254</v>
      </c>
      <c r="O4893">
        <v>9</v>
      </c>
      <c r="P4893" t="s">
        <v>34</v>
      </c>
      <c r="Q4893" s="1">
        <v>44343</v>
      </c>
    </row>
    <row r="4894" spans="1:17" x14ac:dyDescent="0.3">
      <c r="A4894" t="s">
        <v>49</v>
      </c>
      <c r="B4894" t="s">
        <v>45</v>
      </c>
      <c r="C4894" t="s">
        <v>16</v>
      </c>
      <c r="D4894" t="s">
        <v>40</v>
      </c>
      <c r="E4894" t="s">
        <v>18</v>
      </c>
      <c r="F4894" s="9">
        <v>0.12</v>
      </c>
      <c r="G4894" s="10">
        <v>18757</v>
      </c>
      <c r="H4894">
        <v>2.79</v>
      </c>
      <c r="I4894" s="5">
        <f>ROUND(Marketing[[#This Row],[Clicks]]*Marketing[[#This Row],[Conversion_Rate]],0)</f>
        <v>89</v>
      </c>
      <c r="J4894" s="12">
        <f>Marketing[[#This Row],[Campaign_Cost]]/Marketing[[#This Row],[Customers]]</f>
        <v>210.75280898876406</v>
      </c>
      <c r="K4894" t="s">
        <v>38</v>
      </c>
      <c r="L4894" t="s">
        <v>50</v>
      </c>
      <c r="M4894">
        <v>742</v>
      </c>
      <c r="N4894">
        <v>3200</v>
      </c>
      <c r="O4894">
        <v>10</v>
      </c>
      <c r="P4894" t="s">
        <v>44</v>
      </c>
      <c r="Q4894" s="1">
        <v>44344</v>
      </c>
    </row>
    <row r="4895" spans="1:17" x14ac:dyDescent="0.3">
      <c r="A4895" t="s">
        <v>35</v>
      </c>
      <c r="B4895" t="s">
        <v>47</v>
      </c>
      <c r="C4895" t="s">
        <v>30</v>
      </c>
      <c r="D4895" t="s">
        <v>40</v>
      </c>
      <c r="E4895" t="s">
        <v>48</v>
      </c>
      <c r="F4895" s="9">
        <v>0.03</v>
      </c>
      <c r="G4895" s="10">
        <v>14645</v>
      </c>
      <c r="H4895">
        <v>7.74</v>
      </c>
      <c r="I4895" s="5">
        <f>ROUND(Marketing[[#This Row],[Clicks]]*Marketing[[#This Row],[Conversion_Rate]],0)</f>
        <v>12</v>
      </c>
      <c r="J4895" s="12">
        <f>Marketing[[#This Row],[Campaign_Cost]]/Marketing[[#This Row],[Customers]]</f>
        <v>1220.4166666666667</v>
      </c>
      <c r="K4895" t="s">
        <v>19</v>
      </c>
      <c r="L4895" t="s">
        <v>26</v>
      </c>
      <c r="M4895">
        <v>392</v>
      </c>
      <c r="N4895">
        <v>6680</v>
      </c>
      <c r="O4895">
        <v>1</v>
      </c>
      <c r="P4895" t="s">
        <v>44</v>
      </c>
      <c r="Q4895" s="1">
        <v>44345</v>
      </c>
    </row>
    <row r="4896" spans="1:17" x14ac:dyDescent="0.3">
      <c r="A4896" t="s">
        <v>35</v>
      </c>
      <c r="B4896" t="s">
        <v>29</v>
      </c>
      <c r="C4896" t="s">
        <v>23</v>
      </c>
      <c r="D4896" t="s">
        <v>40</v>
      </c>
      <c r="E4896" t="s">
        <v>41</v>
      </c>
      <c r="F4896" s="9">
        <v>0.04</v>
      </c>
      <c r="G4896" s="10">
        <v>17566</v>
      </c>
      <c r="H4896">
        <v>5.65</v>
      </c>
      <c r="I4896" s="5">
        <f>ROUND(Marketing[[#This Row],[Clicks]]*Marketing[[#This Row],[Conversion_Rate]],0)</f>
        <v>7</v>
      </c>
      <c r="J4896" s="12">
        <f>Marketing[[#This Row],[Campaign_Cost]]/Marketing[[#This Row],[Customers]]</f>
        <v>2509.4285714285716</v>
      </c>
      <c r="K4896" t="s">
        <v>51</v>
      </c>
      <c r="L4896" t="s">
        <v>20</v>
      </c>
      <c r="M4896">
        <v>163</v>
      </c>
      <c r="N4896">
        <v>8225</v>
      </c>
      <c r="O4896">
        <v>1</v>
      </c>
      <c r="P4896" t="s">
        <v>27</v>
      </c>
      <c r="Q4896" s="1">
        <v>44346</v>
      </c>
    </row>
    <row r="4897" spans="1:17" x14ac:dyDescent="0.3">
      <c r="A4897" t="s">
        <v>35</v>
      </c>
      <c r="B4897" t="s">
        <v>47</v>
      </c>
      <c r="C4897" t="s">
        <v>23</v>
      </c>
      <c r="D4897" t="s">
        <v>46</v>
      </c>
      <c r="E4897" t="s">
        <v>43</v>
      </c>
      <c r="F4897" s="9">
        <v>0.08</v>
      </c>
      <c r="G4897" s="10">
        <v>7425</v>
      </c>
      <c r="H4897">
        <v>3.85</v>
      </c>
      <c r="I4897" s="5">
        <f>ROUND(Marketing[[#This Row],[Clicks]]*Marketing[[#This Row],[Conversion_Rate]],0)</f>
        <v>64</v>
      </c>
      <c r="J4897" s="12">
        <f>Marketing[[#This Row],[Campaign_Cost]]/Marketing[[#This Row],[Customers]]</f>
        <v>116.015625</v>
      </c>
      <c r="K4897" t="s">
        <v>51</v>
      </c>
      <c r="L4897" t="s">
        <v>26</v>
      </c>
      <c r="M4897">
        <v>805</v>
      </c>
      <c r="N4897">
        <v>9542</v>
      </c>
      <c r="O4897">
        <v>8</v>
      </c>
      <c r="P4897" t="s">
        <v>34</v>
      </c>
      <c r="Q4897" s="1">
        <v>44347</v>
      </c>
    </row>
    <row r="4898" spans="1:17" x14ac:dyDescent="0.3">
      <c r="A4898" t="s">
        <v>28</v>
      </c>
      <c r="B4898" t="s">
        <v>36</v>
      </c>
      <c r="C4898" t="s">
        <v>52</v>
      </c>
      <c r="D4898" t="s">
        <v>40</v>
      </c>
      <c r="E4898" t="s">
        <v>41</v>
      </c>
      <c r="F4898" s="9">
        <v>0.05</v>
      </c>
      <c r="G4898" s="10">
        <v>11773</v>
      </c>
      <c r="H4898">
        <v>5.19</v>
      </c>
      <c r="I4898" s="5">
        <f>ROUND(Marketing[[#This Row],[Clicks]]*Marketing[[#This Row],[Conversion_Rate]],0)</f>
        <v>23</v>
      </c>
      <c r="J4898" s="12">
        <f>Marketing[[#This Row],[Campaign_Cost]]/Marketing[[#This Row],[Customers]]</f>
        <v>511.86956521739131</v>
      </c>
      <c r="K4898" t="s">
        <v>19</v>
      </c>
      <c r="L4898" t="s">
        <v>50</v>
      </c>
      <c r="M4898">
        <v>456</v>
      </c>
      <c r="N4898">
        <v>1908</v>
      </c>
      <c r="O4898">
        <v>9</v>
      </c>
      <c r="P4898" t="s">
        <v>42</v>
      </c>
      <c r="Q4898" s="1">
        <v>44348</v>
      </c>
    </row>
    <row r="4899" spans="1:17" x14ac:dyDescent="0.3">
      <c r="A4899" t="s">
        <v>35</v>
      </c>
      <c r="B4899" t="s">
        <v>47</v>
      </c>
      <c r="C4899" t="s">
        <v>37</v>
      </c>
      <c r="D4899" t="s">
        <v>40</v>
      </c>
      <c r="E4899" t="s">
        <v>18</v>
      </c>
      <c r="F4899" s="9">
        <v>0.11</v>
      </c>
      <c r="G4899" s="10">
        <v>17973</v>
      </c>
      <c r="H4899">
        <v>5.83</v>
      </c>
      <c r="I4899" s="5">
        <f>ROUND(Marketing[[#This Row],[Clicks]]*Marketing[[#This Row],[Conversion_Rate]],0)</f>
        <v>103</v>
      </c>
      <c r="J4899" s="12">
        <f>Marketing[[#This Row],[Campaign_Cost]]/Marketing[[#This Row],[Customers]]</f>
        <v>174.49514563106797</v>
      </c>
      <c r="K4899" t="s">
        <v>32</v>
      </c>
      <c r="L4899" t="s">
        <v>50</v>
      </c>
      <c r="M4899">
        <v>932</v>
      </c>
      <c r="N4899">
        <v>4979</v>
      </c>
      <c r="O4899">
        <v>10</v>
      </c>
      <c r="P4899" t="s">
        <v>21</v>
      </c>
      <c r="Q4899" s="1">
        <v>44349</v>
      </c>
    </row>
    <row r="4900" spans="1:17" x14ac:dyDescent="0.3">
      <c r="A4900" t="s">
        <v>35</v>
      </c>
      <c r="B4900" t="s">
        <v>36</v>
      </c>
      <c r="C4900" t="s">
        <v>52</v>
      </c>
      <c r="D4900" t="s">
        <v>24</v>
      </c>
      <c r="E4900" t="s">
        <v>31</v>
      </c>
      <c r="F4900" s="9">
        <v>0.14000000000000001</v>
      </c>
      <c r="G4900" s="10">
        <v>6842</v>
      </c>
      <c r="H4900">
        <v>3.2</v>
      </c>
      <c r="I4900" s="5">
        <f>ROUND(Marketing[[#This Row],[Clicks]]*Marketing[[#This Row],[Conversion_Rate]],0)</f>
        <v>138</v>
      </c>
      <c r="J4900" s="12">
        <f>Marketing[[#This Row],[Campaign_Cost]]/Marketing[[#This Row],[Customers]]</f>
        <v>49.579710144927539</v>
      </c>
      <c r="K4900" t="s">
        <v>19</v>
      </c>
      <c r="L4900" t="s">
        <v>50</v>
      </c>
      <c r="M4900">
        <v>986</v>
      </c>
      <c r="N4900">
        <v>4674</v>
      </c>
      <c r="O4900">
        <v>5</v>
      </c>
      <c r="P4900" t="s">
        <v>27</v>
      </c>
      <c r="Q4900" s="1">
        <v>44350</v>
      </c>
    </row>
    <row r="4901" spans="1:17" x14ac:dyDescent="0.3">
      <c r="A4901" t="s">
        <v>22</v>
      </c>
      <c r="B4901" t="s">
        <v>47</v>
      </c>
      <c r="C4901" t="s">
        <v>16</v>
      </c>
      <c r="D4901" t="s">
        <v>46</v>
      </c>
      <c r="E4901" t="s">
        <v>41</v>
      </c>
      <c r="F4901" s="9">
        <v>0.14000000000000001</v>
      </c>
      <c r="G4901" s="10">
        <v>8784</v>
      </c>
      <c r="H4901">
        <v>7.56</v>
      </c>
      <c r="I4901" s="5">
        <f>ROUND(Marketing[[#This Row],[Clicks]]*Marketing[[#This Row],[Conversion_Rate]],0)</f>
        <v>122</v>
      </c>
      <c r="J4901" s="12">
        <f>Marketing[[#This Row],[Campaign_Cost]]/Marketing[[#This Row],[Customers]]</f>
        <v>72</v>
      </c>
      <c r="K4901" t="s">
        <v>25</v>
      </c>
      <c r="L4901" t="s">
        <v>26</v>
      </c>
      <c r="M4901">
        <v>871</v>
      </c>
      <c r="N4901">
        <v>7358</v>
      </c>
      <c r="O4901">
        <v>4</v>
      </c>
      <c r="P4901" t="s">
        <v>21</v>
      </c>
      <c r="Q4901" s="1">
        <v>44351</v>
      </c>
    </row>
    <row r="4902" spans="1:17" x14ac:dyDescent="0.3">
      <c r="A4902" t="s">
        <v>28</v>
      </c>
      <c r="B4902" t="s">
        <v>47</v>
      </c>
      <c r="C4902" t="s">
        <v>52</v>
      </c>
      <c r="D4902" t="s">
        <v>24</v>
      </c>
      <c r="E4902" t="s">
        <v>15</v>
      </c>
      <c r="F4902" s="9">
        <v>0.13</v>
      </c>
      <c r="G4902" s="10">
        <v>5435</v>
      </c>
      <c r="H4902">
        <v>5.1100000000000003</v>
      </c>
      <c r="I4902" s="5">
        <f>ROUND(Marketing[[#This Row],[Clicks]]*Marketing[[#This Row],[Conversion_Rate]],0)</f>
        <v>60</v>
      </c>
      <c r="J4902" s="12">
        <f>Marketing[[#This Row],[Campaign_Cost]]/Marketing[[#This Row],[Customers]]</f>
        <v>90.583333333333329</v>
      </c>
      <c r="K4902" t="s">
        <v>19</v>
      </c>
      <c r="L4902" t="s">
        <v>33</v>
      </c>
      <c r="M4902">
        <v>461</v>
      </c>
      <c r="N4902">
        <v>1161</v>
      </c>
      <c r="O4902">
        <v>7</v>
      </c>
      <c r="P4902" t="s">
        <v>42</v>
      </c>
      <c r="Q4902" s="1">
        <v>44352</v>
      </c>
    </row>
    <row r="4903" spans="1:17" x14ac:dyDescent="0.3">
      <c r="A4903" t="s">
        <v>49</v>
      </c>
      <c r="B4903" t="s">
        <v>36</v>
      </c>
      <c r="C4903" t="s">
        <v>16</v>
      </c>
      <c r="D4903" t="s">
        <v>46</v>
      </c>
      <c r="E4903" t="s">
        <v>43</v>
      </c>
      <c r="F4903" s="9">
        <v>0.02</v>
      </c>
      <c r="G4903" s="10">
        <v>15049</v>
      </c>
      <c r="H4903">
        <v>7.17</v>
      </c>
      <c r="I4903" s="5">
        <f>ROUND(Marketing[[#This Row],[Clicks]]*Marketing[[#This Row],[Conversion_Rate]],0)</f>
        <v>17</v>
      </c>
      <c r="J4903" s="12">
        <f>Marketing[[#This Row],[Campaign_Cost]]/Marketing[[#This Row],[Customers]]</f>
        <v>885.23529411764707</v>
      </c>
      <c r="K4903" t="s">
        <v>32</v>
      </c>
      <c r="L4903" t="s">
        <v>20</v>
      </c>
      <c r="M4903">
        <v>859</v>
      </c>
      <c r="N4903">
        <v>2296</v>
      </c>
      <c r="O4903">
        <v>8</v>
      </c>
      <c r="P4903" t="s">
        <v>34</v>
      </c>
      <c r="Q4903" s="1">
        <v>44353</v>
      </c>
    </row>
    <row r="4904" spans="1:17" x14ac:dyDescent="0.3">
      <c r="A4904" t="s">
        <v>14</v>
      </c>
      <c r="B4904" t="s">
        <v>36</v>
      </c>
      <c r="C4904" t="s">
        <v>37</v>
      </c>
      <c r="D4904" t="s">
        <v>46</v>
      </c>
      <c r="E4904" t="s">
        <v>48</v>
      </c>
      <c r="F4904" s="9">
        <v>0.06</v>
      </c>
      <c r="G4904" s="10">
        <v>5117</v>
      </c>
      <c r="H4904">
        <v>2.41</v>
      </c>
      <c r="I4904" s="5">
        <f>ROUND(Marketing[[#This Row],[Clicks]]*Marketing[[#This Row],[Conversion_Rate]],0)</f>
        <v>13</v>
      </c>
      <c r="J4904" s="12">
        <f>Marketing[[#This Row],[Campaign_Cost]]/Marketing[[#This Row],[Customers]]</f>
        <v>393.61538461538464</v>
      </c>
      <c r="K4904" t="s">
        <v>19</v>
      </c>
      <c r="L4904" t="s">
        <v>50</v>
      </c>
      <c r="M4904">
        <v>213</v>
      </c>
      <c r="N4904">
        <v>8266</v>
      </c>
      <c r="O4904">
        <v>6</v>
      </c>
      <c r="P4904" t="s">
        <v>21</v>
      </c>
      <c r="Q4904" s="1">
        <v>44354</v>
      </c>
    </row>
    <row r="4905" spans="1:17" x14ac:dyDescent="0.3">
      <c r="A4905" t="s">
        <v>28</v>
      </c>
      <c r="B4905" t="s">
        <v>29</v>
      </c>
      <c r="C4905" t="s">
        <v>52</v>
      </c>
      <c r="D4905" t="s">
        <v>46</v>
      </c>
      <c r="E4905" t="s">
        <v>18</v>
      </c>
      <c r="F4905" s="9">
        <v>7.0000000000000007E-2</v>
      </c>
      <c r="G4905" s="10">
        <v>8623</v>
      </c>
      <c r="H4905">
        <v>5.79</v>
      </c>
      <c r="I4905" s="5">
        <f>ROUND(Marketing[[#This Row],[Clicks]]*Marketing[[#This Row],[Conversion_Rate]],0)</f>
        <v>36</v>
      </c>
      <c r="J4905" s="12">
        <f>Marketing[[#This Row],[Campaign_Cost]]/Marketing[[#This Row],[Customers]]</f>
        <v>239.52777777777777</v>
      </c>
      <c r="K4905" t="s">
        <v>51</v>
      </c>
      <c r="L4905" t="s">
        <v>33</v>
      </c>
      <c r="M4905">
        <v>520</v>
      </c>
      <c r="N4905">
        <v>2297</v>
      </c>
      <c r="O4905">
        <v>8</v>
      </c>
      <c r="P4905" t="s">
        <v>21</v>
      </c>
      <c r="Q4905" s="1">
        <v>44355</v>
      </c>
    </row>
    <row r="4906" spans="1:17" x14ac:dyDescent="0.3">
      <c r="A4906" t="s">
        <v>49</v>
      </c>
      <c r="B4906" t="s">
        <v>36</v>
      </c>
      <c r="C4906" t="s">
        <v>16</v>
      </c>
      <c r="D4906" t="s">
        <v>40</v>
      </c>
      <c r="E4906" t="s">
        <v>43</v>
      </c>
      <c r="F4906" s="9">
        <v>0.1</v>
      </c>
      <c r="G4906" s="10">
        <v>14312</v>
      </c>
      <c r="H4906">
        <v>3.83</v>
      </c>
      <c r="I4906" s="5">
        <f>ROUND(Marketing[[#This Row],[Clicks]]*Marketing[[#This Row],[Conversion_Rate]],0)</f>
        <v>89</v>
      </c>
      <c r="J4906" s="12">
        <f>Marketing[[#This Row],[Campaign_Cost]]/Marketing[[#This Row],[Customers]]</f>
        <v>160.80898876404495</v>
      </c>
      <c r="K4906" t="s">
        <v>19</v>
      </c>
      <c r="L4906" t="s">
        <v>50</v>
      </c>
      <c r="M4906">
        <v>891</v>
      </c>
      <c r="N4906">
        <v>6628</v>
      </c>
      <c r="O4906">
        <v>6</v>
      </c>
      <c r="P4906" t="s">
        <v>44</v>
      </c>
      <c r="Q4906" s="1">
        <v>44356</v>
      </c>
    </row>
    <row r="4907" spans="1:17" x14ac:dyDescent="0.3">
      <c r="A4907" t="s">
        <v>28</v>
      </c>
      <c r="B4907" t="s">
        <v>29</v>
      </c>
      <c r="C4907" t="s">
        <v>37</v>
      </c>
      <c r="D4907" t="s">
        <v>46</v>
      </c>
      <c r="E4907" t="s">
        <v>31</v>
      </c>
      <c r="F4907" s="9">
        <v>0.02</v>
      </c>
      <c r="G4907" s="10">
        <v>6141</v>
      </c>
      <c r="H4907">
        <v>4.13</v>
      </c>
      <c r="I4907" s="5">
        <f>ROUND(Marketing[[#This Row],[Clicks]]*Marketing[[#This Row],[Conversion_Rate]],0)</f>
        <v>13</v>
      </c>
      <c r="J4907" s="12">
        <f>Marketing[[#This Row],[Campaign_Cost]]/Marketing[[#This Row],[Customers]]</f>
        <v>472.38461538461536</v>
      </c>
      <c r="K4907" t="s">
        <v>25</v>
      </c>
      <c r="L4907" t="s">
        <v>39</v>
      </c>
      <c r="M4907">
        <v>627</v>
      </c>
      <c r="N4907">
        <v>8324</v>
      </c>
      <c r="O4907">
        <v>9</v>
      </c>
      <c r="P4907" t="s">
        <v>34</v>
      </c>
      <c r="Q4907" s="1">
        <v>44357</v>
      </c>
    </row>
    <row r="4908" spans="1:17" x14ac:dyDescent="0.3">
      <c r="A4908" t="s">
        <v>35</v>
      </c>
      <c r="B4908" t="s">
        <v>29</v>
      </c>
      <c r="C4908" t="s">
        <v>23</v>
      </c>
      <c r="D4908" t="s">
        <v>24</v>
      </c>
      <c r="E4908" t="s">
        <v>18</v>
      </c>
      <c r="F4908" s="9">
        <v>0.12</v>
      </c>
      <c r="G4908" s="10">
        <v>9101</v>
      </c>
      <c r="H4908">
        <v>3.15</v>
      </c>
      <c r="I4908" s="5">
        <f>ROUND(Marketing[[#This Row],[Clicks]]*Marketing[[#This Row],[Conversion_Rate]],0)</f>
        <v>82</v>
      </c>
      <c r="J4908" s="12">
        <f>Marketing[[#This Row],[Campaign_Cost]]/Marketing[[#This Row],[Customers]]</f>
        <v>110.98780487804878</v>
      </c>
      <c r="K4908" t="s">
        <v>38</v>
      </c>
      <c r="L4908" t="s">
        <v>50</v>
      </c>
      <c r="M4908">
        <v>686</v>
      </c>
      <c r="N4908">
        <v>9452</v>
      </c>
      <c r="O4908">
        <v>2</v>
      </c>
      <c r="P4908" t="s">
        <v>34</v>
      </c>
      <c r="Q4908" s="1">
        <v>44358</v>
      </c>
    </row>
    <row r="4909" spans="1:17" x14ac:dyDescent="0.3">
      <c r="A4909" t="s">
        <v>28</v>
      </c>
      <c r="B4909" t="s">
        <v>36</v>
      </c>
      <c r="C4909" t="s">
        <v>23</v>
      </c>
      <c r="D4909" t="s">
        <v>46</v>
      </c>
      <c r="E4909" t="s">
        <v>15</v>
      </c>
      <c r="F4909" s="9">
        <v>0.13</v>
      </c>
      <c r="G4909" s="10">
        <v>7755</v>
      </c>
      <c r="H4909">
        <v>3.55</v>
      </c>
      <c r="I4909" s="5">
        <f>ROUND(Marketing[[#This Row],[Clicks]]*Marketing[[#This Row],[Conversion_Rate]],0)</f>
        <v>129</v>
      </c>
      <c r="J4909" s="12">
        <f>Marketing[[#This Row],[Campaign_Cost]]/Marketing[[#This Row],[Customers]]</f>
        <v>60.116279069767444</v>
      </c>
      <c r="K4909" t="s">
        <v>32</v>
      </c>
      <c r="L4909" t="s">
        <v>26</v>
      </c>
      <c r="M4909">
        <v>991</v>
      </c>
      <c r="N4909">
        <v>4960</v>
      </c>
      <c r="O4909">
        <v>7</v>
      </c>
      <c r="P4909" t="s">
        <v>44</v>
      </c>
      <c r="Q4909" s="1">
        <v>44359</v>
      </c>
    </row>
    <row r="4910" spans="1:17" x14ac:dyDescent="0.3">
      <c r="A4910" t="s">
        <v>14</v>
      </c>
      <c r="B4910" t="s">
        <v>15</v>
      </c>
      <c r="C4910" t="s">
        <v>16</v>
      </c>
      <c r="D4910" t="s">
        <v>24</v>
      </c>
      <c r="E4910" t="s">
        <v>31</v>
      </c>
      <c r="F4910" s="9">
        <v>0.15</v>
      </c>
      <c r="G4910" s="10">
        <v>12718</v>
      </c>
      <c r="H4910">
        <v>5.48</v>
      </c>
      <c r="I4910" s="5">
        <f>ROUND(Marketing[[#This Row],[Clicks]]*Marketing[[#This Row],[Conversion_Rate]],0)</f>
        <v>95</v>
      </c>
      <c r="J4910" s="12">
        <f>Marketing[[#This Row],[Campaign_Cost]]/Marketing[[#This Row],[Customers]]</f>
        <v>133.87368421052631</v>
      </c>
      <c r="K4910" t="s">
        <v>32</v>
      </c>
      <c r="L4910" t="s">
        <v>33</v>
      </c>
      <c r="M4910">
        <v>636</v>
      </c>
      <c r="N4910">
        <v>2084</v>
      </c>
      <c r="O4910">
        <v>4</v>
      </c>
      <c r="P4910" t="s">
        <v>27</v>
      </c>
      <c r="Q4910" s="1">
        <v>44360</v>
      </c>
    </row>
    <row r="4911" spans="1:17" x14ac:dyDescent="0.3">
      <c r="A4911" t="s">
        <v>14</v>
      </c>
      <c r="B4911" t="s">
        <v>15</v>
      </c>
      <c r="C4911" t="s">
        <v>30</v>
      </c>
      <c r="D4911" t="s">
        <v>46</v>
      </c>
      <c r="E4911" t="s">
        <v>43</v>
      </c>
      <c r="F4911" s="9">
        <v>0.09</v>
      </c>
      <c r="G4911" s="10">
        <v>14830</v>
      </c>
      <c r="H4911">
        <v>3.5</v>
      </c>
      <c r="I4911" s="5">
        <f>ROUND(Marketing[[#This Row],[Clicks]]*Marketing[[#This Row],[Conversion_Rate]],0)</f>
        <v>29</v>
      </c>
      <c r="J4911" s="12">
        <f>Marketing[[#This Row],[Campaign_Cost]]/Marketing[[#This Row],[Customers]]</f>
        <v>511.37931034482756</v>
      </c>
      <c r="K4911" t="s">
        <v>38</v>
      </c>
      <c r="L4911" t="s">
        <v>20</v>
      </c>
      <c r="M4911">
        <v>327</v>
      </c>
      <c r="N4911">
        <v>2071</v>
      </c>
      <c r="O4911">
        <v>5</v>
      </c>
      <c r="P4911" t="s">
        <v>34</v>
      </c>
      <c r="Q4911" s="1">
        <v>44361</v>
      </c>
    </row>
    <row r="4912" spans="1:17" x14ac:dyDescent="0.3">
      <c r="A4912" t="s">
        <v>14</v>
      </c>
      <c r="B4912" t="s">
        <v>45</v>
      </c>
      <c r="C4912" t="s">
        <v>16</v>
      </c>
      <c r="D4912" t="s">
        <v>40</v>
      </c>
      <c r="E4912" t="s">
        <v>43</v>
      </c>
      <c r="F4912" s="9">
        <v>0.08</v>
      </c>
      <c r="G4912" s="10">
        <v>18137</v>
      </c>
      <c r="H4912">
        <v>3.83</v>
      </c>
      <c r="I4912" s="5">
        <f>ROUND(Marketing[[#This Row],[Clicks]]*Marketing[[#This Row],[Conversion_Rate]],0)</f>
        <v>52</v>
      </c>
      <c r="J4912" s="12">
        <f>Marketing[[#This Row],[Campaign_Cost]]/Marketing[[#This Row],[Customers]]</f>
        <v>348.78846153846155</v>
      </c>
      <c r="K4912" t="s">
        <v>38</v>
      </c>
      <c r="L4912" t="s">
        <v>39</v>
      </c>
      <c r="M4912">
        <v>655</v>
      </c>
      <c r="N4912">
        <v>1852</v>
      </c>
      <c r="O4912">
        <v>8</v>
      </c>
      <c r="P4912" t="s">
        <v>44</v>
      </c>
      <c r="Q4912" s="1">
        <v>44362</v>
      </c>
    </row>
    <row r="4913" spans="1:17" x14ac:dyDescent="0.3">
      <c r="A4913" t="s">
        <v>14</v>
      </c>
      <c r="B4913" t="s">
        <v>47</v>
      </c>
      <c r="C4913" t="s">
        <v>37</v>
      </c>
      <c r="D4913" t="s">
        <v>46</v>
      </c>
      <c r="E4913" t="s">
        <v>18</v>
      </c>
      <c r="F4913" s="9">
        <v>0.11</v>
      </c>
      <c r="G4913" s="10">
        <v>5002</v>
      </c>
      <c r="H4913">
        <v>4.7</v>
      </c>
      <c r="I4913" s="5">
        <f>ROUND(Marketing[[#This Row],[Clicks]]*Marketing[[#This Row],[Conversion_Rate]],0)</f>
        <v>63</v>
      </c>
      <c r="J4913" s="12">
        <f>Marketing[[#This Row],[Campaign_Cost]]/Marketing[[#This Row],[Customers]]</f>
        <v>79.396825396825392</v>
      </c>
      <c r="K4913" t="s">
        <v>19</v>
      </c>
      <c r="L4913" t="s">
        <v>20</v>
      </c>
      <c r="M4913">
        <v>570</v>
      </c>
      <c r="N4913">
        <v>8222</v>
      </c>
      <c r="O4913">
        <v>9</v>
      </c>
      <c r="P4913" t="s">
        <v>42</v>
      </c>
      <c r="Q4913" s="1">
        <v>44363</v>
      </c>
    </row>
    <row r="4914" spans="1:17" x14ac:dyDescent="0.3">
      <c r="A4914" t="s">
        <v>22</v>
      </c>
      <c r="B4914" t="s">
        <v>36</v>
      </c>
      <c r="C4914" t="s">
        <v>30</v>
      </c>
      <c r="D4914" t="s">
        <v>24</v>
      </c>
      <c r="E4914" t="s">
        <v>18</v>
      </c>
      <c r="F4914" s="9">
        <v>0.06</v>
      </c>
      <c r="G4914" s="10">
        <v>6709</v>
      </c>
      <c r="H4914">
        <v>2.1</v>
      </c>
      <c r="I4914" s="5">
        <f>ROUND(Marketing[[#This Row],[Clicks]]*Marketing[[#This Row],[Conversion_Rate]],0)</f>
        <v>56</v>
      </c>
      <c r="J4914" s="12">
        <f>Marketing[[#This Row],[Campaign_Cost]]/Marketing[[#This Row],[Customers]]</f>
        <v>119.80357142857143</v>
      </c>
      <c r="K4914" t="s">
        <v>25</v>
      </c>
      <c r="L4914" t="s">
        <v>26</v>
      </c>
      <c r="M4914">
        <v>941</v>
      </c>
      <c r="N4914">
        <v>9175</v>
      </c>
      <c r="O4914">
        <v>10</v>
      </c>
      <c r="P4914" t="s">
        <v>21</v>
      </c>
      <c r="Q4914" s="1">
        <v>44364</v>
      </c>
    </row>
    <row r="4915" spans="1:17" x14ac:dyDescent="0.3">
      <c r="A4915" t="s">
        <v>22</v>
      </c>
      <c r="B4915" t="s">
        <v>47</v>
      </c>
      <c r="C4915" t="s">
        <v>23</v>
      </c>
      <c r="D4915" t="s">
        <v>40</v>
      </c>
      <c r="E4915" t="s">
        <v>15</v>
      </c>
      <c r="F4915" s="9">
        <v>0.14000000000000001</v>
      </c>
      <c r="G4915" s="10">
        <v>15649</v>
      </c>
      <c r="H4915">
        <v>3.65</v>
      </c>
      <c r="I4915" s="5">
        <f>ROUND(Marketing[[#This Row],[Clicks]]*Marketing[[#This Row],[Conversion_Rate]],0)</f>
        <v>75</v>
      </c>
      <c r="J4915" s="12">
        <f>Marketing[[#This Row],[Campaign_Cost]]/Marketing[[#This Row],[Customers]]</f>
        <v>208.65333333333334</v>
      </c>
      <c r="K4915" t="s">
        <v>51</v>
      </c>
      <c r="L4915" t="s">
        <v>50</v>
      </c>
      <c r="M4915">
        <v>533</v>
      </c>
      <c r="N4915">
        <v>5442</v>
      </c>
      <c r="O4915">
        <v>4</v>
      </c>
      <c r="P4915" t="s">
        <v>34</v>
      </c>
      <c r="Q4915" s="1">
        <v>44365</v>
      </c>
    </row>
    <row r="4916" spans="1:17" x14ac:dyDescent="0.3">
      <c r="A4916" t="s">
        <v>22</v>
      </c>
      <c r="B4916" t="s">
        <v>47</v>
      </c>
      <c r="C4916" t="s">
        <v>16</v>
      </c>
      <c r="D4916" t="s">
        <v>46</v>
      </c>
      <c r="E4916" t="s">
        <v>48</v>
      </c>
      <c r="F4916" s="9">
        <v>0.1</v>
      </c>
      <c r="G4916" s="10">
        <v>11899</v>
      </c>
      <c r="H4916">
        <v>6.35</v>
      </c>
      <c r="I4916" s="5">
        <f>ROUND(Marketing[[#This Row],[Clicks]]*Marketing[[#This Row],[Conversion_Rate]],0)</f>
        <v>45</v>
      </c>
      <c r="J4916" s="12">
        <f>Marketing[[#This Row],[Campaign_Cost]]/Marketing[[#This Row],[Customers]]</f>
        <v>264.42222222222222</v>
      </c>
      <c r="K4916" t="s">
        <v>51</v>
      </c>
      <c r="L4916" t="s">
        <v>33</v>
      </c>
      <c r="M4916">
        <v>448</v>
      </c>
      <c r="N4916">
        <v>6923</v>
      </c>
      <c r="O4916">
        <v>10</v>
      </c>
      <c r="P4916" t="s">
        <v>42</v>
      </c>
      <c r="Q4916" s="1">
        <v>44366</v>
      </c>
    </row>
    <row r="4917" spans="1:17" x14ac:dyDescent="0.3">
      <c r="A4917" t="s">
        <v>14</v>
      </c>
      <c r="B4917" t="s">
        <v>36</v>
      </c>
      <c r="C4917" t="s">
        <v>23</v>
      </c>
      <c r="D4917" t="s">
        <v>17</v>
      </c>
      <c r="E4917" t="s">
        <v>43</v>
      </c>
      <c r="F4917" s="9">
        <v>0.02</v>
      </c>
      <c r="G4917" s="10">
        <v>13282</v>
      </c>
      <c r="H4917">
        <v>7.77</v>
      </c>
      <c r="I4917" s="5">
        <f>ROUND(Marketing[[#This Row],[Clicks]]*Marketing[[#This Row],[Conversion_Rate]],0)</f>
        <v>15</v>
      </c>
      <c r="J4917" s="12">
        <f>Marketing[[#This Row],[Campaign_Cost]]/Marketing[[#This Row],[Customers]]</f>
        <v>885.4666666666667</v>
      </c>
      <c r="K4917" t="s">
        <v>25</v>
      </c>
      <c r="L4917" t="s">
        <v>39</v>
      </c>
      <c r="M4917">
        <v>729</v>
      </c>
      <c r="N4917">
        <v>3610</v>
      </c>
      <c r="O4917">
        <v>9</v>
      </c>
      <c r="P4917" t="s">
        <v>27</v>
      </c>
      <c r="Q4917" s="1">
        <v>44367</v>
      </c>
    </row>
    <row r="4918" spans="1:17" x14ac:dyDescent="0.3">
      <c r="A4918" t="s">
        <v>14</v>
      </c>
      <c r="B4918" t="s">
        <v>15</v>
      </c>
      <c r="C4918" t="s">
        <v>52</v>
      </c>
      <c r="D4918" t="s">
        <v>40</v>
      </c>
      <c r="E4918" t="s">
        <v>48</v>
      </c>
      <c r="F4918" s="9">
        <v>0.1</v>
      </c>
      <c r="G4918" s="10">
        <v>9979</v>
      </c>
      <c r="H4918">
        <v>6.43</v>
      </c>
      <c r="I4918" s="5">
        <f>ROUND(Marketing[[#This Row],[Clicks]]*Marketing[[#This Row],[Conversion_Rate]],0)</f>
        <v>37</v>
      </c>
      <c r="J4918" s="12">
        <f>Marketing[[#This Row],[Campaign_Cost]]/Marketing[[#This Row],[Customers]]</f>
        <v>269.70270270270271</v>
      </c>
      <c r="K4918" t="s">
        <v>25</v>
      </c>
      <c r="L4918" t="s">
        <v>20</v>
      </c>
      <c r="M4918">
        <v>365</v>
      </c>
      <c r="N4918">
        <v>4718</v>
      </c>
      <c r="O4918">
        <v>10</v>
      </c>
      <c r="P4918" t="s">
        <v>27</v>
      </c>
      <c r="Q4918" s="1">
        <v>44368</v>
      </c>
    </row>
    <row r="4919" spans="1:17" x14ac:dyDescent="0.3">
      <c r="A4919" t="s">
        <v>14</v>
      </c>
      <c r="B4919" t="s">
        <v>47</v>
      </c>
      <c r="C4919" t="s">
        <v>52</v>
      </c>
      <c r="D4919" t="s">
        <v>40</v>
      </c>
      <c r="E4919" t="s">
        <v>31</v>
      </c>
      <c r="F4919" s="9">
        <v>0.03</v>
      </c>
      <c r="G4919" s="10">
        <v>13244</v>
      </c>
      <c r="H4919">
        <v>5.31</v>
      </c>
      <c r="I4919" s="5">
        <f>ROUND(Marketing[[#This Row],[Clicks]]*Marketing[[#This Row],[Conversion_Rate]],0)</f>
        <v>18</v>
      </c>
      <c r="J4919" s="12">
        <f>Marketing[[#This Row],[Campaign_Cost]]/Marketing[[#This Row],[Customers]]</f>
        <v>735.77777777777783</v>
      </c>
      <c r="K4919" t="s">
        <v>19</v>
      </c>
      <c r="L4919" t="s">
        <v>39</v>
      </c>
      <c r="M4919">
        <v>610</v>
      </c>
      <c r="N4919">
        <v>9877</v>
      </c>
      <c r="O4919">
        <v>5</v>
      </c>
      <c r="P4919" t="s">
        <v>21</v>
      </c>
      <c r="Q4919" s="1">
        <v>44369</v>
      </c>
    </row>
    <row r="4920" spans="1:17" x14ac:dyDescent="0.3">
      <c r="A4920" t="s">
        <v>49</v>
      </c>
      <c r="B4920" t="s">
        <v>15</v>
      </c>
      <c r="C4920" t="s">
        <v>52</v>
      </c>
      <c r="D4920" t="s">
        <v>24</v>
      </c>
      <c r="E4920" t="s">
        <v>43</v>
      </c>
      <c r="F4920" s="9">
        <v>0.09</v>
      </c>
      <c r="G4920" s="10">
        <v>17035</v>
      </c>
      <c r="H4920">
        <v>2.6</v>
      </c>
      <c r="I4920" s="5">
        <f>ROUND(Marketing[[#This Row],[Clicks]]*Marketing[[#This Row],[Conversion_Rate]],0)</f>
        <v>31</v>
      </c>
      <c r="J4920" s="12">
        <f>Marketing[[#This Row],[Campaign_Cost]]/Marketing[[#This Row],[Customers]]</f>
        <v>549.51612903225805</v>
      </c>
      <c r="K4920" t="s">
        <v>25</v>
      </c>
      <c r="L4920" t="s">
        <v>39</v>
      </c>
      <c r="M4920">
        <v>342</v>
      </c>
      <c r="N4920">
        <v>9930</v>
      </c>
      <c r="O4920">
        <v>6</v>
      </c>
      <c r="P4920" t="s">
        <v>27</v>
      </c>
      <c r="Q4920" s="1">
        <v>44370</v>
      </c>
    </row>
    <row r="4921" spans="1:17" x14ac:dyDescent="0.3">
      <c r="A4921" t="s">
        <v>22</v>
      </c>
      <c r="B4921" t="s">
        <v>45</v>
      </c>
      <c r="C4921" t="s">
        <v>23</v>
      </c>
      <c r="D4921" t="s">
        <v>24</v>
      </c>
      <c r="E4921" t="s">
        <v>18</v>
      </c>
      <c r="F4921" s="9">
        <v>0.02</v>
      </c>
      <c r="G4921" s="10">
        <v>16683</v>
      </c>
      <c r="H4921">
        <v>5.64</v>
      </c>
      <c r="I4921" s="5">
        <f>ROUND(Marketing[[#This Row],[Clicks]]*Marketing[[#This Row],[Conversion_Rate]],0)</f>
        <v>6</v>
      </c>
      <c r="J4921" s="12">
        <f>Marketing[[#This Row],[Campaign_Cost]]/Marketing[[#This Row],[Customers]]</f>
        <v>2780.5</v>
      </c>
      <c r="K4921" t="s">
        <v>19</v>
      </c>
      <c r="L4921" t="s">
        <v>26</v>
      </c>
      <c r="M4921">
        <v>286</v>
      </c>
      <c r="N4921">
        <v>7020</v>
      </c>
      <c r="O4921">
        <v>5</v>
      </c>
      <c r="P4921" t="s">
        <v>27</v>
      </c>
      <c r="Q4921" s="1">
        <v>44371</v>
      </c>
    </row>
    <row r="4922" spans="1:17" x14ac:dyDescent="0.3">
      <c r="A4922" t="s">
        <v>49</v>
      </c>
      <c r="B4922" t="s">
        <v>47</v>
      </c>
      <c r="C4922" t="s">
        <v>30</v>
      </c>
      <c r="D4922" t="s">
        <v>46</v>
      </c>
      <c r="E4922" t="s">
        <v>15</v>
      </c>
      <c r="F4922" s="9">
        <v>0.15</v>
      </c>
      <c r="G4922" s="10">
        <v>19321</v>
      </c>
      <c r="H4922">
        <v>7.78</v>
      </c>
      <c r="I4922" s="5">
        <f>ROUND(Marketing[[#This Row],[Clicks]]*Marketing[[#This Row],[Conversion_Rate]],0)</f>
        <v>120</v>
      </c>
      <c r="J4922" s="12">
        <f>Marketing[[#This Row],[Campaign_Cost]]/Marketing[[#This Row],[Customers]]</f>
        <v>161.00833333333333</v>
      </c>
      <c r="K4922" t="s">
        <v>25</v>
      </c>
      <c r="L4922" t="s">
        <v>20</v>
      </c>
      <c r="M4922">
        <v>797</v>
      </c>
      <c r="N4922">
        <v>4553</v>
      </c>
      <c r="O4922">
        <v>7</v>
      </c>
      <c r="P4922" t="s">
        <v>34</v>
      </c>
      <c r="Q4922" s="1">
        <v>44372</v>
      </c>
    </row>
    <row r="4923" spans="1:17" x14ac:dyDescent="0.3">
      <c r="A4923" t="s">
        <v>35</v>
      </c>
      <c r="B4923" t="s">
        <v>47</v>
      </c>
      <c r="C4923" t="s">
        <v>52</v>
      </c>
      <c r="D4923" t="s">
        <v>46</v>
      </c>
      <c r="E4923" t="s">
        <v>18</v>
      </c>
      <c r="F4923" s="9">
        <v>0.03</v>
      </c>
      <c r="G4923" s="10">
        <v>10282</v>
      </c>
      <c r="H4923">
        <v>4.71</v>
      </c>
      <c r="I4923" s="5">
        <f>ROUND(Marketing[[#This Row],[Clicks]]*Marketing[[#This Row],[Conversion_Rate]],0)</f>
        <v>7</v>
      </c>
      <c r="J4923" s="12">
        <f>Marketing[[#This Row],[Campaign_Cost]]/Marketing[[#This Row],[Customers]]</f>
        <v>1468.8571428571429</v>
      </c>
      <c r="K4923" t="s">
        <v>32</v>
      </c>
      <c r="L4923" t="s">
        <v>20</v>
      </c>
      <c r="M4923">
        <v>236</v>
      </c>
      <c r="N4923">
        <v>1998</v>
      </c>
      <c r="O4923">
        <v>10</v>
      </c>
      <c r="P4923" t="s">
        <v>44</v>
      </c>
      <c r="Q4923" s="1">
        <v>44373</v>
      </c>
    </row>
    <row r="4924" spans="1:17" x14ac:dyDescent="0.3">
      <c r="A4924" t="s">
        <v>49</v>
      </c>
      <c r="B4924" t="s">
        <v>45</v>
      </c>
      <c r="C4924" t="s">
        <v>23</v>
      </c>
      <c r="D4924" t="s">
        <v>17</v>
      </c>
      <c r="E4924" t="s">
        <v>15</v>
      </c>
      <c r="F4924" s="9">
        <v>0.06</v>
      </c>
      <c r="G4924" s="10">
        <v>19127</v>
      </c>
      <c r="H4924">
        <v>6.39</v>
      </c>
      <c r="I4924" s="5">
        <f>ROUND(Marketing[[#This Row],[Clicks]]*Marketing[[#This Row],[Conversion_Rate]],0)</f>
        <v>22</v>
      </c>
      <c r="J4924" s="12">
        <f>Marketing[[#This Row],[Campaign_Cost]]/Marketing[[#This Row],[Customers]]</f>
        <v>869.40909090909088</v>
      </c>
      <c r="K4924" t="s">
        <v>25</v>
      </c>
      <c r="L4924" t="s">
        <v>39</v>
      </c>
      <c r="M4924">
        <v>369</v>
      </c>
      <c r="N4924">
        <v>7693</v>
      </c>
      <c r="O4924">
        <v>5</v>
      </c>
      <c r="P4924" t="s">
        <v>44</v>
      </c>
      <c r="Q4924" s="1">
        <v>44374</v>
      </c>
    </row>
    <row r="4925" spans="1:17" x14ac:dyDescent="0.3">
      <c r="A4925" t="s">
        <v>49</v>
      </c>
      <c r="B4925" t="s">
        <v>36</v>
      </c>
      <c r="C4925" t="s">
        <v>30</v>
      </c>
      <c r="D4925" t="s">
        <v>40</v>
      </c>
      <c r="E4925" t="s">
        <v>48</v>
      </c>
      <c r="F4925" s="9">
        <v>0.08</v>
      </c>
      <c r="G4925" s="10">
        <v>5194</v>
      </c>
      <c r="H4925">
        <v>2.62</v>
      </c>
      <c r="I4925" s="5">
        <f>ROUND(Marketing[[#This Row],[Clicks]]*Marketing[[#This Row],[Conversion_Rate]],0)</f>
        <v>51</v>
      </c>
      <c r="J4925" s="12">
        <f>Marketing[[#This Row],[Campaign_Cost]]/Marketing[[#This Row],[Customers]]</f>
        <v>101.84313725490196</v>
      </c>
      <c r="K4925" t="s">
        <v>25</v>
      </c>
      <c r="L4925" t="s">
        <v>50</v>
      </c>
      <c r="M4925">
        <v>638</v>
      </c>
      <c r="N4925">
        <v>3660</v>
      </c>
      <c r="O4925">
        <v>7</v>
      </c>
      <c r="P4925" t="s">
        <v>44</v>
      </c>
      <c r="Q4925" s="1">
        <v>44375</v>
      </c>
    </row>
    <row r="4926" spans="1:17" x14ac:dyDescent="0.3">
      <c r="A4926" t="s">
        <v>35</v>
      </c>
      <c r="B4926" t="s">
        <v>47</v>
      </c>
      <c r="C4926" t="s">
        <v>23</v>
      </c>
      <c r="D4926" t="s">
        <v>40</v>
      </c>
      <c r="E4926" t="s">
        <v>31</v>
      </c>
      <c r="F4926" s="9">
        <v>0.11</v>
      </c>
      <c r="G4926" s="10">
        <v>16620</v>
      </c>
      <c r="H4926">
        <v>4.7300000000000004</v>
      </c>
      <c r="I4926" s="5">
        <f>ROUND(Marketing[[#This Row],[Clicks]]*Marketing[[#This Row],[Conversion_Rate]],0)</f>
        <v>39</v>
      </c>
      <c r="J4926" s="12">
        <f>Marketing[[#This Row],[Campaign_Cost]]/Marketing[[#This Row],[Customers]]</f>
        <v>426.15384615384613</v>
      </c>
      <c r="K4926" t="s">
        <v>25</v>
      </c>
      <c r="L4926" t="s">
        <v>33</v>
      </c>
      <c r="M4926">
        <v>352</v>
      </c>
      <c r="N4926">
        <v>8243</v>
      </c>
      <c r="O4926">
        <v>3</v>
      </c>
      <c r="P4926" t="s">
        <v>34</v>
      </c>
      <c r="Q4926" s="1">
        <v>44376</v>
      </c>
    </row>
    <row r="4927" spans="1:17" x14ac:dyDescent="0.3">
      <c r="A4927" t="s">
        <v>22</v>
      </c>
      <c r="B4927" t="s">
        <v>45</v>
      </c>
      <c r="C4927" t="s">
        <v>16</v>
      </c>
      <c r="D4927" t="s">
        <v>40</v>
      </c>
      <c r="E4927" t="s">
        <v>15</v>
      </c>
      <c r="F4927" s="9">
        <v>0.05</v>
      </c>
      <c r="G4927" s="10">
        <v>13485</v>
      </c>
      <c r="H4927">
        <v>3.33</v>
      </c>
      <c r="I4927" s="5">
        <f>ROUND(Marketing[[#This Row],[Clicks]]*Marketing[[#This Row],[Conversion_Rate]],0)</f>
        <v>38</v>
      </c>
      <c r="J4927" s="12">
        <f>Marketing[[#This Row],[Campaign_Cost]]/Marketing[[#This Row],[Customers]]</f>
        <v>354.86842105263156</v>
      </c>
      <c r="K4927" t="s">
        <v>25</v>
      </c>
      <c r="L4927" t="s">
        <v>26</v>
      </c>
      <c r="M4927">
        <v>761</v>
      </c>
      <c r="N4927">
        <v>1584</v>
      </c>
      <c r="O4927">
        <v>5</v>
      </c>
      <c r="P4927" t="s">
        <v>44</v>
      </c>
      <c r="Q4927" s="1">
        <v>44377</v>
      </c>
    </row>
    <row r="4928" spans="1:17" x14ac:dyDescent="0.3">
      <c r="A4928" t="s">
        <v>35</v>
      </c>
      <c r="B4928" t="s">
        <v>47</v>
      </c>
      <c r="C4928" t="s">
        <v>23</v>
      </c>
      <c r="D4928" t="s">
        <v>17</v>
      </c>
      <c r="E4928" t="s">
        <v>41</v>
      </c>
      <c r="F4928" s="9">
        <v>0.08</v>
      </c>
      <c r="G4928" s="10">
        <v>8239</v>
      </c>
      <c r="H4928">
        <v>3.49</v>
      </c>
      <c r="I4928" s="5">
        <f>ROUND(Marketing[[#This Row],[Clicks]]*Marketing[[#This Row],[Conversion_Rate]],0)</f>
        <v>76</v>
      </c>
      <c r="J4928" s="12">
        <f>Marketing[[#This Row],[Campaign_Cost]]/Marketing[[#This Row],[Customers]]</f>
        <v>108.40789473684211</v>
      </c>
      <c r="K4928" t="s">
        <v>19</v>
      </c>
      <c r="L4928" t="s">
        <v>39</v>
      </c>
      <c r="M4928">
        <v>951</v>
      </c>
      <c r="N4928">
        <v>6168</v>
      </c>
      <c r="O4928">
        <v>3</v>
      </c>
      <c r="P4928" t="s">
        <v>34</v>
      </c>
      <c r="Q4928" s="1">
        <v>44378</v>
      </c>
    </row>
    <row r="4929" spans="1:17" x14ac:dyDescent="0.3">
      <c r="A4929" t="s">
        <v>35</v>
      </c>
      <c r="B4929" t="s">
        <v>29</v>
      </c>
      <c r="C4929" t="s">
        <v>37</v>
      </c>
      <c r="D4929" t="s">
        <v>17</v>
      </c>
      <c r="E4929" t="s">
        <v>31</v>
      </c>
      <c r="F4929" s="9">
        <v>0.14000000000000001</v>
      </c>
      <c r="G4929" s="10">
        <v>7101</v>
      </c>
      <c r="H4929">
        <v>4.2</v>
      </c>
      <c r="I4929" s="5">
        <f>ROUND(Marketing[[#This Row],[Clicks]]*Marketing[[#This Row],[Conversion_Rate]],0)</f>
        <v>38</v>
      </c>
      <c r="J4929" s="12">
        <f>Marketing[[#This Row],[Campaign_Cost]]/Marketing[[#This Row],[Customers]]</f>
        <v>186.86842105263159</v>
      </c>
      <c r="K4929" t="s">
        <v>51</v>
      </c>
      <c r="L4929" t="s">
        <v>39</v>
      </c>
      <c r="M4929">
        <v>273</v>
      </c>
      <c r="N4929">
        <v>7543</v>
      </c>
      <c r="O4929">
        <v>3</v>
      </c>
      <c r="P4929" t="s">
        <v>27</v>
      </c>
      <c r="Q4929" s="1">
        <v>44379</v>
      </c>
    </row>
    <row r="4930" spans="1:17" x14ac:dyDescent="0.3">
      <c r="A4930" t="s">
        <v>35</v>
      </c>
      <c r="B4930" t="s">
        <v>15</v>
      </c>
      <c r="C4930" t="s">
        <v>37</v>
      </c>
      <c r="D4930" t="s">
        <v>40</v>
      </c>
      <c r="E4930" t="s">
        <v>31</v>
      </c>
      <c r="F4930" s="9">
        <v>0.13</v>
      </c>
      <c r="G4930" s="10">
        <v>15727</v>
      </c>
      <c r="H4930">
        <v>7.35</v>
      </c>
      <c r="I4930" s="5">
        <f>ROUND(Marketing[[#This Row],[Clicks]]*Marketing[[#This Row],[Conversion_Rate]],0)</f>
        <v>93</v>
      </c>
      <c r="J4930" s="12">
        <f>Marketing[[#This Row],[Campaign_Cost]]/Marketing[[#This Row],[Customers]]</f>
        <v>169.10752688172042</v>
      </c>
      <c r="K4930" t="s">
        <v>38</v>
      </c>
      <c r="L4930" t="s">
        <v>50</v>
      </c>
      <c r="M4930">
        <v>717</v>
      </c>
      <c r="N4930">
        <v>5702</v>
      </c>
      <c r="O4930">
        <v>8</v>
      </c>
      <c r="P4930" t="s">
        <v>34</v>
      </c>
      <c r="Q4930" s="1">
        <v>44380</v>
      </c>
    </row>
    <row r="4931" spans="1:17" x14ac:dyDescent="0.3">
      <c r="A4931" t="s">
        <v>28</v>
      </c>
      <c r="B4931" t="s">
        <v>45</v>
      </c>
      <c r="C4931" t="s">
        <v>23</v>
      </c>
      <c r="D4931" t="s">
        <v>24</v>
      </c>
      <c r="E4931" t="s">
        <v>43</v>
      </c>
      <c r="F4931" s="9">
        <v>0.11</v>
      </c>
      <c r="G4931" s="10">
        <v>15409</v>
      </c>
      <c r="H4931">
        <v>7.26</v>
      </c>
      <c r="I4931" s="5">
        <f>ROUND(Marketing[[#This Row],[Clicks]]*Marketing[[#This Row],[Conversion_Rate]],0)</f>
        <v>109</v>
      </c>
      <c r="J4931" s="12">
        <f>Marketing[[#This Row],[Campaign_Cost]]/Marketing[[#This Row],[Customers]]</f>
        <v>141.36697247706422</v>
      </c>
      <c r="K4931" t="s">
        <v>19</v>
      </c>
      <c r="L4931" t="s">
        <v>20</v>
      </c>
      <c r="M4931">
        <v>995</v>
      </c>
      <c r="N4931">
        <v>4286</v>
      </c>
      <c r="O4931">
        <v>4</v>
      </c>
      <c r="P4931" t="s">
        <v>21</v>
      </c>
      <c r="Q4931" s="1">
        <v>44381</v>
      </c>
    </row>
    <row r="4932" spans="1:17" x14ac:dyDescent="0.3">
      <c r="A4932" t="s">
        <v>22</v>
      </c>
      <c r="B4932" t="s">
        <v>47</v>
      </c>
      <c r="C4932" t="s">
        <v>23</v>
      </c>
      <c r="D4932" t="s">
        <v>40</v>
      </c>
      <c r="E4932" t="s">
        <v>41</v>
      </c>
      <c r="F4932" s="9">
        <v>0.08</v>
      </c>
      <c r="G4932" s="10">
        <v>9692</v>
      </c>
      <c r="H4932">
        <v>2.5299999999999998</v>
      </c>
      <c r="I4932" s="5">
        <f>ROUND(Marketing[[#This Row],[Clicks]]*Marketing[[#This Row],[Conversion_Rate]],0)</f>
        <v>12</v>
      </c>
      <c r="J4932" s="12">
        <f>Marketing[[#This Row],[Campaign_Cost]]/Marketing[[#This Row],[Customers]]</f>
        <v>807.66666666666663</v>
      </c>
      <c r="K4932" t="s">
        <v>38</v>
      </c>
      <c r="L4932" t="s">
        <v>50</v>
      </c>
      <c r="M4932">
        <v>152</v>
      </c>
      <c r="N4932">
        <v>7907</v>
      </c>
      <c r="O4932">
        <v>10</v>
      </c>
      <c r="P4932" t="s">
        <v>44</v>
      </c>
      <c r="Q4932" s="1">
        <v>44382</v>
      </c>
    </row>
    <row r="4933" spans="1:17" x14ac:dyDescent="0.3">
      <c r="A4933" t="s">
        <v>14</v>
      </c>
      <c r="B4933" t="s">
        <v>45</v>
      </c>
      <c r="C4933" t="s">
        <v>30</v>
      </c>
      <c r="D4933" t="s">
        <v>40</v>
      </c>
      <c r="E4933" t="s">
        <v>31</v>
      </c>
      <c r="F4933" s="9">
        <v>0.12</v>
      </c>
      <c r="G4933" s="10">
        <v>10941</v>
      </c>
      <c r="H4933">
        <v>6.54</v>
      </c>
      <c r="I4933" s="5">
        <f>ROUND(Marketing[[#This Row],[Clicks]]*Marketing[[#This Row],[Conversion_Rate]],0)</f>
        <v>22</v>
      </c>
      <c r="J4933" s="12">
        <f>Marketing[[#This Row],[Campaign_Cost]]/Marketing[[#This Row],[Customers]]</f>
        <v>497.31818181818181</v>
      </c>
      <c r="K4933" t="s">
        <v>19</v>
      </c>
      <c r="L4933" t="s">
        <v>20</v>
      </c>
      <c r="M4933">
        <v>187</v>
      </c>
      <c r="N4933">
        <v>7094</v>
      </c>
      <c r="O4933">
        <v>5</v>
      </c>
      <c r="P4933" t="s">
        <v>44</v>
      </c>
      <c r="Q4933" s="1">
        <v>44383</v>
      </c>
    </row>
    <row r="4934" spans="1:17" x14ac:dyDescent="0.3">
      <c r="A4934" t="s">
        <v>22</v>
      </c>
      <c r="B4934" t="s">
        <v>29</v>
      </c>
      <c r="C4934" t="s">
        <v>52</v>
      </c>
      <c r="D4934" t="s">
        <v>24</v>
      </c>
      <c r="E4934" t="s">
        <v>48</v>
      </c>
      <c r="F4934" s="9">
        <v>0.13</v>
      </c>
      <c r="G4934" s="10">
        <v>14466</v>
      </c>
      <c r="H4934">
        <v>4.62</v>
      </c>
      <c r="I4934" s="5">
        <f>ROUND(Marketing[[#This Row],[Clicks]]*Marketing[[#This Row],[Conversion_Rate]],0)</f>
        <v>77</v>
      </c>
      <c r="J4934" s="12">
        <f>Marketing[[#This Row],[Campaign_Cost]]/Marketing[[#This Row],[Customers]]</f>
        <v>187.87012987012986</v>
      </c>
      <c r="K4934" t="s">
        <v>32</v>
      </c>
      <c r="L4934" t="s">
        <v>20</v>
      </c>
      <c r="M4934">
        <v>595</v>
      </c>
      <c r="N4934">
        <v>2401</v>
      </c>
      <c r="O4934">
        <v>3</v>
      </c>
      <c r="P4934" t="s">
        <v>21</v>
      </c>
      <c r="Q4934" s="1">
        <v>44384</v>
      </c>
    </row>
    <row r="4935" spans="1:17" x14ac:dyDescent="0.3">
      <c r="A4935" t="s">
        <v>28</v>
      </c>
      <c r="B4935" t="s">
        <v>15</v>
      </c>
      <c r="C4935" t="s">
        <v>30</v>
      </c>
      <c r="D4935" t="s">
        <v>40</v>
      </c>
      <c r="E4935" t="s">
        <v>18</v>
      </c>
      <c r="F4935" s="9">
        <v>0.06</v>
      </c>
      <c r="G4935" s="10">
        <v>14076</v>
      </c>
      <c r="H4935">
        <v>2.06</v>
      </c>
      <c r="I4935" s="5">
        <f>ROUND(Marketing[[#This Row],[Clicks]]*Marketing[[#This Row],[Conversion_Rate]],0)</f>
        <v>20</v>
      </c>
      <c r="J4935" s="12">
        <f>Marketing[[#This Row],[Campaign_Cost]]/Marketing[[#This Row],[Customers]]</f>
        <v>703.8</v>
      </c>
      <c r="K4935" t="s">
        <v>32</v>
      </c>
      <c r="L4935" t="s">
        <v>39</v>
      </c>
      <c r="M4935">
        <v>331</v>
      </c>
      <c r="N4935">
        <v>6864</v>
      </c>
      <c r="O4935">
        <v>8</v>
      </c>
      <c r="P4935" t="s">
        <v>21</v>
      </c>
      <c r="Q4935" s="1">
        <v>44385</v>
      </c>
    </row>
    <row r="4936" spans="1:17" x14ac:dyDescent="0.3">
      <c r="A4936" t="s">
        <v>49</v>
      </c>
      <c r="B4936" t="s">
        <v>47</v>
      </c>
      <c r="C4936" t="s">
        <v>16</v>
      </c>
      <c r="D4936" t="s">
        <v>17</v>
      </c>
      <c r="E4936" t="s">
        <v>48</v>
      </c>
      <c r="F4936" s="9">
        <v>0.05</v>
      </c>
      <c r="G4936" s="10">
        <v>10012</v>
      </c>
      <c r="H4936">
        <v>3.76</v>
      </c>
      <c r="I4936" s="5">
        <f>ROUND(Marketing[[#This Row],[Clicks]]*Marketing[[#This Row],[Conversion_Rate]],0)</f>
        <v>17</v>
      </c>
      <c r="J4936" s="12">
        <f>Marketing[[#This Row],[Campaign_Cost]]/Marketing[[#This Row],[Customers]]</f>
        <v>588.94117647058829</v>
      </c>
      <c r="K4936" t="s">
        <v>38</v>
      </c>
      <c r="L4936" t="s">
        <v>50</v>
      </c>
      <c r="M4936">
        <v>346</v>
      </c>
      <c r="N4936">
        <v>3215</v>
      </c>
      <c r="O4936">
        <v>3</v>
      </c>
      <c r="P4936" t="s">
        <v>27</v>
      </c>
      <c r="Q4936" s="1">
        <v>44386</v>
      </c>
    </row>
    <row r="4937" spans="1:17" x14ac:dyDescent="0.3">
      <c r="A4937" t="s">
        <v>49</v>
      </c>
      <c r="B4937" t="s">
        <v>47</v>
      </c>
      <c r="C4937" t="s">
        <v>30</v>
      </c>
      <c r="D4937" t="s">
        <v>46</v>
      </c>
      <c r="E4937" t="s">
        <v>43</v>
      </c>
      <c r="F4937" s="9">
        <v>0.09</v>
      </c>
      <c r="G4937" s="10">
        <v>12571</v>
      </c>
      <c r="H4937">
        <v>7.42</v>
      </c>
      <c r="I4937" s="5">
        <f>ROUND(Marketing[[#This Row],[Clicks]]*Marketing[[#This Row],[Conversion_Rate]],0)</f>
        <v>71</v>
      </c>
      <c r="J4937" s="12">
        <f>Marketing[[#This Row],[Campaign_Cost]]/Marketing[[#This Row],[Customers]]</f>
        <v>177.05633802816902</v>
      </c>
      <c r="K4937" t="s">
        <v>38</v>
      </c>
      <c r="L4937" t="s">
        <v>20</v>
      </c>
      <c r="M4937">
        <v>792</v>
      </c>
      <c r="N4937">
        <v>3820</v>
      </c>
      <c r="O4937">
        <v>7</v>
      </c>
      <c r="P4937" t="s">
        <v>42</v>
      </c>
      <c r="Q4937" s="1">
        <v>44387</v>
      </c>
    </row>
    <row r="4938" spans="1:17" x14ac:dyDescent="0.3">
      <c r="A4938" t="s">
        <v>22</v>
      </c>
      <c r="B4938" t="s">
        <v>47</v>
      </c>
      <c r="C4938" t="s">
        <v>16</v>
      </c>
      <c r="D4938" t="s">
        <v>17</v>
      </c>
      <c r="E4938" t="s">
        <v>43</v>
      </c>
      <c r="F4938" s="9">
        <v>0.04</v>
      </c>
      <c r="G4938" s="10">
        <v>17041</v>
      </c>
      <c r="H4938">
        <v>5.58</v>
      </c>
      <c r="I4938" s="5">
        <f>ROUND(Marketing[[#This Row],[Clicks]]*Marketing[[#This Row],[Conversion_Rate]],0)</f>
        <v>24</v>
      </c>
      <c r="J4938" s="12">
        <f>Marketing[[#This Row],[Campaign_Cost]]/Marketing[[#This Row],[Customers]]</f>
        <v>710.04166666666663</v>
      </c>
      <c r="K4938" t="s">
        <v>51</v>
      </c>
      <c r="L4938" t="s">
        <v>39</v>
      </c>
      <c r="M4938">
        <v>612</v>
      </c>
      <c r="N4938">
        <v>2461</v>
      </c>
      <c r="O4938">
        <v>7</v>
      </c>
      <c r="P4938" t="s">
        <v>21</v>
      </c>
      <c r="Q4938" s="1">
        <v>44388</v>
      </c>
    </row>
    <row r="4939" spans="1:17" x14ac:dyDescent="0.3">
      <c r="A4939" t="s">
        <v>22</v>
      </c>
      <c r="B4939" t="s">
        <v>45</v>
      </c>
      <c r="C4939" t="s">
        <v>23</v>
      </c>
      <c r="D4939" t="s">
        <v>46</v>
      </c>
      <c r="E4939" t="s">
        <v>41</v>
      </c>
      <c r="F4939" s="9">
        <v>0.12</v>
      </c>
      <c r="G4939" s="10">
        <v>11463</v>
      </c>
      <c r="H4939">
        <v>6.49</v>
      </c>
      <c r="I4939" s="5">
        <f>ROUND(Marketing[[#This Row],[Clicks]]*Marketing[[#This Row],[Conversion_Rate]],0)</f>
        <v>46</v>
      </c>
      <c r="J4939" s="12">
        <f>Marketing[[#This Row],[Campaign_Cost]]/Marketing[[#This Row],[Customers]]</f>
        <v>249.19565217391303</v>
      </c>
      <c r="K4939" t="s">
        <v>38</v>
      </c>
      <c r="L4939" t="s">
        <v>33</v>
      </c>
      <c r="M4939">
        <v>384</v>
      </c>
      <c r="N4939">
        <v>2856</v>
      </c>
      <c r="O4939">
        <v>1</v>
      </c>
      <c r="P4939" t="s">
        <v>34</v>
      </c>
      <c r="Q4939" s="1">
        <v>44389</v>
      </c>
    </row>
    <row r="4940" spans="1:17" x14ac:dyDescent="0.3">
      <c r="A4940" t="s">
        <v>35</v>
      </c>
      <c r="B4940" t="s">
        <v>36</v>
      </c>
      <c r="C4940" t="s">
        <v>30</v>
      </c>
      <c r="D4940" t="s">
        <v>24</v>
      </c>
      <c r="E4940" t="s">
        <v>18</v>
      </c>
      <c r="F4940" s="9">
        <v>0.15</v>
      </c>
      <c r="G4940" s="10">
        <v>7890</v>
      </c>
      <c r="H4940">
        <v>4.5999999999999996</v>
      </c>
      <c r="I4940" s="5">
        <f>ROUND(Marketing[[#This Row],[Clicks]]*Marketing[[#This Row],[Conversion_Rate]],0)</f>
        <v>113</v>
      </c>
      <c r="J4940" s="12">
        <f>Marketing[[#This Row],[Campaign_Cost]]/Marketing[[#This Row],[Customers]]</f>
        <v>69.823008849557525</v>
      </c>
      <c r="K4940" t="s">
        <v>25</v>
      </c>
      <c r="L4940" t="s">
        <v>50</v>
      </c>
      <c r="M4940">
        <v>755</v>
      </c>
      <c r="N4940">
        <v>8332</v>
      </c>
      <c r="O4940">
        <v>7</v>
      </c>
      <c r="P4940" t="s">
        <v>42</v>
      </c>
      <c r="Q4940" s="1">
        <v>44390</v>
      </c>
    </row>
    <row r="4941" spans="1:17" x14ac:dyDescent="0.3">
      <c r="A4941" t="s">
        <v>14</v>
      </c>
      <c r="B4941" t="s">
        <v>45</v>
      </c>
      <c r="C4941" t="s">
        <v>52</v>
      </c>
      <c r="D4941" t="s">
        <v>17</v>
      </c>
      <c r="E4941" t="s">
        <v>15</v>
      </c>
      <c r="F4941" s="9">
        <v>0.02</v>
      </c>
      <c r="G4941" s="10">
        <v>14290</v>
      </c>
      <c r="H4941">
        <v>4.91</v>
      </c>
      <c r="I4941" s="5">
        <f>ROUND(Marketing[[#This Row],[Clicks]]*Marketing[[#This Row],[Conversion_Rate]],0)</f>
        <v>19</v>
      </c>
      <c r="J4941" s="12">
        <f>Marketing[[#This Row],[Campaign_Cost]]/Marketing[[#This Row],[Customers]]</f>
        <v>752.10526315789468</v>
      </c>
      <c r="K4941" t="s">
        <v>38</v>
      </c>
      <c r="L4941" t="s">
        <v>50</v>
      </c>
      <c r="M4941">
        <v>936</v>
      </c>
      <c r="N4941">
        <v>6486</v>
      </c>
      <c r="O4941">
        <v>5</v>
      </c>
      <c r="P4941" t="s">
        <v>44</v>
      </c>
      <c r="Q4941" s="1">
        <v>44391</v>
      </c>
    </row>
    <row r="4942" spans="1:17" x14ac:dyDescent="0.3">
      <c r="A4942" t="s">
        <v>28</v>
      </c>
      <c r="B4942" t="s">
        <v>15</v>
      </c>
      <c r="C4942" t="s">
        <v>52</v>
      </c>
      <c r="D4942" t="s">
        <v>40</v>
      </c>
      <c r="E4942" t="s">
        <v>41</v>
      </c>
      <c r="F4942" s="9">
        <v>0.05</v>
      </c>
      <c r="G4942" s="10">
        <v>14933</v>
      </c>
      <c r="H4942">
        <v>7.38</v>
      </c>
      <c r="I4942" s="5">
        <f>ROUND(Marketing[[#This Row],[Clicks]]*Marketing[[#This Row],[Conversion_Rate]],0)</f>
        <v>7</v>
      </c>
      <c r="J4942" s="12">
        <f>Marketing[[#This Row],[Campaign_Cost]]/Marketing[[#This Row],[Customers]]</f>
        <v>2133.2857142857142</v>
      </c>
      <c r="K4942" t="s">
        <v>25</v>
      </c>
      <c r="L4942" t="s">
        <v>26</v>
      </c>
      <c r="M4942">
        <v>144</v>
      </c>
      <c r="N4942">
        <v>3478</v>
      </c>
      <c r="O4942">
        <v>6</v>
      </c>
      <c r="P4942" t="s">
        <v>21</v>
      </c>
      <c r="Q4942" s="1">
        <v>44392</v>
      </c>
    </row>
    <row r="4943" spans="1:17" x14ac:dyDescent="0.3">
      <c r="A4943" t="s">
        <v>22</v>
      </c>
      <c r="B4943" t="s">
        <v>45</v>
      </c>
      <c r="C4943" t="s">
        <v>16</v>
      </c>
      <c r="D4943" t="s">
        <v>46</v>
      </c>
      <c r="E4943" t="s">
        <v>15</v>
      </c>
      <c r="F4943" s="9">
        <v>0.08</v>
      </c>
      <c r="G4943" s="10">
        <v>6217</v>
      </c>
      <c r="H4943">
        <v>4.01</v>
      </c>
      <c r="I4943" s="5">
        <f>ROUND(Marketing[[#This Row],[Clicks]]*Marketing[[#This Row],[Conversion_Rate]],0)</f>
        <v>22</v>
      </c>
      <c r="J4943" s="12">
        <f>Marketing[[#This Row],[Campaign_Cost]]/Marketing[[#This Row],[Customers]]</f>
        <v>282.59090909090907</v>
      </c>
      <c r="K4943" t="s">
        <v>32</v>
      </c>
      <c r="L4943" t="s">
        <v>33</v>
      </c>
      <c r="M4943">
        <v>280</v>
      </c>
      <c r="N4943">
        <v>6552</v>
      </c>
      <c r="O4943">
        <v>7</v>
      </c>
      <c r="P4943" t="s">
        <v>42</v>
      </c>
      <c r="Q4943" s="1">
        <v>44393</v>
      </c>
    </row>
    <row r="4944" spans="1:17" x14ac:dyDescent="0.3">
      <c r="A4944" t="s">
        <v>22</v>
      </c>
      <c r="B4944" t="s">
        <v>15</v>
      </c>
      <c r="C4944" t="s">
        <v>37</v>
      </c>
      <c r="D4944" t="s">
        <v>17</v>
      </c>
      <c r="E4944" t="s">
        <v>31</v>
      </c>
      <c r="F4944" s="9">
        <v>0.1</v>
      </c>
      <c r="G4944" s="10">
        <v>9774</v>
      </c>
      <c r="H4944">
        <v>3.95</v>
      </c>
      <c r="I4944" s="5">
        <f>ROUND(Marketing[[#This Row],[Clicks]]*Marketing[[#This Row],[Conversion_Rate]],0)</f>
        <v>13</v>
      </c>
      <c r="J4944" s="12">
        <f>Marketing[[#This Row],[Campaign_Cost]]/Marketing[[#This Row],[Customers]]</f>
        <v>751.84615384615381</v>
      </c>
      <c r="K4944" t="s">
        <v>25</v>
      </c>
      <c r="L4944" t="s">
        <v>26</v>
      </c>
      <c r="M4944">
        <v>125</v>
      </c>
      <c r="N4944">
        <v>5250</v>
      </c>
      <c r="O4944">
        <v>1</v>
      </c>
      <c r="P4944" t="s">
        <v>44</v>
      </c>
      <c r="Q4944" s="1">
        <v>44394</v>
      </c>
    </row>
    <row r="4945" spans="1:17" x14ac:dyDescent="0.3">
      <c r="A4945" t="s">
        <v>49</v>
      </c>
      <c r="B4945" t="s">
        <v>29</v>
      </c>
      <c r="C4945" t="s">
        <v>16</v>
      </c>
      <c r="D4945" t="s">
        <v>17</v>
      </c>
      <c r="E4945" t="s">
        <v>43</v>
      </c>
      <c r="F4945" s="9">
        <v>0.08</v>
      </c>
      <c r="G4945" s="10">
        <v>13308</v>
      </c>
      <c r="H4945">
        <v>4.1399999999999997</v>
      </c>
      <c r="I4945" s="5">
        <f>ROUND(Marketing[[#This Row],[Clicks]]*Marketing[[#This Row],[Conversion_Rate]],0)</f>
        <v>57</v>
      </c>
      <c r="J4945" s="12">
        <f>Marketing[[#This Row],[Campaign_Cost]]/Marketing[[#This Row],[Customers]]</f>
        <v>233.47368421052633</v>
      </c>
      <c r="K4945" t="s">
        <v>38</v>
      </c>
      <c r="L4945" t="s">
        <v>50</v>
      </c>
      <c r="M4945">
        <v>709</v>
      </c>
      <c r="N4945">
        <v>8889</v>
      </c>
      <c r="O4945">
        <v>8</v>
      </c>
      <c r="P4945" t="s">
        <v>34</v>
      </c>
      <c r="Q4945" s="1">
        <v>44395</v>
      </c>
    </row>
    <row r="4946" spans="1:17" x14ac:dyDescent="0.3">
      <c r="A4946" t="s">
        <v>28</v>
      </c>
      <c r="B4946" t="s">
        <v>47</v>
      </c>
      <c r="C4946" t="s">
        <v>23</v>
      </c>
      <c r="D4946" t="s">
        <v>40</v>
      </c>
      <c r="E4946" t="s">
        <v>43</v>
      </c>
      <c r="F4946" s="9">
        <v>0.1</v>
      </c>
      <c r="G4946" s="10">
        <v>7720</v>
      </c>
      <c r="H4946">
        <v>7.8</v>
      </c>
      <c r="I4946" s="5">
        <f>ROUND(Marketing[[#This Row],[Clicks]]*Marketing[[#This Row],[Conversion_Rate]],0)</f>
        <v>49</v>
      </c>
      <c r="J4946" s="12">
        <f>Marketing[[#This Row],[Campaign_Cost]]/Marketing[[#This Row],[Customers]]</f>
        <v>157.55102040816325</v>
      </c>
      <c r="K4946" t="s">
        <v>25</v>
      </c>
      <c r="L4946" t="s">
        <v>26</v>
      </c>
      <c r="M4946">
        <v>490</v>
      </c>
      <c r="N4946">
        <v>3613</v>
      </c>
      <c r="O4946">
        <v>8</v>
      </c>
      <c r="P4946" t="s">
        <v>27</v>
      </c>
      <c r="Q4946" s="1">
        <v>44396</v>
      </c>
    </row>
    <row r="4947" spans="1:17" x14ac:dyDescent="0.3">
      <c r="A4947" t="s">
        <v>35</v>
      </c>
      <c r="B4947" t="s">
        <v>15</v>
      </c>
      <c r="C4947" t="s">
        <v>30</v>
      </c>
      <c r="D4947" t="s">
        <v>46</v>
      </c>
      <c r="E4947" t="s">
        <v>18</v>
      </c>
      <c r="F4947" s="9">
        <v>0.02</v>
      </c>
      <c r="G4947" s="10">
        <v>14148</v>
      </c>
      <c r="H4947">
        <v>2.44</v>
      </c>
      <c r="I4947" s="5">
        <f>ROUND(Marketing[[#This Row],[Clicks]]*Marketing[[#This Row],[Conversion_Rate]],0)</f>
        <v>13</v>
      </c>
      <c r="J4947" s="12">
        <f>Marketing[[#This Row],[Campaign_Cost]]/Marketing[[#This Row],[Customers]]</f>
        <v>1088.3076923076924</v>
      </c>
      <c r="K4947" t="s">
        <v>32</v>
      </c>
      <c r="L4947" t="s">
        <v>26</v>
      </c>
      <c r="M4947">
        <v>669</v>
      </c>
      <c r="N4947">
        <v>7167</v>
      </c>
      <c r="O4947">
        <v>10</v>
      </c>
      <c r="P4947" t="s">
        <v>21</v>
      </c>
      <c r="Q4947" s="1">
        <v>44397</v>
      </c>
    </row>
    <row r="4948" spans="1:17" x14ac:dyDescent="0.3">
      <c r="A4948" t="s">
        <v>22</v>
      </c>
      <c r="B4948" t="s">
        <v>15</v>
      </c>
      <c r="C4948" t="s">
        <v>37</v>
      </c>
      <c r="D4948" t="s">
        <v>40</v>
      </c>
      <c r="E4948" t="s">
        <v>43</v>
      </c>
      <c r="F4948" s="9">
        <v>0.08</v>
      </c>
      <c r="G4948" s="10">
        <v>7951</v>
      </c>
      <c r="H4948">
        <v>7.93</v>
      </c>
      <c r="I4948" s="5">
        <f>ROUND(Marketing[[#This Row],[Clicks]]*Marketing[[#This Row],[Conversion_Rate]],0)</f>
        <v>62</v>
      </c>
      <c r="J4948" s="12">
        <f>Marketing[[#This Row],[Campaign_Cost]]/Marketing[[#This Row],[Customers]]</f>
        <v>128.24193548387098</v>
      </c>
      <c r="K4948" t="s">
        <v>51</v>
      </c>
      <c r="L4948" t="s">
        <v>50</v>
      </c>
      <c r="M4948">
        <v>775</v>
      </c>
      <c r="N4948">
        <v>1824</v>
      </c>
      <c r="O4948">
        <v>10</v>
      </c>
      <c r="P4948" t="s">
        <v>44</v>
      </c>
      <c r="Q4948" s="1">
        <v>44398</v>
      </c>
    </row>
    <row r="4949" spans="1:17" x14ac:dyDescent="0.3">
      <c r="A4949" t="s">
        <v>49</v>
      </c>
      <c r="B4949" t="s">
        <v>45</v>
      </c>
      <c r="C4949" t="s">
        <v>37</v>
      </c>
      <c r="D4949" t="s">
        <v>24</v>
      </c>
      <c r="E4949" t="s">
        <v>15</v>
      </c>
      <c r="F4949" s="9">
        <v>0.04</v>
      </c>
      <c r="G4949" s="10">
        <v>6428</v>
      </c>
      <c r="H4949">
        <v>2.4700000000000002</v>
      </c>
      <c r="I4949" s="5">
        <f>ROUND(Marketing[[#This Row],[Clicks]]*Marketing[[#This Row],[Conversion_Rate]],0)</f>
        <v>6</v>
      </c>
      <c r="J4949" s="12">
        <f>Marketing[[#This Row],[Campaign_Cost]]/Marketing[[#This Row],[Customers]]</f>
        <v>1071.3333333333333</v>
      </c>
      <c r="K4949" t="s">
        <v>51</v>
      </c>
      <c r="L4949" t="s">
        <v>50</v>
      </c>
      <c r="M4949">
        <v>155</v>
      </c>
      <c r="N4949">
        <v>3442</v>
      </c>
      <c r="O4949">
        <v>7</v>
      </c>
      <c r="P4949" t="s">
        <v>44</v>
      </c>
      <c r="Q4949" s="1">
        <v>44399</v>
      </c>
    </row>
    <row r="4950" spans="1:17" x14ac:dyDescent="0.3">
      <c r="A4950" t="s">
        <v>14</v>
      </c>
      <c r="B4950" t="s">
        <v>29</v>
      </c>
      <c r="C4950" t="s">
        <v>52</v>
      </c>
      <c r="D4950" t="s">
        <v>40</v>
      </c>
      <c r="E4950" t="s">
        <v>41</v>
      </c>
      <c r="F4950" s="9">
        <v>0.14000000000000001</v>
      </c>
      <c r="G4950" s="10">
        <v>16853</v>
      </c>
      <c r="H4950">
        <v>7.1</v>
      </c>
      <c r="I4950" s="5">
        <f>ROUND(Marketing[[#This Row],[Clicks]]*Marketing[[#This Row],[Conversion_Rate]],0)</f>
        <v>79</v>
      </c>
      <c r="J4950" s="12">
        <f>Marketing[[#This Row],[Campaign_Cost]]/Marketing[[#This Row],[Customers]]</f>
        <v>213.32911392405063</v>
      </c>
      <c r="K4950" t="s">
        <v>38</v>
      </c>
      <c r="L4950" t="s">
        <v>26</v>
      </c>
      <c r="M4950">
        <v>564</v>
      </c>
      <c r="N4950">
        <v>6421</v>
      </c>
      <c r="O4950">
        <v>6</v>
      </c>
      <c r="P4950" t="s">
        <v>21</v>
      </c>
      <c r="Q4950" s="1">
        <v>44400</v>
      </c>
    </row>
    <row r="4951" spans="1:17" x14ac:dyDescent="0.3">
      <c r="A4951" t="s">
        <v>49</v>
      </c>
      <c r="B4951" t="s">
        <v>29</v>
      </c>
      <c r="C4951" t="s">
        <v>37</v>
      </c>
      <c r="D4951" t="s">
        <v>46</v>
      </c>
      <c r="E4951" t="s">
        <v>18</v>
      </c>
      <c r="F4951" s="9">
        <v>0.03</v>
      </c>
      <c r="G4951" s="10">
        <v>11421</v>
      </c>
      <c r="H4951">
        <v>2.2799999999999998</v>
      </c>
      <c r="I4951" s="5">
        <f>ROUND(Marketing[[#This Row],[Clicks]]*Marketing[[#This Row],[Conversion_Rate]],0)</f>
        <v>20</v>
      </c>
      <c r="J4951" s="12">
        <f>Marketing[[#This Row],[Campaign_Cost]]/Marketing[[#This Row],[Customers]]</f>
        <v>571.04999999999995</v>
      </c>
      <c r="K4951" t="s">
        <v>38</v>
      </c>
      <c r="L4951" t="s">
        <v>50</v>
      </c>
      <c r="M4951">
        <v>659</v>
      </c>
      <c r="N4951">
        <v>5500</v>
      </c>
      <c r="O4951">
        <v>1</v>
      </c>
      <c r="P4951" t="s">
        <v>44</v>
      </c>
      <c r="Q4951" s="1">
        <v>44401</v>
      </c>
    </row>
    <row r="4952" spans="1:17" x14ac:dyDescent="0.3">
      <c r="A4952" t="s">
        <v>14</v>
      </c>
      <c r="B4952" t="s">
        <v>29</v>
      </c>
      <c r="C4952" t="s">
        <v>30</v>
      </c>
      <c r="D4952" t="s">
        <v>17</v>
      </c>
      <c r="E4952" t="s">
        <v>43</v>
      </c>
      <c r="F4952" s="9">
        <v>0.1</v>
      </c>
      <c r="G4952" s="10">
        <v>12060</v>
      </c>
      <c r="H4952">
        <v>5.3</v>
      </c>
      <c r="I4952" s="5">
        <f>ROUND(Marketing[[#This Row],[Clicks]]*Marketing[[#This Row],[Conversion_Rate]],0)</f>
        <v>43</v>
      </c>
      <c r="J4952" s="12">
        <f>Marketing[[#This Row],[Campaign_Cost]]/Marketing[[#This Row],[Customers]]</f>
        <v>280.46511627906978</v>
      </c>
      <c r="K4952" t="s">
        <v>51</v>
      </c>
      <c r="L4952" t="s">
        <v>50</v>
      </c>
      <c r="M4952">
        <v>427</v>
      </c>
      <c r="N4952">
        <v>8602</v>
      </c>
      <c r="O4952">
        <v>7</v>
      </c>
      <c r="P4952" t="s">
        <v>42</v>
      </c>
      <c r="Q4952" s="1">
        <v>44402</v>
      </c>
    </row>
    <row r="4953" spans="1:17" x14ac:dyDescent="0.3">
      <c r="A4953" t="s">
        <v>14</v>
      </c>
      <c r="B4953" t="s">
        <v>47</v>
      </c>
      <c r="C4953" t="s">
        <v>52</v>
      </c>
      <c r="D4953" t="s">
        <v>17</v>
      </c>
      <c r="E4953" t="s">
        <v>18</v>
      </c>
      <c r="F4953" s="9">
        <v>0.01</v>
      </c>
      <c r="G4953" s="10">
        <v>16135</v>
      </c>
      <c r="H4953">
        <v>7.89</v>
      </c>
      <c r="I4953" s="5">
        <f>ROUND(Marketing[[#This Row],[Clicks]]*Marketing[[#This Row],[Conversion_Rate]],0)</f>
        <v>9</v>
      </c>
      <c r="J4953" s="12">
        <f>Marketing[[#This Row],[Campaign_Cost]]/Marketing[[#This Row],[Customers]]</f>
        <v>1792.7777777777778</v>
      </c>
      <c r="K4953" t="s">
        <v>32</v>
      </c>
      <c r="L4953" t="s">
        <v>39</v>
      </c>
      <c r="M4953">
        <v>927</v>
      </c>
      <c r="N4953">
        <v>3277</v>
      </c>
      <c r="O4953">
        <v>1</v>
      </c>
      <c r="P4953" t="s">
        <v>42</v>
      </c>
      <c r="Q4953" s="1">
        <v>44403</v>
      </c>
    </row>
    <row r="4954" spans="1:17" x14ac:dyDescent="0.3">
      <c r="A4954" t="s">
        <v>14</v>
      </c>
      <c r="B4954" t="s">
        <v>45</v>
      </c>
      <c r="C4954" t="s">
        <v>16</v>
      </c>
      <c r="D4954" t="s">
        <v>24</v>
      </c>
      <c r="E4954" t="s">
        <v>48</v>
      </c>
      <c r="F4954" s="9">
        <v>0.09</v>
      </c>
      <c r="G4954" s="10">
        <v>12428</v>
      </c>
      <c r="H4954">
        <v>3.28</v>
      </c>
      <c r="I4954" s="5">
        <f>ROUND(Marketing[[#This Row],[Clicks]]*Marketing[[#This Row],[Conversion_Rate]],0)</f>
        <v>53</v>
      </c>
      <c r="J4954" s="12">
        <f>Marketing[[#This Row],[Campaign_Cost]]/Marketing[[#This Row],[Customers]]</f>
        <v>234.49056603773585</v>
      </c>
      <c r="K4954" t="s">
        <v>19</v>
      </c>
      <c r="L4954" t="s">
        <v>20</v>
      </c>
      <c r="M4954">
        <v>584</v>
      </c>
      <c r="N4954">
        <v>7577</v>
      </c>
      <c r="O4954">
        <v>6</v>
      </c>
      <c r="P4954" t="s">
        <v>21</v>
      </c>
      <c r="Q4954" s="1">
        <v>44404</v>
      </c>
    </row>
    <row r="4955" spans="1:17" x14ac:dyDescent="0.3">
      <c r="A4955" t="s">
        <v>49</v>
      </c>
      <c r="B4955" t="s">
        <v>29</v>
      </c>
      <c r="C4955" t="s">
        <v>16</v>
      </c>
      <c r="D4955" t="s">
        <v>24</v>
      </c>
      <c r="E4955" t="s">
        <v>43</v>
      </c>
      <c r="F4955" s="9">
        <v>0.02</v>
      </c>
      <c r="G4955" s="10">
        <v>17128</v>
      </c>
      <c r="H4955">
        <v>5.55</v>
      </c>
      <c r="I4955" s="5">
        <f>ROUND(Marketing[[#This Row],[Clicks]]*Marketing[[#This Row],[Conversion_Rate]],0)</f>
        <v>13</v>
      </c>
      <c r="J4955" s="12">
        <f>Marketing[[#This Row],[Campaign_Cost]]/Marketing[[#This Row],[Customers]]</f>
        <v>1317.5384615384614</v>
      </c>
      <c r="K4955" t="s">
        <v>19</v>
      </c>
      <c r="L4955" t="s">
        <v>39</v>
      </c>
      <c r="M4955">
        <v>648</v>
      </c>
      <c r="N4955">
        <v>1172</v>
      </c>
      <c r="O4955">
        <v>5</v>
      </c>
      <c r="P4955" t="s">
        <v>27</v>
      </c>
      <c r="Q4955" s="1">
        <v>44405</v>
      </c>
    </row>
    <row r="4956" spans="1:17" x14ac:dyDescent="0.3">
      <c r="A4956" t="s">
        <v>35</v>
      </c>
      <c r="B4956" t="s">
        <v>47</v>
      </c>
      <c r="C4956" t="s">
        <v>16</v>
      </c>
      <c r="D4956" t="s">
        <v>17</v>
      </c>
      <c r="E4956" t="s">
        <v>31</v>
      </c>
      <c r="F4956" s="9">
        <v>0.02</v>
      </c>
      <c r="G4956" s="10">
        <v>13598</v>
      </c>
      <c r="H4956">
        <v>4.78</v>
      </c>
      <c r="I4956" s="5">
        <f>ROUND(Marketing[[#This Row],[Clicks]]*Marketing[[#This Row],[Conversion_Rate]],0)</f>
        <v>8</v>
      </c>
      <c r="J4956" s="12">
        <f>Marketing[[#This Row],[Campaign_Cost]]/Marketing[[#This Row],[Customers]]</f>
        <v>1699.75</v>
      </c>
      <c r="K4956" t="s">
        <v>38</v>
      </c>
      <c r="L4956" t="s">
        <v>39</v>
      </c>
      <c r="M4956">
        <v>379</v>
      </c>
      <c r="N4956">
        <v>6754</v>
      </c>
      <c r="O4956">
        <v>5</v>
      </c>
      <c r="P4956" t="s">
        <v>44</v>
      </c>
      <c r="Q4956" s="1">
        <v>44406</v>
      </c>
    </row>
    <row r="4957" spans="1:17" x14ac:dyDescent="0.3">
      <c r="A4957" t="s">
        <v>28</v>
      </c>
      <c r="B4957" t="s">
        <v>15</v>
      </c>
      <c r="C4957" t="s">
        <v>30</v>
      </c>
      <c r="D4957" t="s">
        <v>24</v>
      </c>
      <c r="E4957" t="s">
        <v>18</v>
      </c>
      <c r="F4957" s="9">
        <v>0.05</v>
      </c>
      <c r="G4957" s="10">
        <v>7105</v>
      </c>
      <c r="H4957">
        <v>3.67</v>
      </c>
      <c r="I4957" s="5">
        <f>ROUND(Marketing[[#This Row],[Clicks]]*Marketing[[#This Row],[Conversion_Rate]],0)</f>
        <v>41</v>
      </c>
      <c r="J4957" s="12">
        <f>Marketing[[#This Row],[Campaign_Cost]]/Marketing[[#This Row],[Customers]]</f>
        <v>173.29268292682926</v>
      </c>
      <c r="K4957" t="s">
        <v>25</v>
      </c>
      <c r="L4957" t="s">
        <v>39</v>
      </c>
      <c r="M4957">
        <v>811</v>
      </c>
      <c r="N4957">
        <v>8283</v>
      </c>
      <c r="O4957">
        <v>7</v>
      </c>
      <c r="P4957" t="s">
        <v>34</v>
      </c>
      <c r="Q4957" s="1">
        <v>44407</v>
      </c>
    </row>
    <row r="4958" spans="1:17" x14ac:dyDescent="0.3">
      <c r="A4958" t="s">
        <v>14</v>
      </c>
      <c r="B4958" t="s">
        <v>45</v>
      </c>
      <c r="C4958" t="s">
        <v>23</v>
      </c>
      <c r="D4958" t="s">
        <v>46</v>
      </c>
      <c r="E4958" t="s">
        <v>15</v>
      </c>
      <c r="F4958" s="9">
        <v>0.12</v>
      </c>
      <c r="G4958" s="10">
        <v>7327</v>
      </c>
      <c r="H4958">
        <v>6.41</v>
      </c>
      <c r="I4958" s="5">
        <f>ROUND(Marketing[[#This Row],[Clicks]]*Marketing[[#This Row],[Conversion_Rate]],0)</f>
        <v>38</v>
      </c>
      <c r="J4958" s="12">
        <f>Marketing[[#This Row],[Campaign_Cost]]/Marketing[[#This Row],[Customers]]</f>
        <v>192.81578947368422</v>
      </c>
      <c r="K4958" t="s">
        <v>25</v>
      </c>
      <c r="L4958" t="s">
        <v>33</v>
      </c>
      <c r="M4958">
        <v>319</v>
      </c>
      <c r="N4958">
        <v>3205</v>
      </c>
      <c r="O4958">
        <v>1</v>
      </c>
      <c r="P4958" t="s">
        <v>42</v>
      </c>
      <c r="Q4958" s="1">
        <v>44408</v>
      </c>
    </row>
    <row r="4959" spans="1:17" x14ac:dyDescent="0.3">
      <c r="A4959" t="s">
        <v>35</v>
      </c>
      <c r="B4959" t="s">
        <v>15</v>
      </c>
      <c r="C4959" t="s">
        <v>37</v>
      </c>
      <c r="D4959" t="s">
        <v>17</v>
      </c>
      <c r="E4959" t="s">
        <v>18</v>
      </c>
      <c r="F4959" s="9">
        <v>0.14000000000000001</v>
      </c>
      <c r="G4959" s="10">
        <v>11115</v>
      </c>
      <c r="H4959">
        <v>4.63</v>
      </c>
      <c r="I4959" s="5">
        <f>ROUND(Marketing[[#This Row],[Clicks]]*Marketing[[#This Row],[Conversion_Rate]],0)</f>
        <v>62</v>
      </c>
      <c r="J4959" s="12">
        <f>Marketing[[#This Row],[Campaign_Cost]]/Marketing[[#This Row],[Customers]]</f>
        <v>179.2741935483871</v>
      </c>
      <c r="K4959" t="s">
        <v>32</v>
      </c>
      <c r="L4959" t="s">
        <v>50</v>
      </c>
      <c r="M4959">
        <v>443</v>
      </c>
      <c r="N4959">
        <v>7874</v>
      </c>
      <c r="O4959">
        <v>5</v>
      </c>
      <c r="P4959" t="s">
        <v>42</v>
      </c>
      <c r="Q4959" s="1">
        <v>44409</v>
      </c>
    </row>
    <row r="4960" spans="1:17" x14ac:dyDescent="0.3">
      <c r="A4960" t="s">
        <v>28</v>
      </c>
      <c r="B4960" t="s">
        <v>36</v>
      </c>
      <c r="C4960" t="s">
        <v>23</v>
      </c>
      <c r="D4960" t="s">
        <v>24</v>
      </c>
      <c r="E4960" t="s">
        <v>18</v>
      </c>
      <c r="F4960" s="9">
        <v>0.01</v>
      </c>
      <c r="G4960" s="10">
        <v>15550</v>
      </c>
      <c r="H4960">
        <v>5.94</v>
      </c>
      <c r="I4960" s="5">
        <f>ROUND(Marketing[[#This Row],[Clicks]]*Marketing[[#This Row],[Conversion_Rate]],0)</f>
        <v>3</v>
      </c>
      <c r="J4960" s="12">
        <f>Marketing[[#This Row],[Campaign_Cost]]/Marketing[[#This Row],[Customers]]</f>
        <v>5183.333333333333</v>
      </c>
      <c r="K4960" t="s">
        <v>19</v>
      </c>
      <c r="L4960" t="s">
        <v>50</v>
      </c>
      <c r="M4960">
        <v>268</v>
      </c>
      <c r="N4960">
        <v>3360</v>
      </c>
      <c r="O4960">
        <v>6</v>
      </c>
      <c r="P4960" t="s">
        <v>44</v>
      </c>
      <c r="Q4960" s="1">
        <v>44410</v>
      </c>
    </row>
    <row r="4961" spans="1:17" x14ac:dyDescent="0.3">
      <c r="A4961" t="s">
        <v>14</v>
      </c>
      <c r="B4961" t="s">
        <v>47</v>
      </c>
      <c r="C4961" t="s">
        <v>52</v>
      </c>
      <c r="D4961" t="s">
        <v>40</v>
      </c>
      <c r="E4961" t="s">
        <v>31</v>
      </c>
      <c r="F4961" s="9">
        <v>0.04</v>
      </c>
      <c r="G4961" s="10">
        <v>10156</v>
      </c>
      <c r="H4961">
        <v>5.29</v>
      </c>
      <c r="I4961" s="5">
        <f>ROUND(Marketing[[#This Row],[Clicks]]*Marketing[[#This Row],[Conversion_Rate]],0)</f>
        <v>13</v>
      </c>
      <c r="J4961" s="12">
        <f>Marketing[[#This Row],[Campaign_Cost]]/Marketing[[#This Row],[Customers]]</f>
        <v>781.23076923076928</v>
      </c>
      <c r="K4961" t="s">
        <v>19</v>
      </c>
      <c r="L4961" t="s">
        <v>26</v>
      </c>
      <c r="M4961">
        <v>329</v>
      </c>
      <c r="N4961">
        <v>6966</v>
      </c>
      <c r="O4961">
        <v>10</v>
      </c>
      <c r="P4961" t="s">
        <v>44</v>
      </c>
      <c r="Q4961" s="1">
        <v>44411</v>
      </c>
    </row>
    <row r="4962" spans="1:17" x14ac:dyDescent="0.3">
      <c r="A4962" t="s">
        <v>22</v>
      </c>
      <c r="B4962" t="s">
        <v>45</v>
      </c>
      <c r="C4962" t="s">
        <v>16</v>
      </c>
      <c r="D4962" t="s">
        <v>17</v>
      </c>
      <c r="E4962" t="s">
        <v>48</v>
      </c>
      <c r="F4962" s="9">
        <v>0.11</v>
      </c>
      <c r="G4962" s="10">
        <v>15921</v>
      </c>
      <c r="H4962">
        <v>5.71</v>
      </c>
      <c r="I4962" s="5">
        <f>ROUND(Marketing[[#This Row],[Clicks]]*Marketing[[#This Row],[Conversion_Rate]],0)</f>
        <v>84</v>
      </c>
      <c r="J4962" s="12">
        <f>Marketing[[#This Row],[Campaign_Cost]]/Marketing[[#This Row],[Customers]]</f>
        <v>189.53571428571428</v>
      </c>
      <c r="K4962" t="s">
        <v>32</v>
      </c>
      <c r="L4962" t="s">
        <v>20</v>
      </c>
      <c r="M4962">
        <v>767</v>
      </c>
      <c r="N4962">
        <v>2345</v>
      </c>
      <c r="O4962">
        <v>1</v>
      </c>
      <c r="P4962" t="s">
        <v>42</v>
      </c>
      <c r="Q4962" s="1">
        <v>44412</v>
      </c>
    </row>
    <row r="4963" spans="1:17" x14ac:dyDescent="0.3">
      <c r="A4963" t="s">
        <v>22</v>
      </c>
      <c r="B4963" t="s">
        <v>29</v>
      </c>
      <c r="C4963" t="s">
        <v>30</v>
      </c>
      <c r="D4963" t="s">
        <v>46</v>
      </c>
      <c r="E4963" t="s">
        <v>15</v>
      </c>
      <c r="F4963" s="9">
        <v>0.12</v>
      </c>
      <c r="G4963" s="10">
        <v>11073</v>
      </c>
      <c r="H4963">
        <v>7.83</v>
      </c>
      <c r="I4963" s="5">
        <f>ROUND(Marketing[[#This Row],[Clicks]]*Marketing[[#This Row],[Conversion_Rate]],0)</f>
        <v>101</v>
      </c>
      <c r="J4963" s="12">
        <f>Marketing[[#This Row],[Campaign_Cost]]/Marketing[[#This Row],[Customers]]</f>
        <v>109.63366336633663</v>
      </c>
      <c r="K4963" t="s">
        <v>51</v>
      </c>
      <c r="L4963" t="s">
        <v>20</v>
      </c>
      <c r="M4963">
        <v>842</v>
      </c>
      <c r="N4963">
        <v>8107</v>
      </c>
      <c r="O4963">
        <v>8</v>
      </c>
      <c r="P4963" t="s">
        <v>44</v>
      </c>
      <c r="Q4963" s="1">
        <v>44413</v>
      </c>
    </row>
    <row r="4964" spans="1:17" x14ac:dyDescent="0.3">
      <c r="A4964" t="s">
        <v>49</v>
      </c>
      <c r="B4964" t="s">
        <v>36</v>
      </c>
      <c r="C4964" t="s">
        <v>23</v>
      </c>
      <c r="D4964" t="s">
        <v>46</v>
      </c>
      <c r="E4964" t="s">
        <v>48</v>
      </c>
      <c r="F4964" s="9">
        <v>0.03</v>
      </c>
      <c r="G4964" s="10">
        <v>19283</v>
      </c>
      <c r="H4964">
        <v>6.12</v>
      </c>
      <c r="I4964" s="5">
        <f>ROUND(Marketing[[#This Row],[Clicks]]*Marketing[[#This Row],[Conversion_Rate]],0)</f>
        <v>5</v>
      </c>
      <c r="J4964" s="12">
        <f>Marketing[[#This Row],[Campaign_Cost]]/Marketing[[#This Row],[Customers]]</f>
        <v>3856.6</v>
      </c>
      <c r="K4964" t="s">
        <v>32</v>
      </c>
      <c r="L4964" t="s">
        <v>39</v>
      </c>
      <c r="M4964">
        <v>170</v>
      </c>
      <c r="N4964">
        <v>2674</v>
      </c>
      <c r="O4964">
        <v>7</v>
      </c>
      <c r="P4964" t="s">
        <v>21</v>
      </c>
      <c r="Q4964" s="1">
        <v>44414</v>
      </c>
    </row>
    <row r="4965" spans="1:17" x14ac:dyDescent="0.3">
      <c r="A4965" t="s">
        <v>49</v>
      </c>
      <c r="B4965" t="s">
        <v>47</v>
      </c>
      <c r="C4965" t="s">
        <v>23</v>
      </c>
      <c r="D4965" t="s">
        <v>46</v>
      </c>
      <c r="E4965" t="s">
        <v>48</v>
      </c>
      <c r="F4965" s="9">
        <v>0.13</v>
      </c>
      <c r="G4965" s="10">
        <v>14491</v>
      </c>
      <c r="H4965">
        <v>5.66</v>
      </c>
      <c r="I4965" s="5">
        <f>ROUND(Marketing[[#This Row],[Clicks]]*Marketing[[#This Row],[Conversion_Rate]],0)</f>
        <v>127</v>
      </c>
      <c r="J4965" s="12">
        <f>Marketing[[#This Row],[Campaign_Cost]]/Marketing[[#This Row],[Customers]]</f>
        <v>114.10236220472441</v>
      </c>
      <c r="K4965" t="s">
        <v>32</v>
      </c>
      <c r="L4965" t="s">
        <v>39</v>
      </c>
      <c r="M4965">
        <v>974</v>
      </c>
      <c r="N4965">
        <v>4001</v>
      </c>
      <c r="O4965">
        <v>6</v>
      </c>
      <c r="P4965" t="s">
        <v>34</v>
      </c>
      <c r="Q4965" s="1">
        <v>44415</v>
      </c>
    </row>
    <row r="4966" spans="1:17" x14ac:dyDescent="0.3">
      <c r="A4966" t="s">
        <v>35</v>
      </c>
      <c r="B4966" t="s">
        <v>36</v>
      </c>
      <c r="C4966" t="s">
        <v>23</v>
      </c>
      <c r="D4966" t="s">
        <v>46</v>
      </c>
      <c r="E4966" t="s">
        <v>43</v>
      </c>
      <c r="F4966" s="9">
        <v>0.1</v>
      </c>
      <c r="G4966" s="10">
        <v>18914</v>
      </c>
      <c r="H4966">
        <v>5.91</v>
      </c>
      <c r="I4966" s="5">
        <f>ROUND(Marketing[[#This Row],[Clicks]]*Marketing[[#This Row],[Conversion_Rate]],0)</f>
        <v>72</v>
      </c>
      <c r="J4966" s="12">
        <f>Marketing[[#This Row],[Campaign_Cost]]/Marketing[[#This Row],[Customers]]</f>
        <v>262.69444444444446</v>
      </c>
      <c r="K4966" t="s">
        <v>38</v>
      </c>
      <c r="L4966" t="s">
        <v>50</v>
      </c>
      <c r="M4966">
        <v>723</v>
      </c>
      <c r="N4966">
        <v>8659</v>
      </c>
      <c r="O4966">
        <v>9</v>
      </c>
      <c r="P4966" t="s">
        <v>34</v>
      </c>
      <c r="Q4966" s="1">
        <v>44416</v>
      </c>
    </row>
    <row r="4967" spans="1:17" x14ac:dyDescent="0.3">
      <c r="A4967" t="s">
        <v>35</v>
      </c>
      <c r="B4967" t="s">
        <v>47</v>
      </c>
      <c r="C4967" t="s">
        <v>52</v>
      </c>
      <c r="D4967" t="s">
        <v>46</v>
      </c>
      <c r="E4967" t="s">
        <v>18</v>
      </c>
      <c r="F4967" s="9">
        <v>0.08</v>
      </c>
      <c r="G4967" s="10">
        <v>10054</v>
      </c>
      <c r="H4967">
        <v>2.21</v>
      </c>
      <c r="I4967" s="5">
        <f>ROUND(Marketing[[#This Row],[Clicks]]*Marketing[[#This Row],[Conversion_Rate]],0)</f>
        <v>78</v>
      </c>
      <c r="J4967" s="12">
        <f>Marketing[[#This Row],[Campaign_Cost]]/Marketing[[#This Row],[Customers]]</f>
        <v>128.89743589743588</v>
      </c>
      <c r="K4967" t="s">
        <v>32</v>
      </c>
      <c r="L4967" t="s">
        <v>20</v>
      </c>
      <c r="M4967">
        <v>981</v>
      </c>
      <c r="N4967">
        <v>6770</v>
      </c>
      <c r="O4967">
        <v>9</v>
      </c>
      <c r="P4967" t="s">
        <v>34</v>
      </c>
      <c r="Q4967" s="1">
        <v>44417</v>
      </c>
    </row>
    <row r="4968" spans="1:17" x14ac:dyDescent="0.3">
      <c r="A4968" t="s">
        <v>35</v>
      </c>
      <c r="B4968" t="s">
        <v>29</v>
      </c>
      <c r="C4968" t="s">
        <v>30</v>
      </c>
      <c r="D4968" t="s">
        <v>40</v>
      </c>
      <c r="E4968" t="s">
        <v>48</v>
      </c>
      <c r="F4968" s="9">
        <v>0.05</v>
      </c>
      <c r="G4968" s="10">
        <v>17266</v>
      </c>
      <c r="H4968">
        <v>6.75</v>
      </c>
      <c r="I4968" s="5">
        <f>ROUND(Marketing[[#This Row],[Clicks]]*Marketing[[#This Row],[Conversion_Rate]],0)</f>
        <v>8</v>
      </c>
      <c r="J4968" s="12">
        <f>Marketing[[#This Row],[Campaign_Cost]]/Marketing[[#This Row],[Customers]]</f>
        <v>2158.25</v>
      </c>
      <c r="K4968" t="s">
        <v>38</v>
      </c>
      <c r="L4968" t="s">
        <v>50</v>
      </c>
      <c r="M4968">
        <v>163</v>
      </c>
      <c r="N4968">
        <v>3345</v>
      </c>
      <c r="O4968">
        <v>6</v>
      </c>
      <c r="P4968" t="s">
        <v>34</v>
      </c>
      <c r="Q4968" s="1">
        <v>44418</v>
      </c>
    </row>
    <row r="4969" spans="1:17" x14ac:dyDescent="0.3">
      <c r="A4969" t="s">
        <v>28</v>
      </c>
      <c r="B4969" t="s">
        <v>15</v>
      </c>
      <c r="C4969" t="s">
        <v>23</v>
      </c>
      <c r="D4969" t="s">
        <v>40</v>
      </c>
      <c r="E4969" t="s">
        <v>48</v>
      </c>
      <c r="F4969" s="9">
        <v>0.08</v>
      </c>
      <c r="G4969" s="10">
        <v>13726</v>
      </c>
      <c r="H4969">
        <v>4.1500000000000004</v>
      </c>
      <c r="I4969" s="5">
        <f>ROUND(Marketing[[#This Row],[Clicks]]*Marketing[[#This Row],[Conversion_Rate]],0)</f>
        <v>29</v>
      </c>
      <c r="J4969" s="12">
        <f>Marketing[[#This Row],[Campaign_Cost]]/Marketing[[#This Row],[Customers]]</f>
        <v>473.31034482758622</v>
      </c>
      <c r="K4969" t="s">
        <v>38</v>
      </c>
      <c r="L4969" t="s">
        <v>20</v>
      </c>
      <c r="M4969">
        <v>361</v>
      </c>
      <c r="N4969">
        <v>1416</v>
      </c>
      <c r="O4969">
        <v>3</v>
      </c>
      <c r="P4969" t="s">
        <v>42</v>
      </c>
      <c r="Q4969" s="1">
        <v>44419</v>
      </c>
    </row>
    <row r="4970" spans="1:17" x14ac:dyDescent="0.3">
      <c r="A4970" t="s">
        <v>22</v>
      </c>
      <c r="B4970" t="s">
        <v>36</v>
      </c>
      <c r="C4970" t="s">
        <v>16</v>
      </c>
      <c r="D4970" t="s">
        <v>17</v>
      </c>
      <c r="E4970" t="s">
        <v>18</v>
      </c>
      <c r="F4970" s="9">
        <v>0.11</v>
      </c>
      <c r="G4970" s="10">
        <v>16373</v>
      </c>
      <c r="H4970">
        <v>4.8600000000000003</v>
      </c>
      <c r="I4970" s="5">
        <f>ROUND(Marketing[[#This Row],[Clicks]]*Marketing[[#This Row],[Conversion_Rate]],0)</f>
        <v>86</v>
      </c>
      <c r="J4970" s="12">
        <f>Marketing[[#This Row],[Campaign_Cost]]/Marketing[[#This Row],[Customers]]</f>
        <v>190.38372093023256</v>
      </c>
      <c r="K4970" t="s">
        <v>51</v>
      </c>
      <c r="L4970" t="s">
        <v>39</v>
      </c>
      <c r="M4970">
        <v>781</v>
      </c>
      <c r="N4970">
        <v>7180</v>
      </c>
      <c r="O4970">
        <v>8</v>
      </c>
      <c r="P4970" t="s">
        <v>34</v>
      </c>
      <c r="Q4970" s="1">
        <v>44420</v>
      </c>
    </row>
    <row r="4971" spans="1:17" x14ac:dyDescent="0.3">
      <c r="A4971" t="s">
        <v>28</v>
      </c>
      <c r="B4971" t="s">
        <v>47</v>
      </c>
      <c r="C4971" t="s">
        <v>37</v>
      </c>
      <c r="D4971" t="s">
        <v>17</v>
      </c>
      <c r="E4971" t="s">
        <v>15</v>
      </c>
      <c r="F4971" s="9">
        <v>0.12</v>
      </c>
      <c r="G4971" s="10">
        <v>16311</v>
      </c>
      <c r="H4971">
        <v>7.56</v>
      </c>
      <c r="I4971" s="5">
        <f>ROUND(Marketing[[#This Row],[Clicks]]*Marketing[[#This Row],[Conversion_Rate]],0)</f>
        <v>62</v>
      </c>
      <c r="J4971" s="12">
        <f>Marketing[[#This Row],[Campaign_Cost]]/Marketing[[#This Row],[Customers]]</f>
        <v>263.08064516129031</v>
      </c>
      <c r="K4971" t="s">
        <v>25</v>
      </c>
      <c r="L4971" t="s">
        <v>39</v>
      </c>
      <c r="M4971">
        <v>515</v>
      </c>
      <c r="N4971">
        <v>2562</v>
      </c>
      <c r="O4971">
        <v>10</v>
      </c>
      <c r="P4971" t="s">
        <v>21</v>
      </c>
      <c r="Q4971" s="1">
        <v>44421</v>
      </c>
    </row>
    <row r="4972" spans="1:17" x14ac:dyDescent="0.3">
      <c r="A4972" t="s">
        <v>22</v>
      </c>
      <c r="B4972" t="s">
        <v>47</v>
      </c>
      <c r="C4972" t="s">
        <v>52</v>
      </c>
      <c r="D4972" t="s">
        <v>24</v>
      </c>
      <c r="E4972" t="s">
        <v>48</v>
      </c>
      <c r="F4972" s="9">
        <v>7.0000000000000007E-2</v>
      </c>
      <c r="G4972" s="10">
        <v>6711</v>
      </c>
      <c r="H4972">
        <v>5.34</v>
      </c>
      <c r="I4972" s="5">
        <f>ROUND(Marketing[[#This Row],[Clicks]]*Marketing[[#This Row],[Conversion_Rate]],0)</f>
        <v>18</v>
      </c>
      <c r="J4972" s="12">
        <f>Marketing[[#This Row],[Campaign_Cost]]/Marketing[[#This Row],[Customers]]</f>
        <v>372.83333333333331</v>
      </c>
      <c r="K4972" t="s">
        <v>38</v>
      </c>
      <c r="L4972" t="s">
        <v>33</v>
      </c>
      <c r="M4972">
        <v>262</v>
      </c>
      <c r="N4972">
        <v>7363</v>
      </c>
      <c r="O4972">
        <v>7</v>
      </c>
      <c r="P4972" t="s">
        <v>44</v>
      </c>
      <c r="Q4972" s="1">
        <v>44422</v>
      </c>
    </row>
    <row r="4973" spans="1:17" x14ac:dyDescent="0.3">
      <c r="A4973" t="s">
        <v>49</v>
      </c>
      <c r="B4973" t="s">
        <v>45</v>
      </c>
      <c r="C4973" t="s">
        <v>30</v>
      </c>
      <c r="D4973" t="s">
        <v>40</v>
      </c>
      <c r="E4973" t="s">
        <v>18</v>
      </c>
      <c r="F4973" s="9">
        <v>0.15</v>
      </c>
      <c r="G4973" s="10">
        <v>15459</v>
      </c>
      <c r="H4973">
        <v>3.66</v>
      </c>
      <c r="I4973" s="5">
        <f>ROUND(Marketing[[#This Row],[Clicks]]*Marketing[[#This Row],[Conversion_Rate]],0)</f>
        <v>49</v>
      </c>
      <c r="J4973" s="12">
        <f>Marketing[[#This Row],[Campaign_Cost]]/Marketing[[#This Row],[Customers]]</f>
        <v>315.48979591836735</v>
      </c>
      <c r="K4973" t="s">
        <v>51</v>
      </c>
      <c r="L4973" t="s">
        <v>50</v>
      </c>
      <c r="M4973">
        <v>328</v>
      </c>
      <c r="N4973">
        <v>5467</v>
      </c>
      <c r="O4973">
        <v>10</v>
      </c>
      <c r="P4973" t="s">
        <v>44</v>
      </c>
      <c r="Q4973" s="1">
        <v>44423</v>
      </c>
    </row>
    <row r="4974" spans="1:17" x14ac:dyDescent="0.3">
      <c r="A4974" t="s">
        <v>49</v>
      </c>
      <c r="B4974" t="s">
        <v>47</v>
      </c>
      <c r="C4974" t="s">
        <v>30</v>
      </c>
      <c r="D4974" t="s">
        <v>17</v>
      </c>
      <c r="E4974" t="s">
        <v>48</v>
      </c>
      <c r="F4974" s="9">
        <v>0.02</v>
      </c>
      <c r="G4974" s="10">
        <v>15818</v>
      </c>
      <c r="H4974">
        <v>6.79</v>
      </c>
      <c r="I4974" s="5">
        <f>ROUND(Marketing[[#This Row],[Clicks]]*Marketing[[#This Row],[Conversion_Rate]],0)</f>
        <v>12</v>
      </c>
      <c r="J4974" s="12">
        <f>Marketing[[#This Row],[Campaign_Cost]]/Marketing[[#This Row],[Customers]]</f>
        <v>1318.1666666666667</v>
      </c>
      <c r="K4974" t="s">
        <v>51</v>
      </c>
      <c r="L4974" t="s">
        <v>26</v>
      </c>
      <c r="M4974">
        <v>585</v>
      </c>
      <c r="N4974">
        <v>7202</v>
      </c>
      <c r="O4974">
        <v>6</v>
      </c>
      <c r="P4974" t="s">
        <v>42</v>
      </c>
      <c r="Q4974" s="1">
        <v>44424</v>
      </c>
    </row>
    <row r="4975" spans="1:17" x14ac:dyDescent="0.3">
      <c r="A4975" t="s">
        <v>14</v>
      </c>
      <c r="B4975" t="s">
        <v>45</v>
      </c>
      <c r="C4975" t="s">
        <v>37</v>
      </c>
      <c r="D4975" t="s">
        <v>24</v>
      </c>
      <c r="E4975" t="s">
        <v>31</v>
      </c>
      <c r="F4975" s="9">
        <v>0.11</v>
      </c>
      <c r="G4975" s="10">
        <v>5000</v>
      </c>
      <c r="H4975">
        <v>6.03</v>
      </c>
      <c r="I4975" s="5">
        <f>ROUND(Marketing[[#This Row],[Clicks]]*Marketing[[#This Row],[Conversion_Rate]],0)</f>
        <v>44</v>
      </c>
      <c r="J4975" s="12">
        <f>Marketing[[#This Row],[Campaign_Cost]]/Marketing[[#This Row],[Customers]]</f>
        <v>113.63636363636364</v>
      </c>
      <c r="K4975" t="s">
        <v>38</v>
      </c>
      <c r="L4975" t="s">
        <v>26</v>
      </c>
      <c r="M4975">
        <v>402</v>
      </c>
      <c r="N4975">
        <v>9512</v>
      </c>
      <c r="O4975">
        <v>3</v>
      </c>
      <c r="P4975" t="s">
        <v>27</v>
      </c>
      <c r="Q4975" s="1">
        <v>44425</v>
      </c>
    </row>
    <row r="4976" spans="1:17" x14ac:dyDescent="0.3">
      <c r="A4976" t="s">
        <v>28</v>
      </c>
      <c r="B4976" t="s">
        <v>36</v>
      </c>
      <c r="C4976" t="s">
        <v>37</v>
      </c>
      <c r="D4976" t="s">
        <v>46</v>
      </c>
      <c r="E4976" t="s">
        <v>15</v>
      </c>
      <c r="F4976" s="9">
        <v>7.0000000000000007E-2</v>
      </c>
      <c r="G4976" s="10">
        <v>6683</v>
      </c>
      <c r="H4976">
        <v>3.76</v>
      </c>
      <c r="I4976" s="5">
        <f>ROUND(Marketing[[#This Row],[Clicks]]*Marketing[[#This Row],[Conversion_Rate]],0)</f>
        <v>65</v>
      </c>
      <c r="J4976" s="12">
        <f>Marketing[[#This Row],[Campaign_Cost]]/Marketing[[#This Row],[Customers]]</f>
        <v>102.81538461538462</v>
      </c>
      <c r="K4976" t="s">
        <v>19</v>
      </c>
      <c r="L4976" t="s">
        <v>20</v>
      </c>
      <c r="M4976">
        <v>933</v>
      </c>
      <c r="N4976">
        <v>9175</v>
      </c>
      <c r="O4976">
        <v>6</v>
      </c>
      <c r="P4976" t="s">
        <v>44</v>
      </c>
      <c r="Q4976" s="1">
        <v>44426</v>
      </c>
    </row>
    <row r="4977" spans="1:17" x14ac:dyDescent="0.3">
      <c r="A4977" t="s">
        <v>49</v>
      </c>
      <c r="B4977" t="s">
        <v>47</v>
      </c>
      <c r="C4977" t="s">
        <v>52</v>
      </c>
      <c r="D4977" t="s">
        <v>46</v>
      </c>
      <c r="E4977" t="s">
        <v>43</v>
      </c>
      <c r="F4977" s="9">
        <v>0.11</v>
      </c>
      <c r="G4977" s="10">
        <v>5632</v>
      </c>
      <c r="H4977">
        <v>5.71</v>
      </c>
      <c r="I4977" s="5">
        <f>ROUND(Marketing[[#This Row],[Clicks]]*Marketing[[#This Row],[Conversion_Rate]],0)</f>
        <v>50</v>
      </c>
      <c r="J4977" s="12">
        <f>Marketing[[#This Row],[Campaign_Cost]]/Marketing[[#This Row],[Customers]]</f>
        <v>112.64</v>
      </c>
      <c r="K4977" t="s">
        <v>25</v>
      </c>
      <c r="L4977" t="s">
        <v>39</v>
      </c>
      <c r="M4977">
        <v>458</v>
      </c>
      <c r="N4977">
        <v>1556</v>
      </c>
      <c r="O4977">
        <v>8</v>
      </c>
      <c r="P4977" t="s">
        <v>27</v>
      </c>
      <c r="Q4977" s="1">
        <v>44427</v>
      </c>
    </row>
    <row r="4978" spans="1:17" x14ac:dyDescent="0.3">
      <c r="A4978" t="s">
        <v>49</v>
      </c>
      <c r="B4978" t="s">
        <v>36</v>
      </c>
      <c r="C4978" t="s">
        <v>16</v>
      </c>
      <c r="D4978" t="s">
        <v>46</v>
      </c>
      <c r="E4978" t="s">
        <v>48</v>
      </c>
      <c r="F4978" s="9">
        <v>0.1</v>
      </c>
      <c r="G4978" s="10">
        <v>16911</v>
      </c>
      <c r="H4978">
        <v>2.38</v>
      </c>
      <c r="I4978" s="5">
        <f>ROUND(Marketing[[#This Row],[Clicks]]*Marketing[[#This Row],[Conversion_Rate]],0)</f>
        <v>41</v>
      </c>
      <c r="J4978" s="12">
        <f>Marketing[[#This Row],[Campaign_Cost]]/Marketing[[#This Row],[Customers]]</f>
        <v>412.46341463414632</v>
      </c>
      <c r="K4978" t="s">
        <v>19</v>
      </c>
      <c r="L4978" t="s">
        <v>39</v>
      </c>
      <c r="M4978">
        <v>413</v>
      </c>
      <c r="N4978">
        <v>8593</v>
      </c>
      <c r="O4978">
        <v>5</v>
      </c>
      <c r="P4978" t="s">
        <v>34</v>
      </c>
      <c r="Q4978" s="1">
        <v>44428</v>
      </c>
    </row>
    <row r="4979" spans="1:17" x14ac:dyDescent="0.3">
      <c r="A4979" t="s">
        <v>22</v>
      </c>
      <c r="B4979" t="s">
        <v>36</v>
      </c>
      <c r="C4979" t="s">
        <v>30</v>
      </c>
      <c r="D4979" t="s">
        <v>24</v>
      </c>
      <c r="E4979" t="s">
        <v>41</v>
      </c>
      <c r="F4979" s="9">
        <v>0.06</v>
      </c>
      <c r="G4979" s="10">
        <v>7941</v>
      </c>
      <c r="H4979">
        <v>2.35</v>
      </c>
      <c r="I4979" s="5">
        <f>ROUND(Marketing[[#This Row],[Clicks]]*Marketing[[#This Row],[Conversion_Rate]],0)</f>
        <v>29</v>
      </c>
      <c r="J4979" s="12">
        <f>Marketing[[#This Row],[Campaign_Cost]]/Marketing[[#This Row],[Customers]]</f>
        <v>273.82758620689657</v>
      </c>
      <c r="K4979" t="s">
        <v>51</v>
      </c>
      <c r="L4979" t="s">
        <v>26</v>
      </c>
      <c r="M4979">
        <v>483</v>
      </c>
      <c r="N4979">
        <v>2577</v>
      </c>
      <c r="O4979">
        <v>1</v>
      </c>
      <c r="P4979" t="s">
        <v>34</v>
      </c>
      <c r="Q4979" s="1">
        <v>44429</v>
      </c>
    </row>
    <row r="4980" spans="1:17" x14ac:dyDescent="0.3">
      <c r="A4980" t="s">
        <v>49</v>
      </c>
      <c r="B4980" t="s">
        <v>47</v>
      </c>
      <c r="C4980" t="s">
        <v>52</v>
      </c>
      <c r="D4980" t="s">
        <v>40</v>
      </c>
      <c r="E4980" t="s">
        <v>48</v>
      </c>
      <c r="F4980" s="9">
        <v>0.03</v>
      </c>
      <c r="G4980" s="10">
        <v>19959</v>
      </c>
      <c r="H4980">
        <v>4.22</v>
      </c>
      <c r="I4980" s="5">
        <f>ROUND(Marketing[[#This Row],[Clicks]]*Marketing[[#This Row],[Conversion_Rate]],0)</f>
        <v>20</v>
      </c>
      <c r="J4980" s="12">
        <f>Marketing[[#This Row],[Campaign_Cost]]/Marketing[[#This Row],[Customers]]</f>
        <v>997.95</v>
      </c>
      <c r="K4980" t="s">
        <v>25</v>
      </c>
      <c r="L4980" t="s">
        <v>33</v>
      </c>
      <c r="M4980">
        <v>665</v>
      </c>
      <c r="N4980">
        <v>3518</v>
      </c>
      <c r="O4980">
        <v>6</v>
      </c>
      <c r="P4980" t="s">
        <v>21</v>
      </c>
      <c r="Q4980" s="1">
        <v>44430</v>
      </c>
    </row>
    <row r="4981" spans="1:17" x14ac:dyDescent="0.3">
      <c r="A4981" t="s">
        <v>22</v>
      </c>
      <c r="B4981" t="s">
        <v>45</v>
      </c>
      <c r="C4981" t="s">
        <v>16</v>
      </c>
      <c r="D4981" t="s">
        <v>40</v>
      </c>
      <c r="E4981" t="s">
        <v>48</v>
      </c>
      <c r="F4981" s="9">
        <v>0.11</v>
      </c>
      <c r="G4981" s="10">
        <v>15088</v>
      </c>
      <c r="H4981">
        <v>5.43</v>
      </c>
      <c r="I4981" s="5">
        <f>ROUND(Marketing[[#This Row],[Clicks]]*Marketing[[#This Row],[Conversion_Rate]],0)</f>
        <v>99</v>
      </c>
      <c r="J4981" s="12">
        <f>Marketing[[#This Row],[Campaign_Cost]]/Marketing[[#This Row],[Customers]]</f>
        <v>152.40404040404042</v>
      </c>
      <c r="K4981" t="s">
        <v>32</v>
      </c>
      <c r="L4981" t="s">
        <v>39</v>
      </c>
      <c r="M4981">
        <v>903</v>
      </c>
      <c r="N4981">
        <v>4499</v>
      </c>
      <c r="O4981">
        <v>1</v>
      </c>
      <c r="P4981" t="s">
        <v>27</v>
      </c>
      <c r="Q4981" s="1">
        <v>44431</v>
      </c>
    </row>
    <row r="4982" spans="1:17" x14ac:dyDescent="0.3">
      <c r="A4982" t="s">
        <v>49</v>
      </c>
      <c r="B4982" t="s">
        <v>36</v>
      </c>
      <c r="C4982" t="s">
        <v>23</v>
      </c>
      <c r="D4982" t="s">
        <v>17</v>
      </c>
      <c r="E4982" t="s">
        <v>41</v>
      </c>
      <c r="F4982" s="9">
        <v>0.05</v>
      </c>
      <c r="G4982" s="10">
        <v>9658</v>
      </c>
      <c r="H4982">
        <v>7.09</v>
      </c>
      <c r="I4982" s="5">
        <f>ROUND(Marketing[[#This Row],[Clicks]]*Marketing[[#This Row],[Conversion_Rate]],0)</f>
        <v>7</v>
      </c>
      <c r="J4982" s="12">
        <f>Marketing[[#This Row],[Campaign_Cost]]/Marketing[[#This Row],[Customers]]</f>
        <v>1379.7142857142858</v>
      </c>
      <c r="K4982" t="s">
        <v>19</v>
      </c>
      <c r="L4982" t="s">
        <v>33</v>
      </c>
      <c r="M4982">
        <v>138</v>
      </c>
      <c r="N4982">
        <v>6928</v>
      </c>
      <c r="O4982">
        <v>9</v>
      </c>
      <c r="P4982" t="s">
        <v>42</v>
      </c>
      <c r="Q4982" s="1">
        <v>44432</v>
      </c>
    </row>
    <row r="4983" spans="1:17" x14ac:dyDescent="0.3">
      <c r="A4983" t="s">
        <v>49</v>
      </c>
      <c r="B4983" t="s">
        <v>29</v>
      </c>
      <c r="C4983" t="s">
        <v>52</v>
      </c>
      <c r="D4983" t="s">
        <v>46</v>
      </c>
      <c r="E4983" t="s">
        <v>48</v>
      </c>
      <c r="F4983" s="9">
        <v>0.1</v>
      </c>
      <c r="G4983" s="10">
        <v>11640</v>
      </c>
      <c r="H4983">
        <v>5.0199999999999996</v>
      </c>
      <c r="I4983" s="5">
        <f>ROUND(Marketing[[#This Row],[Clicks]]*Marketing[[#This Row],[Conversion_Rate]],0)</f>
        <v>84</v>
      </c>
      <c r="J4983" s="12">
        <f>Marketing[[#This Row],[Campaign_Cost]]/Marketing[[#This Row],[Customers]]</f>
        <v>138.57142857142858</v>
      </c>
      <c r="K4983" t="s">
        <v>19</v>
      </c>
      <c r="L4983" t="s">
        <v>26</v>
      </c>
      <c r="M4983">
        <v>840</v>
      </c>
      <c r="N4983">
        <v>2397</v>
      </c>
      <c r="O4983">
        <v>1</v>
      </c>
      <c r="P4983" t="s">
        <v>44</v>
      </c>
      <c r="Q4983" s="1">
        <v>44433</v>
      </c>
    </row>
    <row r="4984" spans="1:17" x14ac:dyDescent="0.3">
      <c r="A4984" t="s">
        <v>35</v>
      </c>
      <c r="B4984" t="s">
        <v>45</v>
      </c>
      <c r="C4984" t="s">
        <v>52</v>
      </c>
      <c r="D4984" t="s">
        <v>17</v>
      </c>
      <c r="E4984" t="s">
        <v>41</v>
      </c>
      <c r="F4984" s="9">
        <v>0.05</v>
      </c>
      <c r="G4984" s="10">
        <v>13318</v>
      </c>
      <c r="H4984">
        <v>6.31</v>
      </c>
      <c r="I4984" s="5">
        <f>ROUND(Marketing[[#This Row],[Clicks]]*Marketing[[#This Row],[Conversion_Rate]],0)</f>
        <v>41</v>
      </c>
      <c r="J4984" s="12">
        <f>Marketing[[#This Row],[Campaign_Cost]]/Marketing[[#This Row],[Customers]]</f>
        <v>324.82926829268291</v>
      </c>
      <c r="K4984" t="s">
        <v>32</v>
      </c>
      <c r="L4984" t="s">
        <v>39</v>
      </c>
      <c r="M4984">
        <v>825</v>
      </c>
      <c r="N4984">
        <v>5937</v>
      </c>
      <c r="O4984">
        <v>9</v>
      </c>
      <c r="P4984" t="s">
        <v>27</v>
      </c>
      <c r="Q4984" s="1">
        <v>44434</v>
      </c>
    </row>
    <row r="4985" spans="1:17" x14ac:dyDescent="0.3">
      <c r="A4985" t="s">
        <v>28</v>
      </c>
      <c r="B4985" t="s">
        <v>36</v>
      </c>
      <c r="C4985" t="s">
        <v>37</v>
      </c>
      <c r="D4985" t="s">
        <v>24</v>
      </c>
      <c r="E4985" t="s">
        <v>18</v>
      </c>
      <c r="F4985" s="9">
        <v>0.09</v>
      </c>
      <c r="G4985" s="10">
        <v>13455</v>
      </c>
      <c r="H4985">
        <v>2.4</v>
      </c>
      <c r="I4985" s="5">
        <f>ROUND(Marketing[[#This Row],[Clicks]]*Marketing[[#This Row],[Conversion_Rate]],0)</f>
        <v>69</v>
      </c>
      <c r="J4985" s="12">
        <f>Marketing[[#This Row],[Campaign_Cost]]/Marketing[[#This Row],[Customers]]</f>
        <v>195</v>
      </c>
      <c r="K4985" t="s">
        <v>32</v>
      </c>
      <c r="L4985" t="s">
        <v>20</v>
      </c>
      <c r="M4985">
        <v>771</v>
      </c>
      <c r="N4985">
        <v>9237</v>
      </c>
      <c r="O4985">
        <v>9</v>
      </c>
      <c r="P4985" t="s">
        <v>27</v>
      </c>
      <c r="Q4985" s="1">
        <v>44435</v>
      </c>
    </row>
    <row r="4986" spans="1:17" x14ac:dyDescent="0.3">
      <c r="A4986" t="s">
        <v>28</v>
      </c>
      <c r="B4986" t="s">
        <v>36</v>
      </c>
      <c r="C4986" t="s">
        <v>23</v>
      </c>
      <c r="D4986" t="s">
        <v>40</v>
      </c>
      <c r="E4986" t="s">
        <v>41</v>
      </c>
      <c r="F4986" s="9">
        <v>0.02</v>
      </c>
      <c r="G4986" s="10">
        <v>7548</v>
      </c>
      <c r="H4986">
        <v>5.58</v>
      </c>
      <c r="I4986" s="5">
        <f>ROUND(Marketing[[#This Row],[Clicks]]*Marketing[[#This Row],[Conversion_Rate]],0)</f>
        <v>19</v>
      </c>
      <c r="J4986" s="12">
        <f>Marketing[[#This Row],[Campaign_Cost]]/Marketing[[#This Row],[Customers]]</f>
        <v>397.26315789473682</v>
      </c>
      <c r="K4986" t="s">
        <v>25</v>
      </c>
      <c r="L4986" t="s">
        <v>33</v>
      </c>
      <c r="M4986">
        <v>934</v>
      </c>
      <c r="N4986">
        <v>3143</v>
      </c>
      <c r="O4986">
        <v>2</v>
      </c>
      <c r="P4986" t="s">
        <v>21</v>
      </c>
      <c r="Q4986" s="1">
        <v>44436</v>
      </c>
    </row>
    <row r="4987" spans="1:17" x14ac:dyDescent="0.3">
      <c r="A4987" t="s">
        <v>14</v>
      </c>
      <c r="B4987" t="s">
        <v>15</v>
      </c>
      <c r="C4987" t="s">
        <v>37</v>
      </c>
      <c r="D4987" t="s">
        <v>17</v>
      </c>
      <c r="E4987" t="s">
        <v>41</v>
      </c>
      <c r="F4987" s="9">
        <v>0.13</v>
      </c>
      <c r="G4987" s="10">
        <v>8033</v>
      </c>
      <c r="H4987">
        <v>4.17</v>
      </c>
      <c r="I4987" s="5">
        <f>ROUND(Marketing[[#This Row],[Clicks]]*Marketing[[#This Row],[Conversion_Rate]],0)</f>
        <v>126</v>
      </c>
      <c r="J4987" s="12">
        <f>Marketing[[#This Row],[Campaign_Cost]]/Marketing[[#This Row],[Customers]]</f>
        <v>63.753968253968253</v>
      </c>
      <c r="K4987" t="s">
        <v>32</v>
      </c>
      <c r="L4987" t="s">
        <v>39</v>
      </c>
      <c r="M4987">
        <v>969</v>
      </c>
      <c r="N4987">
        <v>7703</v>
      </c>
      <c r="O4987">
        <v>2</v>
      </c>
      <c r="P4987" t="s">
        <v>34</v>
      </c>
      <c r="Q4987" s="1">
        <v>44437</v>
      </c>
    </row>
    <row r="4988" spans="1:17" x14ac:dyDescent="0.3">
      <c r="A4988" t="s">
        <v>14</v>
      </c>
      <c r="B4988" t="s">
        <v>29</v>
      </c>
      <c r="C4988" t="s">
        <v>30</v>
      </c>
      <c r="D4988" t="s">
        <v>46</v>
      </c>
      <c r="E4988" t="s">
        <v>31</v>
      </c>
      <c r="F4988" s="9">
        <v>0.12</v>
      </c>
      <c r="G4988" s="10">
        <v>13388</v>
      </c>
      <c r="H4988">
        <v>4.45</v>
      </c>
      <c r="I4988" s="5">
        <f>ROUND(Marketing[[#This Row],[Clicks]]*Marketing[[#This Row],[Conversion_Rate]],0)</f>
        <v>99</v>
      </c>
      <c r="J4988" s="12">
        <f>Marketing[[#This Row],[Campaign_Cost]]/Marketing[[#This Row],[Customers]]</f>
        <v>135.23232323232324</v>
      </c>
      <c r="K4988" t="s">
        <v>38</v>
      </c>
      <c r="L4988" t="s">
        <v>50</v>
      </c>
      <c r="M4988">
        <v>827</v>
      </c>
      <c r="N4988">
        <v>1965</v>
      </c>
      <c r="O4988">
        <v>4</v>
      </c>
      <c r="P4988" t="s">
        <v>21</v>
      </c>
      <c r="Q4988" s="1">
        <v>44438</v>
      </c>
    </row>
    <row r="4989" spans="1:17" x14ac:dyDescent="0.3">
      <c r="A4989" t="s">
        <v>49</v>
      </c>
      <c r="B4989" t="s">
        <v>47</v>
      </c>
      <c r="C4989" t="s">
        <v>30</v>
      </c>
      <c r="D4989" t="s">
        <v>24</v>
      </c>
      <c r="E4989" t="s">
        <v>43</v>
      </c>
      <c r="F4989" s="9">
        <v>0.05</v>
      </c>
      <c r="G4989" s="10">
        <v>14965</v>
      </c>
      <c r="H4989">
        <v>3.92</v>
      </c>
      <c r="I4989" s="5">
        <f>ROUND(Marketing[[#This Row],[Clicks]]*Marketing[[#This Row],[Conversion_Rate]],0)</f>
        <v>24</v>
      </c>
      <c r="J4989" s="12">
        <f>Marketing[[#This Row],[Campaign_Cost]]/Marketing[[#This Row],[Customers]]</f>
        <v>623.54166666666663</v>
      </c>
      <c r="K4989" t="s">
        <v>51</v>
      </c>
      <c r="L4989" t="s">
        <v>50</v>
      </c>
      <c r="M4989">
        <v>476</v>
      </c>
      <c r="N4989">
        <v>7636</v>
      </c>
      <c r="O4989">
        <v>9</v>
      </c>
      <c r="P4989" t="s">
        <v>21</v>
      </c>
      <c r="Q4989" s="1">
        <v>44439</v>
      </c>
    </row>
    <row r="4990" spans="1:17" x14ac:dyDescent="0.3">
      <c r="A4990" t="s">
        <v>28</v>
      </c>
      <c r="B4990" t="s">
        <v>15</v>
      </c>
      <c r="C4990" t="s">
        <v>23</v>
      </c>
      <c r="D4990" t="s">
        <v>46</v>
      </c>
      <c r="E4990" t="s">
        <v>15</v>
      </c>
      <c r="F4990" s="9">
        <v>0.01</v>
      </c>
      <c r="G4990" s="10">
        <v>11205</v>
      </c>
      <c r="H4990">
        <v>3.9</v>
      </c>
      <c r="I4990" s="5">
        <f>ROUND(Marketing[[#This Row],[Clicks]]*Marketing[[#This Row],[Conversion_Rate]],0)</f>
        <v>7</v>
      </c>
      <c r="J4990" s="12">
        <f>Marketing[[#This Row],[Campaign_Cost]]/Marketing[[#This Row],[Customers]]</f>
        <v>1600.7142857142858</v>
      </c>
      <c r="K4990" t="s">
        <v>19</v>
      </c>
      <c r="L4990" t="s">
        <v>20</v>
      </c>
      <c r="M4990">
        <v>659</v>
      </c>
      <c r="N4990">
        <v>5388</v>
      </c>
      <c r="O4990">
        <v>2</v>
      </c>
      <c r="P4990" t="s">
        <v>34</v>
      </c>
      <c r="Q4990" s="1">
        <v>44440</v>
      </c>
    </row>
    <row r="4991" spans="1:17" x14ac:dyDescent="0.3">
      <c r="A4991" t="s">
        <v>22</v>
      </c>
      <c r="B4991" t="s">
        <v>15</v>
      </c>
      <c r="C4991" t="s">
        <v>23</v>
      </c>
      <c r="D4991" t="s">
        <v>24</v>
      </c>
      <c r="E4991" t="s">
        <v>41</v>
      </c>
      <c r="F4991" s="9">
        <v>0.14000000000000001</v>
      </c>
      <c r="G4991" s="10">
        <v>19274</v>
      </c>
      <c r="H4991">
        <v>2.6</v>
      </c>
      <c r="I4991" s="5">
        <f>ROUND(Marketing[[#This Row],[Clicks]]*Marketing[[#This Row],[Conversion_Rate]],0)</f>
        <v>65</v>
      </c>
      <c r="J4991" s="12">
        <f>Marketing[[#This Row],[Campaign_Cost]]/Marketing[[#This Row],[Customers]]</f>
        <v>296.52307692307693</v>
      </c>
      <c r="K4991" t="s">
        <v>38</v>
      </c>
      <c r="L4991" t="s">
        <v>20</v>
      </c>
      <c r="M4991">
        <v>462</v>
      </c>
      <c r="N4991">
        <v>2234</v>
      </c>
      <c r="O4991">
        <v>8</v>
      </c>
      <c r="P4991" t="s">
        <v>44</v>
      </c>
      <c r="Q4991" s="1">
        <v>44441</v>
      </c>
    </row>
    <row r="4992" spans="1:17" x14ac:dyDescent="0.3">
      <c r="A4992" t="s">
        <v>22</v>
      </c>
      <c r="B4992" t="s">
        <v>15</v>
      </c>
      <c r="C4992" t="s">
        <v>30</v>
      </c>
      <c r="D4992" t="s">
        <v>24</v>
      </c>
      <c r="E4992" t="s">
        <v>41</v>
      </c>
      <c r="F4992" s="9">
        <v>0.11</v>
      </c>
      <c r="G4992" s="10">
        <v>15386</v>
      </c>
      <c r="H4992">
        <v>3.42</v>
      </c>
      <c r="I4992" s="5">
        <f>ROUND(Marketing[[#This Row],[Clicks]]*Marketing[[#This Row],[Conversion_Rate]],0)</f>
        <v>77</v>
      </c>
      <c r="J4992" s="12">
        <f>Marketing[[#This Row],[Campaign_Cost]]/Marketing[[#This Row],[Customers]]</f>
        <v>199.81818181818181</v>
      </c>
      <c r="K4992" t="s">
        <v>38</v>
      </c>
      <c r="L4992" t="s">
        <v>50</v>
      </c>
      <c r="M4992">
        <v>697</v>
      </c>
      <c r="N4992">
        <v>4057</v>
      </c>
      <c r="O4992">
        <v>5</v>
      </c>
      <c r="P4992" t="s">
        <v>44</v>
      </c>
      <c r="Q4992" s="1">
        <v>44442</v>
      </c>
    </row>
    <row r="4993" spans="1:17" x14ac:dyDescent="0.3">
      <c r="A4993" t="s">
        <v>35</v>
      </c>
      <c r="B4993" t="s">
        <v>15</v>
      </c>
      <c r="C4993" t="s">
        <v>16</v>
      </c>
      <c r="D4993" t="s">
        <v>46</v>
      </c>
      <c r="E4993" t="s">
        <v>43</v>
      </c>
      <c r="F4993" s="9">
        <v>0.11</v>
      </c>
      <c r="G4993" s="10">
        <v>5069</v>
      </c>
      <c r="H4993">
        <v>7.87</v>
      </c>
      <c r="I4993" s="5">
        <f>ROUND(Marketing[[#This Row],[Clicks]]*Marketing[[#This Row],[Conversion_Rate]],0)</f>
        <v>66</v>
      </c>
      <c r="J4993" s="12">
        <f>Marketing[[#This Row],[Campaign_Cost]]/Marketing[[#This Row],[Customers]]</f>
        <v>76.803030303030297</v>
      </c>
      <c r="K4993" t="s">
        <v>38</v>
      </c>
      <c r="L4993" t="s">
        <v>39</v>
      </c>
      <c r="M4993">
        <v>597</v>
      </c>
      <c r="N4993">
        <v>5090</v>
      </c>
      <c r="O4993">
        <v>2</v>
      </c>
      <c r="P4993" t="s">
        <v>21</v>
      </c>
      <c r="Q4993" s="1">
        <v>44443</v>
      </c>
    </row>
    <row r="4994" spans="1:17" x14ac:dyDescent="0.3">
      <c r="A4994" t="s">
        <v>35</v>
      </c>
      <c r="B4994" t="s">
        <v>45</v>
      </c>
      <c r="C4994" t="s">
        <v>23</v>
      </c>
      <c r="D4994" t="s">
        <v>17</v>
      </c>
      <c r="E4994" t="s">
        <v>43</v>
      </c>
      <c r="F4994" s="9">
        <v>0.03</v>
      </c>
      <c r="G4994" s="10">
        <v>9315</v>
      </c>
      <c r="H4994">
        <v>7.18</v>
      </c>
      <c r="I4994" s="5">
        <f>ROUND(Marketing[[#This Row],[Clicks]]*Marketing[[#This Row],[Conversion_Rate]],0)</f>
        <v>22</v>
      </c>
      <c r="J4994" s="12">
        <f>Marketing[[#This Row],[Campaign_Cost]]/Marketing[[#This Row],[Customers]]</f>
        <v>423.40909090909093</v>
      </c>
      <c r="K4994" t="s">
        <v>25</v>
      </c>
      <c r="L4994" t="s">
        <v>39</v>
      </c>
      <c r="M4994">
        <v>734</v>
      </c>
      <c r="N4994">
        <v>4304</v>
      </c>
      <c r="O4994">
        <v>8</v>
      </c>
      <c r="P4994" t="s">
        <v>34</v>
      </c>
      <c r="Q4994" s="1">
        <v>44444</v>
      </c>
    </row>
    <row r="4995" spans="1:17" x14ac:dyDescent="0.3">
      <c r="A4995" t="s">
        <v>28</v>
      </c>
      <c r="B4995" t="s">
        <v>47</v>
      </c>
      <c r="C4995" t="s">
        <v>16</v>
      </c>
      <c r="D4995" t="s">
        <v>46</v>
      </c>
      <c r="E4995" t="s">
        <v>18</v>
      </c>
      <c r="F4995" s="9">
        <v>0.03</v>
      </c>
      <c r="G4995" s="10">
        <v>15562</v>
      </c>
      <c r="H4995">
        <v>5.37</v>
      </c>
      <c r="I4995" s="5">
        <f>ROUND(Marketing[[#This Row],[Clicks]]*Marketing[[#This Row],[Conversion_Rate]],0)</f>
        <v>10</v>
      </c>
      <c r="J4995" s="12">
        <f>Marketing[[#This Row],[Campaign_Cost]]/Marketing[[#This Row],[Customers]]</f>
        <v>1556.2</v>
      </c>
      <c r="K4995" t="s">
        <v>32</v>
      </c>
      <c r="L4995" t="s">
        <v>20</v>
      </c>
      <c r="M4995">
        <v>329</v>
      </c>
      <c r="N4995">
        <v>4584</v>
      </c>
      <c r="O4995">
        <v>9</v>
      </c>
      <c r="P4995" t="s">
        <v>42</v>
      </c>
      <c r="Q4995" s="1">
        <v>44445</v>
      </c>
    </row>
    <row r="4996" spans="1:17" x14ac:dyDescent="0.3">
      <c r="A4996" t="s">
        <v>49</v>
      </c>
      <c r="B4996" t="s">
        <v>15</v>
      </c>
      <c r="C4996" t="s">
        <v>37</v>
      </c>
      <c r="D4996" t="s">
        <v>46</v>
      </c>
      <c r="E4996" t="s">
        <v>43</v>
      </c>
      <c r="F4996" s="9">
        <v>0.05</v>
      </c>
      <c r="G4996" s="10">
        <v>10886</v>
      </c>
      <c r="H4996">
        <v>3.13</v>
      </c>
      <c r="I4996" s="5">
        <f>ROUND(Marketing[[#This Row],[Clicks]]*Marketing[[#This Row],[Conversion_Rate]],0)</f>
        <v>24</v>
      </c>
      <c r="J4996" s="12">
        <f>Marketing[[#This Row],[Campaign_Cost]]/Marketing[[#This Row],[Customers]]</f>
        <v>453.58333333333331</v>
      </c>
      <c r="K4996" t="s">
        <v>38</v>
      </c>
      <c r="L4996" t="s">
        <v>20</v>
      </c>
      <c r="M4996">
        <v>476</v>
      </c>
      <c r="N4996">
        <v>2570</v>
      </c>
      <c r="O4996">
        <v>6</v>
      </c>
      <c r="P4996" t="s">
        <v>42</v>
      </c>
      <c r="Q4996" s="1">
        <v>44446</v>
      </c>
    </row>
    <row r="4997" spans="1:17" x14ac:dyDescent="0.3">
      <c r="A4997" t="s">
        <v>14</v>
      </c>
      <c r="B4997" t="s">
        <v>29</v>
      </c>
      <c r="C4997" t="s">
        <v>30</v>
      </c>
      <c r="D4997" t="s">
        <v>46</v>
      </c>
      <c r="E4997" t="s">
        <v>18</v>
      </c>
      <c r="F4997" s="9">
        <v>0.14000000000000001</v>
      </c>
      <c r="G4997" s="10">
        <v>16273</v>
      </c>
      <c r="H4997">
        <v>2.94</v>
      </c>
      <c r="I4997" s="5">
        <f>ROUND(Marketing[[#This Row],[Clicks]]*Marketing[[#This Row],[Conversion_Rate]],0)</f>
        <v>18</v>
      </c>
      <c r="J4997" s="12">
        <f>Marketing[[#This Row],[Campaign_Cost]]/Marketing[[#This Row],[Customers]]</f>
        <v>904.05555555555554</v>
      </c>
      <c r="K4997" t="s">
        <v>25</v>
      </c>
      <c r="L4997" t="s">
        <v>39</v>
      </c>
      <c r="M4997">
        <v>130</v>
      </c>
      <c r="N4997">
        <v>7027</v>
      </c>
      <c r="O4997">
        <v>10</v>
      </c>
      <c r="P4997" t="s">
        <v>44</v>
      </c>
      <c r="Q4997" s="1">
        <v>44447</v>
      </c>
    </row>
    <row r="4998" spans="1:17" x14ac:dyDescent="0.3">
      <c r="A4998" t="s">
        <v>35</v>
      </c>
      <c r="B4998" t="s">
        <v>45</v>
      </c>
      <c r="C4998" t="s">
        <v>23</v>
      </c>
      <c r="D4998" t="s">
        <v>17</v>
      </c>
      <c r="E4998" t="s">
        <v>43</v>
      </c>
      <c r="F4998" s="9">
        <v>7.0000000000000007E-2</v>
      </c>
      <c r="G4998" s="10">
        <v>18174</v>
      </c>
      <c r="H4998">
        <v>5.56</v>
      </c>
      <c r="I4998" s="5">
        <f>ROUND(Marketing[[#This Row],[Clicks]]*Marketing[[#This Row],[Conversion_Rate]],0)</f>
        <v>58</v>
      </c>
      <c r="J4998" s="12">
        <f>Marketing[[#This Row],[Campaign_Cost]]/Marketing[[#This Row],[Customers]]</f>
        <v>313.34482758620692</v>
      </c>
      <c r="K4998" t="s">
        <v>32</v>
      </c>
      <c r="L4998" t="s">
        <v>26</v>
      </c>
      <c r="M4998">
        <v>829</v>
      </c>
      <c r="N4998">
        <v>5896</v>
      </c>
      <c r="O4998">
        <v>7</v>
      </c>
      <c r="P4998" t="s">
        <v>27</v>
      </c>
      <c r="Q4998" s="1">
        <v>44448</v>
      </c>
    </row>
    <row r="4999" spans="1:17" x14ac:dyDescent="0.3">
      <c r="A4999" t="s">
        <v>49</v>
      </c>
      <c r="B4999" t="s">
        <v>29</v>
      </c>
      <c r="C4999" t="s">
        <v>23</v>
      </c>
      <c r="D4999" t="s">
        <v>17</v>
      </c>
      <c r="E4999" t="s">
        <v>31</v>
      </c>
      <c r="F4999" s="9">
        <v>0.1</v>
      </c>
      <c r="G4999" s="10">
        <v>6585</v>
      </c>
      <c r="H4999">
        <v>6.11</v>
      </c>
      <c r="I4999" s="5">
        <f>ROUND(Marketing[[#This Row],[Clicks]]*Marketing[[#This Row],[Conversion_Rate]],0)</f>
        <v>69</v>
      </c>
      <c r="J4999" s="12">
        <f>Marketing[[#This Row],[Campaign_Cost]]/Marketing[[#This Row],[Customers]]</f>
        <v>95.434782608695656</v>
      </c>
      <c r="K4999" t="s">
        <v>25</v>
      </c>
      <c r="L4999" t="s">
        <v>39</v>
      </c>
      <c r="M4999">
        <v>690</v>
      </c>
      <c r="N4999">
        <v>6100</v>
      </c>
      <c r="O4999">
        <v>2</v>
      </c>
      <c r="P4999" t="s">
        <v>21</v>
      </c>
      <c r="Q4999" s="1">
        <v>44449</v>
      </c>
    </row>
    <row r="5000" spans="1:17" x14ac:dyDescent="0.3">
      <c r="A5000" t="s">
        <v>35</v>
      </c>
      <c r="B5000" t="s">
        <v>29</v>
      </c>
      <c r="C5000" t="s">
        <v>52</v>
      </c>
      <c r="D5000" t="s">
        <v>46</v>
      </c>
      <c r="E5000" t="s">
        <v>48</v>
      </c>
      <c r="F5000" s="9">
        <v>0.12</v>
      </c>
      <c r="G5000" s="10">
        <v>17263</v>
      </c>
      <c r="H5000">
        <v>7.86</v>
      </c>
      <c r="I5000" s="5">
        <f>ROUND(Marketing[[#This Row],[Clicks]]*Marketing[[#This Row],[Conversion_Rate]],0)</f>
        <v>107</v>
      </c>
      <c r="J5000" s="12">
        <f>Marketing[[#This Row],[Campaign_Cost]]/Marketing[[#This Row],[Customers]]</f>
        <v>161.33644859813083</v>
      </c>
      <c r="K5000" t="s">
        <v>19</v>
      </c>
      <c r="L5000" t="s">
        <v>26</v>
      </c>
      <c r="M5000">
        <v>889</v>
      </c>
      <c r="N5000">
        <v>5274</v>
      </c>
      <c r="O5000">
        <v>10</v>
      </c>
      <c r="P5000" t="s">
        <v>21</v>
      </c>
      <c r="Q5000" s="1">
        <v>44450</v>
      </c>
    </row>
    <row r="5001" spans="1:17" x14ac:dyDescent="0.3">
      <c r="A5001" t="s">
        <v>14</v>
      </c>
      <c r="B5001" t="s">
        <v>36</v>
      </c>
      <c r="C5001" t="s">
        <v>23</v>
      </c>
      <c r="D5001" t="s">
        <v>17</v>
      </c>
      <c r="E5001" t="s">
        <v>48</v>
      </c>
      <c r="F5001" s="9">
        <v>0.03</v>
      </c>
      <c r="G5001" s="10">
        <v>17573</v>
      </c>
      <c r="H5001">
        <v>4.4400000000000004</v>
      </c>
      <c r="I5001" s="5">
        <f>ROUND(Marketing[[#This Row],[Clicks]]*Marketing[[#This Row],[Conversion_Rate]],0)</f>
        <v>16</v>
      </c>
      <c r="J5001" s="12">
        <f>Marketing[[#This Row],[Campaign_Cost]]/Marketing[[#This Row],[Customers]]</f>
        <v>1098.3125</v>
      </c>
      <c r="K5001" t="s">
        <v>25</v>
      </c>
      <c r="L5001" t="s">
        <v>20</v>
      </c>
      <c r="M5001">
        <v>532</v>
      </c>
      <c r="N5001">
        <v>4546</v>
      </c>
      <c r="O5001">
        <v>9</v>
      </c>
      <c r="P5001" t="s">
        <v>21</v>
      </c>
      <c r="Q5001" s="1">
        <v>44451</v>
      </c>
    </row>
  </sheetData>
  <phoneticPr fontId="3"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EEBF-28ED-4CC9-91D9-FED9FAA129C6}">
  <sheetPr>
    <tabColor rgb="FFF28B30"/>
  </sheetPr>
  <dimension ref="A1"/>
  <sheetViews>
    <sheetView showGridLines="0" tabSelected="1" zoomScale="98" zoomScaleNormal="100" workbookViewId="0">
      <selection activeCell="E27" sqref="E27"/>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F3B0C-E164-48E2-A042-F61D2C00E36D}">
  <sheetPr>
    <tabColor rgb="FFF2F2F2"/>
  </sheetPr>
  <dimension ref="A1:AC20"/>
  <sheetViews>
    <sheetView topLeftCell="L1" zoomScaleNormal="100" workbookViewId="0">
      <selection activeCell="L11" sqref="L11"/>
    </sheetView>
  </sheetViews>
  <sheetFormatPr defaultRowHeight="14.4" x14ac:dyDescent="0.3"/>
  <cols>
    <col min="1" max="1" width="12.77734375" bestFit="1" customWidth="1"/>
    <col min="2" max="2" width="22.6640625" customWidth="1"/>
    <col min="3" max="3" width="17" style="18" customWidth="1"/>
    <col min="4" max="4" width="11.21875" style="18" customWidth="1"/>
    <col min="6" max="6" width="28.6640625" customWidth="1"/>
    <col min="7" max="7" width="8.88671875" style="17"/>
    <col min="8" max="8" width="11.6640625" style="17" customWidth="1"/>
    <col min="9" max="9" width="44.5546875" customWidth="1"/>
    <col min="10" max="10" width="15.33203125" style="17" customWidth="1"/>
    <col min="11" max="11" width="13.44140625" style="17" customWidth="1"/>
    <col min="12" max="12" width="19" bestFit="1" customWidth="1"/>
    <col min="13" max="13" width="13.44140625" customWidth="1"/>
    <col min="14" max="15" width="8.88671875" style="17"/>
    <col min="17" max="17" width="12.44140625" bestFit="1" customWidth="1"/>
    <col min="18" max="18" width="12.77734375" bestFit="1" customWidth="1"/>
    <col min="20" max="21" width="8.88671875" style="18"/>
    <col min="22" max="22" width="12.44140625" bestFit="1" customWidth="1"/>
    <col min="23" max="23" width="12.77734375" bestFit="1" customWidth="1"/>
    <col min="25" max="26" width="8.88671875" style="18"/>
    <col min="27" max="27" width="12.44140625" bestFit="1" customWidth="1"/>
    <col min="28" max="28" width="12.77734375" bestFit="1" customWidth="1"/>
  </cols>
  <sheetData>
    <row r="1" spans="1:29" ht="21" x14ac:dyDescent="0.4">
      <c r="A1" s="14" t="s">
        <v>55</v>
      </c>
      <c r="B1" s="15"/>
      <c r="E1" s="14" t="s">
        <v>56</v>
      </c>
      <c r="F1" s="13"/>
      <c r="I1" s="16" t="s">
        <v>75</v>
      </c>
      <c r="L1" s="14" t="s">
        <v>76</v>
      </c>
      <c r="M1" s="14"/>
      <c r="P1" s="14" t="s">
        <v>72</v>
      </c>
      <c r="Q1" s="13"/>
      <c r="R1" s="13"/>
      <c r="S1" s="13"/>
      <c r="V1" s="14" t="s">
        <v>73</v>
      </c>
      <c r="W1" s="15"/>
      <c r="X1" s="15"/>
      <c r="AA1" s="15" t="s">
        <v>74</v>
      </c>
      <c r="AB1" s="13"/>
      <c r="AC1" s="13"/>
    </row>
    <row r="3" spans="1:29" x14ac:dyDescent="0.3">
      <c r="F3" t="s">
        <v>56</v>
      </c>
      <c r="I3" t="s">
        <v>75</v>
      </c>
      <c r="J3" s="18"/>
      <c r="K3" s="18"/>
      <c r="L3" t="s">
        <v>76</v>
      </c>
      <c r="Q3" s="2" t="s">
        <v>53</v>
      </c>
      <c r="R3" t="s">
        <v>55</v>
      </c>
      <c r="V3" s="2" t="s">
        <v>53</v>
      </c>
      <c r="W3" t="s">
        <v>55</v>
      </c>
      <c r="AA3" s="2" t="s">
        <v>53</v>
      </c>
      <c r="AB3" t="s">
        <v>55</v>
      </c>
    </row>
    <row r="4" spans="1:29" x14ac:dyDescent="0.3">
      <c r="A4" t="s">
        <v>55</v>
      </c>
      <c r="F4" s="11">
        <v>7.9821999999999144E-2</v>
      </c>
      <c r="I4" s="5">
        <v>647.52995700822225</v>
      </c>
      <c r="J4" s="18"/>
      <c r="K4" s="18"/>
      <c r="L4" s="5">
        <v>43.634999999999998</v>
      </c>
      <c r="Q4" s="3" t="s">
        <v>57</v>
      </c>
      <c r="R4" s="7">
        <v>5.0351152073732743</v>
      </c>
      <c r="V4" s="3" t="s">
        <v>36</v>
      </c>
      <c r="W4" s="4">
        <v>5.0188591269841307</v>
      </c>
      <c r="AA4" s="3" t="s">
        <v>15</v>
      </c>
      <c r="AB4" s="4">
        <v>5.0120465116279105</v>
      </c>
    </row>
    <row r="5" spans="1:29" x14ac:dyDescent="0.3">
      <c r="A5" s="4">
        <v>5.0292279999999945</v>
      </c>
      <c r="J5" s="18"/>
      <c r="K5" s="18"/>
      <c r="Q5" s="3" t="s">
        <v>58</v>
      </c>
      <c r="R5" s="7">
        <v>5.0453826530612247</v>
      </c>
      <c r="V5" s="3" t="s">
        <v>15</v>
      </c>
      <c r="W5" s="4">
        <v>4.9365080971659951</v>
      </c>
      <c r="AA5" s="3" t="s">
        <v>48</v>
      </c>
      <c r="AB5" s="4">
        <v>5.0768840579710153</v>
      </c>
    </row>
    <row r="6" spans="1:29" x14ac:dyDescent="0.3">
      <c r="J6" s="18"/>
      <c r="K6" s="18"/>
      <c r="Q6" s="3" t="s">
        <v>59</v>
      </c>
      <c r="R6" s="7">
        <v>4.9855069124423936</v>
      </c>
      <c r="V6" s="3" t="s">
        <v>29</v>
      </c>
      <c r="W6" s="4">
        <v>5.0681560975609781</v>
      </c>
      <c r="AA6" s="3" t="s">
        <v>18</v>
      </c>
      <c r="AB6" s="4">
        <v>5.0627525252525247</v>
      </c>
    </row>
    <row r="7" spans="1:29" x14ac:dyDescent="0.3">
      <c r="J7" s="18"/>
      <c r="K7" s="18"/>
      <c r="L7" s="5">
        <f>GETPIVOTDATA("Customers",$L$3)</f>
        <v>43.634999999999998</v>
      </c>
      <c r="Q7" s="3" t="s">
        <v>60</v>
      </c>
      <c r="R7" s="7">
        <v>5.0577619047619065</v>
      </c>
      <c r="V7" s="3" t="s">
        <v>45</v>
      </c>
      <c r="W7" s="4">
        <v>5.0145668449197869</v>
      </c>
      <c r="AA7" s="3" t="s">
        <v>41</v>
      </c>
      <c r="AB7" s="4">
        <v>4.9959374999999957</v>
      </c>
    </row>
    <row r="8" spans="1:29" x14ac:dyDescent="0.3">
      <c r="B8" s="19">
        <f>GETPIVOTDATA("ROI",$A$4)</f>
        <v>5.0292279999999945</v>
      </c>
      <c r="F8" s="8">
        <f>GETPIVOTDATA("Conversion_Rate",$F$3)</f>
        <v>7.9821999999999144E-2</v>
      </c>
      <c r="I8" s="20">
        <f>GETPIVOTDATA("CAC",$I$3)</f>
        <v>647.52995700822225</v>
      </c>
      <c r="J8" s="18"/>
      <c r="K8" s="18"/>
      <c r="L8" s="5"/>
      <c r="Q8" s="3" t="s">
        <v>61</v>
      </c>
      <c r="R8" s="7">
        <v>5.0192165898617507</v>
      </c>
      <c r="V8" s="3" t="s">
        <v>47</v>
      </c>
      <c r="W8" s="4">
        <v>5.101896551724133</v>
      </c>
      <c r="AA8" s="3" t="s">
        <v>43</v>
      </c>
      <c r="AB8" s="4">
        <v>4.9943599033816426</v>
      </c>
    </row>
    <row r="9" spans="1:29" x14ac:dyDescent="0.3">
      <c r="J9" s="18"/>
      <c r="K9" s="18"/>
      <c r="Q9" s="3" t="s">
        <v>62</v>
      </c>
      <c r="R9" s="7">
        <v>5.0393571428571367</v>
      </c>
      <c r="V9" s="3" t="s">
        <v>54</v>
      </c>
      <c r="W9" s="4">
        <v>5.029228000000006</v>
      </c>
      <c r="AA9" s="3" t="s">
        <v>31</v>
      </c>
      <c r="AB9" s="4">
        <v>5.0354302325581326</v>
      </c>
    </row>
    <row r="10" spans="1:29" x14ac:dyDescent="0.3">
      <c r="J10" s="18"/>
      <c r="K10" s="18"/>
      <c r="Q10" s="3" t="s">
        <v>63</v>
      </c>
      <c r="R10" s="7">
        <v>5.026497695852532</v>
      </c>
      <c r="AA10" s="3" t="s">
        <v>54</v>
      </c>
      <c r="AB10" s="4">
        <v>5.0292280000000025</v>
      </c>
    </row>
    <row r="11" spans="1:29" x14ac:dyDescent="0.3">
      <c r="J11" s="18"/>
      <c r="K11" s="18"/>
      <c r="Q11" s="3" t="s">
        <v>64</v>
      </c>
      <c r="R11" s="7">
        <v>4.9862903225806443</v>
      </c>
    </row>
    <row r="12" spans="1:29" x14ac:dyDescent="0.3">
      <c r="J12" s="18"/>
      <c r="K12" s="18"/>
      <c r="Q12" s="3" t="s">
        <v>65</v>
      </c>
      <c r="R12" s="7">
        <v>5.0083333333333311</v>
      </c>
    </row>
    <row r="13" spans="1:29" x14ac:dyDescent="0.3">
      <c r="J13" s="18"/>
      <c r="K13" s="18"/>
      <c r="Q13" s="3" t="s">
        <v>66</v>
      </c>
      <c r="R13" s="7">
        <v>5.0861042183622791</v>
      </c>
    </row>
    <row r="14" spans="1:29" x14ac:dyDescent="0.3">
      <c r="J14" s="18"/>
      <c r="K14" s="18"/>
      <c r="Q14" s="3" t="s">
        <v>67</v>
      </c>
      <c r="R14" s="7">
        <v>5.0207948717948678</v>
      </c>
    </row>
    <row r="15" spans="1:29" x14ac:dyDescent="0.3">
      <c r="J15" s="18"/>
      <c r="K15" s="18"/>
      <c r="Q15" s="3" t="s">
        <v>68</v>
      </c>
      <c r="R15" s="7">
        <v>5.0460545905707175</v>
      </c>
    </row>
    <row r="16" spans="1:29" x14ac:dyDescent="0.3">
      <c r="J16" s="18"/>
      <c r="K16" s="18"/>
      <c r="Q16" s="3" t="s">
        <v>54</v>
      </c>
      <c r="R16" s="7">
        <v>5.0292280000000025</v>
      </c>
    </row>
    <row r="17" spans="10:11" x14ac:dyDescent="0.3">
      <c r="J17" s="18"/>
      <c r="K17" s="18"/>
    </row>
    <row r="18" spans="10:11" x14ac:dyDescent="0.3">
      <c r="J18" s="18"/>
      <c r="K18" s="18"/>
    </row>
    <row r="19" spans="10:11" x14ac:dyDescent="0.3">
      <c r="J19" s="18"/>
      <c r="K19" s="18"/>
    </row>
    <row r="20" spans="10:11" x14ac:dyDescent="0.3">
      <c r="J20" s="18"/>
      <c r="K20" s="18"/>
    </row>
  </sheetData>
  <mergeCells count="6">
    <mergeCell ref="A1:B1"/>
    <mergeCell ref="E1:F1"/>
    <mergeCell ref="P1:S1"/>
    <mergeCell ref="V1:X1"/>
    <mergeCell ref="AA1:AC1"/>
    <mergeCell ref="L1:M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480544-B7A9-4D6A-A1DE-B9D8EBCC32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Marketing</vt:lpstr>
      <vt:lpstr>Dashboad</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amraman631@gmail.com</dc:creator>
  <cp:lastModifiedBy>amraman631@gmail.com</cp:lastModifiedBy>
  <cp:lastPrinted>2026-08-23T20:57:19Z</cp:lastPrinted>
  <dcterms:created xsi:type="dcterms:W3CDTF">2026-08-21T15:45:34Z</dcterms:created>
  <dcterms:modified xsi:type="dcterms:W3CDTF">2026-08-24T20:36:56Z</dcterms:modified>
</cp:coreProperties>
</file>